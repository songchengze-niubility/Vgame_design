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15" activeTab="12"/>
  </bookViews>
  <sheets>
    <sheet name="00_索引" sheetId="1" r:id="rId1"/>
    <sheet name="养成属性规划" sheetId="2" r:id="rId2"/>
    <sheet name="角色升级升阶" sheetId="3" r:id="rId3"/>
    <sheet name="属性定价" sheetId="4" r:id="rId4"/>
    <sheet name="角色升星" sheetId="5" r:id="rId5"/>
    <sheet name="角色星盘" sheetId="6" r:id="rId6"/>
    <sheet name="专武" sheetId="7" r:id="rId7"/>
    <sheet name="旅券" sheetId="8" r:id="rId8"/>
    <sheet name="配置页-旅券" sheetId="9" r:id="rId9"/>
    <sheet name="配置页-推荐邮票" sheetId="10" r:id="rId10"/>
    <sheet name="炮台养成数值" sheetId="11" r:id="rId11"/>
    <sheet name="设计页-映射装备数值" sheetId="12" r:id="rId12"/>
    <sheet name="映射装备数值" sheetId="13" r:id="rId13"/>
    <sheet name="配置页-普通装备技能" sheetId="14" r:id="rId14"/>
    <sheet name="普通映射装备数值" sheetId="15" r:id="rId15"/>
    <sheet name="映射装备主属性配置" sheetId="16" r:id="rId16"/>
    <sheet name="草稿页-映射装备副属性配置" sheetId="17" r:id="rId17"/>
    <sheet name="映射装备红装数值" sheetId="18" r:id="rId18"/>
    <sheet name="参数页-不同武将系数" sheetId="19" r:id="rId19"/>
    <sheet name="配置页-不同武将系数配置" sheetId="20" r:id="rId20"/>
    <sheet name="配置页-专武配置" sheetId="21" r:id="rId21"/>
    <sheet name="辅助公式页-Sheet1" sheetId="22" r:id="rId22"/>
  </sheets>
  <definedNames>
    <definedName name="_xlnm._FilterDatabase" localSheetId="13" hidden="1">'配置页-普通装备技能'!$D$2:$E$155</definedName>
    <definedName name="_xlnm._FilterDatabase" localSheetId="14" hidden="1">普通映射装备数值!$C$2:$X$192</definedName>
    <definedName name="_xlnm._FilterDatabase" localSheetId="18" hidden="1">'参数页-不同武将系数'!$B$26:$E$64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<sst xmlns="http://schemas.openxmlformats.org/spreadsheetml/2006/main" count="7809" uniqueCount="1068">
  <si>
    <t>文档名称</t>
  </si>
  <si>
    <t>Vgame养成数值</t>
  </si>
  <si>
    <t>文档类型</t>
  </si>
  <si>
    <t>养成数值</t>
  </si>
  <si>
    <t>当前状态</t>
  </si>
  <si>
    <t>正式</t>
  </si>
  <si>
    <t>负责人</t>
  </si>
  <si>
    <t>数值组</t>
  </si>
  <si>
    <t>最后更新时间</t>
  </si>
  <si>
    <t>2026-05-28</t>
  </si>
  <si>
    <t>文档目标</t>
  </si>
  <si>
    <t>定义角色养成各模块的属性投放与成长职责</t>
  </si>
  <si>
    <t>使用说明</t>
  </si>
  <si>
    <t>修改数值时引用 SHEET_ID 定位；CONFIG_TARGET 指向 Config/GameConfig/Datas/ 下的配置表</t>
  </si>
  <si>
    <t>Sheet名</t>
  </si>
  <si>
    <t>SHEET_ID</t>
  </si>
  <si>
    <t>状态</t>
  </si>
  <si>
    <t>配置目标(CONFIG_TARGET)</t>
  </si>
  <si>
    <t>是否可直接用于配置表</t>
  </si>
  <si>
    <t>用途</t>
  </si>
  <si>
    <t>养成属性规划</t>
  </si>
  <si>
    <t>养成_属性规划总览</t>
  </si>
  <si>
    <t>无（总览页）</t>
  </si>
  <si>
    <t>否</t>
  </si>
  <si>
    <t>全养成模块的属性投放职责总览和标准人基础属性</t>
  </si>
  <si>
    <t>属性定价</t>
  </si>
  <si>
    <t>养成_属性定价</t>
  </si>
  <si>
    <t>每个属性的换算价值，以及每个属性的英文名</t>
  </si>
  <si>
    <t>角色升级升阶</t>
  </si>
  <si>
    <t>养成_角色升级升阶</t>
  </si>
  <si>
    <t>HeroAttribute（Hp/PhysicsAttack/MagicAttack/Armor）, HeroAscendLv</t>
  </si>
  <si>
    <t>角色1-60级基础属性成长和升阶突破数据</t>
  </si>
  <si>
    <t>角色升星</t>
  </si>
  <si>
    <t>养成_角色升星</t>
  </si>
  <si>
    <t>HeroStarAttrUp（系数列）, CalibrationPoints</t>
  </si>
  <si>
    <t>升星投放偏向性基础属性和二级属性</t>
  </si>
  <si>
    <t>角色星盘</t>
  </si>
  <si>
    <t>养成_角色星盘</t>
  </si>
  <si>
    <t>HeroStarAttrUp, CalibrationPoints, CalibrationPointsAttr</t>
  </si>
  <si>
    <t>星盘投放偏向性基础属性和二级属性</t>
  </si>
  <si>
    <t>专武</t>
  </si>
  <si>
    <t>养成_专武</t>
  </si>
  <si>
    <t>ExclWeaponLv, ExclWeaponAscendLv</t>
  </si>
  <si>
    <t>专武基础属性投放、突破门槛和技能等级</t>
  </si>
  <si>
    <t>旅券</t>
  </si>
  <si>
    <t>养成_旅券</t>
  </si>
  <si>
    <t>StrategyCards, StrategyLv</t>
  </si>
  <si>
    <t>旅券属性投放和效果词条设计</t>
  </si>
  <si>
    <t>映射装备</t>
  </si>
  <si>
    <t>养成_映射装备</t>
  </si>
  <si>
    <t>SpecialEquipment, SpecialEquipmentEffect, SpecialEquipmentGem</t>
  </si>
  <si>
    <t>映射装备基础属性、宝石系统和词条投放</t>
  </si>
  <si>
    <t>映射装备配置</t>
  </si>
  <si>
    <t>养成_映射装备配置</t>
  </si>
  <si>
    <t>SpecialEquipmentEffect（EffectId/Weight）</t>
  </si>
  <si>
    <t>映射装备和旅券的词条ID与权重映射</t>
  </si>
  <si>
    <t>不同武将系数</t>
  </si>
  <si>
    <t>养成_武将系数</t>
  </si>
  <si>
    <t>HeroAttribute（通过系数计算各角色属性）</t>
  </si>
  <si>
    <t>各职业/角色的生攻防系数和伤害类型定义</t>
  </si>
  <si>
    <t>不同武将系数配置</t>
  </si>
  <si>
    <t>养成_武将系数配置</t>
  </si>
  <si>
    <t>HeroAttribute（最终各角色属性值）</t>
  </si>
  <si>
    <t>基于武将系数计算出的各角色完整属性和星盘词条</t>
  </si>
  <si>
    <t>临时效果</t>
  </si>
  <si>
    <t>养成_临时效果</t>
  </si>
  <si>
    <t>Skill/FightItem（效果ID和数值）</t>
  </si>
  <si>
    <t>旅券/映射装备的战斗临时效果数值表</t>
  </si>
  <si>
    <t>Sheet1</t>
  </si>
  <si>
    <t>养成_角色列表</t>
  </si>
  <si>
    <t>草稿</t>
  </si>
  <si>
    <t>Hero（角色ID和阵营）</t>
  </si>
  <si>
    <t>角色名称、编号和阵营列表</t>
  </si>
  <si>
    <t>配置页-推荐邮票</t>
  </si>
  <si>
    <t>养成_推荐邮票配置</t>
  </si>
  <si>
    <t>StrategyRecommendation</t>
  </si>
  <si>
    <t>是</t>
  </si>
  <si>
    <t>每个有效武将配置4套推荐邮票/旅券</t>
  </si>
  <si>
    <t>初始标准人属性</t>
  </si>
  <si>
    <t>生命</t>
  </si>
  <si>
    <t>攻击</t>
  </si>
  <si>
    <t>防御</t>
  </si>
  <si>
    <t>养成模块数值概述</t>
  </si>
  <si>
    <t>概述为前期规划，具体数值请参照每个页签</t>
  </si>
  <si>
    <t>养成模块</t>
  </si>
  <si>
    <t>养成定位</t>
  </si>
  <si>
    <t>投放属性</t>
  </si>
  <si>
    <t>备注</t>
  </si>
  <si>
    <t>基础属性</t>
  </si>
  <si>
    <t>基础属性%</t>
  </si>
  <si>
    <t>技能等级</t>
  </si>
  <si>
    <t>普通二级属性</t>
  </si>
  <si>
    <t>角色裸体数值</t>
  </si>
  <si>
    <t>初始</t>
  </si>
  <si>
    <t>每个角色初始的属性</t>
  </si>
  <si>
    <t>√</t>
  </si>
  <si>
    <t>角色升级</t>
  </si>
  <si>
    <t>主要提供基础属性，线性成长，前中期主要属性来源</t>
  </si>
  <si>
    <t>角色升阶</t>
  </si>
  <si>
    <t>主要提供基础属性，线性成长，前中期主要属性来源
升阶主要去卡角色技能等级和星盘等级</t>
  </si>
  <si>
    <t>稀有角色、活跃材料的投放和消耗点
普通养成行为无法点满，需要额外的稀有材料才能点满
投放一小部分基础属性，基础属性%，普通二级属性和天赋技能等级
投放的基础属性%和二级属性根据角色定位进行更改</t>
  </si>
  <si>
    <t>主要付费内容，解锁额外天赋（提升幅度需要够大），投放基础属性百分比和二级属性</t>
  </si>
  <si>
    <t>主要作用是承载一部分角色技能机制，同时提供一部分基础属性
或者普通二级属性</t>
  </si>
  <si>
    <t>4+2套装效果
等级上限低，相对于阴阳师，降低随机性，提高毕业预期</t>
  </si>
  <si>
    <t>主角装备</t>
  </si>
  <si>
    <t xml:space="preserve">后期终局玩法，极强的随机词条，承载后期玩家的日活和养成目标
主属性固定，副属性做强的词条与上下限随机
镶嵌的宝石相当于一个带一点随机性的进度类养成
</t>
  </si>
  <si>
    <t>角色全属性组成</t>
  </si>
  <si>
    <t>不能选择的</t>
  </si>
  <si>
    <t>可选择的</t>
  </si>
  <si>
    <t>映射装备副词条+宝石</t>
  </si>
  <si>
    <t>映射装备主词条</t>
  </si>
  <si>
    <t>养成模块数值分配</t>
  </si>
  <si>
    <t>这部分是每个角色不同的属性偏向，需要每个角色单独设计</t>
  </si>
  <si>
    <t>该表格决定属性数值分配值</t>
  </si>
  <si>
    <t>输出角色（攻击%+暴击爆伤）</t>
  </si>
  <si>
    <t>预计基础属性</t>
  </si>
  <si>
    <t>最终基础属性%</t>
  </si>
  <si>
    <t>预计全部基础属性%</t>
  </si>
  <si>
    <t>预计偏向全部二级属性</t>
  </si>
  <si>
    <t>预计偏向基础属性%+二级属性</t>
  </si>
  <si>
    <t>基础属性投放系数</t>
  </si>
  <si>
    <t>偏向值</t>
  </si>
  <si>
    <t>二级属性占比</t>
  </si>
  <si>
    <t>总普通投放</t>
  </si>
  <si>
    <t>总稀有投放</t>
  </si>
  <si>
    <t>总二级投放</t>
  </si>
  <si>
    <t>（以攻击力%为基准）</t>
  </si>
  <si>
    <t>以攻击百分比为基准的属性定价</t>
  </si>
  <si>
    <t>攻击百分比</t>
  </si>
  <si>
    <t>防御百分比</t>
  </si>
  <si>
    <t>生命百分比</t>
  </si>
  <si>
    <t>普攻速度百分比</t>
  </si>
  <si>
    <t>必杀回复速度</t>
  </si>
  <si>
    <t>暴击率</t>
  </si>
  <si>
    <t>暴击伤害</t>
  </si>
  <si>
    <t>各种伤害增加</t>
  </si>
  <si>
    <t>普攻伤害加成</t>
  </si>
  <si>
    <t>技能伤害加成</t>
  </si>
  <si>
    <t>必杀伤害加成</t>
  </si>
  <si>
    <t>治疗率</t>
  </si>
  <si>
    <t>冷却缩减</t>
  </si>
  <si>
    <t>物理伤害加成</t>
  </si>
  <si>
    <t>魔法伤害加成</t>
  </si>
  <si>
    <t>暴击等级</t>
  </si>
  <si>
    <t>暴击伤害等级</t>
  </si>
  <si>
    <t>能量回复等级</t>
  </si>
  <si>
    <t>技能冷却等级</t>
  </si>
  <si>
    <t>格挡率</t>
  </si>
  <si>
    <t>格挡等级</t>
  </si>
  <si>
    <t>参数区</t>
  </si>
  <si>
    <t>升级预计分配属性</t>
  </si>
  <si>
    <t>等级上限</t>
  </si>
  <si>
    <t>突破次数</t>
  </si>
  <si>
    <t>单级成长比例</t>
  </si>
  <si>
    <t>单次突破成长</t>
  </si>
  <si>
    <t>品阶系数</t>
  </si>
  <si>
    <t>品阶系数在角色初始、升级、升阶和星盘处投放的基础属性数值需要乘上一个百分比</t>
  </si>
  <si>
    <t>R</t>
  </si>
  <si>
    <t>SR</t>
  </si>
  <si>
    <t>SSR</t>
  </si>
  <si>
    <t>结论区</t>
  </si>
  <si>
    <t>等级</t>
  </si>
  <si>
    <t>单级成长</t>
  </si>
  <si>
    <t>单级属性系数</t>
  </si>
  <si>
    <t>突破等级</t>
  </si>
  <si>
    <t>突破系数</t>
  </si>
  <si>
    <t>需求玩家等级</t>
  </si>
  <si>
    <t>含义为每1%的攻击力百分比对应的属性</t>
  </si>
  <si>
    <t>角色升星养成概述</t>
  </si>
  <si>
    <t>4个节点投放天赋、被动提升，预计整体升星带来的战中提升可以达到1.8-2倍</t>
  </si>
  <si>
    <t>2个节点投放属性百分比和稀有二级属性、普通二级属性</t>
  </si>
  <si>
    <t>预计投放的属性</t>
  </si>
  <si>
    <t>预计最终基础属性%</t>
  </si>
  <si>
    <t>预计偏向稀有属性%</t>
  </si>
  <si>
    <t>角色星级</t>
  </si>
  <si>
    <t>投放内容</t>
  </si>
  <si>
    <t>天赋1</t>
  </si>
  <si>
    <t>天赋2</t>
  </si>
  <si>
    <t>全属性</t>
  </si>
  <si>
    <t>二级属性</t>
  </si>
  <si>
    <t>全属性15%+普通二级属性20%</t>
  </si>
  <si>
    <t>天赋3</t>
  </si>
  <si>
    <t>全属性15%+稀有二级属性20%</t>
  </si>
  <si>
    <t>天赋4</t>
  </si>
  <si>
    <t>普攻伤害</t>
  </si>
  <si>
    <t>技能伤害</t>
  </si>
  <si>
    <t>必杀伤害</t>
  </si>
  <si>
    <t>星盘养成概述</t>
  </si>
  <si>
    <t>角色星盘承载部分角色基础属性、同时投放部分偏向的普通二级属性和基础属性%</t>
  </si>
  <si>
    <t>每个角色选择3个偏向的普通二级属性和基础属性%，根据角色的定位和技能设计</t>
  </si>
  <si>
    <t>例如一个物理C，可以选择 攻击力%，暴击率和暴击爆伤</t>
  </si>
  <si>
    <t>目前一共</t>
  </si>
  <si>
    <t>个点位，免费投放的点位数量为</t>
  </si>
  <si>
    <t>个，其中属性点位</t>
  </si>
  <si>
    <t>个，技能点位</t>
  </si>
  <si>
    <t>个</t>
  </si>
  <si>
    <t>属性点位越外环，给的属性越多</t>
  </si>
  <si>
    <t>预计投放的基础属性</t>
  </si>
  <si>
    <t>实际</t>
  </si>
  <si>
    <t>每次升级基础属性</t>
  </si>
  <si>
    <t>点位设计</t>
  </si>
  <si>
    <t>内圈</t>
  </si>
  <si>
    <t>中圈</t>
  </si>
  <si>
    <t>外圈</t>
  </si>
  <si>
    <t>数量</t>
  </si>
  <si>
    <t>普攻升级</t>
  </si>
  <si>
    <t>必杀升级</t>
  </si>
  <si>
    <t>被动升级</t>
  </si>
  <si>
    <t>属性激活</t>
  </si>
  <si>
    <t>额外能力</t>
  </si>
  <si>
    <t>总</t>
  </si>
  <si>
    <t>属性点位</t>
  </si>
  <si>
    <t>单点属性%</t>
  </si>
  <si>
    <t>投放模板</t>
  </si>
  <si>
    <t>每个角色选择3个属性进行投放</t>
  </si>
  <si>
    <t>A</t>
  </si>
  <si>
    <t>B</t>
  </si>
  <si>
    <t>C</t>
  </si>
  <si>
    <t>例如物理主C</t>
  </si>
  <si>
    <t>暴击</t>
  </si>
  <si>
    <t>次要</t>
  </si>
  <si>
    <t>物理百分比%</t>
  </si>
  <si>
    <t>专武养成概述</t>
  </si>
  <si>
    <t>专武相当于角色机制的延伸，主要投放机制为主</t>
  </si>
  <si>
    <t>投放的具体属性为基础属性，和预计偏向基础属性%+二级属性</t>
  </si>
  <si>
    <t>升级给基础属性，突破给预计偏向基础属性%+二级属性，升星给技能机制升级</t>
  </si>
  <si>
    <t>可用二级属性</t>
  </si>
  <si>
    <t>规划专武上限等级</t>
  </si>
  <si>
    <t>基础属性占比</t>
  </si>
  <si>
    <t>每级属性成长</t>
  </si>
  <si>
    <t>装备面板属性1=（装备基础属性+（装备等级-1）*属性成长），面板显示四舍五入</t>
  </si>
  <si>
    <t>防御力百分比</t>
  </si>
  <si>
    <t>突破属性</t>
  </si>
  <si>
    <t>玩家等级</t>
  </si>
  <si>
    <t>投放示意</t>
  </si>
  <si>
    <t>基础</t>
  </si>
  <si>
    <t>成长</t>
  </si>
  <si>
    <t>升星数值</t>
  </si>
  <si>
    <t>升星不带来任何属性提升，突破星级只带来被动提升</t>
  </si>
  <si>
    <t>预计提升加成</t>
  </si>
  <si>
    <t>专武基础属性品质系数</t>
  </si>
  <si>
    <t>星级</t>
  </si>
  <si>
    <t>战斗加成</t>
  </si>
  <si>
    <t>旅券数值概述</t>
  </si>
  <si>
    <t>角色中后期的属性追求之一，承载一部分养成坑深</t>
  </si>
  <si>
    <t>套装属性4+2,2件套为属性，4件套为效果</t>
  </si>
  <si>
    <t>每套旅券带个小被动，6件总的战斗提升期望为</t>
  </si>
  <si>
    <t>预计投放的二级属性</t>
  </si>
  <si>
    <t>旅券预计投入属性</t>
  </si>
  <si>
    <t>攻击力</t>
  </si>
  <si>
    <t>旅券主副属性二级属性分配</t>
  </si>
  <si>
    <t>主属性权重</t>
  </si>
  <si>
    <t>副属性权重</t>
  </si>
  <si>
    <t>主属性二级属性</t>
  </si>
  <si>
    <t>副属性二级属性</t>
  </si>
  <si>
    <t>旅券品质系数</t>
  </si>
  <si>
    <t>普通</t>
  </si>
  <si>
    <t>稀有</t>
  </si>
  <si>
    <t>史诗</t>
  </si>
  <si>
    <t>传说</t>
  </si>
  <si>
    <t>旅券属性计算公式：</t>
  </si>
  <si>
    <t>旅券面板属性1=（旅券基础属性1+（旅券等级-1）*属性成长1），面板显示四舍五入</t>
  </si>
  <si>
    <t>旅券面板属性2=（旅券基础属性2+（旅券等级-1）*属性成长2），面板显示四舍五入</t>
  </si>
  <si>
    <t>规划旅券上限等级</t>
  </si>
  <si>
    <t>旅券主属性</t>
  </si>
  <si>
    <t>主属性二级属性数量</t>
  </si>
  <si>
    <t>主属性二级属性数值</t>
  </si>
  <si>
    <t>旅券主属性类型分配</t>
  </si>
  <si>
    <t>旅券有6个部位，每个部位的主属性分配见下表</t>
  </si>
  <si>
    <t>部位1</t>
  </si>
  <si>
    <t>权重</t>
  </si>
  <si>
    <t>部位2</t>
  </si>
  <si>
    <t>部位3</t>
  </si>
  <si>
    <t>部位4</t>
  </si>
  <si>
    <t>部位5</t>
  </si>
  <si>
    <t>部位6</t>
  </si>
  <si>
    <t>必杀回复速度等级</t>
  </si>
  <si>
    <t>旅券主属性数值</t>
  </si>
  <si>
    <t>以下数值以传说旅券为准，其余品质的属性需要乘以相应的系数</t>
  </si>
  <si>
    <t>满级属性</t>
  </si>
  <si>
    <t>基础数值</t>
  </si>
  <si>
    <t>成长属性</t>
  </si>
  <si>
    <t>旅券副属性</t>
  </si>
  <si>
    <t>部位数量</t>
  </si>
  <si>
    <t>每个部位词条数</t>
  </si>
  <si>
    <t>单词条数值</t>
  </si>
  <si>
    <t>副词条属性</t>
  </si>
  <si>
    <t>1级属性</t>
  </si>
  <si>
    <t>毕业计算</t>
  </si>
  <si>
    <t>单角色毕业期望</t>
  </si>
  <si>
    <t>主属性</t>
  </si>
  <si>
    <t>品质</t>
  </si>
  <si>
    <t>副属性</t>
  </si>
  <si>
    <t>当前行是否有效</t>
  </si>
  <si>
    <t>true</t>
  </si>
  <si>
    <t>##var</t>
  </si>
  <si>
    <t>ID</t>
  </si>
  <si>
    <t>HeroId</t>
  </si>
  <si>
    <t>##</t>
  </si>
  <si>
    <t>Priority</t>
  </si>
  <si>
    <t>StrategyId</t>
  </si>
  <si>
    <t>PrimAttr</t>
  </si>
  <si>
    <t>SecAttr</t>
  </si>
  <si>
    <t>IsValid</t>
  </si>
  <si>
    <t>##type</t>
  </si>
  <si>
    <t>int</t>
  </si>
  <si>
    <t>(array#sep=;),string</t>
  </si>
  <si>
    <t>bool</t>
  </si>
  <si>
    <t>##group</t>
  </si>
  <si>
    <t>排序</t>
  </si>
  <si>
    <t>武将ID</t>
  </si>
  <si>
    <t>武将名称（辅助）</t>
  </si>
  <si>
    <t>推荐优先级(1=最高)</t>
  </si>
  <si>
    <t>旅券套装ID</t>
  </si>
  <si>
    <t>推荐主属性(4号位;5号位;6号位)</t>
  </si>
  <si>
    <t>推荐副属性</t>
  </si>
  <si>
    <t>星海</t>
  </si>
  <si>
    <t>PhysicsAttackBonus;Crit;CritDmgBonus</t>
  </si>
  <si>
    <t>大暑</t>
  </si>
  <si>
    <t>ArmorBonus;HpBonus;EnergyPreAddBonus</t>
  </si>
  <si>
    <t>ArmorBonus;HpBonus;PhysicsAttackBonus</t>
  </si>
  <si>
    <t>塔拉夏</t>
  </si>
  <si>
    <t>HpBonus;MagicAttackBonus;Crit</t>
  </si>
  <si>
    <t>HpBonus;MagicAttackBonus;Crit;ArmorBonus</t>
  </si>
  <si>
    <t>阿芭</t>
  </si>
  <si>
    <t>MagicAttackBonus;Crit;HpBonus</t>
  </si>
  <si>
    <t>MagicAttackBonus;Crit;HpBonus;ArmorBonus</t>
  </si>
  <si>
    <t>陈单单</t>
  </si>
  <si>
    <t>莉莉娅</t>
  </si>
  <si>
    <t>萨萨莉安</t>
  </si>
  <si>
    <t>MagicAttackBonus;CritDmgBonus;EnergyPreAddBonus</t>
  </si>
  <si>
    <t>MagicAttackBonus;CritDmgBonus;HpBonus;ArmorBonus</t>
  </si>
  <si>
    <t>薇</t>
  </si>
  <si>
    <t>PhysicsAttackBonus;MagicAttackBonus;Crit</t>
  </si>
  <si>
    <t>PhysicsAttackBonus;MagicAttackBonus;Crit;CritDmgBonus</t>
  </si>
  <si>
    <t>陈双双</t>
  </si>
  <si>
    <t>MagicAttackBonus;EnergyPreAddBonus;HpBonus</t>
  </si>
  <si>
    <t>MagicAttackBonus;HpBonus;ArmorBonus</t>
  </si>
  <si>
    <t>艾德琳</t>
  </si>
  <si>
    <t>夏提拉</t>
  </si>
  <si>
    <t>MagicAttackBonus;Crit;HpBonus;CritDmgBonus</t>
  </si>
  <si>
    <t>克莉丝汀</t>
  </si>
  <si>
    <t>阿莱克西娅</t>
  </si>
  <si>
    <t>HpBonus;EnergyPreAddBonus;MagicAttackBonus</t>
  </si>
  <si>
    <t>HpBonus;ArmorBonus;MagicAttackBonus</t>
  </si>
  <si>
    <t>伊戈尔</t>
  </si>
  <si>
    <t>MagicAttackBonus;Crit;CritDmgBonus</t>
  </si>
  <si>
    <t>埃莉诺</t>
  </si>
  <si>
    <t>HpBonus;EnergyPreAddBonus;Crit</t>
  </si>
  <si>
    <t>HpBonus;Crit;ArmorBonus;MagicAttackBonus</t>
  </si>
  <si>
    <t>卡斯帕</t>
  </si>
  <si>
    <t>PhysicsAttackBonus;EnergyPreAddBonus;HpBonus</t>
  </si>
  <si>
    <t>PhysicsAttackBonus;HpBonus;ArmorBonus</t>
  </si>
  <si>
    <t>梅梅</t>
  </si>
  <si>
    <t>马克</t>
  </si>
  <si>
    <t>卡薇</t>
  </si>
  <si>
    <t>乔一</t>
  </si>
  <si>
    <t>凯兰</t>
  </si>
  <si>
    <t>Crit;EnergyPreAddBonus;HpBonus</t>
  </si>
  <si>
    <t>Crit;HpBonus;ArmorBonus;MagicAttackBonus</t>
  </si>
  <si>
    <t>莫莉</t>
  </si>
  <si>
    <t>HpBonus;PhysicsAttackBonus;ArmorBonus</t>
  </si>
  <si>
    <t>HpBonus;PhysicsAttackBonus;ArmorBonus;MagicAttackBonus</t>
  </si>
  <si>
    <t>碎冰者</t>
  </si>
  <si>
    <t>霜狼法师</t>
  </si>
  <si>
    <t>霜狼战士</t>
  </si>
  <si>
    <t>桑尼商队战斗员</t>
  </si>
  <si>
    <t>桑尼商队枪手</t>
  </si>
  <si>
    <t>小寒</t>
  </si>
  <si>
    <t>炮台养成是独立于其他养成模块的特殊养成</t>
  </si>
  <si>
    <t>只在竞技场（PVPVE）中使用</t>
  </si>
  <si>
    <t>玩法简介：两个玩家同时打相同的关卡，如果没清理掉的怪会撞到玩家的屏障，导致掉血，最后血量百分比更高的玩家获胜</t>
  </si>
  <si>
    <t>炮台只有两个属性</t>
  </si>
  <si>
    <t>作用于PVPVE中的玩家屏障数值，具体计算方式为：屏障生命=玩家基础生命+所有炮台生命之和</t>
  </si>
  <si>
    <t>作用于PVPVE中的怪攻击击力数值，具体计算方式为：怪攻击击=怪物基础攻击+所有炮台攻击之和</t>
  </si>
  <si>
    <t>炮台等级上限</t>
  </si>
  <si>
    <t>S</t>
  </si>
  <si>
    <t>水晶基础生命</t>
  </si>
  <si>
    <t>炮台上限生命</t>
  </si>
  <si>
    <t>炮台数量</t>
  </si>
  <si>
    <t>单炮台生命</t>
  </si>
  <si>
    <t>水晶基础攻击</t>
  </si>
  <si>
    <t>炮台上限攻击</t>
  </si>
  <si>
    <t>单炮台攻击</t>
  </si>
  <si>
    <t>正式数值区</t>
  </si>
  <si>
    <t>S炮台系数</t>
  </si>
  <si>
    <t>A炮台系数</t>
  </si>
  <si>
    <t>B炮台系数</t>
  </si>
  <si>
    <t>主角装备数值概述</t>
  </si>
  <si>
    <t>映射装备属性</t>
  </si>
  <si>
    <t>玩家终局养成系统，用随机词条带来究极坑深，承载后期玩家的日活和养成目标，投放的属性占比很大</t>
  </si>
  <si>
    <t>投放基础属性、基础属性%和普通二级属性</t>
  </si>
  <si>
    <t>主属性固定，副属性做强的词条与上下限随机</t>
  </si>
  <si>
    <t>每个装备上会有孔位，数量随机，可以镶嵌宝石和铭文，每个装备上的宝石和铭文可以组成套装</t>
  </si>
  <si>
    <t>宝石可以合成高级宝石，铭文暂时不行</t>
  </si>
  <si>
    <t>总体的感受应该如下：玩家全力去追求一套毕业的装备，还是词条、孔位上理论上是会有最优解</t>
  </si>
  <si>
    <t>预计投放属性</t>
  </si>
  <si>
    <t>装备副属性+宝石属性</t>
  </si>
  <si>
    <t>预计偏向基础属性%+二级属性+稀有二级属性</t>
  </si>
  <si>
    <t>装备主属性</t>
  </si>
  <si>
    <t>基础属性分配</t>
  </si>
  <si>
    <t>主属性基础属性</t>
  </si>
  <si>
    <t>宝石</t>
  </si>
  <si>
    <t>部位类型</t>
  </si>
  <si>
    <t>部位再分类</t>
  </si>
  <si>
    <t>主属性1</t>
  </si>
  <si>
    <t>属性占比</t>
  </si>
  <si>
    <t>主属性2</t>
  </si>
  <si>
    <t>总计</t>
  </si>
  <si>
    <t>武器</t>
  </si>
  <si>
    <t>手炮</t>
  </si>
  <si>
    <t>枪</t>
  </si>
  <si>
    <t>权杖</t>
  </si>
  <si>
    <t>头盔</t>
  </si>
  <si>
    <t>/</t>
  </si>
  <si>
    <t>攻击%</t>
  </si>
  <si>
    <t>铠甲</t>
  </si>
  <si>
    <t>防御%</t>
  </si>
  <si>
    <t>二级</t>
  </si>
  <si>
    <t>手套</t>
  </si>
  <si>
    <t>腰带</t>
  </si>
  <si>
    <t>生命%</t>
  </si>
  <si>
    <t>鞋子</t>
  </si>
  <si>
    <t>装置</t>
  </si>
  <si>
    <t>能量回复速度%</t>
  </si>
  <si>
    <t>饰品</t>
  </si>
  <si>
    <t>单个偏向值</t>
  </si>
  <si>
    <t>装备面板属性1=品质系数*（装备基础属性1+（装备等级-1）*属性成长1），面板显示四舍五入</t>
  </si>
  <si>
    <t>装备面板属性2=品质系数*（装备基础属性2+（装备等级-1）*属性成长2），面板显示四舍五入</t>
  </si>
  <si>
    <t>美化后</t>
  </si>
  <si>
    <t>冷却缩减等级</t>
  </si>
  <si>
    <t>0级属性</t>
  </si>
  <si>
    <t>0级属性占比</t>
  </si>
  <si>
    <t>每级成长属性</t>
  </si>
  <si>
    <t>装备品质主属性系数</t>
  </si>
  <si>
    <t>装备副属性</t>
  </si>
  <si>
    <t>每个装备都有至多</t>
  </si>
  <si>
    <t>个副属性</t>
  </si>
  <si>
    <t>装备件数</t>
  </si>
  <si>
    <t>副属性预计分配属性</t>
  </si>
  <si>
    <t>档位上限基数</t>
  </si>
  <si>
    <t>副词条属性条数</t>
  </si>
  <si>
    <t>副词条属性品质系数</t>
  </si>
  <si>
    <t>档位总基数上限</t>
  </si>
  <si>
    <t>单个基数对应属性</t>
  </si>
  <si>
    <t>传说其中一条为效果词条</t>
  </si>
  <si>
    <t>总属性条数</t>
  </si>
  <si>
    <t>抽取次数</t>
  </si>
  <si>
    <t>抽中期望次数</t>
  </si>
  <si>
    <t>装备总件数</t>
  </si>
  <si>
    <t>期望件数</t>
  </si>
  <si>
    <t>总期望件数</t>
  </si>
  <si>
    <t>下限系数</t>
  </si>
  <si>
    <t>所有属性表</t>
  </si>
  <si>
    <t>属性下限</t>
  </si>
  <si>
    <t>属性上限</t>
  </si>
  <si>
    <t>最小随机单位</t>
  </si>
  <si>
    <t>概率</t>
  </si>
  <si>
    <t>词条基础评分</t>
  </si>
  <si>
    <t>各部位可随机属性表</t>
  </si>
  <si>
    <t>进攻类</t>
  </si>
  <si>
    <t>防御类</t>
  </si>
  <si>
    <t>万能类</t>
  </si>
  <si>
    <t>装备评分计算</t>
  </si>
  <si>
    <t>装备评分=</t>
  </si>
  <si>
    <t>A*装备等级上限*品质系数+B*（词条1评分基础值*词条1的roll值百分比+词条2评分基础值*词条2的roll值百分比+词条3评分基础值*词条3的roll值百分比+词条4评分基础值*词条4的roll值百分比)</t>
  </si>
  <si>
    <t>向上取整</t>
  </si>
  <si>
    <t>A和B为参数可以单独拿出来配置</t>
  </si>
  <si>
    <t>A=</t>
  </si>
  <si>
    <t>B=</t>
  </si>
  <si>
    <t>举例A</t>
  </si>
  <si>
    <t>蓝色装备</t>
  </si>
  <si>
    <t>评分=</t>
  </si>
  <si>
    <t>20*20+1.25*（3%/8%*200+24/60*150）</t>
  </si>
  <si>
    <t>副词条1</t>
  </si>
  <si>
    <t>攻击力%</t>
  </si>
  <si>
    <t>副词条2</t>
  </si>
  <si>
    <t>装备宝石、铭文</t>
  </si>
  <si>
    <t>副属性预计分配二级属性</t>
  </si>
  <si>
    <t>副属性预计分配基础属性</t>
  </si>
  <si>
    <t>等级系数公式</t>
  </si>
  <si>
    <t>单个装备孔位上限</t>
  </si>
  <si>
    <t>基础件数</t>
  </si>
  <si>
    <t>一级件数</t>
  </si>
  <si>
    <t>总孔位</t>
  </si>
  <si>
    <t>单孔位预计分配属性</t>
  </si>
  <si>
    <t>A7</t>
  </si>
  <si>
    <t>宝石类别</t>
  </si>
  <si>
    <t>MAXlevel</t>
  </si>
  <si>
    <t>红</t>
  </si>
  <si>
    <t>蓝</t>
  </si>
  <si>
    <t>黄</t>
  </si>
  <si>
    <t>绿</t>
  </si>
  <si>
    <t>紫</t>
  </si>
  <si>
    <t>橙</t>
  </si>
  <si>
    <t>青</t>
  </si>
  <si>
    <t>白</t>
  </si>
  <si>
    <t>宝石等级</t>
  </si>
  <si>
    <t>等级系数</t>
  </si>
  <si>
    <t>宝石最高属性</t>
  </si>
  <si>
    <t>宝石孔位</t>
  </si>
  <si>
    <t>孔位下限</t>
  </si>
  <si>
    <t>孔位上限</t>
  </si>
  <si>
    <t>稀有度部分</t>
  </si>
  <si>
    <t>主属性品质系数</t>
  </si>
  <si>
    <t>副属性品质系数</t>
  </si>
  <si>
    <t>副词条上限</t>
  </si>
  <si>
    <t>副词条下限</t>
  </si>
  <si>
    <t>分解基础经验</t>
  </si>
  <si>
    <t>分解额外道具获得</t>
  </si>
  <si>
    <t>打孔道具消耗</t>
  </si>
  <si>
    <t>打孔金币消耗</t>
  </si>
  <si>
    <t>蓝色打孔器</t>
  </si>
  <si>
    <t>紫色打孔器</t>
  </si>
  <si>
    <t>金</t>
  </si>
  <si>
    <t>史诗装备材料5</t>
  </si>
  <si>
    <t>金色打孔器</t>
  </si>
  <si>
    <t>传说装备材料5</t>
  </si>
  <si>
    <t>红色打孔器</t>
  </si>
  <si>
    <t>主属性部分</t>
  </si>
  <si>
    <t>品质系数*（装备基础属性+（装备等级-1）*属性成长）</t>
  </si>
  <si>
    <t>分解部分</t>
  </si>
  <si>
    <t>部位</t>
  </si>
  <si>
    <t>稀有度</t>
  </si>
  <si>
    <t>属性成长系数</t>
  </si>
  <si>
    <t>1级数值</t>
  </si>
  <si>
    <t>满级数值</t>
  </si>
  <si>
    <t>分解经验系数</t>
  </si>
  <si>
    <t>仪器</t>
  </si>
  <si>
    <t>分解后获得的经验=分解基础经验+当前装备已有经验*分解经验系数</t>
  </si>
  <si>
    <t>枪炮</t>
  </si>
  <si>
    <t>评分计算</t>
  </si>
  <si>
    <t>评分系数A</t>
  </si>
  <si>
    <t>评分系数B</t>
  </si>
  <si>
    <t>评分=A*装备等级上限*品质系数+B*（词条1评分基础值*词条1的roll值百分比+词条2评分基础值*词条2的roll值百分比+词条3评分基础值*词条3的roll值百分比+词条4评分基础值*词条4的roll值百分比)</t>
  </si>
  <si>
    <t>宝石三合一同时每次消耗金币</t>
  </si>
  <si>
    <t>无</t>
  </si>
  <si>
    <t>攻击加成</t>
  </si>
  <si>
    <t>合成消耗金币数量</t>
  </si>
  <si>
    <t>宝石部分</t>
  </si>
  <si>
    <t>8级以及之后的数值暂未投放</t>
  </si>
  <si>
    <t>宝石颜色</t>
  </si>
  <si>
    <t>属性</t>
  </si>
  <si>
    <t>盔甲</t>
  </si>
  <si>
    <t>防御力</t>
  </si>
  <si>
    <t>防御加成</t>
  </si>
  <si>
    <t>生命加成</t>
  </si>
  <si>
    <t>副词条部分</t>
  </si>
  <si>
    <t>效果</t>
  </si>
  <si>
    <t>数值上限</t>
  </si>
  <si>
    <t>数值下限</t>
  </si>
  <si>
    <t>最小单位</t>
  </si>
  <si>
    <t>评分基础值</t>
  </si>
  <si>
    <t>攻击击击力</t>
  </si>
  <si>
    <t>装备名称</t>
  </si>
  <si>
    <t>buffid</t>
  </si>
  <si>
    <t>额外固定副属性</t>
  </si>
  <si>
    <t>额外固定副属性值</t>
  </si>
  <si>
    <t>原始</t>
  </si>
  <si>
    <t>最终</t>
  </si>
  <si>
    <t>名称</t>
  </si>
  <si>
    <t>主属性1系数</t>
  </si>
  <si>
    <t>主属性2系数</t>
  </si>
  <si>
    <t>初级喷射器</t>
  </si>
  <si>
    <t>Blue</t>
  </si>
  <si>
    <t>中级喷射器</t>
  </si>
  <si>
    <t>Purple</t>
  </si>
  <si>
    <t>高级喷射器</t>
  </si>
  <si>
    <t>Orange</t>
  </si>
  <si>
    <t>初级逆变器</t>
  </si>
  <si>
    <t>中级逆变器</t>
  </si>
  <si>
    <t>高级逆变器</t>
  </si>
  <si>
    <t>初级切割器</t>
  </si>
  <si>
    <t>穿透伤害加成</t>
  </si>
  <si>
    <t>中级切割器</t>
  </si>
  <si>
    <t>高级切割器</t>
  </si>
  <si>
    <t>初级旋转机枪</t>
  </si>
  <si>
    <t>中级旋转机枪</t>
  </si>
  <si>
    <t>高级旋转机枪</t>
  </si>
  <si>
    <t>初级聚变融炮</t>
  </si>
  <si>
    <t>中级聚变融炮</t>
  </si>
  <si>
    <t>高级聚变融炮</t>
  </si>
  <si>
    <t>初级脉冲手炮</t>
  </si>
  <si>
    <t>中级脉冲手炮</t>
  </si>
  <si>
    <t>高级脉冲手炮</t>
  </si>
  <si>
    <t>初级圣光调和杖</t>
  </si>
  <si>
    <t>中级圣光调和杖</t>
  </si>
  <si>
    <t>高级圣光调和杖</t>
  </si>
  <si>
    <t>初级灾厄权杖</t>
  </si>
  <si>
    <t>持续伤害加成</t>
  </si>
  <si>
    <t>中级灾厄权杖</t>
  </si>
  <si>
    <t>高级灾厄权杖</t>
  </si>
  <si>
    <t>初级虚空法杖</t>
  </si>
  <si>
    <t>无视防御</t>
  </si>
  <si>
    <t>中级虚空法杖</t>
  </si>
  <si>
    <t>高级虚空法杖</t>
  </si>
  <si>
    <t>初级隔热头盔</t>
  </si>
  <si>
    <t>物理伤害减免</t>
  </si>
  <si>
    <t>中级隔热头盔</t>
  </si>
  <si>
    <t>高级隔热头盔</t>
  </si>
  <si>
    <t>初级聚合盔</t>
  </si>
  <si>
    <t>伤害减免</t>
  </si>
  <si>
    <t>中级聚合盔</t>
  </si>
  <si>
    <t>高级聚合盔</t>
  </si>
  <si>
    <t>初级共生头铠</t>
  </si>
  <si>
    <t>受到治疗效果</t>
  </si>
  <si>
    <t>中级共生头铠</t>
  </si>
  <si>
    <t>高级共生头铠</t>
  </si>
  <si>
    <t>初级链接盔</t>
  </si>
  <si>
    <t>中级链接盔</t>
  </si>
  <si>
    <t>高级链接盔</t>
  </si>
  <si>
    <t>初级修士法帽</t>
  </si>
  <si>
    <t>魔法伤害减免</t>
  </si>
  <si>
    <t>中级修士法帽</t>
  </si>
  <si>
    <t>高级修士法帽</t>
  </si>
  <si>
    <t>初级祷言法帽</t>
  </si>
  <si>
    <t>中级祷言法帽</t>
  </si>
  <si>
    <t>高级祷言法帽</t>
  </si>
  <si>
    <t>初级动力装甲</t>
  </si>
  <si>
    <t>中级动力装甲</t>
  </si>
  <si>
    <t>高级动力装甲</t>
  </si>
  <si>
    <t>初级纳米外骨骼</t>
  </si>
  <si>
    <t>中级纳米外骨骼</t>
  </si>
  <si>
    <t>高级纳米外骨骼</t>
  </si>
  <si>
    <t>初级突击生化服</t>
  </si>
  <si>
    <t>中级突击生化服</t>
  </si>
  <si>
    <t>高级突击生化服</t>
  </si>
  <si>
    <t>初级动力盔甲</t>
  </si>
  <si>
    <t>中级动力盔甲</t>
  </si>
  <si>
    <t>高级动力盔甲</t>
  </si>
  <si>
    <t>初级苍龙法袍</t>
  </si>
  <si>
    <t>中级苍龙法袍</t>
  </si>
  <si>
    <t>高级苍龙法袍</t>
  </si>
  <si>
    <t>初级暗影法袍</t>
  </si>
  <si>
    <t>中级暗影法袍</t>
  </si>
  <si>
    <t>高级暗影法袍</t>
  </si>
  <si>
    <t>初级操控护手</t>
  </si>
  <si>
    <t>中级操控护手</t>
  </si>
  <si>
    <t>高级操控护手</t>
  </si>
  <si>
    <t>初级织网手甲</t>
  </si>
  <si>
    <t>中级织网手甲</t>
  </si>
  <si>
    <t>高级织网手甲</t>
  </si>
  <si>
    <t>初级晶钛义体</t>
  </si>
  <si>
    <t>中级晶钛义体</t>
  </si>
  <si>
    <t>高级晶钛义体</t>
  </si>
  <si>
    <t>初级力场手甲</t>
  </si>
  <si>
    <t>中级力场手甲</t>
  </si>
  <si>
    <t>高级力场手甲</t>
  </si>
  <si>
    <t>初级圣祷言手套</t>
  </si>
  <si>
    <t>中级圣祷言手套</t>
  </si>
  <si>
    <t>高级圣祷言手套</t>
  </si>
  <si>
    <t>初级秘银护手</t>
  </si>
  <si>
    <t>中级秘银护手</t>
  </si>
  <si>
    <t>高级秘银护手</t>
  </si>
  <si>
    <t>初级弹药带</t>
  </si>
  <si>
    <t>中级弹药带</t>
  </si>
  <si>
    <t>高级弹药带</t>
  </si>
  <si>
    <t>初级旅行腰带</t>
  </si>
  <si>
    <t>中级旅行腰带</t>
  </si>
  <si>
    <t>高级旅行腰带</t>
  </si>
  <si>
    <t>初级监测带</t>
  </si>
  <si>
    <t>中级监测带</t>
  </si>
  <si>
    <t>高级监测带</t>
  </si>
  <si>
    <t>初级调节带</t>
  </si>
  <si>
    <t>中级调节带</t>
  </si>
  <si>
    <t>高级调节带</t>
  </si>
  <si>
    <t>初级增幅带</t>
  </si>
  <si>
    <t>中级增幅带</t>
  </si>
  <si>
    <t>高级增幅带</t>
  </si>
  <si>
    <t>初级流火之心</t>
  </si>
  <si>
    <t>中级流火之心</t>
  </si>
  <si>
    <t>高级流火之心</t>
  </si>
  <si>
    <t>初级潜行军靴</t>
  </si>
  <si>
    <t>中级潜行军靴</t>
  </si>
  <si>
    <t>高级潜行军靴</t>
  </si>
  <si>
    <t>初级匿踪之靴</t>
  </si>
  <si>
    <t>中级匿踪之靴</t>
  </si>
  <si>
    <t>高级匿踪之靴</t>
  </si>
  <si>
    <t>初级外骨骼力靴</t>
  </si>
  <si>
    <t>中级外骨骼力靴</t>
  </si>
  <si>
    <t>高级外骨骼力靴</t>
  </si>
  <si>
    <t>初级漫游者</t>
  </si>
  <si>
    <t>中级漫游者</t>
  </si>
  <si>
    <t>高级漫游者</t>
  </si>
  <si>
    <t>初级感知靴</t>
  </si>
  <si>
    <t>中级感知靴</t>
  </si>
  <si>
    <t>高级感知靴</t>
  </si>
  <si>
    <t>初级跃迁靴</t>
  </si>
  <si>
    <t>伤害增加</t>
  </si>
  <si>
    <t>中级跃迁靴</t>
  </si>
  <si>
    <t>高级跃迁靴</t>
  </si>
  <si>
    <t>初级飞行器</t>
  </si>
  <si>
    <t>中级飞行器</t>
  </si>
  <si>
    <t>高级飞行器</t>
  </si>
  <si>
    <t>初级探测器</t>
  </si>
  <si>
    <t>中级探测器</t>
  </si>
  <si>
    <t>高级探测器</t>
  </si>
  <si>
    <t>初级浮游单元</t>
  </si>
  <si>
    <t>范围伤害加成</t>
  </si>
  <si>
    <t>中级浮游单元</t>
  </si>
  <si>
    <t>高级浮游单元</t>
  </si>
  <si>
    <t>初级漂浮灵匣</t>
  </si>
  <si>
    <t>中级漂浮灵匣</t>
  </si>
  <si>
    <t>高级漂浮灵匣</t>
  </si>
  <si>
    <t>初级干扰仪</t>
  </si>
  <si>
    <t>中级干扰仪</t>
  </si>
  <si>
    <t>高级干扰仪</t>
  </si>
  <si>
    <t>初级蜂群无人机</t>
  </si>
  <si>
    <t>中级蜂群无人机</t>
  </si>
  <si>
    <t>高级蜂群无人机</t>
  </si>
  <si>
    <t>初级校准指环</t>
  </si>
  <si>
    <t>中级校准指环</t>
  </si>
  <si>
    <t>高级校准指环</t>
  </si>
  <si>
    <t>初级干扰手环</t>
  </si>
  <si>
    <t>中级干扰手环</t>
  </si>
  <si>
    <t>高级干扰手环</t>
  </si>
  <si>
    <t>初级圣痕魔导链</t>
  </si>
  <si>
    <t>中级圣痕魔导链</t>
  </si>
  <si>
    <t>高级圣痕魔导链</t>
  </si>
  <si>
    <t>初级神经戒指</t>
  </si>
  <si>
    <t>中级神经戒指</t>
  </si>
  <si>
    <t>高级神经戒指</t>
  </si>
  <si>
    <t>初级感知环</t>
  </si>
  <si>
    <t>中级感知环</t>
  </si>
  <si>
    <t>高级感知环</t>
  </si>
  <si>
    <t>初级契约指环</t>
  </si>
  <si>
    <t>中级契约指环</t>
  </si>
  <si>
    <t>高级契约指环</t>
  </si>
  <si>
    <t>暗物质时空炮</t>
  </si>
  <si>
    <t>Red</t>
  </si>
  <si>
    <t>轨道跃迁炮</t>
  </si>
  <si>
    <t>虚空裂隙激射炮</t>
  </si>
  <si>
    <t>零号脉冲枪</t>
  </si>
  <si>
    <t>天机动能枪</t>
  </si>
  <si>
    <t>不朽骸枪</t>
  </si>
  <si>
    <t>时痕圣音法杖</t>
  </si>
  <si>
    <t>永夜残响权杖</t>
  </si>
  <si>
    <t>悼亡者咒缚杖</t>
  </si>
  <si>
    <t>活体交感护盔</t>
  </si>
  <si>
    <t>同感幻觉终端</t>
  </si>
  <si>
    <t>末日支配帽</t>
  </si>
  <si>
    <t>灵能使徒法帽</t>
  </si>
  <si>
    <t>液态聚合盔甲</t>
  </si>
  <si>
    <t>重型殖装战甲</t>
  </si>
  <si>
    <t>英灵不朽战铠</t>
  </si>
  <si>
    <t>天罚灼痕法袍</t>
  </si>
  <si>
    <t>神经蔓生手甲</t>
  </si>
  <si>
    <t>微仿生晶体手甲</t>
  </si>
  <si>
    <t>混沌核心护手</t>
  </si>
  <si>
    <t>秘银神恩护手</t>
  </si>
  <si>
    <t>感官同步腰带</t>
  </si>
  <si>
    <t>生命序列腰带</t>
  </si>
  <si>
    <t>亡骸星链</t>
  </si>
  <si>
    <t>缚神锁链</t>
  </si>
  <si>
    <t>EMP脉冲战靴</t>
  </si>
  <si>
    <t>雷霆涡流战靴</t>
  </si>
  <si>
    <t>源晶悬行靴</t>
  </si>
  <si>
    <t>遗忘祷言靴</t>
  </si>
  <si>
    <t>虚空稳定锚</t>
  </si>
  <si>
    <t>图灵原型机</t>
  </si>
  <si>
    <t>光环阵列</t>
  </si>
  <si>
    <t>全知之眼</t>
  </si>
  <si>
    <t>记忆终端指环</t>
  </si>
  <si>
    <t>影像强化手环</t>
  </si>
  <si>
    <t>白银赞美诗</t>
  </si>
  <si>
    <t>不灭辉光坠</t>
  </si>
  <si>
    <t>PhysicsAttack</t>
  </si>
  <si>
    <t>MagicAttack</t>
  </si>
  <si>
    <t>Hp</t>
  </si>
  <si>
    <t>Armor</t>
  </si>
  <si>
    <t>PhysicsAttackBonus</t>
  </si>
  <si>
    <t>ArmorBonus</t>
  </si>
  <si>
    <t>MagicAttackBonus</t>
  </si>
  <si>
    <t>HpBonus</t>
  </si>
  <si>
    <t>CoolDownReduceLevel</t>
  </si>
  <si>
    <t>EnergyPreAddBonusLevel</t>
  </si>
  <si>
    <t>CritLevel</t>
  </si>
  <si>
    <t>CritDmgBonusLevel</t>
  </si>
  <si>
    <t>,</t>
  </si>
  <si>
    <t>;</t>
  </si>
  <si>
    <t>旅券属性</t>
  </si>
  <si>
    <t>映射装备主属性</t>
  </si>
  <si>
    <t>映射装备副属性</t>
  </si>
  <si>
    <t>红色</t>
  </si>
  <si>
    <t>防御力加成</t>
  </si>
  <si>
    <t>单体伤害加成</t>
  </si>
  <si>
    <t>能量回复速度</t>
  </si>
  <si>
    <t>PhysicsDmgBonus</t>
  </si>
  <si>
    <t>MagicDmgBonus</t>
  </si>
  <si>
    <t>金色</t>
  </si>
  <si>
    <t>冷却等级缩减</t>
  </si>
  <si>
    <t>紫色</t>
  </si>
  <si>
    <t>蓝色</t>
  </si>
  <si>
    <t>技能ID</t>
  </si>
  <si>
    <t>红色装备名称</t>
  </si>
  <si>
    <t>额外词条效果</t>
  </si>
  <si>
    <t>副属性1</t>
  </si>
  <si>
    <t>副属性2</t>
  </si>
  <si>
    <t>副属性3</t>
  </si>
  <si>
    <t>副属性4</t>
  </si>
  <si>
    <t>SEPart_Weapon</t>
  </si>
  <si>
    <t>范围伤害提高8%。</t>
  </si>
  <si>
    <t>,100;</t>
  </si>
  <si>
    <t>,100</t>
  </si>
  <si>
    <t>切换目标后，前4次单体伤害提高8%。</t>
  </si>
  <si>
    <t>穿透伤害提高8%。</t>
  </si>
  <si>
    <t>普攻伤害提高8%。</t>
  </si>
  <si>
    <t>对首领造成的物理伤害提高8%。</t>
  </si>
  <si>
    <t>攻击40%生命以下目标时，物理伤害提高10%。</t>
  </si>
  <si>
    <t>技能造成的魔法伤害提高12%。</t>
  </si>
  <si>
    <t>必杀造成的魔法伤害提高10%。</t>
  </si>
  <si>
    <t>攻击40%生命以下目标时，魔法伤害提高10%。</t>
  </si>
  <si>
    <t>SEPart_Head</t>
  </si>
  <si>
    <t>获得护盾后，首次受范围伤害降低10%。</t>
  </si>
  <si>
    <t>开场时获得5%最大生命值的护盾</t>
  </si>
  <si>
    <t>技能冷却缩减提升10%</t>
  </si>
  <si>
    <t>6秒未受击时，下次魔法伤害提高10%。</t>
  </si>
  <si>
    <t>SEPart_Armour</t>
  </si>
  <si>
    <t>溢出治疗的20%转为护盾，上限5%生命。</t>
  </si>
  <si>
    <t>受到的物理伤害降低5%</t>
  </si>
  <si>
    <t>受到的魔法伤害降低5%</t>
  </si>
  <si>
    <t>释放技能后，1秒内受到的伤害降低20%。</t>
  </si>
  <si>
    <t>SEPart_Glove</t>
  </si>
  <si>
    <t>普攻命中时，下次技能伤害提高1%，最多8%。</t>
  </si>
  <si>
    <t>技能命中后，下4次普攻伤害提高6%。</t>
  </si>
  <si>
    <t>不同来源连续造成伤害时，后一次伤害提高6%。</t>
  </si>
  <si>
    <t>受治疗或获护盾后，下次技能冷却减少0.4秒。</t>
  </si>
  <si>
    <t>SEPart_Belt</t>
  </si>
  <si>
    <t>击败敌人时，最低能量角色回复2点能量，2秒冷却。</t>
  </si>
  <si>
    <t>生命低于50%时，受治疗提高25%。</t>
  </si>
  <si>
    <t>攻击40%生命以下目标时，无视10%防御。</t>
  </si>
  <si>
    <t>对首领释放必杀后，其下次受到技能伤害提高12%。</t>
  </si>
  <si>
    <t>SEPart_Shoe</t>
  </si>
  <si>
    <t>移动120米后，下次技能打断小怪，并使其受伤提高6%，持续2秒。</t>
  </si>
  <si>
    <t>释放必杀后，攻击速度提高10%</t>
  </si>
  <si>
    <t>每10次普攻命中额外回复1点能量</t>
  </si>
  <si>
    <t>释放必杀后，2秒内普攻命中每秒回复1点能量。</t>
  </si>
  <si>
    <t>SEPart_Device</t>
  </si>
  <si>
    <t>持续攻击首领3秒后，其对全队伤害降低5%，持续3秒。</t>
  </si>
  <si>
    <t>能量低于50时，技能命中回复1点能量，3秒冷却。</t>
  </si>
  <si>
    <t>技能伤害提高15%。</t>
  </si>
  <si>
    <t>首次必杀伤害提高30%。</t>
  </si>
  <si>
    <t>SEPart_Decoration</t>
  </si>
  <si>
    <t>释放必杀后返还5点能量。</t>
  </si>
  <si>
    <t>攻击3秒内被技能命中的目标时，普攻伤害提高8%。</t>
  </si>
  <si>
    <t>受治疗或获护盾后，3秒内造成伤害提高5%。</t>
  </si>
  <si>
    <t>生命首次低于30%时，回复4%生命，并在4秒内受治疗提高20%。</t>
  </si>
  <si>
    <t>职业</t>
  </si>
  <si>
    <t>属性总和</t>
  </si>
  <si>
    <t>坦克（输出）</t>
  </si>
  <si>
    <t>坦克（生命）</t>
  </si>
  <si>
    <t>坦克（防御）</t>
  </si>
  <si>
    <t>输出（射手）</t>
  </si>
  <si>
    <t>输出（战士）</t>
  </si>
  <si>
    <t>输出（法师）</t>
  </si>
  <si>
    <t>辅助（均衡）</t>
  </si>
  <si>
    <t>辅助（攻击）</t>
  </si>
  <si>
    <t>辅助（生命）</t>
  </si>
  <si>
    <t>伤害类型</t>
  </si>
  <si>
    <t>品质属性比</t>
  </si>
  <si>
    <t>攻击比</t>
  </si>
  <si>
    <t>物理</t>
  </si>
  <si>
    <t>魔法</t>
  </si>
  <si>
    <t>混合</t>
  </si>
  <si>
    <t>裸体属性区</t>
  </si>
  <si>
    <t>只影响裸体属性：包括基础、升级、突破、星盘</t>
  </si>
  <si>
    <t>（用于微调角色的基础属性）</t>
  </si>
  <si>
    <t>角色升级区</t>
  </si>
  <si>
    <t>角色星盘区</t>
  </si>
  <si>
    <t>单次星盘养成提供的属性</t>
  </si>
  <si>
    <t>角色专武系数</t>
  </si>
  <si>
    <t>角色专武</t>
  </si>
  <si>
    <t>武将名称</t>
  </si>
  <si>
    <t>武将职业</t>
  </si>
  <si>
    <t>职业生命比</t>
  </si>
  <si>
    <t>职业攻击比</t>
  </si>
  <si>
    <t>职业防御比</t>
  </si>
  <si>
    <t>调整生命比</t>
  </si>
  <si>
    <t>调整攻击比</t>
  </si>
  <si>
    <t>调整防御比</t>
  </si>
  <si>
    <t>调整比总和</t>
  </si>
  <si>
    <t>最终生命比</t>
  </si>
  <si>
    <t>最终攻击比</t>
  </si>
  <si>
    <t>最终防御比</t>
  </si>
  <si>
    <t>基础生命值</t>
  </si>
  <si>
    <t>成长生命值</t>
  </si>
  <si>
    <t>基础攻击</t>
  </si>
  <si>
    <t>成长攻击</t>
  </si>
  <si>
    <t>基础防御</t>
  </si>
  <si>
    <t>成长防御</t>
  </si>
  <si>
    <t>生命值</t>
  </si>
  <si>
    <t>二级属性1</t>
  </si>
  <si>
    <t>二级属性2</t>
  </si>
  <si>
    <t>二级属性3</t>
  </si>
  <si>
    <t>专武生命比</t>
  </si>
  <si>
    <t>专武攻击比</t>
  </si>
  <si>
    <t>专武防御比</t>
  </si>
  <si>
    <t>品质系数</t>
  </si>
  <si>
    <t>专武最终生命比</t>
  </si>
  <si>
    <t>专武最终攻击比</t>
  </si>
  <si>
    <t>专武最终防御比</t>
  </si>
  <si>
    <t>专武二级属性</t>
  </si>
  <si>
    <t>角色升星属性1</t>
  </si>
  <si>
    <t>角色升星属性2</t>
  </si>
  <si>
    <t>生命值百分比</t>
  </si>
  <si>
    <t>约瑟夫</t>
  </si>
  <si>
    <t>雷诺</t>
  </si>
  <si>
    <t>瞳</t>
  </si>
  <si>
    <t>美第奇</t>
  </si>
  <si>
    <t>零号</t>
  </si>
  <si>
    <t>主角</t>
  </si>
  <si>
    <t>塞拉菲娜</t>
  </si>
  <si>
    <t>桑塔</t>
  </si>
  <si>
    <t>桑尼</t>
  </si>
  <si>
    <t>梅林</t>
  </si>
  <si>
    <t>德洛丽丝</t>
  </si>
  <si>
    <t>专武专用</t>
  </si>
  <si>
    <t>延爆手环</t>
  </si>
  <si>
    <t>紊乱透镜</t>
  </si>
  <si>
    <t>幸运故障环</t>
  </si>
  <si>
    <t>链式反应器</t>
  </si>
  <si>
    <t>狂欢之杯</t>
  </si>
  <si>
    <t>概率硬币</t>
  </si>
  <si>
    <t>非理性徽章</t>
  </si>
  <si>
    <t>专效适频器</t>
  </si>
  <si>
    <t>应激气泡球</t>
  </si>
  <si>
    <t>节能指环</t>
  </si>
  <si>
    <t>传音海螺</t>
  </si>
  <si>
    <t>百合勋章</t>
  </si>
  <si>
    <t>荒原护目镜</t>
  </si>
  <si>
    <t>能量水晶球</t>
  </si>
  <si>
    <t>魔法故事书</t>
  </si>
  <si>
    <t>防辐射贴纸</t>
  </si>
  <si>
    <t>折射手镜</t>
  </si>
  <si>
    <t>运动腕带</t>
  </si>
  <si>
    <t>流星吊坠</t>
  </si>
  <si>
    <t>随身充电宝</t>
  </si>
  <si>
    <t>事运符</t>
  </si>
  <si>
    <t>棉花拳套</t>
  </si>
  <si>
    <t>旧怀表</t>
  </si>
  <si>
    <t>捕梦网</t>
  </si>
  <si>
    <t>随身凸透镜</t>
  </si>
  <si>
    <t>脆巧能量棒</t>
  </si>
  <si>
    <t>技能效果</t>
  </si>
  <si>
    <t>角色使用持续性必杀时，则在必杀持续期间暴击率提升10%，暴击伤害提升15%</t>
  </si>
  <si>
    <t>攻击时，若目标携带至少2个【异常状态】，则对其造成伤害提升30%</t>
  </si>
  <si>
    <t>每次受击有50%概率减免伤害15%</t>
  </si>
  <si>
    <t>己方全体每释放一次必杀，则己方全体造成伤害提升3%，最多叠加8层</t>
  </si>
  <si>
    <t>角色释放必杀后，己方全体施加的【流血】伤害提高10%，自身施加的【流血】伤害额外提高20%</t>
  </si>
  <si>
    <t>释放必杀技后，有30%的概率使自身所有伤害提高10%。</t>
  </si>
  <si>
    <t>释放必杀技后，增强普攻伤害20%，持续10s。</t>
  </si>
  <si>
    <t>当敌方有dot效果时，自身攻击力提升20%。</t>
  </si>
  <si>
    <t>生命值低于15%时，生成相当于自身生命值30%的护盾。</t>
  </si>
  <si>
    <t>生命值低于30%时，回复25%必杀能量。</t>
  </si>
  <si>
    <t>处于护盾效果下时，受到的伤害降低10%</t>
  </si>
  <si>
    <t>处于护盾效果下时，额外获得10%技能伤害加成。</t>
  </si>
  <si>
    <t>释放必杀时，攻击力提升10%，持续10s。</t>
  </si>
  <si>
    <t>释放必杀后，回复必杀消耗能量的5%</t>
  </si>
  <si>
    <t>必杀技能伤害提升15%</t>
  </si>
  <si>
    <t>普攻伤害提升15%</t>
  </si>
  <si>
    <t>每过5秒，恢复自身3%/5%/6%/7%/9%/10%已损失的生命值。</t>
  </si>
  <si>
    <t>进行治疗时，自身额外获得8%/12%/14%/18%/21%/25%的暴击率。</t>
  </si>
  <si>
    <t>施加的护盾量提升8%/12%/14%/18%/21%/25%。</t>
  </si>
  <si>
    <t>最大生命值提升10%，当自身生命值高于60%时，受到的伤害降低3%/5%/6%/7%/9%/10%。</t>
  </si>
  <si>
    <t>进入战斗后，获得10%技能冷却，技能伤害提高6%/9%/11%/14%/17%/20%。</t>
  </si>
  <si>
    <t>升级</t>
  </si>
  <si>
    <t>星盘</t>
  </si>
  <si>
    <t>星盘点</t>
  </si>
  <si>
    <t>二级属性1-3星</t>
  </si>
  <si>
    <t>二级属性2-5星</t>
  </si>
  <si>
    <t>物理、魔法</t>
  </si>
  <si>
    <t>EnergyPreAddBonus</t>
  </si>
  <si>
    <t>Crit</t>
  </si>
  <si>
    <t>CritDmgBonus</t>
  </si>
  <si>
    <t>Heal</t>
  </si>
  <si>
    <t>效果命中</t>
  </si>
  <si>
    <t>EffectHit</t>
  </si>
  <si>
    <t>效果抵抗</t>
  </si>
  <si>
    <t>EffectResist</t>
  </si>
  <si>
    <t>闪避</t>
  </si>
  <si>
    <t>Miss</t>
  </si>
  <si>
    <t>命中</t>
  </si>
  <si>
    <t>Hit</t>
  </si>
  <si>
    <t>ArmorBreak</t>
  </si>
  <si>
    <t>AttackSpeed</t>
  </si>
  <si>
    <t>伤害加成</t>
  </si>
  <si>
    <t>DmgBonus</t>
  </si>
  <si>
    <t>DmgImmune</t>
  </si>
  <si>
    <t>NormalAttackDmgBonus</t>
  </si>
  <si>
    <t>SkillDmgBonus</t>
  </si>
  <si>
    <t>UltimateDmgBonus</t>
  </si>
  <si>
    <t>单体伤害</t>
  </si>
  <si>
    <t>SingleTargetDmgBonus</t>
  </si>
  <si>
    <t>穿透伤害</t>
  </si>
  <si>
    <t>PenetrationDmgBonus</t>
  </si>
  <si>
    <t>范围伤害</t>
  </si>
  <si>
    <t>AOEDmgBonus</t>
  </si>
  <si>
    <t>持续伤害</t>
  </si>
  <si>
    <t>DurationDmgBonus</t>
  </si>
  <si>
    <t>流血伤害</t>
  </si>
  <si>
    <t>BleedDmgBonus</t>
  </si>
  <si>
    <t>灼烧伤害</t>
  </si>
  <si>
    <t>BurnDmgBonus</t>
  </si>
  <si>
    <t>中毒伤害</t>
  </si>
  <si>
    <t>PoisonDmgBonus</t>
  </si>
  <si>
    <t>Hp,+15%;PhysicsAttack,+15%;MagicAttack,+15%;Armor,+15%</t>
  </si>
  <si>
    <t>Hp,+30%;PhysicsAttack,+30%;Armor,+30%;CritDmgBonusLevel,+33000%</t>
  </si>
  <si>
    <t>升星属性</t>
  </si>
  <si>
    <t>星盘二级属性</t>
  </si>
  <si>
    <t>加成数值</t>
  </si>
  <si>
    <t>系数</t>
  </si>
  <si>
    <t>Hp,+</t>
  </si>
  <si>
    <t>Armor,+</t>
  </si>
  <si>
    <t>,+</t>
  </si>
  <si>
    <t>Id</t>
  </si>
  <si>
    <t>Name</t>
  </si>
  <si>
    <t>Star</t>
  </si>
  <si>
    <t>AscendId</t>
  </si>
  <si>
    <t>Quailty</t>
  </si>
  <si>
    <t>HeroClass</t>
  </si>
  <si>
    <t>RelatedHero</t>
  </si>
  <si>
    <t>Lv</t>
  </si>
  <si>
    <t>HpGrow</t>
  </si>
  <si>
    <t>PhysicsAttackGrow</t>
  </si>
  <si>
    <t>MagicAttackGrow</t>
  </si>
  <si>
    <t>ArmorGrow</t>
  </si>
  <si>
    <t>SkillList</t>
  </si>
  <si>
    <t>AttrNameList</t>
  </si>
  <si>
    <t>WeaponIconSmall</t>
  </si>
  <si>
    <t>辅助列-源行</t>
  </si>
  <si>
    <t>辅助列-中文属性</t>
  </si>
  <si>
    <t>辅助列-配置字段</t>
  </si>
  <si>
    <t>辅助列-值类型</t>
  </si>
  <si>
    <t>辅助列-定价名</t>
  </si>
  <si>
    <t>突破1</t>
  </si>
  <si>
    <t>突破2</t>
  </si>
  <si>
    <t>突破3</t>
  </si>
  <si>
    <t>突破4</t>
  </si>
  <si>
    <t>突破5</t>
  </si>
  <si>
    <t>辅助列-AttrNameList</t>
  </si>
  <si>
    <t>string?</t>
  </si>
  <si>
    <t>int?</t>
  </si>
  <si>
    <t>Quality#default=0</t>
  </si>
  <si>
    <t>Class</t>
  </si>
  <si>
    <t>float64?</t>
  </si>
  <si>
    <t>(array#sep=;),int32</t>
  </si>
  <si>
    <t>(array#sep=;),AttrList</t>
  </si>
  <si>
    <t>初始星级</t>
  </si>
  <si>
    <t>初始突破ID</t>
  </si>
  <si>
    <t>对应角色</t>
  </si>
  <si>
    <t>所属武将</t>
  </si>
  <si>
    <t>初始等级</t>
  </si>
  <si>
    <t>基础生命</t>
  </si>
  <si>
    <t>生命成长系数</t>
  </si>
  <si>
    <t>攻击成长系数</t>
  </si>
  <si>
    <t>防御力成长系数</t>
  </si>
  <si>
    <t>技能（每个星级对应一个技能，星级从1开始</t>
  </si>
  <si>
    <t>对应属性（每次突破对应一个属性，下标从1开始）</t>
  </si>
  <si>
    <t>武将养成界面及通用图标</t>
  </si>
  <si>
    <t>维达尔</t>
  </si>
  <si>
    <t>薇莱特</t>
  </si>
  <si>
    <t>中文属性</t>
  </si>
  <si>
    <t>配置字段</t>
  </si>
  <si>
    <t>值类型</t>
  </si>
  <si>
    <t>定价名</t>
  </si>
  <si>
    <t>percent</t>
  </si>
  <si>
    <t>level</t>
  </si>
  <si>
    <t>BlockLevel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</si>
</sst>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"/>
    <numFmt numFmtId="177" formatCode="0.0%"/>
    <numFmt numFmtId="178" formatCode="0.000%"/>
    <numFmt numFmtId="179" formatCode="0.0000%"/>
    <numFmt numFmtId="180" formatCode="0.00_ "/>
    <numFmt numFmtId="181" formatCode="0_);[Red]\(0\)"/>
    <numFmt numFmtId="182" formatCode="0_ "/>
  </numFmts>
  <fonts count="57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Microsoft YaHei UI"/>
      <charset val="134"/>
    </font>
    <font>
      <sz val="10"/>
      <name val="Noto Sans SC"/>
      <charset val="134"/>
    </font>
    <font>
      <sz val="12"/>
      <name val="Noto Sans SC"/>
      <charset val="134"/>
    </font>
    <font>
      <sz val="10"/>
      <name val="宋体"/>
      <charset val="134"/>
    </font>
    <font>
      <sz val="12"/>
      <name val="微软雅黑"/>
      <charset val="134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Microsoft YaHei"/>
      <charset val="134"/>
    </font>
    <font>
      <b/>
      <sz val="10"/>
      <color rgb="FFFFFFFF"/>
      <name val="Arial"/>
      <charset val="134"/>
    </font>
    <font>
      <sz val="9"/>
      <color rgb="FF666666"/>
      <name val="Arial"/>
      <charset val="134"/>
    </font>
    <font>
      <b/>
      <sz val="10"/>
      <color rgb="FF1F4E79"/>
      <name val="Arial"/>
      <charset val="134"/>
    </font>
    <font>
      <b/>
      <sz val="10"/>
      <color rgb="FF1F4E79"/>
      <name val="宋体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theme="0"/>
      <name val="微软雅黑"/>
      <charset val="134"/>
    </font>
    <font>
      <b/>
      <sz val="11"/>
      <color rgb="FFFF0000"/>
      <name val="微软雅黑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75">
    <fill>
      <patternFill patternType="none"/>
    </fill>
    <fill>
      <patternFill patternType="gray125"/>
    </fill>
    <fill>
      <patternFill patternType="solid">
        <fgColor theme="0" tint="-0.499984740745262"/>
        <bgColor rgb="FF666699"/>
      </patternFill>
    </fill>
    <fill>
      <patternFill patternType="solid">
        <fgColor rgb="FF008000"/>
        <bgColor rgb="FF008080"/>
      </patternFill>
    </fill>
    <fill>
      <patternFill patternType="solid">
        <fgColor rgb="FF808080"/>
        <bgColor rgb="FF969696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0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 tint="0.7999"/>
        <bgColor rgb="FFFFFFFF"/>
      </patternFill>
    </fill>
    <fill>
      <patternFill patternType="solid">
        <fgColor theme="0" tint="-0.35"/>
        <bgColor rgb="FFC0C0C0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7999"/>
        <bgColor rgb="FFC0C0C0"/>
      </patternFill>
    </fill>
    <fill>
      <patternFill patternType="solid">
        <fgColor theme="6" tint="0.79985961485641"/>
        <bgColor indexed="64"/>
      </patternFill>
    </fill>
    <fill>
      <patternFill patternType="solid">
        <fgColor rgb="FFFEFB54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C7E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E8E6E7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0" fillId="45" borderId="22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3" fillId="0" borderId="23">
      <alignment vertical="center"/>
    </xf>
    <xf numFmtId="0" fontId="44" fillId="0" borderId="23">
      <alignment vertical="center"/>
    </xf>
    <xf numFmtId="0" fontId="45" fillId="0" borderId="24">
      <alignment vertical="center"/>
    </xf>
    <xf numFmtId="0" fontId="45" fillId="0" borderId="0">
      <alignment vertical="center"/>
    </xf>
    <xf numFmtId="0" fontId="46" fillId="46" borderId="25">
      <alignment vertical="center"/>
    </xf>
    <xf numFmtId="0" fontId="47" fillId="42" borderId="26">
      <alignment vertical="center"/>
    </xf>
    <xf numFmtId="0" fontId="48" fillId="42" borderId="25">
      <alignment vertical="center"/>
    </xf>
    <xf numFmtId="0" fontId="49" fillId="47" borderId="27">
      <alignment vertical="center"/>
    </xf>
    <xf numFmtId="0" fontId="50" fillId="0" borderId="28">
      <alignment vertical="center"/>
    </xf>
    <xf numFmtId="0" fontId="51" fillId="0" borderId="29">
      <alignment vertical="center"/>
    </xf>
    <xf numFmtId="0" fontId="52" fillId="48" borderId="0">
      <alignment vertical="center"/>
    </xf>
    <xf numFmtId="0" fontId="53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6" fillId="52" borderId="0">
      <alignment vertical="center"/>
    </xf>
    <xf numFmtId="0" fontId="56" fillId="53" borderId="0">
      <alignment vertical="center"/>
    </xf>
    <xf numFmtId="0" fontId="55" fillId="54" borderId="0">
      <alignment vertical="center"/>
    </xf>
    <xf numFmtId="0" fontId="55" fillId="55" borderId="0">
      <alignment vertical="center"/>
    </xf>
    <xf numFmtId="0" fontId="56" fillId="56" borderId="0">
      <alignment vertical="center"/>
    </xf>
    <xf numFmtId="0" fontId="56" fillId="57" borderId="0">
      <alignment vertical="center"/>
    </xf>
    <xf numFmtId="0" fontId="55" fillId="58" borderId="0">
      <alignment vertical="center"/>
    </xf>
    <xf numFmtId="0" fontId="55" fillId="59" borderId="0">
      <alignment vertical="center"/>
    </xf>
    <xf numFmtId="0" fontId="56" fillId="60" borderId="0">
      <alignment vertical="center"/>
    </xf>
    <xf numFmtId="0" fontId="56" fillId="61" borderId="0">
      <alignment vertical="center"/>
    </xf>
    <xf numFmtId="0" fontId="55" fillId="62" borderId="0">
      <alignment vertical="center"/>
    </xf>
    <xf numFmtId="0" fontId="55" fillId="63" borderId="0">
      <alignment vertical="center"/>
    </xf>
    <xf numFmtId="0" fontId="56" fillId="64" borderId="0">
      <alignment vertical="center"/>
    </xf>
    <xf numFmtId="0" fontId="56" fillId="65" borderId="0">
      <alignment vertical="center"/>
    </xf>
    <xf numFmtId="0" fontId="55" fillId="66" borderId="0">
      <alignment vertical="center"/>
    </xf>
    <xf numFmtId="0" fontId="55" fillId="67" borderId="0">
      <alignment vertical="center"/>
    </xf>
    <xf numFmtId="0" fontId="56" fillId="68" borderId="0">
      <alignment vertical="center"/>
    </xf>
    <xf numFmtId="0" fontId="56" fillId="69" borderId="0">
      <alignment vertical="center"/>
    </xf>
    <xf numFmtId="0" fontId="55" fillId="70" borderId="0">
      <alignment vertical="center"/>
    </xf>
    <xf numFmtId="0" fontId="55" fillId="71" borderId="0">
      <alignment vertical="center"/>
    </xf>
    <xf numFmtId="0" fontId="56" fillId="72" borderId="0">
      <alignment vertical="center"/>
    </xf>
    <xf numFmtId="0" fontId="56" fillId="73" borderId="0">
      <alignment vertical="center"/>
    </xf>
    <xf numFmtId="0" fontId="55" fillId="74" borderId="0">
      <alignment vertical="center"/>
    </xf>
  </cellStyleXfs>
  <cellXfs count="19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176" fontId="0" fillId="5" borderId="0" xfId="0" applyNumberFormat="1" applyFill="1" applyAlignment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9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0" fillId="7" borderId="0" xfId="0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8" borderId="0" xfId="0" applyFont="1" applyFill="1" applyAlignment="1">
      <alignment vertical="center"/>
    </xf>
    <xf numFmtId="0" fontId="13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0" fontId="11" fillId="10" borderId="0" xfId="3" applyNumberFormat="1" applyFont="1" applyFill="1" applyAlignment="1">
      <alignment horizontal="center" vertical="center"/>
    </xf>
    <xf numFmtId="9" fontId="11" fillId="0" borderId="0" xfId="3" applyFont="1" applyAlignment="1">
      <alignment vertical="center"/>
    </xf>
    <xf numFmtId="0" fontId="1" fillId="11" borderId="2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11" borderId="4" xfId="0" applyFont="1" applyFill="1" applyBorder="1" applyAlignment="1"/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1" fillId="10" borderId="0" xfId="3" applyNumberFormat="1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3" fillId="9" borderId="0" xfId="0" applyFont="1" applyFill="1" applyAlignment="1">
      <alignment vertical="center"/>
    </xf>
    <xf numFmtId="0" fontId="11" fillId="10" borderId="0" xfId="0" applyFont="1" applyFill="1" applyAlignment="1">
      <alignment horizontal="center" vertical="center"/>
    </xf>
    <xf numFmtId="0" fontId="15" fillId="21" borderId="5" xfId="0" applyFont="1" applyFill="1" applyBorder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15" fillId="22" borderId="5" xfId="0" applyFont="1" applyFill="1" applyBorder="1" applyAlignment="1">
      <alignment horizontal="center" vertical="center"/>
    </xf>
    <xf numFmtId="0" fontId="15" fillId="23" borderId="5" xfId="0" applyFont="1" applyFill="1" applyBorder="1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0" fontId="11" fillId="2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0" fillId="25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8" fillId="26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8" fillId="27" borderId="0" xfId="0" applyFont="1" applyFill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9" fillId="6" borderId="3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8" borderId="0" xfId="0" applyFill="1" applyAlignment="1">
      <alignment vertical="center"/>
    </xf>
    <xf numFmtId="0" fontId="1" fillId="28" borderId="0" xfId="0" applyFont="1" applyFill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29" borderId="0" xfId="0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21" fillId="11" borderId="1" xfId="0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6" fillId="0" borderId="7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11" fillId="26" borderId="0" xfId="0" applyFont="1" applyFill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32" borderId="0" xfId="0" applyFont="1" applyFill="1" applyAlignment="1">
      <alignment horizontal="center" vertical="center"/>
    </xf>
    <xf numFmtId="10" fontId="11" fillId="0" borderId="0" xfId="3" applyNumberFormat="1" applyFont="1" applyAlignment="1">
      <alignment horizontal="center" vertical="center"/>
    </xf>
    <xf numFmtId="9" fontId="11" fillId="31" borderId="0" xfId="0" applyNumberFormat="1" applyFont="1" applyFill="1" applyAlignment="1">
      <alignment horizontal="center" vertical="center"/>
    </xf>
    <xf numFmtId="10" fontId="11" fillId="31" borderId="0" xfId="0" applyNumberFormat="1" applyFont="1" applyFill="1" applyAlignment="1">
      <alignment horizontal="center" vertical="center"/>
    </xf>
    <xf numFmtId="10" fontId="11" fillId="11" borderId="0" xfId="3" applyNumberFormat="1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9" fontId="11" fillId="0" borderId="0" xfId="0" applyNumberFormat="1" applyFont="1" applyAlignment="1">
      <alignment horizontal="center" vertical="center"/>
    </xf>
    <xf numFmtId="0" fontId="23" fillId="8" borderId="0" xfId="0" applyFont="1" applyFill="1" applyAlignment="1">
      <alignment vertical="center"/>
    </xf>
    <xf numFmtId="9" fontId="11" fillId="10" borderId="0" xfId="0" applyNumberFormat="1" applyFont="1" applyFill="1" applyAlignment="1">
      <alignment vertical="center"/>
    </xf>
    <xf numFmtId="0" fontId="19" fillId="33" borderId="5" xfId="0" applyFont="1" applyFill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vertical="center"/>
    </xf>
    <xf numFmtId="0" fontId="19" fillId="34" borderId="5" xfId="0" applyFont="1" applyFill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0" fillId="0" borderId="9" xfId="0" applyBorder="1" applyAlignment="1"/>
    <xf numFmtId="0" fontId="15" fillId="0" borderId="1" xfId="0" applyFont="1" applyBorder="1" applyAlignment="1">
      <alignment horizontal="center" vertical="center"/>
    </xf>
    <xf numFmtId="0" fontId="0" fillId="0" borderId="12" xfId="0" applyBorder="1" applyAlignment="1"/>
    <xf numFmtId="0" fontId="19" fillId="0" borderId="5" xfId="0" applyFont="1" applyBorder="1" applyAlignment="1">
      <alignment horizontal="center" vertical="center"/>
    </xf>
    <xf numFmtId="0" fontId="12" fillId="11" borderId="0" xfId="0" applyFont="1" applyFill="1" applyAlignment="1">
      <alignment vertical="center"/>
    </xf>
    <xf numFmtId="0" fontId="15" fillId="34" borderId="5" xfId="0" applyFont="1" applyFill="1" applyBorder="1" applyAlignment="1">
      <alignment horizontal="left" vertical="center"/>
    </xf>
    <xf numFmtId="0" fontId="11" fillId="0" borderId="0" xfId="3" applyNumberFormat="1" applyFont="1" applyAlignment="1">
      <alignment horizontal="center" vertical="center"/>
    </xf>
    <xf numFmtId="10" fontId="0" fillId="0" borderId="0" xfId="3" applyNumberFormat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177" fontId="11" fillId="0" borderId="0" xfId="3" applyNumberFormat="1" applyFont="1" applyAlignment="1">
      <alignment vertical="center"/>
    </xf>
    <xf numFmtId="178" fontId="11" fillId="11" borderId="0" xfId="3" applyNumberFormat="1" applyFont="1" applyFill="1" applyAlignment="1">
      <alignment vertical="center"/>
    </xf>
    <xf numFmtId="0" fontId="15" fillId="35" borderId="5" xfId="0" applyFont="1" applyFill="1" applyBorder="1" applyAlignment="1">
      <alignment horizontal="center" vertical="center"/>
    </xf>
    <xf numFmtId="10" fontId="11" fillId="0" borderId="0" xfId="3" applyNumberFormat="1" applyFont="1" applyAlignment="1">
      <alignment vertical="center"/>
    </xf>
    <xf numFmtId="179" fontId="11" fillId="0" borderId="0" xfId="3" applyNumberFormat="1" applyFont="1" applyAlignment="1">
      <alignment vertical="center"/>
    </xf>
    <xf numFmtId="180" fontId="11" fillId="0" borderId="0" xfId="3" applyNumberFormat="1" applyFont="1" applyAlignment="1">
      <alignment vertical="center"/>
    </xf>
    <xf numFmtId="9" fontId="11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181" fontId="11" fillId="0" borderId="0" xfId="0" applyNumberFormat="1" applyFont="1" applyAlignment="1">
      <alignment vertical="center"/>
    </xf>
    <xf numFmtId="181" fontId="23" fillId="0" borderId="0" xfId="0" applyNumberFormat="1" applyFont="1" applyAlignment="1">
      <alignment vertical="center"/>
    </xf>
    <xf numFmtId="182" fontId="11" fillId="0" borderId="0" xfId="3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81" fontId="11" fillId="0" borderId="0" xfId="3" applyNumberFormat="1" applyFont="1" applyAlignment="1">
      <alignment vertical="center"/>
    </xf>
    <xf numFmtId="0" fontId="12" fillId="0" borderId="5" xfId="0" applyFont="1" applyBorder="1" applyAlignment="1">
      <alignment horizontal="left" vertical="center"/>
    </xf>
    <xf numFmtId="9" fontId="11" fillId="10" borderId="0" xfId="3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36" borderId="13" xfId="0" applyFont="1" applyFill="1" applyBorder="1" applyAlignment="1">
      <alignment horizontal="center" vertical="center"/>
    </xf>
    <xf numFmtId="0" fontId="27" fillId="37" borderId="13" xfId="0" applyFont="1" applyFill="1" applyBorder="1" applyAlignment="1">
      <alignment horizontal="center" vertical="center"/>
    </xf>
    <xf numFmtId="0" fontId="28" fillId="38" borderId="13" xfId="0" applyFont="1" applyFill="1" applyBorder="1" applyAlignment="1">
      <alignment horizontal="center" vertical="center"/>
    </xf>
    <xf numFmtId="0" fontId="29" fillId="38" borderId="13" xfId="0" applyFont="1" applyFill="1" applyBorder="1" applyAlignment="1">
      <alignment horizontal="center" vertical="center"/>
    </xf>
    <xf numFmtId="0" fontId="30" fillId="39" borderId="13" xfId="0" applyFont="1" applyFill="1" applyBorder="1" applyAlignment="1">
      <alignment vertical="center"/>
    </xf>
    <xf numFmtId="0" fontId="31" fillId="39" borderId="13" xfId="0" applyFont="1" applyFill="1" applyBorder="1" applyAlignment="1">
      <alignment vertical="center"/>
    </xf>
    <xf numFmtId="0" fontId="16" fillId="11" borderId="14" xfId="0" applyFont="1" applyFill="1" applyBorder="1" applyAlignment="1">
      <alignment horizontal="center" vertical="center" wrapText="1"/>
    </xf>
    <xf numFmtId="0" fontId="19" fillId="11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32" fillId="0" borderId="5" xfId="0" applyFont="1" applyBorder="1" applyAlignment="1">
      <alignment vertical="center"/>
    </xf>
    <xf numFmtId="177" fontId="11" fillId="0" borderId="0" xfId="0" applyNumberFormat="1" applyFont="1" applyAlignment="1">
      <alignment vertical="center"/>
    </xf>
    <xf numFmtId="0" fontId="33" fillId="0" borderId="5" xfId="0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2" fontId="11" fillId="0" borderId="0" xfId="0" applyNumberFormat="1" applyFont="1" applyAlignment="1">
      <alignment vertical="center"/>
    </xf>
    <xf numFmtId="178" fontId="11" fillId="0" borderId="0" xfId="3" applyNumberFormat="1" applyFont="1" applyAlignment="1">
      <alignment vertical="center"/>
    </xf>
    <xf numFmtId="0" fontId="11" fillId="40" borderId="0" xfId="0" applyFont="1" applyFill="1" applyAlignment="1">
      <alignment vertical="center"/>
    </xf>
    <xf numFmtId="0" fontId="34" fillId="0" borderId="5" xfId="0" applyFont="1" applyBorder="1" applyAlignment="1">
      <alignment vertical="center"/>
    </xf>
    <xf numFmtId="9" fontId="11" fillId="0" borderId="0" xfId="3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0" fontId="11" fillId="10" borderId="0" xfId="3" applyNumberFormat="1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1" fillId="41" borderId="5" xfId="0" applyFont="1" applyFill="1" applyBorder="1" applyAlignment="1">
      <alignment horizontal="center" vertical="center"/>
    </xf>
    <xf numFmtId="0" fontId="15" fillId="41" borderId="5" xfId="0" applyFont="1" applyFill="1" applyBorder="1" applyAlignment="1">
      <alignment horizontal="center" vertical="center"/>
    </xf>
    <xf numFmtId="0" fontId="11" fillId="41" borderId="0" xfId="0" applyFont="1" applyFill="1" applyAlignment="1">
      <alignment vertical="center"/>
    </xf>
    <xf numFmtId="0" fontId="35" fillId="9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 wrapText="1"/>
    </xf>
    <xf numFmtId="0" fontId="36" fillId="0" borderId="0" xfId="0" applyFont="1" applyAlignment="1">
      <alignment vertical="center"/>
    </xf>
    <xf numFmtId="9" fontId="11" fillId="11" borderId="0" xfId="3" applyFont="1" applyFill="1" applyAlignment="1">
      <alignment horizontal="center" vertical="center"/>
    </xf>
    <xf numFmtId="0" fontId="30" fillId="42" borderId="19" xfId="0" applyFont="1" applyFill="1" applyBorder="1" applyAlignment="1">
      <alignment horizontal="right"/>
    </xf>
    <xf numFmtId="0" fontId="31" fillId="0" borderId="19" xfId="0" applyFont="1" applyBorder="1" applyAlignment="1"/>
    <xf numFmtId="0" fontId="0" fillId="0" borderId="20" xfId="0" applyBorder="1" applyAlignment="1"/>
    <xf numFmtId="0" fontId="0" fillId="0" borderId="21" xfId="0" applyBorder="1" applyAlignment="1"/>
    <xf numFmtId="0" fontId="26" fillId="36" borderId="19" xfId="0" applyFont="1" applyFill="1" applyBorder="1" applyAlignment="1">
      <alignment horizontal="center"/>
    </xf>
    <xf numFmtId="0" fontId="37" fillId="36" borderId="19" xfId="0" applyFont="1" applyFill="1" applyBorder="1" applyAlignment="1">
      <alignment horizontal="center"/>
    </xf>
    <xf numFmtId="0" fontId="5" fillId="0" borderId="19" xfId="0" applyFont="1" applyBorder="1" applyAlignment="1"/>
    <xf numFmtId="0" fontId="31" fillId="43" borderId="19" xfId="0" applyFont="1" applyFill="1" applyBorder="1" applyAlignment="1">
      <alignment horizontal="center"/>
    </xf>
    <xf numFmtId="0" fontId="31" fillId="44" borderId="19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B43" sqref="B43"/>
    </sheetView>
  </sheetViews>
  <sheetFormatPr defaultColWidth="9" defaultRowHeight="13.5" outlineLevelCol="5"/>
  <cols>
    <col min="1" max="1" width="22" style="8" customWidth="1"/>
    <col min="2" max="2" width="26" style="8" customWidth="1"/>
    <col min="3" max="3" width="10" style="8" customWidth="1"/>
    <col min="4" max="4" width="57.875" style="8" customWidth="1"/>
    <col min="5" max="5" width="50" style="8" customWidth="1"/>
    <col min="6" max="6" width="22.125" style="8" customWidth="1"/>
  </cols>
  <sheetData>
    <row r="1" spans="1:6">
      <c r="A1" s="187" t="s">
        <v>0</v>
      </c>
      <c r="B1" s="188" t="s">
        <v>1</v>
      </c>
      <c r="C1" s="189"/>
      <c r="D1" s="189"/>
      <c r="E1" s="189"/>
      <c r="F1" s="190"/>
    </row>
    <row r="2" spans="1:6">
      <c r="A2" s="187" t="s">
        <v>2</v>
      </c>
      <c r="B2" s="188" t="s">
        <v>3</v>
      </c>
      <c r="C2" s="189"/>
      <c r="D2" s="189"/>
      <c r="E2" s="189"/>
      <c r="F2" s="190"/>
    </row>
    <row r="3" spans="1:6">
      <c r="A3" s="187" t="s">
        <v>4</v>
      </c>
      <c r="B3" s="188" t="s">
        <v>5</v>
      </c>
      <c r="C3" s="189"/>
      <c r="D3" s="189"/>
      <c r="E3" s="189"/>
      <c r="F3" s="190"/>
    </row>
    <row r="4" spans="1:6">
      <c r="A4" s="187" t="s">
        <v>6</v>
      </c>
      <c r="B4" s="188" t="s">
        <v>7</v>
      </c>
      <c r="C4" s="189"/>
      <c r="D4" s="189"/>
      <c r="E4" s="189"/>
      <c r="F4" s="190"/>
    </row>
    <row r="5" spans="1:6">
      <c r="A5" s="187" t="s">
        <v>8</v>
      </c>
      <c r="B5" s="188" t="s">
        <v>9</v>
      </c>
      <c r="C5" s="189"/>
      <c r="D5" s="189"/>
      <c r="E5" s="189"/>
      <c r="F5" s="190"/>
    </row>
    <row r="6" spans="1:6">
      <c r="A6" s="187" t="s">
        <v>10</v>
      </c>
      <c r="B6" s="188" t="s">
        <v>11</v>
      </c>
      <c r="C6" s="189"/>
      <c r="D6" s="189"/>
      <c r="E6" s="189"/>
      <c r="F6" s="190"/>
    </row>
    <row r="7" spans="1:6">
      <c r="A7" s="187" t="s">
        <v>12</v>
      </c>
      <c r="B7" s="188" t="s">
        <v>13</v>
      </c>
      <c r="C7" s="189"/>
      <c r="D7" s="189"/>
      <c r="E7" s="189"/>
      <c r="F7" s="190"/>
    </row>
    <row r="9" spans="1:6">
      <c r="A9" s="191" t="s">
        <v>14</v>
      </c>
      <c r="B9" s="191" t="s">
        <v>15</v>
      </c>
      <c r="C9" s="191" t="s">
        <v>16</v>
      </c>
      <c r="D9" s="191" t="s">
        <v>17</v>
      </c>
      <c r="E9" s="192" t="s">
        <v>18</v>
      </c>
      <c r="F9" s="191" t="s">
        <v>19</v>
      </c>
    </row>
    <row r="10" spans="1:6">
      <c r="A10" s="188" t="s">
        <v>20</v>
      </c>
      <c r="B10" s="193" t="s">
        <v>21</v>
      </c>
      <c r="C10" s="194" t="s">
        <v>5</v>
      </c>
      <c r="D10" s="188" t="s">
        <v>22</v>
      </c>
      <c r="E10" t="s">
        <v>23</v>
      </c>
      <c r="F10" s="188" t="s">
        <v>24</v>
      </c>
    </row>
    <row r="11" spans="1:6">
      <c r="A11" s="188" t="s">
        <v>25</v>
      </c>
      <c r="B11" s="193" t="s">
        <v>26</v>
      </c>
      <c r="C11" s="194" t="s">
        <v>5</v>
      </c>
      <c r="D11" s="188" t="s">
        <v>22</v>
      </c>
      <c r="E11" t="s">
        <v>23</v>
      </c>
      <c r="F11" s="193" t="s">
        <v>27</v>
      </c>
    </row>
    <row r="12" spans="1:6">
      <c r="A12" s="188" t="s">
        <v>28</v>
      </c>
      <c r="B12" s="188" t="s">
        <v>29</v>
      </c>
      <c r="C12" s="194" t="s">
        <v>5</v>
      </c>
      <c r="D12" s="188" t="s">
        <v>30</v>
      </c>
      <c r="E12" t="s">
        <v>23</v>
      </c>
      <c r="F12" s="188" t="s">
        <v>31</v>
      </c>
    </row>
    <row r="13" spans="1:6">
      <c r="A13" s="188" t="s">
        <v>32</v>
      </c>
      <c r="B13" s="188" t="s">
        <v>33</v>
      </c>
      <c r="C13" s="194" t="s">
        <v>5</v>
      </c>
      <c r="D13" s="188" t="s">
        <v>34</v>
      </c>
      <c r="E13" t="s">
        <v>23</v>
      </c>
      <c r="F13" s="188" t="s">
        <v>35</v>
      </c>
    </row>
    <row r="14" spans="1:6">
      <c r="A14" s="188" t="s">
        <v>36</v>
      </c>
      <c r="B14" s="188" t="s">
        <v>37</v>
      </c>
      <c r="C14" s="194" t="s">
        <v>5</v>
      </c>
      <c r="D14" s="188" t="s">
        <v>38</v>
      </c>
      <c r="E14" t="s">
        <v>23</v>
      </c>
      <c r="F14" s="188" t="s">
        <v>39</v>
      </c>
    </row>
    <row r="15" spans="1:6">
      <c r="A15" s="188" t="s">
        <v>40</v>
      </c>
      <c r="B15" s="188" t="s">
        <v>41</v>
      </c>
      <c r="C15" s="194" t="s">
        <v>5</v>
      </c>
      <c r="D15" s="188" t="s">
        <v>42</v>
      </c>
      <c r="E15" t="s">
        <v>23</v>
      </c>
      <c r="F15" s="188" t="s">
        <v>43</v>
      </c>
    </row>
    <row r="16" spans="1:6">
      <c r="A16" s="188" t="s">
        <v>44</v>
      </c>
      <c r="B16" s="188" t="s">
        <v>45</v>
      </c>
      <c r="C16" s="194" t="s">
        <v>5</v>
      </c>
      <c r="D16" s="188" t="s">
        <v>46</v>
      </c>
      <c r="F16" s="188" t="s">
        <v>47</v>
      </c>
    </row>
    <row r="17" spans="1:6">
      <c r="A17" s="188" t="s">
        <v>48</v>
      </c>
      <c r="B17" s="188" t="s">
        <v>49</v>
      </c>
      <c r="C17" s="194" t="s">
        <v>5</v>
      </c>
      <c r="D17" s="188" t="s">
        <v>50</v>
      </c>
      <c r="F17" s="188" t="s">
        <v>51</v>
      </c>
    </row>
    <row r="18" spans="1:6">
      <c r="A18" s="188" t="s">
        <v>52</v>
      </c>
      <c r="B18" s="188" t="s">
        <v>53</v>
      </c>
      <c r="C18" s="194" t="s">
        <v>5</v>
      </c>
      <c r="D18" s="188" t="s">
        <v>54</v>
      </c>
      <c r="F18" s="188" t="s">
        <v>55</v>
      </c>
    </row>
    <row r="19" spans="1:6">
      <c r="A19" s="188" t="s">
        <v>56</v>
      </c>
      <c r="B19" s="188" t="s">
        <v>57</v>
      </c>
      <c r="C19" s="194" t="s">
        <v>5</v>
      </c>
      <c r="D19" s="188" t="s">
        <v>58</v>
      </c>
      <c r="F19" s="188" t="s">
        <v>59</v>
      </c>
    </row>
    <row r="20" spans="1:6">
      <c r="A20" s="188" t="s">
        <v>60</v>
      </c>
      <c r="B20" s="188" t="s">
        <v>61</v>
      </c>
      <c r="C20" s="194" t="s">
        <v>5</v>
      </c>
      <c r="D20" s="188" t="s">
        <v>62</v>
      </c>
      <c r="F20" s="188" t="s">
        <v>63</v>
      </c>
    </row>
    <row r="21" spans="1:6">
      <c r="A21" s="188" t="s">
        <v>64</v>
      </c>
      <c r="B21" s="188" t="s">
        <v>65</v>
      </c>
      <c r="C21" s="194" t="s">
        <v>5</v>
      </c>
      <c r="D21" s="188" t="s">
        <v>66</v>
      </c>
      <c r="F21" s="188" t="s">
        <v>67</v>
      </c>
    </row>
    <row r="22" spans="1:6">
      <c r="A22" s="188" t="s">
        <v>68</v>
      </c>
      <c r="B22" s="188" t="s">
        <v>69</v>
      </c>
      <c r="C22" s="195" t="s">
        <v>70</v>
      </c>
      <c r="D22" s="188" t="s">
        <v>71</v>
      </c>
      <c r="F22" s="188" t="s">
        <v>72</v>
      </c>
    </row>
    <row r="23" spans="1:6">
      <c r="A23" s="188" t="s">
        <v>73</v>
      </c>
      <c r="B23" s="188" t="s">
        <v>74</v>
      </c>
      <c r="C23" s="195" t="s">
        <v>70</v>
      </c>
      <c r="D23" s="188" t="s">
        <v>75</v>
      </c>
      <c r="E23" t="s">
        <v>76</v>
      </c>
      <c r="F23" s="188" t="s">
        <v>77</v>
      </c>
    </row>
  </sheetData>
  <mergeCells count="7">
    <mergeCell ref="B1:F1"/>
    <mergeCell ref="B2:F2"/>
    <mergeCell ref="B3:F3"/>
    <mergeCell ref="B4:F4"/>
    <mergeCell ref="B5:F5"/>
    <mergeCell ref="B6:F6"/>
    <mergeCell ref="B7:F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72"/>
  <sheetViews>
    <sheetView topLeftCell="D30" workbookViewId="0">
      <selection activeCell="D31" sqref="$A31:$XFD47"/>
    </sheetView>
  </sheetViews>
  <sheetFormatPr defaultColWidth="9" defaultRowHeight="16.5"/>
  <cols>
    <col min="1" max="1" width="9" style="25" customWidth="1"/>
    <col min="2" max="2" width="15" style="25" customWidth="1"/>
    <col min="3" max="3" width="24.625" style="25" customWidth="1"/>
    <col min="4" max="5" width="9" style="25" customWidth="1"/>
    <col min="6" max="6" width="14.25" style="25" customWidth="1"/>
    <col min="7" max="7" width="11.125" style="25" customWidth="1"/>
    <col min="8" max="8" width="9.375" style="25" customWidth="1"/>
    <col min="9" max="9" width="11" style="25" customWidth="1"/>
    <col min="10" max="10" width="9" style="25" customWidth="1"/>
    <col min="11" max="11" width="10.375" style="25" customWidth="1"/>
    <col min="12" max="12" width="11.375" style="25" customWidth="1"/>
    <col min="13" max="13" width="12" style="25" customWidth="1"/>
    <col min="14" max="14" width="12.625" style="25" customWidth="1"/>
    <col min="15" max="15" width="26" style="25" customWidth="1"/>
    <col min="16" max="16384" width="9" style="25" customWidth="1"/>
  </cols>
  <sheetData>
    <row r="2" spans="1:15">
      <c r="B2" s="25" t="s">
        <v>78</v>
      </c>
      <c r="C2" s="27" t="s">
        <v>79</v>
      </c>
      <c r="D2" s="27" t="s">
        <v>80</v>
      </c>
      <c r="E2" s="27" t="s">
        <v>81</v>
      </c>
    </row>
    <row r="3" spans="1:15">
      <c r="C3" s="29">
        <v>5000</v>
      </c>
      <c r="D3" s="29">
        <v>1500</v>
      </c>
      <c r="E3" s="29">
        <v>1000</v>
      </c>
    </row>
    <row r="5" spans="1:15">
      <c r="B5" s="106" t="s">
        <v>82</v>
      </c>
    </row>
    <row r="6" spans="1:15">
      <c r="B6" s="25" t="s">
        <v>83</v>
      </c>
    </row>
    <row r="8" ht="21" customHeight="1" spans="1:15">
      <c r="B8" s="183" t="s">
        <v>84</v>
      </c>
      <c r="C8" s="183" t="s">
        <v>85</v>
      </c>
      <c r="J8" s="183" t="s">
        <v>86</v>
      </c>
      <c r="O8" s="183" t="s">
        <v>87</v>
      </c>
    </row>
    <row r="9" spans="1:15">
      <c r="J9" s="106" t="s">
        <v>88</v>
      </c>
      <c r="K9" s="106" t="s">
        <v>89</v>
      </c>
      <c r="L9" s="106" t="s">
        <v>90</v>
      </c>
      <c r="M9" s="106" t="s">
        <v>91</v>
      </c>
      <c r="N9" s="106"/>
    </row>
    <row r="10" ht="42" customHeight="1" spans="1:15">
      <c r="A10" s="184" t="s">
        <v>92</v>
      </c>
      <c r="B10" s="29" t="s">
        <v>93</v>
      </c>
      <c r="C10" s="29" t="s">
        <v>94</v>
      </c>
      <c r="J10" s="57" t="s">
        <v>95</v>
      </c>
      <c r="O10" s="29"/>
    </row>
    <row r="11" ht="42" customHeight="1" spans="1:15">
      <c r="B11" s="29" t="s">
        <v>96</v>
      </c>
      <c r="C11" s="29" t="s">
        <v>97</v>
      </c>
      <c r="J11" s="57" t="s">
        <v>95</v>
      </c>
      <c r="O11" s="29"/>
    </row>
    <row r="12" ht="42" customHeight="1" spans="1:15">
      <c r="B12" s="29" t="s">
        <v>98</v>
      </c>
      <c r="C12" s="28" t="s">
        <v>99</v>
      </c>
      <c r="J12" s="57" t="s">
        <v>95</v>
      </c>
      <c r="O12" s="29"/>
    </row>
    <row r="13" ht="66" customHeight="1" spans="1:15">
      <c r="B13" s="1" t="s">
        <v>36</v>
      </c>
      <c r="C13" s="28" t="s">
        <v>100</v>
      </c>
      <c r="J13" s="57" t="s">
        <v>95</v>
      </c>
      <c r="K13" s="57" t="s">
        <v>95</v>
      </c>
      <c r="L13" s="57" t="s">
        <v>95</v>
      </c>
      <c r="M13" s="57" t="s">
        <v>95</v>
      </c>
      <c r="O13" s="29"/>
    </row>
    <row r="14" ht="42" customHeight="1" spans="1:15">
      <c r="B14" s="29" t="s">
        <v>32</v>
      </c>
      <c r="C14" s="28" t="s">
        <v>101</v>
      </c>
      <c r="K14" s="57" t="s">
        <v>95</v>
      </c>
      <c r="L14" s="57" t="s">
        <v>95</v>
      </c>
      <c r="M14" s="57" t="s">
        <v>95</v>
      </c>
      <c r="N14" s="57"/>
      <c r="O14" s="29"/>
    </row>
    <row r="15" ht="42" customHeight="1" spans="1:15">
      <c r="B15" s="29" t="s">
        <v>40</v>
      </c>
      <c r="C15" s="28" t="s">
        <v>102</v>
      </c>
      <c r="J15" s="57" t="s">
        <v>95</v>
      </c>
      <c r="K15" s="57" t="s">
        <v>95</v>
      </c>
      <c r="L15" s="57" t="s">
        <v>95</v>
      </c>
      <c r="M15" s="57" t="s">
        <v>95</v>
      </c>
      <c r="O15" s="29"/>
    </row>
    <row r="16" ht="51" customHeight="1" spans="1:15">
      <c r="B16" s="29" t="s">
        <v>44</v>
      </c>
      <c r="C16" s="28" t="s">
        <v>103</v>
      </c>
      <c r="J16" s="57" t="s">
        <v>95</v>
      </c>
      <c r="L16" s="57" t="s">
        <v>95</v>
      </c>
      <c r="O16" s="29"/>
    </row>
    <row r="17" ht="125" customHeight="1" spans="2:16">
      <c r="B17" s="29" t="s">
        <v>104</v>
      </c>
      <c r="C17" s="28" t="s">
        <v>105</v>
      </c>
      <c r="J17" s="57" t="s">
        <v>95</v>
      </c>
      <c r="K17" s="57" t="s">
        <v>95</v>
      </c>
      <c r="L17" s="57" t="s">
        <v>95</v>
      </c>
      <c r="M17" s="57" t="s">
        <v>95</v>
      </c>
      <c r="N17" s="57"/>
      <c r="O17" s="29"/>
    </row>
    <row r="19" spans="2:16">
      <c r="B19" s="106" t="s">
        <v>106</v>
      </c>
    </row>
    <row r="20" spans="2:16">
      <c r="B20" s="177" t="s">
        <v>107</v>
      </c>
      <c r="D20" s="177" t="s">
        <v>108</v>
      </c>
    </row>
    <row r="21" spans="2:16">
      <c r="B21" s="29" t="s">
        <v>96</v>
      </c>
      <c r="D21" s="39" t="s">
        <v>109</v>
      </c>
    </row>
    <row r="22" spans="2:16">
      <c r="B22" s="29" t="s">
        <v>98</v>
      </c>
      <c r="D22" s="29" t="s">
        <v>44</v>
      </c>
    </row>
    <row r="23" spans="2:16">
      <c r="B23" s="1" t="s">
        <v>36</v>
      </c>
    </row>
    <row r="24" spans="2:16">
      <c r="B24" s="29" t="s">
        <v>32</v>
      </c>
    </row>
    <row r="25" spans="2:16">
      <c r="B25" s="29" t="s">
        <v>40</v>
      </c>
    </row>
    <row r="26" spans="2:16">
      <c r="B26" s="29" t="s">
        <v>110</v>
      </c>
    </row>
    <row r="31" spans="2:16">
      <c r="B31" s="106" t="s">
        <v>111</v>
      </c>
      <c r="P31" s="106" t="s">
        <v>112</v>
      </c>
    </row>
    <row r="32" spans="2:16">
      <c r="B32" s="25" t="s">
        <v>113</v>
      </c>
      <c r="P32" s="25" t="s">
        <v>114</v>
      </c>
    </row>
    <row r="33" spans="1:22">
      <c r="D33" s="25" t="s">
        <v>115</v>
      </c>
      <c r="G33" s="185" t="s">
        <v>116</v>
      </c>
      <c r="J33" s="25" t="s">
        <v>117</v>
      </c>
      <c r="M33" s="25" t="s">
        <v>118</v>
      </c>
      <c r="P33" s="25" t="s">
        <v>119</v>
      </c>
    </row>
    <row r="34" ht="21" customHeight="1" spans="1:22">
      <c r="B34" s="183" t="s">
        <v>84</v>
      </c>
      <c r="C34" s="183" t="s">
        <v>120</v>
      </c>
      <c r="D34" s="56" t="s">
        <v>79</v>
      </c>
      <c r="E34" s="56" t="s">
        <v>80</v>
      </c>
      <c r="F34" s="56" t="s">
        <v>81</v>
      </c>
      <c r="G34" s="56" t="s">
        <v>79</v>
      </c>
      <c r="H34" s="56" t="s">
        <v>80</v>
      </c>
      <c r="I34" s="56" t="s">
        <v>81</v>
      </c>
      <c r="J34" s="56" t="s">
        <v>79</v>
      </c>
      <c r="K34" s="56" t="s">
        <v>80</v>
      </c>
      <c r="L34" s="56" t="s">
        <v>81</v>
      </c>
      <c r="M34" s="27" t="s">
        <v>121</v>
      </c>
      <c r="P34" s="27" t="s">
        <v>121</v>
      </c>
      <c r="S34" s="27"/>
      <c r="V34" s="27" t="s">
        <v>122</v>
      </c>
    </row>
    <row r="35" spans="1:22">
      <c r="M35" s="29"/>
      <c r="V35" s="101">
        <f t="shared" ref="V35:V43" si="0">SUM(L35:U35)/$M$46</f>
        <v>0</v>
      </c>
    </row>
    <row r="36" spans="1:22">
      <c r="A36" s="184" t="s">
        <v>92</v>
      </c>
      <c r="B36" s="29" t="s">
        <v>93</v>
      </c>
      <c r="C36" s="29">
        <v>1</v>
      </c>
      <c r="D36" s="25">
        <f>$C36*C$3</f>
        <v>5000</v>
      </c>
      <c r="E36" s="25">
        <f>$C36*D$3</f>
        <v>1500</v>
      </c>
      <c r="F36" s="25">
        <f>$C36*E$3</f>
        <v>1000</v>
      </c>
      <c r="M36" s="29"/>
      <c r="P36" s="29"/>
      <c r="V36" s="101">
        <f t="shared" si="0"/>
        <v>0</v>
      </c>
    </row>
    <row r="37" spans="1:22">
      <c r="B37" s="29" t="s">
        <v>96</v>
      </c>
      <c r="C37" s="29">
        <v>4.8</v>
      </c>
      <c r="D37" s="25">
        <f>$C37*C$3</f>
        <v>24000</v>
      </c>
      <c r="E37" s="25">
        <f>$C37*D$3</f>
        <v>7200</v>
      </c>
      <c r="F37" s="25">
        <f>$C37*E$3</f>
        <v>4800</v>
      </c>
      <c r="M37" s="29"/>
      <c r="P37" s="29"/>
      <c r="V37" s="101">
        <f t="shared" si="0"/>
        <v>0</v>
      </c>
    </row>
    <row r="38" spans="1:22">
      <c r="B38" s="29" t="s">
        <v>98</v>
      </c>
      <c r="C38" s="29">
        <v>0</v>
      </c>
      <c r="D38" s="25">
        <f>$C38*C$3</f>
        <v>0</v>
      </c>
      <c r="E38" s="25">
        <f>$C38*D$3</f>
        <v>0</v>
      </c>
      <c r="F38" s="25">
        <f>$C38*E$3</f>
        <v>0</v>
      </c>
      <c r="M38" s="29"/>
      <c r="P38" s="29"/>
      <c r="V38" s="101">
        <f t="shared" si="0"/>
        <v>0</v>
      </c>
    </row>
    <row r="39" spans="1:22">
      <c r="B39" s="1" t="s">
        <v>36</v>
      </c>
      <c r="C39" s="29">
        <v>2.3</v>
      </c>
      <c r="D39" s="25">
        <f>$C39*C$3</f>
        <v>11500</v>
      </c>
      <c r="E39" s="25">
        <f>$C39*D$3</f>
        <v>3450</v>
      </c>
      <c r="F39" s="25">
        <f>$C39*E$3</f>
        <v>2300</v>
      </c>
      <c r="G39" s="25">
        <v>0</v>
      </c>
      <c r="H39" s="25">
        <v>0</v>
      </c>
      <c r="I39" s="25">
        <v>0</v>
      </c>
      <c r="J39" s="132">
        <v>0</v>
      </c>
      <c r="K39" s="132">
        <v>0</v>
      </c>
      <c r="L39" s="132">
        <v>0</v>
      </c>
      <c r="M39" s="29">
        <v>0</v>
      </c>
      <c r="P39" s="108">
        <v>1.2</v>
      </c>
      <c r="V39" s="101">
        <f t="shared" si="0"/>
        <v>0.0681818181818182</v>
      </c>
    </row>
    <row r="40" spans="1:22">
      <c r="B40" s="29" t="s">
        <v>32</v>
      </c>
      <c r="G40" s="132">
        <v>0.9</v>
      </c>
      <c r="H40" s="132">
        <v>0.9</v>
      </c>
      <c r="I40" s="132">
        <v>0.9</v>
      </c>
      <c r="J40" s="132">
        <v>0</v>
      </c>
      <c r="K40" s="132">
        <v>0</v>
      </c>
      <c r="L40" s="132">
        <v>0</v>
      </c>
      <c r="M40" s="29">
        <v>0</v>
      </c>
      <c r="P40" s="108">
        <v>0.6</v>
      </c>
      <c r="S40" s="108"/>
      <c r="V40" s="101">
        <f t="shared" si="0"/>
        <v>0.0340909090909091</v>
      </c>
    </row>
    <row r="41" spans="1:22">
      <c r="B41" s="29" t="s">
        <v>40</v>
      </c>
      <c r="C41" s="29">
        <v>4</v>
      </c>
      <c r="D41" s="25">
        <f>$C41*C$3</f>
        <v>20000</v>
      </c>
      <c r="E41" s="25">
        <f>$C41*D$3</f>
        <v>6000</v>
      </c>
      <c r="F41" s="25">
        <f>$C41*E$3</f>
        <v>4000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9">
        <v>0</v>
      </c>
      <c r="P41" s="108">
        <v>0.6</v>
      </c>
      <c r="V41" s="101">
        <f t="shared" si="0"/>
        <v>0.0340909090909091</v>
      </c>
    </row>
    <row r="42" spans="1:22">
      <c r="B42" s="29" t="s">
        <v>44</v>
      </c>
      <c r="C42" s="29">
        <v>6</v>
      </c>
      <c r="D42" s="25">
        <f>$C42*C$3</f>
        <v>30000</v>
      </c>
      <c r="E42" s="25">
        <f>$C42*D$3</f>
        <v>9000</v>
      </c>
      <c r="F42" s="25">
        <f>$C42*E$3</f>
        <v>6000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9">
        <v>0</v>
      </c>
      <c r="P42" s="108">
        <v>4.2</v>
      </c>
      <c r="V42" s="101">
        <f t="shared" si="0"/>
        <v>0.238636363636364</v>
      </c>
    </row>
    <row r="43" spans="1:22">
      <c r="B43" s="29" t="s">
        <v>48</v>
      </c>
      <c r="C43" s="29">
        <v>10</v>
      </c>
      <c r="D43" s="25">
        <f>$C43*C$3</f>
        <v>50000</v>
      </c>
      <c r="E43" s="25">
        <f>$C43*D$3</f>
        <v>15000</v>
      </c>
      <c r="F43" s="25">
        <f>$C43*E$3</f>
        <v>10000</v>
      </c>
      <c r="G43" s="25">
        <v>0</v>
      </c>
      <c r="H43" s="25">
        <v>0</v>
      </c>
      <c r="I43" s="25">
        <v>0</v>
      </c>
      <c r="J43" s="132">
        <v>2.4</v>
      </c>
      <c r="K43" s="132">
        <v>2.4</v>
      </c>
      <c r="L43" s="132">
        <v>2.4</v>
      </c>
      <c r="M43" s="108">
        <v>1.6</v>
      </c>
      <c r="P43" s="108">
        <v>7</v>
      </c>
      <c r="S43" s="108"/>
      <c r="V43" s="101">
        <f t="shared" si="0"/>
        <v>0.625</v>
      </c>
    </row>
    <row r="44" spans="1:22">
      <c r="J44" s="186">
        <f>SUM(J36:J43)</f>
        <v>2.4</v>
      </c>
      <c r="M44" s="186">
        <f>SUM(M36:O43)</f>
        <v>1.6</v>
      </c>
      <c r="P44" s="186">
        <f>SUM(P36:R43)</f>
        <v>13.6</v>
      </c>
      <c r="S44" s="186"/>
      <c r="V44" s="29"/>
    </row>
    <row r="46" spans="1:22">
      <c r="F46" s="25" t="s">
        <v>123</v>
      </c>
      <c r="G46" s="31">
        <f>J44+M44+P44</f>
        <v>17.6</v>
      </c>
      <c r="I46" s="25" t="s">
        <v>124</v>
      </c>
      <c r="J46" s="31">
        <f>S44</f>
        <v>0</v>
      </c>
      <c r="L46" s="25" t="s">
        <v>125</v>
      </c>
      <c r="M46" s="31">
        <f>J46+G46</f>
        <v>17.6</v>
      </c>
    </row>
    <row r="47" spans="1:22">
      <c r="F47" s="25" t="s">
        <v>126</v>
      </c>
    </row>
    <row r="49" spans="6:9">
      <c r="F49" s="25" t="s">
        <v>127</v>
      </c>
    </row>
    <row r="50" spans="6:9">
      <c r="F50" s="25" t="s">
        <v>128</v>
      </c>
      <c r="G50" s="30">
        <v>0.01</v>
      </c>
      <c r="H50" s="123">
        <f t="shared" ref="H50:H70" si="1">3*G50</f>
        <v>0.03</v>
      </c>
      <c r="I50" s="25">
        <f>(M46-M44-J44)/3</f>
        <v>4.53333333333333</v>
      </c>
    </row>
    <row r="51" spans="6:9">
      <c r="F51" s="25" t="s">
        <v>129</v>
      </c>
      <c r="G51" s="30">
        <v>0.01</v>
      </c>
      <c r="H51" s="123">
        <f t="shared" si="1"/>
        <v>0.03</v>
      </c>
    </row>
    <row r="52" spans="6:9">
      <c r="F52" s="25" t="s">
        <v>130</v>
      </c>
      <c r="G52" s="30">
        <v>0.01</v>
      </c>
      <c r="H52" s="123">
        <f t="shared" si="1"/>
        <v>0.03</v>
      </c>
    </row>
    <row r="53" spans="6:9">
      <c r="F53" s="25" t="s">
        <v>131</v>
      </c>
      <c r="G53" s="30">
        <v>0</v>
      </c>
      <c r="H53" s="123">
        <f t="shared" si="1"/>
        <v>0</v>
      </c>
    </row>
    <row r="54" spans="6:9">
      <c r="F54" s="25" t="s">
        <v>132</v>
      </c>
      <c r="G54" s="30">
        <v>0.0033</v>
      </c>
      <c r="H54" s="123">
        <f t="shared" si="1"/>
        <v>0.0099</v>
      </c>
    </row>
    <row r="55" spans="6:9">
      <c r="F55" s="25" t="s">
        <v>133</v>
      </c>
      <c r="G55" s="30">
        <v>0.0018</v>
      </c>
      <c r="H55" s="123">
        <f t="shared" si="1"/>
        <v>0.0054</v>
      </c>
    </row>
    <row r="56" spans="6:9">
      <c r="F56" s="25" t="s">
        <v>134</v>
      </c>
      <c r="G56" s="30">
        <v>0.0054</v>
      </c>
      <c r="H56" s="123">
        <f t="shared" si="1"/>
        <v>0.0162</v>
      </c>
    </row>
    <row r="57" spans="6:9">
      <c r="F57" s="25" t="s">
        <v>135</v>
      </c>
      <c r="G57" s="30">
        <v>0.0033</v>
      </c>
      <c r="H57" s="123">
        <f t="shared" si="1"/>
        <v>0.0099</v>
      </c>
    </row>
    <row r="58" spans="6:9">
      <c r="F58" s="38" t="s">
        <v>136</v>
      </c>
      <c r="G58" s="30">
        <v>0.009</v>
      </c>
      <c r="H58" s="123">
        <f t="shared" si="1"/>
        <v>0.027</v>
      </c>
    </row>
    <row r="59" spans="6:9">
      <c r="F59" s="38" t="s">
        <v>137</v>
      </c>
      <c r="G59" s="30">
        <v>0.012</v>
      </c>
      <c r="H59" s="123">
        <f t="shared" si="1"/>
        <v>0.036</v>
      </c>
    </row>
    <row r="60" spans="6:9">
      <c r="F60" s="38" t="s">
        <v>138</v>
      </c>
      <c r="G60" s="30">
        <v>0.012</v>
      </c>
      <c r="H60" s="123">
        <f t="shared" si="1"/>
        <v>0.036</v>
      </c>
    </row>
    <row r="61" spans="6:9">
      <c r="F61" s="39" t="s">
        <v>139</v>
      </c>
      <c r="G61" s="30">
        <v>0.005</v>
      </c>
      <c r="H61" s="123">
        <f t="shared" si="1"/>
        <v>0.015</v>
      </c>
    </row>
    <row r="62" spans="6:9">
      <c r="F62" s="39" t="s">
        <v>140</v>
      </c>
      <c r="G62" s="30">
        <v>0.0025</v>
      </c>
      <c r="H62" s="123">
        <f t="shared" si="1"/>
        <v>0.0075</v>
      </c>
    </row>
    <row r="63" spans="6:9">
      <c r="F63" s="38" t="s">
        <v>141</v>
      </c>
      <c r="G63" s="30">
        <v>0.0042</v>
      </c>
      <c r="H63" s="123">
        <f t="shared" si="1"/>
        <v>0.0126</v>
      </c>
    </row>
    <row r="64" spans="6:9">
      <c r="F64" s="38" t="s">
        <v>142</v>
      </c>
      <c r="G64" s="30">
        <v>0.0042</v>
      </c>
      <c r="H64" s="123">
        <f t="shared" si="1"/>
        <v>0.0126</v>
      </c>
    </row>
    <row r="65" spans="6:8">
      <c r="F65" s="25" t="s">
        <v>143</v>
      </c>
      <c r="G65" s="29">
        <v>9</v>
      </c>
      <c r="H65" s="123">
        <f t="shared" si="1"/>
        <v>27</v>
      </c>
    </row>
    <row r="66" spans="6:8">
      <c r="F66" s="25" t="s">
        <v>144</v>
      </c>
      <c r="G66" s="29">
        <v>11</v>
      </c>
      <c r="H66" s="123">
        <f t="shared" si="1"/>
        <v>33</v>
      </c>
    </row>
    <row r="67" spans="6:8">
      <c r="F67" s="25" t="s">
        <v>145</v>
      </c>
      <c r="G67" s="29">
        <v>9</v>
      </c>
      <c r="H67" s="123">
        <f t="shared" si="1"/>
        <v>27</v>
      </c>
    </row>
    <row r="68" spans="6:8">
      <c r="F68" s="25" t="s">
        <v>146</v>
      </c>
      <c r="G68" s="29">
        <v>13</v>
      </c>
      <c r="H68" s="123">
        <f t="shared" si="1"/>
        <v>39</v>
      </c>
    </row>
    <row r="69" spans="6:8">
      <c r="F69" s="25" t="s">
        <v>128</v>
      </c>
      <c r="G69" s="30">
        <f>G50</f>
        <v>0.01</v>
      </c>
      <c r="H69" s="123">
        <f t="shared" si="1"/>
        <v>0.03</v>
      </c>
    </row>
    <row r="70" spans="6:8">
      <c r="F70" s="25" t="s">
        <v>128</v>
      </c>
      <c r="G70" s="30">
        <f>G50</f>
        <v>0.01</v>
      </c>
      <c r="H70" s="123">
        <f t="shared" si="1"/>
        <v>0.03</v>
      </c>
    </row>
    <row r="71" spans="6:8">
      <c r="F71" s="25" t="s">
        <v>147</v>
      </c>
      <c r="G71" s="30">
        <v>0.00333333333333333</v>
      </c>
    </row>
    <row r="72" spans="6:8">
      <c r="F72" s="25" t="s">
        <v>148</v>
      </c>
      <c r="G72" s="29">
        <v>10</v>
      </c>
    </row>
  </sheetData>
  <mergeCells count="58">
    <mergeCell ref="C8:I8"/>
    <mergeCell ref="J8:N8"/>
    <mergeCell ref="O8:U8"/>
    <mergeCell ref="C10:I10"/>
    <mergeCell ref="O10:U10"/>
    <mergeCell ref="C11:I11"/>
    <mergeCell ref="O11:U11"/>
    <mergeCell ref="C12:I12"/>
    <mergeCell ref="O12:U12"/>
    <mergeCell ref="C13:I13"/>
    <mergeCell ref="O13:U13"/>
    <mergeCell ref="C14:I14"/>
    <mergeCell ref="O14:U14"/>
    <mergeCell ref="C15:I15"/>
    <mergeCell ref="O15:U15"/>
    <mergeCell ref="C16:I16"/>
    <mergeCell ref="O16:U16"/>
    <mergeCell ref="C17:I17"/>
    <mergeCell ref="O17:U17"/>
    <mergeCell ref="M34:O34"/>
    <mergeCell ref="P34:R34"/>
    <mergeCell ref="S34:U34"/>
    <mergeCell ref="V34:X34"/>
    <mergeCell ref="M35:O35"/>
    <mergeCell ref="V35:X35"/>
    <mergeCell ref="M36:O36"/>
    <mergeCell ref="P36:R36"/>
    <mergeCell ref="V36:X36"/>
    <mergeCell ref="M37:O37"/>
    <mergeCell ref="P37:R37"/>
    <mergeCell ref="V37:X37"/>
    <mergeCell ref="M38:O38"/>
    <mergeCell ref="P38:R38"/>
    <mergeCell ref="V38:X38"/>
    <mergeCell ref="M39:O39"/>
    <mergeCell ref="P39:R39"/>
    <mergeCell ref="V39:X39"/>
    <mergeCell ref="M40:O40"/>
    <mergeCell ref="P40:R40"/>
    <mergeCell ref="S40:U40"/>
    <mergeCell ref="V40:X40"/>
    <mergeCell ref="M41:O41"/>
    <mergeCell ref="P41:R41"/>
    <mergeCell ref="V41:X41"/>
    <mergeCell ref="M42:O42"/>
    <mergeCell ref="P42:R42"/>
    <mergeCell ref="V42:X42"/>
    <mergeCell ref="M43:O43"/>
    <mergeCell ref="P43:R43"/>
    <mergeCell ref="S43:U43"/>
    <mergeCell ref="V43:X43"/>
    <mergeCell ref="J44:L44"/>
    <mergeCell ref="M44:O44"/>
    <mergeCell ref="P44:R44"/>
    <mergeCell ref="S44:U44"/>
    <mergeCell ref="V44:X44"/>
    <mergeCell ref="A10:A13"/>
    <mergeCell ref="A36:A3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94"/>
  <sheetViews>
    <sheetView workbookViewId="0">
      <selection activeCell="F15" sqref="F15:J27"/>
    </sheetView>
  </sheetViews>
  <sheetFormatPr defaultColWidth="9" defaultRowHeight="16.5"/>
  <cols>
    <col min="1" max="1" width="9" style="25" customWidth="1"/>
    <col min="2" max="2" width="12.75" style="25" customWidth="1"/>
    <col min="3" max="3" width="9" style="25" customWidth="1"/>
    <col min="4" max="4" width="12.875" style="25" customWidth="1"/>
    <col min="5" max="5" width="9" style="25" customWidth="1"/>
    <col min="6" max="6" width="14.125" style="25" customWidth="1"/>
    <col min="7" max="9" width="9" style="25" customWidth="1"/>
    <col min="10" max="10" width="11.125" style="25" customWidth="1"/>
    <col min="11" max="14" width="9" style="25" customWidth="1"/>
    <col min="15" max="15" width="12.875" style="25" customWidth="1"/>
    <col min="16" max="16" width="12.5" style="25" customWidth="1"/>
    <col min="17" max="16384" width="9" style="25" customWidth="1"/>
  </cols>
  <sheetData>
    <row r="2" spans="2:15">
      <c r="B2" s="106" t="s">
        <v>149</v>
      </c>
      <c r="G2" s="106" t="s">
        <v>150</v>
      </c>
    </row>
    <row r="3" spans="2:15">
      <c r="B3" s="25" t="s">
        <v>151</v>
      </c>
      <c r="C3" s="57">
        <v>60</v>
      </c>
      <c r="G3" s="27" t="s">
        <v>79</v>
      </c>
      <c r="H3" s="27" t="s">
        <v>80</v>
      </c>
      <c r="I3" s="27" t="s">
        <v>81</v>
      </c>
    </row>
    <row r="4" spans="2:15">
      <c r="B4" s="25" t="s">
        <v>152</v>
      </c>
      <c r="C4" s="57">
        <v>4</v>
      </c>
      <c r="G4" s="29">
        <f>养成属性规划!D37</f>
        <v>24000</v>
      </c>
      <c r="H4" s="29">
        <f>养成属性规划!E37</f>
        <v>7200</v>
      </c>
      <c r="I4" s="29">
        <f>养成属性规划!F37</f>
        <v>4800</v>
      </c>
    </row>
    <row r="5" spans="2:15">
      <c r="B5" s="25" t="s">
        <v>153</v>
      </c>
      <c r="C5" s="29">
        <f>养成属性规划!$C$37/$C$3</f>
        <v>0.08</v>
      </c>
      <c r="J5" s="106"/>
    </row>
    <row r="6" spans="2:15">
      <c r="B6" s="25" t="s">
        <v>154</v>
      </c>
      <c r="C6" s="29">
        <f>养成属性规划!C38/C4</f>
        <v>0</v>
      </c>
      <c r="J6" s="106"/>
    </row>
    <row r="7" spans="2:15">
      <c r="B7" s="144" t="s">
        <v>155</v>
      </c>
      <c r="C7" s="25" t="s">
        <v>156</v>
      </c>
      <c r="J7" s="106"/>
    </row>
    <row r="8" spans="2:15">
      <c r="B8" s="61" t="s">
        <v>157</v>
      </c>
      <c r="C8" s="145">
        <f>'参数页-不同武将系数'!C16</f>
        <v>0.7</v>
      </c>
    </row>
    <row r="9" spans="2:15">
      <c r="B9" s="60" t="s">
        <v>158</v>
      </c>
      <c r="C9" s="145">
        <f>'参数页-不同武将系数'!C15</f>
        <v>0.8</v>
      </c>
    </row>
    <row r="10" spans="2:15">
      <c r="B10" s="58" t="s">
        <v>159</v>
      </c>
      <c r="C10" s="145">
        <f>'参数页-不同武将系数'!C14</f>
        <v>1</v>
      </c>
    </row>
    <row r="13" spans="2:15">
      <c r="B13" s="177" t="s">
        <v>160</v>
      </c>
    </row>
    <row r="14" spans="2:15">
      <c r="B14" s="27" t="s">
        <v>161</v>
      </c>
      <c r="C14" s="27" t="s">
        <v>162</v>
      </c>
      <c r="D14" s="27" t="s">
        <v>163</v>
      </c>
      <c r="E14" s="27" t="s">
        <v>79</v>
      </c>
      <c r="F14" s="27" t="s">
        <v>80</v>
      </c>
      <c r="G14" s="27" t="s">
        <v>80</v>
      </c>
      <c r="H14" s="27" t="s">
        <v>81</v>
      </c>
      <c r="J14" s="178" t="s">
        <v>164</v>
      </c>
      <c r="K14" s="125" t="s">
        <v>165</v>
      </c>
      <c r="L14" s="27" t="s">
        <v>79</v>
      </c>
      <c r="M14" s="27" t="s">
        <v>80</v>
      </c>
      <c r="N14" s="27" t="s">
        <v>81</v>
      </c>
      <c r="O14" s="27" t="s">
        <v>166</v>
      </c>
    </row>
    <row r="15" spans="2:15">
      <c r="B15" s="29">
        <f t="array" ref="B15:B74">_xlfn.SEQUENCE(C3,1,1,1)</f>
        <v>1</v>
      </c>
      <c r="C15" s="25">
        <f t="shared" ref="C15:C74" si="0">$C$5</f>
        <v>0.08</v>
      </c>
      <c r="D15" s="25">
        <f>1+SUM($C$15:C15)</f>
        <v>1.08</v>
      </c>
      <c r="E15" s="25">
        <f>ROUND($D15*养成属性规划!C$3,0)</f>
        <v>5400</v>
      </c>
      <c r="F15" s="25">
        <f>ROUND($D15*养成属性规划!D$3,0)</f>
        <v>1620</v>
      </c>
      <c r="G15" s="25">
        <f t="shared" ref="G15:G74" si="1">F15</f>
        <v>1620</v>
      </c>
      <c r="H15" s="25">
        <f>ROUND($D15*养成属性规划!E$3,0)</f>
        <v>1080</v>
      </c>
      <c r="J15" s="175">
        <v>20</v>
      </c>
      <c r="K15" s="179">
        <v>0</v>
      </c>
      <c r="L15" s="25">
        <f>ROUND($K15*养成属性规划!C$3,0)</f>
        <v>0</v>
      </c>
      <c r="M15" s="25">
        <f>ROUND($K15*养成属性规划!D$3,0)</f>
        <v>0</v>
      </c>
      <c r="N15" s="25">
        <f>ROUND($K15*养成属性规划!E$3,0)</f>
        <v>0</v>
      </c>
      <c r="O15" s="25">
        <v>20</v>
      </c>
    </row>
    <row r="16" spans="2:15">
      <c r="B16" s="29">
        <v>2</v>
      </c>
      <c r="C16" s="25">
        <f t="shared" si="0"/>
        <v>0.08</v>
      </c>
      <c r="D16" s="25">
        <f>1+SUM($C$15:C16)</f>
        <v>1.16</v>
      </c>
      <c r="E16" s="25">
        <f>ROUND($D16*养成属性规划!C$3,0)</f>
        <v>5800</v>
      </c>
      <c r="F16" s="25">
        <f>ROUND($D16*养成属性规划!D$3,0)</f>
        <v>1740</v>
      </c>
      <c r="G16" s="25">
        <f t="shared" si="1"/>
        <v>1740</v>
      </c>
      <c r="H16" s="25">
        <f>ROUND($D16*养成属性规划!E$3,0)</f>
        <v>1160</v>
      </c>
      <c r="J16" s="175">
        <v>30</v>
      </c>
      <c r="K16" s="179">
        <v>0</v>
      </c>
      <c r="L16" s="25">
        <f>ROUND($K16*养成属性规划!C$3,0)</f>
        <v>0</v>
      </c>
      <c r="M16" s="25">
        <f>ROUND($K16*养成属性规划!D$3,0)</f>
        <v>0</v>
      </c>
      <c r="N16" s="25">
        <f>ROUND($K16*养成属性规划!E$3,0)</f>
        <v>0</v>
      </c>
      <c r="O16" s="25">
        <v>30</v>
      </c>
    </row>
    <row r="17" spans="2:15">
      <c r="B17" s="29">
        <v>3</v>
      </c>
      <c r="C17" s="25">
        <f t="shared" si="0"/>
        <v>0.08</v>
      </c>
      <c r="D17" s="25">
        <f>1+SUM($C$15:C17)</f>
        <v>1.24</v>
      </c>
      <c r="E17" s="25">
        <f>ROUND($D17*养成属性规划!C$3,0)</f>
        <v>6200</v>
      </c>
      <c r="F17" s="25">
        <f>ROUND($D17*养成属性规划!D$3,0)</f>
        <v>1860</v>
      </c>
      <c r="G17" s="25">
        <f t="shared" si="1"/>
        <v>1860</v>
      </c>
      <c r="H17" s="25">
        <f>ROUND($D17*养成属性规划!E$3,0)</f>
        <v>1240</v>
      </c>
      <c r="J17" s="175">
        <v>40</v>
      </c>
      <c r="K17" s="179">
        <v>0</v>
      </c>
      <c r="L17" s="25">
        <f>ROUND($K17*养成属性规划!C$3,0)</f>
        <v>0</v>
      </c>
      <c r="M17" s="25">
        <f>ROUND($K17*养成属性规划!D$3,0)</f>
        <v>0</v>
      </c>
      <c r="N17" s="25">
        <f>ROUND($K17*养成属性规划!E$3,0)</f>
        <v>0</v>
      </c>
      <c r="O17" s="25">
        <v>40</v>
      </c>
    </row>
    <row r="18" spans="2:15">
      <c r="B18" s="29">
        <v>4</v>
      </c>
      <c r="C18" s="25">
        <f t="shared" si="0"/>
        <v>0.08</v>
      </c>
      <c r="D18" s="25">
        <f>1+SUM($C$15:C18)</f>
        <v>1.32</v>
      </c>
      <c r="E18" s="25">
        <f>ROUND($D18*养成属性规划!C$3,0)</f>
        <v>6600</v>
      </c>
      <c r="F18" s="25">
        <f>ROUND($D18*养成属性规划!D$3,0)</f>
        <v>1980</v>
      </c>
      <c r="G18" s="25">
        <f t="shared" si="1"/>
        <v>1980</v>
      </c>
      <c r="H18" s="25">
        <f>ROUND($D18*养成属性规划!E$3,0)</f>
        <v>1320</v>
      </c>
      <c r="J18" s="175">
        <v>50</v>
      </c>
      <c r="K18" s="179">
        <v>0</v>
      </c>
      <c r="L18" s="25">
        <f>ROUND($K18*养成属性规划!C$3,0)</f>
        <v>0</v>
      </c>
      <c r="M18" s="25">
        <f>ROUND($K18*养成属性规划!D$3,0)</f>
        <v>0</v>
      </c>
      <c r="N18" s="25">
        <f>ROUND($K18*养成属性规划!E$3,0)</f>
        <v>0</v>
      </c>
      <c r="O18" s="25">
        <v>50</v>
      </c>
    </row>
    <row r="19" spans="2:15">
      <c r="B19" s="29">
        <v>5</v>
      </c>
      <c r="C19" s="25">
        <f t="shared" si="0"/>
        <v>0.08</v>
      </c>
      <c r="D19" s="25">
        <f>1+SUM($C$15:C19)</f>
        <v>1.4</v>
      </c>
      <c r="E19" s="25">
        <f>ROUND($D19*养成属性规划!C$3,0)</f>
        <v>7000</v>
      </c>
      <c r="F19" s="25">
        <f>ROUND($D19*养成属性规划!D$3,0)</f>
        <v>2100</v>
      </c>
      <c r="G19" s="25">
        <f t="shared" si="1"/>
        <v>2100</v>
      </c>
      <c r="H19" s="25">
        <f>ROUND($D19*养成属性规划!E$3,0)</f>
        <v>1400</v>
      </c>
      <c r="J19" s="180">
        <v>60</v>
      </c>
      <c r="K19" s="181">
        <v>0</v>
      </c>
      <c r="L19" s="182">
        <f>ROUND($K19*养成属性规划!C$3,0)</f>
        <v>0</v>
      </c>
      <c r="M19" s="182">
        <f>ROUND($K19*养成属性规划!D$3,0)</f>
        <v>0</v>
      </c>
      <c r="N19" s="182">
        <f>ROUND($K19*养成属性规划!E$3,0)</f>
        <v>0</v>
      </c>
      <c r="O19" s="182">
        <v>60</v>
      </c>
    </row>
    <row r="20" spans="2:15">
      <c r="B20" s="29">
        <v>6</v>
      </c>
      <c r="C20" s="25">
        <f t="shared" si="0"/>
        <v>0.08</v>
      </c>
      <c r="D20" s="25">
        <f>1+SUM($C$15:C20)</f>
        <v>1.48</v>
      </c>
      <c r="E20" s="25">
        <f>ROUND($D20*养成属性规划!C$3,0)</f>
        <v>7400</v>
      </c>
      <c r="F20" s="25">
        <f>ROUND($D20*养成属性规划!D$3,0)</f>
        <v>2220</v>
      </c>
      <c r="G20" s="25">
        <f t="shared" si="1"/>
        <v>2220</v>
      </c>
      <c r="H20" s="25">
        <f>ROUND($D20*养成属性规划!E$3,0)</f>
        <v>1480</v>
      </c>
    </row>
    <row r="21" spans="2:15">
      <c r="B21" s="29">
        <v>7</v>
      </c>
      <c r="C21" s="25">
        <f t="shared" si="0"/>
        <v>0.08</v>
      </c>
      <c r="D21" s="25">
        <f>1+SUM($C$15:C21)</f>
        <v>1.56</v>
      </c>
      <c r="E21" s="25">
        <f>ROUND($D21*养成属性规划!C$3,0)</f>
        <v>7800</v>
      </c>
      <c r="F21" s="25">
        <f>ROUND($D21*养成属性规划!D$3,0)</f>
        <v>2340</v>
      </c>
      <c r="G21" s="25">
        <f t="shared" si="1"/>
        <v>2340</v>
      </c>
      <c r="H21" s="25">
        <f>ROUND($D21*养成属性规划!E$3,0)</f>
        <v>1560</v>
      </c>
    </row>
    <row r="22" spans="2:15">
      <c r="B22" s="29">
        <v>8</v>
      </c>
      <c r="C22" s="25">
        <f t="shared" si="0"/>
        <v>0.08</v>
      </c>
      <c r="D22" s="25">
        <f>1+SUM($C$15:C22)</f>
        <v>1.64</v>
      </c>
      <c r="E22" s="25">
        <f>ROUND($D22*养成属性规划!C$3,0)</f>
        <v>8200</v>
      </c>
      <c r="F22" s="25">
        <f>ROUND($D22*养成属性规划!D$3,0)</f>
        <v>2460</v>
      </c>
      <c r="G22" s="25">
        <f t="shared" si="1"/>
        <v>2460</v>
      </c>
      <c r="H22" s="25">
        <f>ROUND($D22*养成属性规划!E$3,0)</f>
        <v>1640</v>
      </c>
    </row>
    <row r="23" spans="2:15">
      <c r="B23" s="29">
        <v>9</v>
      </c>
      <c r="C23" s="25">
        <f t="shared" si="0"/>
        <v>0.08</v>
      </c>
      <c r="D23" s="25">
        <f>1+SUM($C$15:C23)</f>
        <v>1.72</v>
      </c>
      <c r="E23" s="25">
        <f>ROUND($D23*养成属性规划!C$3,0)</f>
        <v>8600</v>
      </c>
      <c r="F23" s="25">
        <f>ROUND($D23*养成属性规划!D$3,0)</f>
        <v>2580</v>
      </c>
      <c r="G23" s="25">
        <f t="shared" si="1"/>
        <v>2580</v>
      </c>
      <c r="H23" s="25">
        <f>ROUND($D23*养成属性规划!E$3,0)</f>
        <v>1720</v>
      </c>
    </row>
    <row r="24" spans="2:15">
      <c r="B24" s="29">
        <v>10</v>
      </c>
      <c r="C24" s="25">
        <f t="shared" si="0"/>
        <v>0.08</v>
      </c>
      <c r="D24" s="25">
        <f>1+SUM($C$15:C24)</f>
        <v>1.8</v>
      </c>
      <c r="E24" s="25">
        <f>ROUND($D24*养成属性规划!C$3,0)</f>
        <v>9000</v>
      </c>
      <c r="F24" s="25">
        <f>ROUND($D24*养成属性规划!D$3,0)</f>
        <v>2700</v>
      </c>
      <c r="G24" s="25">
        <f t="shared" si="1"/>
        <v>2700</v>
      </c>
      <c r="H24" s="25">
        <f>ROUND($D24*养成属性规划!E$3,0)</f>
        <v>1800</v>
      </c>
    </row>
    <row r="25" spans="2:15">
      <c r="B25" s="29">
        <v>11</v>
      </c>
      <c r="C25" s="25">
        <f t="shared" si="0"/>
        <v>0.08</v>
      </c>
      <c r="D25" s="25">
        <f>1+SUM($C$15:C25)</f>
        <v>1.88</v>
      </c>
      <c r="E25" s="25">
        <f>ROUND($D25*养成属性规划!C$3,0)</f>
        <v>9400</v>
      </c>
      <c r="F25" s="25">
        <f>ROUND($D25*养成属性规划!D$3,0)</f>
        <v>2820</v>
      </c>
      <c r="G25" s="25">
        <f t="shared" si="1"/>
        <v>2820</v>
      </c>
      <c r="H25" s="25">
        <f>ROUND($D25*养成属性规划!E$3,0)</f>
        <v>1880</v>
      </c>
    </row>
    <row r="26" spans="2:15">
      <c r="B26" s="29">
        <v>12</v>
      </c>
      <c r="C26" s="25">
        <f t="shared" si="0"/>
        <v>0.08</v>
      </c>
      <c r="D26" s="25">
        <f>1+SUM($C$15:C26)</f>
        <v>1.96</v>
      </c>
      <c r="E26" s="25">
        <f>ROUND($D26*养成属性规划!C$3,0)</f>
        <v>9800</v>
      </c>
      <c r="F26" s="25">
        <f>ROUND($D26*养成属性规划!D$3,0)</f>
        <v>2940</v>
      </c>
      <c r="G26" s="25">
        <f t="shared" si="1"/>
        <v>2940</v>
      </c>
      <c r="H26" s="25">
        <f>ROUND($D26*养成属性规划!E$3,0)</f>
        <v>1960</v>
      </c>
    </row>
    <row r="27" spans="2:15">
      <c r="B27" s="29">
        <v>13</v>
      </c>
      <c r="C27" s="25">
        <f t="shared" si="0"/>
        <v>0.08</v>
      </c>
      <c r="D27" s="25">
        <f>1+SUM($C$15:C27)</f>
        <v>2.04</v>
      </c>
      <c r="E27" s="25">
        <f>ROUND($D27*养成属性规划!C$3,0)</f>
        <v>10200</v>
      </c>
      <c r="F27" s="25">
        <f>ROUND($D27*养成属性规划!D$3,0)</f>
        <v>3060</v>
      </c>
      <c r="G27" s="25">
        <f t="shared" si="1"/>
        <v>3060</v>
      </c>
      <c r="H27" s="25">
        <f>ROUND($D27*养成属性规划!E$3,0)</f>
        <v>2040</v>
      </c>
    </row>
    <row r="28" spans="2:15">
      <c r="B28" s="29">
        <v>14</v>
      </c>
      <c r="C28" s="25">
        <f t="shared" si="0"/>
        <v>0.08</v>
      </c>
      <c r="D28" s="25">
        <f>1+SUM($C$15:C28)</f>
        <v>2.12</v>
      </c>
      <c r="E28" s="25">
        <f>ROUND($D28*养成属性规划!C$3,0)</f>
        <v>10600</v>
      </c>
      <c r="F28" s="25">
        <f>ROUND($D28*养成属性规划!D$3,0)</f>
        <v>3180</v>
      </c>
      <c r="G28" s="25">
        <f t="shared" si="1"/>
        <v>3180</v>
      </c>
      <c r="H28" s="25">
        <f>ROUND($D28*养成属性规划!E$3,0)</f>
        <v>2120</v>
      </c>
    </row>
    <row r="29" spans="2:15">
      <c r="B29" s="29">
        <v>15</v>
      </c>
      <c r="C29" s="25">
        <f t="shared" si="0"/>
        <v>0.08</v>
      </c>
      <c r="D29" s="25">
        <f>1+SUM($C$15:C29)</f>
        <v>2.2</v>
      </c>
      <c r="E29" s="25">
        <f>ROUND($D29*养成属性规划!C$3,0)</f>
        <v>11000</v>
      </c>
      <c r="F29" s="25">
        <f>ROUND($D29*养成属性规划!D$3,0)</f>
        <v>3300</v>
      </c>
      <c r="G29" s="25">
        <f t="shared" si="1"/>
        <v>3300</v>
      </c>
      <c r="H29" s="25">
        <f>ROUND($D29*养成属性规划!E$3,0)</f>
        <v>2200</v>
      </c>
    </row>
    <row r="30" spans="2:15">
      <c r="B30" s="29">
        <v>16</v>
      </c>
      <c r="C30" s="25">
        <f t="shared" si="0"/>
        <v>0.08</v>
      </c>
      <c r="D30" s="25">
        <f>1+SUM($C$15:C30)</f>
        <v>2.28</v>
      </c>
      <c r="E30" s="25">
        <f>ROUND($D30*养成属性规划!C$3,0)</f>
        <v>11400</v>
      </c>
      <c r="F30" s="25">
        <f>ROUND($D30*养成属性规划!D$3,0)</f>
        <v>3420</v>
      </c>
      <c r="G30" s="25">
        <f t="shared" si="1"/>
        <v>3420</v>
      </c>
      <c r="H30" s="25">
        <f>ROUND($D30*养成属性规划!E$3,0)</f>
        <v>2280</v>
      </c>
    </row>
    <row r="31" spans="2:15">
      <c r="B31" s="29">
        <v>17</v>
      </c>
      <c r="C31" s="25">
        <f t="shared" si="0"/>
        <v>0.08</v>
      </c>
      <c r="D31" s="25">
        <f>1+SUM($C$15:C31)</f>
        <v>2.36</v>
      </c>
      <c r="E31" s="25">
        <f>ROUND($D31*养成属性规划!C$3,0)</f>
        <v>11800</v>
      </c>
      <c r="F31" s="25">
        <f>ROUND($D31*养成属性规划!D$3,0)</f>
        <v>3540</v>
      </c>
      <c r="G31" s="25">
        <f t="shared" si="1"/>
        <v>3540</v>
      </c>
      <c r="H31" s="25">
        <f>ROUND($D31*养成属性规划!E$3,0)</f>
        <v>2360</v>
      </c>
    </row>
    <row r="32" spans="2:15">
      <c r="B32" s="29">
        <v>18</v>
      </c>
      <c r="C32" s="25">
        <f t="shared" si="0"/>
        <v>0.08</v>
      </c>
      <c r="D32" s="25">
        <f>1+SUM($C$15:C32)</f>
        <v>2.44</v>
      </c>
      <c r="E32" s="25">
        <f>ROUND($D32*养成属性规划!C$3,0)</f>
        <v>12200</v>
      </c>
      <c r="F32" s="25">
        <f>ROUND($D32*养成属性规划!D$3,0)</f>
        <v>3660</v>
      </c>
      <c r="G32" s="25">
        <f t="shared" si="1"/>
        <v>3660</v>
      </c>
      <c r="H32" s="25">
        <f>ROUND($D32*养成属性规划!E$3,0)</f>
        <v>2440</v>
      </c>
    </row>
    <row r="33" spans="2:8">
      <c r="B33" s="29">
        <v>19</v>
      </c>
      <c r="C33" s="25">
        <f t="shared" si="0"/>
        <v>0.08</v>
      </c>
      <c r="D33" s="25">
        <f>1+SUM($C$15:C33)</f>
        <v>2.52</v>
      </c>
      <c r="E33" s="25">
        <f>ROUND($D33*养成属性规划!C$3,0)</f>
        <v>12600</v>
      </c>
      <c r="F33" s="25">
        <f>ROUND($D33*养成属性规划!D$3,0)</f>
        <v>3780</v>
      </c>
      <c r="G33" s="25">
        <f t="shared" si="1"/>
        <v>3780</v>
      </c>
      <c r="H33" s="25">
        <f>ROUND($D33*养成属性规划!E$3,0)</f>
        <v>2520</v>
      </c>
    </row>
    <row r="34" spans="2:8">
      <c r="B34" s="29">
        <v>20</v>
      </c>
      <c r="C34" s="25">
        <f t="shared" si="0"/>
        <v>0.08</v>
      </c>
      <c r="D34" s="25">
        <f>1+SUM($C$15:C34)</f>
        <v>2.6</v>
      </c>
      <c r="E34" s="25">
        <f>ROUND($D34*养成属性规划!C$3,0)</f>
        <v>13000</v>
      </c>
      <c r="F34" s="25">
        <f>ROUND($D34*养成属性规划!D$3,0)</f>
        <v>3900</v>
      </c>
      <c r="G34" s="25">
        <f t="shared" si="1"/>
        <v>3900</v>
      </c>
      <c r="H34" s="25">
        <f>ROUND($D34*养成属性规划!E$3,0)</f>
        <v>2600</v>
      </c>
    </row>
    <row r="35" spans="2:8">
      <c r="B35" s="29">
        <v>21</v>
      </c>
      <c r="C35" s="25">
        <f t="shared" si="0"/>
        <v>0.08</v>
      </c>
      <c r="D35" s="25">
        <f>1+SUM($C$15:C35)</f>
        <v>2.68</v>
      </c>
      <c r="E35" s="25">
        <f>ROUND($D35*养成属性规划!C$3,0)</f>
        <v>13400</v>
      </c>
      <c r="F35" s="25">
        <f>ROUND($D35*养成属性规划!D$3,0)</f>
        <v>4020</v>
      </c>
      <c r="G35" s="25">
        <f t="shared" si="1"/>
        <v>4020</v>
      </c>
      <c r="H35" s="25">
        <f>ROUND($D35*养成属性规划!E$3,0)</f>
        <v>2680</v>
      </c>
    </row>
    <row r="36" spans="2:8">
      <c r="B36" s="29">
        <v>22</v>
      </c>
      <c r="C36" s="25">
        <f t="shared" si="0"/>
        <v>0.08</v>
      </c>
      <c r="D36" s="25">
        <f>1+SUM($C$15:C36)</f>
        <v>2.76</v>
      </c>
      <c r="E36" s="25">
        <f>ROUND($D36*养成属性规划!C$3,0)</f>
        <v>13800</v>
      </c>
      <c r="F36" s="25">
        <f>ROUND($D36*养成属性规划!D$3,0)</f>
        <v>4140</v>
      </c>
      <c r="G36" s="25">
        <f t="shared" si="1"/>
        <v>4140</v>
      </c>
      <c r="H36" s="25">
        <f>ROUND($D36*养成属性规划!E$3,0)</f>
        <v>2760</v>
      </c>
    </row>
    <row r="37" spans="2:8">
      <c r="B37" s="29">
        <v>23</v>
      </c>
      <c r="C37" s="25">
        <f t="shared" si="0"/>
        <v>0.08</v>
      </c>
      <c r="D37" s="25">
        <f>1+SUM($C$15:C37)</f>
        <v>2.84</v>
      </c>
      <c r="E37" s="25">
        <f>ROUND($D37*养成属性规划!C$3,0)</f>
        <v>14200</v>
      </c>
      <c r="F37" s="25">
        <f>ROUND($D37*养成属性规划!D$3,0)</f>
        <v>4260</v>
      </c>
      <c r="G37" s="25">
        <f t="shared" si="1"/>
        <v>4260</v>
      </c>
      <c r="H37" s="25">
        <f>ROUND($D37*养成属性规划!E$3,0)</f>
        <v>2840</v>
      </c>
    </row>
    <row r="38" spans="2:8">
      <c r="B38" s="29">
        <v>24</v>
      </c>
      <c r="C38" s="25">
        <f t="shared" si="0"/>
        <v>0.08</v>
      </c>
      <c r="D38" s="25">
        <f>1+SUM($C$15:C38)</f>
        <v>2.92</v>
      </c>
      <c r="E38" s="25">
        <f>ROUND($D38*养成属性规划!C$3,0)</f>
        <v>14600</v>
      </c>
      <c r="F38" s="25">
        <f>ROUND($D38*养成属性规划!D$3,0)</f>
        <v>4380</v>
      </c>
      <c r="G38" s="25">
        <f t="shared" si="1"/>
        <v>4380</v>
      </c>
      <c r="H38" s="25">
        <f>ROUND($D38*养成属性规划!E$3,0)</f>
        <v>2920</v>
      </c>
    </row>
    <row r="39" spans="2:8">
      <c r="B39" s="29">
        <v>25</v>
      </c>
      <c r="C39" s="25">
        <f t="shared" si="0"/>
        <v>0.08</v>
      </c>
      <c r="D39" s="25">
        <f>1+SUM($C$15:C39)</f>
        <v>3</v>
      </c>
      <c r="E39" s="25">
        <f>ROUND($D39*养成属性规划!C$3,0)</f>
        <v>15000</v>
      </c>
      <c r="F39" s="25">
        <f>ROUND($D39*养成属性规划!D$3,0)</f>
        <v>4500</v>
      </c>
      <c r="G39" s="25">
        <f t="shared" si="1"/>
        <v>4500</v>
      </c>
      <c r="H39" s="25">
        <f>ROUND($D39*养成属性规划!E$3,0)</f>
        <v>3000</v>
      </c>
    </row>
    <row r="40" spans="2:8">
      <c r="B40" s="29">
        <v>26</v>
      </c>
      <c r="C40" s="25">
        <f t="shared" si="0"/>
        <v>0.08</v>
      </c>
      <c r="D40" s="25">
        <f>1+SUM($C$15:C40)</f>
        <v>3.08</v>
      </c>
      <c r="E40" s="25">
        <f>ROUND($D40*养成属性规划!C$3,0)</f>
        <v>15400</v>
      </c>
      <c r="F40" s="25">
        <f>ROUND($D40*养成属性规划!D$3,0)</f>
        <v>4620</v>
      </c>
      <c r="G40" s="25">
        <f t="shared" si="1"/>
        <v>4620</v>
      </c>
      <c r="H40" s="25">
        <f>ROUND($D40*养成属性规划!E$3,0)</f>
        <v>3080</v>
      </c>
    </row>
    <row r="41" spans="2:8">
      <c r="B41" s="29">
        <v>27</v>
      </c>
      <c r="C41" s="25">
        <f t="shared" si="0"/>
        <v>0.08</v>
      </c>
      <c r="D41" s="25">
        <f>1+SUM($C$15:C41)</f>
        <v>3.16</v>
      </c>
      <c r="E41" s="25">
        <f>ROUND($D41*养成属性规划!C$3,0)</f>
        <v>15800</v>
      </c>
      <c r="F41" s="25">
        <f>ROUND($D41*养成属性规划!D$3,0)</f>
        <v>4740</v>
      </c>
      <c r="G41" s="25">
        <f t="shared" si="1"/>
        <v>4740</v>
      </c>
      <c r="H41" s="25">
        <f>ROUND($D41*养成属性规划!E$3,0)</f>
        <v>3160</v>
      </c>
    </row>
    <row r="42" spans="2:8">
      <c r="B42" s="29">
        <v>28</v>
      </c>
      <c r="C42" s="25">
        <f t="shared" si="0"/>
        <v>0.08</v>
      </c>
      <c r="D42" s="25">
        <f>1+SUM($C$15:C42)</f>
        <v>3.24</v>
      </c>
      <c r="E42" s="25">
        <f>ROUND($D42*养成属性规划!C$3,0)</f>
        <v>16200</v>
      </c>
      <c r="F42" s="25">
        <f>ROUND($D42*养成属性规划!D$3,0)</f>
        <v>4860</v>
      </c>
      <c r="G42" s="25">
        <f t="shared" si="1"/>
        <v>4860</v>
      </c>
      <c r="H42" s="25">
        <f>ROUND($D42*养成属性规划!E$3,0)</f>
        <v>3240</v>
      </c>
    </row>
    <row r="43" spans="2:8">
      <c r="B43" s="29">
        <v>29</v>
      </c>
      <c r="C43" s="25">
        <f t="shared" si="0"/>
        <v>0.08</v>
      </c>
      <c r="D43" s="25">
        <f>1+SUM($C$15:C43)</f>
        <v>3.32</v>
      </c>
      <c r="E43" s="25">
        <f>ROUND($D43*养成属性规划!C$3,0)</f>
        <v>16600</v>
      </c>
      <c r="F43" s="25">
        <f>ROUND($D43*养成属性规划!D$3,0)</f>
        <v>4980</v>
      </c>
      <c r="G43" s="25">
        <f t="shared" si="1"/>
        <v>4980</v>
      </c>
      <c r="H43" s="25">
        <f>ROUND($D43*养成属性规划!E$3,0)</f>
        <v>3320</v>
      </c>
    </row>
    <row r="44" spans="2:8">
      <c r="B44" s="29">
        <v>30</v>
      </c>
      <c r="C44" s="25">
        <f t="shared" si="0"/>
        <v>0.08</v>
      </c>
      <c r="D44" s="25">
        <f>1+SUM($C$15:C44)</f>
        <v>3.4</v>
      </c>
      <c r="E44" s="25">
        <f>ROUND($D44*养成属性规划!C$3,0)</f>
        <v>17000</v>
      </c>
      <c r="F44" s="25">
        <f>ROUND($D44*养成属性规划!D$3,0)</f>
        <v>5100</v>
      </c>
      <c r="G44" s="25">
        <f t="shared" si="1"/>
        <v>5100</v>
      </c>
      <c r="H44" s="25">
        <f>ROUND($D44*养成属性规划!E$3,0)</f>
        <v>3400</v>
      </c>
    </row>
    <row r="45" spans="2:8">
      <c r="B45" s="29">
        <v>31</v>
      </c>
      <c r="C45" s="25">
        <f t="shared" si="0"/>
        <v>0.08</v>
      </c>
      <c r="D45" s="25">
        <f>1+SUM($C$15:C45)</f>
        <v>3.48</v>
      </c>
      <c r="E45" s="25">
        <f>ROUND($D45*养成属性规划!C$3,0)</f>
        <v>17400</v>
      </c>
      <c r="F45" s="25">
        <f>ROUND($D45*养成属性规划!D$3,0)</f>
        <v>5220</v>
      </c>
      <c r="G45" s="25">
        <f t="shared" si="1"/>
        <v>5220</v>
      </c>
      <c r="H45" s="25">
        <f>ROUND($D45*养成属性规划!E$3,0)</f>
        <v>3480</v>
      </c>
    </row>
    <row r="46" spans="2:8">
      <c r="B46" s="29">
        <v>32</v>
      </c>
      <c r="C46" s="25">
        <f t="shared" si="0"/>
        <v>0.08</v>
      </c>
      <c r="D46" s="25">
        <f>1+SUM($C$15:C46)</f>
        <v>3.56</v>
      </c>
      <c r="E46" s="25">
        <f>ROUND($D46*养成属性规划!C$3,0)</f>
        <v>17800</v>
      </c>
      <c r="F46" s="25">
        <f>ROUND($D46*养成属性规划!D$3,0)</f>
        <v>5340</v>
      </c>
      <c r="G46" s="25">
        <f t="shared" si="1"/>
        <v>5340</v>
      </c>
      <c r="H46" s="25">
        <f>ROUND($D46*养成属性规划!E$3,0)</f>
        <v>3560</v>
      </c>
    </row>
    <row r="47" spans="2:8">
      <c r="B47" s="29">
        <v>33</v>
      </c>
      <c r="C47" s="25">
        <f t="shared" si="0"/>
        <v>0.08</v>
      </c>
      <c r="D47" s="25">
        <f>1+SUM($C$15:C47)</f>
        <v>3.64</v>
      </c>
      <c r="E47" s="25">
        <f>ROUND($D47*养成属性规划!C$3,0)</f>
        <v>18200</v>
      </c>
      <c r="F47" s="25">
        <f>ROUND($D47*养成属性规划!D$3,0)</f>
        <v>5460</v>
      </c>
      <c r="G47" s="25">
        <f t="shared" si="1"/>
        <v>5460</v>
      </c>
      <c r="H47" s="25">
        <f>ROUND($D47*养成属性规划!E$3,0)</f>
        <v>3640</v>
      </c>
    </row>
    <row r="48" spans="2:8">
      <c r="B48" s="29">
        <v>34</v>
      </c>
      <c r="C48" s="25">
        <f t="shared" si="0"/>
        <v>0.08</v>
      </c>
      <c r="D48" s="25">
        <f>1+SUM($C$15:C48)</f>
        <v>3.72</v>
      </c>
      <c r="E48" s="25">
        <f>ROUND($D48*养成属性规划!C$3,0)</f>
        <v>18600</v>
      </c>
      <c r="F48" s="25">
        <f>ROUND($D48*养成属性规划!D$3,0)</f>
        <v>5580</v>
      </c>
      <c r="G48" s="25">
        <f t="shared" si="1"/>
        <v>5580</v>
      </c>
      <c r="H48" s="25">
        <f>ROUND($D48*养成属性规划!E$3,0)</f>
        <v>3720</v>
      </c>
    </row>
    <row r="49" spans="2:8">
      <c r="B49" s="29">
        <v>35</v>
      </c>
      <c r="C49" s="25">
        <f t="shared" si="0"/>
        <v>0.08</v>
      </c>
      <c r="D49" s="25">
        <f>1+SUM($C$15:C49)</f>
        <v>3.8</v>
      </c>
      <c r="E49" s="25">
        <f>ROUND($D49*养成属性规划!C$3,0)</f>
        <v>19000</v>
      </c>
      <c r="F49" s="25">
        <f>ROUND($D49*养成属性规划!D$3,0)</f>
        <v>5700</v>
      </c>
      <c r="G49" s="25">
        <f t="shared" si="1"/>
        <v>5700</v>
      </c>
      <c r="H49" s="25">
        <f>ROUND($D49*养成属性规划!E$3,0)</f>
        <v>3800</v>
      </c>
    </row>
    <row r="50" spans="2:8">
      <c r="B50" s="29">
        <v>36</v>
      </c>
      <c r="C50" s="25">
        <f t="shared" si="0"/>
        <v>0.08</v>
      </c>
      <c r="D50" s="25">
        <f>1+SUM($C$15:C50)</f>
        <v>3.88</v>
      </c>
      <c r="E50" s="25">
        <f>ROUND($D50*养成属性规划!C$3,0)</f>
        <v>19400</v>
      </c>
      <c r="F50" s="25">
        <f>ROUND($D50*养成属性规划!D$3,0)</f>
        <v>5820</v>
      </c>
      <c r="G50" s="25">
        <f t="shared" si="1"/>
        <v>5820</v>
      </c>
      <c r="H50" s="25">
        <f>ROUND($D50*养成属性规划!E$3,0)</f>
        <v>3880</v>
      </c>
    </row>
    <row r="51" spans="2:8">
      <c r="B51" s="29">
        <v>37</v>
      </c>
      <c r="C51" s="25">
        <f t="shared" si="0"/>
        <v>0.08</v>
      </c>
      <c r="D51" s="25">
        <f>1+SUM($C$15:C51)</f>
        <v>3.96</v>
      </c>
      <c r="E51" s="25">
        <f>ROUND($D51*养成属性规划!C$3,0)</f>
        <v>19800</v>
      </c>
      <c r="F51" s="25">
        <f>ROUND($D51*养成属性规划!D$3,0)</f>
        <v>5940</v>
      </c>
      <c r="G51" s="25">
        <f t="shared" si="1"/>
        <v>5940</v>
      </c>
      <c r="H51" s="25">
        <f>ROUND($D51*养成属性规划!E$3,0)</f>
        <v>3960</v>
      </c>
    </row>
    <row r="52" spans="2:8">
      <c r="B52" s="29">
        <v>38</v>
      </c>
      <c r="C52" s="25">
        <f t="shared" si="0"/>
        <v>0.08</v>
      </c>
      <c r="D52" s="25">
        <f>1+SUM($C$15:C52)</f>
        <v>4.04</v>
      </c>
      <c r="E52" s="25">
        <f>ROUND($D52*养成属性规划!C$3,0)</f>
        <v>20200</v>
      </c>
      <c r="F52" s="25">
        <f>ROUND($D52*养成属性规划!D$3,0)</f>
        <v>6060</v>
      </c>
      <c r="G52" s="25">
        <f t="shared" si="1"/>
        <v>6060</v>
      </c>
      <c r="H52" s="25">
        <f>ROUND($D52*养成属性规划!E$3,0)</f>
        <v>4040</v>
      </c>
    </row>
    <row r="53" spans="2:8">
      <c r="B53" s="29">
        <v>39</v>
      </c>
      <c r="C53" s="25">
        <f t="shared" si="0"/>
        <v>0.08</v>
      </c>
      <c r="D53" s="25">
        <f>1+SUM($C$15:C53)</f>
        <v>4.12</v>
      </c>
      <c r="E53" s="25">
        <f>ROUND($D53*养成属性规划!C$3,0)</f>
        <v>20600</v>
      </c>
      <c r="F53" s="25">
        <f>ROUND($D53*养成属性规划!D$3,0)</f>
        <v>6180</v>
      </c>
      <c r="G53" s="25">
        <f t="shared" si="1"/>
        <v>6180</v>
      </c>
      <c r="H53" s="25">
        <f>ROUND($D53*养成属性规划!E$3,0)</f>
        <v>4120</v>
      </c>
    </row>
    <row r="54" spans="2:8">
      <c r="B54" s="29">
        <v>40</v>
      </c>
      <c r="C54" s="25">
        <f t="shared" si="0"/>
        <v>0.08</v>
      </c>
      <c r="D54" s="25">
        <f>1+SUM($C$15:C54)</f>
        <v>4.2</v>
      </c>
      <c r="E54" s="25">
        <f>ROUND($D54*养成属性规划!C$3,0)</f>
        <v>21000</v>
      </c>
      <c r="F54" s="25">
        <f>ROUND($D54*养成属性规划!D$3,0)</f>
        <v>6300</v>
      </c>
      <c r="G54" s="25">
        <f t="shared" si="1"/>
        <v>6300</v>
      </c>
      <c r="H54" s="25">
        <f>ROUND($D54*养成属性规划!E$3,0)</f>
        <v>4200</v>
      </c>
    </row>
    <row r="55" spans="2:8">
      <c r="B55" s="29">
        <v>41</v>
      </c>
      <c r="C55" s="25">
        <f t="shared" si="0"/>
        <v>0.08</v>
      </c>
      <c r="D55" s="25">
        <f>1+SUM($C$15:C55)</f>
        <v>4.28</v>
      </c>
      <c r="E55" s="25">
        <f>ROUND($D55*养成属性规划!C$3,0)</f>
        <v>21400</v>
      </c>
      <c r="F55" s="25">
        <f>ROUND($D55*养成属性规划!D$3,0)</f>
        <v>6420</v>
      </c>
      <c r="G55" s="25">
        <f t="shared" si="1"/>
        <v>6420</v>
      </c>
      <c r="H55" s="25">
        <f>ROUND($D55*养成属性规划!E$3,0)</f>
        <v>4280</v>
      </c>
    </row>
    <row r="56" spans="2:8">
      <c r="B56" s="29">
        <v>42</v>
      </c>
      <c r="C56" s="25">
        <f t="shared" si="0"/>
        <v>0.08</v>
      </c>
      <c r="D56" s="25">
        <f>1+SUM($C$15:C56)</f>
        <v>4.36</v>
      </c>
      <c r="E56" s="25">
        <f>ROUND($D56*养成属性规划!C$3,0)</f>
        <v>21800</v>
      </c>
      <c r="F56" s="25">
        <f>ROUND($D56*养成属性规划!D$3,0)</f>
        <v>6540</v>
      </c>
      <c r="G56" s="25">
        <f t="shared" si="1"/>
        <v>6540</v>
      </c>
      <c r="H56" s="25">
        <f>ROUND($D56*养成属性规划!E$3,0)</f>
        <v>4360</v>
      </c>
    </row>
    <row r="57" spans="2:8">
      <c r="B57" s="29">
        <v>43</v>
      </c>
      <c r="C57" s="25">
        <f t="shared" si="0"/>
        <v>0.08</v>
      </c>
      <c r="D57" s="25">
        <f>1+SUM($C$15:C57)</f>
        <v>4.44</v>
      </c>
      <c r="E57" s="25">
        <f>ROUND($D57*养成属性规划!C$3,0)</f>
        <v>22200</v>
      </c>
      <c r="F57" s="25">
        <f>ROUND($D57*养成属性规划!D$3,0)</f>
        <v>6660</v>
      </c>
      <c r="G57" s="25">
        <f t="shared" si="1"/>
        <v>6660</v>
      </c>
      <c r="H57" s="25">
        <f>ROUND($D57*养成属性规划!E$3,0)</f>
        <v>4440</v>
      </c>
    </row>
    <row r="58" spans="2:8">
      <c r="B58" s="29">
        <v>44</v>
      </c>
      <c r="C58" s="25">
        <f t="shared" si="0"/>
        <v>0.08</v>
      </c>
      <c r="D58" s="25">
        <f>1+SUM($C$15:C58)</f>
        <v>4.52</v>
      </c>
      <c r="E58" s="25">
        <f>ROUND($D58*养成属性规划!C$3,0)</f>
        <v>22600</v>
      </c>
      <c r="F58" s="25">
        <f>ROUND($D58*养成属性规划!D$3,0)</f>
        <v>6780</v>
      </c>
      <c r="G58" s="25">
        <f t="shared" si="1"/>
        <v>6780</v>
      </c>
      <c r="H58" s="25">
        <f>ROUND($D58*养成属性规划!E$3,0)</f>
        <v>4520</v>
      </c>
    </row>
    <row r="59" spans="2:8">
      <c r="B59" s="29">
        <v>45</v>
      </c>
      <c r="C59" s="25">
        <f t="shared" si="0"/>
        <v>0.08</v>
      </c>
      <c r="D59" s="25">
        <f>1+SUM($C$15:C59)</f>
        <v>4.6</v>
      </c>
      <c r="E59" s="25">
        <f>ROUND($D59*养成属性规划!C$3,0)</f>
        <v>23000</v>
      </c>
      <c r="F59" s="25">
        <f>ROUND($D59*养成属性规划!D$3,0)</f>
        <v>6900</v>
      </c>
      <c r="G59" s="25">
        <f t="shared" si="1"/>
        <v>6900</v>
      </c>
      <c r="H59" s="25">
        <f>ROUND($D59*养成属性规划!E$3,0)</f>
        <v>4600</v>
      </c>
    </row>
    <row r="60" spans="2:8">
      <c r="B60" s="29">
        <v>46</v>
      </c>
      <c r="C60" s="25">
        <f t="shared" si="0"/>
        <v>0.08</v>
      </c>
      <c r="D60" s="25">
        <f>1+SUM($C$15:C60)</f>
        <v>4.68</v>
      </c>
      <c r="E60" s="25">
        <f>ROUND($D60*养成属性规划!C$3,0)</f>
        <v>23400</v>
      </c>
      <c r="F60" s="25">
        <f>ROUND($D60*养成属性规划!D$3,0)</f>
        <v>7020</v>
      </c>
      <c r="G60" s="25">
        <f t="shared" si="1"/>
        <v>7020</v>
      </c>
      <c r="H60" s="25">
        <f>ROUND($D60*养成属性规划!E$3,0)</f>
        <v>4680</v>
      </c>
    </row>
    <row r="61" spans="2:8">
      <c r="B61" s="29">
        <v>47</v>
      </c>
      <c r="C61" s="25">
        <f t="shared" si="0"/>
        <v>0.08</v>
      </c>
      <c r="D61" s="25">
        <f>1+SUM($C$15:C61)</f>
        <v>4.76</v>
      </c>
      <c r="E61" s="25">
        <f>ROUND($D61*养成属性规划!C$3,0)</f>
        <v>23800</v>
      </c>
      <c r="F61" s="25">
        <f>ROUND($D61*养成属性规划!D$3,0)</f>
        <v>7140</v>
      </c>
      <c r="G61" s="25">
        <f t="shared" si="1"/>
        <v>7140</v>
      </c>
      <c r="H61" s="25">
        <f>ROUND($D61*养成属性规划!E$3,0)</f>
        <v>4760</v>
      </c>
    </row>
    <row r="62" spans="2:8">
      <c r="B62" s="29">
        <v>48</v>
      </c>
      <c r="C62" s="25">
        <f t="shared" si="0"/>
        <v>0.08</v>
      </c>
      <c r="D62" s="25">
        <f>1+SUM($C$15:C62)</f>
        <v>4.84</v>
      </c>
      <c r="E62" s="25">
        <f>ROUND($D62*养成属性规划!C$3,0)</f>
        <v>24200</v>
      </c>
      <c r="F62" s="25">
        <f>ROUND($D62*养成属性规划!D$3,0)</f>
        <v>7260</v>
      </c>
      <c r="G62" s="25">
        <f t="shared" si="1"/>
        <v>7260</v>
      </c>
      <c r="H62" s="25">
        <f>ROUND($D62*养成属性规划!E$3,0)</f>
        <v>4840</v>
      </c>
    </row>
    <row r="63" spans="2:8">
      <c r="B63" s="29">
        <v>49</v>
      </c>
      <c r="C63" s="25">
        <f t="shared" si="0"/>
        <v>0.08</v>
      </c>
      <c r="D63" s="25">
        <f>1+SUM($C$15:C63)</f>
        <v>4.92</v>
      </c>
      <c r="E63" s="25">
        <f>ROUND($D63*养成属性规划!C$3,0)</f>
        <v>24600</v>
      </c>
      <c r="F63" s="25">
        <f>ROUND($D63*养成属性规划!D$3,0)</f>
        <v>7380</v>
      </c>
      <c r="G63" s="25">
        <f t="shared" si="1"/>
        <v>7380</v>
      </c>
      <c r="H63" s="25">
        <f>ROUND($D63*养成属性规划!E$3,0)</f>
        <v>4920</v>
      </c>
    </row>
    <row r="64" spans="2:8">
      <c r="B64" s="29">
        <v>50</v>
      </c>
      <c r="C64" s="25">
        <f t="shared" si="0"/>
        <v>0.08</v>
      </c>
      <c r="D64" s="25">
        <f>1+SUM($C$15:C64)</f>
        <v>5</v>
      </c>
      <c r="E64" s="25">
        <f>ROUND($D64*养成属性规划!C$3,0)</f>
        <v>25000</v>
      </c>
      <c r="F64" s="25">
        <f>ROUND($D64*养成属性规划!D$3,0)</f>
        <v>7500</v>
      </c>
      <c r="G64" s="25">
        <f t="shared" si="1"/>
        <v>7500</v>
      </c>
      <c r="H64" s="25">
        <f>ROUND($D64*养成属性规划!E$3,0)</f>
        <v>5000</v>
      </c>
    </row>
    <row r="65" spans="2:8">
      <c r="B65" s="29">
        <v>51</v>
      </c>
      <c r="C65" s="25">
        <f t="shared" si="0"/>
        <v>0.08</v>
      </c>
      <c r="D65" s="25">
        <f>1+SUM($C$15:C65)</f>
        <v>5.08</v>
      </c>
      <c r="E65" s="25">
        <f>ROUND($D65*养成属性规划!C$3,0)</f>
        <v>25400</v>
      </c>
      <c r="F65" s="25">
        <f>ROUND($D65*养成属性规划!D$3,0)</f>
        <v>7620</v>
      </c>
      <c r="G65" s="25">
        <f t="shared" si="1"/>
        <v>7620</v>
      </c>
      <c r="H65" s="25">
        <f>ROUND($D65*养成属性规划!E$3,0)</f>
        <v>5080</v>
      </c>
    </row>
    <row r="66" spans="2:8">
      <c r="B66" s="29">
        <v>52</v>
      </c>
      <c r="C66" s="25">
        <f t="shared" si="0"/>
        <v>0.08</v>
      </c>
      <c r="D66" s="25">
        <f>1+SUM($C$15:C66)</f>
        <v>5.16</v>
      </c>
      <c r="E66" s="25">
        <f>ROUND($D66*养成属性规划!C$3,0)</f>
        <v>25800</v>
      </c>
      <c r="F66" s="25">
        <f>ROUND($D66*养成属性规划!D$3,0)</f>
        <v>7740</v>
      </c>
      <c r="G66" s="25">
        <f t="shared" si="1"/>
        <v>7740</v>
      </c>
      <c r="H66" s="25">
        <f>ROUND($D66*养成属性规划!E$3,0)</f>
        <v>5160</v>
      </c>
    </row>
    <row r="67" spans="2:8">
      <c r="B67" s="29">
        <v>53</v>
      </c>
      <c r="C67" s="25">
        <f t="shared" si="0"/>
        <v>0.08</v>
      </c>
      <c r="D67" s="25">
        <f>1+SUM($C$15:C67)</f>
        <v>5.24</v>
      </c>
      <c r="E67" s="25">
        <f>ROUND($D67*养成属性规划!C$3,0)</f>
        <v>26200</v>
      </c>
      <c r="F67" s="25">
        <f>ROUND($D67*养成属性规划!D$3,0)</f>
        <v>7860</v>
      </c>
      <c r="G67" s="25">
        <f t="shared" si="1"/>
        <v>7860</v>
      </c>
      <c r="H67" s="25">
        <f>ROUND($D67*养成属性规划!E$3,0)</f>
        <v>5240</v>
      </c>
    </row>
    <row r="68" spans="2:8">
      <c r="B68" s="29">
        <v>54</v>
      </c>
      <c r="C68" s="25">
        <f t="shared" si="0"/>
        <v>0.08</v>
      </c>
      <c r="D68" s="25">
        <f>1+SUM($C$15:C68)</f>
        <v>5.32</v>
      </c>
      <c r="E68" s="25">
        <f>ROUND($D68*养成属性规划!C$3,0)</f>
        <v>26600</v>
      </c>
      <c r="F68" s="25">
        <f>ROUND($D68*养成属性规划!D$3,0)</f>
        <v>7980</v>
      </c>
      <c r="G68" s="25">
        <f t="shared" si="1"/>
        <v>7980</v>
      </c>
      <c r="H68" s="25">
        <f>ROUND($D68*养成属性规划!E$3,0)</f>
        <v>5320</v>
      </c>
    </row>
    <row r="69" spans="2:8">
      <c r="B69" s="29">
        <v>55</v>
      </c>
      <c r="C69" s="25">
        <f t="shared" si="0"/>
        <v>0.08</v>
      </c>
      <c r="D69" s="25">
        <f>1+SUM($C$15:C69)</f>
        <v>5.4</v>
      </c>
      <c r="E69" s="25">
        <f>ROUND($D69*养成属性规划!C$3,0)</f>
        <v>27000</v>
      </c>
      <c r="F69" s="25">
        <f>ROUND($D69*养成属性规划!D$3,0)</f>
        <v>8100</v>
      </c>
      <c r="G69" s="25">
        <f t="shared" si="1"/>
        <v>8100</v>
      </c>
      <c r="H69" s="25">
        <f>ROUND($D69*养成属性规划!E$3,0)</f>
        <v>5400</v>
      </c>
    </row>
    <row r="70" spans="2:8">
      <c r="B70" s="29">
        <v>56</v>
      </c>
      <c r="C70" s="25">
        <f t="shared" si="0"/>
        <v>0.08</v>
      </c>
      <c r="D70" s="25">
        <f>1+SUM($C$15:C70)</f>
        <v>5.48</v>
      </c>
      <c r="E70" s="25">
        <f>ROUND($D70*养成属性规划!C$3,0)</f>
        <v>27400</v>
      </c>
      <c r="F70" s="25">
        <f>ROUND($D70*养成属性规划!D$3,0)</f>
        <v>8220</v>
      </c>
      <c r="G70" s="25">
        <f t="shared" si="1"/>
        <v>8220</v>
      </c>
      <c r="H70" s="25">
        <f>ROUND($D70*养成属性规划!E$3,0)</f>
        <v>5480</v>
      </c>
    </row>
    <row r="71" spans="2:8">
      <c r="B71" s="29">
        <v>57</v>
      </c>
      <c r="C71" s="25">
        <f t="shared" si="0"/>
        <v>0.08</v>
      </c>
      <c r="D71" s="25">
        <f>1+SUM($C$15:C71)</f>
        <v>5.56</v>
      </c>
      <c r="E71" s="25">
        <f>ROUND($D71*养成属性规划!C$3,0)</f>
        <v>27800</v>
      </c>
      <c r="F71" s="25">
        <f>ROUND($D71*养成属性规划!D$3,0)</f>
        <v>8340</v>
      </c>
      <c r="G71" s="25">
        <f t="shared" si="1"/>
        <v>8340</v>
      </c>
      <c r="H71" s="25">
        <f>ROUND($D71*养成属性规划!E$3,0)</f>
        <v>5560</v>
      </c>
    </row>
    <row r="72" spans="2:8">
      <c r="B72" s="29">
        <v>58</v>
      </c>
      <c r="C72" s="25">
        <f t="shared" si="0"/>
        <v>0.08</v>
      </c>
      <c r="D72" s="25">
        <f>1+SUM($C$15:C72)</f>
        <v>5.64</v>
      </c>
      <c r="E72" s="25">
        <f>ROUND($D72*养成属性规划!C$3,0)</f>
        <v>28200</v>
      </c>
      <c r="F72" s="25">
        <f>ROUND($D72*养成属性规划!D$3,0)</f>
        <v>8460</v>
      </c>
      <c r="G72" s="25">
        <f t="shared" si="1"/>
        <v>8460</v>
      </c>
      <c r="H72" s="25">
        <f>ROUND($D72*养成属性规划!E$3,0)</f>
        <v>5640</v>
      </c>
    </row>
    <row r="73" spans="2:8">
      <c r="B73" s="29">
        <v>59</v>
      </c>
      <c r="C73" s="25">
        <f t="shared" si="0"/>
        <v>0.08</v>
      </c>
      <c r="D73" s="25">
        <f>1+SUM($C$15:C73)</f>
        <v>5.72</v>
      </c>
      <c r="E73" s="25">
        <f>ROUND($D73*养成属性规划!C$3,0)</f>
        <v>28600</v>
      </c>
      <c r="F73" s="25">
        <f>ROUND($D73*养成属性规划!D$3,0)</f>
        <v>8580</v>
      </c>
      <c r="G73" s="25">
        <f t="shared" si="1"/>
        <v>8580</v>
      </c>
      <c r="H73" s="25">
        <f>ROUND($D73*养成属性规划!E$3,0)</f>
        <v>5720</v>
      </c>
    </row>
    <row r="74" spans="2:8">
      <c r="B74" s="29">
        <v>60</v>
      </c>
      <c r="C74" s="25">
        <f t="shared" si="0"/>
        <v>0.08</v>
      </c>
      <c r="D74" s="25">
        <f>1+SUM($C$15:C74)</f>
        <v>5.8</v>
      </c>
      <c r="E74" s="25">
        <f>ROUND($D74*养成属性规划!C$3,0)</f>
        <v>29000</v>
      </c>
      <c r="F74" s="25">
        <f>ROUND($D74*养成属性规划!D$3,0)</f>
        <v>8700</v>
      </c>
      <c r="G74" s="25">
        <f t="shared" si="1"/>
        <v>8700</v>
      </c>
      <c r="H74" s="25">
        <f>ROUND($D74*养成属性规划!E$3,0)</f>
        <v>5800</v>
      </c>
    </row>
    <row r="75" spans="2:8">
      <c r="B75" s="29"/>
    </row>
    <row r="76" spans="2:8">
      <c r="B76" s="29"/>
    </row>
    <row r="77" spans="2:8">
      <c r="B77" s="29"/>
    </row>
    <row r="78" spans="2:8">
      <c r="B78" s="29"/>
    </row>
    <row r="79" spans="2:8">
      <c r="B79" s="29"/>
    </row>
    <row r="80" spans="2:8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8"/>
  <sheetViews>
    <sheetView workbookViewId="0">
      <selection activeCell="M25" sqref="M25"/>
    </sheetView>
  </sheetViews>
  <sheetFormatPr defaultColWidth="9" defaultRowHeight="13.5" outlineLevelCol="3"/>
  <cols>
    <col min="2" max="2" width="16.375" style="8" customWidth="1"/>
  </cols>
  <sheetData>
    <row r="2" ht="16.5" customHeight="1" spans="2:4">
      <c r="B2" s="25" t="s">
        <v>127</v>
      </c>
      <c r="C2" s="25"/>
      <c r="D2" s="25"/>
    </row>
    <row r="3" ht="16.5" customHeight="1" spans="2:4">
      <c r="B3" s="25" t="s">
        <v>167</v>
      </c>
    </row>
    <row r="6" ht="16.5" customHeight="1" spans="2:4">
      <c r="B6" s="25" t="s">
        <v>128</v>
      </c>
      <c r="C6" s="30">
        <v>0.01</v>
      </c>
    </row>
    <row r="7" ht="16.5" customHeight="1" spans="2:4">
      <c r="B7" s="25" t="s">
        <v>129</v>
      </c>
      <c r="C7" s="30">
        <v>0.01</v>
      </c>
    </row>
    <row r="8" ht="16.5" customHeight="1" spans="2:4">
      <c r="B8" s="25" t="s">
        <v>130</v>
      </c>
      <c r="C8" s="30">
        <v>0.01</v>
      </c>
    </row>
    <row r="9" ht="16.5" customHeight="1" spans="2:4">
      <c r="B9" s="25" t="s">
        <v>131</v>
      </c>
      <c r="C9" s="30">
        <v>0</v>
      </c>
    </row>
    <row r="10" ht="16.5" customHeight="1" spans="2:4">
      <c r="B10" s="25" t="s">
        <v>132</v>
      </c>
      <c r="C10" s="30">
        <v>0.0033</v>
      </c>
    </row>
    <row r="11" ht="16.5" customHeight="1" spans="2:4">
      <c r="B11" s="25" t="s">
        <v>133</v>
      </c>
      <c r="C11" s="30">
        <v>0.0018</v>
      </c>
    </row>
    <row r="12" ht="16.5" customHeight="1" spans="2:4">
      <c r="B12" s="25" t="s">
        <v>134</v>
      </c>
      <c r="C12" s="30">
        <v>0.0054</v>
      </c>
    </row>
    <row r="13" ht="16.5" customHeight="1" spans="2:4">
      <c r="B13" s="25" t="s">
        <v>135</v>
      </c>
      <c r="C13" s="30">
        <v>0.0033</v>
      </c>
    </row>
    <row r="14" ht="16.5" customHeight="1" spans="2:4">
      <c r="B14" s="38" t="s">
        <v>136</v>
      </c>
      <c r="C14" s="30">
        <v>0.009</v>
      </c>
    </row>
    <row r="15" ht="16.5" customHeight="1" spans="2:4">
      <c r="B15" s="38" t="s">
        <v>137</v>
      </c>
      <c r="C15" s="30">
        <v>0.012</v>
      </c>
    </row>
    <row r="16" ht="16.5" customHeight="1" spans="2:4">
      <c r="B16" s="38" t="s">
        <v>138</v>
      </c>
      <c r="C16" s="30">
        <v>0.012</v>
      </c>
    </row>
    <row r="17" ht="16.5" customHeight="1" spans="2:4">
      <c r="B17" s="39" t="s">
        <v>139</v>
      </c>
      <c r="C17" s="30">
        <v>0.005</v>
      </c>
    </row>
    <row r="18" ht="16.5" customHeight="1" spans="2:4">
      <c r="B18" s="39" t="s">
        <v>140</v>
      </c>
      <c r="C18" s="30">
        <v>0.0025</v>
      </c>
    </row>
    <row r="19" ht="16.5" customHeight="1" spans="2:4">
      <c r="B19" s="38" t="s">
        <v>141</v>
      </c>
      <c r="C19" s="30">
        <v>0.0042</v>
      </c>
    </row>
    <row r="20" ht="16.5" customHeight="1" spans="2:4">
      <c r="B20" s="38" t="s">
        <v>142</v>
      </c>
      <c r="C20" s="30">
        <v>0.0042</v>
      </c>
    </row>
    <row r="21" ht="16.5" customHeight="1" spans="2:4">
      <c r="B21" s="25" t="s">
        <v>143</v>
      </c>
      <c r="C21" s="29">
        <v>90</v>
      </c>
    </row>
    <row r="22" ht="16.5" customHeight="1" spans="2:4">
      <c r="B22" s="25" t="s">
        <v>144</v>
      </c>
      <c r="C22" s="29">
        <v>110</v>
      </c>
    </row>
    <row r="23" ht="16.5" customHeight="1" spans="2:4">
      <c r="B23" s="25" t="s">
        <v>145</v>
      </c>
      <c r="C23" s="29">
        <v>90</v>
      </c>
    </row>
    <row r="24" ht="16.5" customHeight="1" spans="2:4">
      <c r="B24" s="25" t="s">
        <v>146</v>
      </c>
      <c r="C24" s="29">
        <v>130</v>
      </c>
      <c r="D24" s="25"/>
    </row>
    <row r="25" ht="16.5" customHeight="1" spans="2:4">
      <c r="B25" s="25" t="s">
        <v>128</v>
      </c>
      <c r="C25" s="30">
        <v>0.01</v>
      </c>
      <c r="D25" s="25"/>
    </row>
    <row r="26" ht="16.5" customHeight="1" spans="2:4">
      <c r="B26" s="25" t="s">
        <v>128</v>
      </c>
      <c r="C26" s="30">
        <v>0.01</v>
      </c>
    </row>
    <row r="27" ht="16.5" customHeight="1" spans="2:4">
      <c r="B27" s="25" t="s">
        <v>147</v>
      </c>
      <c r="C27" s="30">
        <v>0.00333333333333333</v>
      </c>
    </row>
    <row r="28" ht="16.5" customHeight="1" spans="2:4">
      <c r="B28" s="25" t="s">
        <v>148</v>
      </c>
      <c r="C28" s="29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39"/>
  <sheetViews>
    <sheetView topLeftCell="A8" workbookViewId="0">
      <selection activeCell="J18" sqref="J18"/>
    </sheetView>
  </sheetViews>
  <sheetFormatPr defaultColWidth="9" defaultRowHeight="16.5"/>
  <cols>
    <col min="1" max="13" width="9" style="25" customWidth="1"/>
    <col min="14" max="14" width="16.5" style="25" customWidth="1"/>
    <col min="15" max="15" width="11.5" style="25" customWidth="1"/>
    <col min="16" max="16384" width="9" style="25" customWidth="1"/>
  </cols>
  <sheetData>
    <row r="2" ht="18" customHeight="1" spans="2:14">
      <c r="B2" s="133" t="s">
        <v>168</v>
      </c>
    </row>
    <row r="4" spans="2:14">
      <c r="B4" s="25">
        <v>1</v>
      </c>
      <c r="C4" s="25" t="s">
        <v>169</v>
      </c>
    </row>
    <row r="6" spans="2:14">
      <c r="B6" s="25">
        <v>2</v>
      </c>
      <c r="C6" s="25" t="s">
        <v>170</v>
      </c>
    </row>
    <row r="8" spans="2:14">
      <c r="B8" s="106" t="s">
        <v>171</v>
      </c>
    </row>
    <row r="10" spans="2:14">
      <c r="B10" s="25" t="s">
        <v>172</v>
      </c>
      <c r="F10" s="25" t="s">
        <v>119</v>
      </c>
      <c r="J10" s="25" t="s">
        <v>173</v>
      </c>
    </row>
    <row r="11" spans="2:14">
      <c r="B11" s="56" t="s">
        <v>79</v>
      </c>
      <c r="C11" s="56" t="s">
        <v>80</v>
      </c>
      <c r="D11" s="56" t="s">
        <v>81</v>
      </c>
      <c r="F11" s="27" t="s">
        <v>121</v>
      </c>
      <c r="J11" s="27" t="s">
        <v>121</v>
      </c>
    </row>
    <row r="12" spans="2:14">
      <c r="B12" s="31">
        <f>养成属性规划!G40</f>
        <v>0.9</v>
      </c>
      <c r="C12" s="31">
        <f>养成属性规划!H40</f>
        <v>0.9</v>
      </c>
      <c r="D12" s="31">
        <f>养成属性规划!I40</f>
        <v>0.9</v>
      </c>
      <c r="F12" s="174">
        <f>养成属性规划!P40</f>
        <v>0.6</v>
      </c>
      <c r="J12" s="174">
        <f>养成属性规划!S40</f>
        <v>0</v>
      </c>
    </row>
    <row r="15" spans="2:14">
      <c r="B15" s="25" t="s">
        <v>174</v>
      </c>
      <c r="C15" s="25" t="s">
        <v>175</v>
      </c>
    </row>
    <row r="16" spans="2:14">
      <c r="B16" s="25">
        <v>1</v>
      </c>
      <c r="C16" s="25" t="s">
        <v>176</v>
      </c>
      <c r="N16" s="25" t="s">
        <v>127</v>
      </c>
    </row>
    <row r="17" spans="2:16">
      <c r="B17" s="25">
        <v>2</v>
      </c>
      <c r="C17" s="25" t="s">
        <v>177</v>
      </c>
      <c r="F17" s="25" t="s">
        <v>178</v>
      </c>
      <c r="G17" s="25" t="s">
        <v>179</v>
      </c>
      <c r="N17" s="25" t="s">
        <v>128</v>
      </c>
      <c r="O17" s="30">
        <f>属性定价!$C$6</f>
        <v>0.01</v>
      </c>
    </row>
    <row r="18" spans="2:16">
      <c r="B18" s="25">
        <v>3</v>
      </c>
      <c r="C18" s="25" t="s">
        <v>180</v>
      </c>
      <c r="F18" s="132">
        <v>0.15</v>
      </c>
      <c r="G18" s="132">
        <v>0.3</v>
      </c>
      <c r="N18" s="25" t="s">
        <v>129</v>
      </c>
      <c r="O18" s="30">
        <f>属性定价!$C$7</f>
        <v>0.01</v>
      </c>
    </row>
    <row r="19" spans="2:16">
      <c r="B19" s="25">
        <v>4</v>
      </c>
      <c r="C19" s="25" t="s">
        <v>181</v>
      </c>
      <c r="N19" s="25" t="s">
        <v>130</v>
      </c>
      <c r="O19" s="30">
        <f>属性定价!$C$8</f>
        <v>0.01</v>
      </c>
    </row>
    <row r="20" spans="2:16">
      <c r="B20" s="25">
        <v>5</v>
      </c>
      <c r="C20" s="25" t="s">
        <v>182</v>
      </c>
      <c r="F20" s="132">
        <v>0.15</v>
      </c>
      <c r="G20" s="132">
        <v>0.3</v>
      </c>
      <c r="N20" s="25" t="s">
        <v>131</v>
      </c>
      <c r="O20" s="30">
        <f>属性定价!$C$9</f>
        <v>0</v>
      </c>
    </row>
    <row r="21" spans="2:16">
      <c r="B21" s="25">
        <v>6</v>
      </c>
      <c r="C21" s="25" t="s">
        <v>183</v>
      </c>
      <c r="N21" s="25" t="s">
        <v>132</v>
      </c>
      <c r="O21" s="30">
        <f>属性定价!$C$10</f>
        <v>0.0033</v>
      </c>
      <c r="P21" s="38" t="s">
        <v>184</v>
      </c>
    </row>
    <row r="22" spans="2:16">
      <c r="N22" s="25" t="s">
        <v>133</v>
      </c>
      <c r="O22" s="30">
        <f>属性定价!$C$11</f>
        <v>0.0018</v>
      </c>
      <c r="P22" s="38" t="s">
        <v>185</v>
      </c>
    </row>
    <row r="23" spans="2:16">
      <c r="N23" s="25" t="s">
        <v>134</v>
      </c>
      <c r="O23" s="30">
        <f>属性定价!$C$12</f>
        <v>0.0054</v>
      </c>
      <c r="P23" s="38" t="s">
        <v>186</v>
      </c>
    </row>
    <row r="24" spans="2:16">
      <c r="N24" s="25" t="s">
        <v>135</v>
      </c>
      <c r="O24" s="30">
        <f>属性定价!$C$13</f>
        <v>0.0033</v>
      </c>
    </row>
    <row r="25" spans="2:16">
      <c r="N25" s="38" t="s">
        <v>136</v>
      </c>
      <c r="O25" s="30">
        <f>属性定价!$C$14</f>
        <v>0.009</v>
      </c>
    </row>
    <row r="26" spans="2:16">
      <c r="N26" s="38" t="s">
        <v>137</v>
      </c>
      <c r="O26" s="30">
        <f>属性定价!$C$15</f>
        <v>0.012</v>
      </c>
    </row>
    <row r="27" spans="2:16">
      <c r="N27" s="38" t="s">
        <v>138</v>
      </c>
      <c r="O27" s="30">
        <f>属性定价!$C$16</f>
        <v>0.012</v>
      </c>
    </row>
    <row r="28" spans="2:16">
      <c r="N28" s="39" t="s">
        <v>139</v>
      </c>
      <c r="O28" s="30">
        <f>属性定价!$C$17</f>
        <v>0.005</v>
      </c>
    </row>
    <row r="29" spans="2:16">
      <c r="N29" s="39" t="s">
        <v>140</v>
      </c>
      <c r="O29" s="30">
        <f>属性定价!$C$18</f>
        <v>0.0025</v>
      </c>
    </row>
    <row r="30" spans="2:16">
      <c r="N30" s="38" t="s">
        <v>141</v>
      </c>
      <c r="O30" s="30">
        <f>属性定价!$C$19</f>
        <v>0.0042</v>
      </c>
    </row>
    <row r="31" spans="2:16">
      <c r="N31" s="38" t="s">
        <v>142</v>
      </c>
      <c r="O31" s="30">
        <f>属性定价!$C$20</f>
        <v>0.0042</v>
      </c>
    </row>
    <row r="32" spans="2:16">
      <c r="N32" s="25" t="s">
        <v>143</v>
      </c>
      <c r="O32" s="41">
        <f>属性定价!$C$21</f>
        <v>90</v>
      </c>
    </row>
    <row r="33" spans="14:15">
      <c r="N33" s="25" t="s">
        <v>144</v>
      </c>
      <c r="O33" s="41">
        <f>属性定价!$C$22</f>
        <v>110</v>
      </c>
    </row>
    <row r="34" spans="14:15">
      <c r="N34" s="25" t="s">
        <v>145</v>
      </c>
      <c r="O34" s="41">
        <f>属性定价!$C$23</f>
        <v>90</v>
      </c>
    </row>
    <row r="35" spans="14:15">
      <c r="N35" s="25" t="s">
        <v>146</v>
      </c>
      <c r="O35" s="41">
        <f>属性定价!$C$24</f>
        <v>130</v>
      </c>
    </row>
    <row r="36" spans="14:15">
      <c r="N36" s="25" t="s">
        <v>128</v>
      </c>
      <c r="O36" s="30">
        <f>属性定价!$C$25</f>
        <v>0.01</v>
      </c>
    </row>
    <row r="37" spans="14:15">
      <c r="N37" s="25" t="s">
        <v>128</v>
      </c>
      <c r="O37" s="30">
        <f>属性定价!$C$26</f>
        <v>0.01</v>
      </c>
    </row>
    <row r="38" spans="14:15">
      <c r="N38" s="25" t="s">
        <v>147</v>
      </c>
      <c r="O38" s="30">
        <f>属性定价!$C$27</f>
        <v>0.00333333333333333</v>
      </c>
    </row>
    <row r="39" spans="14:15">
      <c r="N39" s="25" t="s">
        <v>148</v>
      </c>
      <c r="O39" s="41">
        <f>属性定价!$C$28</f>
        <v>100</v>
      </c>
    </row>
  </sheetData>
  <mergeCells count="4">
    <mergeCell ref="F11:H11"/>
    <mergeCell ref="J11:L11"/>
    <mergeCell ref="F12:H12"/>
    <mergeCell ref="J12:L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69"/>
  <sheetViews>
    <sheetView topLeftCell="A44" workbookViewId="0">
      <selection activeCell="G79" sqref="G79"/>
    </sheetView>
  </sheetViews>
  <sheetFormatPr defaultColWidth="9" defaultRowHeight="16.5"/>
  <cols>
    <col min="1" max="2" width="9" style="25" customWidth="1"/>
    <col min="3" max="4" width="14.125" style="25" customWidth="1"/>
    <col min="5" max="9" width="9" style="25" customWidth="1"/>
    <col min="10" max="10" width="12.625" style="25" customWidth="1"/>
    <col min="11" max="12" width="9" style="25" customWidth="1"/>
    <col min="13" max="13" width="13.875" style="25" customWidth="1"/>
    <col min="14" max="14" width="11.5" style="25" customWidth="1"/>
    <col min="15" max="15" width="8.875" style="25" customWidth="1"/>
    <col min="16" max="16384" width="9" style="25" customWidth="1"/>
  </cols>
  <sheetData>
    <row r="2" ht="18" customHeight="1" spans="2:15">
      <c r="B2" s="133" t="s">
        <v>187</v>
      </c>
    </row>
    <row r="4" spans="2:15">
      <c r="B4" s="25">
        <v>1</v>
      </c>
      <c r="C4" s="25" t="s">
        <v>188</v>
      </c>
    </row>
    <row r="6" spans="2:15">
      <c r="B6" s="25">
        <v>2</v>
      </c>
      <c r="C6" s="25" t="s">
        <v>189</v>
      </c>
    </row>
    <row r="8" spans="2:15">
      <c r="C8" s="25" t="s">
        <v>190</v>
      </c>
    </row>
    <row r="10" spans="2:15">
      <c r="B10" s="25">
        <v>3</v>
      </c>
      <c r="C10" s="25" t="s">
        <v>191</v>
      </c>
      <c r="D10" s="59">
        <v>27</v>
      </c>
      <c r="E10" s="25" t="s">
        <v>192</v>
      </c>
      <c r="H10" s="59">
        <v>21</v>
      </c>
      <c r="I10" s="25" t="s">
        <v>193</v>
      </c>
      <c r="K10" s="59">
        <v>8</v>
      </c>
      <c r="L10" s="25" t="s">
        <v>194</v>
      </c>
      <c r="N10" s="25">
        <f>D10-K10</f>
        <v>19</v>
      </c>
      <c r="O10" s="25" t="s">
        <v>195</v>
      </c>
    </row>
    <row r="11" spans="2:15">
      <c r="K11" s="25" t="s">
        <v>196</v>
      </c>
    </row>
    <row r="13" spans="2:15">
      <c r="B13" s="25">
        <v>4</v>
      </c>
      <c r="C13" s="25" t="s">
        <v>197</v>
      </c>
    </row>
    <row r="14" spans="2:15">
      <c r="G14" s="25" t="s">
        <v>119</v>
      </c>
    </row>
    <row r="15" spans="2:15">
      <c r="C15" s="27" t="s">
        <v>79</v>
      </c>
      <c r="D15" s="27" t="s">
        <v>80</v>
      </c>
      <c r="E15" s="27" t="s">
        <v>81</v>
      </c>
      <c r="G15" s="27" t="s">
        <v>121</v>
      </c>
      <c r="J15" s="25" t="s">
        <v>198</v>
      </c>
    </row>
    <row r="16" spans="2:15">
      <c r="C16" s="25">
        <f>养成属性规划!D39</f>
        <v>11500</v>
      </c>
      <c r="D16" s="25">
        <f>养成属性规划!E39</f>
        <v>3450</v>
      </c>
      <c r="E16" s="25">
        <f>养成属性规划!F39</f>
        <v>2300</v>
      </c>
      <c r="G16" s="108">
        <f>养成属性规划!P39</f>
        <v>1.2</v>
      </c>
      <c r="J16" s="31">
        <f>$F$45</f>
        <v>1.2</v>
      </c>
    </row>
    <row r="20" ht="18" customHeight="1" spans="2:10">
      <c r="B20" s="133" t="s">
        <v>199</v>
      </c>
    </row>
    <row r="22" spans="2:10">
      <c r="C22" s="27" t="s">
        <v>79</v>
      </c>
      <c r="D22" s="27" t="s">
        <v>80</v>
      </c>
      <c r="E22" s="27" t="s">
        <v>81</v>
      </c>
    </row>
    <row r="23" spans="2:10">
      <c r="C23" s="25">
        <f>ROUND(C16/$D$10,0)</f>
        <v>426</v>
      </c>
      <c r="D23" s="25">
        <f>ROUND(D16/$D$10,0)</f>
        <v>128</v>
      </c>
      <c r="E23" s="25">
        <f>ROUND(E16/$D$10,0)</f>
        <v>85</v>
      </c>
    </row>
    <row r="26" ht="18" customHeight="1" spans="2:10">
      <c r="B26" s="133" t="s">
        <v>200</v>
      </c>
    </row>
    <row r="29" spans="2:10">
      <c r="B29" s="25" t="s">
        <v>201</v>
      </c>
      <c r="E29" s="25" t="s">
        <v>202</v>
      </c>
      <c r="I29" s="25" t="s">
        <v>203</v>
      </c>
    </row>
    <row r="31" spans="2:10">
      <c r="C31" s="25" t="s">
        <v>204</v>
      </c>
      <c r="F31" s="25" t="s">
        <v>204</v>
      </c>
      <c r="J31" s="25" t="s">
        <v>204</v>
      </c>
    </row>
    <row r="32" spans="2:10">
      <c r="B32" s="25" t="s">
        <v>205</v>
      </c>
      <c r="C32" s="25">
        <v>3</v>
      </c>
      <c r="E32" s="25" t="s">
        <v>205</v>
      </c>
      <c r="F32" s="25">
        <v>0</v>
      </c>
      <c r="I32" s="25" t="s">
        <v>205</v>
      </c>
      <c r="J32" s="25">
        <v>0</v>
      </c>
    </row>
    <row r="33" spans="2:14">
      <c r="B33" s="25" t="s">
        <v>206</v>
      </c>
      <c r="C33" s="25">
        <v>3</v>
      </c>
      <c r="E33" s="25" t="s">
        <v>206</v>
      </c>
      <c r="F33" s="25">
        <v>0</v>
      </c>
      <c r="I33" s="25" t="s">
        <v>206</v>
      </c>
      <c r="J33" s="25">
        <v>0</v>
      </c>
    </row>
    <row r="34" spans="2:14">
      <c r="B34" s="25" t="s">
        <v>207</v>
      </c>
      <c r="C34" s="25">
        <v>3</v>
      </c>
      <c r="E34" s="25" t="s">
        <v>207</v>
      </c>
      <c r="F34" s="25">
        <v>3</v>
      </c>
      <c r="I34" s="25" t="s">
        <v>207</v>
      </c>
      <c r="J34" s="25">
        <v>3</v>
      </c>
    </row>
    <row r="35" spans="2:14">
      <c r="B35" s="25" t="s">
        <v>208</v>
      </c>
      <c r="C35" s="25">
        <v>0</v>
      </c>
      <c r="E35" s="25" t="s">
        <v>208</v>
      </c>
      <c r="F35" s="25">
        <v>4</v>
      </c>
      <c r="I35" s="25" t="s">
        <v>208</v>
      </c>
      <c r="J35" s="25">
        <v>4</v>
      </c>
    </row>
    <row r="36" spans="2:14">
      <c r="B36" s="25" t="s">
        <v>209</v>
      </c>
      <c r="C36" s="25">
        <v>0</v>
      </c>
      <c r="E36" s="25" t="s">
        <v>209</v>
      </c>
      <c r="F36" s="25">
        <v>2</v>
      </c>
      <c r="I36" s="25" t="s">
        <v>209</v>
      </c>
      <c r="J36" s="25">
        <v>2</v>
      </c>
    </row>
    <row r="37" spans="2:14">
      <c r="C37" s="25">
        <f>SUM(C32:C36)</f>
        <v>9</v>
      </c>
      <c r="F37" s="25">
        <f>SUM(F32:F36)</f>
        <v>9</v>
      </c>
      <c r="J37" s="25">
        <f>SUM(J32:J36)</f>
        <v>9</v>
      </c>
    </row>
    <row r="38" spans="2:14">
      <c r="I38" s="25" t="s">
        <v>210</v>
      </c>
      <c r="J38" s="25">
        <f>J37+F37+C37</f>
        <v>27</v>
      </c>
    </row>
    <row r="39" ht="18" customHeight="1" spans="2:14">
      <c r="B39" s="133" t="s">
        <v>211</v>
      </c>
    </row>
    <row r="41" spans="2:14">
      <c r="D41" s="25" t="s">
        <v>204</v>
      </c>
      <c r="E41" s="25" t="s">
        <v>212</v>
      </c>
    </row>
    <row r="42" spans="2:14">
      <c r="B42" s="25" t="s">
        <v>201</v>
      </c>
      <c r="D42" s="25">
        <v>0</v>
      </c>
      <c r="E42" s="176">
        <v>0</v>
      </c>
      <c r="F42" s="31">
        <f>E42*D42</f>
        <v>0</v>
      </c>
      <c r="M42" s="25" t="s">
        <v>128</v>
      </c>
      <c r="N42" s="30">
        <f>属性定价!$C$6</f>
        <v>0.01</v>
      </c>
    </row>
    <row r="43" spans="2:14">
      <c r="B43" s="25" t="s">
        <v>202</v>
      </c>
      <c r="D43" s="25">
        <v>4</v>
      </c>
      <c r="E43" s="176">
        <v>0.15</v>
      </c>
      <c r="F43" s="31">
        <f>E43*D43</f>
        <v>0.6</v>
      </c>
      <c r="M43" s="25" t="s">
        <v>129</v>
      </c>
      <c r="N43" s="30">
        <f>属性定价!$C$7</f>
        <v>0.01</v>
      </c>
    </row>
    <row r="44" spans="2:14">
      <c r="B44" s="25" t="s">
        <v>203</v>
      </c>
      <c r="D44" s="25">
        <v>4</v>
      </c>
      <c r="E44" s="176">
        <v>0.15</v>
      </c>
      <c r="F44" s="31">
        <f>E44*D44</f>
        <v>0.6</v>
      </c>
      <c r="M44" s="25" t="s">
        <v>130</v>
      </c>
      <c r="N44" s="30">
        <f>属性定价!$C$8</f>
        <v>0.01</v>
      </c>
    </row>
    <row r="45" spans="2:14">
      <c r="F45" s="31">
        <f>F42+F43+F44</f>
        <v>1.2</v>
      </c>
      <c r="M45" s="25" t="s">
        <v>131</v>
      </c>
      <c r="N45" s="30">
        <f>属性定价!$C$9</f>
        <v>0</v>
      </c>
    </row>
    <row r="46" spans="2:14">
      <c r="M46" s="25" t="s">
        <v>132</v>
      </c>
      <c r="N46" s="30">
        <f>属性定价!$C$10</f>
        <v>0.0033</v>
      </c>
    </row>
    <row r="47" spans="2:14">
      <c r="M47" s="25" t="s">
        <v>133</v>
      </c>
      <c r="N47" s="30">
        <f>属性定价!$C$11</f>
        <v>0.0018</v>
      </c>
    </row>
    <row r="48" spans="2:14">
      <c r="B48" s="106" t="s">
        <v>213</v>
      </c>
      <c r="M48" s="25" t="s">
        <v>134</v>
      </c>
      <c r="N48" s="30">
        <f>属性定价!$C$12</f>
        <v>0.0054</v>
      </c>
    </row>
    <row r="49" spans="2:14">
      <c r="M49" s="25" t="s">
        <v>135</v>
      </c>
      <c r="N49" s="30">
        <f>属性定价!$C$13</f>
        <v>0.0033</v>
      </c>
    </row>
    <row r="50" spans="2:14">
      <c r="B50" s="25" t="s">
        <v>214</v>
      </c>
      <c r="M50" s="38" t="s">
        <v>136</v>
      </c>
      <c r="N50" s="30">
        <f>属性定价!$C$14</f>
        <v>0.009</v>
      </c>
    </row>
    <row r="51" spans="2:14">
      <c r="M51" s="38" t="s">
        <v>137</v>
      </c>
      <c r="N51" s="30">
        <f>属性定价!$C$15</f>
        <v>0.012</v>
      </c>
    </row>
    <row r="52" spans="2:14">
      <c r="B52" s="25" t="s">
        <v>215</v>
      </c>
      <c r="C52" s="25" t="s">
        <v>216</v>
      </c>
      <c r="D52" s="25" t="s">
        <v>217</v>
      </c>
      <c r="I52" s="25" t="s">
        <v>218</v>
      </c>
      <c r="M52" s="38" t="s">
        <v>138</v>
      </c>
      <c r="N52" s="30">
        <f>属性定价!$C$16</f>
        <v>0.012</v>
      </c>
    </row>
    <row r="53" spans="2:14">
      <c r="B53" s="31">
        <f>SUMIF($C$56:$C$64,B52,$D$56:$D$64)</f>
        <v>0.3</v>
      </c>
      <c r="C53" s="31">
        <f>SUMIF($C$56:$C$64,C52,$D$56:$D$64)</f>
        <v>0.45</v>
      </c>
      <c r="D53" s="31">
        <f>SUMIF($C$56:$C$64,D52,$D$56:$D$64)</f>
        <v>0.45</v>
      </c>
      <c r="I53" s="25" t="s">
        <v>219</v>
      </c>
      <c r="J53" s="25" t="s">
        <v>134</v>
      </c>
      <c r="K53" s="25" t="s">
        <v>128</v>
      </c>
      <c r="M53" s="39" t="s">
        <v>139</v>
      </c>
      <c r="N53" s="30">
        <f>属性定价!$C$17</f>
        <v>0.005</v>
      </c>
    </row>
    <row r="54" spans="2:14">
      <c r="B54" s="25" t="s">
        <v>220</v>
      </c>
      <c r="M54" s="39" t="s">
        <v>140</v>
      </c>
      <c r="N54" s="30">
        <f>属性定价!$C$18</f>
        <v>0.0025</v>
      </c>
    </row>
    <row r="55" spans="2:14">
      <c r="I55" s="25" t="s">
        <v>201</v>
      </c>
      <c r="M55" s="38" t="s">
        <v>141</v>
      </c>
      <c r="N55" s="30">
        <f>属性定价!$C$19</f>
        <v>0.0042</v>
      </c>
    </row>
    <row r="56" spans="2:14">
      <c r="B56" s="25" t="s">
        <v>202</v>
      </c>
      <c r="C56" s="25" t="s">
        <v>215</v>
      </c>
      <c r="D56" s="31">
        <f>$E$43</f>
        <v>0.15</v>
      </c>
      <c r="J56" s="25" t="s">
        <v>133</v>
      </c>
      <c r="K56" s="166">
        <v>0.02</v>
      </c>
      <c r="M56" s="38" t="s">
        <v>142</v>
      </c>
      <c r="N56" s="30">
        <f>属性定价!$C$20</f>
        <v>0.0042</v>
      </c>
    </row>
    <row r="57" spans="2:14">
      <c r="C57" s="25" t="s">
        <v>216</v>
      </c>
      <c r="D57" s="31">
        <f>$E$43</f>
        <v>0.15</v>
      </c>
      <c r="J57" s="25" t="s">
        <v>221</v>
      </c>
      <c r="K57" s="166">
        <v>0.04</v>
      </c>
      <c r="M57" s="25" t="s">
        <v>143</v>
      </c>
      <c r="N57" s="41">
        <f>属性定价!$C$21</f>
        <v>90</v>
      </c>
    </row>
    <row r="58" spans="2:14">
      <c r="C58" s="25" t="s">
        <v>217</v>
      </c>
      <c r="D58" s="31">
        <f>$E$43</f>
        <v>0.15</v>
      </c>
      <c r="J58" s="25" t="s">
        <v>134</v>
      </c>
      <c r="K58" s="166">
        <v>0.04</v>
      </c>
      <c r="M58" s="25" t="s">
        <v>144</v>
      </c>
      <c r="N58" s="41">
        <f>属性定价!$C$22</f>
        <v>110</v>
      </c>
    </row>
    <row r="59" spans="2:14">
      <c r="C59" s="25" t="s">
        <v>216</v>
      </c>
      <c r="D59" s="31">
        <f>$E$43</f>
        <v>0.15</v>
      </c>
      <c r="M59" s="25" t="s">
        <v>145</v>
      </c>
      <c r="N59" s="41">
        <f>属性定价!$C$23</f>
        <v>90</v>
      </c>
    </row>
    <row r="60" spans="2:14">
      <c r="B60" s="25" t="s">
        <v>203</v>
      </c>
      <c r="C60" s="25" t="s">
        <v>217</v>
      </c>
      <c r="D60" s="31">
        <f>$E$44</f>
        <v>0.15</v>
      </c>
      <c r="M60" s="25" t="s">
        <v>146</v>
      </c>
      <c r="N60" s="41">
        <f>属性定价!$C$24</f>
        <v>130</v>
      </c>
    </row>
    <row r="61" spans="2:14">
      <c r="C61" s="25" t="s">
        <v>215</v>
      </c>
      <c r="D61" s="31">
        <f>$E$44</f>
        <v>0.15</v>
      </c>
      <c r="I61" s="25" t="s">
        <v>202</v>
      </c>
      <c r="J61" s="25" t="s">
        <v>221</v>
      </c>
      <c r="K61" s="166">
        <v>0.06</v>
      </c>
      <c r="M61" s="25" t="s">
        <v>128</v>
      </c>
      <c r="N61" s="30">
        <f>属性定价!$C$25</f>
        <v>0.01</v>
      </c>
    </row>
    <row r="62" spans="2:14">
      <c r="C62" s="25" t="s">
        <v>216</v>
      </c>
      <c r="D62" s="31">
        <f>$E$44</f>
        <v>0.15</v>
      </c>
      <c r="J62" s="25" t="s">
        <v>134</v>
      </c>
      <c r="K62" s="166">
        <v>0.06</v>
      </c>
      <c r="M62" s="25" t="s">
        <v>128</v>
      </c>
      <c r="N62" s="30">
        <f>属性定价!$C$26</f>
        <v>0.01</v>
      </c>
    </row>
    <row r="63" spans="2:14">
      <c r="C63" s="25" t="s">
        <v>217</v>
      </c>
      <c r="D63" s="31">
        <f>$E$44</f>
        <v>0.15</v>
      </c>
      <c r="M63" s="25" t="s">
        <v>147</v>
      </c>
      <c r="N63" s="30">
        <f>属性定价!$C$27</f>
        <v>0.00333333333333333</v>
      </c>
    </row>
    <row r="64" spans="2:14">
      <c r="D64" s="31"/>
      <c r="M64" s="25" t="s">
        <v>148</v>
      </c>
      <c r="N64" s="41">
        <f>属性定价!$C$28</f>
        <v>100</v>
      </c>
    </row>
    <row r="67" spans="9:11">
      <c r="I67" s="25" t="s">
        <v>203</v>
      </c>
      <c r="J67" s="25" t="s">
        <v>221</v>
      </c>
      <c r="K67" s="132">
        <v>0.06</v>
      </c>
    </row>
    <row r="68" spans="9:11">
      <c r="J68" s="25" t="s">
        <v>133</v>
      </c>
      <c r="K68" s="132">
        <v>0.03</v>
      </c>
    </row>
    <row r="69" spans="9:11">
      <c r="J69" s="25" t="s">
        <v>134</v>
      </c>
      <c r="K69" s="132">
        <v>0.06</v>
      </c>
    </row>
  </sheetData>
  <mergeCells count="2">
    <mergeCell ref="G15:I15"/>
    <mergeCell ref="G16:I16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51"/>
  <sheetViews>
    <sheetView topLeftCell="A20" workbookViewId="0">
      <selection activeCell="K35" sqref="K35"/>
    </sheetView>
  </sheetViews>
  <sheetFormatPr defaultColWidth="9" defaultRowHeight="16.5"/>
  <cols>
    <col min="1" max="1" width="9" style="25" customWidth="1"/>
    <col min="2" max="2" width="15" style="25" customWidth="1"/>
    <col min="3" max="10" width="9" style="25" customWidth="1"/>
    <col min="11" max="11" width="15.25" style="25" customWidth="1"/>
    <col min="12" max="13" width="9" style="25" customWidth="1"/>
    <col min="14" max="14" width="14.625" style="25" customWidth="1"/>
    <col min="15" max="16" width="9" style="25" customWidth="1"/>
    <col min="17" max="17" width="11.875" style="25" customWidth="1"/>
    <col min="18" max="18" width="14.75" style="25" customWidth="1"/>
    <col min="19" max="16384" width="9" style="25" customWidth="1"/>
  </cols>
  <sheetData>
    <row r="2" ht="18" customHeight="1" spans="2:11">
      <c r="B2" s="133" t="s">
        <v>222</v>
      </c>
    </row>
    <row r="4" spans="2:11">
      <c r="B4" s="25">
        <v>1</v>
      </c>
      <c r="C4" s="25" t="s">
        <v>223</v>
      </c>
    </row>
    <row r="6" spans="2:11">
      <c r="B6" s="25">
        <v>2</v>
      </c>
      <c r="C6" s="25" t="s">
        <v>224</v>
      </c>
    </row>
    <row r="8" spans="2:11">
      <c r="B8" s="25">
        <v>3</v>
      </c>
      <c r="C8" s="25" t="s">
        <v>225</v>
      </c>
    </row>
    <row r="10" spans="2:11">
      <c r="B10" s="106" t="s">
        <v>171</v>
      </c>
    </row>
    <row r="11" spans="2:11">
      <c r="F11" s="25" t="s">
        <v>119</v>
      </c>
      <c r="K11" s="27" t="s">
        <v>226</v>
      </c>
    </row>
    <row r="12" spans="2:11">
      <c r="B12" s="27" t="s">
        <v>79</v>
      </c>
      <c r="C12" s="27" t="s">
        <v>80</v>
      </c>
      <c r="D12" s="27" t="s">
        <v>81</v>
      </c>
      <c r="F12" s="27" t="s">
        <v>121</v>
      </c>
      <c r="K12" s="29" t="s">
        <v>136</v>
      </c>
    </row>
    <row r="13" spans="2:11">
      <c r="B13" s="25">
        <f>养成属性规划!D41</f>
        <v>20000</v>
      </c>
      <c r="C13" s="25">
        <f>养成属性规划!E41</f>
        <v>6000</v>
      </c>
      <c r="D13" s="25">
        <f>养成属性规划!F41</f>
        <v>4000</v>
      </c>
      <c r="F13" s="174">
        <f>养成属性规划!P41</f>
        <v>0.6</v>
      </c>
      <c r="K13" s="29" t="s">
        <v>137</v>
      </c>
    </row>
    <row r="14" spans="2:11">
      <c r="K14" s="29" t="s">
        <v>138</v>
      </c>
    </row>
    <row r="15" spans="2:11">
      <c r="K15" s="1" t="s">
        <v>139</v>
      </c>
    </row>
    <row r="16" spans="2:11">
      <c r="B16" s="162" t="s">
        <v>227</v>
      </c>
      <c r="K16" s="29" t="s">
        <v>146</v>
      </c>
    </row>
    <row r="17" spans="1:20">
      <c r="B17" s="59">
        <v>60</v>
      </c>
      <c r="K17" s="29" t="s">
        <v>143</v>
      </c>
    </row>
    <row r="18" spans="1:20">
      <c r="K18" s="29" t="s">
        <v>144</v>
      </c>
    </row>
    <row r="19" spans="1:20">
      <c r="B19" s="25" t="s">
        <v>228</v>
      </c>
      <c r="C19" s="132">
        <v>0.15</v>
      </c>
      <c r="K19" s="29" t="s">
        <v>145</v>
      </c>
    </row>
    <row r="20" spans="1:20">
      <c r="B20" s="25" t="s">
        <v>229</v>
      </c>
      <c r="C20" s="135">
        <f>(1-C19)/B17</f>
        <v>0.0141666666666667</v>
      </c>
      <c r="K20" s="1" t="s">
        <v>128</v>
      </c>
    </row>
    <row r="21" spans="1:20">
      <c r="K21" s="1" t="s">
        <v>128</v>
      </c>
    </row>
    <row r="22" spans="1:20">
      <c r="B22" s="25" t="s">
        <v>230</v>
      </c>
      <c r="K22" s="29" t="s">
        <v>130</v>
      </c>
    </row>
    <row r="23" spans="1:20">
      <c r="K23" s="29" t="s">
        <v>231</v>
      </c>
    </row>
    <row r="24" spans="1:20">
      <c r="B24" s="106" t="s">
        <v>88</v>
      </c>
      <c r="G24" s="106" t="s">
        <v>232</v>
      </c>
      <c r="K24" s="29" t="s">
        <v>148</v>
      </c>
    </row>
    <row r="25" spans="1:20">
      <c r="B25" s="25">
        <f>VLOOKUP(A26,$M$45:$N$47,2,0)</f>
        <v>1</v>
      </c>
      <c r="H25" s="25" t="s">
        <v>119</v>
      </c>
    </row>
    <row r="26" spans="1:20">
      <c r="A26" s="58" t="s">
        <v>159</v>
      </c>
      <c r="B26" s="27" t="s">
        <v>79</v>
      </c>
      <c r="C26" s="27" t="s">
        <v>80</v>
      </c>
      <c r="D26" s="27" t="s">
        <v>81</v>
      </c>
      <c r="F26" s="27" t="s">
        <v>233</v>
      </c>
      <c r="G26" s="27" t="s">
        <v>164</v>
      </c>
      <c r="H26" s="58" t="s">
        <v>159</v>
      </c>
      <c r="I26" s="60" t="s">
        <v>158</v>
      </c>
      <c r="J26" s="61" t="s">
        <v>157</v>
      </c>
      <c r="L26" s="25" t="s">
        <v>234</v>
      </c>
      <c r="M26" s="25" t="s">
        <v>143</v>
      </c>
      <c r="N26" s="25" t="s">
        <v>144</v>
      </c>
      <c r="O26" s="25" t="s">
        <v>128</v>
      </c>
      <c r="R26" s="25" t="s">
        <v>127</v>
      </c>
    </row>
    <row r="27" spans="1:20">
      <c r="A27" s="25" t="s">
        <v>235</v>
      </c>
      <c r="B27" s="25">
        <f>ROUND(B13*$C$19*$B$25,0)</f>
        <v>3000</v>
      </c>
      <c r="C27" s="25">
        <f>ROUND(C13*$C$19*$B$25,0)</f>
        <v>900</v>
      </c>
      <c r="D27" s="25">
        <f>ROUND(D13*$C$19*$B$25,0)</f>
        <v>600</v>
      </c>
      <c r="F27" s="29">
        <v>0</v>
      </c>
      <c r="G27" s="29">
        <v>0</v>
      </c>
      <c r="H27" s="166">
        <v>0.2</v>
      </c>
      <c r="I27" s="166">
        <f>ROUND(H27*$Q$46,2)</f>
        <v>0.15</v>
      </c>
      <c r="J27" s="166">
        <f>H27*$Q$45</f>
        <v>0.1</v>
      </c>
      <c r="R27" s="25" t="s">
        <v>128</v>
      </c>
      <c r="S27" s="30">
        <f>属性定价!$C$6</f>
        <v>0.01</v>
      </c>
    </row>
    <row r="28" spans="1:20">
      <c r="A28" s="25" t="s">
        <v>236</v>
      </c>
      <c r="B28" s="25">
        <f>ROUND(B13*$C$20*$B$25,2)</f>
        <v>283.33</v>
      </c>
      <c r="C28" s="25">
        <f>ROUND(C13*$C$20*$B$25,2)</f>
        <v>85</v>
      </c>
      <c r="D28" s="25">
        <f>ROUND(D13*$C$20*$B$25,2)</f>
        <v>56.67</v>
      </c>
      <c r="F28" s="175">
        <v>20</v>
      </c>
      <c r="G28" s="175">
        <v>20</v>
      </c>
      <c r="H28" s="166">
        <v>0.25</v>
      </c>
      <c r="I28" s="166">
        <f>ROUND(H28*$Q$46,2)</f>
        <v>0.19</v>
      </c>
      <c r="J28" s="166">
        <f>H28*$Q$45</f>
        <v>0.125</v>
      </c>
      <c r="L28" s="175">
        <v>20</v>
      </c>
      <c r="M28" s="39">
        <f>O28/$S$27*$S$42</f>
        <v>1800</v>
      </c>
      <c r="N28" s="39">
        <f>O28/$S$27*$S$43</f>
        <v>2200</v>
      </c>
      <c r="O28" s="132">
        <v>0.2</v>
      </c>
      <c r="R28" s="25" t="s">
        <v>129</v>
      </c>
      <c r="S28" s="30">
        <f>属性定价!$C$7</f>
        <v>0.01</v>
      </c>
    </row>
    <row r="29" spans="1:20">
      <c r="B29" s="106"/>
      <c r="F29" s="175">
        <v>30</v>
      </c>
      <c r="G29" s="175">
        <v>30</v>
      </c>
      <c r="H29" s="166">
        <v>0.3</v>
      </c>
      <c r="I29" s="166">
        <f>ROUND(H29*$Q$46,2)</f>
        <v>0.23</v>
      </c>
      <c r="J29" s="166">
        <f>H29*$Q$45</f>
        <v>0.15</v>
      </c>
      <c r="L29" s="175">
        <v>30</v>
      </c>
      <c r="M29" s="39">
        <f>O29/$S$27*$S$42</f>
        <v>2700</v>
      </c>
      <c r="N29" s="39">
        <f>O29/$S$27*$S$43</f>
        <v>3300</v>
      </c>
      <c r="O29" s="132">
        <v>0.3</v>
      </c>
      <c r="R29" s="25" t="s">
        <v>130</v>
      </c>
      <c r="S29" s="30">
        <f>属性定价!$C$8</f>
        <v>0.01</v>
      </c>
    </row>
    <row r="30" spans="1:20">
      <c r="F30" s="175">
        <v>40</v>
      </c>
      <c r="G30" s="175">
        <v>40</v>
      </c>
      <c r="H30" s="166">
        <v>0.35</v>
      </c>
      <c r="I30" s="166">
        <f>ROUND(H30*$Q$46,2)</f>
        <v>0.26</v>
      </c>
      <c r="J30" s="166">
        <f>H30*$Q$45</f>
        <v>0.175</v>
      </c>
      <c r="L30" s="175">
        <v>40</v>
      </c>
      <c r="M30" s="39">
        <f>O30/$S$27*$S$42</f>
        <v>3600</v>
      </c>
      <c r="N30" s="39">
        <f>O30/$S$27*$S$43</f>
        <v>4400</v>
      </c>
      <c r="O30" s="132">
        <v>0.4</v>
      </c>
      <c r="R30" s="25" t="s">
        <v>131</v>
      </c>
      <c r="S30" s="30">
        <f>属性定价!$C$9</f>
        <v>0</v>
      </c>
    </row>
    <row r="31" spans="1:20">
      <c r="B31" s="25">
        <v>0.8</v>
      </c>
      <c r="F31" s="175">
        <v>50</v>
      </c>
      <c r="G31" s="175">
        <v>50</v>
      </c>
      <c r="H31" s="166">
        <v>0.4</v>
      </c>
      <c r="I31" s="166">
        <f>ROUND(H31*$Q$46,2)</f>
        <v>0.3</v>
      </c>
      <c r="J31" s="166">
        <f>H31*$Q$45</f>
        <v>0.2</v>
      </c>
      <c r="L31" s="175">
        <v>50</v>
      </c>
      <c r="M31" s="39">
        <f>O31/$S$27*$S$42</f>
        <v>4500</v>
      </c>
      <c r="N31" s="39">
        <f>O31/$S$27*$S$43</f>
        <v>5500</v>
      </c>
      <c r="O31" s="132">
        <v>0.5</v>
      </c>
      <c r="R31" s="25" t="s">
        <v>132</v>
      </c>
      <c r="S31" s="30">
        <f>属性定价!$C$10</f>
        <v>0.0033</v>
      </c>
      <c r="T31"/>
    </row>
    <row r="32" spans="1:20">
      <c r="A32" s="60" t="s">
        <v>158</v>
      </c>
      <c r="B32" s="27" t="s">
        <v>79</v>
      </c>
      <c r="C32" s="27" t="s">
        <v>80</v>
      </c>
      <c r="D32" s="27" t="s">
        <v>81</v>
      </c>
      <c r="L32" s="175">
        <v>60</v>
      </c>
      <c r="M32" s="39">
        <f>O32/$S$27*$S$42</f>
        <v>5400</v>
      </c>
      <c r="N32" s="39">
        <f>O32/$S$27*$S$43</f>
        <v>6600</v>
      </c>
      <c r="O32" s="132">
        <v>0.6</v>
      </c>
      <c r="R32" s="25" t="s">
        <v>133</v>
      </c>
      <c r="S32" s="30">
        <f>属性定价!$C$11</f>
        <v>0.0018</v>
      </c>
      <c r="T32"/>
    </row>
    <row r="33" spans="1:20">
      <c r="A33" s="25" t="s">
        <v>235</v>
      </c>
      <c r="B33" s="25">
        <f>ROUND(B13*$C$19*$B$31,0)</f>
        <v>2400</v>
      </c>
      <c r="C33" s="25">
        <f>ROUND(C13*$C$19*$B$31,0)</f>
        <v>720</v>
      </c>
      <c r="D33" s="25">
        <f>ROUND(D13*$C$19*$B$31,0)</f>
        <v>480</v>
      </c>
      <c r="R33" s="25" t="s">
        <v>134</v>
      </c>
      <c r="S33" s="30">
        <f>属性定价!$C$12</f>
        <v>0.0054</v>
      </c>
      <c r="T33"/>
    </row>
    <row r="34" spans="1:20">
      <c r="A34" s="25" t="s">
        <v>236</v>
      </c>
      <c r="B34" s="25">
        <f>ROUND(B13*$C$20*$B$31,2)</f>
        <v>226.67</v>
      </c>
      <c r="C34" s="25">
        <f>ROUND(C13*$C$20*$B$31,2)</f>
        <v>68</v>
      </c>
      <c r="D34" s="25">
        <f>ROUND(D13*$C$20*$B$31,2)</f>
        <v>45.33</v>
      </c>
      <c r="R34" s="25" t="s">
        <v>135</v>
      </c>
      <c r="S34" s="30">
        <f>属性定价!$C$13</f>
        <v>0.0033</v>
      </c>
      <c r="T34"/>
    </row>
    <row r="35" spans="1:20">
      <c r="R35" s="38" t="s">
        <v>136</v>
      </c>
      <c r="S35" s="30">
        <f>属性定价!$C$14</f>
        <v>0.009</v>
      </c>
      <c r="T35"/>
    </row>
    <row r="36" spans="1:20">
      <c r="R36" s="38" t="s">
        <v>137</v>
      </c>
      <c r="S36" s="30">
        <f>属性定价!$C$15</f>
        <v>0.012</v>
      </c>
      <c r="T36"/>
    </row>
    <row r="37" spans="1:20">
      <c r="B37" s="25">
        <v>0.7</v>
      </c>
      <c r="R37" s="38" t="s">
        <v>138</v>
      </c>
      <c r="S37" s="30">
        <f>属性定价!$C$16</f>
        <v>0.012</v>
      </c>
      <c r="T37"/>
    </row>
    <row r="38" spans="1:20">
      <c r="A38" s="61" t="s">
        <v>157</v>
      </c>
      <c r="B38" s="27" t="s">
        <v>79</v>
      </c>
      <c r="C38" s="27" t="s">
        <v>80</v>
      </c>
      <c r="D38" s="27" t="s">
        <v>81</v>
      </c>
      <c r="R38" s="39" t="s">
        <v>139</v>
      </c>
      <c r="S38" s="30">
        <f>属性定价!$C$17</f>
        <v>0.005</v>
      </c>
    </row>
    <row r="39" spans="1:20">
      <c r="A39" s="25" t="s">
        <v>235</v>
      </c>
      <c r="B39" s="25">
        <f>ROUND(B13*$C$19*$B$37,0)</f>
        <v>2100</v>
      </c>
      <c r="C39" s="25">
        <f>ROUND(C13*$C$19*$B$37,0)</f>
        <v>630</v>
      </c>
      <c r="D39" s="25">
        <f>ROUND(D13*$C$19*$B$37,0)</f>
        <v>420</v>
      </c>
      <c r="G39" s="106" t="s">
        <v>237</v>
      </c>
      <c r="R39" s="39" t="s">
        <v>140</v>
      </c>
      <c r="S39" s="30">
        <f>属性定价!$C$18</f>
        <v>0.0025</v>
      </c>
    </row>
    <row r="40" spans="1:20">
      <c r="A40" s="25" t="s">
        <v>236</v>
      </c>
      <c r="B40" s="25">
        <f>ROUND(B13*$C$20*$B$37,2)</f>
        <v>198.33</v>
      </c>
      <c r="C40" s="25">
        <f>ROUND(C13*$C$20*$B$37,2)</f>
        <v>59.5</v>
      </c>
      <c r="D40" s="25">
        <f>ROUND(D13*$C$20*$B$37,2)</f>
        <v>39.67</v>
      </c>
      <c r="R40" s="38" t="s">
        <v>141</v>
      </c>
      <c r="S40" s="30">
        <f>属性定价!$C$19</f>
        <v>0.0042</v>
      </c>
    </row>
    <row r="41" spans="1:20">
      <c r="G41" s="25" t="s">
        <v>238</v>
      </c>
      <c r="R41" s="38" t="s">
        <v>142</v>
      </c>
      <c r="S41" s="30">
        <f>属性定价!$C$20</f>
        <v>0.0042</v>
      </c>
    </row>
    <row r="42" spans="1:20">
      <c r="R42" s="25" t="s">
        <v>143</v>
      </c>
      <c r="S42" s="41">
        <f>属性定价!$C$21</f>
        <v>90</v>
      </c>
    </row>
    <row r="43" spans="1:20">
      <c r="G43" s="25" t="s">
        <v>239</v>
      </c>
      <c r="M43" s="162" t="s">
        <v>240</v>
      </c>
      <c r="P43" s="162" t="s">
        <v>240</v>
      </c>
      <c r="R43" s="25" t="s">
        <v>144</v>
      </c>
      <c r="S43" s="41">
        <f>属性定价!$C$22</f>
        <v>110</v>
      </c>
    </row>
    <row r="44" spans="1:20">
      <c r="R44" s="25" t="s">
        <v>145</v>
      </c>
      <c r="S44" s="41">
        <f>属性定价!$C$23</f>
        <v>90</v>
      </c>
    </row>
    <row r="45" spans="1:20">
      <c r="G45" s="27" t="s">
        <v>241</v>
      </c>
      <c r="H45" s="27" t="s">
        <v>242</v>
      </c>
      <c r="M45" s="61" t="s">
        <v>157</v>
      </c>
      <c r="N45" s="163">
        <v>0.8</v>
      </c>
      <c r="P45" s="61" t="s">
        <v>157</v>
      </c>
      <c r="Q45" s="163">
        <v>0.5</v>
      </c>
      <c r="R45" s="25" t="s">
        <v>146</v>
      </c>
      <c r="S45" s="41">
        <f>属性定价!$C$24</f>
        <v>130</v>
      </c>
    </row>
    <row r="46" spans="1:20">
      <c r="G46" s="29">
        <v>0</v>
      </c>
      <c r="H46" s="132">
        <v>0.25</v>
      </c>
      <c r="M46" s="60" t="s">
        <v>158</v>
      </c>
      <c r="N46" s="164">
        <v>0.9</v>
      </c>
      <c r="P46" s="60" t="s">
        <v>158</v>
      </c>
      <c r="Q46" s="164">
        <v>0.75</v>
      </c>
      <c r="R46" s="25" t="s">
        <v>128</v>
      </c>
      <c r="S46" s="30">
        <f>属性定价!$C$25</f>
        <v>0.01</v>
      </c>
    </row>
    <row r="47" spans="1:20">
      <c r="G47" s="175">
        <v>1</v>
      </c>
      <c r="H47" s="132">
        <v>0.3</v>
      </c>
      <c r="M47" s="58" t="s">
        <v>159</v>
      </c>
      <c r="N47" s="164">
        <v>1</v>
      </c>
      <c r="P47" s="58" t="s">
        <v>159</v>
      </c>
      <c r="Q47" s="164">
        <v>1</v>
      </c>
      <c r="R47" s="25" t="s">
        <v>128</v>
      </c>
      <c r="S47" s="30">
        <f>属性定价!$C$26</f>
        <v>0.01</v>
      </c>
    </row>
    <row r="48" spans="1:20">
      <c r="G48" s="29">
        <v>2</v>
      </c>
      <c r="H48" s="132">
        <v>0.35</v>
      </c>
      <c r="R48" s="25" t="s">
        <v>147</v>
      </c>
      <c r="S48" s="30">
        <f>属性定价!$C$27</f>
        <v>0.00333333333333333</v>
      </c>
    </row>
    <row r="49" spans="7:19">
      <c r="G49" s="175">
        <v>3</v>
      </c>
      <c r="H49" s="132">
        <v>0.4</v>
      </c>
      <c r="R49" s="25" t="s">
        <v>148</v>
      </c>
      <c r="S49" s="41">
        <f>属性定价!$C$28</f>
        <v>100</v>
      </c>
    </row>
    <row r="50" spans="7:19">
      <c r="G50" s="29">
        <v>4</v>
      </c>
      <c r="H50" s="132">
        <v>0.45</v>
      </c>
    </row>
    <row r="51" spans="7:19">
      <c r="G51" s="175">
        <v>5</v>
      </c>
      <c r="H51" s="132">
        <v>0.5</v>
      </c>
    </row>
  </sheetData>
  <mergeCells count="2">
    <mergeCell ref="F12:H12"/>
    <mergeCell ref="F13:H1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47"/>
  <sheetViews>
    <sheetView topLeftCell="A72" workbookViewId="0">
      <selection activeCell="C17" sqref="C17:C33"/>
    </sheetView>
  </sheetViews>
  <sheetFormatPr defaultColWidth="9" defaultRowHeight="16.5"/>
  <cols>
    <col min="1" max="1" width="9" style="25" customWidth="1"/>
    <col min="2" max="2" width="17.75" style="25" customWidth="1"/>
    <col min="3" max="3" width="12.875" style="25" customWidth="1"/>
    <col min="4" max="4" width="18" style="25" customWidth="1"/>
    <col min="5" max="5" width="15" style="25" customWidth="1"/>
    <col min="6" max="6" width="14.625" style="25" customWidth="1"/>
    <col min="7" max="7" width="9" style="25" customWidth="1"/>
    <col min="8" max="8" width="15.5" style="25" customWidth="1"/>
    <col min="9" max="10" width="15" style="25" customWidth="1"/>
    <col min="11" max="11" width="9" style="25" customWidth="1"/>
    <col min="12" max="12" width="15" style="25" customWidth="1"/>
    <col min="13" max="13" width="14.125" style="25" customWidth="1"/>
    <col min="14" max="15" width="15" style="25" customWidth="1"/>
    <col min="16" max="17" width="9" style="25" customWidth="1"/>
    <col min="18" max="18" width="29.625" style="25" customWidth="1"/>
    <col min="19" max="19" width="15" style="25" customWidth="1"/>
    <col min="20" max="16384" width="9" style="25" customWidth="1"/>
  </cols>
  <sheetData>
    <row r="2" spans="2:7">
      <c r="B2" s="106" t="s">
        <v>243</v>
      </c>
    </row>
    <row r="4" spans="2:7">
      <c r="B4" s="25">
        <v>1</v>
      </c>
      <c r="C4" s="25" t="s">
        <v>244</v>
      </c>
    </row>
    <row r="6" spans="2:7">
      <c r="B6" s="25">
        <v>2</v>
      </c>
      <c r="C6" s="25" t="s">
        <v>245</v>
      </c>
    </row>
    <row r="8" spans="2:7">
      <c r="B8" s="25">
        <v>3</v>
      </c>
      <c r="C8" s="25" t="s">
        <v>246</v>
      </c>
      <c r="F8" s="110">
        <v>0.3</v>
      </c>
    </row>
    <row r="10" spans="2:7">
      <c r="B10" s="25">
        <v>4</v>
      </c>
      <c r="C10" s="25" t="s">
        <v>197</v>
      </c>
      <c r="G10" s="25" t="s">
        <v>247</v>
      </c>
    </row>
    <row r="12" spans="2:7">
      <c r="C12" s="56" t="s">
        <v>79</v>
      </c>
      <c r="D12" s="56" t="s">
        <v>80</v>
      </c>
      <c r="E12" s="56" t="s">
        <v>81</v>
      </c>
      <c r="G12" s="56" t="s">
        <v>179</v>
      </c>
    </row>
    <row r="13" spans="2:7">
      <c r="C13" s="25">
        <f>养成属性规划!D42</f>
        <v>30000</v>
      </c>
      <c r="D13" s="25">
        <f>养成属性规划!E42</f>
        <v>9000</v>
      </c>
      <c r="E13" s="25">
        <f>养成属性规划!F42</f>
        <v>6000</v>
      </c>
      <c r="G13" s="132">
        <f>养成属性规划!P42</f>
        <v>4.2</v>
      </c>
    </row>
    <row r="14" spans="2:7">
      <c r="B14" s="160"/>
      <c r="C14" s="161"/>
      <c r="D14" s="161"/>
      <c r="E14" s="161"/>
      <c r="F14" s="161"/>
      <c r="G14" s="161"/>
    </row>
    <row r="15" spans="2:7">
      <c r="B15" s="160"/>
      <c r="C15" s="161"/>
      <c r="D15" s="161"/>
      <c r="E15" s="161"/>
      <c r="F15" s="161"/>
      <c r="G15" s="161"/>
    </row>
    <row r="16" spans="2:7">
      <c r="B16" s="160"/>
      <c r="C16" s="106" t="s">
        <v>248</v>
      </c>
      <c r="D16" s="161"/>
      <c r="F16" s="25" t="s">
        <v>127</v>
      </c>
    </row>
    <row r="17" spans="2:8">
      <c r="B17" s="160"/>
      <c r="C17" s="25" t="s">
        <v>136</v>
      </c>
      <c r="D17" s="161"/>
      <c r="F17" s="25" t="s">
        <v>128</v>
      </c>
      <c r="G17" s="30">
        <f>属性定价!$C$6</f>
        <v>0.01</v>
      </c>
    </row>
    <row r="18" spans="2:8">
      <c r="B18" s="160"/>
      <c r="C18" s="25" t="s">
        <v>137</v>
      </c>
      <c r="D18" s="161"/>
      <c r="F18" s="25" t="s">
        <v>129</v>
      </c>
      <c r="G18" s="30">
        <f>属性定价!$C$7</f>
        <v>0.01</v>
      </c>
    </row>
    <row r="19" spans="2:8">
      <c r="B19" s="160"/>
      <c r="C19" s="25" t="s">
        <v>138</v>
      </c>
      <c r="D19" s="161"/>
      <c r="F19" s="25" t="s">
        <v>130</v>
      </c>
      <c r="G19" s="30">
        <f>属性定价!$C$8</f>
        <v>0.01</v>
      </c>
    </row>
    <row r="20" spans="2:8">
      <c r="B20" s="160"/>
      <c r="C20" s="80" t="s">
        <v>139</v>
      </c>
      <c r="D20" s="161"/>
      <c r="F20" s="25" t="s">
        <v>131</v>
      </c>
      <c r="G20" s="30">
        <f>属性定价!$C$9</f>
        <v>0</v>
      </c>
    </row>
    <row r="21" spans="2:8">
      <c r="B21" s="160"/>
      <c r="C21" s="25" t="s">
        <v>146</v>
      </c>
      <c r="D21" s="161"/>
      <c r="F21" s="25" t="s">
        <v>132</v>
      </c>
      <c r="G21" s="30">
        <f>属性定价!$C$10</f>
        <v>0.0033</v>
      </c>
      <c r="H21" s="38" t="s">
        <v>184</v>
      </c>
    </row>
    <row r="22" spans="2:8">
      <c r="B22" s="160"/>
      <c r="C22" s="25" t="s">
        <v>249</v>
      </c>
      <c r="D22" s="161"/>
      <c r="F22" s="25" t="s">
        <v>133</v>
      </c>
      <c r="G22" s="30">
        <f>属性定价!$C$11</f>
        <v>0.0018</v>
      </c>
      <c r="H22" s="38" t="s">
        <v>185</v>
      </c>
    </row>
    <row r="23" spans="2:8">
      <c r="B23" s="160"/>
      <c r="C23" s="25" t="s">
        <v>249</v>
      </c>
      <c r="D23" s="161"/>
      <c r="F23" s="25" t="s">
        <v>134</v>
      </c>
      <c r="G23" s="30">
        <f>属性定价!$C$12</f>
        <v>0.0054</v>
      </c>
      <c r="H23" s="38" t="s">
        <v>186</v>
      </c>
    </row>
    <row r="24" spans="2:8">
      <c r="B24" s="160"/>
      <c r="C24" s="25" t="s">
        <v>81</v>
      </c>
      <c r="D24" s="161"/>
      <c r="F24" s="25" t="s">
        <v>135</v>
      </c>
      <c r="G24" s="30">
        <f>属性定价!$C$13</f>
        <v>0.0033</v>
      </c>
    </row>
    <row r="25" spans="2:8">
      <c r="B25" s="160"/>
      <c r="C25" s="25" t="s">
        <v>79</v>
      </c>
      <c r="D25" s="161"/>
      <c r="F25" s="38" t="s">
        <v>136</v>
      </c>
      <c r="G25" s="30">
        <f>属性定价!$C$14</f>
        <v>0.009</v>
      </c>
    </row>
    <row r="26" spans="2:8">
      <c r="B26" s="160"/>
      <c r="C26" s="25" t="s">
        <v>143</v>
      </c>
      <c r="D26" s="161"/>
      <c r="F26" s="38" t="s">
        <v>137</v>
      </c>
      <c r="G26" s="30">
        <f>属性定价!$C$15</f>
        <v>0.012</v>
      </c>
    </row>
    <row r="27" spans="2:8">
      <c r="B27" s="160"/>
      <c r="C27" s="25" t="s">
        <v>144</v>
      </c>
      <c r="D27" s="161"/>
      <c r="F27" s="38" t="s">
        <v>138</v>
      </c>
      <c r="G27" s="30">
        <f>属性定价!$C$16</f>
        <v>0.012</v>
      </c>
    </row>
    <row r="28" spans="2:8">
      <c r="B28" s="160"/>
      <c r="C28" s="25" t="s">
        <v>145</v>
      </c>
      <c r="D28" s="161"/>
      <c r="F28" s="39" t="s">
        <v>139</v>
      </c>
      <c r="G28" s="30">
        <f>属性定价!$C$17</f>
        <v>0.005</v>
      </c>
    </row>
    <row r="29" spans="2:8">
      <c r="B29" s="160"/>
      <c r="C29" s="85" t="s">
        <v>128</v>
      </c>
      <c r="D29" s="161"/>
      <c r="F29" s="39" t="s">
        <v>140</v>
      </c>
      <c r="G29" s="30">
        <f>属性定价!$C$18</f>
        <v>0.0025</v>
      </c>
    </row>
    <row r="30" spans="2:8">
      <c r="B30" s="160"/>
      <c r="C30" s="85" t="s">
        <v>128</v>
      </c>
      <c r="D30" s="161"/>
      <c r="F30" s="38" t="s">
        <v>141</v>
      </c>
      <c r="G30" s="30">
        <f>属性定价!$C$19</f>
        <v>0.0042</v>
      </c>
    </row>
    <row r="31" spans="2:8">
      <c r="B31" s="160"/>
      <c r="C31" s="25" t="s">
        <v>130</v>
      </c>
      <c r="D31" s="161"/>
      <c r="F31" s="38" t="s">
        <v>142</v>
      </c>
      <c r="G31" s="30">
        <f>属性定价!$C$20</f>
        <v>0.0042</v>
      </c>
    </row>
    <row r="32" spans="2:8">
      <c r="B32" s="160"/>
      <c r="C32" s="25" t="s">
        <v>231</v>
      </c>
      <c r="D32" s="161"/>
      <c r="F32" s="25" t="s">
        <v>143</v>
      </c>
      <c r="G32" s="41">
        <f>属性定价!$C$21</f>
        <v>90</v>
      </c>
    </row>
    <row r="33" spans="2:7">
      <c r="B33" s="160"/>
      <c r="C33" s="25" t="s">
        <v>148</v>
      </c>
      <c r="D33" s="161"/>
      <c r="F33" s="25" t="s">
        <v>144</v>
      </c>
      <c r="G33" s="41">
        <f>属性定价!$C$22</f>
        <v>110</v>
      </c>
    </row>
    <row r="34" spans="2:7">
      <c r="B34" s="160"/>
      <c r="D34" s="161"/>
      <c r="F34" s="25" t="s">
        <v>145</v>
      </c>
      <c r="G34" s="41">
        <f>属性定价!$C$23</f>
        <v>90</v>
      </c>
    </row>
    <row r="35" spans="2:7">
      <c r="B35" s="160"/>
      <c r="D35" s="161"/>
      <c r="F35" s="25" t="s">
        <v>146</v>
      </c>
      <c r="G35" s="41">
        <f>属性定价!$C$24</f>
        <v>130</v>
      </c>
    </row>
    <row r="36" spans="2:7">
      <c r="B36" s="160"/>
      <c r="D36" s="161"/>
      <c r="F36" s="25" t="s">
        <v>128</v>
      </c>
      <c r="G36" s="30">
        <f>属性定价!$C$25</f>
        <v>0.01</v>
      </c>
    </row>
    <row r="37" spans="2:7">
      <c r="B37" s="160"/>
      <c r="D37" s="161"/>
      <c r="F37" s="25" t="s">
        <v>128</v>
      </c>
      <c r="G37" s="30">
        <f>属性定价!$C$26</f>
        <v>0.01</v>
      </c>
    </row>
    <row r="38" spans="2:7">
      <c r="B38" s="160"/>
      <c r="D38" s="161"/>
      <c r="F38" s="25" t="s">
        <v>147</v>
      </c>
      <c r="G38" s="30">
        <f>属性定价!$C$27</f>
        <v>0.00333333333333333</v>
      </c>
    </row>
    <row r="39" spans="2:7">
      <c r="B39" s="160"/>
      <c r="C39" s="161"/>
      <c r="D39" s="161"/>
      <c r="F39" s="25" t="s">
        <v>148</v>
      </c>
      <c r="G39" s="41">
        <f>属性定价!$C$28</f>
        <v>100</v>
      </c>
    </row>
    <row r="41" spans="2:7">
      <c r="C41" s="85"/>
      <c r="D41" s="85"/>
      <c r="F41" s="85"/>
    </row>
    <row r="43" spans="2:7">
      <c r="B43" s="162" t="s">
        <v>250</v>
      </c>
    </row>
    <row r="45" spans="2:7">
      <c r="B45" s="25" t="s">
        <v>251</v>
      </c>
      <c r="C45" s="59">
        <v>32</v>
      </c>
      <c r="D45" s="25">
        <f>C45/SUM(C45:C46)</f>
        <v>0.32</v>
      </c>
    </row>
    <row r="46" spans="2:7">
      <c r="B46" s="25" t="s">
        <v>252</v>
      </c>
      <c r="C46" s="59">
        <v>68</v>
      </c>
      <c r="D46" s="25">
        <f>C46/SUM(C45:C46)</f>
        <v>0.68</v>
      </c>
    </row>
    <row r="48" spans="2:7">
      <c r="B48" s="25" t="s">
        <v>253</v>
      </c>
      <c r="C48" s="129">
        <f>D45*$G$13</f>
        <v>1.344</v>
      </c>
    </row>
    <row r="49" spans="2:3">
      <c r="B49" s="25" t="s">
        <v>254</v>
      </c>
      <c r="C49" s="129">
        <f>D46*$G$13</f>
        <v>2.856</v>
      </c>
    </row>
    <row r="54" spans="2:3">
      <c r="B54" s="162" t="s">
        <v>255</v>
      </c>
    </row>
    <row r="56" spans="2:3">
      <c r="B56" s="61" t="s">
        <v>256</v>
      </c>
      <c r="C56" s="163">
        <v>0.4</v>
      </c>
    </row>
    <row r="57" spans="2:3">
      <c r="B57" s="60" t="s">
        <v>257</v>
      </c>
      <c r="C57" s="164">
        <v>0.6</v>
      </c>
    </row>
    <row r="58" spans="2:3">
      <c r="B58" s="58" t="s">
        <v>258</v>
      </c>
      <c r="C58" s="164">
        <v>0.8</v>
      </c>
    </row>
    <row r="59" spans="2:3">
      <c r="B59" s="128" t="s">
        <v>259</v>
      </c>
      <c r="C59" s="164">
        <v>1</v>
      </c>
    </row>
    <row r="61" spans="2:3">
      <c r="B61" s="162" t="s">
        <v>260</v>
      </c>
    </row>
    <row r="62" spans="2:3">
      <c r="B62" s="25" t="s">
        <v>261</v>
      </c>
    </row>
    <row r="63" spans="2:3">
      <c r="B63" s="25" t="s">
        <v>262</v>
      </c>
    </row>
    <row r="66" spans="2:13">
      <c r="B66" s="162" t="s">
        <v>263</v>
      </c>
      <c r="C66" s="59">
        <v>5</v>
      </c>
    </row>
    <row r="67" spans="2:13">
      <c r="B67" s="162"/>
    </row>
    <row r="69" ht="24.75" customHeight="1" spans="2:13">
      <c r="B69" s="165" t="s">
        <v>264</v>
      </c>
    </row>
    <row r="71" spans="2:13">
      <c r="B71" s="25" t="s">
        <v>228</v>
      </c>
      <c r="C71" s="132">
        <v>0.2</v>
      </c>
    </row>
    <row r="72" spans="2:13">
      <c r="B72" s="25" t="s">
        <v>229</v>
      </c>
      <c r="C72" s="166">
        <f>(1-C71)/(C66)</f>
        <v>0.16</v>
      </c>
    </row>
    <row r="73" spans="2:13">
      <c r="B73" s="25" t="s">
        <v>265</v>
      </c>
      <c r="C73" s="59">
        <v>3</v>
      </c>
    </row>
    <row r="74" spans="2:13">
      <c r="B74" s="25" t="s">
        <v>266</v>
      </c>
      <c r="C74" s="166">
        <f>C48/C73</f>
        <v>0.448</v>
      </c>
    </row>
    <row r="77" ht="21" customHeight="1" spans="2:13">
      <c r="B77" s="167" t="s">
        <v>267</v>
      </c>
    </row>
    <row r="78" spans="2:13">
      <c r="B78" s="25" t="s">
        <v>268</v>
      </c>
    </row>
    <row r="80" spans="2:13">
      <c r="B80" s="117" t="s">
        <v>269</v>
      </c>
      <c r="C80" s="117" t="s">
        <v>270</v>
      </c>
      <c r="D80" s="117" t="s">
        <v>271</v>
      </c>
      <c r="E80" s="117" t="s">
        <v>270</v>
      </c>
      <c r="F80" s="117" t="s">
        <v>272</v>
      </c>
      <c r="G80" s="117" t="s">
        <v>270</v>
      </c>
      <c r="H80" s="168" t="s">
        <v>273</v>
      </c>
      <c r="I80" s="117" t="s">
        <v>270</v>
      </c>
      <c r="J80" s="117" t="s">
        <v>274</v>
      </c>
      <c r="K80" s="117" t="s">
        <v>270</v>
      </c>
      <c r="L80" s="117" t="s">
        <v>275</v>
      </c>
      <c r="M80" s="117" t="s">
        <v>270</v>
      </c>
    </row>
    <row r="81" spans="2:13">
      <c r="B81" s="117" t="s">
        <v>80</v>
      </c>
      <c r="C81" s="169">
        <v>100</v>
      </c>
      <c r="D81" s="117" t="s">
        <v>79</v>
      </c>
      <c r="E81" s="169">
        <v>100</v>
      </c>
      <c r="F81" s="117" t="s">
        <v>81</v>
      </c>
      <c r="G81" s="169">
        <v>100</v>
      </c>
      <c r="H81" s="169" t="s">
        <v>128</v>
      </c>
      <c r="I81" s="169">
        <v>200</v>
      </c>
      <c r="J81" s="169" t="s">
        <v>128</v>
      </c>
      <c r="K81" s="169">
        <v>200</v>
      </c>
      <c r="L81" s="169" t="s">
        <v>128</v>
      </c>
      <c r="M81" s="169">
        <v>200</v>
      </c>
    </row>
    <row r="82" spans="2:13">
      <c r="B82" s="117" t="s">
        <v>80</v>
      </c>
      <c r="C82" s="169">
        <v>100</v>
      </c>
      <c r="H82" s="169" t="s">
        <v>128</v>
      </c>
      <c r="I82" s="169">
        <v>200</v>
      </c>
      <c r="J82" s="169" t="s">
        <v>128</v>
      </c>
      <c r="K82" s="169">
        <v>200</v>
      </c>
      <c r="L82" s="169" t="s">
        <v>128</v>
      </c>
      <c r="M82" s="169">
        <v>200</v>
      </c>
    </row>
    <row r="83" spans="2:13">
      <c r="H83" s="169" t="s">
        <v>130</v>
      </c>
      <c r="I83" s="169">
        <v>200</v>
      </c>
      <c r="J83" s="169" t="s">
        <v>130</v>
      </c>
      <c r="K83" s="169">
        <v>200</v>
      </c>
      <c r="L83" s="169" t="s">
        <v>130</v>
      </c>
      <c r="M83" s="169">
        <v>200</v>
      </c>
    </row>
    <row r="84" spans="2:13">
      <c r="H84" s="169" t="s">
        <v>231</v>
      </c>
      <c r="I84" s="169">
        <v>200</v>
      </c>
      <c r="J84" s="169" t="s">
        <v>231</v>
      </c>
      <c r="K84" s="169">
        <v>200</v>
      </c>
      <c r="L84" s="169" t="s">
        <v>231</v>
      </c>
      <c r="M84" s="169">
        <v>200</v>
      </c>
    </row>
    <row r="85" spans="2:13">
      <c r="H85" s="169" t="s">
        <v>276</v>
      </c>
      <c r="I85" s="169">
        <v>100</v>
      </c>
      <c r="J85" s="169"/>
      <c r="K85" s="169"/>
      <c r="L85" s="169" t="s">
        <v>143</v>
      </c>
      <c r="M85" s="169">
        <v>100</v>
      </c>
    </row>
    <row r="86" spans="2:13">
      <c r="H86" s="169"/>
      <c r="I86" s="169"/>
      <c r="J86" s="169"/>
      <c r="K86" s="169"/>
      <c r="L86" s="169" t="s">
        <v>144</v>
      </c>
      <c r="M86" s="169">
        <v>100</v>
      </c>
    </row>
    <row r="87" spans="2:13">
      <c r="H87" s="169"/>
      <c r="I87" s="169"/>
      <c r="J87" s="169"/>
      <c r="K87" s="169"/>
      <c r="L87" s="169"/>
      <c r="M87" s="169"/>
    </row>
    <row r="88" spans="2:13">
      <c r="H88" s="169"/>
      <c r="I88" s="169"/>
      <c r="J88" s="169"/>
      <c r="K88" s="169"/>
      <c r="L88" s="169"/>
      <c r="M88" s="169"/>
    </row>
    <row r="89" spans="2:13">
      <c r="C89" s="29"/>
      <c r="E89" s="29"/>
      <c r="F89" s="29"/>
    </row>
    <row r="90" ht="21" customHeight="1" spans="2:13">
      <c r="B90" s="167" t="s">
        <v>277</v>
      </c>
      <c r="C90" s="29"/>
      <c r="E90" s="29"/>
      <c r="F90" s="29"/>
    </row>
    <row r="91" spans="2:13">
      <c r="B91" s="25" t="s">
        <v>278</v>
      </c>
      <c r="C91" s="29"/>
      <c r="E91" s="29"/>
      <c r="F91" s="29"/>
    </row>
    <row r="92" spans="2:13">
      <c r="C92" s="29"/>
      <c r="E92" s="29"/>
      <c r="F92" s="29"/>
    </row>
    <row r="93" spans="2:13">
      <c r="C93" s="29" t="s">
        <v>279</v>
      </c>
      <c r="E93" s="29" t="s">
        <v>280</v>
      </c>
      <c r="F93" s="29" t="s">
        <v>281</v>
      </c>
    </row>
    <row r="94" spans="2:13">
      <c r="B94" s="25" t="s">
        <v>136</v>
      </c>
      <c r="C94" s="166">
        <f>$C$74*VLOOKUP(B94,$F$17:$G$42,2,0)/$G$17</f>
        <v>0.4032</v>
      </c>
      <c r="E94" s="166">
        <f t="shared" ref="E94:E106" si="0">C94*$C$71</f>
        <v>0.08064</v>
      </c>
      <c r="F94" s="166">
        <f t="shared" ref="F94:F106" si="1">C94*$C$72</f>
        <v>0.064512</v>
      </c>
    </row>
    <row r="95" spans="2:13">
      <c r="B95" s="25" t="s">
        <v>137</v>
      </c>
      <c r="C95" s="166">
        <f>$C$74*VLOOKUP(B95,$F$17:$G$37,2,0)/$G$17</f>
        <v>0.5376</v>
      </c>
      <c r="E95" s="166">
        <f t="shared" si="0"/>
        <v>0.10752</v>
      </c>
      <c r="F95" s="166">
        <f t="shared" si="1"/>
        <v>0.086016</v>
      </c>
    </row>
    <row r="96" spans="2:13">
      <c r="B96" s="25" t="s">
        <v>138</v>
      </c>
      <c r="C96" s="166">
        <f>$C$74*VLOOKUP(B96,$F$17:$G$37,2,0)/$G$17</f>
        <v>0.5376</v>
      </c>
      <c r="E96" s="166">
        <f t="shared" si="0"/>
        <v>0.10752</v>
      </c>
      <c r="F96" s="166">
        <f t="shared" si="1"/>
        <v>0.086016</v>
      </c>
    </row>
    <row r="97" spans="2:6">
      <c r="B97" s="80" t="s">
        <v>139</v>
      </c>
      <c r="C97" s="166">
        <f>$C$74*VLOOKUP(B97,$F$17:$G$37,2,0)/$G$17</f>
        <v>0.224</v>
      </c>
      <c r="E97" s="166">
        <f t="shared" si="0"/>
        <v>0.0448</v>
      </c>
      <c r="F97" s="166">
        <f t="shared" si="1"/>
        <v>0.03584</v>
      </c>
    </row>
    <row r="98" spans="2:6">
      <c r="B98" s="25" t="s">
        <v>146</v>
      </c>
      <c r="C98" s="25">
        <f>ROUND($C$74*VLOOKUP(B98,$F$17:$G$37,2,0)/$G$17,0)</f>
        <v>5824</v>
      </c>
      <c r="E98" s="170">
        <f t="shared" si="0"/>
        <v>1164.8</v>
      </c>
      <c r="F98" s="170">
        <f t="shared" si="1"/>
        <v>931.84</v>
      </c>
    </row>
    <row r="99" spans="2:6">
      <c r="B99" s="25" t="s">
        <v>143</v>
      </c>
      <c r="C99" s="25">
        <f>ROUND($C$74*VLOOKUP(B99,$F$17:$G$37,2,0)/$G$17,0)</f>
        <v>4032</v>
      </c>
      <c r="E99" s="170">
        <f t="shared" si="0"/>
        <v>806.4</v>
      </c>
      <c r="F99" s="170">
        <f t="shared" si="1"/>
        <v>645.12</v>
      </c>
    </row>
    <row r="100" spans="2:6">
      <c r="B100" s="25" t="s">
        <v>144</v>
      </c>
      <c r="C100" s="25">
        <f>ROUND($C$74*VLOOKUP(B100,$F$17:$G$37,2,0)/$G$17,0)</f>
        <v>4928</v>
      </c>
      <c r="E100" s="170">
        <f t="shared" si="0"/>
        <v>985.6</v>
      </c>
      <c r="F100" s="170">
        <f t="shared" si="1"/>
        <v>788.48</v>
      </c>
    </row>
    <row r="101" spans="2:6">
      <c r="B101" s="25" t="s">
        <v>145</v>
      </c>
      <c r="C101" s="25">
        <f>ROUND($C$74*VLOOKUP(B101,$F$17:$G$39,2,0)/$G$17,0)</f>
        <v>4032</v>
      </c>
      <c r="E101" s="170">
        <f t="shared" si="0"/>
        <v>806.4</v>
      </c>
      <c r="F101" s="170">
        <f t="shared" si="1"/>
        <v>645.12</v>
      </c>
    </row>
    <row r="102" spans="2:6">
      <c r="B102" s="85" t="s">
        <v>128</v>
      </c>
      <c r="C102" s="166">
        <f>$C$74*VLOOKUP(B102,$F$17:$G$37,2,0)/$G$17</f>
        <v>0.448</v>
      </c>
      <c r="E102" s="166">
        <f t="shared" si="0"/>
        <v>0.0896</v>
      </c>
      <c r="F102" s="166">
        <f t="shared" si="1"/>
        <v>0.07168</v>
      </c>
    </row>
    <row r="103" spans="2:6">
      <c r="B103" s="85" t="s">
        <v>128</v>
      </c>
      <c r="C103" s="166">
        <f>$C$74*VLOOKUP(B103,$F$17:$G$37,2,0)/$G$17</f>
        <v>0.448</v>
      </c>
      <c r="E103" s="166">
        <f t="shared" si="0"/>
        <v>0.0896</v>
      </c>
      <c r="F103" s="166">
        <f t="shared" si="1"/>
        <v>0.07168</v>
      </c>
    </row>
    <row r="104" spans="2:6">
      <c r="B104" s="25" t="s">
        <v>130</v>
      </c>
      <c r="C104" s="166">
        <f>$C$74*VLOOKUP(B104,$F$17:$G$37,2,0)/$G$17</f>
        <v>0.448</v>
      </c>
      <c r="E104" s="166">
        <f t="shared" si="0"/>
        <v>0.0896</v>
      </c>
      <c r="F104" s="166">
        <f t="shared" si="1"/>
        <v>0.07168</v>
      </c>
    </row>
    <row r="105" spans="2:6">
      <c r="B105" s="25" t="s">
        <v>129</v>
      </c>
      <c r="C105" s="166">
        <f>$C$74*VLOOKUP(B105,$F$17:$G$37,2,0)/$G$17</f>
        <v>0.448</v>
      </c>
      <c r="E105" s="166">
        <f t="shared" si="0"/>
        <v>0.0896</v>
      </c>
      <c r="F105" s="166">
        <f t="shared" si="1"/>
        <v>0.07168</v>
      </c>
    </row>
    <row r="106" spans="2:6">
      <c r="B106" s="25" t="s">
        <v>148</v>
      </c>
      <c r="C106" s="25">
        <f>ROUND($C$74*VLOOKUP(B106,$F$17:$G$39,2,0)/$G$17,0)</f>
        <v>4480</v>
      </c>
      <c r="E106" s="170">
        <f t="shared" si="0"/>
        <v>896</v>
      </c>
      <c r="F106" s="170">
        <f t="shared" si="1"/>
        <v>716.8</v>
      </c>
    </row>
    <row r="108" spans="2:6">
      <c r="B108" s="25" t="s">
        <v>249</v>
      </c>
      <c r="C108" s="25">
        <f>D13</f>
        <v>9000</v>
      </c>
      <c r="E108" s="25">
        <f>C108*$C$71</f>
        <v>1800</v>
      </c>
      <c r="F108" s="25">
        <f>C108*$C$72</f>
        <v>1440</v>
      </c>
    </row>
    <row r="109" spans="2:6">
      <c r="B109" s="25" t="s">
        <v>249</v>
      </c>
      <c r="C109" s="25">
        <f>D13</f>
        <v>9000</v>
      </c>
      <c r="E109" s="25">
        <f>C109*$C$71</f>
        <v>1800</v>
      </c>
      <c r="F109" s="25">
        <f>C109*$C$72</f>
        <v>1440</v>
      </c>
    </row>
    <row r="110" spans="2:6">
      <c r="B110" s="25" t="s">
        <v>81</v>
      </c>
      <c r="C110" s="25">
        <f>E13</f>
        <v>6000</v>
      </c>
      <c r="E110" s="25">
        <f>C110*$C$71</f>
        <v>1200</v>
      </c>
      <c r="F110" s="25">
        <f>C110*$C$72</f>
        <v>960</v>
      </c>
    </row>
    <row r="111" spans="2:6">
      <c r="B111" s="25" t="s">
        <v>79</v>
      </c>
      <c r="C111" s="25">
        <f>C13</f>
        <v>30000</v>
      </c>
      <c r="E111" s="25">
        <f>C111*$C$71</f>
        <v>6000</v>
      </c>
      <c r="F111" s="25">
        <f>C111*$C$72</f>
        <v>4800</v>
      </c>
    </row>
    <row r="115" ht="24.75" customHeight="1" spans="2:6">
      <c r="B115" s="165" t="s">
        <v>282</v>
      </c>
    </row>
    <row r="117" spans="2:6">
      <c r="B117" s="25" t="s">
        <v>283</v>
      </c>
      <c r="C117" s="59">
        <v>6</v>
      </c>
    </row>
    <row r="118" spans="2:6">
      <c r="B118" s="25" t="s">
        <v>284</v>
      </c>
      <c r="C118" s="59">
        <v>2</v>
      </c>
    </row>
    <row r="120" spans="2:6">
      <c r="B120" s="25" t="s">
        <v>285</v>
      </c>
      <c r="C120" s="171">
        <f>C49/C117/C118</f>
        <v>0.238</v>
      </c>
    </row>
    <row r="121" spans="2:6">
      <c r="B121" s="25" t="s">
        <v>228</v>
      </c>
      <c r="C121" s="166">
        <v>0.286</v>
      </c>
    </row>
    <row r="122" spans="2:6">
      <c r="B122" s="25" t="s">
        <v>229</v>
      </c>
      <c r="C122" s="166">
        <f>(1-C121)/(C66)*C118</f>
        <v>0.2856</v>
      </c>
    </row>
    <row r="124" spans="2:6">
      <c r="B124" s="25" t="s">
        <v>286</v>
      </c>
    </row>
    <row r="125" spans="2:6">
      <c r="E125" s="29" t="s">
        <v>287</v>
      </c>
      <c r="F125" s="29" t="s">
        <v>281</v>
      </c>
    </row>
    <row r="126" spans="2:6">
      <c r="B126" s="25" t="s">
        <v>143</v>
      </c>
      <c r="C126" s="170">
        <f t="shared" ref="C126:C131" si="2">$C$120*VLOOKUP(B126,$F$17:$G$37,2,0)/$G$17</f>
        <v>2142</v>
      </c>
      <c r="D126" s="170"/>
      <c r="E126" s="170">
        <f t="shared" ref="E126:E131" si="3">C126*$C$121</f>
        <v>612.612</v>
      </c>
      <c r="F126" s="170">
        <f t="shared" ref="F126:F131" si="4">C126*$C$122</f>
        <v>611.7552</v>
      </c>
    </row>
    <row r="127" spans="2:6">
      <c r="B127" s="25" t="s">
        <v>144</v>
      </c>
      <c r="C127" s="170">
        <f t="shared" si="2"/>
        <v>2618</v>
      </c>
      <c r="D127" s="170"/>
      <c r="E127" s="170">
        <f t="shared" si="3"/>
        <v>748.748</v>
      </c>
      <c r="F127" s="170">
        <f t="shared" si="4"/>
        <v>747.7008</v>
      </c>
    </row>
    <row r="128" spans="2:6">
      <c r="B128" s="85" t="s">
        <v>128</v>
      </c>
      <c r="C128" s="126">
        <f t="shared" si="2"/>
        <v>0.238</v>
      </c>
      <c r="E128" s="166">
        <f t="shared" si="3"/>
        <v>0.068068</v>
      </c>
      <c r="F128" s="166">
        <f t="shared" si="4"/>
        <v>0.0679728</v>
      </c>
    </row>
    <row r="129" spans="2:6">
      <c r="B129" s="85" t="s">
        <v>128</v>
      </c>
      <c r="C129" s="126">
        <f t="shared" si="2"/>
        <v>0.238</v>
      </c>
      <c r="E129" s="166">
        <f t="shared" si="3"/>
        <v>0.068068</v>
      </c>
      <c r="F129" s="166">
        <f t="shared" si="4"/>
        <v>0.0679728</v>
      </c>
    </row>
    <row r="130" spans="2:6">
      <c r="B130" s="25" t="s">
        <v>130</v>
      </c>
      <c r="C130" s="126">
        <f t="shared" si="2"/>
        <v>0.238</v>
      </c>
      <c r="E130" s="166">
        <f t="shared" si="3"/>
        <v>0.068068</v>
      </c>
      <c r="F130" s="166">
        <f t="shared" si="4"/>
        <v>0.0679728</v>
      </c>
    </row>
    <row r="131" spans="2:6">
      <c r="B131" s="25" t="s">
        <v>129</v>
      </c>
      <c r="C131" s="126">
        <f t="shared" si="2"/>
        <v>0.238</v>
      </c>
      <c r="E131" s="166">
        <f t="shared" si="3"/>
        <v>0.068068</v>
      </c>
      <c r="F131" s="166">
        <f t="shared" si="4"/>
        <v>0.0679728</v>
      </c>
    </row>
    <row r="132" spans="2:6">
      <c r="B132" s="172" t="s">
        <v>249</v>
      </c>
      <c r="C132" s="172">
        <f>C108/5</f>
        <v>1800</v>
      </c>
      <c r="D132" s="172"/>
      <c r="E132" s="172">
        <f>ROUND(C132*$C$121,0)</f>
        <v>515</v>
      </c>
      <c r="F132" s="172">
        <f>ROUND(C132*$C$122,0)</f>
        <v>514</v>
      </c>
    </row>
    <row r="133" spans="2:6">
      <c r="B133" s="172" t="s">
        <v>249</v>
      </c>
      <c r="C133" s="172">
        <f>C109/5</f>
        <v>1800</v>
      </c>
      <c r="D133" s="172"/>
      <c r="E133" s="172">
        <f>ROUND(C133*$C$121,0)</f>
        <v>515</v>
      </c>
      <c r="F133" s="172">
        <f>ROUND(C133*$C$122,0)</f>
        <v>514</v>
      </c>
    </row>
    <row r="134" spans="2:6">
      <c r="B134" s="172" t="s">
        <v>81</v>
      </c>
      <c r="C134" s="172">
        <f>C110/5</f>
        <v>1200</v>
      </c>
      <c r="D134" s="172"/>
      <c r="E134" s="172">
        <f>ROUND(C134*$C$121,0)</f>
        <v>343</v>
      </c>
      <c r="F134" s="172">
        <f>ROUND(C134*$C$122,0)</f>
        <v>343</v>
      </c>
    </row>
    <row r="135" spans="2:6">
      <c r="B135" s="172" t="s">
        <v>79</v>
      </c>
      <c r="C135" s="172">
        <f>C111/5</f>
        <v>6000</v>
      </c>
      <c r="D135" s="172"/>
      <c r="E135" s="172">
        <f>ROUND(C135*$C$121,0)</f>
        <v>1716</v>
      </c>
      <c r="F135" s="172">
        <f>ROUND(C135*$C$122,0)</f>
        <v>1714</v>
      </c>
    </row>
    <row r="138" ht="18" customHeight="1" spans="2:6">
      <c r="B138" s="173" t="s">
        <v>288</v>
      </c>
    </row>
    <row r="140" spans="2:6">
      <c r="B140" s="117" t="s">
        <v>269</v>
      </c>
      <c r="C140" s="25">
        <f>10*9/2</f>
        <v>45</v>
      </c>
    </row>
    <row r="141" spans="2:6">
      <c r="B141" s="117" t="s">
        <v>271</v>
      </c>
      <c r="C141" s="25">
        <f>10*9/2</f>
        <v>45</v>
      </c>
    </row>
    <row r="142" spans="2:6">
      <c r="B142" s="117" t="s">
        <v>272</v>
      </c>
      <c r="C142" s="25">
        <f>10*9/2</f>
        <v>45</v>
      </c>
    </row>
    <row r="143" spans="2:6">
      <c r="B143" s="117" t="s">
        <v>273</v>
      </c>
      <c r="C143" s="25">
        <f>10*9/2*COUNTA(H81:H86)</f>
        <v>225</v>
      </c>
    </row>
    <row r="144" spans="2:6">
      <c r="B144" s="117" t="s">
        <v>274</v>
      </c>
      <c r="C144" s="25">
        <f>10*9/2*COUNTA(J81:J87)</f>
        <v>180</v>
      </c>
    </row>
    <row r="145" spans="2:4">
      <c r="B145" s="117" t="s">
        <v>275</v>
      </c>
      <c r="C145" s="25">
        <f>10*9/2*COUNTA(L81:L87)</f>
        <v>270</v>
      </c>
    </row>
    <row r="147" spans="2:4">
      <c r="B147" s="25" t="s">
        <v>289</v>
      </c>
      <c r="C147" s="25">
        <v>3471</v>
      </c>
      <c r="D147" s="25" t="s">
        <v>195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16"/>
  <sheetViews>
    <sheetView workbookViewId="0">
      <selection activeCell="F39" sqref="F39"/>
    </sheetView>
  </sheetViews>
  <sheetFormatPr defaultColWidth="9" defaultRowHeight="13.5"/>
  <cols>
    <col min="3" max="3" width="14.5" style="8" customWidth="1"/>
    <col min="4" max="4" width="16.625" style="8" customWidth="1"/>
    <col min="5" max="5" width="14.25" style="8" customWidth="1"/>
    <col min="6" max="7" width="13.875" style="8" customWidth="1"/>
  </cols>
  <sheetData>
    <row r="2" ht="14.25" customHeight="1" spans="1:35">
      <c r="B2" t="s">
        <v>290</v>
      </c>
    </row>
    <row r="3" ht="33.75" customHeight="1" spans="1:35">
      <c r="A3" s="155" t="s">
        <v>291</v>
      </c>
      <c r="B3" s="156" t="s">
        <v>79</v>
      </c>
      <c r="C3" s="156" t="s">
        <v>79</v>
      </c>
      <c r="D3" s="156" t="s">
        <v>249</v>
      </c>
      <c r="E3" s="156" t="str">
        <f>D3</f>
        <v>攻击力</v>
      </c>
      <c r="F3" s="156" t="s">
        <v>249</v>
      </c>
      <c r="G3" s="156" t="str">
        <f>F3</f>
        <v>攻击力</v>
      </c>
      <c r="H3" s="156" t="s">
        <v>81</v>
      </c>
      <c r="I3" s="156" t="str">
        <f>H3</f>
        <v>防御</v>
      </c>
      <c r="J3" s="156" t="s">
        <v>130</v>
      </c>
      <c r="K3" s="156" t="str">
        <f>J3</f>
        <v>生命百分比</v>
      </c>
      <c r="L3" s="156" t="s">
        <v>128</v>
      </c>
      <c r="M3" s="156" t="str">
        <f>L3</f>
        <v>攻击百分比</v>
      </c>
      <c r="N3" s="156" t="s">
        <v>128</v>
      </c>
      <c r="O3" s="156" t="str">
        <f>N3</f>
        <v>攻击百分比</v>
      </c>
      <c r="P3" s="156" t="s">
        <v>129</v>
      </c>
      <c r="Q3" s="156" t="str">
        <f>P3</f>
        <v>防御百分比</v>
      </c>
      <c r="R3" s="156" t="s">
        <v>136</v>
      </c>
      <c r="S3" s="156" t="str">
        <f>R3</f>
        <v>普攻伤害加成</v>
      </c>
      <c r="T3" s="156" t="s">
        <v>137</v>
      </c>
      <c r="U3" s="156" t="str">
        <f>T3</f>
        <v>技能伤害加成</v>
      </c>
      <c r="V3" s="156" t="s">
        <v>138</v>
      </c>
      <c r="W3" s="156" t="str">
        <f>V3</f>
        <v>必杀伤害加成</v>
      </c>
      <c r="X3" s="156" t="s">
        <v>139</v>
      </c>
      <c r="Y3" s="156" t="str">
        <f>X3</f>
        <v>治疗率</v>
      </c>
      <c r="Z3" s="156" t="s">
        <v>146</v>
      </c>
      <c r="AA3" s="156" t="str">
        <f>Z3</f>
        <v>技能冷却等级</v>
      </c>
      <c r="AB3" s="156" t="s">
        <v>143</v>
      </c>
      <c r="AC3" s="156" t="str">
        <f>AB3</f>
        <v>暴击等级</v>
      </c>
      <c r="AD3" s="156" t="s">
        <v>144</v>
      </c>
      <c r="AE3" s="156" t="str">
        <f>AD3</f>
        <v>暴击伤害等级</v>
      </c>
      <c r="AF3" s="156" t="s">
        <v>145</v>
      </c>
      <c r="AG3" s="156" t="str">
        <f>AF3</f>
        <v>能量回复等级</v>
      </c>
      <c r="AH3" s="156" t="s">
        <v>148</v>
      </c>
      <c r="AI3" s="156" t="str">
        <f>AH3</f>
        <v>格挡等级</v>
      </c>
    </row>
    <row r="4" ht="16.5" customHeight="1" spans="1:35">
      <c r="A4" s="157">
        <v>2</v>
      </c>
      <c r="B4">
        <f>B$7*旅券!$C56</f>
        <v>2400</v>
      </c>
      <c r="C4">
        <f>C$7*旅券!$C56</f>
        <v>1920</v>
      </c>
      <c r="D4">
        <f>D$7*旅券!$C56</f>
        <v>720</v>
      </c>
      <c r="E4">
        <f>E$7*旅券!$C56</f>
        <v>576</v>
      </c>
      <c r="F4">
        <f>F$7*旅券!$C56</f>
        <v>720</v>
      </c>
      <c r="G4">
        <f>G$7*旅券!$C56</f>
        <v>576</v>
      </c>
      <c r="H4">
        <f>H$7*旅券!$C56</f>
        <v>480</v>
      </c>
      <c r="I4">
        <f>I$7*旅券!$C56</f>
        <v>384</v>
      </c>
      <c r="J4">
        <f>J$7*旅券!$C56</f>
        <v>0.036</v>
      </c>
      <c r="K4">
        <f>K$7*旅券!$C56</f>
        <v>0.0288</v>
      </c>
      <c r="L4">
        <f>L$7*旅券!$C56</f>
        <v>0.036</v>
      </c>
      <c r="M4">
        <f>M$7*旅券!$C56</f>
        <v>0.0288</v>
      </c>
      <c r="N4">
        <f>N$7*旅券!$C56</f>
        <v>0.036</v>
      </c>
      <c r="O4">
        <f>O$7*旅券!$C56</f>
        <v>0.0288</v>
      </c>
      <c r="P4">
        <f>P$7*旅券!$C56</f>
        <v>0.036</v>
      </c>
      <c r="Q4">
        <f>Q$7*旅券!$C56</f>
        <v>0.0288</v>
      </c>
      <c r="R4">
        <f>R$7*旅券!$C56</f>
        <v>0.0324</v>
      </c>
      <c r="S4">
        <f>S$7*旅券!$C56</f>
        <v>0.026</v>
      </c>
      <c r="T4">
        <f>T$7*旅券!$C56</f>
        <v>0.0432</v>
      </c>
      <c r="U4">
        <f>U$7*旅券!$C56</f>
        <v>0.0344</v>
      </c>
      <c r="V4">
        <f>V$7*旅券!$C56</f>
        <v>0.0432</v>
      </c>
      <c r="W4">
        <f>W$7*旅券!$C56</f>
        <v>0.0344</v>
      </c>
      <c r="X4">
        <f>X$7*旅券!$C56</f>
        <v>0.018</v>
      </c>
      <c r="Y4">
        <f>Y$7*旅券!$C56</f>
        <v>0.0144</v>
      </c>
      <c r="Z4">
        <f>Z$7*旅券!$C56</f>
        <v>464</v>
      </c>
      <c r="AA4">
        <f>AA$7*旅券!$C56</f>
        <v>372</v>
      </c>
      <c r="AB4">
        <f>AB$7*旅券!$C56</f>
        <v>324</v>
      </c>
      <c r="AC4">
        <f>AC$7*旅券!$C56</f>
        <v>260</v>
      </c>
      <c r="AD4">
        <f>AD$7*旅券!$C56</f>
        <v>396</v>
      </c>
      <c r="AE4">
        <f>AE$7*旅券!$C56</f>
        <v>316</v>
      </c>
      <c r="AF4">
        <f>AF$7*旅券!$C56</f>
        <v>324</v>
      </c>
      <c r="AG4">
        <f>AG$7*旅券!$C56</f>
        <v>260</v>
      </c>
      <c r="AH4">
        <f>AH$7*旅券!$C56</f>
        <v>360</v>
      </c>
      <c r="AI4">
        <f>AI$7*旅券!$C56</f>
        <v>288</v>
      </c>
    </row>
    <row r="5" ht="16.5" customHeight="1" spans="1:35">
      <c r="A5" s="157">
        <v>3</v>
      </c>
      <c r="B5">
        <f>B$7*旅券!$C57</f>
        <v>3600</v>
      </c>
      <c r="C5">
        <f>C$7*旅券!$C57</f>
        <v>2880</v>
      </c>
      <c r="D5">
        <f>D$7*旅券!$C57</f>
        <v>1080</v>
      </c>
      <c r="E5">
        <f>E$7*旅券!$C57</f>
        <v>864</v>
      </c>
      <c r="F5">
        <f>F$7*旅券!$C57</f>
        <v>1080</v>
      </c>
      <c r="G5">
        <f>G$7*旅券!$C57</f>
        <v>864</v>
      </c>
      <c r="H5">
        <f>H$7*旅券!$C57</f>
        <v>720</v>
      </c>
      <c r="I5">
        <f>I$7*旅券!$C57</f>
        <v>576</v>
      </c>
      <c r="J5">
        <f>J$7*旅券!$C57</f>
        <v>0.054</v>
      </c>
      <c r="K5">
        <f>K$7*旅券!$C57</f>
        <v>0.0432</v>
      </c>
      <c r="L5">
        <f>L$7*旅券!$C57</f>
        <v>0.054</v>
      </c>
      <c r="M5">
        <f>M$7*旅券!$C57</f>
        <v>0.0432</v>
      </c>
      <c r="N5">
        <f>N$7*旅券!$C57</f>
        <v>0.054</v>
      </c>
      <c r="O5">
        <f>O$7*旅券!$C57</f>
        <v>0.0432</v>
      </c>
      <c r="P5">
        <f>P$7*旅券!$C57</f>
        <v>0.054</v>
      </c>
      <c r="Q5">
        <f>Q$7*旅券!$C57</f>
        <v>0.0432</v>
      </c>
      <c r="R5">
        <f>R$7*旅券!$C57</f>
        <v>0.0486</v>
      </c>
      <c r="S5">
        <f>S$7*旅券!$C57</f>
        <v>0.039</v>
      </c>
      <c r="T5">
        <f>T$7*旅券!$C57</f>
        <v>0.0648</v>
      </c>
      <c r="U5">
        <f>U$7*旅券!$C57</f>
        <v>0.0516</v>
      </c>
      <c r="V5">
        <f>V$7*旅券!$C57</f>
        <v>0.0648</v>
      </c>
      <c r="W5">
        <f>W$7*旅券!$C57</f>
        <v>0.0516</v>
      </c>
      <c r="X5">
        <f>X$7*旅券!$C57</f>
        <v>0.027</v>
      </c>
      <c r="Y5">
        <f>Y$7*旅券!$C57</f>
        <v>0.0216</v>
      </c>
      <c r="Z5">
        <f>Z$7*旅券!$C57</f>
        <v>696</v>
      </c>
      <c r="AA5">
        <f>AA$7*旅券!$C57</f>
        <v>558</v>
      </c>
      <c r="AB5">
        <f>AB$7*旅券!$C57</f>
        <v>486</v>
      </c>
      <c r="AC5">
        <f>AC$7*旅券!$C57</f>
        <v>390</v>
      </c>
      <c r="AD5">
        <f>AD$7*旅券!$C57</f>
        <v>594</v>
      </c>
      <c r="AE5">
        <f>AE$7*旅券!$C57</f>
        <v>474</v>
      </c>
      <c r="AF5">
        <f>AF$7*旅券!$C57</f>
        <v>486</v>
      </c>
      <c r="AG5">
        <f>AG$7*旅券!$C57</f>
        <v>390</v>
      </c>
      <c r="AH5">
        <f>AH$7*旅券!$C57</f>
        <v>540</v>
      </c>
      <c r="AI5">
        <f>AI$7*旅券!$C57</f>
        <v>432</v>
      </c>
    </row>
    <row r="6" ht="16.5" customHeight="1" spans="1:35">
      <c r="A6" s="157">
        <v>4</v>
      </c>
      <c r="B6">
        <f>B$7*旅券!$C58</f>
        <v>4800</v>
      </c>
      <c r="C6">
        <f>C$7*旅券!$C58</f>
        <v>3840</v>
      </c>
      <c r="D6">
        <f>D$7*旅券!$C58</f>
        <v>1440</v>
      </c>
      <c r="E6">
        <f>E$7*旅券!$C58</f>
        <v>1152</v>
      </c>
      <c r="F6">
        <f>F$7*旅券!$C58</f>
        <v>1440</v>
      </c>
      <c r="G6">
        <f>G$7*旅券!$C58</f>
        <v>1152</v>
      </c>
      <c r="H6">
        <f>H$7*旅券!$C58</f>
        <v>960</v>
      </c>
      <c r="I6">
        <f>I$7*旅券!$C58</f>
        <v>768</v>
      </c>
      <c r="J6">
        <f>J$7*旅券!$C58</f>
        <v>0.072</v>
      </c>
      <c r="K6">
        <f>K$7*旅券!$C58</f>
        <v>0.0576</v>
      </c>
      <c r="L6">
        <f>L$7*旅券!$C58</f>
        <v>0.072</v>
      </c>
      <c r="M6">
        <f>M$7*旅券!$C58</f>
        <v>0.0576</v>
      </c>
      <c r="N6">
        <f>N$7*旅券!$C58</f>
        <v>0.072</v>
      </c>
      <c r="O6">
        <f>O$7*旅券!$C58</f>
        <v>0.0576</v>
      </c>
      <c r="P6">
        <f>P$7*旅券!$C58</f>
        <v>0.072</v>
      </c>
      <c r="Q6">
        <f>Q$7*旅券!$C58</f>
        <v>0.0576</v>
      </c>
      <c r="R6">
        <f>R$7*旅券!$C58</f>
        <v>0.0648</v>
      </c>
      <c r="S6">
        <f>S$7*旅券!$C58</f>
        <v>0.052</v>
      </c>
      <c r="T6">
        <f>T$7*旅券!$C58</f>
        <v>0.0864</v>
      </c>
      <c r="U6">
        <f>U$7*旅券!$C58</f>
        <v>0.0688</v>
      </c>
      <c r="V6">
        <f>V$7*旅券!$C58</f>
        <v>0.0864</v>
      </c>
      <c r="W6">
        <f>W$7*旅券!$C58</f>
        <v>0.0688</v>
      </c>
      <c r="X6">
        <f>X$7*旅券!$C58</f>
        <v>0.036</v>
      </c>
      <c r="Y6">
        <f>Y$7*旅券!$C58</f>
        <v>0.0288</v>
      </c>
      <c r="Z6">
        <f>Z$7*旅券!$C58</f>
        <v>928</v>
      </c>
      <c r="AA6">
        <f>AA$7*旅券!$C58</f>
        <v>744</v>
      </c>
      <c r="AB6">
        <f>AB$7*旅券!$C58</f>
        <v>648</v>
      </c>
      <c r="AC6">
        <f>AC$7*旅券!$C58</f>
        <v>520</v>
      </c>
      <c r="AD6">
        <f>AD$7*旅券!$C58</f>
        <v>792</v>
      </c>
      <c r="AE6">
        <f>AE$7*旅券!$C58</f>
        <v>632</v>
      </c>
      <c r="AF6">
        <f>AF$7*旅券!$C58</f>
        <v>648</v>
      </c>
      <c r="AG6">
        <f>AG$7*旅券!$C58</f>
        <v>520</v>
      </c>
      <c r="AH6">
        <f>AH$7*旅券!$C58</f>
        <v>720</v>
      </c>
      <c r="AI6">
        <f>AI$7*旅券!$C58</f>
        <v>576</v>
      </c>
    </row>
    <row r="7" ht="16.5" customHeight="1" spans="1:35">
      <c r="A7" s="157">
        <v>5</v>
      </c>
      <c r="B7">
        <f>ROUND(VLOOKUP(B$3,旅券!$B$94:$F$111,4,0),-1)</f>
        <v>6000</v>
      </c>
      <c r="C7">
        <f>ROUND(VLOOKUP(C$3,旅券!$B$94:$F$111,5,0),-1)</f>
        <v>4800</v>
      </c>
      <c r="D7">
        <f>ROUND(VLOOKUP(D$3,旅券!$B$94:$F$111,4,0),-1)</f>
        <v>1800</v>
      </c>
      <c r="E7">
        <f>ROUND(VLOOKUP(E$3,旅券!$B$94:$F$111,5,0),-1)</f>
        <v>1440</v>
      </c>
      <c r="F7">
        <f>ROUND(VLOOKUP(F$3,旅券!$B$94:$F$111,4,0),-1)</f>
        <v>1800</v>
      </c>
      <c r="G7">
        <f>ROUND(VLOOKUP(G$3,旅券!$B$94:$F$111,5,0),-1)</f>
        <v>1440</v>
      </c>
      <c r="H7">
        <f>ROUND(VLOOKUP(H$3,旅券!$B$94:$F$111,4,0),-1)</f>
        <v>1200</v>
      </c>
      <c r="I7">
        <f>ROUND(VLOOKUP(I$3,旅券!$B$94:$F$111,5,0),-1)</f>
        <v>960</v>
      </c>
      <c r="J7">
        <f>ROUND(VLOOKUP(J$3,旅券!$B$94:$F$111,4,0),3)</f>
        <v>0.09</v>
      </c>
      <c r="K7">
        <f>ROUND(VLOOKUP(K$3,旅券!$B$94:$F$111,5,0),3)</f>
        <v>0.072</v>
      </c>
      <c r="L7">
        <f>ROUND(VLOOKUP(L$3,旅券!$B$94:$F$111,4,0),3)</f>
        <v>0.09</v>
      </c>
      <c r="M7">
        <f>ROUND(VLOOKUP(M$3,旅券!$B$94:$F$111,5,0),3)</f>
        <v>0.072</v>
      </c>
      <c r="N7">
        <f>ROUND(VLOOKUP(N$3,旅券!$B$94:$F$111,4,0),3)</f>
        <v>0.09</v>
      </c>
      <c r="O7">
        <f>ROUND(VLOOKUP(O$3,旅券!$B$94:$F$111,5,0),3)</f>
        <v>0.072</v>
      </c>
      <c r="P7">
        <f>ROUND(VLOOKUP(P$3,旅券!$B$94:$F$111,4,0),3)</f>
        <v>0.09</v>
      </c>
      <c r="Q7">
        <f>ROUND(VLOOKUP(Q$3,旅券!$B$94:$F$111,5,0),3)</f>
        <v>0.072</v>
      </c>
      <c r="R7">
        <f>ROUND(VLOOKUP(R$3,旅券!$B$94:$F$111,4,0),3)</f>
        <v>0.081</v>
      </c>
      <c r="S7">
        <f>ROUND(VLOOKUP(S$3,旅券!$B$94:$F$111,5,0),3)</f>
        <v>0.065</v>
      </c>
      <c r="T7">
        <f>ROUND(VLOOKUP(T$3,旅券!$B$94:$F$111,4,0),3)</f>
        <v>0.108</v>
      </c>
      <c r="U7">
        <f>ROUND(VLOOKUP(U$3,旅券!$B$94:$F$111,5,0),3)</f>
        <v>0.086</v>
      </c>
      <c r="V7">
        <f>ROUND(VLOOKUP(V$3,旅券!$B$94:$F$111,4,0),3)</f>
        <v>0.108</v>
      </c>
      <c r="W7">
        <f>ROUND(VLOOKUP(W$3,旅券!$B$94:$F$111,5,0),3)</f>
        <v>0.086</v>
      </c>
      <c r="X7">
        <f>ROUND(VLOOKUP(X$3,旅券!$B$94:$F$111,4,0),3)</f>
        <v>0.045</v>
      </c>
      <c r="Y7">
        <f>ROUND(VLOOKUP(Y$3,旅券!$B$94:$F$111,5,0),3)</f>
        <v>0.036</v>
      </c>
      <c r="Z7">
        <f>ROUND(VLOOKUP(Z$3,旅券!$B$94:$F$111,4,0),-1)</f>
        <v>1160</v>
      </c>
      <c r="AA7">
        <f>ROUND(VLOOKUP(AA$3,旅券!$B$94:$F$111,5,0),-1)</f>
        <v>930</v>
      </c>
      <c r="AB7">
        <f>ROUND(VLOOKUP(AB$3,旅券!$B$94:$F$111,4,0),-1)</f>
        <v>810</v>
      </c>
      <c r="AC7">
        <f>ROUND(VLOOKUP(AC$3,旅券!$B$94:$F$111,5,0),-1)</f>
        <v>650</v>
      </c>
      <c r="AD7">
        <f>ROUND(VLOOKUP(AD$3,旅券!$B$94:$F$111,4,0),-1)</f>
        <v>990</v>
      </c>
      <c r="AE7">
        <f>ROUND(VLOOKUP(AE$3,旅券!$B$94:$F$111,5,0),-1)</f>
        <v>790</v>
      </c>
      <c r="AF7">
        <f>ROUND(VLOOKUP(AF$3,旅券!$B$94:$F$111,4,0),-1)</f>
        <v>810</v>
      </c>
      <c r="AG7">
        <f>ROUND(VLOOKUP(AG$3,旅券!$B$94:$F$111,5,0),-1)</f>
        <v>650</v>
      </c>
      <c r="AH7">
        <f>ROUND(VLOOKUP(AH$3,旅券!$B$94:$F$111,4,0),-1)</f>
        <v>900</v>
      </c>
      <c r="AI7">
        <f>ROUND(VLOOKUP(AI$3,旅券!$B$94:$F$111,5,0),-1)</f>
        <v>720</v>
      </c>
    </row>
    <row r="10" spans="1:35">
      <c r="B10" t="s">
        <v>292</v>
      </c>
    </row>
    <row r="12" ht="33" customHeight="1" spans="1:35">
      <c r="A12" s="158" t="s">
        <v>291</v>
      </c>
      <c r="B12" s="159" t="s">
        <v>143</v>
      </c>
      <c r="C12" s="159" t="s">
        <v>144</v>
      </c>
      <c r="D12" s="159" t="s">
        <v>128</v>
      </c>
      <c r="E12" s="159" t="s">
        <v>128</v>
      </c>
      <c r="F12" s="159" t="s">
        <v>130</v>
      </c>
      <c r="G12" s="159" t="s">
        <v>129</v>
      </c>
      <c r="H12" s="158" t="s">
        <v>293</v>
      </c>
    </row>
    <row r="13" ht="16.5" customHeight="1" spans="1:35">
      <c r="A13" s="157">
        <v>2</v>
      </c>
      <c r="B13">
        <f>ROUND(B$16*旅券!$C56,0)</f>
        <v>245</v>
      </c>
      <c r="C13">
        <f>ROUND(C$16*旅券!$C56,0)</f>
        <v>300</v>
      </c>
      <c r="D13">
        <f>ROUND(D$16*旅券!$C56,3)</f>
        <v>0.027</v>
      </c>
      <c r="E13">
        <f>ROUND(E$16*旅券!$C56,3)</f>
        <v>0.027</v>
      </c>
      <c r="F13">
        <f>ROUND(F$16*旅券!$C56,3)</f>
        <v>0.027</v>
      </c>
      <c r="G13">
        <f>ROUND(G$16*旅券!$C56,3)</f>
        <v>0.027</v>
      </c>
      <c r="H13" s="157" t="s">
        <v>294</v>
      </c>
    </row>
    <row r="14" ht="16.5" customHeight="1" spans="1:35">
      <c r="A14" s="157">
        <v>3</v>
      </c>
      <c r="B14">
        <f>ROUND(B$16*旅券!$C57,0)</f>
        <v>368</v>
      </c>
      <c r="C14">
        <f>ROUND(C$16*旅券!$C57,0)</f>
        <v>449</v>
      </c>
      <c r="D14">
        <f>ROUND(D$16*旅券!$C57,3)</f>
        <v>0.041</v>
      </c>
      <c r="E14">
        <f>ROUND(E$16*旅券!$C57,3)</f>
        <v>0.041</v>
      </c>
      <c r="F14">
        <f>ROUND(F$16*旅券!$C57,3)</f>
        <v>0.041</v>
      </c>
      <c r="G14">
        <f>ROUND(G$16*旅券!$C57,3)</f>
        <v>0.041</v>
      </c>
      <c r="H14" s="157" t="s">
        <v>294</v>
      </c>
    </row>
    <row r="15" ht="16.5" customHeight="1" spans="1:35">
      <c r="A15" s="157">
        <v>4</v>
      </c>
      <c r="B15">
        <f>ROUND(B$16*旅券!$C58,0)</f>
        <v>490</v>
      </c>
      <c r="C15">
        <f>ROUND(C$16*旅券!$C58,0)</f>
        <v>599</v>
      </c>
      <c r="D15">
        <f>ROUND(D$16*旅券!$C58,3)</f>
        <v>0.054</v>
      </c>
      <c r="E15">
        <f>ROUND(E$16*旅券!$C58,3)</f>
        <v>0.054</v>
      </c>
      <c r="F15">
        <f>ROUND(F$16*旅券!$C58,3)</f>
        <v>0.054</v>
      </c>
      <c r="G15">
        <f>ROUND(G$16*旅券!$C58,3)</f>
        <v>0.054</v>
      </c>
      <c r="H15" s="157" t="s">
        <v>294</v>
      </c>
    </row>
    <row r="16" ht="16.5" customHeight="1" spans="1:35">
      <c r="A16" s="157">
        <v>5</v>
      </c>
      <c r="B16">
        <f>ROUND(旅券!$E$126,0)</f>
        <v>613</v>
      </c>
      <c r="C16">
        <f>ROUND(旅券!$E$127,0)</f>
        <v>749</v>
      </c>
      <c r="D16">
        <f>ROUND(旅券!$E$128,3)</f>
        <v>0.068</v>
      </c>
      <c r="E16">
        <f>ROUND(旅券!$E$129,3)</f>
        <v>0.068</v>
      </c>
      <c r="F16">
        <f>ROUND(旅券!$E$130,3)</f>
        <v>0.068</v>
      </c>
      <c r="G16">
        <f>ROUND(旅券!$E$131,3)</f>
        <v>0.068</v>
      </c>
      <c r="H16" s="157" t="s">
        <v>294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"/>
  <sheetViews>
    <sheetView topLeftCell="B1" workbookViewId="0">
      <pane ySplit="4" topLeftCell="A78" activePane="bottomLeft" state="frozen"/>
      <selection/>
      <selection pane="bottomLeft" activeCell="G5" sqref="G5:I116"/>
    </sheetView>
  </sheetViews>
  <sheetFormatPr defaultColWidth="9" defaultRowHeight="13.5"/>
  <cols>
    <col min="1" max="1" width="8" style="8" customWidth="1"/>
    <col min="2" max="2" width="13" style="8" customWidth="1"/>
    <col min="3" max="3" width="10" style="8" customWidth="1"/>
    <col min="4" max="4" width="12" style="8" customWidth="1"/>
    <col min="5" max="5" width="14" style="8" customWidth="1"/>
    <col min="6" max="6" width="13" style="8" customWidth="1"/>
    <col min="7" max="7" width="38" style="8" customWidth="1"/>
    <col min="8" max="8" width="30" style="8" customWidth="1"/>
    <col min="9" max="9" width="12" style="8" customWidth="1"/>
  </cols>
  <sheetData>
    <row r="1" spans="1:9">
      <c r="A1" s="149" t="s">
        <v>295</v>
      </c>
      <c r="B1" s="149" t="s">
        <v>296</v>
      </c>
      <c r="C1" s="149" t="s">
        <v>297</v>
      </c>
      <c r="D1" s="149" t="s">
        <v>298</v>
      </c>
      <c r="E1" s="149" t="s">
        <v>299</v>
      </c>
      <c r="F1" s="149" t="s">
        <v>300</v>
      </c>
      <c r="G1" s="149" t="s">
        <v>301</v>
      </c>
      <c r="H1" s="149" t="s">
        <v>302</v>
      </c>
      <c r="I1" s="149" t="s">
        <v>303</v>
      </c>
    </row>
    <row r="2" spans="1:9">
      <c r="A2" s="150" t="s">
        <v>304</v>
      </c>
      <c r="B2" s="150" t="s">
        <v>305</v>
      </c>
      <c r="C2" s="150" t="s">
        <v>305</v>
      </c>
      <c r="D2" s="150"/>
      <c r="E2" s="150" t="s">
        <v>305</v>
      </c>
      <c r="F2" s="150" t="s">
        <v>305</v>
      </c>
      <c r="G2" s="150" t="s">
        <v>306</v>
      </c>
      <c r="H2" s="150" t="s">
        <v>306</v>
      </c>
      <c r="I2" s="150" t="s">
        <v>307</v>
      </c>
    </row>
    <row r="3" spans="1:9">
      <c r="A3" s="150" t="s">
        <v>308</v>
      </c>
      <c r="B3" s="150"/>
      <c r="C3" s="150"/>
      <c r="D3" s="150"/>
      <c r="E3" s="150"/>
      <c r="F3" s="150"/>
      <c r="G3" s="150"/>
      <c r="H3" s="150"/>
      <c r="I3" s="150"/>
    </row>
    <row r="4" spans="1:9">
      <c r="A4" s="151" t="s">
        <v>298</v>
      </c>
      <c r="B4" s="152" t="s">
        <v>309</v>
      </c>
      <c r="C4" s="151" t="s">
        <v>310</v>
      </c>
      <c r="D4" s="151" t="s">
        <v>311</v>
      </c>
      <c r="E4" s="151" t="s">
        <v>312</v>
      </c>
      <c r="F4" s="151" t="s">
        <v>313</v>
      </c>
      <c r="G4" s="151" t="s">
        <v>314</v>
      </c>
      <c r="H4" s="151" t="s">
        <v>315</v>
      </c>
      <c r="I4" s="151" t="s">
        <v>293</v>
      </c>
    </row>
    <row r="5" spans="1:9">
      <c r="A5" s="153"/>
      <c r="B5" s="153">
        <f t="shared" ref="B5:B68" si="0">ROW()-4</f>
        <v>1</v>
      </c>
      <c r="C5" s="153">
        <v>1001</v>
      </c>
      <c r="D5" s="153" t="s">
        <v>316</v>
      </c>
      <c r="E5" s="154">
        <v>1</v>
      </c>
      <c r="F5" s="154">
        <v>3</v>
      </c>
      <c r="G5" s="154" t="s">
        <v>317</v>
      </c>
      <c r="H5" s="154" t="s">
        <v>317</v>
      </c>
      <c r="I5" s="154" t="s">
        <v>294</v>
      </c>
    </row>
    <row r="6" spans="1:9">
      <c r="A6" s="153"/>
      <c r="B6" s="153">
        <f t="shared" si="0"/>
        <v>2</v>
      </c>
      <c r="C6" s="153">
        <v>1001</v>
      </c>
      <c r="D6" s="153" t="s">
        <v>316</v>
      </c>
      <c r="E6" s="154">
        <v>2</v>
      </c>
      <c r="F6" s="154">
        <v>12</v>
      </c>
      <c r="G6" s="154" t="s">
        <v>317</v>
      </c>
      <c r="H6" s="154" t="s">
        <v>317</v>
      </c>
      <c r="I6" s="154" t="s">
        <v>294</v>
      </c>
    </row>
    <row r="7" spans="1:9">
      <c r="A7" s="153"/>
      <c r="B7" s="153">
        <f t="shared" si="0"/>
        <v>3</v>
      </c>
      <c r="C7" s="153">
        <v>1001</v>
      </c>
      <c r="D7" s="153" t="s">
        <v>316</v>
      </c>
      <c r="E7" s="154">
        <v>3</v>
      </c>
      <c r="F7" s="154">
        <v>4</v>
      </c>
      <c r="G7" s="154" t="s">
        <v>317</v>
      </c>
      <c r="H7" s="154" t="s">
        <v>317</v>
      </c>
      <c r="I7" s="154" t="s">
        <v>294</v>
      </c>
    </row>
    <row r="8" spans="1:9">
      <c r="A8" s="153"/>
      <c r="B8" s="153">
        <f t="shared" si="0"/>
        <v>4</v>
      </c>
      <c r="C8" s="153">
        <v>1001</v>
      </c>
      <c r="D8" s="153" t="s">
        <v>316</v>
      </c>
      <c r="E8" s="154">
        <v>4</v>
      </c>
      <c r="F8" s="154">
        <v>11</v>
      </c>
      <c r="G8" s="154" t="s">
        <v>317</v>
      </c>
      <c r="H8" s="154" t="s">
        <v>317</v>
      </c>
      <c r="I8" s="154" t="s">
        <v>294</v>
      </c>
    </row>
    <row r="9" spans="1:9">
      <c r="A9" s="153"/>
      <c r="B9" s="153">
        <f t="shared" si="0"/>
        <v>5</v>
      </c>
      <c r="C9" s="153">
        <v>1002</v>
      </c>
      <c r="D9" s="153" t="s">
        <v>318</v>
      </c>
      <c r="E9" s="154">
        <v>1</v>
      </c>
      <c r="F9" s="154">
        <v>16</v>
      </c>
      <c r="G9" s="154" t="s">
        <v>319</v>
      </c>
      <c r="H9" s="154" t="s">
        <v>320</v>
      </c>
      <c r="I9" s="154" t="s">
        <v>294</v>
      </c>
    </row>
    <row r="10" spans="1:9">
      <c r="A10" s="153"/>
      <c r="B10" s="153">
        <f t="shared" si="0"/>
        <v>6</v>
      </c>
      <c r="C10" s="153">
        <v>1002</v>
      </c>
      <c r="D10" s="153" t="s">
        <v>318</v>
      </c>
      <c r="E10" s="154">
        <v>2</v>
      </c>
      <c r="F10" s="154">
        <v>13</v>
      </c>
      <c r="G10" s="154" t="s">
        <v>319</v>
      </c>
      <c r="H10" s="154" t="s">
        <v>320</v>
      </c>
      <c r="I10" s="154" t="s">
        <v>294</v>
      </c>
    </row>
    <row r="11" spans="1:9">
      <c r="A11" s="153"/>
      <c r="B11" s="153">
        <f t="shared" si="0"/>
        <v>7</v>
      </c>
      <c r="C11" s="153">
        <v>1002</v>
      </c>
      <c r="D11" s="153" t="s">
        <v>318</v>
      </c>
      <c r="E11" s="154">
        <v>3</v>
      </c>
      <c r="F11" s="154">
        <v>15</v>
      </c>
      <c r="G11" s="154" t="s">
        <v>319</v>
      </c>
      <c r="H11" s="154" t="s">
        <v>320</v>
      </c>
      <c r="I11" s="154" t="s">
        <v>294</v>
      </c>
    </row>
    <row r="12" spans="1:9">
      <c r="A12" s="153"/>
      <c r="B12" s="153">
        <f t="shared" si="0"/>
        <v>8</v>
      </c>
      <c r="C12" s="153">
        <v>1002</v>
      </c>
      <c r="D12" s="153" t="s">
        <v>318</v>
      </c>
      <c r="E12" s="154">
        <v>4</v>
      </c>
      <c r="F12" s="154">
        <v>18</v>
      </c>
      <c r="G12" s="154" t="s">
        <v>319</v>
      </c>
      <c r="H12" s="154" t="s">
        <v>320</v>
      </c>
      <c r="I12" s="154" t="s">
        <v>294</v>
      </c>
    </row>
    <row r="13" spans="1:9">
      <c r="A13" s="153"/>
      <c r="B13" s="153">
        <f t="shared" si="0"/>
        <v>9</v>
      </c>
      <c r="C13" s="153">
        <v>1003</v>
      </c>
      <c r="D13" s="153" t="s">
        <v>321</v>
      </c>
      <c r="E13" s="154">
        <v>1</v>
      </c>
      <c r="F13" s="154">
        <v>16</v>
      </c>
      <c r="G13" s="154" t="s">
        <v>322</v>
      </c>
      <c r="H13" s="154" t="s">
        <v>323</v>
      </c>
      <c r="I13" s="154" t="s">
        <v>294</v>
      </c>
    </row>
    <row r="14" spans="1:9">
      <c r="A14" s="153"/>
      <c r="B14" s="153">
        <f t="shared" si="0"/>
        <v>10</v>
      </c>
      <c r="C14" s="153">
        <v>1003</v>
      </c>
      <c r="D14" s="153" t="s">
        <v>321</v>
      </c>
      <c r="E14" s="154">
        <v>2</v>
      </c>
      <c r="F14" s="154">
        <v>13</v>
      </c>
      <c r="G14" s="154" t="s">
        <v>322</v>
      </c>
      <c r="H14" s="154" t="s">
        <v>323</v>
      </c>
      <c r="I14" s="154" t="s">
        <v>294</v>
      </c>
    </row>
    <row r="15" spans="1:9">
      <c r="A15" s="153"/>
      <c r="B15" s="153">
        <f t="shared" si="0"/>
        <v>11</v>
      </c>
      <c r="C15" s="153">
        <v>1003</v>
      </c>
      <c r="D15" s="153" t="s">
        <v>321</v>
      </c>
      <c r="E15" s="154">
        <v>3</v>
      </c>
      <c r="F15" s="154">
        <v>15</v>
      </c>
      <c r="G15" s="154" t="s">
        <v>322</v>
      </c>
      <c r="H15" s="154" t="s">
        <v>323</v>
      </c>
      <c r="I15" s="154" t="s">
        <v>294</v>
      </c>
    </row>
    <row r="16" spans="1:9">
      <c r="A16" s="153"/>
      <c r="B16" s="153">
        <f t="shared" si="0"/>
        <v>12</v>
      </c>
      <c r="C16" s="153">
        <v>1003</v>
      </c>
      <c r="D16" s="153" t="s">
        <v>321</v>
      </c>
      <c r="E16" s="154">
        <v>4</v>
      </c>
      <c r="F16" s="154">
        <v>18</v>
      </c>
      <c r="G16" s="154" t="s">
        <v>322</v>
      </c>
      <c r="H16" s="154" t="s">
        <v>323</v>
      </c>
      <c r="I16" s="154" t="s">
        <v>294</v>
      </c>
    </row>
    <row r="17" spans="1:9">
      <c r="A17" s="153"/>
      <c r="B17" s="153">
        <f t="shared" si="0"/>
        <v>13</v>
      </c>
      <c r="C17" s="153">
        <v>1004</v>
      </c>
      <c r="D17" s="153" t="s">
        <v>324</v>
      </c>
      <c r="E17" s="154">
        <v>1</v>
      </c>
      <c r="F17" s="154">
        <v>13</v>
      </c>
      <c r="G17" s="154" t="s">
        <v>325</v>
      </c>
      <c r="H17" s="154" t="s">
        <v>326</v>
      </c>
      <c r="I17" s="154" t="s">
        <v>294</v>
      </c>
    </row>
    <row r="18" spans="1:9">
      <c r="A18" s="153"/>
      <c r="B18" s="153">
        <f t="shared" si="0"/>
        <v>14</v>
      </c>
      <c r="C18" s="153">
        <v>1004</v>
      </c>
      <c r="D18" s="153" t="s">
        <v>324</v>
      </c>
      <c r="E18" s="154">
        <v>2</v>
      </c>
      <c r="F18" s="154">
        <v>16</v>
      </c>
      <c r="G18" s="154" t="s">
        <v>325</v>
      </c>
      <c r="H18" s="154" t="s">
        <v>326</v>
      </c>
      <c r="I18" s="154" t="s">
        <v>294</v>
      </c>
    </row>
    <row r="19" spans="1:9">
      <c r="A19" s="153"/>
      <c r="B19" s="153">
        <f t="shared" si="0"/>
        <v>15</v>
      </c>
      <c r="C19" s="153">
        <v>1004</v>
      </c>
      <c r="D19" s="153" t="s">
        <v>324</v>
      </c>
      <c r="E19" s="154">
        <v>3</v>
      </c>
      <c r="F19" s="154">
        <v>15</v>
      </c>
      <c r="G19" s="154" t="s">
        <v>325</v>
      </c>
      <c r="H19" s="154" t="s">
        <v>326</v>
      </c>
      <c r="I19" s="154" t="s">
        <v>294</v>
      </c>
    </row>
    <row r="20" spans="1:9">
      <c r="A20" s="153"/>
      <c r="B20" s="153">
        <f t="shared" si="0"/>
        <v>16</v>
      </c>
      <c r="C20" s="153">
        <v>1004</v>
      </c>
      <c r="D20" s="153" t="s">
        <v>324</v>
      </c>
      <c r="E20" s="154">
        <v>4</v>
      </c>
      <c r="F20" s="154">
        <v>18</v>
      </c>
      <c r="G20" s="154" t="s">
        <v>325</v>
      </c>
      <c r="H20" s="154" t="s">
        <v>326</v>
      </c>
      <c r="I20" s="154" t="s">
        <v>294</v>
      </c>
    </row>
    <row r="21" spans="1:9">
      <c r="A21" s="153"/>
      <c r="B21" s="153">
        <f t="shared" si="0"/>
        <v>17</v>
      </c>
      <c r="C21" s="153">
        <v>1005</v>
      </c>
      <c r="D21" s="153" t="s">
        <v>327</v>
      </c>
      <c r="E21" s="154">
        <v>1</v>
      </c>
      <c r="F21" s="154">
        <v>3</v>
      </c>
      <c r="G21" s="154" t="s">
        <v>317</v>
      </c>
      <c r="H21" s="154" t="s">
        <v>317</v>
      </c>
      <c r="I21" s="154" t="s">
        <v>294</v>
      </c>
    </row>
    <row r="22" spans="1:9">
      <c r="A22" s="153"/>
      <c r="B22" s="153">
        <f t="shared" si="0"/>
        <v>18</v>
      </c>
      <c r="C22" s="153">
        <v>1005</v>
      </c>
      <c r="D22" s="153" t="s">
        <v>327</v>
      </c>
      <c r="E22" s="154">
        <v>2</v>
      </c>
      <c r="F22" s="154">
        <v>12</v>
      </c>
      <c r="G22" s="154" t="s">
        <v>317</v>
      </c>
      <c r="H22" s="154" t="s">
        <v>317</v>
      </c>
      <c r="I22" s="154" t="s">
        <v>294</v>
      </c>
    </row>
    <row r="23" spans="1:9">
      <c r="A23" s="153"/>
      <c r="B23" s="153">
        <f t="shared" si="0"/>
        <v>19</v>
      </c>
      <c r="C23" s="153">
        <v>1005</v>
      </c>
      <c r="D23" s="153" t="s">
        <v>327</v>
      </c>
      <c r="E23" s="154">
        <v>3</v>
      </c>
      <c r="F23" s="154">
        <v>4</v>
      </c>
      <c r="G23" s="154" t="s">
        <v>317</v>
      </c>
      <c r="H23" s="154" t="s">
        <v>317</v>
      </c>
      <c r="I23" s="154" t="s">
        <v>294</v>
      </c>
    </row>
    <row r="24" spans="1:9">
      <c r="A24" s="153"/>
      <c r="B24" s="153">
        <f t="shared" si="0"/>
        <v>20</v>
      </c>
      <c r="C24" s="153">
        <v>1005</v>
      </c>
      <c r="D24" s="153" t="s">
        <v>327</v>
      </c>
      <c r="E24" s="154">
        <v>4</v>
      </c>
      <c r="F24" s="154">
        <v>11</v>
      </c>
      <c r="G24" s="154" t="s">
        <v>317</v>
      </c>
      <c r="H24" s="154" t="s">
        <v>317</v>
      </c>
      <c r="I24" s="154" t="s">
        <v>294</v>
      </c>
    </row>
    <row r="25" spans="1:9">
      <c r="A25" s="153"/>
      <c r="B25" s="153">
        <f t="shared" si="0"/>
        <v>21</v>
      </c>
      <c r="C25" s="153">
        <v>1006</v>
      </c>
      <c r="D25" s="153" t="s">
        <v>328</v>
      </c>
      <c r="E25" s="154">
        <v>1</v>
      </c>
      <c r="F25" s="154">
        <v>12</v>
      </c>
      <c r="G25" s="154" t="s">
        <v>317</v>
      </c>
      <c r="H25" s="154" t="s">
        <v>317</v>
      </c>
      <c r="I25" s="154" t="s">
        <v>294</v>
      </c>
    </row>
    <row r="26" spans="1:9">
      <c r="A26" s="153"/>
      <c r="B26" s="153">
        <f t="shared" si="0"/>
        <v>22</v>
      </c>
      <c r="C26" s="153">
        <v>1006</v>
      </c>
      <c r="D26" s="153" t="s">
        <v>328</v>
      </c>
      <c r="E26" s="154">
        <v>2</v>
      </c>
      <c r="F26" s="154">
        <v>4</v>
      </c>
      <c r="G26" s="154" t="s">
        <v>317</v>
      </c>
      <c r="H26" s="154" t="s">
        <v>317</v>
      </c>
      <c r="I26" s="154" t="s">
        <v>294</v>
      </c>
    </row>
    <row r="27" spans="1:9">
      <c r="A27" s="153"/>
      <c r="B27" s="153">
        <f t="shared" si="0"/>
        <v>23</v>
      </c>
      <c r="C27" s="153">
        <v>1006</v>
      </c>
      <c r="D27" s="153" t="s">
        <v>328</v>
      </c>
      <c r="E27" s="154">
        <v>3</v>
      </c>
      <c r="F27" s="154">
        <v>3</v>
      </c>
      <c r="G27" s="154" t="s">
        <v>317</v>
      </c>
      <c r="H27" s="154" t="s">
        <v>317</v>
      </c>
      <c r="I27" s="154" t="s">
        <v>294</v>
      </c>
    </row>
    <row r="28" spans="1:9">
      <c r="A28" s="153"/>
      <c r="B28" s="153">
        <f t="shared" si="0"/>
        <v>24</v>
      </c>
      <c r="C28" s="153">
        <v>1006</v>
      </c>
      <c r="D28" s="153" t="s">
        <v>328</v>
      </c>
      <c r="E28" s="154">
        <v>4</v>
      </c>
      <c r="F28" s="154">
        <v>11</v>
      </c>
      <c r="G28" s="154" t="s">
        <v>317</v>
      </c>
      <c r="H28" s="154" t="s">
        <v>317</v>
      </c>
      <c r="I28" s="154" t="s">
        <v>294</v>
      </c>
    </row>
    <row r="29" spans="1:9">
      <c r="A29" s="153"/>
      <c r="B29" s="153">
        <f t="shared" si="0"/>
        <v>25</v>
      </c>
      <c r="C29" s="153">
        <v>1007</v>
      </c>
      <c r="D29" s="153" t="s">
        <v>329</v>
      </c>
      <c r="E29" s="154">
        <v>1</v>
      </c>
      <c r="F29" s="154">
        <v>23</v>
      </c>
      <c r="G29" s="154" t="s">
        <v>330</v>
      </c>
      <c r="H29" s="154" t="s">
        <v>331</v>
      </c>
      <c r="I29" s="154" t="s">
        <v>294</v>
      </c>
    </row>
    <row r="30" spans="1:9">
      <c r="A30" s="153"/>
      <c r="B30" s="153">
        <f t="shared" si="0"/>
        <v>26</v>
      </c>
      <c r="C30" s="153">
        <v>1007</v>
      </c>
      <c r="D30" s="153" t="s">
        <v>329</v>
      </c>
      <c r="E30" s="154">
        <v>2</v>
      </c>
      <c r="F30" s="154">
        <v>21</v>
      </c>
      <c r="G30" s="154" t="s">
        <v>330</v>
      </c>
      <c r="H30" s="154" t="s">
        <v>331</v>
      </c>
      <c r="I30" s="154" t="s">
        <v>294</v>
      </c>
    </row>
    <row r="31" spans="1:9">
      <c r="A31" s="153"/>
      <c r="B31" s="153">
        <f t="shared" si="0"/>
        <v>27</v>
      </c>
      <c r="C31" s="153">
        <v>1007</v>
      </c>
      <c r="D31" s="153" t="s">
        <v>329</v>
      </c>
      <c r="E31" s="154">
        <v>3</v>
      </c>
      <c r="F31" s="154">
        <v>22</v>
      </c>
      <c r="G31" s="154" t="s">
        <v>330</v>
      </c>
      <c r="H31" s="154" t="s">
        <v>331</v>
      </c>
      <c r="I31" s="154" t="s">
        <v>294</v>
      </c>
    </row>
    <row r="32" spans="1:9">
      <c r="A32" s="153"/>
      <c r="B32" s="153">
        <f t="shared" si="0"/>
        <v>28</v>
      </c>
      <c r="C32" s="153">
        <v>1007</v>
      </c>
      <c r="D32" s="153" t="s">
        <v>329</v>
      </c>
      <c r="E32" s="154">
        <v>4</v>
      </c>
      <c r="F32" s="154">
        <v>24</v>
      </c>
      <c r="G32" s="154" t="s">
        <v>330</v>
      </c>
      <c r="H32" s="154" t="s">
        <v>331</v>
      </c>
      <c r="I32" s="154" t="s">
        <v>294</v>
      </c>
    </row>
    <row r="33" spans="1:9">
      <c r="A33" s="153"/>
      <c r="B33" s="153">
        <f t="shared" si="0"/>
        <v>29</v>
      </c>
      <c r="C33" s="153">
        <v>1008</v>
      </c>
      <c r="D33" s="153" t="s">
        <v>332</v>
      </c>
      <c r="E33" s="154">
        <v>1</v>
      </c>
      <c r="F33" s="154">
        <v>6</v>
      </c>
      <c r="G33" s="154" t="s">
        <v>333</v>
      </c>
      <c r="H33" s="154" t="s">
        <v>334</v>
      </c>
      <c r="I33" s="154" t="s">
        <v>294</v>
      </c>
    </row>
    <row r="34" spans="1:9">
      <c r="A34" s="153"/>
      <c r="B34" s="153">
        <f t="shared" si="0"/>
        <v>30</v>
      </c>
      <c r="C34" s="153">
        <v>1008</v>
      </c>
      <c r="D34" s="153" t="s">
        <v>332</v>
      </c>
      <c r="E34" s="154">
        <v>2</v>
      </c>
      <c r="F34" s="154">
        <v>9</v>
      </c>
      <c r="G34" s="154" t="s">
        <v>333</v>
      </c>
      <c r="H34" s="154" t="s">
        <v>334</v>
      </c>
      <c r="I34" s="154" t="s">
        <v>294</v>
      </c>
    </row>
    <row r="35" spans="1:9">
      <c r="A35" s="153"/>
      <c r="B35" s="153">
        <f t="shared" si="0"/>
        <v>31</v>
      </c>
      <c r="C35" s="153">
        <v>1008</v>
      </c>
      <c r="D35" s="153" t="s">
        <v>332</v>
      </c>
      <c r="E35" s="154">
        <v>3</v>
      </c>
      <c r="F35" s="154">
        <v>4</v>
      </c>
      <c r="G35" s="154" t="s">
        <v>333</v>
      </c>
      <c r="H35" s="154" t="s">
        <v>334</v>
      </c>
      <c r="I35" s="154" t="s">
        <v>294</v>
      </c>
    </row>
    <row r="36" spans="1:9">
      <c r="A36" s="153"/>
      <c r="B36" s="153">
        <f t="shared" si="0"/>
        <v>32</v>
      </c>
      <c r="C36" s="153">
        <v>1008</v>
      </c>
      <c r="D36" s="153" t="s">
        <v>332</v>
      </c>
      <c r="E36" s="154">
        <v>4</v>
      </c>
      <c r="F36" s="154">
        <v>12</v>
      </c>
      <c r="G36" s="154" t="s">
        <v>333</v>
      </c>
      <c r="H36" s="154" t="s">
        <v>334</v>
      </c>
      <c r="I36" s="154" t="s">
        <v>294</v>
      </c>
    </row>
    <row r="37" spans="1:9">
      <c r="A37" s="153"/>
      <c r="B37" s="153">
        <f t="shared" si="0"/>
        <v>33</v>
      </c>
      <c r="C37" s="153">
        <v>1011</v>
      </c>
      <c r="D37" s="153" t="s">
        <v>335</v>
      </c>
      <c r="E37" s="154">
        <v>1</v>
      </c>
      <c r="F37" s="154">
        <v>24</v>
      </c>
      <c r="G37" s="154" t="s">
        <v>336</v>
      </c>
      <c r="H37" s="154" t="s">
        <v>337</v>
      </c>
      <c r="I37" s="154" t="s">
        <v>294</v>
      </c>
    </row>
    <row r="38" spans="1:9">
      <c r="A38" s="153"/>
      <c r="B38" s="153">
        <f t="shared" si="0"/>
        <v>34</v>
      </c>
      <c r="C38" s="153">
        <v>1011</v>
      </c>
      <c r="D38" s="153" t="s">
        <v>335</v>
      </c>
      <c r="E38" s="154">
        <v>2</v>
      </c>
      <c r="F38" s="154">
        <v>23</v>
      </c>
      <c r="G38" s="154" t="s">
        <v>336</v>
      </c>
      <c r="H38" s="154" t="s">
        <v>337</v>
      </c>
      <c r="I38" s="154" t="s">
        <v>294</v>
      </c>
    </row>
    <row r="39" spans="1:9">
      <c r="A39" s="153"/>
      <c r="B39" s="153">
        <f t="shared" si="0"/>
        <v>35</v>
      </c>
      <c r="C39" s="153">
        <v>1011</v>
      </c>
      <c r="D39" s="153" t="s">
        <v>335</v>
      </c>
      <c r="E39" s="154">
        <v>3</v>
      </c>
      <c r="F39" s="154">
        <v>21</v>
      </c>
      <c r="G39" s="154" t="s">
        <v>336</v>
      </c>
      <c r="H39" s="154" t="s">
        <v>337</v>
      </c>
      <c r="I39" s="154" t="s">
        <v>294</v>
      </c>
    </row>
    <row r="40" spans="1:9">
      <c r="A40" s="153"/>
      <c r="B40" s="153">
        <f t="shared" si="0"/>
        <v>36</v>
      </c>
      <c r="C40" s="153">
        <v>1011</v>
      </c>
      <c r="D40" s="153" t="s">
        <v>335</v>
      </c>
      <c r="E40" s="154">
        <v>4</v>
      </c>
      <c r="F40" s="154">
        <v>22</v>
      </c>
      <c r="G40" s="154" t="s">
        <v>336</v>
      </c>
      <c r="H40" s="154" t="s">
        <v>337</v>
      </c>
      <c r="I40" s="154" t="s">
        <v>294</v>
      </c>
    </row>
    <row r="41" spans="1:9">
      <c r="A41" s="153"/>
      <c r="B41" s="153">
        <f t="shared" si="0"/>
        <v>37</v>
      </c>
      <c r="C41" s="153">
        <v>1012</v>
      </c>
      <c r="D41" s="153" t="s">
        <v>338</v>
      </c>
      <c r="E41" s="154">
        <v>1</v>
      </c>
      <c r="F41" s="154">
        <v>23</v>
      </c>
      <c r="G41" s="154" t="s">
        <v>336</v>
      </c>
      <c r="H41" s="154" t="s">
        <v>337</v>
      </c>
      <c r="I41" s="154" t="s">
        <v>294</v>
      </c>
    </row>
    <row r="42" spans="1:9">
      <c r="A42" s="153"/>
      <c r="B42" s="153">
        <f t="shared" si="0"/>
        <v>38</v>
      </c>
      <c r="C42" s="153">
        <v>1012</v>
      </c>
      <c r="D42" s="153" t="s">
        <v>338</v>
      </c>
      <c r="E42" s="154">
        <v>2</v>
      </c>
      <c r="F42" s="154">
        <v>21</v>
      </c>
      <c r="G42" s="154" t="s">
        <v>336</v>
      </c>
      <c r="H42" s="154" t="s">
        <v>337</v>
      </c>
      <c r="I42" s="154" t="s">
        <v>294</v>
      </c>
    </row>
    <row r="43" spans="1:9">
      <c r="A43" s="153"/>
      <c r="B43" s="153">
        <f t="shared" si="0"/>
        <v>39</v>
      </c>
      <c r="C43" s="153">
        <v>1012</v>
      </c>
      <c r="D43" s="153" t="s">
        <v>338</v>
      </c>
      <c r="E43" s="154">
        <v>3</v>
      </c>
      <c r="F43" s="154">
        <v>22</v>
      </c>
      <c r="G43" s="154" t="s">
        <v>336</v>
      </c>
      <c r="H43" s="154" t="s">
        <v>337</v>
      </c>
      <c r="I43" s="154" t="s">
        <v>294</v>
      </c>
    </row>
    <row r="44" spans="1:9">
      <c r="A44" s="153"/>
      <c r="B44" s="153">
        <f t="shared" si="0"/>
        <v>40</v>
      </c>
      <c r="C44" s="153">
        <v>1012</v>
      </c>
      <c r="D44" s="153" t="s">
        <v>338</v>
      </c>
      <c r="E44" s="154">
        <v>4</v>
      </c>
      <c r="F44" s="154">
        <v>24</v>
      </c>
      <c r="G44" s="154" t="s">
        <v>336</v>
      </c>
      <c r="H44" s="154" t="s">
        <v>337</v>
      </c>
      <c r="I44" s="154" t="s">
        <v>294</v>
      </c>
    </row>
    <row r="45" spans="1:9">
      <c r="A45" s="153"/>
      <c r="B45" s="153">
        <f t="shared" si="0"/>
        <v>41</v>
      </c>
      <c r="C45" s="153">
        <v>1013</v>
      </c>
      <c r="D45" s="153" t="s">
        <v>339</v>
      </c>
      <c r="E45" s="154">
        <v>1</v>
      </c>
      <c r="F45" s="154">
        <v>3</v>
      </c>
      <c r="G45" s="154" t="s">
        <v>325</v>
      </c>
      <c r="H45" s="154" t="s">
        <v>340</v>
      </c>
      <c r="I45" s="154" t="s">
        <v>294</v>
      </c>
    </row>
    <row r="46" spans="1:9">
      <c r="A46" s="153"/>
      <c r="B46" s="153">
        <f t="shared" si="0"/>
        <v>42</v>
      </c>
      <c r="C46" s="153">
        <v>1013</v>
      </c>
      <c r="D46" s="153" t="s">
        <v>339</v>
      </c>
      <c r="E46" s="154">
        <v>2</v>
      </c>
      <c r="F46" s="154">
        <v>4</v>
      </c>
      <c r="G46" s="154" t="s">
        <v>325</v>
      </c>
      <c r="H46" s="154" t="s">
        <v>340</v>
      </c>
      <c r="I46" s="154" t="s">
        <v>294</v>
      </c>
    </row>
    <row r="47" spans="1:9">
      <c r="A47" s="153"/>
      <c r="B47" s="153">
        <f t="shared" si="0"/>
        <v>43</v>
      </c>
      <c r="C47" s="153">
        <v>1013</v>
      </c>
      <c r="D47" s="153" t="s">
        <v>339</v>
      </c>
      <c r="E47" s="154">
        <v>3</v>
      </c>
      <c r="F47" s="154">
        <v>12</v>
      </c>
      <c r="G47" s="154" t="s">
        <v>325</v>
      </c>
      <c r="H47" s="154" t="s">
        <v>340</v>
      </c>
      <c r="I47" s="154" t="s">
        <v>294</v>
      </c>
    </row>
    <row r="48" spans="1:9">
      <c r="A48" s="153"/>
      <c r="B48" s="153">
        <f t="shared" si="0"/>
        <v>44</v>
      </c>
      <c r="C48" s="153">
        <v>1013</v>
      </c>
      <c r="D48" s="153" t="s">
        <v>339</v>
      </c>
      <c r="E48" s="154">
        <v>4</v>
      </c>
      <c r="F48" s="154">
        <v>11</v>
      </c>
      <c r="G48" s="154" t="s">
        <v>325</v>
      </c>
      <c r="H48" s="154" t="s">
        <v>340</v>
      </c>
      <c r="I48" s="154" t="s">
        <v>294</v>
      </c>
    </row>
    <row r="49" spans="1:9">
      <c r="A49" s="153"/>
      <c r="B49" s="153">
        <f t="shared" si="0"/>
        <v>45</v>
      </c>
      <c r="C49" s="153">
        <v>1014</v>
      </c>
      <c r="D49" s="153" t="s">
        <v>341</v>
      </c>
      <c r="E49" s="154">
        <v>1</v>
      </c>
      <c r="F49" s="154">
        <v>9</v>
      </c>
      <c r="G49" s="154" t="s">
        <v>317</v>
      </c>
      <c r="H49" s="154" t="s">
        <v>317</v>
      </c>
      <c r="I49" s="154" t="s">
        <v>294</v>
      </c>
    </row>
    <row r="50" spans="1:9">
      <c r="A50" s="153"/>
      <c r="B50" s="153">
        <f t="shared" si="0"/>
        <v>46</v>
      </c>
      <c r="C50" s="153">
        <v>1014</v>
      </c>
      <c r="D50" s="153" t="s">
        <v>341</v>
      </c>
      <c r="E50" s="154">
        <v>2</v>
      </c>
      <c r="F50" s="154">
        <v>3</v>
      </c>
      <c r="G50" s="154" t="s">
        <v>317</v>
      </c>
      <c r="H50" s="154" t="s">
        <v>317</v>
      </c>
      <c r="I50" s="154" t="s">
        <v>294</v>
      </c>
    </row>
    <row r="51" spans="1:9">
      <c r="A51" s="153"/>
      <c r="B51" s="153">
        <f t="shared" si="0"/>
        <v>47</v>
      </c>
      <c r="C51" s="153">
        <v>1014</v>
      </c>
      <c r="D51" s="153" t="s">
        <v>341</v>
      </c>
      <c r="E51" s="154">
        <v>3</v>
      </c>
      <c r="F51" s="154">
        <v>4</v>
      </c>
      <c r="G51" s="154" t="s">
        <v>317</v>
      </c>
      <c r="H51" s="154" t="s">
        <v>317</v>
      </c>
      <c r="I51" s="154" t="s">
        <v>294</v>
      </c>
    </row>
    <row r="52" spans="1:9">
      <c r="A52" s="153"/>
      <c r="B52" s="153">
        <f t="shared" si="0"/>
        <v>48</v>
      </c>
      <c r="C52" s="153">
        <v>1014</v>
      </c>
      <c r="D52" s="153" t="s">
        <v>341</v>
      </c>
      <c r="E52" s="154">
        <v>4</v>
      </c>
      <c r="F52" s="154">
        <v>12</v>
      </c>
      <c r="G52" s="154" t="s">
        <v>317</v>
      </c>
      <c r="H52" s="154" t="s">
        <v>317</v>
      </c>
      <c r="I52" s="154" t="s">
        <v>294</v>
      </c>
    </row>
    <row r="53" spans="1:9">
      <c r="A53" s="153"/>
      <c r="B53" s="153">
        <f t="shared" si="0"/>
        <v>49</v>
      </c>
      <c r="C53" s="153">
        <v>1015</v>
      </c>
      <c r="D53" s="153" t="s">
        <v>342</v>
      </c>
      <c r="E53" s="154">
        <v>1</v>
      </c>
      <c r="F53" s="154">
        <v>24</v>
      </c>
      <c r="G53" s="154" t="s">
        <v>343</v>
      </c>
      <c r="H53" s="154" t="s">
        <v>344</v>
      </c>
      <c r="I53" s="154" t="s">
        <v>294</v>
      </c>
    </row>
    <row r="54" spans="1:9">
      <c r="A54" s="153"/>
      <c r="B54" s="153">
        <f t="shared" si="0"/>
        <v>50</v>
      </c>
      <c r="C54" s="153">
        <v>1015</v>
      </c>
      <c r="D54" s="153" t="s">
        <v>342</v>
      </c>
      <c r="E54" s="154">
        <v>2</v>
      </c>
      <c r="F54" s="154">
        <v>23</v>
      </c>
      <c r="G54" s="154" t="s">
        <v>343</v>
      </c>
      <c r="H54" s="154" t="s">
        <v>344</v>
      </c>
      <c r="I54" s="154" t="s">
        <v>294</v>
      </c>
    </row>
    <row r="55" spans="1:9">
      <c r="A55" s="153"/>
      <c r="B55" s="153">
        <f t="shared" si="0"/>
        <v>51</v>
      </c>
      <c r="C55" s="153">
        <v>1015</v>
      </c>
      <c r="D55" s="153" t="s">
        <v>342</v>
      </c>
      <c r="E55" s="154">
        <v>3</v>
      </c>
      <c r="F55" s="154">
        <v>21</v>
      </c>
      <c r="G55" s="154" t="s">
        <v>343</v>
      </c>
      <c r="H55" s="154" t="s">
        <v>344</v>
      </c>
      <c r="I55" s="154" t="s">
        <v>294</v>
      </c>
    </row>
    <row r="56" spans="1:9">
      <c r="A56" s="153"/>
      <c r="B56" s="153">
        <f t="shared" si="0"/>
        <v>52</v>
      </c>
      <c r="C56" s="153">
        <v>1015</v>
      </c>
      <c r="D56" s="153" t="s">
        <v>342</v>
      </c>
      <c r="E56" s="154">
        <v>4</v>
      </c>
      <c r="F56" s="154">
        <v>22</v>
      </c>
      <c r="G56" s="154" t="s">
        <v>343</v>
      </c>
      <c r="H56" s="154" t="s">
        <v>344</v>
      </c>
      <c r="I56" s="154" t="s">
        <v>294</v>
      </c>
    </row>
    <row r="57" spans="1:9">
      <c r="A57" s="153"/>
      <c r="B57" s="153">
        <f t="shared" si="0"/>
        <v>53</v>
      </c>
      <c r="C57" s="153">
        <v>1017</v>
      </c>
      <c r="D57" s="153" t="s">
        <v>345</v>
      </c>
      <c r="E57" s="154">
        <v>1</v>
      </c>
      <c r="F57" s="154">
        <v>9</v>
      </c>
      <c r="G57" s="154" t="s">
        <v>346</v>
      </c>
      <c r="H57" s="154" t="s">
        <v>346</v>
      </c>
      <c r="I57" s="154" t="s">
        <v>294</v>
      </c>
    </row>
    <row r="58" spans="1:9">
      <c r="A58" s="153"/>
      <c r="B58" s="153">
        <f t="shared" si="0"/>
        <v>54</v>
      </c>
      <c r="C58" s="153">
        <v>1017</v>
      </c>
      <c r="D58" s="153" t="s">
        <v>345</v>
      </c>
      <c r="E58" s="154">
        <v>2</v>
      </c>
      <c r="F58" s="154">
        <v>3</v>
      </c>
      <c r="G58" s="154" t="s">
        <v>346</v>
      </c>
      <c r="H58" s="154" t="s">
        <v>346</v>
      </c>
      <c r="I58" s="154" t="s">
        <v>294</v>
      </c>
    </row>
    <row r="59" spans="1:9">
      <c r="A59" s="153"/>
      <c r="B59" s="153">
        <f t="shared" si="0"/>
        <v>55</v>
      </c>
      <c r="C59" s="153">
        <v>1017</v>
      </c>
      <c r="D59" s="153" t="s">
        <v>345</v>
      </c>
      <c r="E59" s="154">
        <v>3</v>
      </c>
      <c r="F59" s="154">
        <v>4</v>
      </c>
      <c r="G59" s="154" t="s">
        <v>346</v>
      </c>
      <c r="H59" s="154" t="s">
        <v>346</v>
      </c>
      <c r="I59" s="154" t="s">
        <v>294</v>
      </c>
    </row>
    <row r="60" spans="1:9">
      <c r="A60" s="153"/>
      <c r="B60" s="153">
        <f t="shared" si="0"/>
        <v>56</v>
      </c>
      <c r="C60" s="153">
        <v>1017</v>
      </c>
      <c r="D60" s="153" t="s">
        <v>345</v>
      </c>
      <c r="E60" s="154">
        <v>4</v>
      </c>
      <c r="F60" s="154">
        <v>12</v>
      </c>
      <c r="G60" s="154" t="s">
        <v>346</v>
      </c>
      <c r="H60" s="154" t="s">
        <v>346</v>
      </c>
      <c r="I60" s="154" t="s">
        <v>294</v>
      </c>
    </row>
    <row r="61" spans="1:9">
      <c r="A61" s="153"/>
      <c r="B61" s="153">
        <f t="shared" si="0"/>
        <v>57</v>
      </c>
      <c r="C61" s="153">
        <v>1018</v>
      </c>
      <c r="D61" s="153" t="s">
        <v>347</v>
      </c>
      <c r="E61" s="154">
        <v>1</v>
      </c>
      <c r="F61" s="154">
        <v>21</v>
      </c>
      <c r="G61" s="154" t="s">
        <v>348</v>
      </c>
      <c r="H61" s="154" t="s">
        <v>349</v>
      </c>
      <c r="I61" s="154" t="s">
        <v>294</v>
      </c>
    </row>
    <row r="62" spans="1:9">
      <c r="A62" s="153"/>
      <c r="B62" s="153">
        <f t="shared" si="0"/>
        <v>58</v>
      </c>
      <c r="C62" s="153">
        <v>1018</v>
      </c>
      <c r="D62" s="153" t="s">
        <v>347</v>
      </c>
      <c r="E62" s="154">
        <v>2</v>
      </c>
      <c r="F62" s="154">
        <v>23</v>
      </c>
      <c r="G62" s="154" t="s">
        <v>348</v>
      </c>
      <c r="H62" s="154" t="s">
        <v>349</v>
      </c>
      <c r="I62" s="154" t="s">
        <v>294</v>
      </c>
    </row>
    <row r="63" spans="1:9">
      <c r="A63" s="153"/>
      <c r="B63" s="153">
        <f t="shared" si="0"/>
        <v>59</v>
      </c>
      <c r="C63" s="153">
        <v>1018</v>
      </c>
      <c r="D63" s="153" t="s">
        <v>347</v>
      </c>
      <c r="E63" s="154">
        <v>3</v>
      </c>
      <c r="F63" s="154">
        <v>22</v>
      </c>
      <c r="G63" s="154" t="s">
        <v>348</v>
      </c>
      <c r="H63" s="154" t="s">
        <v>349</v>
      </c>
      <c r="I63" s="154" t="s">
        <v>294</v>
      </c>
    </row>
    <row r="64" spans="1:9">
      <c r="A64" s="153"/>
      <c r="B64" s="153">
        <f t="shared" si="0"/>
        <v>60</v>
      </c>
      <c r="C64" s="153">
        <v>1018</v>
      </c>
      <c r="D64" s="153" t="s">
        <v>347</v>
      </c>
      <c r="E64" s="154">
        <v>4</v>
      </c>
      <c r="F64" s="154">
        <v>24</v>
      </c>
      <c r="G64" s="154" t="s">
        <v>348</v>
      </c>
      <c r="H64" s="154" t="s">
        <v>349</v>
      </c>
      <c r="I64" s="154" t="s">
        <v>294</v>
      </c>
    </row>
    <row r="65" spans="1:9">
      <c r="A65" s="153"/>
      <c r="B65" s="153">
        <f t="shared" si="0"/>
        <v>61</v>
      </c>
      <c r="C65" s="153">
        <v>1020</v>
      </c>
      <c r="D65" s="153" t="s">
        <v>350</v>
      </c>
      <c r="E65" s="154">
        <v>1</v>
      </c>
      <c r="F65" s="154">
        <v>23</v>
      </c>
      <c r="G65" s="154" t="s">
        <v>351</v>
      </c>
      <c r="H65" s="154" t="s">
        <v>352</v>
      </c>
      <c r="I65" s="154" t="s">
        <v>294</v>
      </c>
    </row>
    <row r="66" spans="1:9">
      <c r="A66" s="153"/>
      <c r="B66" s="153">
        <f t="shared" si="0"/>
        <v>62</v>
      </c>
      <c r="C66" s="153">
        <v>1020</v>
      </c>
      <c r="D66" s="153" t="s">
        <v>350</v>
      </c>
      <c r="E66" s="154">
        <v>2</v>
      </c>
      <c r="F66" s="154">
        <v>21</v>
      </c>
      <c r="G66" s="154" t="s">
        <v>351</v>
      </c>
      <c r="H66" s="154" t="s">
        <v>352</v>
      </c>
      <c r="I66" s="154" t="s">
        <v>294</v>
      </c>
    </row>
    <row r="67" spans="1:9">
      <c r="A67" s="153"/>
      <c r="B67" s="153">
        <f t="shared" si="0"/>
        <v>63</v>
      </c>
      <c r="C67" s="153">
        <v>1020</v>
      </c>
      <c r="D67" s="153" t="s">
        <v>350</v>
      </c>
      <c r="E67" s="154">
        <v>3</v>
      </c>
      <c r="F67" s="154">
        <v>22</v>
      </c>
      <c r="G67" s="154" t="s">
        <v>351</v>
      </c>
      <c r="H67" s="154" t="s">
        <v>352</v>
      </c>
      <c r="I67" s="154" t="s">
        <v>294</v>
      </c>
    </row>
    <row r="68" spans="1:9">
      <c r="A68" s="153"/>
      <c r="B68" s="153">
        <f t="shared" si="0"/>
        <v>64</v>
      </c>
      <c r="C68" s="153">
        <v>1020</v>
      </c>
      <c r="D68" s="153" t="s">
        <v>350</v>
      </c>
      <c r="E68" s="154">
        <v>4</v>
      </c>
      <c r="F68" s="154">
        <v>24</v>
      </c>
      <c r="G68" s="154" t="s">
        <v>351</v>
      </c>
      <c r="H68" s="154" t="s">
        <v>352</v>
      </c>
      <c r="I68" s="154" t="s">
        <v>294</v>
      </c>
    </row>
    <row r="69" spans="1:9">
      <c r="A69" s="153"/>
      <c r="B69" s="153">
        <f t="shared" ref="B69:B116" si="1">ROW()-4</f>
        <v>65</v>
      </c>
      <c r="C69" s="153">
        <v>1021</v>
      </c>
      <c r="D69" s="153" t="s">
        <v>353</v>
      </c>
      <c r="E69" s="154">
        <v>1</v>
      </c>
      <c r="F69" s="154">
        <v>6</v>
      </c>
      <c r="G69" s="154" t="s">
        <v>317</v>
      </c>
      <c r="H69" s="154" t="s">
        <v>317</v>
      </c>
      <c r="I69" s="154" t="s">
        <v>294</v>
      </c>
    </row>
    <row r="70" spans="1:9">
      <c r="A70" s="153"/>
      <c r="B70" s="153">
        <f t="shared" si="1"/>
        <v>66</v>
      </c>
      <c r="C70" s="153">
        <v>1021</v>
      </c>
      <c r="D70" s="153" t="s">
        <v>353</v>
      </c>
      <c r="E70" s="154">
        <v>2</v>
      </c>
      <c r="F70" s="154">
        <v>9</v>
      </c>
      <c r="G70" s="154" t="s">
        <v>317</v>
      </c>
      <c r="H70" s="154" t="s">
        <v>317</v>
      </c>
      <c r="I70" s="154" t="s">
        <v>294</v>
      </c>
    </row>
    <row r="71" spans="1:9">
      <c r="A71" s="153"/>
      <c r="B71" s="153">
        <f t="shared" si="1"/>
        <v>67</v>
      </c>
      <c r="C71" s="153">
        <v>1021</v>
      </c>
      <c r="D71" s="153" t="s">
        <v>353</v>
      </c>
      <c r="E71" s="154">
        <v>3</v>
      </c>
      <c r="F71" s="154">
        <v>4</v>
      </c>
      <c r="G71" s="154" t="s">
        <v>317</v>
      </c>
      <c r="H71" s="154" t="s">
        <v>317</v>
      </c>
      <c r="I71" s="154" t="s">
        <v>294</v>
      </c>
    </row>
    <row r="72" spans="1:9">
      <c r="A72" s="153"/>
      <c r="B72" s="153">
        <f t="shared" si="1"/>
        <v>68</v>
      </c>
      <c r="C72" s="153">
        <v>1021</v>
      </c>
      <c r="D72" s="153" t="s">
        <v>353</v>
      </c>
      <c r="E72" s="154">
        <v>4</v>
      </c>
      <c r="F72" s="154">
        <v>12</v>
      </c>
      <c r="G72" s="154" t="s">
        <v>317</v>
      </c>
      <c r="H72" s="154" t="s">
        <v>317</v>
      </c>
      <c r="I72" s="154" t="s">
        <v>294</v>
      </c>
    </row>
    <row r="73" spans="1:9">
      <c r="A73" s="153"/>
      <c r="B73" s="153">
        <f t="shared" si="1"/>
        <v>69</v>
      </c>
      <c r="C73" s="153">
        <v>1023</v>
      </c>
      <c r="D73" s="153" t="s">
        <v>354</v>
      </c>
      <c r="E73" s="154">
        <v>1</v>
      </c>
      <c r="F73" s="154">
        <v>23</v>
      </c>
      <c r="G73" s="154" t="s">
        <v>351</v>
      </c>
      <c r="H73" s="154" t="s">
        <v>352</v>
      </c>
      <c r="I73" s="154" t="s">
        <v>294</v>
      </c>
    </row>
    <row r="74" spans="1:9">
      <c r="A74" s="153"/>
      <c r="B74" s="153">
        <f t="shared" si="1"/>
        <v>70</v>
      </c>
      <c r="C74" s="153">
        <v>1023</v>
      </c>
      <c r="D74" s="153" t="s">
        <v>354</v>
      </c>
      <c r="E74" s="154">
        <v>2</v>
      </c>
      <c r="F74" s="154">
        <v>22</v>
      </c>
      <c r="G74" s="154" t="s">
        <v>351</v>
      </c>
      <c r="H74" s="154" t="s">
        <v>352</v>
      </c>
      <c r="I74" s="154" t="s">
        <v>294</v>
      </c>
    </row>
    <row r="75" spans="1:9">
      <c r="A75" s="153"/>
      <c r="B75" s="153">
        <f t="shared" si="1"/>
        <v>71</v>
      </c>
      <c r="C75" s="153">
        <v>1023</v>
      </c>
      <c r="D75" s="153" t="s">
        <v>354</v>
      </c>
      <c r="E75" s="154">
        <v>3</v>
      </c>
      <c r="F75" s="154">
        <v>21</v>
      </c>
      <c r="G75" s="154" t="s">
        <v>351</v>
      </c>
      <c r="H75" s="154" t="s">
        <v>352</v>
      </c>
      <c r="I75" s="154" t="s">
        <v>294</v>
      </c>
    </row>
    <row r="76" spans="1:9">
      <c r="A76" s="153"/>
      <c r="B76" s="153">
        <f t="shared" si="1"/>
        <v>72</v>
      </c>
      <c r="C76" s="153">
        <v>1023</v>
      </c>
      <c r="D76" s="153" t="s">
        <v>354</v>
      </c>
      <c r="E76" s="154">
        <v>4</v>
      </c>
      <c r="F76" s="154">
        <v>24</v>
      </c>
      <c r="G76" s="154" t="s">
        <v>351</v>
      </c>
      <c r="H76" s="154" t="s">
        <v>352</v>
      </c>
      <c r="I76" s="154" t="s">
        <v>294</v>
      </c>
    </row>
    <row r="77" spans="1:9">
      <c r="A77" s="153"/>
      <c r="B77" s="153">
        <f t="shared" si="1"/>
        <v>73</v>
      </c>
      <c r="C77" s="153">
        <v>1024</v>
      </c>
      <c r="D77" s="153" t="s">
        <v>355</v>
      </c>
      <c r="E77" s="154">
        <v>1</v>
      </c>
      <c r="F77" s="154">
        <v>3</v>
      </c>
      <c r="G77" s="154" t="s">
        <v>346</v>
      </c>
      <c r="H77" s="154" t="s">
        <v>346</v>
      </c>
      <c r="I77" s="154" t="s">
        <v>294</v>
      </c>
    </row>
    <row r="78" spans="1:9">
      <c r="A78" s="153"/>
      <c r="B78" s="153">
        <f t="shared" si="1"/>
        <v>74</v>
      </c>
      <c r="C78" s="153">
        <v>1024</v>
      </c>
      <c r="D78" s="153" t="s">
        <v>355</v>
      </c>
      <c r="E78" s="154">
        <v>2</v>
      </c>
      <c r="F78" s="154">
        <v>12</v>
      </c>
      <c r="G78" s="154" t="s">
        <v>346</v>
      </c>
      <c r="H78" s="154" t="s">
        <v>346</v>
      </c>
      <c r="I78" s="154" t="s">
        <v>294</v>
      </c>
    </row>
    <row r="79" spans="1:9">
      <c r="A79" s="153"/>
      <c r="B79" s="153">
        <f t="shared" si="1"/>
        <v>75</v>
      </c>
      <c r="C79" s="153">
        <v>1024</v>
      </c>
      <c r="D79" s="153" t="s">
        <v>355</v>
      </c>
      <c r="E79" s="154">
        <v>3</v>
      </c>
      <c r="F79" s="154">
        <v>4</v>
      </c>
      <c r="G79" s="154" t="s">
        <v>346</v>
      </c>
      <c r="H79" s="154" t="s">
        <v>346</v>
      </c>
      <c r="I79" s="154" t="s">
        <v>294</v>
      </c>
    </row>
    <row r="80" spans="1:9">
      <c r="A80" s="153"/>
      <c r="B80" s="153">
        <f t="shared" si="1"/>
        <v>76</v>
      </c>
      <c r="C80" s="153">
        <v>1024</v>
      </c>
      <c r="D80" s="153" t="s">
        <v>355</v>
      </c>
      <c r="E80" s="154">
        <v>4</v>
      </c>
      <c r="F80" s="154">
        <v>11</v>
      </c>
      <c r="G80" s="154" t="s">
        <v>346</v>
      </c>
      <c r="H80" s="154" t="s">
        <v>346</v>
      </c>
      <c r="I80" s="154" t="s">
        <v>294</v>
      </c>
    </row>
    <row r="81" spans="1:9">
      <c r="A81" s="153"/>
      <c r="B81" s="153">
        <f t="shared" si="1"/>
        <v>77</v>
      </c>
      <c r="C81" s="153">
        <v>1026</v>
      </c>
      <c r="D81" s="153" t="s">
        <v>356</v>
      </c>
      <c r="E81" s="154">
        <v>1</v>
      </c>
      <c r="F81" s="154">
        <v>3</v>
      </c>
      <c r="G81" s="154" t="s">
        <v>317</v>
      </c>
      <c r="H81" s="154" t="s">
        <v>317</v>
      </c>
      <c r="I81" s="154" t="s">
        <v>294</v>
      </c>
    </row>
    <row r="82" spans="1:9">
      <c r="A82" s="153"/>
      <c r="B82" s="153">
        <f t="shared" si="1"/>
        <v>78</v>
      </c>
      <c r="C82" s="153">
        <v>1026</v>
      </c>
      <c r="D82" s="153" t="s">
        <v>356</v>
      </c>
      <c r="E82" s="154">
        <v>2</v>
      </c>
      <c r="F82" s="154">
        <v>12</v>
      </c>
      <c r="G82" s="154" t="s">
        <v>317</v>
      </c>
      <c r="H82" s="154" t="s">
        <v>317</v>
      </c>
      <c r="I82" s="154" t="s">
        <v>294</v>
      </c>
    </row>
    <row r="83" spans="1:9">
      <c r="A83" s="153"/>
      <c r="B83" s="153">
        <f t="shared" si="1"/>
        <v>79</v>
      </c>
      <c r="C83" s="153">
        <v>1026</v>
      </c>
      <c r="D83" s="153" t="s">
        <v>356</v>
      </c>
      <c r="E83" s="154">
        <v>3</v>
      </c>
      <c r="F83" s="154">
        <v>4</v>
      </c>
      <c r="G83" s="154" t="s">
        <v>317</v>
      </c>
      <c r="H83" s="154" t="s">
        <v>317</v>
      </c>
      <c r="I83" s="154" t="s">
        <v>294</v>
      </c>
    </row>
    <row r="84" spans="1:9">
      <c r="A84" s="153"/>
      <c r="B84" s="153">
        <f t="shared" si="1"/>
        <v>80</v>
      </c>
      <c r="C84" s="153">
        <v>1026</v>
      </c>
      <c r="D84" s="153" t="s">
        <v>356</v>
      </c>
      <c r="E84" s="154">
        <v>4</v>
      </c>
      <c r="F84" s="154">
        <v>11</v>
      </c>
      <c r="G84" s="154" t="s">
        <v>317</v>
      </c>
      <c r="H84" s="154" t="s">
        <v>317</v>
      </c>
      <c r="I84" s="154" t="s">
        <v>294</v>
      </c>
    </row>
    <row r="85" spans="1:9">
      <c r="A85" s="153"/>
      <c r="B85" s="153">
        <f t="shared" si="1"/>
        <v>81</v>
      </c>
      <c r="C85" s="153">
        <v>1029</v>
      </c>
      <c r="D85" s="153" t="s">
        <v>357</v>
      </c>
      <c r="E85" s="154">
        <v>1</v>
      </c>
      <c r="F85" s="154">
        <v>21</v>
      </c>
      <c r="G85" s="154" t="s">
        <v>358</v>
      </c>
      <c r="H85" s="154" t="s">
        <v>359</v>
      </c>
      <c r="I85" s="154" t="s">
        <v>294</v>
      </c>
    </row>
    <row r="86" spans="1:9">
      <c r="A86" s="153"/>
      <c r="B86" s="153">
        <f t="shared" si="1"/>
        <v>82</v>
      </c>
      <c r="C86" s="153">
        <v>1029</v>
      </c>
      <c r="D86" s="153" t="s">
        <v>357</v>
      </c>
      <c r="E86" s="154">
        <v>2</v>
      </c>
      <c r="F86" s="154">
        <v>23</v>
      </c>
      <c r="G86" s="154" t="s">
        <v>358</v>
      </c>
      <c r="H86" s="154" t="s">
        <v>359</v>
      </c>
      <c r="I86" s="154" t="s">
        <v>294</v>
      </c>
    </row>
    <row r="87" spans="1:9">
      <c r="A87" s="153"/>
      <c r="B87" s="153">
        <f t="shared" si="1"/>
        <v>83</v>
      </c>
      <c r="C87" s="153">
        <v>1029</v>
      </c>
      <c r="D87" s="153" t="s">
        <v>357</v>
      </c>
      <c r="E87" s="154">
        <v>3</v>
      </c>
      <c r="F87" s="154">
        <v>22</v>
      </c>
      <c r="G87" s="154" t="s">
        <v>358</v>
      </c>
      <c r="H87" s="154" t="s">
        <v>359</v>
      </c>
      <c r="I87" s="154" t="s">
        <v>294</v>
      </c>
    </row>
    <row r="88" spans="1:9">
      <c r="A88" s="153"/>
      <c r="B88" s="153">
        <f t="shared" si="1"/>
        <v>84</v>
      </c>
      <c r="C88" s="153">
        <v>1029</v>
      </c>
      <c r="D88" s="153" t="s">
        <v>357</v>
      </c>
      <c r="E88" s="154">
        <v>4</v>
      </c>
      <c r="F88" s="154">
        <v>24</v>
      </c>
      <c r="G88" s="154" t="s">
        <v>358</v>
      </c>
      <c r="H88" s="154" t="s">
        <v>359</v>
      </c>
      <c r="I88" s="154" t="s">
        <v>294</v>
      </c>
    </row>
    <row r="89" spans="1:9">
      <c r="A89" s="153"/>
      <c r="B89" s="153">
        <f t="shared" si="1"/>
        <v>85</v>
      </c>
      <c r="C89" s="153">
        <v>1030</v>
      </c>
      <c r="D89" s="153" t="s">
        <v>360</v>
      </c>
      <c r="E89" s="154">
        <v>1</v>
      </c>
      <c r="F89" s="154">
        <v>15</v>
      </c>
      <c r="G89" s="154" t="s">
        <v>361</v>
      </c>
      <c r="H89" s="154" t="s">
        <v>362</v>
      </c>
      <c r="I89" s="154" t="s">
        <v>294</v>
      </c>
    </row>
    <row r="90" spans="1:9">
      <c r="A90" s="153"/>
      <c r="B90" s="153">
        <f t="shared" si="1"/>
        <v>86</v>
      </c>
      <c r="C90" s="153">
        <v>1030</v>
      </c>
      <c r="D90" s="153" t="s">
        <v>360</v>
      </c>
      <c r="E90" s="154">
        <v>2</v>
      </c>
      <c r="F90" s="154">
        <v>16</v>
      </c>
      <c r="G90" s="154" t="s">
        <v>361</v>
      </c>
      <c r="H90" s="154" t="s">
        <v>362</v>
      </c>
      <c r="I90" s="154" t="s">
        <v>294</v>
      </c>
    </row>
    <row r="91" spans="1:9">
      <c r="A91" s="153"/>
      <c r="B91" s="153">
        <f t="shared" si="1"/>
        <v>87</v>
      </c>
      <c r="C91" s="153">
        <v>1030</v>
      </c>
      <c r="D91" s="153" t="s">
        <v>360</v>
      </c>
      <c r="E91" s="154">
        <v>3</v>
      </c>
      <c r="F91" s="154">
        <v>13</v>
      </c>
      <c r="G91" s="154" t="s">
        <v>361</v>
      </c>
      <c r="H91" s="154" t="s">
        <v>362</v>
      </c>
      <c r="I91" s="154" t="s">
        <v>294</v>
      </c>
    </row>
    <row r="92" spans="1:9">
      <c r="A92" s="153"/>
      <c r="B92" s="153">
        <f t="shared" si="1"/>
        <v>88</v>
      </c>
      <c r="C92" s="153">
        <v>1030</v>
      </c>
      <c r="D92" s="153" t="s">
        <v>360</v>
      </c>
      <c r="E92" s="154">
        <v>4</v>
      </c>
      <c r="F92" s="154">
        <v>18</v>
      </c>
      <c r="G92" s="154" t="s">
        <v>361</v>
      </c>
      <c r="H92" s="154" t="s">
        <v>362</v>
      </c>
      <c r="I92" s="154" t="s">
        <v>294</v>
      </c>
    </row>
    <row r="93" spans="1:9">
      <c r="A93" s="153"/>
      <c r="B93" s="153">
        <f t="shared" si="1"/>
        <v>89</v>
      </c>
      <c r="C93" s="153">
        <v>1035</v>
      </c>
      <c r="D93" s="153" t="s">
        <v>363</v>
      </c>
      <c r="E93" s="154">
        <v>1</v>
      </c>
      <c r="F93" s="154">
        <v>3</v>
      </c>
      <c r="G93" s="154" t="s">
        <v>346</v>
      </c>
      <c r="H93" s="154" t="s">
        <v>346</v>
      </c>
      <c r="I93" s="154" t="s">
        <v>294</v>
      </c>
    </row>
    <row r="94" spans="1:9">
      <c r="A94" s="153"/>
      <c r="B94" s="153">
        <f t="shared" si="1"/>
        <v>90</v>
      </c>
      <c r="C94" s="153">
        <v>1035</v>
      </c>
      <c r="D94" s="153" t="s">
        <v>363</v>
      </c>
      <c r="E94" s="154">
        <v>2</v>
      </c>
      <c r="F94" s="154">
        <v>12</v>
      </c>
      <c r="G94" s="154" t="s">
        <v>346</v>
      </c>
      <c r="H94" s="154" t="s">
        <v>346</v>
      </c>
      <c r="I94" s="154" t="s">
        <v>294</v>
      </c>
    </row>
    <row r="95" spans="1:9">
      <c r="A95" s="153"/>
      <c r="B95" s="153">
        <f t="shared" si="1"/>
        <v>91</v>
      </c>
      <c r="C95" s="153">
        <v>1035</v>
      </c>
      <c r="D95" s="153" t="s">
        <v>363</v>
      </c>
      <c r="E95" s="154">
        <v>3</v>
      </c>
      <c r="F95" s="154">
        <v>4</v>
      </c>
      <c r="G95" s="154" t="s">
        <v>346</v>
      </c>
      <c r="H95" s="154" t="s">
        <v>346</v>
      </c>
      <c r="I95" s="154" t="s">
        <v>294</v>
      </c>
    </row>
    <row r="96" spans="1:9">
      <c r="A96" s="153"/>
      <c r="B96" s="153">
        <f t="shared" si="1"/>
        <v>92</v>
      </c>
      <c r="C96" s="153">
        <v>1035</v>
      </c>
      <c r="D96" s="153" t="s">
        <v>363</v>
      </c>
      <c r="E96" s="154">
        <v>4</v>
      </c>
      <c r="F96" s="154">
        <v>11</v>
      </c>
      <c r="G96" s="154" t="s">
        <v>346</v>
      </c>
      <c r="H96" s="154" t="s">
        <v>346</v>
      </c>
      <c r="I96" s="154" t="s">
        <v>294</v>
      </c>
    </row>
    <row r="97" spans="1:9">
      <c r="A97" s="153"/>
      <c r="B97" s="153">
        <f t="shared" si="1"/>
        <v>93</v>
      </c>
      <c r="C97" s="153">
        <v>1036</v>
      </c>
      <c r="D97" s="153" t="s">
        <v>364</v>
      </c>
      <c r="E97" s="154">
        <v>1</v>
      </c>
      <c r="F97" s="154">
        <v>3</v>
      </c>
      <c r="G97" s="154" t="s">
        <v>346</v>
      </c>
      <c r="H97" s="154" t="s">
        <v>346</v>
      </c>
      <c r="I97" s="154" t="s">
        <v>294</v>
      </c>
    </row>
    <row r="98" spans="1:9">
      <c r="A98" s="153"/>
      <c r="B98" s="153">
        <f t="shared" si="1"/>
        <v>94</v>
      </c>
      <c r="C98" s="153">
        <v>1036</v>
      </c>
      <c r="D98" s="153" t="s">
        <v>364</v>
      </c>
      <c r="E98" s="154">
        <v>2</v>
      </c>
      <c r="F98" s="154">
        <v>12</v>
      </c>
      <c r="G98" s="154" t="s">
        <v>346</v>
      </c>
      <c r="H98" s="154" t="s">
        <v>346</v>
      </c>
      <c r="I98" s="154" t="s">
        <v>294</v>
      </c>
    </row>
    <row r="99" spans="1:9">
      <c r="A99" s="153"/>
      <c r="B99" s="153">
        <f t="shared" si="1"/>
        <v>95</v>
      </c>
      <c r="C99" s="153">
        <v>1036</v>
      </c>
      <c r="D99" s="153" t="s">
        <v>364</v>
      </c>
      <c r="E99" s="154">
        <v>3</v>
      </c>
      <c r="F99" s="154">
        <v>4</v>
      </c>
      <c r="G99" s="154" t="s">
        <v>346</v>
      </c>
      <c r="H99" s="154" t="s">
        <v>346</v>
      </c>
      <c r="I99" s="154" t="s">
        <v>294</v>
      </c>
    </row>
    <row r="100" spans="1:9">
      <c r="A100" s="153"/>
      <c r="B100" s="153">
        <f t="shared" si="1"/>
        <v>96</v>
      </c>
      <c r="C100" s="153">
        <v>1036</v>
      </c>
      <c r="D100" s="153" t="s">
        <v>364</v>
      </c>
      <c r="E100" s="154">
        <v>4</v>
      </c>
      <c r="F100" s="154">
        <v>11</v>
      </c>
      <c r="G100" s="154" t="s">
        <v>346</v>
      </c>
      <c r="H100" s="154" t="s">
        <v>346</v>
      </c>
      <c r="I100" s="154" t="s">
        <v>294</v>
      </c>
    </row>
    <row r="101" spans="1:9">
      <c r="A101" s="153"/>
      <c r="B101" s="153">
        <f t="shared" si="1"/>
        <v>97</v>
      </c>
      <c r="C101" s="153">
        <v>1037</v>
      </c>
      <c r="D101" s="153" t="s">
        <v>365</v>
      </c>
      <c r="E101" s="154">
        <v>1</v>
      </c>
      <c r="F101" s="154">
        <v>6</v>
      </c>
      <c r="G101" s="154" t="s">
        <v>317</v>
      </c>
      <c r="H101" s="154" t="s">
        <v>317</v>
      </c>
      <c r="I101" s="154" t="s">
        <v>294</v>
      </c>
    </row>
    <row r="102" spans="1:9">
      <c r="A102" s="153"/>
      <c r="B102" s="153">
        <f t="shared" si="1"/>
        <v>98</v>
      </c>
      <c r="C102" s="153">
        <v>1037</v>
      </c>
      <c r="D102" s="153" t="s">
        <v>365</v>
      </c>
      <c r="E102" s="154">
        <v>2</v>
      </c>
      <c r="F102" s="154">
        <v>9</v>
      </c>
      <c r="G102" s="154" t="s">
        <v>317</v>
      </c>
      <c r="H102" s="154" t="s">
        <v>317</v>
      </c>
      <c r="I102" s="154" t="s">
        <v>294</v>
      </c>
    </row>
    <row r="103" spans="1:9">
      <c r="A103" s="153"/>
      <c r="B103" s="153">
        <f t="shared" si="1"/>
        <v>99</v>
      </c>
      <c r="C103" s="153">
        <v>1037</v>
      </c>
      <c r="D103" s="153" t="s">
        <v>365</v>
      </c>
      <c r="E103" s="154">
        <v>3</v>
      </c>
      <c r="F103" s="154">
        <v>4</v>
      </c>
      <c r="G103" s="154" t="s">
        <v>317</v>
      </c>
      <c r="H103" s="154" t="s">
        <v>317</v>
      </c>
      <c r="I103" s="154" t="s">
        <v>294</v>
      </c>
    </row>
    <row r="104" spans="1:9">
      <c r="A104" s="153"/>
      <c r="B104" s="153">
        <f t="shared" si="1"/>
        <v>100</v>
      </c>
      <c r="C104" s="153">
        <v>1037</v>
      </c>
      <c r="D104" s="153" t="s">
        <v>365</v>
      </c>
      <c r="E104" s="154">
        <v>4</v>
      </c>
      <c r="F104" s="154">
        <v>12</v>
      </c>
      <c r="G104" s="154" t="s">
        <v>317</v>
      </c>
      <c r="H104" s="154" t="s">
        <v>317</v>
      </c>
      <c r="I104" s="154" t="s">
        <v>294</v>
      </c>
    </row>
    <row r="105" spans="1:9">
      <c r="A105" s="153"/>
      <c r="B105" s="153">
        <f t="shared" si="1"/>
        <v>101</v>
      </c>
      <c r="C105" s="153">
        <v>1038</v>
      </c>
      <c r="D105" s="153" t="s">
        <v>366</v>
      </c>
      <c r="E105" s="154">
        <v>1</v>
      </c>
      <c r="F105" s="154">
        <v>15</v>
      </c>
      <c r="G105" s="154" t="s">
        <v>319</v>
      </c>
      <c r="H105" s="154" t="s">
        <v>320</v>
      </c>
      <c r="I105" s="154" t="s">
        <v>294</v>
      </c>
    </row>
    <row r="106" spans="1:9">
      <c r="A106" s="153"/>
      <c r="B106" s="153">
        <f t="shared" si="1"/>
        <v>102</v>
      </c>
      <c r="C106" s="153">
        <v>1038</v>
      </c>
      <c r="D106" s="153" t="s">
        <v>366</v>
      </c>
      <c r="E106" s="154">
        <v>2</v>
      </c>
      <c r="F106" s="154">
        <v>16</v>
      </c>
      <c r="G106" s="154" t="s">
        <v>319</v>
      </c>
      <c r="H106" s="154" t="s">
        <v>320</v>
      </c>
      <c r="I106" s="154" t="s">
        <v>294</v>
      </c>
    </row>
    <row r="107" spans="1:9">
      <c r="A107" s="153"/>
      <c r="B107" s="153">
        <f t="shared" si="1"/>
        <v>103</v>
      </c>
      <c r="C107" s="153">
        <v>1038</v>
      </c>
      <c r="D107" s="153" t="s">
        <v>366</v>
      </c>
      <c r="E107" s="154">
        <v>3</v>
      </c>
      <c r="F107" s="154">
        <v>13</v>
      </c>
      <c r="G107" s="154" t="s">
        <v>319</v>
      </c>
      <c r="H107" s="154" t="s">
        <v>320</v>
      </c>
      <c r="I107" s="154" t="s">
        <v>294</v>
      </c>
    </row>
    <row r="108" spans="1:9">
      <c r="A108" s="153"/>
      <c r="B108" s="153">
        <f t="shared" si="1"/>
        <v>104</v>
      </c>
      <c r="C108" s="153">
        <v>1038</v>
      </c>
      <c r="D108" s="153" t="s">
        <v>366</v>
      </c>
      <c r="E108" s="154">
        <v>4</v>
      </c>
      <c r="F108" s="154">
        <v>18</v>
      </c>
      <c r="G108" s="154" t="s">
        <v>319</v>
      </c>
      <c r="H108" s="154" t="s">
        <v>320</v>
      </c>
      <c r="I108" s="154" t="s">
        <v>294</v>
      </c>
    </row>
    <row r="109" spans="1:9">
      <c r="A109" s="153"/>
      <c r="B109" s="153">
        <f t="shared" si="1"/>
        <v>105</v>
      </c>
      <c r="C109" s="153">
        <v>1039</v>
      </c>
      <c r="D109" s="153" t="s">
        <v>367</v>
      </c>
      <c r="E109" s="154">
        <v>1</v>
      </c>
      <c r="F109" s="154">
        <v>6</v>
      </c>
      <c r="G109" s="154" t="s">
        <v>317</v>
      </c>
      <c r="H109" s="154" t="s">
        <v>317</v>
      </c>
      <c r="I109" s="154" t="s">
        <v>294</v>
      </c>
    </row>
    <row r="110" spans="1:9">
      <c r="A110" s="153"/>
      <c r="B110" s="153">
        <f t="shared" si="1"/>
        <v>106</v>
      </c>
      <c r="C110" s="153">
        <v>1039</v>
      </c>
      <c r="D110" s="153" t="s">
        <v>367</v>
      </c>
      <c r="E110" s="154">
        <v>2</v>
      </c>
      <c r="F110" s="154">
        <v>9</v>
      </c>
      <c r="G110" s="154" t="s">
        <v>317</v>
      </c>
      <c r="H110" s="154" t="s">
        <v>317</v>
      </c>
      <c r="I110" s="154" t="s">
        <v>294</v>
      </c>
    </row>
    <row r="111" spans="1:9">
      <c r="A111" s="153"/>
      <c r="B111" s="153">
        <f t="shared" si="1"/>
        <v>107</v>
      </c>
      <c r="C111" s="153">
        <v>1039</v>
      </c>
      <c r="D111" s="153" t="s">
        <v>367</v>
      </c>
      <c r="E111" s="154">
        <v>3</v>
      </c>
      <c r="F111" s="154">
        <v>4</v>
      </c>
      <c r="G111" s="154" t="s">
        <v>317</v>
      </c>
      <c r="H111" s="154" t="s">
        <v>317</v>
      </c>
      <c r="I111" s="154" t="s">
        <v>294</v>
      </c>
    </row>
    <row r="112" spans="1:9">
      <c r="A112" s="153"/>
      <c r="B112" s="153">
        <f t="shared" si="1"/>
        <v>108</v>
      </c>
      <c r="C112" s="153">
        <v>1039</v>
      </c>
      <c r="D112" s="153" t="s">
        <v>367</v>
      </c>
      <c r="E112" s="154">
        <v>4</v>
      </c>
      <c r="F112" s="154">
        <v>12</v>
      </c>
      <c r="G112" s="154" t="s">
        <v>317</v>
      </c>
      <c r="H112" s="154" t="s">
        <v>317</v>
      </c>
      <c r="I112" s="154" t="s">
        <v>294</v>
      </c>
    </row>
    <row r="113" spans="1:9">
      <c r="A113" s="153"/>
      <c r="B113" s="153">
        <f t="shared" si="1"/>
        <v>109</v>
      </c>
      <c r="C113" s="153">
        <v>1040</v>
      </c>
      <c r="D113" s="153" t="s">
        <v>368</v>
      </c>
      <c r="E113" s="154">
        <v>1</v>
      </c>
      <c r="F113" s="154">
        <v>24</v>
      </c>
      <c r="G113" s="154" t="s">
        <v>336</v>
      </c>
      <c r="H113" s="154" t="s">
        <v>337</v>
      </c>
      <c r="I113" s="154" t="s">
        <v>294</v>
      </c>
    </row>
    <row r="114" spans="1:9">
      <c r="A114" s="153"/>
      <c r="B114" s="153">
        <f t="shared" si="1"/>
        <v>110</v>
      </c>
      <c r="C114" s="153">
        <v>1040</v>
      </c>
      <c r="D114" s="153" t="s">
        <v>368</v>
      </c>
      <c r="E114" s="154">
        <v>2</v>
      </c>
      <c r="F114" s="154">
        <v>23</v>
      </c>
      <c r="G114" s="154" t="s">
        <v>336</v>
      </c>
      <c r="H114" s="154" t="s">
        <v>337</v>
      </c>
      <c r="I114" s="154" t="s">
        <v>294</v>
      </c>
    </row>
    <row r="115" spans="1:9">
      <c r="A115" s="153"/>
      <c r="B115" s="153">
        <f t="shared" si="1"/>
        <v>111</v>
      </c>
      <c r="C115" s="153">
        <v>1040</v>
      </c>
      <c r="D115" s="153" t="s">
        <v>368</v>
      </c>
      <c r="E115" s="154">
        <v>3</v>
      </c>
      <c r="F115" s="154">
        <v>21</v>
      </c>
      <c r="G115" s="154" t="s">
        <v>336</v>
      </c>
      <c r="H115" s="154" t="s">
        <v>337</v>
      </c>
      <c r="I115" s="154" t="s">
        <v>294</v>
      </c>
    </row>
    <row r="116" spans="1:9">
      <c r="A116" s="153"/>
      <c r="B116" s="153">
        <f t="shared" si="1"/>
        <v>112</v>
      </c>
      <c r="C116" s="153">
        <v>1040</v>
      </c>
      <c r="D116" s="153" t="s">
        <v>368</v>
      </c>
      <c r="E116" s="154">
        <v>4</v>
      </c>
      <c r="F116" s="154">
        <v>22</v>
      </c>
      <c r="G116" s="154" t="s">
        <v>336</v>
      </c>
      <c r="H116" s="154" t="s">
        <v>337</v>
      </c>
      <c r="I116" s="154" t="s">
        <v>294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77"/>
  <sheetViews>
    <sheetView topLeftCell="A26" workbookViewId="0">
      <selection activeCell="K36" sqref="K36"/>
    </sheetView>
  </sheetViews>
  <sheetFormatPr defaultColWidth="9" defaultRowHeight="16.5"/>
  <cols>
    <col min="1" max="1" width="9" style="25" customWidth="1"/>
    <col min="2" max="2" width="13.375" style="25" customWidth="1"/>
    <col min="3" max="3" width="12.75" style="25" customWidth="1"/>
    <col min="4" max="4" width="12.875" style="25" customWidth="1"/>
    <col min="5" max="5" width="9" style="25" customWidth="1"/>
    <col min="6" max="6" width="9.875" style="25" customWidth="1"/>
    <col min="7" max="7" width="9" style="25" customWidth="1"/>
    <col min="8" max="8" width="10.875" style="25" customWidth="1"/>
    <col min="9" max="9" width="9" style="25" customWidth="1"/>
    <col min="10" max="10" width="10" style="25" customWidth="1"/>
    <col min="11" max="16384" width="9" style="25" customWidth="1"/>
  </cols>
  <sheetData>
    <row r="2" spans="2:4">
      <c r="B2" s="25" t="s">
        <v>369</v>
      </c>
    </row>
    <row r="3" spans="2:4">
      <c r="B3" s="25" t="s">
        <v>370</v>
      </c>
    </row>
    <row r="4" spans="2:4">
      <c r="B4" s="25" t="s">
        <v>371</v>
      </c>
    </row>
    <row r="6" spans="2:4">
      <c r="B6" s="25" t="s">
        <v>372</v>
      </c>
    </row>
    <row r="7" spans="2:4">
      <c r="B7" s="25" t="s">
        <v>79</v>
      </c>
      <c r="C7" s="25" t="s">
        <v>373</v>
      </c>
    </row>
    <row r="8" spans="2:4">
      <c r="B8" s="25" t="s">
        <v>80</v>
      </c>
      <c r="C8" s="25" t="s">
        <v>374</v>
      </c>
    </row>
    <row r="10" spans="2:4">
      <c r="B10" s="106" t="s">
        <v>149</v>
      </c>
    </row>
    <row r="11" spans="2:4">
      <c r="C11" s="25" t="s">
        <v>375</v>
      </c>
      <c r="D11" s="25" t="s">
        <v>152</v>
      </c>
    </row>
    <row r="12" spans="2:4">
      <c r="B12" s="61" t="s">
        <v>216</v>
      </c>
      <c r="C12" s="57">
        <v>30</v>
      </c>
      <c r="D12" s="57">
        <v>2</v>
      </c>
    </row>
    <row r="13" spans="2:4">
      <c r="B13" s="60" t="s">
        <v>215</v>
      </c>
      <c r="C13" s="57">
        <v>40</v>
      </c>
      <c r="D13" s="57">
        <v>3</v>
      </c>
    </row>
    <row r="14" spans="2:4">
      <c r="B14" s="58" t="s">
        <v>376</v>
      </c>
      <c r="C14" s="57">
        <v>50</v>
      </c>
      <c r="D14" s="57">
        <v>4</v>
      </c>
    </row>
    <row r="16" spans="2:4">
      <c r="B16" s="144" t="s">
        <v>155</v>
      </c>
      <c r="C16" s="25" t="s">
        <v>156</v>
      </c>
    </row>
    <row r="17" spans="2:12">
      <c r="B17" s="61" t="s">
        <v>216</v>
      </c>
      <c r="C17" s="145">
        <v>0.5</v>
      </c>
    </row>
    <row r="18" spans="2:12">
      <c r="B18" s="60" t="s">
        <v>215</v>
      </c>
      <c r="C18" s="145">
        <v>0.75</v>
      </c>
    </row>
    <row r="19" spans="2:12">
      <c r="B19" s="58" t="s">
        <v>376</v>
      </c>
      <c r="C19" s="145">
        <v>1</v>
      </c>
    </row>
    <row r="20" spans="2:12">
      <c r="B20" s="146" t="s">
        <v>377</v>
      </c>
      <c r="C20" s="147">
        <v>10000</v>
      </c>
      <c r="D20" s="148" t="s">
        <v>378</v>
      </c>
      <c r="E20" s="147">
        <v>9000</v>
      </c>
      <c r="F20" s="146" t="s">
        <v>379</v>
      </c>
      <c r="G20" s="147">
        <v>3</v>
      </c>
      <c r="H20" s="148" t="s">
        <v>380</v>
      </c>
      <c r="I20" s="147">
        <f>E20/$G$20</f>
        <v>3000</v>
      </c>
    </row>
    <row r="21" spans="2:12">
      <c r="B21" s="146" t="s">
        <v>381</v>
      </c>
      <c r="C21" s="147">
        <v>0</v>
      </c>
      <c r="D21" s="148" t="s">
        <v>382</v>
      </c>
      <c r="E21" s="147">
        <v>900</v>
      </c>
      <c r="F21" s="146"/>
      <c r="G21" s="146"/>
      <c r="H21" s="148" t="s">
        <v>383</v>
      </c>
      <c r="I21" s="147">
        <f>E21/$G$20</f>
        <v>300</v>
      </c>
    </row>
    <row r="23" spans="2:12">
      <c r="B23" s="106" t="s">
        <v>384</v>
      </c>
    </row>
    <row r="25" spans="2:12">
      <c r="B25" s="58" t="s">
        <v>385</v>
      </c>
      <c r="F25" s="60" t="s">
        <v>386</v>
      </c>
      <c r="J25" s="61" t="s">
        <v>387</v>
      </c>
    </row>
    <row r="27" spans="2:12">
      <c r="B27" s="27" t="s">
        <v>161</v>
      </c>
      <c r="C27" s="27" t="s">
        <v>79</v>
      </c>
      <c r="D27" s="27" t="s">
        <v>80</v>
      </c>
      <c r="F27" s="27" t="s">
        <v>161</v>
      </c>
      <c r="G27" s="27" t="s">
        <v>79</v>
      </c>
      <c r="H27" s="27" t="s">
        <v>80</v>
      </c>
      <c r="J27" s="27" t="s">
        <v>161</v>
      </c>
      <c r="K27" s="27" t="s">
        <v>79</v>
      </c>
      <c r="L27" s="27" t="s">
        <v>80</v>
      </c>
    </row>
    <row r="28" spans="2:12">
      <c r="B28" s="29">
        <f t="array" ref="B28:B77">_xlfn.SEQUENCE(C14,1,1,1)</f>
        <v>1</v>
      </c>
      <c r="C28" s="29">
        <f t="shared" ref="C28:C77" si="0">$I$20/$C$14*B28</f>
        <v>60</v>
      </c>
      <c r="D28" s="29">
        <f t="shared" ref="D28:D77" si="1">$I$21/$C$14*B28</f>
        <v>6</v>
      </c>
      <c r="F28" s="29">
        <f t="array" ref="F28:F67">_xlfn.SEQUENCE(C13,1,1,1)</f>
        <v>1</v>
      </c>
      <c r="G28" s="29">
        <f t="shared" ref="G28:G67" si="2">C28*$C$18</f>
        <v>45</v>
      </c>
      <c r="H28" s="29">
        <f t="shared" ref="H28:H67" si="3">INT(D28*$C$18)</f>
        <v>4</v>
      </c>
      <c r="I28" s="29"/>
      <c r="J28" s="29">
        <f t="array" ref="J28:J57">_xlfn.SEQUENCE(C12,1,1,1)</f>
        <v>1</v>
      </c>
      <c r="K28" s="29">
        <f t="shared" ref="K28:K57" si="4">C28*$C$17</f>
        <v>30</v>
      </c>
      <c r="L28" s="29">
        <f t="shared" ref="L28:L57" si="5">INT(D28*$C$17)</f>
        <v>3</v>
      </c>
    </row>
    <row r="29" spans="2:12">
      <c r="B29" s="29">
        <v>2</v>
      </c>
      <c r="C29" s="29">
        <f t="shared" si="0"/>
        <v>120</v>
      </c>
      <c r="D29" s="29">
        <f t="shared" si="1"/>
        <v>12</v>
      </c>
      <c r="F29" s="29">
        <v>2</v>
      </c>
      <c r="G29" s="29">
        <f t="shared" si="2"/>
        <v>90</v>
      </c>
      <c r="H29" s="29">
        <f t="shared" si="3"/>
        <v>9</v>
      </c>
      <c r="I29" s="29"/>
      <c r="J29" s="29">
        <v>2</v>
      </c>
      <c r="K29" s="29">
        <f t="shared" si="4"/>
        <v>60</v>
      </c>
      <c r="L29" s="29">
        <f t="shared" si="5"/>
        <v>6</v>
      </c>
    </row>
    <row r="30" spans="2:12">
      <c r="B30" s="29">
        <v>3</v>
      </c>
      <c r="C30" s="29">
        <f t="shared" si="0"/>
        <v>180</v>
      </c>
      <c r="D30" s="29">
        <f t="shared" si="1"/>
        <v>18</v>
      </c>
      <c r="F30" s="29">
        <v>3</v>
      </c>
      <c r="G30" s="29">
        <f t="shared" si="2"/>
        <v>135</v>
      </c>
      <c r="H30" s="29">
        <f t="shared" si="3"/>
        <v>13</v>
      </c>
      <c r="I30" s="29"/>
      <c r="J30" s="29">
        <v>3</v>
      </c>
      <c r="K30" s="29">
        <f t="shared" si="4"/>
        <v>90</v>
      </c>
      <c r="L30" s="29">
        <f t="shared" si="5"/>
        <v>9</v>
      </c>
    </row>
    <row r="31" spans="2:12">
      <c r="B31" s="29">
        <v>4</v>
      </c>
      <c r="C31" s="29">
        <f t="shared" si="0"/>
        <v>240</v>
      </c>
      <c r="D31" s="29">
        <f t="shared" si="1"/>
        <v>24</v>
      </c>
      <c r="F31" s="29">
        <v>4</v>
      </c>
      <c r="G31" s="29">
        <f t="shared" si="2"/>
        <v>180</v>
      </c>
      <c r="H31" s="29">
        <f t="shared" si="3"/>
        <v>18</v>
      </c>
      <c r="I31" s="29"/>
      <c r="J31" s="29">
        <v>4</v>
      </c>
      <c r="K31" s="29">
        <f t="shared" si="4"/>
        <v>120</v>
      </c>
      <c r="L31" s="29">
        <f t="shared" si="5"/>
        <v>12</v>
      </c>
    </row>
    <row r="32" spans="2:12">
      <c r="B32" s="29">
        <v>5</v>
      </c>
      <c r="C32" s="29">
        <f t="shared" si="0"/>
        <v>300</v>
      </c>
      <c r="D32" s="29">
        <f t="shared" si="1"/>
        <v>30</v>
      </c>
      <c r="F32" s="29">
        <v>5</v>
      </c>
      <c r="G32" s="29">
        <f t="shared" si="2"/>
        <v>225</v>
      </c>
      <c r="H32" s="29">
        <f t="shared" si="3"/>
        <v>22</v>
      </c>
      <c r="I32" s="29"/>
      <c r="J32" s="29">
        <v>5</v>
      </c>
      <c r="K32" s="29">
        <f t="shared" si="4"/>
        <v>150</v>
      </c>
      <c r="L32" s="29">
        <f t="shared" si="5"/>
        <v>15</v>
      </c>
    </row>
    <row r="33" spans="2:12">
      <c r="B33" s="29">
        <v>6</v>
      </c>
      <c r="C33" s="29">
        <f t="shared" si="0"/>
        <v>360</v>
      </c>
      <c r="D33" s="29">
        <f t="shared" si="1"/>
        <v>36</v>
      </c>
      <c r="F33" s="29">
        <v>6</v>
      </c>
      <c r="G33" s="29">
        <f t="shared" si="2"/>
        <v>270</v>
      </c>
      <c r="H33" s="29">
        <f t="shared" si="3"/>
        <v>27</v>
      </c>
      <c r="I33" s="29"/>
      <c r="J33" s="29">
        <v>6</v>
      </c>
      <c r="K33" s="29">
        <f t="shared" si="4"/>
        <v>180</v>
      </c>
      <c r="L33" s="29">
        <f t="shared" si="5"/>
        <v>18</v>
      </c>
    </row>
    <row r="34" spans="2:12">
      <c r="B34" s="29">
        <v>7</v>
      </c>
      <c r="C34" s="29">
        <f t="shared" si="0"/>
        <v>420</v>
      </c>
      <c r="D34" s="29">
        <f t="shared" si="1"/>
        <v>42</v>
      </c>
      <c r="F34" s="29">
        <v>7</v>
      </c>
      <c r="G34" s="29">
        <f t="shared" si="2"/>
        <v>315</v>
      </c>
      <c r="H34" s="29">
        <f t="shared" si="3"/>
        <v>31</v>
      </c>
      <c r="I34" s="29"/>
      <c r="J34" s="29">
        <v>7</v>
      </c>
      <c r="K34" s="29">
        <f t="shared" si="4"/>
        <v>210</v>
      </c>
      <c r="L34" s="29">
        <f t="shared" si="5"/>
        <v>21</v>
      </c>
    </row>
    <row r="35" spans="2:12">
      <c r="B35" s="29">
        <v>8</v>
      </c>
      <c r="C35" s="29">
        <f t="shared" si="0"/>
        <v>480</v>
      </c>
      <c r="D35" s="29">
        <f t="shared" si="1"/>
        <v>48</v>
      </c>
      <c r="F35" s="29">
        <v>8</v>
      </c>
      <c r="G35" s="29">
        <f t="shared" si="2"/>
        <v>360</v>
      </c>
      <c r="H35" s="29">
        <f t="shared" si="3"/>
        <v>36</v>
      </c>
      <c r="I35" s="29"/>
      <c r="J35" s="29">
        <v>8</v>
      </c>
      <c r="K35" s="29">
        <f t="shared" si="4"/>
        <v>240</v>
      </c>
      <c r="L35" s="29">
        <f t="shared" si="5"/>
        <v>24</v>
      </c>
    </row>
    <row r="36" spans="2:12">
      <c r="B36" s="29">
        <v>9</v>
      </c>
      <c r="C36" s="29">
        <f t="shared" si="0"/>
        <v>540</v>
      </c>
      <c r="D36" s="29">
        <f t="shared" si="1"/>
        <v>54</v>
      </c>
      <c r="F36" s="29">
        <v>9</v>
      </c>
      <c r="G36" s="29">
        <f t="shared" si="2"/>
        <v>405</v>
      </c>
      <c r="H36" s="29">
        <f t="shared" si="3"/>
        <v>40</v>
      </c>
      <c r="I36" s="29"/>
      <c r="J36" s="29">
        <v>9</v>
      </c>
      <c r="K36" s="29">
        <f t="shared" si="4"/>
        <v>270</v>
      </c>
      <c r="L36" s="29">
        <f t="shared" si="5"/>
        <v>27</v>
      </c>
    </row>
    <row r="37" spans="2:12">
      <c r="B37" s="29">
        <v>10</v>
      </c>
      <c r="C37" s="29">
        <f t="shared" si="0"/>
        <v>600</v>
      </c>
      <c r="D37" s="29">
        <f t="shared" si="1"/>
        <v>60</v>
      </c>
      <c r="F37" s="29">
        <v>10</v>
      </c>
      <c r="G37" s="29">
        <f t="shared" si="2"/>
        <v>450</v>
      </c>
      <c r="H37" s="29">
        <f t="shared" si="3"/>
        <v>45</v>
      </c>
      <c r="I37" s="29"/>
      <c r="J37" s="29">
        <v>10</v>
      </c>
      <c r="K37" s="29">
        <f t="shared" si="4"/>
        <v>300</v>
      </c>
      <c r="L37" s="29">
        <f t="shared" si="5"/>
        <v>30</v>
      </c>
    </row>
    <row r="38" spans="2:12">
      <c r="B38" s="29">
        <v>11</v>
      </c>
      <c r="C38" s="29">
        <f t="shared" si="0"/>
        <v>660</v>
      </c>
      <c r="D38" s="29">
        <f t="shared" si="1"/>
        <v>66</v>
      </c>
      <c r="F38" s="29">
        <v>11</v>
      </c>
      <c r="G38" s="29">
        <f t="shared" si="2"/>
        <v>495</v>
      </c>
      <c r="H38" s="29">
        <f t="shared" si="3"/>
        <v>49</v>
      </c>
      <c r="I38" s="29"/>
      <c r="J38" s="29">
        <v>11</v>
      </c>
      <c r="K38" s="29">
        <f t="shared" si="4"/>
        <v>330</v>
      </c>
      <c r="L38" s="29">
        <f t="shared" si="5"/>
        <v>33</v>
      </c>
    </row>
    <row r="39" spans="2:12">
      <c r="B39" s="29">
        <v>12</v>
      </c>
      <c r="C39" s="29">
        <f t="shared" si="0"/>
        <v>720</v>
      </c>
      <c r="D39" s="29">
        <f t="shared" si="1"/>
        <v>72</v>
      </c>
      <c r="F39" s="29">
        <v>12</v>
      </c>
      <c r="G39" s="29">
        <f t="shared" si="2"/>
        <v>540</v>
      </c>
      <c r="H39" s="29">
        <f t="shared" si="3"/>
        <v>54</v>
      </c>
      <c r="I39" s="29"/>
      <c r="J39" s="29">
        <v>12</v>
      </c>
      <c r="K39" s="29">
        <f t="shared" si="4"/>
        <v>360</v>
      </c>
      <c r="L39" s="29">
        <f t="shared" si="5"/>
        <v>36</v>
      </c>
    </row>
    <row r="40" spans="2:12">
      <c r="B40" s="29">
        <v>13</v>
      </c>
      <c r="C40" s="29">
        <f t="shared" si="0"/>
        <v>780</v>
      </c>
      <c r="D40" s="29">
        <f t="shared" si="1"/>
        <v>78</v>
      </c>
      <c r="F40" s="29">
        <v>13</v>
      </c>
      <c r="G40" s="29">
        <f t="shared" si="2"/>
        <v>585</v>
      </c>
      <c r="H40" s="29">
        <f t="shared" si="3"/>
        <v>58</v>
      </c>
      <c r="I40" s="29"/>
      <c r="J40" s="29">
        <v>13</v>
      </c>
      <c r="K40" s="29">
        <f t="shared" si="4"/>
        <v>390</v>
      </c>
      <c r="L40" s="29">
        <f t="shared" si="5"/>
        <v>39</v>
      </c>
    </row>
    <row r="41" spans="2:12">
      <c r="B41" s="29">
        <v>14</v>
      </c>
      <c r="C41" s="29">
        <f t="shared" si="0"/>
        <v>840</v>
      </c>
      <c r="D41" s="29">
        <f t="shared" si="1"/>
        <v>84</v>
      </c>
      <c r="F41" s="29">
        <v>14</v>
      </c>
      <c r="G41" s="29">
        <f t="shared" si="2"/>
        <v>630</v>
      </c>
      <c r="H41" s="29">
        <f t="shared" si="3"/>
        <v>63</v>
      </c>
      <c r="I41" s="29"/>
      <c r="J41" s="29">
        <v>14</v>
      </c>
      <c r="K41" s="29">
        <f t="shared" si="4"/>
        <v>420</v>
      </c>
      <c r="L41" s="29">
        <f t="shared" si="5"/>
        <v>42</v>
      </c>
    </row>
    <row r="42" spans="2:12">
      <c r="B42" s="29">
        <v>15</v>
      </c>
      <c r="C42" s="29">
        <f t="shared" si="0"/>
        <v>900</v>
      </c>
      <c r="D42" s="29">
        <f t="shared" si="1"/>
        <v>90</v>
      </c>
      <c r="F42" s="29">
        <v>15</v>
      </c>
      <c r="G42" s="29">
        <f t="shared" si="2"/>
        <v>675</v>
      </c>
      <c r="H42" s="29">
        <f t="shared" si="3"/>
        <v>67</v>
      </c>
      <c r="I42" s="29"/>
      <c r="J42" s="29">
        <v>15</v>
      </c>
      <c r="K42" s="29">
        <f t="shared" si="4"/>
        <v>450</v>
      </c>
      <c r="L42" s="29">
        <f t="shared" si="5"/>
        <v>45</v>
      </c>
    </row>
    <row r="43" spans="2:12">
      <c r="B43" s="29">
        <v>16</v>
      </c>
      <c r="C43" s="29">
        <f t="shared" si="0"/>
        <v>960</v>
      </c>
      <c r="D43" s="29">
        <f t="shared" si="1"/>
        <v>96</v>
      </c>
      <c r="F43" s="29">
        <v>16</v>
      </c>
      <c r="G43" s="29">
        <f t="shared" si="2"/>
        <v>720</v>
      </c>
      <c r="H43" s="29">
        <f t="shared" si="3"/>
        <v>72</v>
      </c>
      <c r="I43" s="29"/>
      <c r="J43" s="29">
        <v>16</v>
      </c>
      <c r="K43" s="29">
        <f t="shared" si="4"/>
        <v>480</v>
      </c>
      <c r="L43" s="29">
        <f t="shared" si="5"/>
        <v>48</v>
      </c>
    </row>
    <row r="44" spans="2:12">
      <c r="B44" s="29">
        <v>17</v>
      </c>
      <c r="C44" s="29">
        <f t="shared" si="0"/>
        <v>1020</v>
      </c>
      <c r="D44" s="29">
        <f t="shared" si="1"/>
        <v>102</v>
      </c>
      <c r="F44" s="29">
        <v>17</v>
      </c>
      <c r="G44" s="29">
        <f t="shared" si="2"/>
        <v>765</v>
      </c>
      <c r="H44" s="29">
        <f t="shared" si="3"/>
        <v>76</v>
      </c>
      <c r="I44" s="29"/>
      <c r="J44" s="29">
        <v>17</v>
      </c>
      <c r="K44" s="29">
        <f t="shared" si="4"/>
        <v>510</v>
      </c>
      <c r="L44" s="29">
        <f t="shared" si="5"/>
        <v>51</v>
      </c>
    </row>
    <row r="45" spans="2:12">
      <c r="B45" s="29">
        <v>18</v>
      </c>
      <c r="C45" s="29">
        <f t="shared" si="0"/>
        <v>1080</v>
      </c>
      <c r="D45" s="29">
        <f t="shared" si="1"/>
        <v>108</v>
      </c>
      <c r="F45" s="29">
        <v>18</v>
      </c>
      <c r="G45" s="29">
        <f t="shared" si="2"/>
        <v>810</v>
      </c>
      <c r="H45" s="29">
        <f t="shared" si="3"/>
        <v>81</v>
      </c>
      <c r="I45" s="29"/>
      <c r="J45" s="29">
        <v>18</v>
      </c>
      <c r="K45" s="29">
        <f t="shared" si="4"/>
        <v>540</v>
      </c>
      <c r="L45" s="29">
        <f t="shared" si="5"/>
        <v>54</v>
      </c>
    </row>
    <row r="46" spans="2:12">
      <c r="B46" s="29">
        <v>19</v>
      </c>
      <c r="C46" s="29">
        <f t="shared" si="0"/>
        <v>1140</v>
      </c>
      <c r="D46" s="29">
        <f t="shared" si="1"/>
        <v>114</v>
      </c>
      <c r="F46" s="29">
        <v>19</v>
      </c>
      <c r="G46" s="29">
        <f t="shared" si="2"/>
        <v>855</v>
      </c>
      <c r="H46" s="29">
        <f t="shared" si="3"/>
        <v>85</v>
      </c>
      <c r="I46" s="29"/>
      <c r="J46" s="29">
        <v>19</v>
      </c>
      <c r="K46" s="29">
        <f t="shared" si="4"/>
        <v>570</v>
      </c>
      <c r="L46" s="29">
        <f t="shared" si="5"/>
        <v>57</v>
      </c>
    </row>
    <row r="47" spans="2:12">
      <c r="B47" s="29">
        <v>20</v>
      </c>
      <c r="C47" s="29">
        <f t="shared" si="0"/>
        <v>1200</v>
      </c>
      <c r="D47" s="29">
        <f t="shared" si="1"/>
        <v>120</v>
      </c>
      <c r="F47" s="29">
        <v>20</v>
      </c>
      <c r="G47" s="29">
        <f t="shared" si="2"/>
        <v>900</v>
      </c>
      <c r="H47" s="29">
        <f t="shared" si="3"/>
        <v>90</v>
      </c>
      <c r="I47" s="29"/>
      <c r="J47" s="29">
        <v>20</v>
      </c>
      <c r="K47" s="29">
        <f t="shared" si="4"/>
        <v>600</v>
      </c>
      <c r="L47" s="29">
        <f t="shared" si="5"/>
        <v>60</v>
      </c>
    </row>
    <row r="48" spans="2:12">
      <c r="B48" s="29">
        <v>21</v>
      </c>
      <c r="C48" s="29">
        <f t="shared" si="0"/>
        <v>1260</v>
      </c>
      <c r="D48" s="29">
        <f t="shared" si="1"/>
        <v>126</v>
      </c>
      <c r="F48" s="29">
        <v>21</v>
      </c>
      <c r="G48" s="29">
        <f t="shared" si="2"/>
        <v>945</v>
      </c>
      <c r="H48" s="29">
        <f t="shared" si="3"/>
        <v>94</v>
      </c>
      <c r="I48" s="29"/>
      <c r="J48" s="29">
        <v>21</v>
      </c>
      <c r="K48" s="29">
        <f t="shared" si="4"/>
        <v>630</v>
      </c>
      <c r="L48" s="29">
        <f t="shared" si="5"/>
        <v>63</v>
      </c>
    </row>
    <row r="49" spans="2:12">
      <c r="B49" s="29">
        <v>22</v>
      </c>
      <c r="C49" s="29">
        <f t="shared" si="0"/>
        <v>1320</v>
      </c>
      <c r="D49" s="29">
        <f t="shared" si="1"/>
        <v>132</v>
      </c>
      <c r="F49" s="29">
        <v>22</v>
      </c>
      <c r="G49" s="29">
        <f t="shared" si="2"/>
        <v>990</v>
      </c>
      <c r="H49" s="29">
        <f t="shared" si="3"/>
        <v>99</v>
      </c>
      <c r="I49" s="29"/>
      <c r="J49" s="29">
        <v>22</v>
      </c>
      <c r="K49" s="29">
        <f t="shared" si="4"/>
        <v>660</v>
      </c>
      <c r="L49" s="29">
        <f t="shared" si="5"/>
        <v>66</v>
      </c>
    </row>
    <row r="50" spans="2:12">
      <c r="B50" s="29">
        <v>23</v>
      </c>
      <c r="C50" s="29">
        <f t="shared" si="0"/>
        <v>1380</v>
      </c>
      <c r="D50" s="29">
        <f t="shared" si="1"/>
        <v>138</v>
      </c>
      <c r="F50" s="29">
        <v>23</v>
      </c>
      <c r="G50" s="29">
        <f t="shared" si="2"/>
        <v>1035</v>
      </c>
      <c r="H50" s="29">
        <f t="shared" si="3"/>
        <v>103</v>
      </c>
      <c r="I50" s="29"/>
      <c r="J50" s="29">
        <v>23</v>
      </c>
      <c r="K50" s="29">
        <f t="shared" si="4"/>
        <v>690</v>
      </c>
      <c r="L50" s="29">
        <f t="shared" si="5"/>
        <v>69</v>
      </c>
    </row>
    <row r="51" spans="2:12">
      <c r="B51" s="29">
        <v>24</v>
      </c>
      <c r="C51" s="29">
        <f t="shared" si="0"/>
        <v>1440</v>
      </c>
      <c r="D51" s="29">
        <f t="shared" si="1"/>
        <v>144</v>
      </c>
      <c r="F51" s="29">
        <v>24</v>
      </c>
      <c r="G51" s="29">
        <f t="shared" si="2"/>
        <v>1080</v>
      </c>
      <c r="H51" s="29">
        <f t="shared" si="3"/>
        <v>108</v>
      </c>
      <c r="I51" s="29"/>
      <c r="J51" s="29">
        <v>24</v>
      </c>
      <c r="K51" s="29">
        <f t="shared" si="4"/>
        <v>720</v>
      </c>
      <c r="L51" s="29">
        <f t="shared" si="5"/>
        <v>72</v>
      </c>
    </row>
    <row r="52" spans="2:12">
      <c r="B52" s="29">
        <v>25</v>
      </c>
      <c r="C52" s="29">
        <f t="shared" si="0"/>
        <v>1500</v>
      </c>
      <c r="D52" s="29">
        <f t="shared" si="1"/>
        <v>150</v>
      </c>
      <c r="F52" s="29">
        <v>25</v>
      </c>
      <c r="G52" s="29">
        <f t="shared" si="2"/>
        <v>1125</v>
      </c>
      <c r="H52" s="29">
        <f t="shared" si="3"/>
        <v>112</v>
      </c>
      <c r="I52" s="29"/>
      <c r="J52" s="29">
        <v>25</v>
      </c>
      <c r="K52" s="29">
        <f t="shared" si="4"/>
        <v>750</v>
      </c>
      <c r="L52" s="29">
        <f t="shared" si="5"/>
        <v>75</v>
      </c>
    </row>
    <row r="53" spans="2:12">
      <c r="B53" s="29">
        <v>26</v>
      </c>
      <c r="C53" s="29">
        <f t="shared" si="0"/>
        <v>1560</v>
      </c>
      <c r="D53" s="29">
        <f t="shared" si="1"/>
        <v>156</v>
      </c>
      <c r="F53" s="29">
        <v>26</v>
      </c>
      <c r="G53" s="29">
        <f t="shared" si="2"/>
        <v>1170</v>
      </c>
      <c r="H53" s="29">
        <f t="shared" si="3"/>
        <v>117</v>
      </c>
      <c r="I53" s="29"/>
      <c r="J53" s="29">
        <v>26</v>
      </c>
      <c r="K53" s="29">
        <f t="shared" si="4"/>
        <v>780</v>
      </c>
      <c r="L53" s="29">
        <f t="shared" si="5"/>
        <v>78</v>
      </c>
    </row>
    <row r="54" spans="2:12">
      <c r="B54" s="29">
        <v>27</v>
      </c>
      <c r="C54" s="29">
        <f t="shared" si="0"/>
        <v>1620</v>
      </c>
      <c r="D54" s="29">
        <f t="shared" si="1"/>
        <v>162</v>
      </c>
      <c r="F54" s="29">
        <v>27</v>
      </c>
      <c r="G54" s="29">
        <f t="shared" si="2"/>
        <v>1215</v>
      </c>
      <c r="H54" s="29">
        <f t="shared" si="3"/>
        <v>121</v>
      </c>
      <c r="I54" s="29"/>
      <c r="J54" s="29">
        <v>27</v>
      </c>
      <c r="K54" s="29">
        <f t="shared" si="4"/>
        <v>810</v>
      </c>
      <c r="L54" s="29">
        <f t="shared" si="5"/>
        <v>81</v>
      </c>
    </row>
    <row r="55" spans="2:12">
      <c r="B55" s="29">
        <v>28</v>
      </c>
      <c r="C55" s="29">
        <f t="shared" si="0"/>
        <v>1680</v>
      </c>
      <c r="D55" s="29">
        <f t="shared" si="1"/>
        <v>168</v>
      </c>
      <c r="F55" s="29">
        <v>28</v>
      </c>
      <c r="G55" s="29">
        <f t="shared" si="2"/>
        <v>1260</v>
      </c>
      <c r="H55" s="29">
        <f t="shared" si="3"/>
        <v>126</v>
      </c>
      <c r="I55" s="29"/>
      <c r="J55" s="29">
        <v>28</v>
      </c>
      <c r="K55" s="29">
        <f t="shared" si="4"/>
        <v>840</v>
      </c>
      <c r="L55" s="29">
        <f t="shared" si="5"/>
        <v>84</v>
      </c>
    </row>
    <row r="56" spans="2:12">
      <c r="B56" s="29">
        <v>29</v>
      </c>
      <c r="C56" s="29">
        <f t="shared" si="0"/>
        <v>1740</v>
      </c>
      <c r="D56" s="29">
        <f t="shared" si="1"/>
        <v>174</v>
      </c>
      <c r="F56" s="29">
        <v>29</v>
      </c>
      <c r="G56" s="29">
        <f t="shared" si="2"/>
        <v>1305</v>
      </c>
      <c r="H56" s="29">
        <f t="shared" si="3"/>
        <v>130</v>
      </c>
      <c r="I56" s="29"/>
      <c r="J56" s="29">
        <v>29</v>
      </c>
      <c r="K56" s="29">
        <f t="shared" si="4"/>
        <v>870</v>
      </c>
      <c r="L56" s="29">
        <f t="shared" si="5"/>
        <v>87</v>
      </c>
    </row>
    <row r="57" spans="2:12">
      <c r="B57" s="29">
        <v>30</v>
      </c>
      <c r="C57" s="29">
        <f t="shared" si="0"/>
        <v>1800</v>
      </c>
      <c r="D57" s="29">
        <f t="shared" si="1"/>
        <v>180</v>
      </c>
      <c r="F57" s="29">
        <v>30</v>
      </c>
      <c r="G57" s="29">
        <f t="shared" si="2"/>
        <v>1350</v>
      </c>
      <c r="H57" s="29">
        <f t="shared" si="3"/>
        <v>135</v>
      </c>
      <c r="I57" s="29"/>
      <c r="J57" s="29">
        <v>30</v>
      </c>
      <c r="K57" s="29">
        <f t="shared" si="4"/>
        <v>900</v>
      </c>
      <c r="L57" s="29">
        <f t="shared" si="5"/>
        <v>90</v>
      </c>
    </row>
    <row r="58" spans="2:12">
      <c r="B58" s="29">
        <v>31</v>
      </c>
      <c r="C58" s="29">
        <f t="shared" si="0"/>
        <v>1860</v>
      </c>
      <c r="D58" s="29">
        <f t="shared" si="1"/>
        <v>186</v>
      </c>
      <c r="F58" s="29">
        <v>31</v>
      </c>
      <c r="G58" s="29">
        <f t="shared" si="2"/>
        <v>1395</v>
      </c>
      <c r="H58" s="29">
        <f t="shared" si="3"/>
        <v>139</v>
      </c>
      <c r="I58" s="29"/>
      <c r="J58" s="29"/>
      <c r="K58" s="29"/>
      <c r="L58" s="29"/>
    </row>
    <row r="59" spans="2:12">
      <c r="B59" s="29">
        <v>32</v>
      </c>
      <c r="C59" s="29">
        <f t="shared" si="0"/>
        <v>1920</v>
      </c>
      <c r="D59" s="29">
        <f t="shared" si="1"/>
        <v>192</v>
      </c>
      <c r="F59" s="29">
        <v>32</v>
      </c>
      <c r="G59" s="29">
        <f t="shared" si="2"/>
        <v>1440</v>
      </c>
      <c r="H59" s="29">
        <f t="shared" si="3"/>
        <v>144</v>
      </c>
      <c r="I59" s="29"/>
      <c r="J59" s="29"/>
      <c r="K59" s="29"/>
      <c r="L59" s="29"/>
    </row>
    <row r="60" spans="2:12">
      <c r="B60" s="29">
        <v>33</v>
      </c>
      <c r="C60" s="29">
        <f t="shared" si="0"/>
        <v>1980</v>
      </c>
      <c r="D60" s="29">
        <f t="shared" si="1"/>
        <v>198</v>
      </c>
      <c r="F60" s="29">
        <v>33</v>
      </c>
      <c r="G60" s="29">
        <f t="shared" si="2"/>
        <v>1485</v>
      </c>
      <c r="H60" s="29">
        <f t="shared" si="3"/>
        <v>148</v>
      </c>
      <c r="I60" s="29"/>
      <c r="J60" s="29"/>
      <c r="K60" s="29"/>
      <c r="L60" s="29"/>
    </row>
    <row r="61" spans="2:12">
      <c r="B61" s="29">
        <v>34</v>
      </c>
      <c r="C61" s="29">
        <f t="shared" si="0"/>
        <v>2040</v>
      </c>
      <c r="D61" s="29">
        <f t="shared" si="1"/>
        <v>204</v>
      </c>
      <c r="F61" s="29">
        <v>34</v>
      </c>
      <c r="G61" s="29">
        <f t="shared" si="2"/>
        <v>1530</v>
      </c>
      <c r="H61" s="29">
        <f t="shared" si="3"/>
        <v>153</v>
      </c>
      <c r="I61" s="29"/>
      <c r="J61" s="29"/>
      <c r="K61" s="29"/>
      <c r="L61" s="29"/>
    </row>
    <row r="62" spans="2:12">
      <c r="B62" s="29">
        <v>35</v>
      </c>
      <c r="C62" s="29">
        <f t="shared" si="0"/>
        <v>2100</v>
      </c>
      <c r="D62" s="29">
        <f t="shared" si="1"/>
        <v>210</v>
      </c>
      <c r="F62" s="29">
        <v>35</v>
      </c>
      <c r="G62" s="29">
        <f t="shared" si="2"/>
        <v>1575</v>
      </c>
      <c r="H62" s="29">
        <f t="shared" si="3"/>
        <v>157</v>
      </c>
      <c r="I62" s="29"/>
      <c r="J62" s="29"/>
      <c r="K62" s="29"/>
      <c r="L62" s="29"/>
    </row>
    <row r="63" spans="2:12">
      <c r="B63" s="29">
        <v>36</v>
      </c>
      <c r="C63" s="29">
        <f t="shared" si="0"/>
        <v>2160</v>
      </c>
      <c r="D63" s="29">
        <f t="shared" si="1"/>
        <v>216</v>
      </c>
      <c r="F63" s="29">
        <v>36</v>
      </c>
      <c r="G63" s="29">
        <f t="shared" si="2"/>
        <v>1620</v>
      </c>
      <c r="H63" s="29">
        <f t="shared" si="3"/>
        <v>162</v>
      </c>
      <c r="I63" s="29"/>
      <c r="J63" s="29"/>
      <c r="K63" s="29"/>
      <c r="L63" s="29"/>
    </row>
    <row r="64" spans="2:12">
      <c r="B64" s="29">
        <v>37</v>
      </c>
      <c r="C64" s="29">
        <f t="shared" si="0"/>
        <v>2220</v>
      </c>
      <c r="D64" s="29">
        <f t="shared" si="1"/>
        <v>222</v>
      </c>
      <c r="F64" s="29">
        <v>37</v>
      </c>
      <c r="G64" s="29">
        <f t="shared" si="2"/>
        <v>1665</v>
      </c>
      <c r="H64" s="29">
        <f t="shared" si="3"/>
        <v>166</v>
      </c>
      <c r="I64" s="29"/>
      <c r="J64" s="29"/>
      <c r="K64" s="29"/>
      <c r="L64" s="29"/>
    </row>
    <row r="65" spans="2:12">
      <c r="B65" s="29">
        <v>38</v>
      </c>
      <c r="C65" s="29">
        <f t="shared" si="0"/>
        <v>2280</v>
      </c>
      <c r="D65" s="29">
        <f t="shared" si="1"/>
        <v>228</v>
      </c>
      <c r="F65" s="29">
        <v>38</v>
      </c>
      <c r="G65" s="29">
        <f t="shared" si="2"/>
        <v>1710</v>
      </c>
      <c r="H65" s="29">
        <f t="shared" si="3"/>
        <v>171</v>
      </c>
      <c r="I65" s="29"/>
      <c r="J65" s="29"/>
      <c r="K65" s="29"/>
      <c r="L65" s="29"/>
    </row>
    <row r="66" spans="2:12">
      <c r="B66" s="29">
        <v>39</v>
      </c>
      <c r="C66" s="29">
        <f t="shared" si="0"/>
        <v>2340</v>
      </c>
      <c r="D66" s="29">
        <f t="shared" si="1"/>
        <v>234</v>
      </c>
      <c r="F66" s="29">
        <v>39</v>
      </c>
      <c r="G66" s="29">
        <f t="shared" si="2"/>
        <v>1755</v>
      </c>
      <c r="H66" s="29">
        <f t="shared" si="3"/>
        <v>175</v>
      </c>
      <c r="I66" s="29"/>
      <c r="J66" s="29"/>
      <c r="K66" s="29"/>
      <c r="L66" s="29"/>
    </row>
    <row r="67" spans="2:12">
      <c r="B67" s="29">
        <v>40</v>
      </c>
      <c r="C67" s="29">
        <f t="shared" si="0"/>
        <v>2400</v>
      </c>
      <c r="D67" s="29">
        <f t="shared" si="1"/>
        <v>240</v>
      </c>
      <c r="F67" s="29">
        <v>40</v>
      </c>
      <c r="G67" s="29">
        <f t="shared" si="2"/>
        <v>1800</v>
      </c>
      <c r="H67" s="29">
        <f t="shared" si="3"/>
        <v>180</v>
      </c>
    </row>
    <row r="68" spans="2:12">
      <c r="B68" s="29">
        <v>41</v>
      </c>
      <c r="C68" s="29">
        <f t="shared" si="0"/>
        <v>2460</v>
      </c>
      <c r="D68" s="29">
        <f t="shared" si="1"/>
        <v>246</v>
      </c>
    </row>
    <row r="69" spans="2:12">
      <c r="B69" s="29">
        <v>42</v>
      </c>
      <c r="C69" s="29">
        <f t="shared" si="0"/>
        <v>2520</v>
      </c>
      <c r="D69" s="29">
        <f t="shared" si="1"/>
        <v>252</v>
      </c>
    </row>
    <row r="70" spans="2:12">
      <c r="B70" s="29">
        <v>43</v>
      </c>
      <c r="C70" s="29">
        <f t="shared" si="0"/>
        <v>2580</v>
      </c>
      <c r="D70" s="29">
        <f t="shared" si="1"/>
        <v>258</v>
      </c>
    </row>
    <row r="71" spans="2:12">
      <c r="B71" s="29">
        <v>44</v>
      </c>
      <c r="C71" s="29">
        <f t="shared" si="0"/>
        <v>2640</v>
      </c>
      <c r="D71" s="29">
        <f t="shared" si="1"/>
        <v>264</v>
      </c>
    </row>
    <row r="72" spans="2:12">
      <c r="B72" s="29">
        <v>45</v>
      </c>
      <c r="C72" s="29">
        <f t="shared" si="0"/>
        <v>2700</v>
      </c>
      <c r="D72" s="29">
        <f t="shared" si="1"/>
        <v>270</v>
      </c>
    </row>
    <row r="73" spans="2:12">
      <c r="B73" s="29">
        <v>46</v>
      </c>
      <c r="C73" s="29">
        <f t="shared" si="0"/>
        <v>2760</v>
      </c>
      <c r="D73" s="29">
        <f t="shared" si="1"/>
        <v>276</v>
      </c>
    </row>
    <row r="74" spans="2:12">
      <c r="B74" s="29">
        <v>47</v>
      </c>
      <c r="C74" s="29">
        <f t="shared" si="0"/>
        <v>2820</v>
      </c>
      <c r="D74" s="29">
        <f t="shared" si="1"/>
        <v>282</v>
      </c>
    </row>
    <row r="75" spans="2:12">
      <c r="B75" s="29">
        <v>48</v>
      </c>
      <c r="C75" s="29">
        <f t="shared" si="0"/>
        <v>2880</v>
      </c>
      <c r="D75" s="29">
        <f t="shared" si="1"/>
        <v>288</v>
      </c>
    </row>
    <row r="76" spans="2:12">
      <c r="B76" s="29">
        <v>49</v>
      </c>
      <c r="C76" s="29">
        <f t="shared" si="0"/>
        <v>2940</v>
      </c>
      <c r="D76" s="29">
        <f t="shared" si="1"/>
        <v>294</v>
      </c>
    </row>
    <row r="77" spans="2:12">
      <c r="B77" s="29">
        <v>50</v>
      </c>
      <c r="C77" s="29">
        <f t="shared" si="0"/>
        <v>3000</v>
      </c>
      <c r="D77" s="29">
        <f t="shared" si="1"/>
        <v>300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317"/>
  <sheetViews>
    <sheetView workbookViewId="0">
      <selection activeCell="K14" sqref="K14"/>
    </sheetView>
  </sheetViews>
  <sheetFormatPr defaultColWidth="9" defaultRowHeight="16.5"/>
  <cols>
    <col min="1" max="1" width="9" style="25" customWidth="1"/>
    <col min="2" max="2" width="14.875" style="25" customWidth="1"/>
    <col min="3" max="3" width="12.875" style="25" customWidth="1"/>
    <col min="4" max="4" width="14.125" style="25" customWidth="1"/>
    <col min="5" max="5" width="14.875" style="25" customWidth="1"/>
    <col min="6" max="6" width="11.875" style="25" customWidth="1"/>
    <col min="7" max="7" width="12.25" style="25" customWidth="1"/>
    <col min="8" max="8" width="12.7583333333333" style="25" customWidth="1"/>
    <col min="9" max="9" width="13.375" style="25" customWidth="1"/>
    <col min="10" max="10" width="12" style="25" customWidth="1"/>
    <col min="11" max="11" width="14.75" style="25" customWidth="1"/>
    <col min="12" max="13" width="16.5" style="25" customWidth="1"/>
    <col min="14" max="14" width="10.375" style="25" customWidth="1"/>
    <col min="15" max="15" width="13.625" style="25" customWidth="1"/>
    <col min="16" max="16" width="10.375" style="25" customWidth="1"/>
    <col min="17" max="19" width="10.25" style="25" customWidth="1"/>
    <col min="20" max="20" width="10.4166666666667" style="25" customWidth="1"/>
    <col min="21" max="16384" width="9" style="25" customWidth="1"/>
  </cols>
  <sheetData>
    <row r="2" spans="2:11">
      <c r="B2" s="106" t="s">
        <v>388</v>
      </c>
      <c r="K2" s="77" t="s">
        <v>389</v>
      </c>
    </row>
    <row r="3" spans="2:11">
      <c r="K3" s="25" t="s">
        <v>128</v>
      </c>
    </row>
    <row r="4" spans="2:11">
      <c r="B4" s="25">
        <v>1</v>
      </c>
      <c r="C4" s="25" t="s">
        <v>390</v>
      </c>
      <c r="K4" s="25" t="s">
        <v>128</v>
      </c>
    </row>
    <row r="5" spans="2:11">
      <c r="K5" s="25" t="s">
        <v>129</v>
      </c>
    </row>
    <row r="6" spans="2:11">
      <c r="B6" s="25">
        <v>2</v>
      </c>
      <c r="C6" s="25" t="s">
        <v>391</v>
      </c>
      <c r="K6" s="25" t="s">
        <v>130</v>
      </c>
    </row>
    <row r="7" spans="2:11">
      <c r="K7" s="25" t="s">
        <v>140</v>
      </c>
    </row>
    <row r="8" spans="2:11">
      <c r="B8" s="25">
        <v>3</v>
      </c>
      <c r="C8" s="25" t="s">
        <v>392</v>
      </c>
      <c r="K8" s="25" t="s">
        <v>132</v>
      </c>
    </row>
    <row r="9" spans="2:11">
      <c r="K9" s="25" t="s">
        <v>133</v>
      </c>
    </row>
    <row r="10" spans="2:11">
      <c r="B10" s="25">
        <v>4</v>
      </c>
      <c r="C10" s="25" t="s">
        <v>393</v>
      </c>
      <c r="K10" s="25" t="s">
        <v>134</v>
      </c>
    </row>
    <row r="11" spans="2:11">
      <c r="K11" s="80" t="s">
        <v>141</v>
      </c>
    </row>
    <row r="12" spans="2:11">
      <c r="B12" s="25">
        <v>5</v>
      </c>
      <c r="C12" s="25" t="s">
        <v>394</v>
      </c>
      <c r="K12" s="80" t="s">
        <v>142</v>
      </c>
    </row>
    <row r="13" spans="2:11">
      <c r="K13" s="25" t="s">
        <v>249</v>
      </c>
    </row>
    <row r="14" spans="2:11">
      <c r="C14" s="25" t="s">
        <v>395</v>
      </c>
      <c r="K14" s="25" t="s">
        <v>249</v>
      </c>
    </row>
    <row r="15" spans="2:11">
      <c r="K15" s="25" t="s">
        <v>81</v>
      </c>
    </row>
    <row r="16" spans="2:11">
      <c r="K16" s="25" t="s">
        <v>79</v>
      </c>
    </row>
    <row r="17" spans="2:15">
      <c r="H17" s="89"/>
    </row>
    <row r="18" spans="2:15">
      <c r="H18" s="89"/>
    </row>
    <row r="19" spans="2:15">
      <c r="H19" s="89"/>
    </row>
    <row r="20" spans="2:15">
      <c r="H20" s="89"/>
    </row>
    <row r="21" spans="2:15">
      <c r="H21" s="89"/>
    </row>
    <row r="22" spans="2:15">
      <c r="H22" s="89"/>
    </row>
    <row r="23" spans="2:15">
      <c r="H23" s="89"/>
    </row>
    <row r="24" spans="2:15">
      <c r="H24" s="89"/>
    </row>
    <row r="25" spans="2:15">
      <c r="B25" s="25">
        <v>6</v>
      </c>
      <c r="C25" s="25" t="s">
        <v>396</v>
      </c>
    </row>
    <row r="27" spans="2:15">
      <c r="C27" s="25" t="s">
        <v>88</v>
      </c>
      <c r="H27" s="89"/>
      <c r="O27" s="25" t="s">
        <v>397</v>
      </c>
    </row>
    <row r="28" ht="17.25" customHeight="1" spans="2:15">
      <c r="G28" s="25" t="s">
        <v>117</v>
      </c>
      <c r="K28" s="25" t="s">
        <v>118</v>
      </c>
      <c r="O28" s="107" t="s">
        <v>398</v>
      </c>
    </row>
    <row r="29" spans="2:15">
      <c r="C29" s="56" t="s">
        <v>79</v>
      </c>
      <c r="D29" s="56" t="s">
        <v>80</v>
      </c>
      <c r="E29" s="56" t="s">
        <v>81</v>
      </c>
      <c r="G29" s="56" t="s">
        <v>79</v>
      </c>
      <c r="H29" s="56" t="s">
        <v>80</v>
      </c>
      <c r="I29" s="56" t="s">
        <v>81</v>
      </c>
      <c r="K29" s="27" t="s">
        <v>121</v>
      </c>
      <c r="O29" s="27" t="s">
        <v>121</v>
      </c>
    </row>
    <row r="30" spans="2:15">
      <c r="C30" s="25">
        <f>养成属性规划!D43</f>
        <v>50000</v>
      </c>
      <c r="D30" s="25">
        <f>养成属性规划!E43</f>
        <v>15000</v>
      </c>
      <c r="E30" s="25">
        <f>养成属性规划!F43</f>
        <v>10000</v>
      </c>
      <c r="G30" s="31">
        <f>养成属性规划!J43</f>
        <v>2.4</v>
      </c>
      <c r="H30" s="31">
        <f>养成属性规划!K43</f>
        <v>2.4</v>
      </c>
      <c r="I30" s="31">
        <f>养成属性规划!L43</f>
        <v>2.4</v>
      </c>
      <c r="K30" s="108">
        <f>养成属性规划!M43</f>
        <v>1.6</v>
      </c>
      <c r="O30" s="108">
        <f>养成属性规划!P43+养成属性规划!S43</f>
        <v>7</v>
      </c>
    </row>
    <row r="39" s="62" customFormat="1" ht="18" customHeight="1" spans="2:15">
      <c r="B39" s="109" t="s">
        <v>399</v>
      </c>
    </row>
    <row r="40" spans="2:15">
      <c r="C40"/>
      <c r="D40"/>
      <c r="E40"/>
      <c r="F40"/>
      <c r="G40"/>
      <c r="H40"/>
      <c r="K40" s="29"/>
    </row>
    <row r="41" spans="2:15">
      <c r="C41" s="25" t="s">
        <v>400</v>
      </c>
      <c r="D41"/>
      <c r="E41"/>
      <c r="F41" s="25" t="s">
        <v>401</v>
      </c>
      <c r="K41" s="29"/>
    </row>
    <row r="42" spans="2:15">
      <c r="C42"/>
      <c r="D42"/>
      <c r="E42"/>
      <c r="K42" s="29"/>
    </row>
    <row r="43" spans="2:15">
      <c r="C43" s="25" t="s">
        <v>399</v>
      </c>
      <c r="D43" s="110">
        <v>0.75</v>
      </c>
      <c r="E43"/>
      <c r="F43" s="56" t="s">
        <v>79</v>
      </c>
      <c r="G43" s="56" t="s">
        <v>80</v>
      </c>
      <c r="H43" s="56" t="s">
        <v>81</v>
      </c>
      <c r="K43" s="29"/>
    </row>
    <row r="44" spans="2:15">
      <c r="C44" s="25" t="s">
        <v>402</v>
      </c>
      <c r="D44" s="110">
        <v>0.25</v>
      </c>
      <c r="E44"/>
      <c r="F44" s="25">
        <f>C30*$D$43</f>
        <v>37500</v>
      </c>
      <c r="G44" s="25">
        <f>D30*$D$43</f>
        <v>11250</v>
      </c>
      <c r="H44" s="25">
        <f>E30*$D$43</f>
        <v>7500</v>
      </c>
      <c r="K44" s="29"/>
    </row>
    <row r="45" spans="2:15">
      <c r="C45"/>
      <c r="D45"/>
      <c r="E45"/>
      <c r="F45"/>
      <c r="G45"/>
      <c r="H45"/>
      <c r="K45" s="29"/>
    </row>
    <row r="46" spans="2:15">
      <c r="C46"/>
      <c r="D46"/>
      <c r="E46"/>
      <c r="F46"/>
      <c r="G46"/>
      <c r="H46"/>
      <c r="K46" s="29"/>
    </row>
    <row r="47" spans="2:15">
      <c r="C47" s="111" t="s">
        <v>403</v>
      </c>
      <c r="D47" s="111" t="s">
        <v>404</v>
      </c>
      <c r="E47" s="111" t="s">
        <v>405</v>
      </c>
      <c r="F47" s="111" t="s">
        <v>406</v>
      </c>
      <c r="G47" s="111" t="s">
        <v>407</v>
      </c>
      <c r="H47" s="111" t="s">
        <v>406</v>
      </c>
      <c r="K47" s="29" t="s">
        <v>408</v>
      </c>
    </row>
    <row r="48" spans="2:15">
      <c r="C48" s="112" t="s">
        <v>409</v>
      </c>
      <c r="D48" s="89" t="s">
        <v>410</v>
      </c>
      <c r="E48" s="113" t="s">
        <v>80</v>
      </c>
      <c r="F48" s="112">
        <v>0.5</v>
      </c>
      <c r="G48" s="114" t="s">
        <v>80</v>
      </c>
      <c r="H48" s="112">
        <v>0.5</v>
      </c>
      <c r="K48" s="115" t="s">
        <v>79</v>
      </c>
      <c r="L48" s="25">
        <f>SUMIF($G$48:$G$57,K48,$H$48:$H$57)+SUMIF($E$48:$E$57,K48,$F$48:$F$57)</f>
        <v>1</v>
      </c>
      <c r="O48" s="25" t="s">
        <v>127</v>
      </c>
    </row>
    <row r="49" spans="3:17">
      <c r="C49" s="116"/>
      <c r="D49" s="112" t="s">
        <v>411</v>
      </c>
      <c r="E49" s="113" t="s">
        <v>80</v>
      </c>
      <c r="F49" s="112">
        <v>0.5</v>
      </c>
      <c r="G49" s="112" t="s">
        <v>219</v>
      </c>
      <c r="H49" s="112">
        <v>0.8</v>
      </c>
      <c r="K49" s="117" t="s">
        <v>80</v>
      </c>
      <c r="L49" s="25">
        <f>SUMIF($G$48:$G$57,K49,$H$48:$H$57)+SUMIF($E$48:$E$57,K49,$F$48:$F$57)-F48</f>
        <v>2.5</v>
      </c>
      <c r="O49" s="25" t="s">
        <v>128</v>
      </c>
      <c r="Q49" s="30">
        <f>属性定价!$C$6</f>
        <v>0.01</v>
      </c>
    </row>
    <row r="50" spans="3:17">
      <c r="C50" s="118"/>
      <c r="D50" s="89" t="s">
        <v>412</v>
      </c>
      <c r="E50" s="114" t="s">
        <v>80</v>
      </c>
      <c r="F50" s="112">
        <v>0.5</v>
      </c>
      <c r="G50" s="112" t="s">
        <v>219</v>
      </c>
      <c r="H50" s="112">
        <v>0.8</v>
      </c>
      <c r="K50" s="117" t="s">
        <v>80</v>
      </c>
      <c r="L50" s="25">
        <f>SUMIF($G$48:$G$57,K50,$H$48:$H$57)+SUMIF($E$48:$E$57,K50,$F$48:$F$57)-F48</f>
        <v>2.5</v>
      </c>
      <c r="O50" s="25" t="s">
        <v>129</v>
      </c>
      <c r="Q50" s="30">
        <f>属性定价!$C$7</f>
        <v>0.01</v>
      </c>
    </row>
    <row r="51" spans="3:17">
      <c r="C51" s="112" t="s">
        <v>413</v>
      </c>
      <c r="D51" s="119" t="s">
        <v>414</v>
      </c>
      <c r="E51" s="89" t="s">
        <v>79</v>
      </c>
      <c r="F51" s="112">
        <v>0.5</v>
      </c>
      <c r="G51" s="89" t="s">
        <v>415</v>
      </c>
      <c r="H51" s="112">
        <v>1</v>
      </c>
      <c r="K51" s="117" t="s">
        <v>81</v>
      </c>
      <c r="L51" s="25">
        <f>SUMIF($G$48:$G$57,K51,$H$48:$H$57)+SUMIF($E$48:$E$57,K51,$F$48:$F$57)</f>
        <v>1</v>
      </c>
      <c r="O51" s="25" t="s">
        <v>130</v>
      </c>
      <c r="Q51" s="30">
        <f>属性定价!$C$8</f>
        <v>0.01</v>
      </c>
    </row>
    <row r="52" spans="3:17">
      <c r="C52" s="112" t="s">
        <v>416</v>
      </c>
      <c r="D52" s="116"/>
      <c r="E52" s="89" t="s">
        <v>81</v>
      </c>
      <c r="F52" s="112">
        <v>0.5</v>
      </c>
      <c r="G52" s="89" t="s">
        <v>417</v>
      </c>
      <c r="H52" s="112">
        <v>1</v>
      </c>
      <c r="J52" s="99" t="s">
        <v>418</v>
      </c>
      <c r="K52" s="117" t="s">
        <v>219</v>
      </c>
      <c r="L52" s="25">
        <f>SUMIF($G$48:$G$57,K52,$H$48:$H$57)+SUMIF($E$48:$E$57,K52,$F$48:$F$57)-H49</f>
        <v>1.6</v>
      </c>
      <c r="O52" s="25" t="s">
        <v>131</v>
      </c>
      <c r="Q52" s="30">
        <f>属性定价!$C$9</f>
        <v>0</v>
      </c>
    </row>
    <row r="53" spans="3:17">
      <c r="C53" s="112" t="s">
        <v>419</v>
      </c>
      <c r="D53" s="116"/>
      <c r="E53" s="89" t="s">
        <v>81</v>
      </c>
      <c r="F53" s="112">
        <v>0.5</v>
      </c>
      <c r="G53" s="89" t="s">
        <v>415</v>
      </c>
      <c r="H53" s="112">
        <v>1</v>
      </c>
      <c r="K53" s="117" t="s">
        <v>134</v>
      </c>
      <c r="L53" s="25">
        <f t="shared" ref="L53:L59" si="0">SUMIF($G$48:$G$57,K53,$H$48:$H$57)+SUMIF($E$48:$E$57,K53,$F$48:$F$57)</f>
        <v>1</v>
      </c>
      <c r="O53" s="25" t="s">
        <v>132</v>
      </c>
      <c r="Q53" s="30">
        <f>属性定价!$C$10</f>
        <v>0.0033</v>
      </c>
    </row>
    <row r="54" spans="3:17">
      <c r="C54" s="112" t="s">
        <v>420</v>
      </c>
      <c r="D54" s="116"/>
      <c r="E54" s="89" t="s">
        <v>79</v>
      </c>
      <c r="F54" s="112">
        <v>0.5</v>
      </c>
      <c r="G54" s="89" t="s">
        <v>421</v>
      </c>
      <c r="H54" s="112">
        <v>1</v>
      </c>
      <c r="K54" s="117" t="s">
        <v>415</v>
      </c>
      <c r="L54" s="25">
        <f t="shared" si="0"/>
        <v>2</v>
      </c>
      <c r="O54" s="25" t="s">
        <v>133</v>
      </c>
      <c r="Q54" s="30">
        <f>属性定价!$C$11</f>
        <v>0.0018</v>
      </c>
    </row>
    <row r="55" spans="3:17">
      <c r="C55" s="112" t="s">
        <v>422</v>
      </c>
      <c r="D55" s="116"/>
      <c r="E55" s="113" t="s">
        <v>80</v>
      </c>
      <c r="F55" s="112">
        <v>0.5</v>
      </c>
      <c r="G55" s="89" t="s">
        <v>140</v>
      </c>
      <c r="H55" s="112">
        <v>0.7</v>
      </c>
      <c r="K55" s="117" t="s">
        <v>415</v>
      </c>
      <c r="L55" s="25">
        <f t="shared" si="0"/>
        <v>2</v>
      </c>
      <c r="O55" s="25" t="s">
        <v>134</v>
      </c>
      <c r="Q55" s="30">
        <f>属性定价!$C$12</f>
        <v>0.0054</v>
      </c>
    </row>
    <row r="56" spans="3:17">
      <c r="C56" s="112" t="s">
        <v>423</v>
      </c>
      <c r="D56" s="116"/>
      <c r="E56" s="114" t="s">
        <v>80</v>
      </c>
      <c r="F56" s="112">
        <v>0.5</v>
      </c>
      <c r="G56" s="89" t="s">
        <v>424</v>
      </c>
      <c r="H56" s="112">
        <v>0.7</v>
      </c>
      <c r="K56" s="117" t="s">
        <v>417</v>
      </c>
      <c r="L56" s="25">
        <f t="shared" si="0"/>
        <v>1</v>
      </c>
      <c r="O56" s="25" t="s">
        <v>135</v>
      </c>
      <c r="Q56" s="30">
        <f>属性定价!$C$13</f>
        <v>0.0033</v>
      </c>
    </row>
    <row r="57" spans="3:17">
      <c r="C57" s="89" t="s">
        <v>425</v>
      </c>
      <c r="D57" s="118"/>
      <c r="E57" s="89" t="s">
        <v>219</v>
      </c>
      <c r="F57" s="112">
        <v>0.8</v>
      </c>
      <c r="G57" s="89" t="s">
        <v>134</v>
      </c>
      <c r="H57" s="112">
        <v>1</v>
      </c>
      <c r="K57" s="117" t="s">
        <v>421</v>
      </c>
      <c r="L57" s="25">
        <f t="shared" si="0"/>
        <v>1</v>
      </c>
      <c r="O57" s="38" t="s">
        <v>136</v>
      </c>
      <c r="Q57" s="30">
        <f>属性定价!$C$14</f>
        <v>0.009</v>
      </c>
    </row>
    <row r="58" spans="3:17">
      <c r="K58" s="117" t="s">
        <v>424</v>
      </c>
      <c r="L58" s="25">
        <f t="shared" si="0"/>
        <v>0.7</v>
      </c>
      <c r="O58" s="38" t="s">
        <v>137</v>
      </c>
      <c r="Q58" s="30">
        <f>属性定价!$C$15</f>
        <v>0.012</v>
      </c>
    </row>
    <row r="59" spans="3:17">
      <c r="K59" s="117" t="s">
        <v>140</v>
      </c>
      <c r="L59" s="25">
        <f t="shared" si="0"/>
        <v>0.7</v>
      </c>
      <c r="O59" s="38" t="s">
        <v>138</v>
      </c>
      <c r="Q59" s="30">
        <f>属性定价!$C$16</f>
        <v>0.012</v>
      </c>
    </row>
    <row r="60" spans="3:17">
      <c r="L60" s="25">
        <f>SUM(L54:L57)</f>
        <v>6</v>
      </c>
      <c r="M60" s="25">
        <f>SUM(L52:L59)-L60</f>
        <v>4</v>
      </c>
      <c r="O60" s="39" t="s">
        <v>139</v>
      </c>
      <c r="Q60" s="30">
        <f>属性定价!$C$17</f>
        <v>0.005</v>
      </c>
    </row>
    <row r="61" spans="3:17">
      <c r="K61" s="25" t="s">
        <v>426</v>
      </c>
      <c r="L61" s="31">
        <f>G30/L60</f>
        <v>0.4</v>
      </c>
      <c r="M61" s="31">
        <f>K30/M60</f>
        <v>0.4</v>
      </c>
      <c r="O61" s="39" t="s">
        <v>140</v>
      </c>
      <c r="Q61" s="30">
        <f>属性定价!$C$18</f>
        <v>0.0025</v>
      </c>
    </row>
    <row r="62" spans="3:17">
      <c r="O62" s="38" t="s">
        <v>141</v>
      </c>
      <c r="Q62" s="30">
        <f>属性定价!$C$19</f>
        <v>0.0042</v>
      </c>
    </row>
    <row r="63" spans="3:17">
      <c r="C63" s="25" t="s">
        <v>427</v>
      </c>
      <c r="O63" s="38" t="s">
        <v>142</v>
      </c>
      <c r="Q63" s="30">
        <f>属性定价!$C$20</f>
        <v>0.0042</v>
      </c>
    </row>
    <row r="64" spans="3:17">
      <c r="C64" s="25" t="s">
        <v>428</v>
      </c>
      <c r="N64" s="25">
        <v>5000</v>
      </c>
      <c r="O64" s="25" t="s">
        <v>143</v>
      </c>
      <c r="Q64" s="41">
        <f>属性定价!$C$21</f>
        <v>90</v>
      </c>
    </row>
    <row r="65" spans="3:17">
      <c r="N65" s="25">
        <v>2500</v>
      </c>
      <c r="O65" s="25" t="s">
        <v>144</v>
      </c>
      <c r="Q65" s="41">
        <f>属性定价!$C$22</f>
        <v>110</v>
      </c>
    </row>
    <row r="66" spans="3:17">
      <c r="C66" s="25" t="s">
        <v>279</v>
      </c>
      <c r="N66" s="25">
        <v>2850</v>
      </c>
      <c r="O66" s="25" t="s">
        <v>145</v>
      </c>
      <c r="Q66" s="41">
        <f>属性定价!$C$23</f>
        <v>90</v>
      </c>
    </row>
    <row r="67" spans="3:17">
      <c r="N67" s="25">
        <v>5000</v>
      </c>
      <c r="O67" s="25" t="s">
        <v>146</v>
      </c>
      <c r="Q67" s="41">
        <f>属性定价!$C$24</f>
        <v>130</v>
      </c>
    </row>
    <row r="68" spans="3:17">
      <c r="C68" s="25" t="s">
        <v>409</v>
      </c>
      <c r="G68" s="120" t="s">
        <v>429</v>
      </c>
      <c r="O68" s="25" t="s">
        <v>128</v>
      </c>
      <c r="Q68" s="30">
        <f>属性定价!$C$25</f>
        <v>0.01</v>
      </c>
    </row>
    <row r="69" spans="3:17">
      <c r="C69" s="69" t="s">
        <v>80</v>
      </c>
      <c r="D69" s="121" t="s">
        <v>80</v>
      </c>
      <c r="E69" s="25" t="s">
        <v>143</v>
      </c>
      <c r="G69" s="69" t="s">
        <v>80</v>
      </c>
      <c r="H69" s="121" t="s">
        <v>80</v>
      </c>
      <c r="I69" s="25" t="s">
        <v>143</v>
      </c>
      <c r="O69" s="25" t="s">
        <v>128</v>
      </c>
      <c r="Q69" s="30">
        <f>属性定价!$C$26</f>
        <v>0.01</v>
      </c>
    </row>
    <row r="70" spans="3:17">
      <c r="C70" s="25">
        <f>ROUND(F48*G44,-2)</f>
        <v>5600</v>
      </c>
      <c r="D70" s="25">
        <f>ROUND(F49*G44,-2)</f>
        <v>5600</v>
      </c>
      <c r="E70" s="122">
        <f>ROUND(H49*M61*Q64*100,-2)</f>
        <v>2900</v>
      </c>
      <c r="G70" s="25">
        <f>MROUND(C70,0.5%)</f>
        <v>5600</v>
      </c>
      <c r="H70" s="25">
        <f>MROUND(D70,0.5%)</f>
        <v>5600</v>
      </c>
      <c r="I70" s="122">
        <f>MROUND(E70,0.5%)</f>
        <v>2900</v>
      </c>
      <c r="L70" s="25">
        <f>I70+C98</f>
        <v>5800</v>
      </c>
      <c r="M70" s="123">
        <f>L70/N64</f>
        <v>1.16</v>
      </c>
      <c r="O70" s="25" t="s">
        <v>147</v>
      </c>
      <c r="Q70" s="30">
        <f>属性定价!$C$27</f>
        <v>0.00333333333333333</v>
      </c>
    </row>
    <row r="71" spans="3:17">
      <c r="L71" s="25">
        <f>D98</f>
        <v>4400</v>
      </c>
      <c r="M71" s="123">
        <f>L71/N65</f>
        <v>1.76</v>
      </c>
      <c r="O71" s="25" t="s">
        <v>148</v>
      </c>
      <c r="Q71" s="41">
        <f>属性定价!$C$28</f>
        <v>100</v>
      </c>
    </row>
    <row r="72" spans="3:17">
      <c r="C72" s="124" t="s">
        <v>413</v>
      </c>
      <c r="L72" s="25">
        <f>H94</f>
        <v>2520</v>
      </c>
      <c r="M72" s="123">
        <f>L72/N66</f>
        <v>0.884210526315789</v>
      </c>
    </row>
    <row r="73" spans="3:17">
      <c r="C73" s="125" t="s">
        <v>79</v>
      </c>
      <c r="D73" s="125" t="s">
        <v>415</v>
      </c>
      <c r="G73" s="125" t="s">
        <v>79</v>
      </c>
      <c r="H73" s="125" t="s">
        <v>415</v>
      </c>
      <c r="L73" s="25">
        <f>H90</f>
        <v>3640</v>
      </c>
      <c r="M73" s="123">
        <f>L73/N67</f>
        <v>0.728</v>
      </c>
    </row>
    <row r="74" spans="3:17">
      <c r="C74" s="25">
        <f>F51*F44</f>
        <v>18750</v>
      </c>
      <c r="D74" s="126">
        <f>Q49*100*L61*H51</f>
        <v>0.4</v>
      </c>
      <c r="G74" s="25">
        <f>MROUND(C74,0.5%)</f>
        <v>18750</v>
      </c>
      <c r="H74" s="126">
        <f>MROUND(D74,0.5%)</f>
        <v>0.4</v>
      </c>
    </row>
    <row r="76" spans="3:17">
      <c r="C76" s="124" t="s">
        <v>416</v>
      </c>
      <c r="G76" s="124" t="s">
        <v>416</v>
      </c>
    </row>
    <row r="77" spans="3:17">
      <c r="C77" s="125" t="s">
        <v>81</v>
      </c>
      <c r="D77" s="125" t="s">
        <v>417</v>
      </c>
      <c r="G77" s="125" t="s">
        <v>81</v>
      </c>
      <c r="H77" s="125" t="s">
        <v>417</v>
      </c>
    </row>
    <row r="78" spans="3:17">
      <c r="C78" s="25">
        <f>F52*H44</f>
        <v>3750</v>
      </c>
      <c r="D78" s="126">
        <f>H52*L61*Q50*100</f>
        <v>0.4</v>
      </c>
      <c r="G78" s="25">
        <f>MROUND(C78,0.5%)</f>
        <v>3750</v>
      </c>
      <c r="H78" s="126">
        <f>MROUND(D78,0.5%)</f>
        <v>0.4</v>
      </c>
    </row>
    <row r="80" spans="3:17">
      <c r="C80" s="124" t="s">
        <v>419</v>
      </c>
      <c r="G80" s="124" t="s">
        <v>419</v>
      </c>
    </row>
    <row r="81" spans="3:8">
      <c r="C81" s="125" t="s">
        <v>81</v>
      </c>
      <c r="D81" s="125" t="s">
        <v>415</v>
      </c>
      <c r="G81" s="125" t="s">
        <v>81</v>
      </c>
      <c r="H81" s="125" t="s">
        <v>415</v>
      </c>
    </row>
    <row r="82" spans="3:8">
      <c r="C82" s="25">
        <f>$H$44*F53</f>
        <v>3750</v>
      </c>
      <c r="D82" s="126">
        <f>Q49*100*H53*L61</f>
        <v>0.4</v>
      </c>
      <c r="G82" s="25">
        <f>MROUND(C82,0.5%)</f>
        <v>3750</v>
      </c>
      <c r="H82" s="126">
        <f>MROUND(D82,0.5%)</f>
        <v>0.4</v>
      </c>
    </row>
    <row r="84" spans="3:8">
      <c r="C84" s="124" t="s">
        <v>420</v>
      </c>
      <c r="G84" s="124" t="s">
        <v>420</v>
      </c>
    </row>
    <row r="85" spans="3:8">
      <c r="C85" s="125" t="s">
        <v>79</v>
      </c>
      <c r="D85" s="125" t="s">
        <v>421</v>
      </c>
      <c r="G85" s="125" t="s">
        <v>79</v>
      </c>
      <c r="H85" s="125" t="s">
        <v>421</v>
      </c>
    </row>
    <row r="86" spans="3:8">
      <c r="C86" s="25">
        <f>F44*$F$54</f>
        <v>18750</v>
      </c>
      <c r="D86" s="126">
        <f>L61*H54*Q51*100</f>
        <v>0.4</v>
      </c>
      <c r="G86" s="25">
        <f>MROUND(C86,0.5%)</f>
        <v>18750</v>
      </c>
      <c r="H86" s="126">
        <f>MROUND(D86,0.5%)</f>
        <v>0.4</v>
      </c>
    </row>
    <row r="88" spans="3:8">
      <c r="C88" s="124" t="s">
        <v>422</v>
      </c>
      <c r="G88" s="124" t="s">
        <v>422</v>
      </c>
    </row>
    <row r="89" spans="3:8">
      <c r="C89" s="69" t="s">
        <v>80</v>
      </c>
      <c r="D89" s="125" t="s">
        <v>430</v>
      </c>
      <c r="G89" s="69" t="s">
        <v>80</v>
      </c>
      <c r="H89" s="125" t="s">
        <v>430</v>
      </c>
    </row>
    <row r="90" spans="3:8">
      <c r="C90" s="25">
        <f>ROUND(F55*G44,-2)</f>
        <v>5600</v>
      </c>
      <c r="D90" s="122">
        <f>ROUND(H55*M61*Q67*100,-1)</f>
        <v>3640</v>
      </c>
      <c r="G90" s="25">
        <f>MROUND(C90,0.5%)</f>
        <v>5600</v>
      </c>
      <c r="H90" s="122">
        <f>MROUND(D90,0.5%)</f>
        <v>3640</v>
      </c>
    </row>
    <row r="92" spans="3:8">
      <c r="C92" s="124" t="s">
        <v>423</v>
      </c>
      <c r="G92" s="124" t="s">
        <v>423</v>
      </c>
    </row>
    <row r="93" spans="3:8">
      <c r="C93" s="121" t="s">
        <v>80</v>
      </c>
      <c r="D93" s="25" t="s">
        <v>145</v>
      </c>
      <c r="G93" s="121" t="s">
        <v>80</v>
      </c>
      <c r="H93" s="25" t="s">
        <v>145</v>
      </c>
    </row>
    <row r="94" spans="3:8">
      <c r="C94" s="25">
        <f>ROUND(F56*G44,-2)</f>
        <v>5600</v>
      </c>
      <c r="D94" s="122">
        <f>ROUND(Q66*M61*100*H56,-1)</f>
        <v>2520</v>
      </c>
      <c r="G94" s="25">
        <f>MROUND(C94,0.5%)</f>
        <v>5600</v>
      </c>
      <c r="H94" s="122">
        <f>MROUND(D94,0.5%)</f>
        <v>2520</v>
      </c>
    </row>
    <row r="96" spans="3:8">
      <c r="C96" s="125" t="s">
        <v>425</v>
      </c>
      <c r="G96" s="125" t="s">
        <v>425</v>
      </c>
    </row>
    <row r="97" spans="3:11">
      <c r="C97" s="25" t="s">
        <v>143</v>
      </c>
      <c r="D97" s="25" t="s">
        <v>144</v>
      </c>
      <c r="G97" s="25" t="s">
        <v>143</v>
      </c>
      <c r="H97" s="25" t="s">
        <v>144</v>
      </c>
    </row>
    <row r="98" spans="3:11">
      <c r="C98" s="25">
        <f>ROUND(F57*100*Q64*M61,-2)</f>
        <v>2900</v>
      </c>
      <c r="D98" s="25">
        <f>ROUND(H57*Q65*100*M61,-1)</f>
        <v>4400</v>
      </c>
      <c r="G98" s="25">
        <f>MROUND(C98,0.5%)</f>
        <v>2900</v>
      </c>
      <c r="H98" s="25">
        <f>MROUND(D98,0.5%)</f>
        <v>4400</v>
      </c>
    </row>
    <row r="101" spans="3:11">
      <c r="C101" s="25" t="s">
        <v>431</v>
      </c>
    </row>
    <row r="103" spans="3:11">
      <c r="C103" s="25" t="s">
        <v>432</v>
      </c>
      <c r="E103" s="110">
        <v>0.1</v>
      </c>
      <c r="G103" s="25" t="s">
        <v>433</v>
      </c>
      <c r="H103" s="127">
        <f>(1-E103)/(E108)</f>
        <v>0.015</v>
      </c>
    </row>
    <row r="105" spans="3:11">
      <c r="C105" s="25" t="s">
        <v>151</v>
      </c>
      <c r="D105" s="61" t="s">
        <v>256</v>
      </c>
      <c r="E105" s="59">
        <v>30</v>
      </c>
    </row>
    <row r="106" spans="3:11">
      <c r="D106" s="60" t="s">
        <v>257</v>
      </c>
      <c r="E106" s="59">
        <v>40</v>
      </c>
    </row>
    <row r="107" spans="3:11">
      <c r="D107" s="58" t="s">
        <v>258</v>
      </c>
      <c r="E107" s="59">
        <v>50</v>
      </c>
    </row>
    <row r="108" spans="3:11">
      <c r="D108" s="128" t="s">
        <v>259</v>
      </c>
      <c r="E108" s="59">
        <v>60</v>
      </c>
    </row>
    <row r="112" spans="3:11">
      <c r="C112" s="106" t="s">
        <v>431</v>
      </c>
      <c r="G112" s="106" t="s">
        <v>433</v>
      </c>
      <c r="K112" s="106" t="s">
        <v>287</v>
      </c>
    </row>
    <row r="115" spans="3:13">
      <c r="C115" s="25" t="s">
        <v>409</v>
      </c>
      <c r="G115" s="25" t="s">
        <v>409</v>
      </c>
      <c r="K115" s="25" t="s">
        <v>409</v>
      </c>
    </row>
    <row r="116" spans="3:13">
      <c r="C116" s="69" t="s">
        <v>80</v>
      </c>
      <c r="D116" s="121" t="s">
        <v>80</v>
      </c>
      <c r="E116" s="121" t="s">
        <v>143</v>
      </c>
      <c r="G116" s="69" t="s">
        <v>80</v>
      </c>
      <c r="H116" s="121" t="s">
        <v>80</v>
      </c>
      <c r="I116" s="121" t="s">
        <v>143</v>
      </c>
      <c r="K116" s="69" t="s">
        <v>80</v>
      </c>
      <c r="L116" s="121" t="s">
        <v>80</v>
      </c>
      <c r="M116" s="121" t="s">
        <v>143</v>
      </c>
    </row>
    <row r="117" spans="3:13">
      <c r="C117" s="25">
        <f>$E$103*G70</f>
        <v>560</v>
      </c>
      <c r="D117" s="25">
        <f>$E$103*H70</f>
        <v>560</v>
      </c>
      <c r="E117" s="25">
        <f>ROUND($E$103*I70,0)</f>
        <v>290</v>
      </c>
      <c r="G117" s="25">
        <f>ROUND($H$103*G70,0)</f>
        <v>84</v>
      </c>
      <c r="H117" s="25">
        <f>ROUND($H$103*H70,0)</f>
        <v>84</v>
      </c>
      <c r="I117" s="25">
        <f>ROUND($H$103*I70,0)</f>
        <v>44</v>
      </c>
      <c r="K117" s="25">
        <f>C117+G117</f>
        <v>644</v>
      </c>
      <c r="L117" s="25">
        <f>D117+H117</f>
        <v>644</v>
      </c>
      <c r="M117" s="25">
        <f>E117+I117</f>
        <v>334</v>
      </c>
    </row>
    <row r="118" spans="3:13">
      <c r="C118" s="25" t="s">
        <v>413</v>
      </c>
      <c r="G118" s="25" t="s">
        <v>413</v>
      </c>
      <c r="K118" s="25" t="s">
        <v>413</v>
      </c>
    </row>
    <row r="119" spans="3:13">
      <c r="C119" s="125" t="s">
        <v>79</v>
      </c>
      <c r="D119" s="125" t="s">
        <v>415</v>
      </c>
      <c r="G119" s="125" t="s">
        <v>79</v>
      </c>
      <c r="H119" s="125" t="s">
        <v>415</v>
      </c>
      <c r="K119" s="125" t="s">
        <v>79</v>
      </c>
      <c r="L119" s="125" t="s">
        <v>415</v>
      </c>
    </row>
    <row r="120" spans="3:13">
      <c r="C120" s="25">
        <f>$E$103*G74</f>
        <v>1875</v>
      </c>
      <c r="D120" s="129">
        <f>$E$103*H74</f>
        <v>0.04</v>
      </c>
      <c r="G120" s="25">
        <f>ROUND($H$103*G74,2)</f>
        <v>281.25</v>
      </c>
      <c r="H120" s="130">
        <f>ROUND($H$103*H74,5)</f>
        <v>0.006</v>
      </c>
      <c r="K120" s="25">
        <f>C120+G120</f>
        <v>2156.25</v>
      </c>
      <c r="L120" s="130">
        <f>D120+H120</f>
        <v>0.046</v>
      </c>
    </row>
    <row r="122" spans="3:13">
      <c r="C122" s="124" t="s">
        <v>416</v>
      </c>
      <c r="G122" s="124" t="s">
        <v>416</v>
      </c>
      <c r="K122" s="124" t="s">
        <v>416</v>
      </c>
    </row>
    <row r="123" spans="3:13">
      <c r="C123" s="125" t="s">
        <v>81</v>
      </c>
      <c r="D123" s="125" t="s">
        <v>417</v>
      </c>
      <c r="G123" s="125" t="s">
        <v>81</v>
      </c>
      <c r="H123" s="125" t="s">
        <v>417</v>
      </c>
      <c r="K123" s="125" t="s">
        <v>81</v>
      </c>
      <c r="L123" s="125" t="s">
        <v>417</v>
      </c>
    </row>
    <row r="124" spans="3:13">
      <c r="C124" s="25">
        <f>$E$103*G78</f>
        <v>375</v>
      </c>
      <c r="D124" s="129">
        <f>$E$103*H78</f>
        <v>0.04</v>
      </c>
      <c r="G124" s="25">
        <f>ROUND($H$103*G78,2)</f>
        <v>56.25</v>
      </c>
      <c r="H124" s="130">
        <f>ROUND($H$103*H78,5)</f>
        <v>0.006</v>
      </c>
      <c r="K124" s="25">
        <f>C124+G124</f>
        <v>431.25</v>
      </c>
      <c r="L124" s="130">
        <f>D124+H124</f>
        <v>0.046</v>
      </c>
    </row>
    <row r="126" spans="3:13">
      <c r="C126" s="124" t="s">
        <v>419</v>
      </c>
      <c r="G126" s="124" t="s">
        <v>419</v>
      </c>
      <c r="K126" s="124" t="s">
        <v>419</v>
      </c>
    </row>
    <row r="127" spans="3:13">
      <c r="C127" s="125" t="s">
        <v>81</v>
      </c>
      <c r="D127" s="125" t="s">
        <v>415</v>
      </c>
      <c r="G127" s="125" t="s">
        <v>81</v>
      </c>
      <c r="H127" s="125" t="s">
        <v>415</v>
      </c>
      <c r="K127" s="125" t="s">
        <v>81</v>
      </c>
      <c r="L127" s="125" t="s">
        <v>415</v>
      </c>
    </row>
    <row r="128" spans="3:13">
      <c r="C128" s="25">
        <f>$E$103*G82</f>
        <v>375</v>
      </c>
      <c r="D128" s="129">
        <f>$E$103*H82</f>
        <v>0.04</v>
      </c>
      <c r="G128" s="25">
        <f>ROUND($H$103*G82,2)</f>
        <v>56.25</v>
      </c>
      <c r="H128" s="130">
        <f>ROUND($H$103*H82,5)</f>
        <v>0.006</v>
      </c>
      <c r="K128" s="25">
        <f>C128+G128</f>
        <v>431.25</v>
      </c>
      <c r="L128" s="130">
        <f>D128+H128</f>
        <v>0.046</v>
      </c>
    </row>
    <row r="130" spans="3:12">
      <c r="C130" s="124" t="s">
        <v>420</v>
      </c>
      <c r="G130" s="124" t="s">
        <v>420</v>
      </c>
      <c r="K130" s="124" t="s">
        <v>420</v>
      </c>
    </row>
    <row r="131" spans="3:12">
      <c r="C131" s="125" t="s">
        <v>79</v>
      </c>
      <c r="D131" s="125" t="s">
        <v>421</v>
      </c>
      <c r="G131" s="125" t="s">
        <v>79</v>
      </c>
      <c r="H131" s="125" t="s">
        <v>421</v>
      </c>
      <c r="K131" s="125" t="s">
        <v>79</v>
      </c>
      <c r="L131" s="125" t="s">
        <v>421</v>
      </c>
    </row>
    <row r="132" spans="3:12">
      <c r="C132" s="25">
        <f>$E$103*G86</f>
        <v>1875</v>
      </c>
      <c r="D132" s="129">
        <f>$E$103*H86</f>
        <v>0.04</v>
      </c>
      <c r="G132" s="25">
        <f>ROUND($H$103*G86,2)</f>
        <v>281.25</v>
      </c>
      <c r="H132" s="130">
        <f>ROUND($H$103*H86,5)</f>
        <v>0.006</v>
      </c>
      <c r="K132" s="25">
        <f>C132+G132</f>
        <v>2156.25</v>
      </c>
      <c r="L132" s="130">
        <f>D132+H132</f>
        <v>0.046</v>
      </c>
    </row>
    <row r="134" spans="3:12">
      <c r="C134" s="124" t="s">
        <v>422</v>
      </c>
      <c r="G134" s="124" t="s">
        <v>422</v>
      </c>
      <c r="K134" s="124" t="s">
        <v>422</v>
      </c>
    </row>
    <row r="135" spans="3:12">
      <c r="C135" s="69" t="s">
        <v>80</v>
      </c>
      <c r="D135" s="125" t="s">
        <v>430</v>
      </c>
      <c r="G135" s="69" t="s">
        <v>80</v>
      </c>
      <c r="H135" s="125" t="s">
        <v>430</v>
      </c>
      <c r="K135" s="69" t="s">
        <v>80</v>
      </c>
      <c r="L135" s="125" t="s">
        <v>430</v>
      </c>
    </row>
    <row r="136" spans="3:12">
      <c r="C136" s="25">
        <f>$E$103*G90</f>
        <v>560</v>
      </c>
      <c r="D136" s="131">
        <f>ROUND($E$103*H90,0)</f>
        <v>364</v>
      </c>
      <c r="G136" s="25">
        <f>ROUND($H$103*G90,0)</f>
        <v>84</v>
      </c>
      <c r="H136" s="131">
        <f>ROUND($H$103*H90,0)</f>
        <v>55</v>
      </c>
      <c r="K136" s="25">
        <f>C136+G136</f>
        <v>644</v>
      </c>
      <c r="L136" s="122">
        <f>D136+H136</f>
        <v>419</v>
      </c>
    </row>
    <row r="138" spans="3:12">
      <c r="C138" s="124" t="s">
        <v>423</v>
      </c>
      <c r="G138" s="124" t="s">
        <v>423</v>
      </c>
      <c r="K138" s="124" t="s">
        <v>423</v>
      </c>
    </row>
    <row r="139" spans="3:12">
      <c r="C139" s="121" t="s">
        <v>80</v>
      </c>
      <c r="D139" s="25" t="s">
        <v>145</v>
      </c>
      <c r="G139" s="121" t="s">
        <v>80</v>
      </c>
      <c r="H139" s="25" t="s">
        <v>145</v>
      </c>
      <c r="K139" s="121" t="s">
        <v>80</v>
      </c>
      <c r="L139" s="25" t="s">
        <v>145</v>
      </c>
    </row>
    <row r="140" spans="3:12">
      <c r="C140" s="25">
        <f>$E$103*G94</f>
        <v>560</v>
      </c>
      <c r="D140" s="131">
        <f>ROUND($E$103*H94,0)</f>
        <v>252</v>
      </c>
      <c r="G140" s="25">
        <f>ROUND($H$103*G94,0)</f>
        <v>84</v>
      </c>
      <c r="H140" s="131">
        <f>ROUND($H$103*H94,0)</f>
        <v>38</v>
      </c>
      <c r="K140" s="25">
        <f>C140+G140</f>
        <v>644</v>
      </c>
      <c r="L140" s="122">
        <f>D140+H140</f>
        <v>290</v>
      </c>
    </row>
    <row r="142" spans="3:12">
      <c r="C142" s="125" t="s">
        <v>425</v>
      </c>
      <c r="G142" s="125" t="s">
        <v>425</v>
      </c>
      <c r="K142" s="125" t="s">
        <v>425</v>
      </c>
    </row>
    <row r="143" spans="3:12">
      <c r="C143" s="25" t="s">
        <v>143</v>
      </c>
      <c r="D143" s="25" t="s">
        <v>144</v>
      </c>
      <c r="G143" s="25" t="s">
        <v>143</v>
      </c>
      <c r="H143" s="25" t="s">
        <v>144</v>
      </c>
      <c r="K143" s="25" t="s">
        <v>143</v>
      </c>
      <c r="L143" s="25" t="s">
        <v>144</v>
      </c>
    </row>
    <row r="144" spans="3:12">
      <c r="C144" s="122">
        <f>ROUND($E$103*G98,0)</f>
        <v>290</v>
      </c>
      <c r="D144" s="122">
        <f>$E$103*H98</f>
        <v>440</v>
      </c>
      <c r="G144" s="131">
        <f>ROUND($H$103*G98,0)</f>
        <v>44</v>
      </c>
      <c r="H144" s="131">
        <f>ROUND($H$103*H98,0)</f>
        <v>66</v>
      </c>
      <c r="K144" s="122">
        <f>C144+G144</f>
        <v>334</v>
      </c>
      <c r="L144" s="122">
        <f>D144+H144</f>
        <v>506</v>
      </c>
    </row>
    <row r="147" spans="2:10">
      <c r="C147" s="106" t="s">
        <v>434</v>
      </c>
    </row>
    <row r="150" spans="2:10">
      <c r="C150" s="61" t="s">
        <v>256</v>
      </c>
      <c r="D150" s="25">
        <v>0.3</v>
      </c>
    </row>
    <row r="151" spans="2:10">
      <c r="C151" s="60" t="s">
        <v>257</v>
      </c>
      <c r="D151" s="25">
        <v>0.5</v>
      </c>
    </row>
    <row r="152" spans="2:10">
      <c r="C152" s="58" t="s">
        <v>258</v>
      </c>
      <c r="D152" s="25">
        <v>0.75</v>
      </c>
    </row>
    <row r="153" spans="2:10">
      <c r="C153" s="128" t="s">
        <v>259</v>
      </c>
      <c r="D153" s="25">
        <v>1</v>
      </c>
    </row>
    <row r="156" s="62" customFormat="1" ht="18" customHeight="1" spans="2:10">
      <c r="B156" s="109" t="s">
        <v>435</v>
      </c>
    </row>
    <row r="158" spans="2:10">
      <c r="B158" s="25" t="s">
        <v>436</v>
      </c>
      <c r="D158" s="59">
        <v>4</v>
      </c>
      <c r="E158" s="25" t="s">
        <v>437</v>
      </c>
      <c r="F158" s="25" t="s">
        <v>438</v>
      </c>
      <c r="G158" s="59">
        <v>8</v>
      </c>
      <c r="I158" s="25" t="s">
        <v>435</v>
      </c>
      <c r="J158" s="110">
        <v>0.8</v>
      </c>
    </row>
    <row r="159" spans="2:10">
      <c r="I159" s="25" t="s">
        <v>402</v>
      </c>
      <c r="J159" s="110">
        <v>0.2</v>
      </c>
    </row>
    <row r="160" spans="2:10">
      <c r="B160" s="25" t="s">
        <v>439</v>
      </c>
      <c r="D160" s="132">
        <f>J158*O30</f>
        <v>5.6</v>
      </c>
    </row>
    <row r="162" ht="18" customHeight="1" spans="2:8">
      <c r="B162" s="25" t="s">
        <v>440</v>
      </c>
      <c r="D162" s="133" t="s">
        <v>441</v>
      </c>
      <c r="G162" s="133" t="s">
        <v>442</v>
      </c>
    </row>
    <row r="163" spans="2:8">
      <c r="B163" s="25">
        <v>1</v>
      </c>
    </row>
    <row r="164" spans="2:8">
      <c r="D164" s="61" t="s">
        <v>256</v>
      </c>
      <c r="E164" s="25">
        <v>2</v>
      </c>
      <c r="G164" s="61" t="s">
        <v>256</v>
      </c>
      <c r="H164" s="25">
        <v>0.3</v>
      </c>
    </row>
    <row r="165" spans="2:8">
      <c r="B165" s="25" t="s">
        <v>443</v>
      </c>
      <c r="D165" s="60" t="s">
        <v>257</v>
      </c>
      <c r="E165" s="25">
        <v>3</v>
      </c>
      <c r="G165" s="60" t="s">
        <v>257</v>
      </c>
      <c r="H165" s="25">
        <v>0.5</v>
      </c>
    </row>
    <row r="166" spans="2:8">
      <c r="B166" s="25">
        <f>B163*D158*G158</f>
        <v>32</v>
      </c>
      <c r="D166" s="58" t="s">
        <v>258</v>
      </c>
      <c r="E166" s="25">
        <v>4</v>
      </c>
      <c r="G166" s="58" t="s">
        <v>258</v>
      </c>
      <c r="H166" s="25">
        <v>0.75</v>
      </c>
    </row>
    <row r="167" spans="2:8">
      <c r="D167" s="128" t="s">
        <v>259</v>
      </c>
      <c r="E167" s="25">
        <v>5</v>
      </c>
      <c r="G167" s="128" t="s">
        <v>259</v>
      </c>
      <c r="H167" s="25">
        <v>1</v>
      </c>
    </row>
    <row r="168" spans="2:8">
      <c r="B168" s="25" t="s">
        <v>444</v>
      </c>
      <c r="E168" s="25" t="s">
        <v>445</v>
      </c>
    </row>
    <row r="169" spans="2:8">
      <c r="B169" s="129">
        <f>D160/B166</f>
        <v>0.175</v>
      </c>
    </row>
    <row r="171" spans="2:8">
      <c r="B171" s="25" t="s">
        <v>127</v>
      </c>
      <c r="H171" s="77" t="s">
        <v>389</v>
      </c>
    </row>
    <row r="172" spans="2:8">
      <c r="B172" s="25" t="s">
        <v>128</v>
      </c>
      <c r="D172" s="30">
        <f>属性定价!$C$6</f>
        <v>0.01</v>
      </c>
      <c r="H172" s="25" t="s">
        <v>128</v>
      </c>
    </row>
    <row r="173" spans="2:8">
      <c r="B173" s="25" t="s">
        <v>129</v>
      </c>
      <c r="D173" s="30">
        <f>属性定价!$C$7</f>
        <v>0.01</v>
      </c>
      <c r="H173" s="25" t="s">
        <v>128</v>
      </c>
    </row>
    <row r="174" spans="2:8">
      <c r="B174" s="25" t="s">
        <v>130</v>
      </c>
      <c r="D174" s="30">
        <f>属性定价!$C$8</f>
        <v>0.01</v>
      </c>
      <c r="H174" s="25" t="s">
        <v>129</v>
      </c>
    </row>
    <row r="175" spans="2:8">
      <c r="B175" s="25" t="s">
        <v>131</v>
      </c>
      <c r="D175" s="30">
        <f>属性定价!$C$9</f>
        <v>0</v>
      </c>
      <c r="H175" s="25" t="s">
        <v>130</v>
      </c>
    </row>
    <row r="176" spans="2:8">
      <c r="B176" s="25" t="s">
        <v>132</v>
      </c>
      <c r="D176" s="30">
        <f>属性定价!$C$10</f>
        <v>0.0033</v>
      </c>
      <c r="H176" s="25" t="s">
        <v>140</v>
      </c>
    </row>
    <row r="177" spans="2:8">
      <c r="B177" s="25" t="s">
        <v>133</v>
      </c>
      <c r="D177" s="30">
        <f>属性定价!$C$11</f>
        <v>0.0018</v>
      </c>
      <c r="H177" s="25" t="s">
        <v>132</v>
      </c>
    </row>
    <row r="178" spans="2:8">
      <c r="B178" s="25" t="s">
        <v>134</v>
      </c>
      <c r="D178" s="30">
        <f>属性定价!$C$12</f>
        <v>0.0054</v>
      </c>
      <c r="H178" s="25" t="s">
        <v>133</v>
      </c>
    </row>
    <row r="179" spans="2:8">
      <c r="B179" s="25" t="s">
        <v>135</v>
      </c>
      <c r="D179" s="30">
        <f>属性定价!$C$13</f>
        <v>0.0033</v>
      </c>
      <c r="H179" s="25" t="s">
        <v>134</v>
      </c>
    </row>
    <row r="180" spans="2:8">
      <c r="B180" s="38" t="s">
        <v>136</v>
      </c>
      <c r="D180" s="30">
        <f>属性定价!$C$14</f>
        <v>0.009</v>
      </c>
      <c r="H180" s="80" t="s">
        <v>141</v>
      </c>
    </row>
    <row r="181" spans="2:8">
      <c r="B181" s="38" t="s">
        <v>137</v>
      </c>
      <c r="D181" s="30">
        <f>属性定价!$C$15</f>
        <v>0.012</v>
      </c>
      <c r="H181" s="80" t="s">
        <v>142</v>
      </c>
    </row>
    <row r="182" spans="2:8">
      <c r="B182" s="38" t="s">
        <v>138</v>
      </c>
      <c r="D182" s="30">
        <f>属性定价!$C$16</f>
        <v>0.012</v>
      </c>
      <c r="H182" s="25" t="s">
        <v>249</v>
      </c>
    </row>
    <row r="183" spans="2:8">
      <c r="B183" s="39" t="s">
        <v>139</v>
      </c>
      <c r="D183" s="30">
        <f>属性定价!$C$17</f>
        <v>0.005</v>
      </c>
      <c r="H183" s="25" t="s">
        <v>249</v>
      </c>
    </row>
    <row r="184" spans="2:8">
      <c r="B184" s="39" t="s">
        <v>140</v>
      </c>
      <c r="D184" s="30">
        <f>属性定价!$C$18</f>
        <v>0.0025</v>
      </c>
      <c r="H184" s="25" t="s">
        <v>81</v>
      </c>
    </row>
    <row r="185" spans="2:8">
      <c r="B185" s="38" t="s">
        <v>141</v>
      </c>
      <c r="D185" s="30">
        <f>属性定价!$C$19</f>
        <v>0.0042</v>
      </c>
      <c r="H185" s="25" t="s">
        <v>79</v>
      </c>
    </row>
    <row r="186" spans="2:8">
      <c r="B186" s="38" t="s">
        <v>142</v>
      </c>
      <c r="D186" s="30">
        <f>属性定价!$C$20</f>
        <v>0.0042</v>
      </c>
    </row>
    <row r="187" spans="2:8">
      <c r="B187" s="25" t="s">
        <v>143</v>
      </c>
      <c r="D187" s="41">
        <f>属性定价!$C$21</f>
        <v>90</v>
      </c>
    </row>
    <row r="188" spans="2:8">
      <c r="B188" s="25" t="s">
        <v>144</v>
      </c>
      <c r="D188" s="41">
        <f>属性定价!$C$22</f>
        <v>110</v>
      </c>
    </row>
    <row r="189" spans="2:8">
      <c r="B189" s="25" t="s">
        <v>145</v>
      </c>
      <c r="D189" s="41">
        <f>属性定价!$C$23</f>
        <v>90</v>
      </c>
    </row>
    <row r="190" spans="2:8">
      <c r="B190" s="25" t="s">
        <v>146</v>
      </c>
      <c r="D190" s="41">
        <f>属性定价!$C$24</f>
        <v>130</v>
      </c>
    </row>
    <row r="191" spans="2:8">
      <c r="B191" s="25" t="s">
        <v>128</v>
      </c>
      <c r="D191" s="30">
        <f>属性定价!$C$25</f>
        <v>0.01</v>
      </c>
    </row>
    <row r="192" spans="2:8">
      <c r="B192" s="25" t="s">
        <v>128</v>
      </c>
      <c r="D192" s="30">
        <f>属性定价!$C$26</f>
        <v>0.01</v>
      </c>
    </row>
    <row r="193" spans="2:10">
      <c r="B193" s="25" t="s">
        <v>147</v>
      </c>
      <c r="D193" s="30">
        <f>属性定价!$C$27</f>
        <v>0.00333333333333333</v>
      </c>
    </row>
    <row r="194" spans="2:10">
      <c r="B194" s="25" t="s">
        <v>148</v>
      </c>
      <c r="D194" s="41">
        <f>属性定价!$C$28</f>
        <v>100</v>
      </c>
    </row>
    <row r="197" spans="2:10">
      <c r="B197" s="25" t="s">
        <v>446</v>
      </c>
      <c r="C197" s="25">
        <f>COUNT(G214:G231)</f>
        <v>14</v>
      </c>
    </row>
    <row r="198" spans="2:10">
      <c r="B198" s="25" t="s">
        <v>447</v>
      </c>
      <c r="C198" s="59">
        <v>4</v>
      </c>
    </row>
    <row r="199" spans="2:10">
      <c r="B199" s="25" t="s">
        <v>448</v>
      </c>
      <c r="C199" s="25">
        <f>FACT($C$197)/FACT(C197-C198)/FACT(C198)</f>
        <v>1001</v>
      </c>
    </row>
    <row r="201" spans="2:10">
      <c r="B201" s="25" t="s">
        <v>449</v>
      </c>
      <c r="C201" s="59">
        <v>8</v>
      </c>
    </row>
    <row r="203" spans="2:10">
      <c r="C203" s="25">
        <f t="array" ref="C203:J203">_xlfn.SEQUENCE(1,C201,1,1)</f>
        <v>1</v>
      </c>
      <c r="D203" s="25">
        <v>2</v>
      </c>
      <c r="E203" s="25">
        <v>3</v>
      </c>
      <c r="F203" s="25">
        <v>4</v>
      </c>
      <c r="G203" s="25">
        <v>5</v>
      </c>
      <c r="H203" s="25">
        <v>6</v>
      </c>
      <c r="I203" s="25">
        <v>7</v>
      </c>
      <c r="J203" s="25">
        <v>8</v>
      </c>
    </row>
    <row r="204" spans="2:10">
      <c r="C204" s="25">
        <f t="shared" ref="C204:J204" si="1">1/C$203</f>
        <v>1</v>
      </c>
      <c r="D204" s="25">
        <f t="shared" si="1"/>
        <v>0.5</v>
      </c>
      <c r="E204" s="25">
        <f t="shared" si="1"/>
        <v>0.333333333333333</v>
      </c>
      <c r="F204" s="25">
        <f t="shared" si="1"/>
        <v>0.25</v>
      </c>
      <c r="G204" s="25">
        <f t="shared" si="1"/>
        <v>0.2</v>
      </c>
      <c r="H204" s="25">
        <f t="shared" si="1"/>
        <v>0.166666666666667</v>
      </c>
      <c r="I204" s="25">
        <f t="shared" si="1"/>
        <v>0.142857142857143</v>
      </c>
      <c r="J204" s="25">
        <f t="shared" si="1"/>
        <v>0.125</v>
      </c>
    </row>
    <row r="206" spans="2:10">
      <c r="B206" s="25" t="s">
        <v>450</v>
      </c>
      <c r="C206" s="25">
        <f>C201*SUM(C204:J204)</f>
        <v>21.7428571428571</v>
      </c>
    </row>
    <row r="207" spans="2:10">
      <c r="J207" s="25" t="s">
        <v>409</v>
      </c>
    </row>
    <row r="208" spans="2:10">
      <c r="B208" s="25" t="s">
        <v>451</v>
      </c>
      <c r="C208" s="25">
        <f>C206*C199</f>
        <v>21764.6</v>
      </c>
      <c r="J208" s="25" t="s">
        <v>413</v>
      </c>
    </row>
    <row r="209" spans="1:19">
      <c r="J209" s="124" t="s">
        <v>416</v>
      </c>
    </row>
    <row r="210" spans="1:19">
      <c r="C210" s="25" t="s">
        <v>452</v>
      </c>
      <c r="J210" s="124" t="s">
        <v>419</v>
      </c>
    </row>
    <row r="211" spans="1:19">
      <c r="C211" s="57">
        <v>0.3</v>
      </c>
      <c r="J211" s="124" t="s">
        <v>420</v>
      </c>
    </row>
    <row r="212" ht="21" customHeight="1" spans="1:19">
      <c r="B212" s="134" t="s">
        <v>453</v>
      </c>
      <c r="C212" s="133"/>
      <c r="D212" s="133"/>
      <c r="E212" s="133"/>
      <c r="F212" s="133"/>
      <c r="G212" s="133"/>
      <c r="H212" s="133"/>
      <c r="J212" s="124" t="s">
        <v>422</v>
      </c>
      <c r="L212" s="133"/>
    </row>
    <row r="213" ht="18" customHeight="1" spans="1:19">
      <c r="C213" s="133" t="s">
        <v>454</v>
      </c>
      <c r="D213" s="133" t="s">
        <v>455</v>
      </c>
      <c r="E213" s="133" t="s">
        <v>456</v>
      </c>
      <c r="F213" s="133" t="s">
        <v>270</v>
      </c>
      <c r="G213" s="133" t="s">
        <v>457</v>
      </c>
      <c r="H213" s="133" t="s">
        <v>458</v>
      </c>
      <c r="J213" s="124" t="s">
        <v>423</v>
      </c>
      <c r="L213" s="133"/>
    </row>
    <row r="214" ht="18" customHeight="1" spans="1:19">
      <c r="A214" s="25">
        <v>1</v>
      </c>
      <c r="B214" s="25" t="s">
        <v>128</v>
      </c>
      <c r="C214" s="126">
        <f>D214*$C$211</f>
        <v>0.054</v>
      </c>
      <c r="D214" s="126">
        <f>ROUND($B$169*D172*100,2)</f>
        <v>0.18</v>
      </c>
      <c r="E214" s="135">
        <v>0.001</v>
      </c>
      <c r="F214" s="25">
        <v>100</v>
      </c>
      <c r="G214" s="129">
        <f t="shared" ref="G214:G227" si="2">F214/$F$228</f>
        <v>0.0714285714285714</v>
      </c>
      <c r="H214" s="25">
        <v>200</v>
      </c>
      <c r="J214" s="125" t="s">
        <v>425</v>
      </c>
      <c r="L214" s="133"/>
      <c r="M214" s="133"/>
      <c r="N214" s="133"/>
      <c r="O214" s="133"/>
      <c r="P214" s="133"/>
      <c r="Q214" s="133"/>
      <c r="R214" s="133"/>
      <c r="S214" s="133"/>
    </row>
    <row r="215" ht="18" customHeight="1" spans="1:19">
      <c r="A215" s="25">
        <v>2</v>
      </c>
      <c r="B215" s="25" t="s">
        <v>128</v>
      </c>
      <c r="C215" s="126">
        <f>D215*$C$211</f>
        <v>0.054</v>
      </c>
      <c r="D215" s="126">
        <f>D214</f>
        <v>0.18</v>
      </c>
      <c r="E215" s="135">
        <v>0.001</v>
      </c>
      <c r="F215" s="25">
        <v>100</v>
      </c>
      <c r="G215" s="129">
        <f t="shared" si="2"/>
        <v>0.0714285714285714</v>
      </c>
      <c r="H215" s="25">
        <v>200</v>
      </c>
      <c r="L215" s="133"/>
      <c r="M215" s="133"/>
      <c r="N215" s="133"/>
      <c r="O215" s="133"/>
      <c r="P215" s="133"/>
      <c r="Q215" s="133"/>
      <c r="R215" s="133"/>
      <c r="S215" s="133"/>
    </row>
    <row r="216" ht="18" customHeight="1" spans="1:19">
      <c r="A216" s="25">
        <v>3</v>
      </c>
      <c r="B216" s="25" t="s">
        <v>129</v>
      </c>
      <c r="C216" s="126">
        <f>D216*$C$211</f>
        <v>0.054</v>
      </c>
      <c r="D216" s="126">
        <f>ROUND($B$169*D174*100,2)</f>
        <v>0.18</v>
      </c>
      <c r="E216" s="135">
        <v>0.001</v>
      </c>
      <c r="F216" s="25">
        <v>100</v>
      </c>
      <c r="G216" s="129">
        <f t="shared" si="2"/>
        <v>0.0714285714285714</v>
      </c>
      <c r="H216" s="25">
        <v>200</v>
      </c>
      <c r="L216" s="133"/>
      <c r="M216" s="133"/>
      <c r="N216" s="133"/>
      <c r="O216" s="133"/>
      <c r="P216" s="133"/>
      <c r="Q216" s="133"/>
      <c r="R216" s="133"/>
      <c r="S216" s="133"/>
    </row>
    <row r="217" ht="18" customHeight="1" spans="1:19">
      <c r="A217" s="25">
        <v>4</v>
      </c>
      <c r="B217" s="25" t="s">
        <v>130</v>
      </c>
      <c r="C217" s="126">
        <f>D217*$C$211</f>
        <v>0.054</v>
      </c>
      <c r="D217" s="126">
        <f>ROUND($B$169*D174*100,2)</f>
        <v>0.18</v>
      </c>
      <c r="E217" s="135">
        <v>0.001</v>
      </c>
      <c r="F217" s="25">
        <v>100</v>
      </c>
      <c r="G217" s="129">
        <f t="shared" si="2"/>
        <v>0.0714285714285714</v>
      </c>
      <c r="H217" s="25">
        <v>200</v>
      </c>
      <c r="K217" s="136">
        <v>79.95</v>
      </c>
      <c r="L217" s="137">
        <v>266.5</v>
      </c>
      <c r="M217" s="133">
        <f t="shared" ref="M217:M224" si="3">ROUND(K217,0)</f>
        <v>80</v>
      </c>
      <c r="N217" s="133">
        <f t="shared" ref="N217:N224" si="4">ROUND(L217,0)</f>
        <v>267</v>
      </c>
      <c r="O217" s="133"/>
      <c r="P217" s="133"/>
      <c r="Q217" s="133"/>
      <c r="R217" s="133"/>
      <c r="S217" s="133"/>
    </row>
    <row r="218" ht="18" customHeight="1" spans="1:19">
      <c r="A218" s="25">
        <v>5</v>
      </c>
      <c r="B218" s="25" t="s">
        <v>146</v>
      </c>
      <c r="C218" s="138">
        <f>ROUND(D218*$C$211,0)</f>
        <v>683</v>
      </c>
      <c r="D218" s="138">
        <f>$B$169*D190*100</f>
        <v>2275</v>
      </c>
      <c r="E218" s="25">
        <v>1</v>
      </c>
      <c r="F218" s="25">
        <v>100</v>
      </c>
      <c r="G218" s="129">
        <f t="shared" si="2"/>
        <v>0.0714285714285714</v>
      </c>
      <c r="H218" s="25">
        <v>250</v>
      </c>
      <c r="K218" s="136">
        <v>55.35</v>
      </c>
      <c r="L218" s="137">
        <v>184.5</v>
      </c>
      <c r="M218" s="133">
        <f t="shared" si="3"/>
        <v>55</v>
      </c>
      <c r="N218" s="133">
        <f t="shared" si="4"/>
        <v>185</v>
      </c>
      <c r="O218" s="133"/>
      <c r="P218" s="133"/>
      <c r="Q218" s="133"/>
      <c r="R218" s="133"/>
      <c r="S218" s="133"/>
    </row>
    <row r="219" ht="18" customHeight="1" spans="1:19">
      <c r="A219" s="25">
        <v>6</v>
      </c>
      <c r="B219" s="25" t="s">
        <v>145</v>
      </c>
      <c r="C219" s="138">
        <f>ROUND(D219*$C$211,0)</f>
        <v>473</v>
      </c>
      <c r="D219" s="138">
        <f>$B$169*D189*100</f>
        <v>1575</v>
      </c>
      <c r="E219" s="25">
        <v>1</v>
      </c>
      <c r="F219" s="25">
        <v>100</v>
      </c>
      <c r="G219" s="129">
        <f t="shared" si="2"/>
        <v>0.0714285714285714</v>
      </c>
      <c r="H219" s="25">
        <v>250</v>
      </c>
      <c r="K219" s="136">
        <v>55.35</v>
      </c>
      <c r="L219" s="137">
        <v>184.5</v>
      </c>
      <c r="M219" s="133">
        <f t="shared" si="3"/>
        <v>55</v>
      </c>
      <c r="N219" s="133">
        <f t="shared" si="4"/>
        <v>185</v>
      </c>
      <c r="O219" s="133"/>
      <c r="P219" s="133"/>
      <c r="Q219" s="133"/>
      <c r="R219" s="133"/>
      <c r="S219" s="133"/>
    </row>
    <row r="220" ht="18" customHeight="1" spans="1:19">
      <c r="A220" s="25">
        <v>7</v>
      </c>
      <c r="B220" s="25" t="s">
        <v>143</v>
      </c>
      <c r="C220" s="138">
        <f>ROUND(D220*$C$211,0)</f>
        <v>473</v>
      </c>
      <c r="D220" s="138">
        <f>$B$169*D187*100</f>
        <v>1575</v>
      </c>
      <c r="E220" s="25">
        <v>1</v>
      </c>
      <c r="F220" s="25">
        <v>100</v>
      </c>
      <c r="G220" s="129">
        <f t="shared" si="2"/>
        <v>0.0714285714285714</v>
      </c>
      <c r="H220" s="25">
        <v>250</v>
      </c>
      <c r="K220" s="136">
        <v>67.65</v>
      </c>
      <c r="L220" s="137">
        <v>225.5</v>
      </c>
      <c r="M220" s="133">
        <f t="shared" si="3"/>
        <v>68</v>
      </c>
      <c r="N220" s="133">
        <f t="shared" si="4"/>
        <v>226</v>
      </c>
      <c r="O220" s="133"/>
      <c r="P220" s="133"/>
      <c r="Q220" s="133"/>
      <c r="R220" s="133"/>
      <c r="S220" s="133"/>
    </row>
    <row r="221" ht="18" customHeight="1" spans="1:19">
      <c r="A221" s="25">
        <v>8</v>
      </c>
      <c r="B221" s="25" t="s">
        <v>144</v>
      </c>
      <c r="C221" s="138">
        <f>ROUND(D221*$C$211,0)</f>
        <v>578</v>
      </c>
      <c r="D221" s="138">
        <f>$B$169*D188*100</f>
        <v>1925</v>
      </c>
      <c r="E221" s="25">
        <v>1</v>
      </c>
      <c r="F221" s="25">
        <v>100</v>
      </c>
      <c r="G221" s="129">
        <f t="shared" si="2"/>
        <v>0.0714285714285714</v>
      </c>
      <c r="H221" s="25">
        <v>250</v>
      </c>
      <c r="K221" s="136">
        <v>72</v>
      </c>
      <c r="L221" s="137">
        <v>240</v>
      </c>
      <c r="M221" s="133">
        <f t="shared" si="3"/>
        <v>72</v>
      </c>
      <c r="N221" s="133">
        <f t="shared" si="4"/>
        <v>240</v>
      </c>
      <c r="O221" s="133"/>
      <c r="P221" s="133"/>
      <c r="Q221" s="133"/>
      <c r="R221" s="133"/>
      <c r="S221" s="133"/>
    </row>
    <row r="222" ht="18" customHeight="1" spans="1:19">
      <c r="A222" s="25">
        <v>9</v>
      </c>
      <c r="B222" s="25" t="s">
        <v>249</v>
      </c>
      <c r="C222" s="139">
        <f t="shared" ref="C222:C227" si="5">D222*$C$211</f>
        <v>900</v>
      </c>
      <c r="D222" s="139">
        <f>D30/5</f>
        <v>3000</v>
      </c>
      <c r="E222" s="25">
        <v>1</v>
      </c>
      <c r="F222" s="25">
        <v>100</v>
      </c>
      <c r="G222" s="129">
        <f t="shared" si="2"/>
        <v>0.0714285714285714</v>
      </c>
      <c r="H222" s="25">
        <v>100</v>
      </c>
      <c r="K222" s="136">
        <v>72</v>
      </c>
      <c r="L222" s="137">
        <v>240</v>
      </c>
      <c r="M222" s="133">
        <f t="shared" si="3"/>
        <v>72</v>
      </c>
      <c r="N222" s="133">
        <f t="shared" si="4"/>
        <v>240</v>
      </c>
      <c r="O222" s="133"/>
      <c r="P222" s="133"/>
      <c r="Q222" s="133"/>
      <c r="R222" s="133"/>
      <c r="S222" s="133"/>
    </row>
    <row r="223" ht="18" customHeight="1" spans="1:19">
      <c r="A223" s="25">
        <v>10</v>
      </c>
      <c r="B223" s="25" t="s">
        <v>249</v>
      </c>
      <c r="C223" s="139">
        <f t="shared" si="5"/>
        <v>900</v>
      </c>
      <c r="D223" s="139">
        <f>D222</f>
        <v>3000</v>
      </c>
      <c r="E223" s="25">
        <v>1</v>
      </c>
      <c r="F223" s="25">
        <v>100</v>
      </c>
      <c r="G223" s="129">
        <f t="shared" si="2"/>
        <v>0.0714285714285714</v>
      </c>
      <c r="H223" s="25">
        <v>100</v>
      </c>
      <c r="K223" s="136">
        <v>48</v>
      </c>
      <c r="L223" s="137">
        <v>160</v>
      </c>
      <c r="M223" s="133">
        <f t="shared" si="3"/>
        <v>48</v>
      </c>
      <c r="N223" s="133">
        <f t="shared" si="4"/>
        <v>160</v>
      </c>
      <c r="O223" s="133"/>
      <c r="P223" s="133"/>
      <c r="Q223" s="133"/>
      <c r="R223" s="133"/>
      <c r="S223" s="133"/>
    </row>
    <row r="224" ht="18" customHeight="1" spans="1:19">
      <c r="A224" s="25">
        <v>11</v>
      </c>
      <c r="B224" s="25" t="s">
        <v>81</v>
      </c>
      <c r="C224" s="139">
        <f t="shared" si="5"/>
        <v>600</v>
      </c>
      <c r="D224" s="139">
        <f>E30/5</f>
        <v>2000</v>
      </c>
      <c r="E224" s="25">
        <v>1</v>
      </c>
      <c r="F224" s="25">
        <v>100</v>
      </c>
      <c r="G224" s="129">
        <f t="shared" si="2"/>
        <v>0.0714285714285714</v>
      </c>
      <c r="H224" s="25">
        <v>100</v>
      </c>
      <c r="K224" s="136">
        <v>240</v>
      </c>
      <c r="L224" s="137">
        <v>800</v>
      </c>
      <c r="M224" s="133">
        <f t="shared" si="3"/>
        <v>240</v>
      </c>
      <c r="N224" s="133">
        <f t="shared" si="4"/>
        <v>800</v>
      </c>
      <c r="O224" s="133"/>
      <c r="P224" s="133"/>
      <c r="Q224" s="133"/>
      <c r="R224" s="133"/>
      <c r="S224" s="133"/>
    </row>
    <row r="225" ht="18" customHeight="1" spans="1:19">
      <c r="A225" s="25">
        <v>12</v>
      </c>
      <c r="B225" s="25" t="s">
        <v>79</v>
      </c>
      <c r="C225" s="139">
        <f t="shared" si="5"/>
        <v>3000</v>
      </c>
      <c r="D225" s="139">
        <f>C30/5</f>
        <v>10000</v>
      </c>
      <c r="E225" s="25">
        <v>1</v>
      </c>
      <c r="F225" s="25">
        <v>100</v>
      </c>
      <c r="G225" s="129">
        <f t="shared" si="2"/>
        <v>0.0714285714285714</v>
      </c>
      <c r="H225" s="25">
        <v>100</v>
      </c>
      <c r="L225" s="133"/>
      <c r="M225" s="133"/>
      <c r="N225" s="133"/>
      <c r="O225" s="133"/>
      <c r="P225" s="133"/>
      <c r="Q225" s="133"/>
      <c r="R225" s="133"/>
      <c r="S225" s="133"/>
    </row>
    <row r="226" ht="18" customHeight="1" spans="1:19">
      <c r="A226" s="25">
        <v>13</v>
      </c>
      <c r="B226" s="80" t="s">
        <v>141</v>
      </c>
      <c r="C226" s="126">
        <f t="shared" si="5"/>
        <v>0.02205</v>
      </c>
      <c r="D226" s="126">
        <f>$B$169*$D$185*100</f>
        <v>0.0735</v>
      </c>
      <c r="E226" s="135">
        <v>0.001</v>
      </c>
      <c r="F226" s="25">
        <v>100</v>
      </c>
      <c r="G226" s="129">
        <f t="shared" si="2"/>
        <v>0.0714285714285714</v>
      </c>
      <c r="H226" s="25">
        <v>300</v>
      </c>
      <c r="L226" s="133"/>
      <c r="M226" s="133"/>
      <c r="N226" s="133"/>
      <c r="O226" s="133"/>
      <c r="P226" s="133"/>
      <c r="Q226" s="133"/>
      <c r="R226" s="133"/>
      <c r="S226" s="133"/>
    </row>
    <row r="227" ht="18" customHeight="1" spans="1:19">
      <c r="A227" s="25">
        <v>14</v>
      </c>
      <c r="B227" s="80" t="s">
        <v>142</v>
      </c>
      <c r="C227" s="126">
        <f t="shared" si="5"/>
        <v>0.02205</v>
      </c>
      <c r="D227" s="126">
        <f>$B$169*$D$185*100</f>
        <v>0.0735</v>
      </c>
      <c r="E227" s="135">
        <v>0.001</v>
      </c>
      <c r="F227" s="25">
        <v>100</v>
      </c>
      <c r="G227" s="129">
        <f t="shared" si="2"/>
        <v>0.0714285714285714</v>
      </c>
      <c r="H227" s="25">
        <v>300</v>
      </c>
      <c r="L227" s="133"/>
      <c r="M227" s="133"/>
      <c r="N227" s="133"/>
      <c r="O227" s="133"/>
      <c r="P227" s="133"/>
      <c r="Q227" s="133"/>
      <c r="R227" s="133"/>
      <c r="S227" s="133"/>
    </row>
    <row r="228" ht="18" customHeight="1" spans="1:19">
      <c r="C228" s="126"/>
      <c r="D228" s="126"/>
      <c r="E228" s="135"/>
      <c r="F228" s="25">
        <f>SUM(F214:F227)</f>
        <v>1400</v>
      </c>
      <c r="G228" s="129"/>
      <c r="L228" s="133"/>
      <c r="M228" s="133"/>
      <c r="N228" s="133"/>
      <c r="O228" s="133"/>
      <c r="P228" s="133"/>
      <c r="Q228" s="133"/>
      <c r="R228" s="133"/>
      <c r="S228" s="133"/>
    </row>
    <row r="229" ht="18" customHeight="1" spans="1:19">
      <c r="C229" s="126"/>
      <c r="D229" s="126"/>
      <c r="E229" s="135"/>
      <c r="G229" s="129"/>
      <c r="L229" s="133"/>
      <c r="M229" s="133"/>
      <c r="N229" s="133"/>
      <c r="O229" s="133"/>
      <c r="P229" s="133"/>
      <c r="Q229" s="133"/>
      <c r="R229" s="133"/>
      <c r="S229" s="133"/>
    </row>
    <row r="230" ht="18" customHeight="1" spans="1:19">
      <c r="C230" s="126"/>
      <c r="D230" s="126"/>
      <c r="E230" s="135"/>
      <c r="G230" s="129"/>
      <c r="L230" s="133"/>
      <c r="M230" s="133"/>
      <c r="N230" s="133"/>
      <c r="O230" s="133"/>
      <c r="P230" s="133"/>
      <c r="Q230" s="133"/>
      <c r="R230" s="133"/>
      <c r="S230" s="133"/>
    </row>
    <row r="231" ht="18" customHeight="1" spans="1:19">
      <c r="C231" s="126"/>
      <c r="D231" s="126"/>
      <c r="E231" s="135"/>
      <c r="G231" s="129"/>
      <c r="L231" s="133"/>
      <c r="M231" s="133"/>
      <c r="N231" s="133"/>
      <c r="O231" s="133"/>
      <c r="P231" s="133"/>
      <c r="Q231" s="133"/>
      <c r="R231" s="133"/>
      <c r="S231" s="133"/>
    </row>
    <row r="234" ht="21" customHeight="1" spans="1:19">
      <c r="B234" s="134" t="s">
        <v>459</v>
      </c>
    </row>
    <row r="236" spans="1:19">
      <c r="B236" s="25" t="s">
        <v>460</v>
      </c>
      <c r="D236" s="25" t="s">
        <v>460</v>
      </c>
      <c r="F236" s="25" t="s">
        <v>460</v>
      </c>
      <c r="H236" s="25" t="s">
        <v>461</v>
      </c>
      <c r="J236" s="25" t="s">
        <v>461</v>
      </c>
      <c r="L236" s="25" t="s">
        <v>461</v>
      </c>
      <c r="N236" s="25" t="s">
        <v>462</v>
      </c>
      <c r="P236" s="25" t="s">
        <v>462</v>
      </c>
    </row>
    <row r="237" spans="1:19">
      <c r="B237" s="140" t="s">
        <v>409</v>
      </c>
      <c r="D237" s="141" t="s">
        <v>419</v>
      </c>
      <c r="F237" s="141" t="s">
        <v>422</v>
      </c>
      <c r="H237" s="141" t="s">
        <v>420</v>
      </c>
      <c r="J237" s="140" t="s">
        <v>413</v>
      </c>
      <c r="L237" s="141" t="s">
        <v>416</v>
      </c>
      <c r="N237" s="141" t="s">
        <v>423</v>
      </c>
      <c r="P237" s="140" t="s">
        <v>425</v>
      </c>
    </row>
    <row r="238" spans="1:19">
      <c r="B238" s="25" t="s">
        <v>128</v>
      </c>
      <c r="D238" s="25" t="s">
        <v>128</v>
      </c>
      <c r="F238" s="25" t="s">
        <v>128</v>
      </c>
      <c r="H238" s="25" t="s">
        <v>128</v>
      </c>
      <c r="J238" s="25" t="s">
        <v>128</v>
      </c>
      <c r="L238" s="25" t="s">
        <v>128</v>
      </c>
      <c r="N238" s="25" t="s">
        <v>128</v>
      </c>
      <c r="P238" s="25" t="s">
        <v>128</v>
      </c>
    </row>
    <row r="239" spans="1:19">
      <c r="B239" s="25" t="s">
        <v>128</v>
      </c>
      <c r="D239" s="25" t="s">
        <v>128</v>
      </c>
      <c r="F239" s="25" t="s">
        <v>128</v>
      </c>
      <c r="H239" s="25" t="s">
        <v>128</v>
      </c>
      <c r="J239" s="25" t="s">
        <v>128</v>
      </c>
      <c r="L239" s="25" t="s">
        <v>128</v>
      </c>
      <c r="N239" s="25" t="s">
        <v>128</v>
      </c>
      <c r="P239" s="25" t="s">
        <v>128</v>
      </c>
    </row>
    <row r="240" spans="1:19">
      <c r="B240" s="25" t="s">
        <v>129</v>
      </c>
      <c r="D240" s="25" t="s">
        <v>129</v>
      </c>
      <c r="F240" s="25" t="s">
        <v>129</v>
      </c>
      <c r="H240" s="25" t="s">
        <v>129</v>
      </c>
      <c r="J240" s="25" t="s">
        <v>129</v>
      </c>
      <c r="L240" s="25" t="s">
        <v>129</v>
      </c>
      <c r="N240" s="25" t="s">
        <v>129</v>
      </c>
      <c r="P240" s="25" t="s">
        <v>129</v>
      </c>
    </row>
    <row r="241" spans="2:16">
      <c r="B241" s="25" t="s">
        <v>130</v>
      </c>
      <c r="D241" s="25" t="s">
        <v>130</v>
      </c>
      <c r="F241" s="25" t="s">
        <v>130</v>
      </c>
      <c r="H241" s="25" t="s">
        <v>130</v>
      </c>
      <c r="J241" s="25" t="s">
        <v>130</v>
      </c>
      <c r="L241" s="25" t="s">
        <v>130</v>
      </c>
      <c r="N241" s="25" t="s">
        <v>130</v>
      </c>
      <c r="P241" s="25" t="s">
        <v>130</v>
      </c>
    </row>
    <row r="242" spans="2:16">
      <c r="B242" s="25" t="s">
        <v>146</v>
      </c>
      <c r="D242" s="25" t="s">
        <v>146</v>
      </c>
      <c r="F242" s="25" t="s">
        <v>146</v>
      </c>
      <c r="H242" s="25" t="s">
        <v>146</v>
      </c>
      <c r="J242" s="25" t="s">
        <v>146</v>
      </c>
      <c r="L242" s="25" t="s">
        <v>146</v>
      </c>
      <c r="N242" s="25" t="s">
        <v>146</v>
      </c>
      <c r="P242" s="25" t="s">
        <v>146</v>
      </c>
    </row>
    <row r="243" spans="2:16">
      <c r="B243" s="25" t="s">
        <v>145</v>
      </c>
      <c r="D243" s="25" t="s">
        <v>145</v>
      </c>
      <c r="F243" s="25" t="s">
        <v>145</v>
      </c>
      <c r="H243" s="25" t="s">
        <v>145</v>
      </c>
      <c r="J243" s="25" t="s">
        <v>145</v>
      </c>
      <c r="L243" s="25" t="s">
        <v>145</v>
      </c>
      <c r="N243" s="25" t="s">
        <v>145</v>
      </c>
      <c r="P243" s="25" t="s">
        <v>145</v>
      </c>
    </row>
    <row r="244" spans="2:16">
      <c r="B244" s="25" t="s">
        <v>133</v>
      </c>
      <c r="D244" s="25" t="s">
        <v>133</v>
      </c>
      <c r="F244" s="25" t="s">
        <v>133</v>
      </c>
      <c r="H244" s="25" t="s">
        <v>133</v>
      </c>
      <c r="J244" s="25" t="s">
        <v>133</v>
      </c>
      <c r="L244" s="25" t="s">
        <v>133</v>
      </c>
      <c r="N244" s="25" t="s">
        <v>133</v>
      </c>
      <c r="P244" s="25" t="s">
        <v>133</v>
      </c>
    </row>
    <row r="245" spans="2:16">
      <c r="B245" s="25" t="s">
        <v>134</v>
      </c>
      <c r="D245" s="25" t="s">
        <v>134</v>
      </c>
      <c r="F245" s="25" t="s">
        <v>134</v>
      </c>
      <c r="H245" s="25" t="s">
        <v>134</v>
      </c>
      <c r="J245" s="25" t="s">
        <v>134</v>
      </c>
      <c r="L245" s="25" t="s">
        <v>134</v>
      </c>
      <c r="N245" s="25" t="s">
        <v>134</v>
      </c>
      <c r="P245" s="25" t="s">
        <v>134</v>
      </c>
    </row>
    <row r="246" spans="2:16">
      <c r="B246" s="25" t="s">
        <v>249</v>
      </c>
      <c r="D246" s="25" t="s">
        <v>249</v>
      </c>
      <c r="F246" s="25" t="s">
        <v>249</v>
      </c>
      <c r="H246" s="25" t="s">
        <v>249</v>
      </c>
      <c r="J246" s="25" t="s">
        <v>249</v>
      </c>
      <c r="L246" s="25" t="s">
        <v>249</v>
      </c>
      <c r="N246" s="25" t="s">
        <v>249</v>
      </c>
      <c r="P246" s="25" t="s">
        <v>249</v>
      </c>
    </row>
    <row r="247" spans="2:16">
      <c r="B247" s="25" t="s">
        <v>249</v>
      </c>
      <c r="D247" s="25" t="s">
        <v>249</v>
      </c>
      <c r="F247" s="25" t="s">
        <v>249</v>
      </c>
      <c r="H247" s="25" t="s">
        <v>249</v>
      </c>
      <c r="J247" s="25" t="s">
        <v>249</v>
      </c>
      <c r="L247" s="25" t="s">
        <v>249</v>
      </c>
      <c r="N247" s="25" t="s">
        <v>249</v>
      </c>
      <c r="P247" s="25" t="s">
        <v>249</v>
      </c>
    </row>
    <row r="248" spans="2:16">
      <c r="B248" s="25" t="s">
        <v>81</v>
      </c>
      <c r="D248" s="25" t="s">
        <v>81</v>
      </c>
      <c r="F248" s="25" t="s">
        <v>81</v>
      </c>
      <c r="H248" s="25" t="s">
        <v>81</v>
      </c>
      <c r="J248" s="25" t="s">
        <v>81</v>
      </c>
      <c r="L248" s="25" t="s">
        <v>81</v>
      </c>
      <c r="N248" s="25" t="s">
        <v>81</v>
      </c>
      <c r="P248" s="25" t="s">
        <v>81</v>
      </c>
    </row>
    <row r="249" spans="2:16">
      <c r="B249" s="25" t="s">
        <v>79</v>
      </c>
      <c r="D249" s="25" t="s">
        <v>79</v>
      </c>
      <c r="F249" s="25" t="s">
        <v>79</v>
      </c>
      <c r="H249" s="25" t="s">
        <v>79</v>
      </c>
      <c r="J249" s="25" t="s">
        <v>79</v>
      </c>
      <c r="L249" s="25" t="s">
        <v>79</v>
      </c>
      <c r="N249" s="25" t="s">
        <v>79</v>
      </c>
      <c r="P249" s="25" t="s">
        <v>79</v>
      </c>
    </row>
    <row r="250" spans="2:16">
      <c r="B250" s="80" t="s">
        <v>141</v>
      </c>
      <c r="D250" s="80" t="s">
        <v>141</v>
      </c>
      <c r="F250" s="80" t="s">
        <v>141</v>
      </c>
      <c r="H250" s="80" t="s">
        <v>141</v>
      </c>
      <c r="J250" s="80" t="s">
        <v>141</v>
      </c>
      <c r="L250" s="80" t="s">
        <v>141</v>
      </c>
      <c r="N250" s="80" t="s">
        <v>141</v>
      </c>
      <c r="P250" s="80" t="s">
        <v>141</v>
      </c>
    </row>
    <row r="251" spans="2:16">
      <c r="B251" s="80" t="s">
        <v>142</v>
      </c>
      <c r="D251" s="80" t="s">
        <v>142</v>
      </c>
      <c r="F251" s="80" t="s">
        <v>142</v>
      </c>
      <c r="H251" s="80" t="s">
        <v>142</v>
      </c>
      <c r="J251" s="80" t="s">
        <v>142</v>
      </c>
      <c r="L251" s="80" t="s">
        <v>142</v>
      </c>
      <c r="N251" s="80" t="s">
        <v>142</v>
      </c>
      <c r="P251" s="80" t="s">
        <v>142</v>
      </c>
    </row>
    <row r="263" s="62" customFormat="1" ht="18" customHeight="1" spans="2:15">
      <c r="B263" s="109" t="s">
        <v>463</v>
      </c>
    </row>
    <row r="265" spans="2:15">
      <c r="B265" s="126" t="s">
        <v>464</v>
      </c>
      <c r="C265" s="25" t="s">
        <v>465</v>
      </c>
      <c r="O265" s="25" t="s">
        <v>466</v>
      </c>
    </row>
    <row r="266" spans="2:15">
      <c r="B266" s="25" t="s">
        <v>467</v>
      </c>
    </row>
    <row r="267" spans="2:15">
      <c r="B267" s="25" t="s">
        <v>468</v>
      </c>
      <c r="C267" s="59">
        <v>20</v>
      </c>
    </row>
    <row r="268" spans="2:15">
      <c r="B268" s="25" t="s">
        <v>469</v>
      </c>
      <c r="C268" s="59">
        <v>1.25</v>
      </c>
    </row>
    <row r="270" spans="2:15">
      <c r="B270" s="25" t="s">
        <v>470</v>
      </c>
    </row>
    <row r="271" spans="2:15">
      <c r="B271" s="25" t="s">
        <v>471</v>
      </c>
      <c r="C271" s="25" t="s">
        <v>472</v>
      </c>
      <c r="D271" s="25" t="s">
        <v>473</v>
      </c>
      <c r="G271" s="25">
        <f>20*20+1.25*(3%/8%*200+24/60*150)</f>
        <v>568.75</v>
      </c>
      <c r="H271" s="25" t="s">
        <v>466</v>
      </c>
      <c r="I271" s="25">
        <v>569</v>
      </c>
    </row>
    <row r="272" spans="2:15">
      <c r="B272" s="25" t="s">
        <v>151</v>
      </c>
      <c r="C272" s="25">
        <v>20</v>
      </c>
    </row>
    <row r="273" spans="1:19">
      <c r="A273" s="25" t="s">
        <v>474</v>
      </c>
      <c r="B273" s="25" t="s">
        <v>475</v>
      </c>
      <c r="C273" s="132">
        <v>0.03</v>
      </c>
    </row>
    <row r="274" spans="1:19">
      <c r="A274" s="25" t="s">
        <v>476</v>
      </c>
      <c r="B274" s="25" t="s">
        <v>249</v>
      </c>
      <c r="C274" s="25">
        <v>24</v>
      </c>
    </row>
    <row r="277" s="62" customFormat="1" ht="18" customHeight="1" spans="1:19">
      <c r="B277" s="109" t="s">
        <v>477</v>
      </c>
    </row>
    <row r="279" spans="1:19">
      <c r="B279" s="25" t="s">
        <v>478</v>
      </c>
      <c r="D279" s="25" t="s">
        <v>479</v>
      </c>
    </row>
    <row r="280" spans="1:19">
      <c r="B280" s="110">
        <f>O30*J159</f>
        <v>1.4</v>
      </c>
      <c r="D280" s="56" t="s">
        <v>79</v>
      </c>
      <c r="E280" s="56" t="s">
        <v>80</v>
      </c>
      <c r="F280" s="56" t="s">
        <v>81</v>
      </c>
      <c r="L280" s="29" t="s">
        <v>480</v>
      </c>
    </row>
    <row r="281" spans="1:19">
      <c r="D281" s="25">
        <f>$D$44*C30</f>
        <v>12500</v>
      </c>
      <c r="E281" s="25">
        <f>$D$44*D30</f>
        <v>3750</v>
      </c>
      <c r="F281" s="25">
        <f>$D$44*E30</f>
        <v>2500</v>
      </c>
    </row>
    <row r="283" spans="1:19">
      <c r="B283" s="25" t="s">
        <v>481</v>
      </c>
      <c r="D283" s="25" t="s">
        <v>438</v>
      </c>
      <c r="E283" s="25" t="s">
        <v>482</v>
      </c>
      <c r="F283" s="25" t="s">
        <v>483</v>
      </c>
      <c r="H283" s="25" t="s">
        <v>484</v>
      </c>
      <c r="J283" s="25" t="s">
        <v>485</v>
      </c>
    </row>
    <row r="284" spans="1:19">
      <c r="B284" s="59">
        <v>3</v>
      </c>
      <c r="D284" s="57">
        <v>8</v>
      </c>
      <c r="E284" s="57">
        <v>4</v>
      </c>
      <c r="F284" s="57">
        <v>4</v>
      </c>
      <c r="H284" s="29">
        <f>F284*B284</f>
        <v>12</v>
      </c>
      <c r="J284" s="126">
        <f>B280/H284</f>
        <v>0.116666666666667</v>
      </c>
      <c r="L284" s="25" t="s">
        <v>486</v>
      </c>
      <c r="M284" s="59">
        <v>1</v>
      </c>
    </row>
    <row r="285" spans="1:19">
      <c r="L285" s="25" t="s">
        <v>157</v>
      </c>
      <c r="M285" s="59">
        <v>1.5</v>
      </c>
      <c r="O285" s="25">
        <v>0.02</v>
      </c>
      <c r="P285" s="25">
        <v>0.04</v>
      </c>
      <c r="Q285" s="25">
        <v>0.06</v>
      </c>
      <c r="R285" s="25">
        <v>0.08</v>
      </c>
      <c r="S285" s="25">
        <v>0.1</v>
      </c>
    </row>
    <row r="286" spans="1:19">
      <c r="B286" s="25" t="s">
        <v>487</v>
      </c>
      <c r="L286" s="25" t="s">
        <v>488</v>
      </c>
      <c r="M286" s="59">
        <v>7</v>
      </c>
      <c r="O286" s="25">
        <v>0.02</v>
      </c>
      <c r="P286" s="25">
        <v>0.04</v>
      </c>
      <c r="Q286" s="25">
        <v>0.06</v>
      </c>
      <c r="R286" s="25">
        <v>0.08</v>
      </c>
      <c r="S286" s="25">
        <v>0.1</v>
      </c>
    </row>
    <row r="287" ht="21" customHeight="1" spans="1:19">
      <c r="D287" s="75" t="s">
        <v>489</v>
      </c>
      <c r="E287" s="75" t="s">
        <v>490</v>
      </c>
      <c r="F287" s="75" t="s">
        <v>491</v>
      </c>
      <c r="G287" s="75" t="s">
        <v>492</v>
      </c>
      <c r="H287" s="75" t="s">
        <v>493</v>
      </c>
      <c r="I287" s="75" t="s">
        <v>494</v>
      </c>
      <c r="J287" s="75" t="s">
        <v>495</v>
      </c>
      <c r="K287" s="75" t="s">
        <v>496</v>
      </c>
      <c r="L287" s="142" t="s">
        <v>497</v>
      </c>
      <c r="M287" s="25" t="s">
        <v>498</v>
      </c>
      <c r="O287" s="25">
        <v>0.02</v>
      </c>
      <c r="P287" s="25">
        <v>0.04</v>
      </c>
      <c r="Q287" s="25">
        <v>0.06</v>
      </c>
      <c r="R287" s="25">
        <v>0.08</v>
      </c>
      <c r="S287" s="25">
        <v>0.1</v>
      </c>
    </row>
    <row r="288" ht="21" customHeight="1" spans="1:19">
      <c r="D288" s="25" t="s">
        <v>80</v>
      </c>
      <c r="E288" s="25" t="s">
        <v>80</v>
      </c>
      <c r="F288" s="25" t="s">
        <v>81</v>
      </c>
      <c r="G288" s="25" t="s">
        <v>79</v>
      </c>
      <c r="H288" s="25" t="s">
        <v>146</v>
      </c>
      <c r="I288" s="25" t="s">
        <v>145</v>
      </c>
      <c r="J288" s="25" t="s">
        <v>143</v>
      </c>
      <c r="K288" s="25" t="s">
        <v>144</v>
      </c>
      <c r="L288" s="29">
        <v>1</v>
      </c>
      <c r="M288" s="25">
        <f t="shared" ref="M288:M296" si="6">$M$284*POWER($M$285,L288-$M$286)</f>
        <v>0.0877914951989026</v>
      </c>
      <c r="O288" s="25">
        <v>0.02</v>
      </c>
      <c r="P288" s="25">
        <v>0.04</v>
      </c>
      <c r="Q288" s="25">
        <v>0.06</v>
      </c>
      <c r="R288" s="25">
        <v>0.08</v>
      </c>
      <c r="S288" s="25">
        <v>0.1</v>
      </c>
    </row>
    <row r="289" ht="21" customHeight="1" spans="2:21">
      <c r="C289" s="10" t="s">
        <v>499</v>
      </c>
      <c r="D289" s="25">
        <f>E281</f>
        <v>3750</v>
      </c>
      <c r="E289" s="25">
        <f>E281</f>
        <v>3750</v>
      </c>
      <c r="F289" s="25">
        <f>F281</f>
        <v>2500</v>
      </c>
      <c r="G289" s="25">
        <f>D281</f>
        <v>12500</v>
      </c>
      <c r="H289" s="143">
        <f>ROUND(VLOOKUP(H288,$B$172:$D$194,3,0)*100*$J$284,0)</f>
        <v>1517</v>
      </c>
      <c r="I289" s="143">
        <f>ROUND(VLOOKUP(I288,$B$172:$D$194,3,0)*100*$J$284,0)</f>
        <v>1050</v>
      </c>
      <c r="J289" s="143">
        <f>ROUND(VLOOKUP(J288,$B$172:$D$194,3,0)*100*$J$284,0)</f>
        <v>1050</v>
      </c>
      <c r="K289" s="143">
        <f>ROUND(VLOOKUP(K288,$B$172:$D$194,3,0)*100*$J$284,0)</f>
        <v>1283</v>
      </c>
      <c r="L289" s="29">
        <v>2</v>
      </c>
      <c r="M289" s="25">
        <f t="shared" si="6"/>
        <v>0.131687242798354</v>
      </c>
      <c r="O289" s="25">
        <v>26.65</v>
      </c>
      <c r="P289" s="25">
        <v>53.3</v>
      </c>
      <c r="Q289" s="25">
        <v>79.95</v>
      </c>
      <c r="R289" s="25">
        <v>106.6</v>
      </c>
      <c r="S289" s="25">
        <v>133.25</v>
      </c>
    </row>
    <row r="290" ht="21" customHeight="1" spans="2:21">
      <c r="B290" s="142" t="s">
        <v>497</v>
      </c>
      <c r="C290" s="29">
        <v>1</v>
      </c>
      <c r="D290" s="143">
        <f t="shared" ref="D290:K290" si="7">ROUND(D$289*$M288,-1)</f>
        <v>330</v>
      </c>
      <c r="E290" s="143">
        <f t="shared" si="7"/>
        <v>330</v>
      </c>
      <c r="F290" s="143">
        <f t="shared" si="7"/>
        <v>220</v>
      </c>
      <c r="G290" s="143">
        <f t="shared" si="7"/>
        <v>1100</v>
      </c>
      <c r="H290" s="143">
        <f t="shared" si="7"/>
        <v>130</v>
      </c>
      <c r="I290" s="143">
        <f t="shared" si="7"/>
        <v>90</v>
      </c>
      <c r="J290" s="143">
        <f t="shared" si="7"/>
        <v>90</v>
      </c>
      <c r="K290" s="143">
        <f t="shared" si="7"/>
        <v>110</v>
      </c>
      <c r="L290" s="29">
        <v>3</v>
      </c>
      <c r="M290" s="25">
        <f t="shared" si="6"/>
        <v>0.197530864197531</v>
      </c>
      <c r="O290" s="25">
        <v>18.45</v>
      </c>
      <c r="P290" s="25">
        <v>36.9</v>
      </c>
      <c r="Q290" s="25">
        <v>55.35</v>
      </c>
      <c r="R290" s="25">
        <v>73.8</v>
      </c>
      <c r="S290" s="25">
        <v>92.25</v>
      </c>
    </row>
    <row r="291" ht="21" customHeight="1" spans="2:21">
      <c r="C291" s="29">
        <v>2</v>
      </c>
      <c r="D291" s="143">
        <f t="shared" ref="D291:K291" si="8">ROUND(D$289*$M289,-1)</f>
        <v>490</v>
      </c>
      <c r="E291" s="143">
        <f t="shared" si="8"/>
        <v>490</v>
      </c>
      <c r="F291" s="143">
        <f t="shared" si="8"/>
        <v>330</v>
      </c>
      <c r="G291" s="143">
        <f t="shared" si="8"/>
        <v>1650</v>
      </c>
      <c r="H291" s="143">
        <f t="shared" si="8"/>
        <v>200</v>
      </c>
      <c r="I291" s="143">
        <f t="shared" si="8"/>
        <v>140</v>
      </c>
      <c r="J291" s="143">
        <f t="shared" si="8"/>
        <v>140</v>
      </c>
      <c r="K291" s="143">
        <f t="shared" si="8"/>
        <v>170</v>
      </c>
      <c r="L291" s="29">
        <v>4</v>
      </c>
      <c r="M291" s="25">
        <f t="shared" si="6"/>
        <v>0.296296296296296</v>
      </c>
      <c r="O291" s="25">
        <v>18.45</v>
      </c>
      <c r="P291" s="25">
        <v>36.9</v>
      </c>
      <c r="Q291" s="25">
        <v>55.35</v>
      </c>
      <c r="R291" s="25">
        <v>73.8</v>
      </c>
      <c r="S291" s="25">
        <v>92.25</v>
      </c>
    </row>
    <row r="292" ht="21" customHeight="1" spans="2:21">
      <c r="C292" s="29">
        <v>3</v>
      </c>
      <c r="D292" s="143">
        <f t="shared" ref="D292:K292" si="9">ROUND(D$289*$M290,-1)</f>
        <v>740</v>
      </c>
      <c r="E292" s="143">
        <f t="shared" si="9"/>
        <v>740</v>
      </c>
      <c r="F292" s="143">
        <f t="shared" si="9"/>
        <v>490</v>
      </c>
      <c r="G292" s="143">
        <f t="shared" si="9"/>
        <v>2470</v>
      </c>
      <c r="H292" s="143">
        <f t="shared" si="9"/>
        <v>300</v>
      </c>
      <c r="I292" s="143">
        <f t="shared" si="9"/>
        <v>210</v>
      </c>
      <c r="J292" s="143">
        <f t="shared" si="9"/>
        <v>210</v>
      </c>
      <c r="K292" s="143">
        <f t="shared" si="9"/>
        <v>250</v>
      </c>
      <c r="L292" s="29">
        <v>5</v>
      </c>
      <c r="M292" s="25">
        <f t="shared" si="6"/>
        <v>0.444444444444444</v>
      </c>
      <c r="O292" s="25">
        <v>22.55</v>
      </c>
      <c r="P292" s="25">
        <v>45.1</v>
      </c>
      <c r="Q292" s="25">
        <v>67.65</v>
      </c>
      <c r="R292" s="25">
        <v>90.2</v>
      </c>
      <c r="S292" s="25">
        <v>112.75</v>
      </c>
    </row>
    <row r="293" ht="21" customHeight="1" spans="2:21">
      <c r="C293" s="29">
        <v>4</v>
      </c>
      <c r="D293" s="143">
        <f t="shared" ref="D293:K293" si="10">ROUND(D$289*$M291,-1)</f>
        <v>1110</v>
      </c>
      <c r="E293" s="143">
        <f t="shared" si="10"/>
        <v>1110</v>
      </c>
      <c r="F293" s="143">
        <f t="shared" si="10"/>
        <v>740</v>
      </c>
      <c r="G293" s="143">
        <f t="shared" si="10"/>
        <v>3700</v>
      </c>
      <c r="H293" s="143">
        <f t="shared" si="10"/>
        <v>450</v>
      </c>
      <c r="I293" s="143">
        <f t="shared" si="10"/>
        <v>310</v>
      </c>
      <c r="J293" s="143">
        <f t="shared" si="10"/>
        <v>310</v>
      </c>
      <c r="K293" s="143">
        <f t="shared" si="10"/>
        <v>380</v>
      </c>
      <c r="L293" s="29">
        <v>6</v>
      </c>
      <c r="M293" s="25">
        <f t="shared" si="6"/>
        <v>0.666666666666667</v>
      </c>
      <c r="O293" s="25">
        <v>0.008</v>
      </c>
      <c r="P293" s="25">
        <v>0.016</v>
      </c>
      <c r="Q293" s="25">
        <v>0.024</v>
      </c>
      <c r="R293" s="25">
        <v>0.032</v>
      </c>
      <c r="S293" s="25">
        <v>0.04</v>
      </c>
    </row>
    <row r="294" ht="21" customHeight="1" spans="2:21">
      <c r="C294" s="29">
        <v>5</v>
      </c>
      <c r="D294" s="143">
        <f t="shared" ref="D294:K294" si="11">ROUND(D$289*$M292,-1)</f>
        <v>1670</v>
      </c>
      <c r="E294" s="143">
        <f t="shared" si="11"/>
        <v>1670</v>
      </c>
      <c r="F294" s="143">
        <f t="shared" si="11"/>
        <v>1110</v>
      </c>
      <c r="G294" s="143">
        <f t="shared" si="11"/>
        <v>5560</v>
      </c>
      <c r="H294" s="143">
        <f t="shared" si="11"/>
        <v>670</v>
      </c>
      <c r="I294" s="143">
        <f t="shared" si="11"/>
        <v>470</v>
      </c>
      <c r="J294" s="143">
        <f t="shared" si="11"/>
        <v>470</v>
      </c>
      <c r="K294" s="143">
        <f t="shared" si="11"/>
        <v>570</v>
      </c>
      <c r="L294" s="29">
        <v>7</v>
      </c>
      <c r="M294" s="25">
        <f t="shared" si="6"/>
        <v>1</v>
      </c>
      <c r="O294" s="25">
        <v>0.008</v>
      </c>
      <c r="P294" s="25">
        <v>0.016</v>
      </c>
      <c r="Q294" s="25">
        <v>0.024</v>
      </c>
      <c r="R294" s="25">
        <v>0.032</v>
      </c>
      <c r="S294" s="25">
        <v>0.04</v>
      </c>
    </row>
    <row r="295" ht="21" customHeight="1" spans="2:21">
      <c r="C295" s="29">
        <v>6</v>
      </c>
      <c r="D295" s="143">
        <f t="shared" ref="D295:K295" si="12">ROUND(D$289*$M293,-1)</f>
        <v>2500</v>
      </c>
      <c r="E295" s="143">
        <f t="shared" si="12"/>
        <v>2500</v>
      </c>
      <c r="F295" s="143">
        <f t="shared" si="12"/>
        <v>1670</v>
      </c>
      <c r="G295" s="143">
        <f t="shared" si="12"/>
        <v>8330</v>
      </c>
      <c r="H295" s="143">
        <f t="shared" si="12"/>
        <v>1010</v>
      </c>
      <c r="I295" s="143">
        <f t="shared" si="12"/>
        <v>700</v>
      </c>
      <c r="J295" s="143">
        <f t="shared" si="12"/>
        <v>700</v>
      </c>
      <c r="K295" s="143">
        <f t="shared" si="12"/>
        <v>860</v>
      </c>
      <c r="L295" s="29">
        <v>8</v>
      </c>
      <c r="M295" s="25">
        <f t="shared" si="6"/>
        <v>1.5</v>
      </c>
    </row>
    <row r="296" spans="2:21">
      <c r="C296" s="29">
        <v>7</v>
      </c>
      <c r="D296" s="143">
        <f t="shared" ref="D296:K296" si="13">ROUND(D$289*$M294,-1)</f>
        <v>3750</v>
      </c>
      <c r="E296" s="143">
        <f t="shared" si="13"/>
        <v>3750</v>
      </c>
      <c r="F296" s="143">
        <f t="shared" si="13"/>
        <v>2500</v>
      </c>
      <c r="G296" s="143">
        <f t="shared" si="13"/>
        <v>12500</v>
      </c>
      <c r="H296" s="143">
        <f t="shared" si="13"/>
        <v>1520</v>
      </c>
      <c r="I296" s="143">
        <f t="shared" si="13"/>
        <v>1050</v>
      </c>
      <c r="J296" s="143">
        <f t="shared" si="13"/>
        <v>1050</v>
      </c>
      <c r="K296" s="143">
        <f t="shared" si="13"/>
        <v>1280</v>
      </c>
      <c r="L296" s="29">
        <v>9</v>
      </c>
      <c r="M296" s="25">
        <f t="shared" si="6"/>
        <v>2.25</v>
      </c>
      <c r="T296" s="25">
        <v>0.008</v>
      </c>
      <c r="U296" s="25">
        <v>0.008</v>
      </c>
    </row>
    <row r="297" spans="2:21">
      <c r="C297" s="29">
        <v>8</v>
      </c>
      <c r="D297" s="143">
        <f t="shared" ref="D297:K297" si="14">ROUND(D$289*$M295,-1)</f>
        <v>5630</v>
      </c>
      <c r="E297" s="143">
        <f t="shared" si="14"/>
        <v>5630</v>
      </c>
      <c r="F297" s="143">
        <f t="shared" si="14"/>
        <v>3750</v>
      </c>
      <c r="G297" s="143">
        <f t="shared" si="14"/>
        <v>18750</v>
      </c>
      <c r="H297" s="143">
        <f t="shared" si="14"/>
        <v>2280</v>
      </c>
      <c r="I297" s="143">
        <f t="shared" si="14"/>
        <v>1580</v>
      </c>
      <c r="J297" s="143">
        <f t="shared" si="14"/>
        <v>1580</v>
      </c>
      <c r="K297" s="143">
        <f t="shared" si="14"/>
        <v>1920</v>
      </c>
      <c r="T297" s="25">
        <v>0.016</v>
      </c>
      <c r="U297" s="25">
        <v>0.016</v>
      </c>
    </row>
    <row r="298" ht="18" customHeight="1" spans="2:21">
      <c r="C298" s="29">
        <v>9</v>
      </c>
      <c r="D298" s="143">
        <f t="shared" ref="D298:K298" si="15">ROUND(D$289*$M296,-1)</f>
        <v>8440</v>
      </c>
      <c r="E298" s="143">
        <f t="shared" si="15"/>
        <v>8440</v>
      </c>
      <c r="F298" s="143">
        <f t="shared" si="15"/>
        <v>5630</v>
      </c>
      <c r="G298" s="143">
        <f t="shared" si="15"/>
        <v>28130</v>
      </c>
      <c r="H298" s="143">
        <f t="shared" si="15"/>
        <v>3410</v>
      </c>
      <c r="I298" s="143">
        <f t="shared" si="15"/>
        <v>2360</v>
      </c>
      <c r="J298" s="143">
        <f t="shared" si="15"/>
        <v>2360</v>
      </c>
      <c r="K298" s="143">
        <f t="shared" si="15"/>
        <v>2890</v>
      </c>
      <c r="T298" s="25">
        <v>0.024</v>
      </c>
      <c r="U298" s="25">
        <v>0.024</v>
      </c>
    </row>
    <row r="299" spans="2:21">
      <c r="T299" s="25">
        <v>0.032</v>
      </c>
      <c r="U299" s="25">
        <v>0.032</v>
      </c>
    </row>
    <row r="300" spans="2:21">
      <c r="T300" s="25">
        <v>0.04</v>
      </c>
      <c r="U300" s="25">
        <v>0.04</v>
      </c>
    </row>
    <row r="304" ht="18" customHeight="1"/>
    <row r="306" spans="2:19">
      <c r="L306" s="25">
        <v>0.02</v>
      </c>
      <c r="M306" s="25">
        <v>0.02</v>
      </c>
      <c r="N306" s="25">
        <v>0.02</v>
      </c>
      <c r="O306" s="25">
        <v>0.02</v>
      </c>
      <c r="P306" s="25">
        <v>26.65</v>
      </c>
      <c r="Q306" s="25">
        <v>18.45</v>
      </c>
      <c r="R306" s="25">
        <v>18.45</v>
      </c>
      <c r="S306" s="25">
        <v>22.55</v>
      </c>
    </row>
    <row r="307" spans="2:19">
      <c r="L307" s="25">
        <v>0.04</v>
      </c>
      <c r="M307" s="25">
        <v>0.04</v>
      </c>
      <c r="N307" s="25">
        <v>0.04</v>
      </c>
      <c r="O307" s="25">
        <v>0.04</v>
      </c>
      <c r="P307" s="25">
        <v>53.3</v>
      </c>
      <c r="Q307" s="25">
        <v>36.9</v>
      </c>
      <c r="R307" s="25">
        <v>36.9</v>
      </c>
      <c r="S307" s="25">
        <v>45.1</v>
      </c>
    </row>
    <row r="308" spans="2:19">
      <c r="L308" s="25">
        <v>0.06</v>
      </c>
      <c r="M308" s="25">
        <v>0.06</v>
      </c>
      <c r="N308" s="25">
        <v>0.06</v>
      </c>
      <c r="O308" s="25">
        <v>0.06</v>
      </c>
      <c r="P308" s="25">
        <v>79.95</v>
      </c>
      <c r="Q308" s="25">
        <v>55.35</v>
      </c>
      <c r="R308" s="25">
        <v>55.35</v>
      </c>
      <c r="S308" s="25">
        <v>67.65</v>
      </c>
    </row>
    <row r="309" spans="2:19">
      <c r="L309" s="25">
        <v>0.08</v>
      </c>
      <c r="M309" s="25">
        <v>0.08</v>
      </c>
      <c r="N309" s="25">
        <v>0.08</v>
      </c>
      <c r="O309" s="25">
        <v>0.08</v>
      </c>
      <c r="P309" s="25">
        <v>106.6</v>
      </c>
      <c r="Q309" s="25">
        <v>73.8</v>
      </c>
      <c r="R309" s="25">
        <v>73.8</v>
      </c>
      <c r="S309" s="25">
        <v>90.2</v>
      </c>
    </row>
    <row r="310" spans="2:19">
      <c r="L310" s="25">
        <v>0.1</v>
      </c>
      <c r="M310" s="25">
        <v>0.1</v>
      </c>
      <c r="N310" s="25">
        <v>0.1</v>
      </c>
      <c r="O310" s="25">
        <v>0.1</v>
      </c>
      <c r="P310" s="25">
        <v>133.25</v>
      </c>
      <c r="Q310" s="25">
        <v>92.25</v>
      </c>
      <c r="R310" s="25">
        <v>92.25</v>
      </c>
      <c r="S310" s="25">
        <v>112.75</v>
      </c>
    </row>
    <row r="312" ht="18" customHeight="1" spans="2:19">
      <c r="B312" s="133" t="s">
        <v>500</v>
      </c>
    </row>
    <row r="313" spans="2:19">
      <c r="C313" s="25" t="s">
        <v>501</v>
      </c>
      <c r="D313" s="25" t="s">
        <v>502</v>
      </c>
    </row>
    <row r="314" spans="2:19">
      <c r="B314" s="61" t="s">
        <v>256</v>
      </c>
      <c r="C314" s="25">
        <v>0</v>
      </c>
      <c r="D314" s="25">
        <v>2</v>
      </c>
    </row>
    <row r="315" spans="2:19">
      <c r="B315" s="60" t="s">
        <v>257</v>
      </c>
      <c r="C315" s="25">
        <v>0</v>
      </c>
      <c r="D315" s="25">
        <v>2</v>
      </c>
    </row>
    <row r="316" spans="2:19">
      <c r="B316" s="58" t="s">
        <v>258</v>
      </c>
      <c r="C316" s="25">
        <v>0</v>
      </c>
      <c r="D316" s="25">
        <v>2</v>
      </c>
    </row>
    <row r="317" spans="2:19">
      <c r="B317" s="128" t="s">
        <v>259</v>
      </c>
      <c r="C317" s="25">
        <v>0</v>
      </c>
      <c r="D317" s="25">
        <v>2</v>
      </c>
    </row>
  </sheetData>
  <mergeCells count="7">
    <mergeCell ref="K29:M29"/>
    <mergeCell ref="O29:Q29"/>
    <mergeCell ref="K30:M30"/>
    <mergeCell ref="O30:Q30"/>
    <mergeCell ref="C48:C50"/>
    <mergeCell ref="D51:D57"/>
    <mergeCell ref="J52:J5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1"/>
  <sheetViews>
    <sheetView tabSelected="1" workbookViewId="0">
      <selection activeCell="A54" sqref="A54"/>
    </sheetView>
  </sheetViews>
  <sheetFormatPr defaultColWidth="9" defaultRowHeight="16.5"/>
  <cols>
    <col min="1" max="1" width="10.875" style="29" customWidth="1"/>
    <col min="2" max="2" width="13.625" style="29" customWidth="1"/>
    <col min="3" max="4" width="15" style="29" customWidth="1"/>
    <col min="5" max="5" width="8.875" style="29" customWidth="1"/>
    <col min="6" max="6" width="12.875" style="29" customWidth="1"/>
    <col min="7" max="8" width="10.875" style="29" customWidth="1"/>
    <col min="9" max="9" width="12.875" style="29" customWidth="1"/>
    <col min="10" max="10" width="17.125" style="29" customWidth="1"/>
    <col min="11" max="12" width="12.875" style="29" customWidth="1"/>
    <col min="13" max="13" width="8.875" style="29" customWidth="1"/>
    <col min="14" max="14" width="9" style="29" customWidth="1"/>
    <col min="15" max="15" width="16.5" style="29" customWidth="1"/>
    <col min="16" max="16" width="15" style="29" customWidth="1"/>
    <col min="17" max="19" width="9" style="29" customWidth="1"/>
    <col min="20" max="20" width="12.625" style="29" customWidth="1"/>
    <col min="21" max="21" width="12.5" style="29" customWidth="1"/>
    <col min="22" max="16384" width="9" style="29" customWidth="1"/>
  </cols>
  <sheetData>
    <row r="1" spans="1:16">
      <c r="A1" s="96" t="s">
        <v>503</v>
      </c>
    </row>
    <row r="2" spans="1:16">
      <c r="A2" s="86" t="s">
        <v>291</v>
      </c>
      <c r="B2" s="86" t="s">
        <v>151</v>
      </c>
      <c r="C2" s="86" t="s">
        <v>504</v>
      </c>
      <c r="D2" s="86" t="s">
        <v>505</v>
      </c>
      <c r="E2" s="86" t="s">
        <v>502</v>
      </c>
      <c r="F2" s="86" t="s">
        <v>501</v>
      </c>
      <c r="G2" s="86" t="s">
        <v>506</v>
      </c>
      <c r="H2" s="86" t="s">
        <v>507</v>
      </c>
      <c r="I2" s="86" t="s">
        <v>508</v>
      </c>
      <c r="J2" s="86" t="s">
        <v>509</v>
      </c>
      <c r="K2" s="86" t="s">
        <v>510</v>
      </c>
      <c r="L2" s="86" t="s">
        <v>511</v>
      </c>
    </row>
    <row r="3" spans="1:16">
      <c r="A3" s="29" t="s">
        <v>490</v>
      </c>
      <c r="B3" s="29">
        <v>30</v>
      </c>
      <c r="C3" s="57">
        <f>'设计页-映射装备数值'!D150</f>
        <v>0.3</v>
      </c>
      <c r="D3" s="57">
        <f>'设计页-映射装备数值'!H164</f>
        <v>0.3</v>
      </c>
      <c r="E3" s="29">
        <f>'设计页-映射装备数值'!D314</f>
        <v>2</v>
      </c>
      <c r="F3" s="29">
        <f>'设计页-映射装备数值'!C314</f>
        <v>0</v>
      </c>
      <c r="G3" s="29">
        <v>2</v>
      </c>
      <c r="H3" s="29">
        <v>1</v>
      </c>
      <c r="I3" s="97">
        <v>500</v>
      </c>
      <c r="K3" s="29" t="s">
        <v>512</v>
      </c>
      <c r="L3" s="29">
        <v>1000</v>
      </c>
    </row>
    <row r="4" spans="1:16">
      <c r="A4" s="29" t="s">
        <v>493</v>
      </c>
      <c r="B4" s="29">
        <v>40</v>
      </c>
      <c r="C4" s="57">
        <f>'设计页-映射装备数值'!D151</f>
        <v>0.5</v>
      </c>
      <c r="D4" s="57">
        <f>'设计页-映射装备数值'!H165</f>
        <v>0.5</v>
      </c>
      <c r="E4" s="29">
        <f>'设计页-映射装备数值'!D315</f>
        <v>2</v>
      </c>
      <c r="F4" s="29">
        <f>'设计页-映射装备数值'!C315</f>
        <v>0</v>
      </c>
      <c r="G4" s="29">
        <v>3</v>
      </c>
      <c r="H4" s="29">
        <v>1</v>
      </c>
      <c r="I4" s="97">
        <v>1500</v>
      </c>
      <c r="K4" s="29" t="s">
        <v>513</v>
      </c>
      <c r="L4" s="29">
        <v>1000</v>
      </c>
    </row>
    <row r="5" spans="1:16">
      <c r="A5" s="29" t="s">
        <v>514</v>
      </c>
      <c r="B5" s="29">
        <v>50</v>
      </c>
      <c r="C5" s="57">
        <f>'设计页-映射装备数值'!D152</f>
        <v>0.75</v>
      </c>
      <c r="D5" s="57">
        <f>'设计页-映射装备数值'!H166</f>
        <v>0.75</v>
      </c>
      <c r="E5" s="29">
        <f>'设计页-映射装备数值'!D316</f>
        <v>2</v>
      </c>
      <c r="F5" s="29">
        <f>'设计页-映射装备数值'!C316</f>
        <v>0</v>
      </c>
      <c r="G5" s="29">
        <v>4</v>
      </c>
      <c r="H5" s="29">
        <v>2</v>
      </c>
      <c r="I5" s="97">
        <v>5000</v>
      </c>
      <c r="J5" s="29" t="s">
        <v>515</v>
      </c>
      <c r="K5" s="29" t="s">
        <v>516</v>
      </c>
      <c r="L5" s="29">
        <v>1000</v>
      </c>
    </row>
    <row r="6" spans="1:16">
      <c r="A6" s="29" t="s">
        <v>489</v>
      </c>
      <c r="B6" s="29">
        <v>60</v>
      </c>
      <c r="C6" s="57">
        <f>'设计页-映射装备数值'!D153</f>
        <v>1</v>
      </c>
      <c r="D6" s="57">
        <f>'设计页-映射装备数值'!H167</f>
        <v>1</v>
      </c>
      <c r="E6" s="29">
        <f>'设计页-映射装备数值'!D317</f>
        <v>2</v>
      </c>
      <c r="F6" s="29">
        <f>'设计页-映射装备数值'!C317</f>
        <v>0</v>
      </c>
      <c r="G6" s="29">
        <v>5</v>
      </c>
      <c r="H6" s="29">
        <v>5</v>
      </c>
      <c r="I6" s="97">
        <v>10000</v>
      </c>
      <c r="J6" s="29" t="s">
        <v>517</v>
      </c>
      <c r="K6" s="29" t="s">
        <v>518</v>
      </c>
      <c r="L6" s="29">
        <v>1000</v>
      </c>
    </row>
    <row r="8" spans="1:16">
      <c r="A8" s="96" t="s">
        <v>519</v>
      </c>
      <c r="B8" s="39" t="s">
        <v>520</v>
      </c>
      <c r="O8" s="96" t="s">
        <v>521</v>
      </c>
    </row>
    <row r="9" spans="1:16">
      <c r="A9" s="86" t="s">
        <v>522</v>
      </c>
      <c r="B9" s="86" t="s">
        <v>404</v>
      </c>
      <c r="C9" s="86" t="s">
        <v>523</v>
      </c>
      <c r="D9" s="86" t="s">
        <v>405</v>
      </c>
      <c r="E9" s="86" t="s">
        <v>88</v>
      </c>
      <c r="F9" s="86" t="s">
        <v>524</v>
      </c>
      <c r="G9" s="86" t="s">
        <v>525</v>
      </c>
      <c r="H9" s="86" t="s">
        <v>526</v>
      </c>
      <c r="I9" s="86" t="s">
        <v>407</v>
      </c>
      <c r="J9" s="86" t="s">
        <v>88</v>
      </c>
      <c r="K9" s="86" t="s">
        <v>524</v>
      </c>
      <c r="L9" s="86" t="s">
        <v>525</v>
      </c>
      <c r="M9" s="86" t="s">
        <v>526</v>
      </c>
      <c r="O9" s="86" t="s">
        <v>527</v>
      </c>
    </row>
    <row r="10" spans="1:16">
      <c r="A10" s="25" t="s">
        <v>409</v>
      </c>
      <c r="B10" s="91" t="s">
        <v>528</v>
      </c>
      <c r="C10" s="29" t="s">
        <v>490</v>
      </c>
      <c r="D10" s="29" t="s">
        <v>80</v>
      </c>
      <c r="E10" s="29">
        <f>VLOOKUP($C10,$A$3:$L$6,3,0)*E13</f>
        <v>168</v>
      </c>
      <c r="F10" s="29">
        <f>VLOOKUP($C10,$A$3:$L$6,3,0)*F13</f>
        <v>25.2</v>
      </c>
      <c r="G10" s="29">
        <f>VLOOKUP($C10,$A$3:$L$6,3,0)*G13</f>
        <v>193.2</v>
      </c>
      <c r="H10" s="29">
        <f t="shared" ref="H10:H21" si="0">E10+VLOOKUP(C10,$A$3:$L$6,2,0)*F10</f>
        <v>924</v>
      </c>
      <c r="I10" s="29" t="s">
        <v>143</v>
      </c>
      <c r="J10" s="29">
        <f>VLOOKUP($C10,$A$3:$L$6,3,0)*J13</f>
        <v>87</v>
      </c>
      <c r="K10" s="29">
        <f>VLOOKUP($C10,$A$3:$L$6,3,0)*K13</f>
        <v>13.2</v>
      </c>
      <c r="L10" s="29">
        <f>VLOOKUP($C10,$A$3:$L$6,3,0)*L13</f>
        <v>100.2</v>
      </c>
      <c r="M10" s="29">
        <f t="shared" ref="M10:M21" si="1">J10+VLOOKUP(C10,$A$3:$L$6,2,0)*K10</f>
        <v>483</v>
      </c>
      <c r="O10" s="29">
        <v>0.8</v>
      </c>
    </row>
    <row r="11" spans="1:16">
      <c r="A11" s="25" t="s">
        <v>409</v>
      </c>
      <c r="B11" s="91" t="s">
        <v>528</v>
      </c>
      <c r="C11" s="29" t="s">
        <v>493</v>
      </c>
      <c r="D11" s="29" t="s">
        <v>80</v>
      </c>
      <c r="E11" s="29">
        <f>VLOOKUP($C11,$A$3:$L$6,3,0)*E13</f>
        <v>280</v>
      </c>
      <c r="F11" s="29">
        <f>VLOOKUP($C11,$A$3:$L$6,3,0)*F13</f>
        <v>42</v>
      </c>
      <c r="G11" s="29">
        <f>VLOOKUP($C11,$A$3:$L$6,3,0)*G13</f>
        <v>322</v>
      </c>
      <c r="H11" s="29">
        <f t="shared" si="0"/>
        <v>1960</v>
      </c>
      <c r="I11" s="29" t="s">
        <v>143</v>
      </c>
      <c r="J11" s="29">
        <f>VLOOKUP($C11,$A$3:$L$6,3,0)*J13</f>
        <v>145</v>
      </c>
      <c r="K11" s="29">
        <f>VLOOKUP($C11,$A$3:$L$6,3,0)*K13</f>
        <v>22</v>
      </c>
      <c r="L11" s="29">
        <f>VLOOKUP($C11,$A$3:$L$6,3,0)*L13</f>
        <v>167</v>
      </c>
      <c r="M11" s="29">
        <f t="shared" si="1"/>
        <v>1025</v>
      </c>
    </row>
    <row r="12" spans="1:16">
      <c r="A12" s="25" t="s">
        <v>409</v>
      </c>
      <c r="B12" s="91" t="s">
        <v>528</v>
      </c>
      <c r="C12" s="29" t="s">
        <v>514</v>
      </c>
      <c r="D12" s="29" t="s">
        <v>80</v>
      </c>
      <c r="E12" s="29">
        <f>VLOOKUP($C12,$A$3:$L$6,3,0)*E13</f>
        <v>420</v>
      </c>
      <c r="F12" s="29">
        <f>VLOOKUP($C12,$A$3:$L$6,3,0)*F13</f>
        <v>63</v>
      </c>
      <c r="G12" s="29">
        <f>VLOOKUP($C12,$A$3:$L$6,3,0)*G13</f>
        <v>483</v>
      </c>
      <c r="H12" s="29">
        <f t="shared" si="0"/>
        <v>3570</v>
      </c>
      <c r="I12" s="29" t="s">
        <v>143</v>
      </c>
      <c r="J12" s="29">
        <f>VLOOKUP($C12,$A$3:$L$6,3,0)*J13</f>
        <v>217.5</v>
      </c>
      <c r="K12" s="29">
        <f>VLOOKUP($C12,$A$3:$L$6,3,0)*K13</f>
        <v>33</v>
      </c>
      <c r="L12" s="29">
        <f>VLOOKUP($C12,$A$3:$L$6,3,0)*L13</f>
        <v>250.5</v>
      </c>
      <c r="M12" s="29">
        <f t="shared" si="1"/>
        <v>1867.5</v>
      </c>
      <c r="O12" s="39" t="s">
        <v>529</v>
      </c>
    </row>
    <row r="13" spans="1:16">
      <c r="A13" s="25" t="s">
        <v>409</v>
      </c>
      <c r="B13" s="91" t="s">
        <v>528</v>
      </c>
      <c r="C13" s="29" t="s">
        <v>489</v>
      </c>
      <c r="D13" s="29" t="s">
        <v>80</v>
      </c>
      <c r="E13" s="98">
        <f>'设计页-映射装备数值'!C117</f>
        <v>560</v>
      </c>
      <c r="F13" s="98">
        <f>'设计页-映射装备数值'!G117</f>
        <v>84</v>
      </c>
      <c r="G13" s="29">
        <f>E13+F13</f>
        <v>644</v>
      </c>
      <c r="H13" s="99">
        <f t="shared" si="0"/>
        <v>5600</v>
      </c>
      <c r="I13" s="29" t="s">
        <v>143</v>
      </c>
      <c r="J13" s="98">
        <f>'设计页-映射装备数值'!E117</f>
        <v>290</v>
      </c>
      <c r="K13" s="98">
        <f>'设计页-映射装备数值'!I117</f>
        <v>44</v>
      </c>
      <c r="L13" s="29">
        <f>J13+K13</f>
        <v>334</v>
      </c>
      <c r="M13" s="99">
        <f t="shared" si="1"/>
        <v>2930</v>
      </c>
    </row>
    <row r="14" ht="18" customHeight="1" spans="1:16">
      <c r="A14" s="25" t="s">
        <v>409</v>
      </c>
      <c r="B14" s="95" t="s">
        <v>530</v>
      </c>
      <c r="C14" s="29" t="s">
        <v>490</v>
      </c>
      <c r="D14" s="29" t="s">
        <v>80</v>
      </c>
      <c r="E14" s="29">
        <f>VLOOKUP($C14,$A$3:$L$6,3,0)*E17</f>
        <v>168</v>
      </c>
      <c r="F14" s="29">
        <f>VLOOKUP($C14,$A$3:$L$6,3,0)*F17</f>
        <v>25.2</v>
      </c>
      <c r="G14" s="29">
        <f>VLOOKUP($C14,$A$3:$L$6,3,0)*G17</f>
        <v>193.2</v>
      </c>
      <c r="H14" s="29">
        <f t="shared" si="0"/>
        <v>924</v>
      </c>
      <c r="I14" s="29" t="s">
        <v>80</v>
      </c>
      <c r="J14" s="29">
        <f>VLOOKUP($C14,$A$3:$L$6,3,0)*J17</f>
        <v>168</v>
      </c>
      <c r="K14" s="29">
        <f>VLOOKUP($C14,$A$3:$L$6,3,0)*K17</f>
        <v>25.2</v>
      </c>
      <c r="L14" s="29">
        <f>VLOOKUP($C14,$A$3:$L$6,3,0)*L17</f>
        <v>193.2</v>
      </c>
      <c r="M14" s="29">
        <f t="shared" si="1"/>
        <v>924</v>
      </c>
    </row>
    <row r="15" spans="1:16">
      <c r="A15" s="25" t="s">
        <v>409</v>
      </c>
      <c r="B15" s="95" t="s">
        <v>530</v>
      </c>
      <c r="C15" s="29" t="s">
        <v>493</v>
      </c>
      <c r="D15" s="29" t="s">
        <v>80</v>
      </c>
      <c r="E15" s="29">
        <f>VLOOKUP($C15,$A$3:$L$6,3,0)*E17</f>
        <v>280</v>
      </c>
      <c r="F15" s="29">
        <f>VLOOKUP($C15,$A$3:$L$6,3,0)*F17</f>
        <v>42</v>
      </c>
      <c r="G15" s="29">
        <f>VLOOKUP($C15,$A$3:$L$6,3,0)*G17</f>
        <v>322</v>
      </c>
      <c r="H15" s="29">
        <f t="shared" si="0"/>
        <v>1960</v>
      </c>
      <c r="I15" s="29" t="s">
        <v>80</v>
      </c>
      <c r="J15" s="29">
        <f>VLOOKUP($C15,$A$3:$L$6,3,0)*J17</f>
        <v>280</v>
      </c>
      <c r="K15" s="29">
        <f>VLOOKUP($C15,$A$3:$L$6,3,0)*K17</f>
        <v>42</v>
      </c>
      <c r="L15" s="29">
        <f>VLOOKUP($C15,$A$3:$L$6,3,0)*L17</f>
        <v>322</v>
      </c>
      <c r="M15" s="29">
        <f t="shared" si="1"/>
        <v>1960</v>
      </c>
      <c r="O15" s="96" t="s">
        <v>531</v>
      </c>
    </row>
    <row r="16" spans="1:16">
      <c r="A16" s="25" t="s">
        <v>409</v>
      </c>
      <c r="B16" s="95" t="s">
        <v>530</v>
      </c>
      <c r="C16" s="29" t="s">
        <v>514</v>
      </c>
      <c r="D16" s="29" t="s">
        <v>80</v>
      </c>
      <c r="E16" s="29">
        <f>VLOOKUP($C16,$A$3:$L$6,3,0)*E17</f>
        <v>420</v>
      </c>
      <c r="F16" s="29">
        <f>VLOOKUP($C16,$A$3:$L$6,3,0)*F17</f>
        <v>63</v>
      </c>
      <c r="G16" s="29">
        <f>VLOOKUP($C16,$A$3:$L$6,3,0)*G17</f>
        <v>483</v>
      </c>
      <c r="H16" s="29">
        <f t="shared" si="0"/>
        <v>3570</v>
      </c>
      <c r="I16" s="29" t="s">
        <v>80</v>
      </c>
      <c r="J16" s="29">
        <f>VLOOKUP($C16,$A$3:$L$6,3,0)*J17</f>
        <v>420</v>
      </c>
      <c r="K16" s="29">
        <f>VLOOKUP($C16,$A$3:$L$6,3,0)*K17</f>
        <v>63</v>
      </c>
      <c r="L16" s="29">
        <f>VLOOKUP($C16,$A$3:$L$6,3,0)*L17</f>
        <v>483</v>
      </c>
      <c r="M16" s="29">
        <f t="shared" si="1"/>
        <v>3570</v>
      </c>
      <c r="O16" s="86" t="s">
        <v>532</v>
      </c>
      <c r="P16" s="86" t="s">
        <v>533</v>
      </c>
    </row>
    <row r="17" spans="1:24">
      <c r="A17" s="25" t="s">
        <v>409</v>
      </c>
      <c r="B17" s="95" t="s">
        <v>530</v>
      </c>
      <c r="C17" s="29" t="s">
        <v>489</v>
      </c>
      <c r="D17" s="29" t="s">
        <v>80</v>
      </c>
      <c r="E17" s="98">
        <f>'设计页-映射装备数值'!C117</f>
        <v>560</v>
      </c>
      <c r="F17" s="98">
        <f>'设计页-映射装备数值'!G117</f>
        <v>84</v>
      </c>
      <c r="G17" s="29">
        <f>E17+F17</f>
        <v>644</v>
      </c>
      <c r="H17" s="99">
        <f t="shared" si="0"/>
        <v>5600</v>
      </c>
      <c r="I17" s="29" t="s">
        <v>80</v>
      </c>
      <c r="J17" s="98">
        <f>'设计页-映射装备数值'!D117</f>
        <v>560</v>
      </c>
      <c r="K17" s="98">
        <f>'设计页-映射装备数值'!H117</f>
        <v>84</v>
      </c>
      <c r="L17" s="29">
        <f>J17+K17</f>
        <v>644</v>
      </c>
      <c r="M17" s="99">
        <f t="shared" si="1"/>
        <v>5600</v>
      </c>
      <c r="O17" s="29">
        <v>20</v>
      </c>
      <c r="P17" s="29">
        <v>1.25</v>
      </c>
    </row>
    <row r="18" ht="18" customHeight="1" spans="1:24">
      <c r="A18" s="25" t="s">
        <v>409</v>
      </c>
      <c r="B18" s="95" t="s">
        <v>412</v>
      </c>
      <c r="C18" s="29" t="s">
        <v>490</v>
      </c>
      <c r="D18" s="29" t="s">
        <v>80</v>
      </c>
      <c r="E18" s="29">
        <f>VLOOKUP($C18,$A$3:$L$6,3,0)*E21</f>
        <v>168</v>
      </c>
      <c r="F18" s="29">
        <f>VLOOKUP($C18,$A$3:$L$6,3,0)*F21</f>
        <v>25.2</v>
      </c>
      <c r="G18" s="29">
        <f>VLOOKUP($C18,$A$3:$L$6,3,0)*G21</f>
        <v>193.2</v>
      </c>
      <c r="H18" s="29">
        <f t="shared" si="0"/>
        <v>924</v>
      </c>
      <c r="I18" s="29" t="s">
        <v>143</v>
      </c>
      <c r="J18" s="29">
        <f>VLOOKUP($C18,$A$3:$L$6,3,0)*J21</f>
        <v>87</v>
      </c>
      <c r="K18" s="29">
        <f>VLOOKUP($C18,$A$3:$L$6,3,0)*K21</f>
        <v>13.2</v>
      </c>
      <c r="L18" s="29">
        <f>VLOOKUP($C18,$A$3:$L$6,3,0)*L21</f>
        <v>100.2</v>
      </c>
      <c r="M18" s="29">
        <f t="shared" si="1"/>
        <v>483</v>
      </c>
    </row>
    <row r="19" spans="1:24">
      <c r="A19" s="25" t="s">
        <v>409</v>
      </c>
      <c r="B19" s="95" t="s">
        <v>412</v>
      </c>
      <c r="C19" s="29" t="s">
        <v>493</v>
      </c>
      <c r="D19" s="29" t="s">
        <v>80</v>
      </c>
      <c r="E19" s="29">
        <f>VLOOKUP($C19,$A$3:$L$6,3,0)*E21</f>
        <v>280</v>
      </c>
      <c r="F19" s="29">
        <f>VLOOKUP($C19,$A$3:$L$6,3,0)*F21</f>
        <v>42</v>
      </c>
      <c r="G19" s="29">
        <f>VLOOKUP($C19,$A$3:$L$6,3,0)*G21</f>
        <v>322</v>
      </c>
      <c r="H19" s="29">
        <f t="shared" si="0"/>
        <v>1960</v>
      </c>
      <c r="I19" s="29" t="s">
        <v>143</v>
      </c>
      <c r="J19" s="29">
        <f>VLOOKUP($C19,$A$3:$L$6,3,0)*J21</f>
        <v>145</v>
      </c>
      <c r="K19" s="29">
        <f>VLOOKUP($C19,$A$3:$L$6,3,0)*K21</f>
        <v>22</v>
      </c>
      <c r="L19" s="29">
        <f>VLOOKUP($C19,$A$3:$L$6,3,0)*L21</f>
        <v>167</v>
      </c>
      <c r="M19" s="29">
        <f t="shared" si="1"/>
        <v>1025</v>
      </c>
      <c r="O19" s="39" t="s">
        <v>534</v>
      </c>
    </row>
    <row r="20" spans="1:24">
      <c r="A20" s="25" t="s">
        <v>409</v>
      </c>
      <c r="B20" s="95" t="s">
        <v>412</v>
      </c>
      <c r="C20" s="29" t="s">
        <v>514</v>
      </c>
      <c r="D20" s="29" t="s">
        <v>80</v>
      </c>
      <c r="E20" s="29">
        <f>VLOOKUP($C20,$A$3:$L$6,3,0)*E21</f>
        <v>420</v>
      </c>
      <c r="F20" s="29">
        <f>VLOOKUP($C20,$A$3:$L$6,3,0)*F21</f>
        <v>63</v>
      </c>
      <c r="G20" s="29">
        <f>VLOOKUP($C20,$A$3:$L$6,3,0)*G21</f>
        <v>483</v>
      </c>
      <c r="H20" s="29">
        <f t="shared" si="0"/>
        <v>3570</v>
      </c>
      <c r="I20" s="29" t="s">
        <v>143</v>
      </c>
      <c r="J20" s="29">
        <f>VLOOKUP($C20,$A$3:$L$6,3,0)*J21</f>
        <v>217.5</v>
      </c>
      <c r="K20" s="29">
        <f>VLOOKUP($C20,$A$3:$L$6,3,0)*K21</f>
        <v>33</v>
      </c>
      <c r="L20" s="29">
        <f>VLOOKUP($C20,$A$3:$L$6,3,0)*L21</f>
        <v>250.5</v>
      </c>
      <c r="M20" s="29">
        <f t="shared" si="1"/>
        <v>1867.5</v>
      </c>
    </row>
    <row r="21" spans="1:24">
      <c r="A21" s="25" t="s">
        <v>409</v>
      </c>
      <c r="B21" s="95" t="s">
        <v>412</v>
      </c>
      <c r="C21" s="29" t="s">
        <v>489</v>
      </c>
      <c r="D21" s="29" t="s">
        <v>80</v>
      </c>
      <c r="E21" s="98">
        <f>'设计页-映射装备数值'!D117</f>
        <v>560</v>
      </c>
      <c r="F21" s="98">
        <f>'设计页-映射装备数值'!H117</f>
        <v>84</v>
      </c>
      <c r="G21" s="29">
        <f>E21+F21</f>
        <v>644</v>
      </c>
      <c r="H21" s="99">
        <f t="shared" si="0"/>
        <v>5600</v>
      </c>
      <c r="I21" s="29" t="s">
        <v>143</v>
      </c>
      <c r="J21" s="98">
        <f>'设计页-映射装备数值'!E117</f>
        <v>290</v>
      </c>
      <c r="K21" s="98">
        <f>'设计页-映射装备数值'!I117</f>
        <v>44</v>
      </c>
      <c r="L21" s="29">
        <f>J21+K21</f>
        <v>334</v>
      </c>
      <c r="M21" s="99">
        <f t="shared" si="1"/>
        <v>2930</v>
      </c>
    </row>
    <row r="22" spans="1:24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X22" s="29" t="s">
        <v>535</v>
      </c>
    </row>
    <row r="23" ht="13.5" customHeight="1" spans="1:24">
      <c r="A23" s="25" t="s">
        <v>413</v>
      </c>
      <c r="B23" s="95" t="s">
        <v>536</v>
      </c>
      <c r="C23" s="29" t="s">
        <v>490</v>
      </c>
      <c r="D23" s="29" t="s">
        <v>79</v>
      </c>
      <c r="E23" s="29">
        <f>VLOOKUP($C23,$A$3:$L$6,3,0)*E26</f>
        <v>562.5</v>
      </c>
      <c r="F23" s="29">
        <f>VLOOKUP($C23,$A$3:$L$6,3,0)*F26</f>
        <v>84.375</v>
      </c>
      <c r="G23" s="29">
        <f>VLOOKUP($C23,$A$3:$L$6,3,0)*G26</f>
        <v>646.875</v>
      </c>
      <c r="H23" s="29">
        <f>E23+VLOOKUP(C23,$A$3:$L$6,2,0)*F23</f>
        <v>3093.75</v>
      </c>
      <c r="I23" s="29" t="s">
        <v>537</v>
      </c>
      <c r="J23" s="101">
        <f>VLOOKUP($C23,$A$3:$L$6,3,0)*J26</f>
        <v>0.012</v>
      </c>
      <c r="K23" s="101">
        <f>VLOOKUP($C23,$A$3:$L$6,3,0)*K26</f>
        <v>0.0018</v>
      </c>
      <c r="L23" s="101">
        <f>VLOOKUP($C23,$A$3:$L$6,3,0)*L26</f>
        <v>0.0138</v>
      </c>
      <c r="M23" s="101">
        <f>J23+VLOOKUP(C23,$A$3:$L$6,2,0)*K23</f>
        <v>0.066</v>
      </c>
      <c r="X23" s="86" t="s">
        <v>538</v>
      </c>
    </row>
    <row r="24" spans="1:24">
      <c r="A24" s="25" t="s">
        <v>413</v>
      </c>
      <c r="B24" s="95" t="s">
        <v>536</v>
      </c>
      <c r="C24" s="29" t="s">
        <v>493</v>
      </c>
      <c r="D24" s="29" t="s">
        <v>79</v>
      </c>
      <c r="E24" s="29">
        <f>VLOOKUP($C24,$A$3:$L$6,3,0)*E26</f>
        <v>937.5</v>
      </c>
      <c r="F24" s="29">
        <f>VLOOKUP($C24,$A$3:$L$6,3,0)*F26</f>
        <v>140.625</v>
      </c>
      <c r="G24" s="29">
        <f>VLOOKUP($C24,$A$3:$L$6,3,0)*G26</f>
        <v>1078.125</v>
      </c>
      <c r="H24" s="29">
        <f>E24+VLOOKUP(C24,$A$3:$L$6,2,0)*F24</f>
        <v>6562.5</v>
      </c>
      <c r="I24" s="29" t="s">
        <v>537</v>
      </c>
      <c r="J24" s="101">
        <f>VLOOKUP($C24,$A$3:$L$6,3,0)*J26</f>
        <v>0.02</v>
      </c>
      <c r="K24" s="101">
        <f>VLOOKUP($C24,$A$3:$L$6,3,0)*K26</f>
        <v>0.003</v>
      </c>
      <c r="L24" s="101">
        <f>VLOOKUP($C24,$A$3:$L$6,3,0)*L26</f>
        <v>0.023</v>
      </c>
      <c r="M24" s="101">
        <f>J24+VLOOKUP(C24,$A$3:$L$6,2,0)*K24</f>
        <v>0.14</v>
      </c>
      <c r="X24" s="29">
        <v>1000</v>
      </c>
    </row>
    <row r="25" spans="1:24">
      <c r="A25" s="25" t="s">
        <v>413</v>
      </c>
      <c r="B25" s="95" t="s">
        <v>536</v>
      </c>
      <c r="C25" s="29" t="s">
        <v>514</v>
      </c>
      <c r="D25" s="29" t="s">
        <v>79</v>
      </c>
      <c r="E25" s="29">
        <f>VLOOKUP($C25,$A$3:$L$6,3,0)*E26</f>
        <v>1406.25</v>
      </c>
      <c r="F25" s="29">
        <f>VLOOKUP($C25,$A$3:$L$6,3,0)*F26</f>
        <v>210.9375</v>
      </c>
      <c r="G25" s="29">
        <f>VLOOKUP($C25,$A$3:$L$6,3,0)*G26</f>
        <v>1617.1875</v>
      </c>
      <c r="H25" s="29">
        <f>E25+VLOOKUP(C25,$A$3:$L$6,2,0)*F25</f>
        <v>11953.125</v>
      </c>
      <c r="I25" s="29" t="s">
        <v>537</v>
      </c>
      <c r="J25" s="101">
        <f>VLOOKUP($C25,$A$3:$L$6,3,0)*J26</f>
        <v>0.03</v>
      </c>
      <c r="K25" s="101">
        <f>VLOOKUP($C25,$A$3:$L$6,3,0)*K26</f>
        <v>0.0045</v>
      </c>
      <c r="L25" s="101">
        <f>VLOOKUP($C25,$A$3:$L$6,3,0)*L26</f>
        <v>0.0345</v>
      </c>
      <c r="M25" s="101">
        <f>J25+VLOOKUP(C25,$A$3:$L$6,2,0)*K25</f>
        <v>0.255</v>
      </c>
      <c r="O25" s="96" t="s">
        <v>539</v>
      </c>
      <c r="P25" s="39" t="s">
        <v>540</v>
      </c>
    </row>
    <row r="26" ht="21" customHeight="1" spans="1:24">
      <c r="A26" s="25" t="s">
        <v>413</v>
      </c>
      <c r="B26" s="95" t="s">
        <v>536</v>
      </c>
      <c r="C26" s="29" t="s">
        <v>489</v>
      </c>
      <c r="D26" s="29" t="s">
        <v>79</v>
      </c>
      <c r="E26" s="98">
        <f>'设计页-映射装备数值'!C120</f>
        <v>1875</v>
      </c>
      <c r="F26" s="98">
        <f>'设计页-映射装备数值'!G120</f>
        <v>281.25</v>
      </c>
      <c r="G26" s="29">
        <f>E26+F26</f>
        <v>2156.25</v>
      </c>
      <c r="H26" s="99">
        <f>E26+VLOOKUP(C26,$A$3:$L$6,2,0)*F26</f>
        <v>18750</v>
      </c>
      <c r="I26" s="29" t="s">
        <v>537</v>
      </c>
      <c r="J26" s="102">
        <f>'设计页-映射装备数值'!D120</f>
        <v>0.04</v>
      </c>
      <c r="K26" s="103">
        <f>'设计页-映射装备数值'!H120</f>
        <v>0.006</v>
      </c>
      <c r="L26" s="101">
        <f>J26+K26</f>
        <v>0.046</v>
      </c>
      <c r="M26" s="104">
        <f>J26+VLOOKUP(C26,$A$3:$L$6,2,0)*K26</f>
        <v>0.4</v>
      </c>
      <c r="O26" s="86" t="s">
        <v>541</v>
      </c>
      <c r="P26" s="21" t="s">
        <v>489</v>
      </c>
      <c r="Q26" s="21" t="s">
        <v>490</v>
      </c>
      <c r="R26" s="21" t="s">
        <v>491</v>
      </c>
      <c r="S26" s="21" t="s">
        <v>492</v>
      </c>
      <c r="T26" s="21" t="s">
        <v>493</v>
      </c>
      <c r="U26" s="21" t="s">
        <v>494</v>
      </c>
      <c r="V26" s="21" t="s">
        <v>495</v>
      </c>
      <c r="W26" s="21" t="s">
        <v>496</v>
      </c>
    </row>
    <row r="27" spans="1:24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O27" s="86" t="s">
        <v>542</v>
      </c>
      <c r="P27" s="25" t="s">
        <v>80</v>
      </c>
      <c r="Q27" s="25" t="s">
        <v>80</v>
      </c>
      <c r="R27" s="25" t="s">
        <v>81</v>
      </c>
      <c r="S27" s="25" t="s">
        <v>79</v>
      </c>
      <c r="T27" s="25" t="s">
        <v>146</v>
      </c>
      <c r="U27" s="25" t="s">
        <v>145</v>
      </c>
      <c r="V27" s="25" t="s">
        <v>143</v>
      </c>
      <c r="W27" s="25" t="s">
        <v>144</v>
      </c>
    </row>
    <row r="28" spans="1:24">
      <c r="A28" s="25" t="s">
        <v>543</v>
      </c>
      <c r="B28" s="95" t="s">
        <v>536</v>
      </c>
      <c r="C28" s="29" t="s">
        <v>490</v>
      </c>
      <c r="D28" s="29" t="s">
        <v>544</v>
      </c>
      <c r="E28" s="29">
        <f>VLOOKUP($C28,$A$3:$L$6,3,0)*E31</f>
        <v>112.5</v>
      </c>
      <c r="F28" s="29">
        <f>VLOOKUP($C28,$A$3:$L$6,3,0)*F31</f>
        <v>16.875</v>
      </c>
      <c r="G28" s="29">
        <f>VLOOKUP($C28,$A$3:$L$6,3,0)*G31</f>
        <v>129.375</v>
      </c>
      <c r="H28" s="29">
        <f>E28+VLOOKUP(C28,$A$3:$L$6,2,0)*F28</f>
        <v>618.75</v>
      </c>
      <c r="I28" s="29" t="s">
        <v>545</v>
      </c>
      <c r="J28" s="101">
        <f>VLOOKUP($C28,$A$3:$L$6,3,0)*J31</f>
        <v>0.012</v>
      </c>
      <c r="K28" s="101">
        <f>VLOOKUP($C28,$A$3:$L$6,3,0)*K31</f>
        <v>0.0018</v>
      </c>
      <c r="L28" s="101">
        <f>VLOOKUP($C28,$A$3:$L$6,3,0)*L31</f>
        <v>0.0138</v>
      </c>
      <c r="M28" s="101">
        <f>J28+VLOOKUP(C28,$A$3:$L$6,2,0)*K28</f>
        <v>0.066</v>
      </c>
      <c r="O28" s="29">
        <v>1</v>
      </c>
      <c r="P28" s="29">
        <f>'设计页-映射装备数值'!D290</f>
        <v>330</v>
      </c>
      <c r="Q28" s="29">
        <f>'设计页-映射装备数值'!E290</f>
        <v>330</v>
      </c>
      <c r="R28" s="29">
        <f>'设计页-映射装备数值'!F290</f>
        <v>220</v>
      </c>
      <c r="S28" s="29">
        <f>'设计页-映射装备数值'!G290</f>
        <v>1100</v>
      </c>
      <c r="T28" s="29">
        <f>'设计页-映射装备数值'!H290</f>
        <v>130</v>
      </c>
      <c r="U28" s="29">
        <f>'设计页-映射装备数值'!I290</f>
        <v>90</v>
      </c>
      <c r="V28" s="29">
        <f>'设计页-映射装备数值'!J290</f>
        <v>90</v>
      </c>
      <c r="W28" s="29">
        <f>'设计页-映射装备数值'!K290</f>
        <v>110</v>
      </c>
    </row>
    <row r="29" spans="1:24">
      <c r="A29" s="25" t="s">
        <v>543</v>
      </c>
      <c r="B29" s="95" t="s">
        <v>536</v>
      </c>
      <c r="C29" s="29" t="s">
        <v>493</v>
      </c>
      <c r="D29" s="29" t="s">
        <v>544</v>
      </c>
      <c r="E29" s="29">
        <f>VLOOKUP($C29,$A$3:$L$6,3,0)*E31</f>
        <v>187.5</v>
      </c>
      <c r="F29" s="29">
        <f>VLOOKUP($C29,$A$3:$L$6,3,0)*F31</f>
        <v>28.125</v>
      </c>
      <c r="G29" s="29">
        <f>VLOOKUP($C29,$A$3:$L$6,3,0)*G31</f>
        <v>215.625</v>
      </c>
      <c r="H29" s="29">
        <f>E29+VLOOKUP(C29,$A$3:$L$6,2,0)*F29</f>
        <v>1312.5</v>
      </c>
      <c r="I29" s="29" t="s">
        <v>545</v>
      </c>
      <c r="J29" s="101">
        <f>VLOOKUP($C29,$A$3:$L$6,3,0)*J31</f>
        <v>0.02</v>
      </c>
      <c r="K29" s="101">
        <f>VLOOKUP($C29,$A$3:$L$6,3,0)*K31</f>
        <v>0.003</v>
      </c>
      <c r="L29" s="101">
        <f>VLOOKUP($C29,$A$3:$L$6,3,0)*L31</f>
        <v>0.023</v>
      </c>
      <c r="M29" s="101">
        <f>J29+VLOOKUP(C29,$A$3:$L$6,2,0)*K29</f>
        <v>0.14</v>
      </c>
      <c r="O29" s="29">
        <v>2</v>
      </c>
      <c r="P29" s="29">
        <f>'设计页-映射装备数值'!D291</f>
        <v>490</v>
      </c>
      <c r="Q29" s="29">
        <f>'设计页-映射装备数值'!E291</f>
        <v>490</v>
      </c>
      <c r="R29" s="29">
        <f>'设计页-映射装备数值'!F291</f>
        <v>330</v>
      </c>
      <c r="S29" s="29">
        <f>'设计页-映射装备数值'!G291</f>
        <v>1650</v>
      </c>
      <c r="T29" s="29">
        <f>'设计页-映射装备数值'!H291</f>
        <v>200</v>
      </c>
      <c r="U29" s="29">
        <f>'设计页-映射装备数值'!I291</f>
        <v>140</v>
      </c>
      <c r="V29" s="29">
        <f>'设计页-映射装备数值'!J291</f>
        <v>140</v>
      </c>
      <c r="W29" s="29">
        <f>'设计页-映射装备数值'!K291</f>
        <v>170</v>
      </c>
    </row>
    <row r="30" spans="1:24">
      <c r="A30" s="25" t="s">
        <v>543</v>
      </c>
      <c r="B30" s="95" t="s">
        <v>536</v>
      </c>
      <c r="C30" s="29" t="s">
        <v>514</v>
      </c>
      <c r="D30" s="29" t="s">
        <v>544</v>
      </c>
      <c r="E30" s="29">
        <f>VLOOKUP($C30,$A$3:$L$6,3,0)*E31</f>
        <v>281.25</v>
      </c>
      <c r="F30" s="29">
        <f>VLOOKUP($C30,$A$3:$L$6,3,0)*F31</f>
        <v>42.1875</v>
      </c>
      <c r="G30" s="29">
        <f>VLOOKUP($C30,$A$3:$L$6,3,0)*G31</f>
        <v>323.4375</v>
      </c>
      <c r="H30" s="29">
        <f>E30+VLOOKUP(C30,$A$3:$L$6,2,0)*F30</f>
        <v>2390.625</v>
      </c>
      <c r="I30" s="29" t="s">
        <v>545</v>
      </c>
      <c r="J30" s="101">
        <f>VLOOKUP($C30,$A$3:$L$6,3,0)*J31</f>
        <v>0.03</v>
      </c>
      <c r="K30" s="101">
        <f>VLOOKUP($C30,$A$3:$L$6,3,0)*K31</f>
        <v>0.0045</v>
      </c>
      <c r="L30" s="101">
        <f>VLOOKUP($C30,$A$3:$L$6,3,0)*L31</f>
        <v>0.0345</v>
      </c>
      <c r="M30" s="101">
        <f>J30+VLOOKUP(C30,$A$3:$L$6,2,0)*K30</f>
        <v>0.255</v>
      </c>
      <c r="O30" s="29">
        <v>3</v>
      </c>
      <c r="P30" s="29">
        <f>'设计页-映射装备数值'!D292</f>
        <v>740</v>
      </c>
      <c r="Q30" s="29">
        <f>'设计页-映射装备数值'!E292</f>
        <v>740</v>
      </c>
      <c r="R30" s="29">
        <f>'设计页-映射装备数值'!F292</f>
        <v>490</v>
      </c>
      <c r="S30" s="29">
        <f>'设计页-映射装备数值'!G292</f>
        <v>2470</v>
      </c>
      <c r="T30" s="29">
        <f>'设计页-映射装备数值'!H292</f>
        <v>300</v>
      </c>
      <c r="U30" s="29">
        <f>'设计页-映射装备数值'!I292</f>
        <v>210</v>
      </c>
      <c r="V30" s="29">
        <f>'设计页-映射装备数值'!J292</f>
        <v>210</v>
      </c>
      <c r="W30" s="29">
        <f>'设计页-映射装备数值'!K292</f>
        <v>250</v>
      </c>
    </row>
    <row r="31" spans="1:24">
      <c r="A31" s="25" t="s">
        <v>543</v>
      </c>
      <c r="B31" s="95" t="s">
        <v>536</v>
      </c>
      <c r="C31" s="29" t="s">
        <v>489</v>
      </c>
      <c r="D31" s="29" t="s">
        <v>544</v>
      </c>
      <c r="E31" s="98">
        <f>'设计页-映射装备数值'!C124</f>
        <v>375</v>
      </c>
      <c r="F31" s="98">
        <f>'设计页-映射装备数值'!G124</f>
        <v>56.25</v>
      </c>
      <c r="G31" s="29">
        <f>E31+F31</f>
        <v>431.25</v>
      </c>
      <c r="H31" s="99">
        <f>E31+VLOOKUP(C31,$A$3:$L$6,2,0)*F31</f>
        <v>3750</v>
      </c>
      <c r="I31" s="29" t="s">
        <v>545</v>
      </c>
      <c r="J31" s="102">
        <f>'设计页-映射装备数值'!D124</f>
        <v>0.04</v>
      </c>
      <c r="K31" s="103">
        <f>'设计页-映射装备数值'!H124</f>
        <v>0.006</v>
      </c>
      <c r="L31" s="101">
        <f>J31+K31</f>
        <v>0.046</v>
      </c>
      <c r="M31" s="104">
        <f>J31+VLOOKUP(C31,$A$3:$L$6,2,0)*K31</f>
        <v>0.4</v>
      </c>
      <c r="O31" s="29">
        <v>4</v>
      </c>
      <c r="P31" s="29">
        <f>'设计页-映射装备数值'!D293</f>
        <v>1110</v>
      </c>
      <c r="Q31" s="29">
        <f>'设计页-映射装备数值'!E293</f>
        <v>1110</v>
      </c>
      <c r="R31" s="29">
        <f>'设计页-映射装备数值'!F293</f>
        <v>740</v>
      </c>
      <c r="S31" s="29">
        <f>'设计页-映射装备数值'!G293</f>
        <v>3700</v>
      </c>
      <c r="T31" s="29">
        <f>'设计页-映射装备数值'!H293</f>
        <v>450</v>
      </c>
      <c r="U31" s="29">
        <f>'设计页-映射装备数值'!I293</f>
        <v>310</v>
      </c>
      <c r="V31" s="29">
        <f>'设计页-映射装备数值'!J293</f>
        <v>310</v>
      </c>
      <c r="W31" s="29">
        <f>'设计页-映射装备数值'!K293</f>
        <v>380</v>
      </c>
    </row>
    <row r="32" spans="1:24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O32" s="29">
        <v>5</v>
      </c>
      <c r="P32" s="29">
        <f>'设计页-映射装备数值'!D294</f>
        <v>1670</v>
      </c>
      <c r="Q32" s="29">
        <f>'设计页-映射装备数值'!E294</f>
        <v>1670</v>
      </c>
      <c r="R32" s="29">
        <f>'设计页-映射装备数值'!F294</f>
        <v>1110</v>
      </c>
      <c r="S32" s="29">
        <f>'设计页-映射装备数值'!G294</f>
        <v>5560</v>
      </c>
      <c r="T32" s="29">
        <f>'设计页-映射装备数值'!H294</f>
        <v>670</v>
      </c>
      <c r="U32" s="29">
        <f>'设计页-映射装备数值'!I294</f>
        <v>470</v>
      </c>
      <c r="V32" s="29">
        <f>'设计页-映射装备数值'!J294</f>
        <v>470</v>
      </c>
      <c r="W32" s="29">
        <f>'设计页-映射装备数值'!K294</f>
        <v>570</v>
      </c>
    </row>
    <row r="33" spans="1:23">
      <c r="A33" s="25" t="s">
        <v>419</v>
      </c>
      <c r="B33" s="95" t="s">
        <v>536</v>
      </c>
      <c r="C33" s="29" t="s">
        <v>490</v>
      </c>
      <c r="D33" s="29" t="s">
        <v>544</v>
      </c>
      <c r="E33" s="29">
        <f>VLOOKUP($C33,$A$3:$L$6,3,0)*E36</f>
        <v>112.5</v>
      </c>
      <c r="F33" s="29">
        <f>VLOOKUP($C33,$A$3:$L$6,3,0)*F36</f>
        <v>16.875</v>
      </c>
      <c r="G33" s="29">
        <f>VLOOKUP($C33,$A$3:$L$6,3,0)*G36</f>
        <v>129.375</v>
      </c>
      <c r="H33" s="29">
        <f>E33+VLOOKUP(C33,$A$3:$L$6,2,0)*F33</f>
        <v>618.75</v>
      </c>
      <c r="I33" s="29" t="s">
        <v>537</v>
      </c>
      <c r="J33" s="101">
        <f>VLOOKUP($C33,$A$3:$L$6,3,0)*J36</f>
        <v>0.012</v>
      </c>
      <c r="K33" s="101">
        <f>VLOOKUP($C33,$A$3:$L$6,3,0)*K36</f>
        <v>0.0018</v>
      </c>
      <c r="L33" s="101">
        <f>VLOOKUP($C33,$A$3:$L$6,3,0)*L36</f>
        <v>0.0138</v>
      </c>
      <c r="M33" s="101">
        <f>J33+VLOOKUP(C33,$A$3:$L$6,2,0)*K33</f>
        <v>0.066</v>
      </c>
      <c r="O33" s="29">
        <v>6</v>
      </c>
      <c r="P33" s="29">
        <f>'设计页-映射装备数值'!D295</f>
        <v>2500</v>
      </c>
      <c r="Q33" s="29">
        <f>'设计页-映射装备数值'!E295</f>
        <v>2500</v>
      </c>
      <c r="R33" s="29">
        <f>'设计页-映射装备数值'!F295</f>
        <v>1670</v>
      </c>
      <c r="S33" s="29">
        <f>'设计页-映射装备数值'!G295</f>
        <v>8330</v>
      </c>
      <c r="T33" s="29">
        <f>'设计页-映射装备数值'!H295</f>
        <v>1010</v>
      </c>
      <c r="U33" s="29">
        <f>'设计页-映射装备数值'!I295</f>
        <v>700</v>
      </c>
      <c r="V33" s="29">
        <f>'设计页-映射装备数值'!J295</f>
        <v>700</v>
      </c>
      <c r="W33" s="29">
        <f>'设计页-映射装备数值'!K295</f>
        <v>860</v>
      </c>
    </row>
    <row r="34" spans="1:23">
      <c r="A34" s="25" t="s">
        <v>419</v>
      </c>
      <c r="B34" s="95" t="s">
        <v>536</v>
      </c>
      <c r="C34" s="29" t="s">
        <v>493</v>
      </c>
      <c r="D34" s="29" t="s">
        <v>544</v>
      </c>
      <c r="E34" s="29">
        <f>VLOOKUP($C34,$A$3:$L$6,3,0)*E36</f>
        <v>187.5</v>
      </c>
      <c r="F34" s="29">
        <f>VLOOKUP($C34,$A$3:$L$6,3,0)*F36</f>
        <v>28.125</v>
      </c>
      <c r="G34" s="29">
        <f>VLOOKUP($C34,$A$3:$L$6,3,0)*G36</f>
        <v>215.625</v>
      </c>
      <c r="H34" s="29">
        <f>E34+VLOOKUP(C34,$A$3:$L$6,2,0)*F34</f>
        <v>1312.5</v>
      </c>
      <c r="I34" s="29" t="s">
        <v>537</v>
      </c>
      <c r="J34" s="101">
        <f>VLOOKUP($C34,$A$3:$L$6,3,0)*J36</f>
        <v>0.02</v>
      </c>
      <c r="K34" s="101">
        <f>VLOOKUP($C34,$A$3:$L$6,3,0)*K36</f>
        <v>0.003</v>
      </c>
      <c r="L34" s="101">
        <f>VLOOKUP($C34,$A$3:$L$6,3,0)*L36</f>
        <v>0.023</v>
      </c>
      <c r="M34" s="101">
        <f>J34+VLOOKUP(C34,$A$3:$L$6,2,0)*K34</f>
        <v>0.14</v>
      </c>
      <c r="O34" s="29">
        <v>7</v>
      </c>
      <c r="P34" s="29">
        <f>'设计页-映射装备数值'!D296</f>
        <v>3750</v>
      </c>
      <c r="Q34" s="29">
        <f>'设计页-映射装备数值'!E296</f>
        <v>3750</v>
      </c>
      <c r="R34" s="29">
        <f>'设计页-映射装备数值'!F296</f>
        <v>2500</v>
      </c>
      <c r="S34" s="29">
        <f>'设计页-映射装备数值'!G296</f>
        <v>12500</v>
      </c>
      <c r="T34" s="29">
        <f>'设计页-映射装备数值'!H296</f>
        <v>1520</v>
      </c>
      <c r="U34" s="29">
        <f>'设计页-映射装备数值'!I296</f>
        <v>1050</v>
      </c>
      <c r="V34" s="29">
        <f>'设计页-映射装备数值'!J296</f>
        <v>1050</v>
      </c>
      <c r="W34" s="29">
        <f>'设计页-映射装备数值'!K296</f>
        <v>1280</v>
      </c>
    </row>
    <row r="35" spans="1:23">
      <c r="A35" s="25" t="s">
        <v>419</v>
      </c>
      <c r="B35" s="95" t="s">
        <v>536</v>
      </c>
      <c r="C35" s="29" t="s">
        <v>514</v>
      </c>
      <c r="D35" s="29" t="s">
        <v>544</v>
      </c>
      <c r="E35" s="29">
        <f>VLOOKUP($C35,$A$3:$L$6,3,0)*E36</f>
        <v>281.25</v>
      </c>
      <c r="F35" s="29">
        <f>VLOOKUP($C35,$A$3:$L$6,3,0)*F36</f>
        <v>42.1875</v>
      </c>
      <c r="G35" s="29">
        <f>VLOOKUP($C35,$A$3:$L$6,3,0)*G36</f>
        <v>323.4375</v>
      </c>
      <c r="H35" s="29">
        <f>E35+VLOOKUP(C35,$A$3:$L$6,2,0)*F35</f>
        <v>2390.625</v>
      </c>
      <c r="I35" s="29" t="s">
        <v>537</v>
      </c>
      <c r="J35" s="101">
        <f>VLOOKUP($C35,$A$3:$L$6,3,0)*J36</f>
        <v>0.03</v>
      </c>
      <c r="K35" s="101">
        <f>VLOOKUP($C35,$A$3:$L$6,3,0)*K36</f>
        <v>0.0045</v>
      </c>
      <c r="L35" s="101">
        <f>VLOOKUP($C35,$A$3:$L$6,3,0)*L36</f>
        <v>0.0345</v>
      </c>
      <c r="M35" s="101">
        <f>J35+VLOOKUP(C35,$A$3:$L$6,2,0)*K35</f>
        <v>0.255</v>
      </c>
      <c r="O35" s="29">
        <v>8</v>
      </c>
      <c r="P35" s="29">
        <f>'设计页-映射装备数值'!D297</f>
        <v>5630</v>
      </c>
      <c r="Q35" s="29">
        <f>'设计页-映射装备数值'!E297</f>
        <v>5630</v>
      </c>
      <c r="R35" s="29">
        <f>'设计页-映射装备数值'!F297</f>
        <v>3750</v>
      </c>
      <c r="S35" s="29">
        <f>'设计页-映射装备数值'!G297</f>
        <v>18750</v>
      </c>
      <c r="T35" s="29">
        <f>'设计页-映射装备数值'!H297</f>
        <v>2280</v>
      </c>
      <c r="U35" s="29">
        <f>'设计页-映射装备数值'!I297</f>
        <v>1580</v>
      </c>
      <c r="V35" s="29">
        <f>'设计页-映射装备数值'!J297</f>
        <v>1580</v>
      </c>
      <c r="W35" s="29">
        <f>'设计页-映射装备数值'!K297</f>
        <v>1920</v>
      </c>
    </row>
    <row r="36" spans="1:23">
      <c r="A36" s="25" t="s">
        <v>419</v>
      </c>
      <c r="B36" s="95" t="s">
        <v>536</v>
      </c>
      <c r="C36" s="29" t="s">
        <v>489</v>
      </c>
      <c r="D36" s="29" t="s">
        <v>544</v>
      </c>
      <c r="E36" s="98">
        <f>'设计页-映射装备数值'!C128</f>
        <v>375</v>
      </c>
      <c r="F36" s="98">
        <f>'设计页-映射装备数值'!G128</f>
        <v>56.25</v>
      </c>
      <c r="G36" s="29">
        <f>E36+F36</f>
        <v>431.25</v>
      </c>
      <c r="H36" s="99">
        <f>E36+VLOOKUP(C36,$A$3:$L$6,2,0)*F36</f>
        <v>3750</v>
      </c>
      <c r="I36" s="29" t="s">
        <v>537</v>
      </c>
      <c r="J36" s="102">
        <f>'设计页-映射装备数值'!D128</f>
        <v>0.04</v>
      </c>
      <c r="K36" s="103">
        <f>'设计页-映射装备数值'!H128</f>
        <v>0.006</v>
      </c>
      <c r="L36" s="101">
        <f>J36+K36</f>
        <v>0.046</v>
      </c>
      <c r="M36" s="104">
        <f>J36+VLOOKUP(C36,$A$3:$L$6,2,0)*K36</f>
        <v>0.4</v>
      </c>
      <c r="O36" s="29">
        <v>9</v>
      </c>
      <c r="P36" s="29">
        <f>'设计页-映射装备数值'!D298</f>
        <v>8440</v>
      </c>
      <c r="Q36" s="29">
        <f>'设计页-映射装备数值'!E298</f>
        <v>8440</v>
      </c>
      <c r="R36" s="29">
        <f>'设计页-映射装备数值'!F298</f>
        <v>5630</v>
      </c>
      <c r="S36" s="29">
        <f>'设计页-映射装备数值'!G298</f>
        <v>28130</v>
      </c>
      <c r="T36" s="29">
        <f>'设计页-映射装备数值'!H298</f>
        <v>3410</v>
      </c>
      <c r="U36" s="29">
        <f>'设计页-映射装备数值'!I298</f>
        <v>2360</v>
      </c>
      <c r="V36" s="29">
        <f>'设计页-映射装备数值'!J298</f>
        <v>2360</v>
      </c>
      <c r="W36" s="29">
        <f>'设计页-映射装备数值'!K298</f>
        <v>2890</v>
      </c>
    </row>
    <row r="37" spans="1:23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</row>
    <row r="38" ht="13.5" customHeight="1" spans="1:23">
      <c r="A38" s="25" t="s">
        <v>420</v>
      </c>
      <c r="B38" s="95" t="s">
        <v>536</v>
      </c>
      <c r="C38" s="29" t="s">
        <v>490</v>
      </c>
      <c r="D38" s="29" t="s">
        <v>79</v>
      </c>
      <c r="E38" s="29">
        <f>VLOOKUP($C38,$A$3:$L$6,3,0)*E41</f>
        <v>562.5</v>
      </c>
      <c r="F38" s="29">
        <f>VLOOKUP($C38,$A$3:$L$6,3,0)*F41</f>
        <v>84.375</v>
      </c>
      <c r="G38" s="29">
        <f>VLOOKUP($C38,$A$3:$L$6,3,0)*G41</f>
        <v>646.875</v>
      </c>
      <c r="H38" s="29">
        <f>E38+VLOOKUP(C38,$A$3:$L$6,2,0)*F38</f>
        <v>3093.75</v>
      </c>
      <c r="I38" s="29" t="s">
        <v>546</v>
      </c>
      <c r="J38" s="101">
        <f>VLOOKUP($C38,$A$3:$L$6,3,0)*J41</f>
        <v>0.012</v>
      </c>
      <c r="K38" s="101">
        <f>VLOOKUP($C38,$A$3:$L$6,3,0)*K41</f>
        <v>0.0018</v>
      </c>
      <c r="L38" s="101">
        <f>VLOOKUP($C38,$A$3:$L$6,3,0)*L41</f>
        <v>0.0138</v>
      </c>
      <c r="M38" s="101">
        <f>J38+VLOOKUP(C38,$A$3:$L$6,2,0)*K38</f>
        <v>0.066</v>
      </c>
    </row>
    <row r="39" spans="1:23">
      <c r="A39" s="25" t="s">
        <v>420</v>
      </c>
      <c r="B39" s="95" t="s">
        <v>536</v>
      </c>
      <c r="C39" s="29" t="s">
        <v>493</v>
      </c>
      <c r="D39" s="29" t="s">
        <v>79</v>
      </c>
      <c r="E39" s="29">
        <f>VLOOKUP($C39,$A$3:$L$6,3,0)*E41</f>
        <v>937.5</v>
      </c>
      <c r="F39" s="29">
        <f>VLOOKUP($C39,$A$3:$L$6,3,0)*F41</f>
        <v>140.625</v>
      </c>
      <c r="G39" s="29">
        <f>VLOOKUP($C39,$A$3:$L$6,3,0)*G41</f>
        <v>1078.125</v>
      </c>
      <c r="H39" s="29">
        <f>E39+VLOOKUP(C39,$A$3:$L$6,2,0)*F39</f>
        <v>6562.5</v>
      </c>
      <c r="I39" s="29" t="s">
        <v>546</v>
      </c>
      <c r="J39" s="101">
        <f>VLOOKUP($C39,$A$3:$L$6,3,0)*J41</f>
        <v>0.02</v>
      </c>
      <c r="K39" s="101">
        <f>VLOOKUP($C39,$A$3:$L$6,3,0)*K41</f>
        <v>0.003</v>
      </c>
      <c r="L39" s="101">
        <f>VLOOKUP($C39,$A$3:$L$6,3,0)*L41</f>
        <v>0.023</v>
      </c>
      <c r="M39" s="101">
        <f>J39+VLOOKUP(C39,$A$3:$L$6,2,0)*K39</f>
        <v>0.14</v>
      </c>
    </row>
    <row r="40" spans="1:23">
      <c r="A40" s="25" t="s">
        <v>420</v>
      </c>
      <c r="B40" s="95" t="s">
        <v>536</v>
      </c>
      <c r="C40" s="29" t="s">
        <v>514</v>
      </c>
      <c r="D40" s="29" t="s">
        <v>79</v>
      </c>
      <c r="E40" s="29">
        <f>VLOOKUP($C40,$A$3:$L$6,3,0)*E41</f>
        <v>1406.25</v>
      </c>
      <c r="F40" s="29">
        <f>VLOOKUP($C40,$A$3:$L$6,3,0)*F41</f>
        <v>210.9375</v>
      </c>
      <c r="G40" s="29">
        <f>VLOOKUP($C40,$A$3:$L$6,3,0)*G41</f>
        <v>1617.1875</v>
      </c>
      <c r="H40" s="29">
        <f>E40+VLOOKUP(C40,$A$3:$L$6,2,0)*F40</f>
        <v>11953.125</v>
      </c>
      <c r="I40" s="29" t="s">
        <v>546</v>
      </c>
      <c r="J40" s="101">
        <f>VLOOKUP($C40,$A$3:$L$6,3,0)*J41</f>
        <v>0.03</v>
      </c>
      <c r="K40" s="101">
        <f>VLOOKUP($C40,$A$3:$L$6,3,0)*K41</f>
        <v>0.0045</v>
      </c>
      <c r="L40" s="101">
        <f>VLOOKUP($C40,$A$3:$L$6,3,0)*L41</f>
        <v>0.0345</v>
      </c>
      <c r="M40" s="101">
        <f>J40+VLOOKUP(C40,$A$3:$L$6,2,0)*K40</f>
        <v>0.255</v>
      </c>
    </row>
    <row r="41" spans="1:23">
      <c r="A41" s="25" t="s">
        <v>420</v>
      </c>
      <c r="B41" s="95" t="s">
        <v>536</v>
      </c>
      <c r="C41" s="29" t="s">
        <v>489</v>
      </c>
      <c r="D41" s="29" t="s">
        <v>79</v>
      </c>
      <c r="E41" s="98">
        <f>'设计页-映射装备数值'!C132</f>
        <v>1875</v>
      </c>
      <c r="F41" s="98">
        <f>'设计页-映射装备数值'!G132</f>
        <v>281.25</v>
      </c>
      <c r="G41" s="29">
        <f>E41+F41</f>
        <v>2156.25</v>
      </c>
      <c r="H41" s="99">
        <f>E41+VLOOKUP(C41,$A$3:$L$6,2,0)*F41</f>
        <v>18750</v>
      </c>
      <c r="I41" s="29" t="s">
        <v>546</v>
      </c>
      <c r="J41" s="102">
        <f>'设计页-映射装备数值'!D132</f>
        <v>0.04</v>
      </c>
      <c r="K41" s="103">
        <f>'设计页-映射装备数值'!H132</f>
        <v>0.006</v>
      </c>
      <c r="L41" s="101">
        <f>J41+K41</f>
        <v>0.046</v>
      </c>
      <c r="M41" s="104">
        <f>J41+VLOOKUP(C41,$A$3:$L$6,2,0)*K41</f>
        <v>0.4</v>
      </c>
    </row>
    <row r="42" spans="1:23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</row>
    <row r="43" ht="13.5" customHeight="1" spans="1:23">
      <c r="A43" s="25" t="s">
        <v>422</v>
      </c>
      <c r="B43" s="95" t="s">
        <v>536</v>
      </c>
      <c r="C43" s="29" t="s">
        <v>490</v>
      </c>
      <c r="D43" s="29" t="s">
        <v>80</v>
      </c>
      <c r="E43" s="29">
        <f>VLOOKUP($C43,$A$3:$L$6,3,0)*E46</f>
        <v>168</v>
      </c>
      <c r="F43" s="29">
        <f>VLOOKUP($C43,$A$3:$L$6,3,0)*F46</f>
        <v>25.2</v>
      </c>
      <c r="G43" s="29">
        <f>VLOOKUP($C43,$A$3:$L$6,3,0)*G46</f>
        <v>193.2</v>
      </c>
      <c r="H43" s="29">
        <f>E43+VLOOKUP(C43,$A$3:$L$6,2,0)*F43</f>
        <v>924</v>
      </c>
      <c r="I43" s="29" t="s">
        <v>430</v>
      </c>
      <c r="J43" s="29">
        <f>VLOOKUP($C43,$A$3:$L$6,3,0)*J46</f>
        <v>109.2</v>
      </c>
      <c r="K43" s="29">
        <f>VLOOKUP($C43,$A$3:$L$6,3,0)*K46</f>
        <v>16.5</v>
      </c>
      <c r="L43" s="29">
        <f>VLOOKUP($C43,$A$3:$L$6,3,0)*L46</f>
        <v>125.7</v>
      </c>
      <c r="M43" s="29">
        <f>J43+VLOOKUP(C43,$A$3:$L$6,2,0)*K43</f>
        <v>604.2</v>
      </c>
    </row>
    <row r="44" spans="1:23">
      <c r="A44" s="25" t="s">
        <v>422</v>
      </c>
      <c r="B44" s="95" t="s">
        <v>536</v>
      </c>
      <c r="C44" s="29" t="s">
        <v>493</v>
      </c>
      <c r="D44" s="29" t="s">
        <v>80</v>
      </c>
      <c r="E44" s="29">
        <f>VLOOKUP($C44,$A$3:$L$6,3,0)*E46</f>
        <v>280</v>
      </c>
      <c r="F44" s="29">
        <f>VLOOKUP($C44,$A$3:$L$6,3,0)*F46</f>
        <v>42</v>
      </c>
      <c r="G44" s="29">
        <f>VLOOKUP($C44,$A$3:$L$6,3,0)*G46</f>
        <v>322</v>
      </c>
      <c r="H44" s="29">
        <f>E44+VLOOKUP(C44,$A$3:$L$6,2,0)*F44</f>
        <v>1960</v>
      </c>
      <c r="I44" s="29" t="s">
        <v>430</v>
      </c>
      <c r="J44" s="29">
        <f>VLOOKUP($C44,$A$3:$L$6,3,0)*J46</f>
        <v>182</v>
      </c>
      <c r="K44" s="29">
        <f>VLOOKUP($C44,$A$3:$L$6,3,0)*K46</f>
        <v>27.5</v>
      </c>
      <c r="L44" s="29">
        <f>VLOOKUP($C44,$A$3:$L$6,3,0)*L46</f>
        <v>209.5</v>
      </c>
      <c r="M44" s="29">
        <f>J44+VLOOKUP(C44,$A$3:$L$6,2,0)*K44</f>
        <v>1282</v>
      </c>
    </row>
    <row r="45" spans="1:23">
      <c r="A45" s="25" t="s">
        <v>422</v>
      </c>
      <c r="B45" s="95" t="s">
        <v>536</v>
      </c>
      <c r="C45" s="29" t="s">
        <v>514</v>
      </c>
      <c r="D45" s="29" t="s">
        <v>80</v>
      </c>
      <c r="E45" s="29">
        <f>VLOOKUP($C45,$A$3:$L$6,3,0)*E46</f>
        <v>420</v>
      </c>
      <c r="F45" s="29">
        <f>VLOOKUP($C45,$A$3:$L$6,3,0)*F46</f>
        <v>63</v>
      </c>
      <c r="G45" s="29">
        <f>VLOOKUP($C45,$A$3:$L$6,3,0)*G46</f>
        <v>483</v>
      </c>
      <c r="H45" s="29">
        <f>E45+VLOOKUP(C45,$A$3:$L$6,2,0)*F45</f>
        <v>3570</v>
      </c>
      <c r="I45" s="29" t="s">
        <v>430</v>
      </c>
      <c r="J45" s="29">
        <f>VLOOKUP($C45,$A$3:$L$6,3,0)*J46</f>
        <v>273</v>
      </c>
      <c r="K45" s="29">
        <f>VLOOKUP($C45,$A$3:$L$6,3,0)*K46</f>
        <v>41.25</v>
      </c>
      <c r="L45" s="29">
        <f>VLOOKUP($C45,$A$3:$L$6,3,0)*L46</f>
        <v>314.25</v>
      </c>
      <c r="M45" s="29">
        <f>J45+VLOOKUP(C45,$A$3:$L$6,2,0)*K45</f>
        <v>2335.5</v>
      </c>
    </row>
    <row r="46" spans="1:23">
      <c r="A46" s="25" t="s">
        <v>422</v>
      </c>
      <c r="B46" s="95" t="s">
        <v>536</v>
      </c>
      <c r="C46" s="29" t="s">
        <v>489</v>
      </c>
      <c r="D46" s="29" t="s">
        <v>80</v>
      </c>
      <c r="E46" s="98">
        <f>'设计页-映射装备数值'!C136</f>
        <v>560</v>
      </c>
      <c r="F46" s="98">
        <f>'设计页-映射装备数值'!G136</f>
        <v>84</v>
      </c>
      <c r="G46" s="29">
        <f>E46+F46</f>
        <v>644</v>
      </c>
      <c r="H46" s="99">
        <f>E46+VLOOKUP(C46,$A$3:$L$6,2,0)*F46</f>
        <v>5600</v>
      </c>
      <c r="I46" s="29" t="s">
        <v>430</v>
      </c>
      <c r="J46" s="98">
        <f>'设计页-映射装备数值'!D136</f>
        <v>364</v>
      </c>
      <c r="K46" s="98">
        <f>'设计页-映射装备数值'!H136</f>
        <v>55</v>
      </c>
      <c r="L46" s="29">
        <f>J46+K46</f>
        <v>419</v>
      </c>
      <c r="M46" s="99">
        <f>J46+VLOOKUP(C46,$A$3:$L$6,2,0)*K46</f>
        <v>3664</v>
      </c>
    </row>
    <row r="47" spans="1:23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</row>
    <row r="48" ht="13.5" customHeight="1" spans="1:23">
      <c r="A48" s="25" t="s">
        <v>423</v>
      </c>
      <c r="B48" s="95" t="s">
        <v>536</v>
      </c>
      <c r="C48" s="29" t="s">
        <v>490</v>
      </c>
      <c r="D48" s="29" t="s">
        <v>80</v>
      </c>
      <c r="E48" s="29">
        <f>VLOOKUP($C48,$A$3:$L$6,3,0)*E51</f>
        <v>168</v>
      </c>
      <c r="F48" s="29">
        <f>VLOOKUP($C48,$A$3:$L$6,3,0)*F51</f>
        <v>25.2</v>
      </c>
      <c r="G48" s="29">
        <f>VLOOKUP($C48,$A$3:$L$6,3,0)*G51</f>
        <v>193.2</v>
      </c>
      <c r="H48" s="29">
        <f>E48+VLOOKUP(C48,$A$3:$L$6,2,0)*F48</f>
        <v>924</v>
      </c>
      <c r="I48" s="29" t="s">
        <v>145</v>
      </c>
      <c r="J48" s="29">
        <f>VLOOKUP($C48,$A$3:$L$6,3,0)*J51</f>
        <v>75.6</v>
      </c>
      <c r="K48" s="29">
        <f>VLOOKUP($C48,$A$3:$L$6,3,0)*K51</f>
        <v>11.4</v>
      </c>
      <c r="L48" s="29">
        <f>VLOOKUP($C48,$A$3:$L$6,3,0)*L51</f>
        <v>87</v>
      </c>
      <c r="M48" s="29">
        <f>J48+VLOOKUP(C48,$A$3:$L$6,2,0)*K48</f>
        <v>417.6</v>
      </c>
    </row>
    <row r="49" spans="1:13">
      <c r="A49" s="25" t="s">
        <v>423</v>
      </c>
      <c r="B49" s="95" t="s">
        <v>536</v>
      </c>
      <c r="C49" s="29" t="s">
        <v>493</v>
      </c>
      <c r="D49" s="29" t="s">
        <v>80</v>
      </c>
      <c r="E49" s="29">
        <f>VLOOKUP($C49,$A$3:$L$6,3,0)*E51</f>
        <v>280</v>
      </c>
      <c r="F49" s="29">
        <f>VLOOKUP($C49,$A$3:$L$6,3,0)*F51</f>
        <v>42</v>
      </c>
      <c r="G49" s="29">
        <f>VLOOKUP($C49,$A$3:$L$6,3,0)*G51</f>
        <v>322</v>
      </c>
      <c r="H49" s="29">
        <f>E49+VLOOKUP(C49,$A$3:$L$6,2,0)*F49</f>
        <v>1960</v>
      </c>
      <c r="I49" s="29" t="s">
        <v>145</v>
      </c>
      <c r="J49" s="29">
        <f>VLOOKUP($C49,$A$3:$L$6,3,0)*J51</f>
        <v>126</v>
      </c>
      <c r="K49" s="29">
        <f>VLOOKUP($C49,$A$3:$L$6,3,0)*K51</f>
        <v>19</v>
      </c>
      <c r="L49" s="29">
        <f>VLOOKUP($C49,$A$3:$L$6,3,0)*L51</f>
        <v>145</v>
      </c>
      <c r="M49" s="29">
        <f>J49+VLOOKUP(C49,$A$3:$L$6,2,0)*K49</f>
        <v>886</v>
      </c>
    </row>
    <row r="50" spans="1:13">
      <c r="A50" s="25" t="s">
        <v>423</v>
      </c>
      <c r="B50" s="95" t="s">
        <v>536</v>
      </c>
      <c r="C50" s="29" t="s">
        <v>514</v>
      </c>
      <c r="D50" s="29" t="s">
        <v>80</v>
      </c>
      <c r="E50" s="29">
        <f>VLOOKUP($C50,$A$3:$L$6,3,0)*E51</f>
        <v>420</v>
      </c>
      <c r="F50" s="29">
        <f>VLOOKUP($C50,$A$3:$L$6,3,0)*F51</f>
        <v>63</v>
      </c>
      <c r="G50" s="29">
        <f>VLOOKUP($C50,$A$3:$L$6,3,0)*G51</f>
        <v>483</v>
      </c>
      <c r="H50" s="29">
        <f>E50+VLOOKUP(C50,$A$3:$L$6,2,0)*F50</f>
        <v>3570</v>
      </c>
      <c r="I50" s="29" t="s">
        <v>145</v>
      </c>
      <c r="J50" s="29">
        <f>VLOOKUP($C50,$A$3:$L$6,3,0)*J51</f>
        <v>189</v>
      </c>
      <c r="K50" s="29">
        <f>VLOOKUP($C50,$A$3:$L$6,3,0)*K51</f>
        <v>28.5</v>
      </c>
      <c r="L50" s="29">
        <f>VLOOKUP($C50,$A$3:$L$6,3,0)*L51</f>
        <v>217.5</v>
      </c>
      <c r="M50" s="29">
        <f>J50+VLOOKUP(C50,$A$3:$L$6,2,0)*K50</f>
        <v>1614</v>
      </c>
    </row>
    <row r="51" spans="1:13">
      <c r="A51" s="25" t="s">
        <v>423</v>
      </c>
      <c r="B51" s="95" t="s">
        <v>536</v>
      </c>
      <c r="C51" s="29" t="s">
        <v>489</v>
      </c>
      <c r="D51" s="29" t="s">
        <v>80</v>
      </c>
      <c r="E51" s="98">
        <f>'设计页-映射装备数值'!C140</f>
        <v>560</v>
      </c>
      <c r="F51" s="98">
        <f>'设计页-映射装备数值'!G140</f>
        <v>84</v>
      </c>
      <c r="G51" s="29">
        <f>E51+F51</f>
        <v>644</v>
      </c>
      <c r="H51" s="99">
        <f>E51+VLOOKUP(C51,$A$3:$L$6,2,0)*F51</f>
        <v>5600</v>
      </c>
      <c r="I51" s="29" t="s">
        <v>145</v>
      </c>
      <c r="J51" s="98">
        <f>'设计页-映射装备数值'!D140</f>
        <v>252</v>
      </c>
      <c r="K51" s="98">
        <f>'设计页-映射装备数值'!H140</f>
        <v>38</v>
      </c>
      <c r="L51" s="29">
        <f>J51+K51</f>
        <v>290</v>
      </c>
      <c r="M51" s="99">
        <f>J51+VLOOKUP(C51,$A$3:$L$6,2,0)*K51</f>
        <v>2532</v>
      </c>
    </row>
    <row r="52" spans="1:13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</row>
    <row r="53" ht="13.5" customHeight="1" spans="1:13">
      <c r="A53" s="25" t="s">
        <v>425</v>
      </c>
      <c r="B53" s="95" t="s">
        <v>536</v>
      </c>
      <c r="C53" s="29" t="s">
        <v>490</v>
      </c>
      <c r="D53" s="29" t="s">
        <v>143</v>
      </c>
      <c r="E53" s="29">
        <f>VLOOKUP($C53,$A$3:$L$6,3,0)*E56</f>
        <v>87</v>
      </c>
      <c r="F53" s="29">
        <f>VLOOKUP($C53,$A$3:$L$6,3,0)*F56</f>
        <v>13.2</v>
      </c>
      <c r="G53" s="29">
        <f>VLOOKUP($C53,$A$3:$L$6,3,0)*G56</f>
        <v>100.2</v>
      </c>
      <c r="H53" s="29">
        <f>E53+VLOOKUP(C53,$A$3:$L$6,2,0)*F53</f>
        <v>483</v>
      </c>
      <c r="I53" s="29" t="s">
        <v>144</v>
      </c>
      <c r="J53" s="29">
        <f>VLOOKUP($C53,$A$3:$L$6,3,0)*J56</f>
        <v>132</v>
      </c>
      <c r="K53" s="29">
        <f>VLOOKUP($C53,$A$3:$L$6,3,0)*K56</f>
        <v>19.8</v>
      </c>
      <c r="L53" s="29">
        <f>VLOOKUP($C53,$A$3:$L$6,3,0)*L56</f>
        <v>151.8</v>
      </c>
      <c r="M53" s="29">
        <f>J53+VLOOKUP(C53,$A$3:$L$6,2,0)*K53</f>
        <v>726</v>
      </c>
    </row>
    <row r="54" spans="1:13">
      <c r="A54" s="25" t="s">
        <v>425</v>
      </c>
      <c r="B54" s="95" t="s">
        <v>536</v>
      </c>
      <c r="C54" s="29" t="s">
        <v>493</v>
      </c>
      <c r="D54" s="29" t="s">
        <v>143</v>
      </c>
      <c r="E54" s="29">
        <f>VLOOKUP($C54,$A$3:$L$6,3,0)*E56</f>
        <v>145</v>
      </c>
      <c r="F54" s="29">
        <f>VLOOKUP($C54,$A$3:$L$6,3,0)*F56</f>
        <v>22</v>
      </c>
      <c r="G54" s="29">
        <f>VLOOKUP($C54,$A$3:$L$6,3,0)*G56</f>
        <v>167</v>
      </c>
      <c r="H54" s="29">
        <f>E54+VLOOKUP(C54,$A$3:$L$6,2,0)*F54</f>
        <v>1025</v>
      </c>
      <c r="I54" s="29" t="s">
        <v>144</v>
      </c>
      <c r="J54" s="29">
        <f>VLOOKUP($C54,$A$3:$L$6,3,0)*J56</f>
        <v>220</v>
      </c>
      <c r="K54" s="29">
        <f>VLOOKUP($C54,$A$3:$L$6,3,0)*K56</f>
        <v>33</v>
      </c>
      <c r="L54" s="29">
        <f>VLOOKUP($C54,$A$3:$L$6,3,0)*L56</f>
        <v>253</v>
      </c>
      <c r="M54" s="29">
        <f>J54+VLOOKUP(C54,$A$3:$L$6,2,0)*K54</f>
        <v>1540</v>
      </c>
    </row>
    <row r="55" spans="1:13">
      <c r="A55" s="25" t="s">
        <v>425</v>
      </c>
      <c r="B55" s="95" t="s">
        <v>536</v>
      </c>
      <c r="C55" s="29" t="s">
        <v>514</v>
      </c>
      <c r="D55" s="29" t="s">
        <v>143</v>
      </c>
      <c r="E55" s="29">
        <f>VLOOKUP($C55,$A$3:$L$6,3,0)*E56</f>
        <v>217.5</v>
      </c>
      <c r="F55" s="29">
        <f>VLOOKUP($C55,$A$3:$L$6,3,0)*F56</f>
        <v>33</v>
      </c>
      <c r="G55" s="29">
        <f>VLOOKUP($C55,$A$3:$L$6,3,0)*G56</f>
        <v>250.5</v>
      </c>
      <c r="H55" s="29">
        <f>E55+VLOOKUP(C55,$A$3:$L$6,2,0)*F55</f>
        <v>1867.5</v>
      </c>
      <c r="I55" s="29" t="s">
        <v>144</v>
      </c>
      <c r="J55" s="29">
        <f>VLOOKUP($C55,$A$3:$L$6,3,0)*J56</f>
        <v>330</v>
      </c>
      <c r="K55" s="29">
        <f>VLOOKUP($C55,$A$3:$L$6,3,0)*K56</f>
        <v>49.5</v>
      </c>
      <c r="L55" s="29">
        <f>VLOOKUP($C55,$A$3:$L$6,3,0)*L56</f>
        <v>379.5</v>
      </c>
      <c r="M55" s="29">
        <f>J55+VLOOKUP(C55,$A$3:$L$6,2,0)*K55</f>
        <v>2805</v>
      </c>
    </row>
    <row r="56" spans="1:13">
      <c r="A56" s="25" t="s">
        <v>425</v>
      </c>
      <c r="B56" s="95" t="s">
        <v>536</v>
      </c>
      <c r="C56" s="29" t="s">
        <v>489</v>
      </c>
      <c r="D56" s="29" t="s">
        <v>143</v>
      </c>
      <c r="E56" s="98">
        <f>'设计页-映射装备数值'!C144</f>
        <v>290</v>
      </c>
      <c r="F56" s="98">
        <f>'设计页-映射装备数值'!G144</f>
        <v>44</v>
      </c>
      <c r="G56" s="29">
        <f>E56+F56</f>
        <v>334</v>
      </c>
      <c r="H56" s="99">
        <f>E56+VLOOKUP(C56,$A$3:$L$6,2,0)*F56</f>
        <v>2930</v>
      </c>
      <c r="I56" s="29" t="s">
        <v>144</v>
      </c>
      <c r="J56" s="98">
        <f>'设计页-映射装备数值'!D144</f>
        <v>440</v>
      </c>
      <c r="K56" s="98">
        <f>'设计页-映射装备数值'!H144</f>
        <v>66</v>
      </c>
      <c r="L56" s="29">
        <f>J56+K56</f>
        <v>506</v>
      </c>
      <c r="M56" s="99">
        <f>J56+VLOOKUP(C56,$A$3:$L$6,2,0)*K56</f>
        <v>4400</v>
      </c>
    </row>
    <row r="58" spans="1:13">
      <c r="A58" s="96" t="s">
        <v>547</v>
      </c>
    </row>
    <row r="59" spans="1:13">
      <c r="A59" s="86" t="s">
        <v>522</v>
      </c>
      <c r="B59" s="86" t="s">
        <v>523</v>
      </c>
      <c r="C59" s="86" t="s">
        <v>542</v>
      </c>
      <c r="D59" s="86" t="s">
        <v>548</v>
      </c>
      <c r="E59" s="86" t="s">
        <v>549</v>
      </c>
      <c r="F59" s="86" t="s">
        <v>550</v>
      </c>
      <c r="G59" s="86" t="s">
        <v>551</v>
      </c>
      <c r="H59" s="86" t="s">
        <v>270</v>
      </c>
      <c r="I59" s="86" t="s">
        <v>552</v>
      </c>
    </row>
    <row r="60" spans="1:13">
      <c r="B60" s="29" t="s">
        <v>490</v>
      </c>
      <c r="C60" s="29" t="s">
        <v>128</v>
      </c>
      <c r="E60" s="105">
        <f t="shared" ref="E60:E73" si="2">ROUND(E108*$D$3,3)</f>
        <v>0.054</v>
      </c>
      <c r="F60" s="105">
        <f>ROUND(F108*$D$3,3)</f>
        <v>0.016</v>
      </c>
      <c r="G60" s="105">
        <v>0.001</v>
      </c>
      <c r="H60" s="29">
        <v>100</v>
      </c>
      <c r="I60" s="29">
        <f t="shared" ref="I60:I73" si="3">I108*$D$3</f>
        <v>60</v>
      </c>
    </row>
    <row r="61" spans="1:13">
      <c r="C61" s="29" t="s">
        <v>128</v>
      </c>
      <c r="E61" s="105">
        <f t="shared" si="2"/>
        <v>0.054</v>
      </c>
      <c r="F61" s="105">
        <f>ROUND(F109*$D$3,3)</f>
        <v>0.016</v>
      </c>
      <c r="G61" s="105">
        <v>0.001</v>
      </c>
      <c r="H61" s="29">
        <v>100</v>
      </c>
      <c r="I61" s="29">
        <f t="shared" si="3"/>
        <v>60</v>
      </c>
    </row>
    <row r="62" spans="1:13">
      <c r="C62" s="29" t="s">
        <v>129</v>
      </c>
      <c r="E62" s="105">
        <f t="shared" si="2"/>
        <v>0.054</v>
      </c>
      <c r="F62" s="105">
        <f>ROUND(F110*$D$3,3)</f>
        <v>0.016</v>
      </c>
      <c r="G62" s="105">
        <v>0.001</v>
      </c>
      <c r="H62" s="29">
        <v>100</v>
      </c>
      <c r="I62" s="29">
        <f t="shared" si="3"/>
        <v>60</v>
      </c>
    </row>
    <row r="63" spans="1:13">
      <c r="C63" s="29" t="s">
        <v>130</v>
      </c>
      <c r="E63" s="105">
        <f t="shared" si="2"/>
        <v>0.054</v>
      </c>
      <c r="F63" s="105">
        <f>ROUND(F111*$D$3,3)</f>
        <v>0.016</v>
      </c>
      <c r="G63" s="105">
        <v>0.001</v>
      </c>
      <c r="H63" s="29">
        <v>100</v>
      </c>
      <c r="I63" s="29">
        <f t="shared" si="3"/>
        <v>60</v>
      </c>
    </row>
    <row r="64" spans="1:13">
      <c r="C64" s="29" t="s">
        <v>146</v>
      </c>
      <c r="E64" s="29">
        <f t="shared" si="2"/>
        <v>682.5</v>
      </c>
      <c r="F64" s="29">
        <f t="shared" ref="F64:F71" si="4">ROUND(F112*$D$3,0)</f>
        <v>205</v>
      </c>
      <c r="G64" s="29">
        <v>1</v>
      </c>
      <c r="H64" s="29">
        <v>100</v>
      </c>
      <c r="I64" s="29">
        <f t="shared" si="3"/>
        <v>75</v>
      </c>
    </row>
    <row r="65" spans="2:9">
      <c r="C65" s="29" t="s">
        <v>145</v>
      </c>
      <c r="E65" s="29">
        <f t="shared" si="2"/>
        <v>472.5</v>
      </c>
      <c r="F65" s="29">
        <f t="shared" si="4"/>
        <v>142</v>
      </c>
      <c r="G65" s="29">
        <v>1</v>
      </c>
      <c r="H65" s="29">
        <v>100</v>
      </c>
      <c r="I65" s="29">
        <f t="shared" si="3"/>
        <v>75</v>
      </c>
    </row>
    <row r="66" spans="2:9">
      <c r="C66" s="29" t="s">
        <v>143</v>
      </c>
      <c r="E66" s="29">
        <f t="shared" si="2"/>
        <v>472.5</v>
      </c>
      <c r="F66" s="29">
        <f t="shared" si="4"/>
        <v>142</v>
      </c>
      <c r="G66" s="29">
        <v>1</v>
      </c>
      <c r="H66" s="29">
        <v>100</v>
      </c>
      <c r="I66" s="29">
        <f t="shared" si="3"/>
        <v>75</v>
      </c>
    </row>
    <row r="67" spans="2:9">
      <c r="C67" s="29" t="s">
        <v>144</v>
      </c>
      <c r="E67" s="29">
        <f t="shared" si="2"/>
        <v>577.5</v>
      </c>
      <c r="F67" s="29">
        <f t="shared" si="4"/>
        <v>173</v>
      </c>
      <c r="G67" s="29">
        <v>1</v>
      </c>
      <c r="H67" s="29">
        <v>100</v>
      </c>
      <c r="I67" s="29">
        <f t="shared" si="3"/>
        <v>75</v>
      </c>
    </row>
    <row r="68" spans="2:9">
      <c r="C68" s="29" t="s">
        <v>249</v>
      </c>
      <c r="E68" s="29">
        <f t="shared" si="2"/>
        <v>900</v>
      </c>
      <c r="F68" s="29">
        <f t="shared" si="4"/>
        <v>270</v>
      </c>
      <c r="G68" s="29">
        <v>1</v>
      </c>
      <c r="H68" s="29">
        <v>100</v>
      </c>
      <c r="I68" s="29">
        <f t="shared" si="3"/>
        <v>30</v>
      </c>
    </row>
    <row r="69" spans="2:9">
      <c r="C69" s="29" t="s">
        <v>553</v>
      </c>
      <c r="E69" s="29">
        <f t="shared" si="2"/>
        <v>900</v>
      </c>
      <c r="F69" s="29">
        <f t="shared" si="4"/>
        <v>270</v>
      </c>
      <c r="G69" s="29">
        <v>1</v>
      </c>
      <c r="H69" s="29">
        <v>100</v>
      </c>
      <c r="I69" s="29">
        <f t="shared" si="3"/>
        <v>30</v>
      </c>
    </row>
    <row r="70" spans="2:9">
      <c r="C70" s="29" t="s">
        <v>81</v>
      </c>
      <c r="E70" s="29">
        <f t="shared" si="2"/>
        <v>600</v>
      </c>
      <c r="F70" s="29">
        <f t="shared" si="4"/>
        <v>180</v>
      </c>
      <c r="G70" s="29">
        <v>1</v>
      </c>
      <c r="H70" s="29">
        <v>100</v>
      </c>
      <c r="I70" s="29">
        <f t="shared" si="3"/>
        <v>30</v>
      </c>
    </row>
    <row r="71" spans="2:9">
      <c r="C71" s="29" t="s">
        <v>79</v>
      </c>
      <c r="E71" s="29">
        <f t="shared" si="2"/>
        <v>3000</v>
      </c>
      <c r="F71" s="29">
        <f t="shared" si="4"/>
        <v>900</v>
      </c>
      <c r="G71" s="29">
        <v>1</v>
      </c>
      <c r="H71" s="29">
        <v>100</v>
      </c>
      <c r="I71" s="29">
        <f t="shared" si="3"/>
        <v>30</v>
      </c>
    </row>
    <row r="72" spans="2:9">
      <c r="C72" s="29" t="s">
        <v>141</v>
      </c>
      <c r="E72" s="105">
        <f t="shared" si="2"/>
        <v>0.022</v>
      </c>
      <c r="F72" s="105">
        <f>ROUND(F120*$D$3,3)</f>
        <v>0.007</v>
      </c>
      <c r="G72" s="105">
        <v>0.001</v>
      </c>
      <c r="H72" s="29">
        <v>100</v>
      </c>
      <c r="I72" s="29">
        <f t="shared" si="3"/>
        <v>90</v>
      </c>
    </row>
    <row r="73" spans="2:9">
      <c r="C73" s="29" t="s">
        <v>142</v>
      </c>
      <c r="E73" s="105">
        <f t="shared" si="2"/>
        <v>0.022</v>
      </c>
      <c r="F73" s="105">
        <f>ROUND(F121*$D$3,3)</f>
        <v>0.007</v>
      </c>
      <c r="G73" s="105">
        <v>0.001</v>
      </c>
      <c r="H73" s="29">
        <v>100</v>
      </c>
      <c r="I73" s="29">
        <f t="shared" si="3"/>
        <v>90</v>
      </c>
    </row>
    <row r="75" spans="2:9">
      <c r="B75" s="86" t="s">
        <v>523</v>
      </c>
      <c r="C75" s="86" t="s">
        <v>542</v>
      </c>
      <c r="D75" s="86" t="s">
        <v>548</v>
      </c>
      <c r="E75" s="86" t="s">
        <v>549</v>
      </c>
      <c r="F75" s="86" t="s">
        <v>550</v>
      </c>
      <c r="G75" s="86" t="s">
        <v>551</v>
      </c>
      <c r="H75" s="86" t="s">
        <v>270</v>
      </c>
      <c r="I75" s="86" t="s">
        <v>552</v>
      </c>
    </row>
    <row r="76" spans="2:9">
      <c r="B76" s="29" t="s">
        <v>493</v>
      </c>
      <c r="C76" s="29" t="s">
        <v>128</v>
      </c>
      <c r="E76" s="105">
        <f t="shared" ref="E76:E89" si="5">ROUND(E108*$D$4,3)</f>
        <v>0.09</v>
      </c>
      <c r="F76" s="105">
        <f>ROUND(F108*$D$4,3)</f>
        <v>0.027</v>
      </c>
      <c r="G76" s="105">
        <v>0.001</v>
      </c>
      <c r="H76" s="29">
        <v>100</v>
      </c>
      <c r="I76" s="29">
        <f t="shared" ref="I76:I89" si="6">I108*$D$4</f>
        <v>100</v>
      </c>
    </row>
    <row r="77" spans="2:9">
      <c r="C77" s="29" t="s">
        <v>128</v>
      </c>
      <c r="E77" s="105">
        <f t="shared" si="5"/>
        <v>0.09</v>
      </c>
      <c r="F77" s="105">
        <f>ROUND(F109*$D$4,3)</f>
        <v>0.027</v>
      </c>
      <c r="G77" s="105">
        <v>0.001</v>
      </c>
      <c r="H77" s="29">
        <v>100</v>
      </c>
      <c r="I77" s="29">
        <f t="shared" si="6"/>
        <v>100</v>
      </c>
    </row>
    <row r="78" spans="2:9">
      <c r="C78" s="29" t="s">
        <v>129</v>
      </c>
      <c r="E78" s="105">
        <f t="shared" si="5"/>
        <v>0.09</v>
      </c>
      <c r="F78" s="105">
        <f>ROUND(F110*$D$4,3)</f>
        <v>0.027</v>
      </c>
      <c r="G78" s="105">
        <v>0.001</v>
      </c>
      <c r="H78" s="29">
        <v>100</v>
      </c>
      <c r="I78" s="29">
        <f t="shared" si="6"/>
        <v>100</v>
      </c>
    </row>
    <row r="79" spans="2:9">
      <c r="C79" s="29" t="s">
        <v>130</v>
      </c>
      <c r="E79" s="105">
        <f t="shared" si="5"/>
        <v>0.09</v>
      </c>
      <c r="F79" s="105">
        <f>ROUND(F111*$D$4,3)</f>
        <v>0.027</v>
      </c>
      <c r="G79" s="105">
        <v>0.001</v>
      </c>
      <c r="H79" s="29">
        <v>100</v>
      </c>
      <c r="I79" s="29">
        <f t="shared" si="6"/>
        <v>100</v>
      </c>
    </row>
    <row r="80" spans="2:9">
      <c r="C80" s="29" t="s">
        <v>146</v>
      </c>
      <c r="E80" s="29">
        <f t="shared" si="5"/>
        <v>1137.5</v>
      </c>
      <c r="F80" s="29">
        <f t="shared" ref="F80:F87" si="7">ROUND(F112*$D$4,0)</f>
        <v>342</v>
      </c>
      <c r="G80" s="29">
        <v>1</v>
      </c>
      <c r="H80" s="29">
        <v>100</v>
      </c>
      <c r="I80" s="29">
        <f t="shared" si="6"/>
        <v>125</v>
      </c>
    </row>
    <row r="81" spans="2:9">
      <c r="C81" s="29" t="s">
        <v>145</v>
      </c>
      <c r="E81" s="29">
        <f t="shared" si="5"/>
        <v>787.5</v>
      </c>
      <c r="F81" s="29">
        <f t="shared" si="7"/>
        <v>237</v>
      </c>
      <c r="G81" s="29">
        <v>1</v>
      </c>
      <c r="H81" s="29">
        <v>100</v>
      </c>
      <c r="I81" s="29">
        <f t="shared" si="6"/>
        <v>125</v>
      </c>
    </row>
    <row r="82" spans="2:9">
      <c r="C82" s="29" t="s">
        <v>143</v>
      </c>
      <c r="E82" s="29">
        <f t="shared" si="5"/>
        <v>787.5</v>
      </c>
      <c r="F82" s="29">
        <f t="shared" si="7"/>
        <v>237</v>
      </c>
      <c r="G82" s="29">
        <v>1</v>
      </c>
      <c r="H82" s="29">
        <v>100</v>
      </c>
      <c r="I82" s="29">
        <f t="shared" si="6"/>
        <v>125</v>
      </c>
    </row>
    <row r="83" spans="2:9">
      <c r="C83" s="29" t="s">
        <v>144</v>
      </c>
      <c r="E83" s="29">
        <f t="shared" si="5"/>
        <v>962.5</v>
      </c>
      <c r="F83" s="29">
        <f t="shared" si="7"/>
        <v>289</v>
      </c>
      <c r="G83" s="29">
        <v>1</v>
      </c>
      <c r="H83" s="29">
        <v>100</v>
      </c>
      <c r="I83" s="29">
        <f t="shared" si="6"/>
        <v>125</v>
      </c>
    </row>
    <row r="84" spans="2:9">
      <c r="C84" s="29" t="s">
        <v>249</v>
      </c>
      <c r="E84" s="29">
        <f t="shared" si="5"/>
        <v>1500</v>
      </c>
      <c r="F84" s="29">
        <f t="shared" si="7"/>
        <v>450</v>
      </c>
      <c r="G84" s="29">
        <v>1</v>
      </c>
      <c r="H84" s="29">
        <v>100</v>
      </c>
      <c r="I84" s="29">
        <f t="shared" si="6"/>
        <v>50</v>
      </c>
    </row>
    <row r="85" spans="2:9">
      <c r="C85" s="29" t="s">
        <v>553</v>
      </c>
      <c r="E85" s="29">
        <f t="shared" si="5"/>
        <v>1500</v>
      </c>
      <c r="F85" s="29">
        <f t="shared" si="7"/>
        <v>450</v>
      </c>
      <c r="G85" s="29">
        <v>1</v>
      </c>
      <c r="H85" s="29">
        <v>100</v>
      </c>
      <c r="I85" s="29">
        <f t="shared" si="6"/>
        <v>50</v>
      </c>
    </row>
    <row r="86" spans="2:9">
      <c r="C86" s="29" t="s">
        <v>81</v>
      </c>
      <c r="E86" s="29">
        <f t="shared" si="5"/>
        <v>1000</v>
      </c>
      <c r="F86" s="29">
        <f t="shared" si="7"/>
        <v>300</v>
      </c>
      <c r="G86" s="29">
        <v>1</v>
      </c>
      <c r="H86" s="29">
        <v>100</v>
      </c>
      <c r="I86" s="29">
        <f t="shared" si="6"/>
        <v>50</v>
      </c>
    </row>
    <row r="87" spans="2:9">
      <c r="C87" s="29" t="s">
        <v>79</v>
      </c>
      <c r="E87" s="29">
        <f t="shared" si="5"/>
        <v>5000</v>
      </c>
      <c r="F87" s="29">
        <f t="shared" si="7"/>
        <v>1500</v>
      </c>
      <c r="G87" s="29">
        <v>1</v>
      </c>
      <c r="H87" s="29">
        <v>100</v>
      </c>
      <c r="I87" s="29">
        <f t="shared" si="6"/>
        <v>50</v>
      </c>
    </row>
    <row r="88" spans="2:9">
      <c r="C88" s="29" t="s">
        <v>141</v>
      </c>
      <c r="E88" s="105">
        <f t="shared" si="5"/>
        <v>0.037</v>
      </c>
      <c r="F88" s="105">
        <f>ROUND(F120*$D$4,3)</f>
        <v>0.011</v>
      </c>
      <c r="G88" s="105">
        <v>0.001</v>
      </c>
      <c r="H88" s="29">
        <v>100</v>
      </c>
      <c r="I88" s="29">
        <f t="shared" si="6"/>
        <v>150</v>
      </c>
    </row>
    <row r="89" spans="2:9">
      <c r="C89" s="29" t="s">
        <v>142</v>
      </c>
      <c r="E89" s="105">
        <f t="shared" si="5"/>
        <v>0.037</v>
      </c>
      <c r="F89" s="105">
        <f>ROUND(F121*$D$4,3)</f>
        <v>0.011</v>
      </c>
      <c r="G89" s="105">
        <v>0.001</v>
      </c>
      <c r="H89" s="29">
        <v>100</v>
      </c>
      <c r="I89" s="29">
        <f t="shared" si="6"/>
        <v>150</v>
      </c>
    </row>
    <row r="91" spans="2:9">
      <c r="B91" s="86" t="s">
        <v>523</v>
      </c>
      <c r="C91" s="86" t="s">
        <v>542</v>
      </c>
      <c r="D91" s="86" t="s">
        <v>548</v>
      </c>
      <c r="E91" s="86" t="s">
        <v>549</v>
      </c>
      <c r="F91" s="86" t="s">
        <v>550</v>
      </c>
      <c r="G91" s="86" t="s">
        <v>551</v>
      </c>
      <c r="H91" s="86" t="s">
        <v>270</v>
      </c>
      <c r="I91" s="86" t="s">
        <v>552</v>
      </c>
    </row>
    <row r="92" spans="2:9">
      <c r="B92" s="29" t="s">
        <v>514</v>
      </c>
      <c r="C92" s="29" t="s">
        <v>128</v>
      </c>
      <c r="E92" s="105">
        <f t="shared" ref="E92:E105" si="8">ROUND(E108*$D$5,3)</f>
        <v>0.135</v>
      </c>
      <c r="F92" s="105">
        <f>ROUND(F108*$D$5,3)</f>
        <v>0.041</v>
      </c>
      <c r="G92" s="105">
        <v>0.001</v>
      </c>
      <c r="H92" s="29">
        <v>100</v>
      </c>
      <c r="I92" s="29">
        <f t="shared" ref="I92:I105" si="9">I108*$D$5</f>
        <v>150</v>
      </c>
    </row>
    <row r="93" spans="2:9">
      <c r="C93" s="29" t="s">
        <v>128</v>
      </c>
      <c r="E93" s="105">
        <f t="shared" si="8"/>
        <v>0.135</v>
      </c>
      <c r="F93" s="105">
        <f>ROUND(F109*$D$5,3)</f>
        <v>0.041</v>
      </c>
      <c r="G93" s="105">
        <v>0.001</v>
      </c>
      <c r="H93" s="29">
        <v>100</v>
      </c>
      <c r="I93" s="29">
        <f t="shared" si="9"/>
        <v>150</v>
      </c>
    </row>
    <row r="94" spans="2:9">
      <c r="C94" s="29" t="s">
        <v>129</v>
      </c>
      <c r="E94" s="105">
        <f t="shared" si="8"/>
        <v>0.135</v>
      </c>
      <c r="F94" s="105">
        <f>ROUND(F110*$D$5,3)</f>
        <v>0.041</v>
      </c>
      <c r="G94" s="105">
        <v>0.001</v>
      </c>
      <c r="H94" s="29">
        <v>100</v>
      </c>
      <c r="I94" s="29">
        <f t="shared" si="9"/>
        <v>150</v>
      </c>
    </row>
    <row r="95" spans="2:9">
      <c r="C95" s="29" t="s">
        <v>130</v>
      </c>
      <c r="E95" s="105">
        <f t="shared" si="8"/>
        <v>0.135</v>
      </c>
      <c r="F95" s="105">
        <f>ROUND(F111*$D$5,3)</f>
        <v>0.041</v>
      </c>
      <c r="G95" s="105">
        <v>0.001</v>
      </c>
      <c r="H95" s="29">
        <v>100</v>
      </c>
      <c r="I95" s="29">
        <f t="shared" si="9"/>
        <v>150</v>
      </c>
    </row>
    <row r="96" spans="2:9">
      <c r="C96" s="29" t="s">
        <v>146</v>
      </c>
      <c r="E96" s="29">
        <f t="shared" si="8"/>
        <v>1706.25</v>
      </c>
      <c r="F96" s="29">
        <f t="shared" ref="F96:F103" si="10">ROUND(F112*$D$5,0)</f>
        <v>512</v>
      </c>
      <c r="G96" s="29">
        <v>1</v>
      </c>
      <c r="H96" s="29">
        <v>100</v>
      </c>
      <c r="I96" s="29">
        <f t="shared" si="9"/>
        <v>187.5</v>
      </c>
    </row>
    <row r="97" spans="2:9">
      <c r="C97" s="29" t="s">
        <v>145</v>
      </c>
      <c r="E97" s="29">
        <f t="shared" si="8"/>
        <v>1181.25</v>
      </c>
      <c r="F97" s="29">
        <f t="shared" si="10"/>
        <v>355</v>
      </c>
      <c r="G97" s="29">
        <v>1</v>
      </c>
      <c r="H97" s="29">
        <v>100</v>
      </c>
      <c r="I97" s="29">
        <f t="shared" si="9"/>
        <v>187.5</v>
      </c>
    </row>
    <row r="98" spans="2:9">
      <c r="C98" s="29" t="s">
        <v>143</v>
      </c>
      <c r="E98" s="29">
        <f t="shared" si="8"/>
        <v>1181.25</v>
      </c>
      <c r="F98" s="29">
        <f t="shared" si="10"/>
        <v>355</v>
      </c>
      <c r="G98" s="29">
        <v>1</v>
      </c>
      <c r="H98" s="29">
        <v>100</v>
      </c>
      <c r="I98" s="29">
        <f t="shared" si="9"/>
        <v>187.5</v>
      </c>
    </row>
    <row r="99" spans="2:9">
      <c r="C99" s="29" t="s">
        <v>144</v>
      </c>
      <c r="E99" s="29">
        <f t="shared" si="8"/>
        <v>1443.75</v>
      </c>
      <c r="F99" s="29">
        <f t="shared" si="10"/>
        <v>434</v>
      </c>
      <c r="G99" s="29">
        <v>1</v>
      </c>
      <c r="H99" s="29">
        <v>100</v>
      </c>
      <c r="I99" s="29">
        <f t="shared" si="9"/>
        <v>187.5</v>
      </c>
    </row>
    <row r="100" spans="2:9">
      <c r="C100" s="29" t="s">
        <v>249</v>
      </c>
      <c r="E100" s="29">
        <f t="shared" si="8"/>
        <v>2250</v>
      </c>
      <c r="F100" s="29">
        <f t="shared" si="10"/>
        <v>675</v>
      </c>
      <c r="G100" s="29">
        <v>1</v>
      </c>
      <c r="H100" s="29">
        <v>100</v>
      </c>
      <c r="I100" s="29">
        <f t="shared" si="9"/>
        <v>75</v>
      </c>
    </row>
    <row r="101" spans="2:9">
      <c r="C101" s="29" t="s">
        <v>553</v>
      </c>
      <c r="E101" s="29">
        <f t="shared" si="8"/>
        <v>2250</v>
      </c>
      <c r="F101" s="29">
        <f t="shared" si="10"/>
        <v>675</v>
      </c>
      <c r="G101" s="29">
        <v>1</v>
      </c>
      <c r="H101" s="29">
        <v>100</v>
      </c>
      <c r="I101" s="29">
        <f t="shared" si="9"/>
        <v>75</v>
      </c>
    </row>
    <row r="102" spans="2:9">
      <c r="C102" s="29" t="s">
        <v>81</v>
      </c>
      <c r="E102" s="29">
        <f t="shared" si="8"/>
        <v>1500</v>
      </c>
      <c r="F102" s="29">
        <f t="shared" si="10"/>
        <v>450</v>
      </c>
      <c r="G102" s="29">
        <v>1</v>
      </c>
      <c r="H102" s="29">
        <v>100</v>
      </c>
      <c r="I102" s="29">
        <f t="shared" si="9"/>
        <v>75</v>
      </c>
    </row>
    <row r="103" spans="2:9">
      <c r="C103" s="29" t="s">
        <v>79</v>
      </c>
      <c r="E103" s="29">
        <f t="shared" si="8"/>
        <v>7500</v>
      </c>
      <c r="F103" s="29">
        <f t="shared" si="10"/>
        <v>2250</v>
      </c>
      <c r="G103" s="29">
        <v>1</v>
      </c>
      <c r="H103" s="29">
        <v>100</v>
      </c>
      <c r="I103" s="29">
        <f t="shared" si="9"/>
        <v>75</v>
      </c>
    </row>
    <row r="104" spans="2:9">
      <c r="C104" s="29" t="s">
        <v>141</v>
      </c>
      <c r="E104" s="105">
        <f t="shared" si="8"/>
        <v>0.055</v>
      </c>
      <c r="F104" s="105">
        <f>ROUND(F120*$D$5,3)</f>
        <v>0.017</v>
      </c>
      <c r="G104" s="105">
        <v>0.001</v>
      </c>
      <c r="H104" s="29">
        <v>100</v>
      </c>
      <c r="I104" s="29">
        <f t="shared" si="9"/>
        <v>225</v>
      </c>
    </row>
    <row r="105" spans="2:9">
      <c r="C105" s="29" t="s">
        <v>142</v>
      </c>
      <c r="E105" s="105">
        <f t="shared" si="8"/>
        <v>0.055</v>
      </c>
      <c r="F105" s="105">
        <f>ROUND(F121*$D$5,3)</f>
        <v>0.017</v>
      </c>
      <c r="G105" s="105">
        <v>0.001</v>
      </c>
      <c r="H105" s="29">
        <v>100</v>
      </c>
      <c r="I105" s="29">
        <f t="shared" si="9"/>
        <v>225</v>
      </c>
    </row>
    <row r="107" spans="2:9">
      <c r="B107" s="86" t="s">
        <v>523</v>
      </c>
      <c r="C107" s="86" t="s">
        <v>542</v>
      </c>
      <c r="D107" s="86" t="s">
        <v>548</v>
      </c>
      <c r="E107" s="86" t="s">
        <v>549</v>
      </c>
      <c r="F107" s="86" t="s">
        <v>550</v>
      </c>
      <c r="G107" s="86" t="s">
        <v>551</v>
      </c>
      <c r="H107" s="86" t="s">
        <v>270</v>
      </c>
      <c r="I107" s="86" t="s">
        <v>552</v>
      </c>
    </row>
    <row r="108" spans="2:9">
      <c r="B108" s="29" t="s">
        <v>489</v>
      </c>
      <c r="C108" s="29" t="s">
        <v>128</v>
      </c>
      <c r="E108" s="105">
        <f>'设计页-映射装备数值'!D214</f>
        <v>0.18</v>
      </c>
      <c r="F108" s="105">
        <f>'设计页-映射装备数值'!C214</f>
        <v>0.054</v>
      </c>
      <c r="G108" s="105">
        <v>0.001</v>
      </c>
      <c r="H108" s="29">
        <v>100</v>
      </c>
      <c r="I108" s="29">
        <f>'设计页-映射装备数值'!H214</f>
        <v>200</v>
      </c>
    </row>
    <row r="109" spans="2:9">
      <c r="C109" s="29" t="s">
        <v>128</v>
      </c>
      <c r="E109" s="105">
        <f>'设计页-映射装备数值'!D215</f>
        <v>0.18</v>
      </c>
      <c r="F109" s="105">
        <f>'设计页-映射装备数值'!C215</f>
        <v>0.054</v>
      </c>
      <c r="G109" s="105">
        <v>0.001</v>
      </c>
      <c r="H109" s="29">
        <v>100</v>
      </c>
      <c r="I109" s="29">
        <f>'设计页-映射装备数值'!H215</f>
        <v>200</v>
      </c>
    </row>
    <row r="110" spans="2:9">
      <c r="C110" s="29" t="s">
        <v>129</v>
      </c>
      <c r="E110" s="105">
        <f>'设计页-映射装备数值'!D216</f>
        <v>0.18</v>
      </c>
      <c r="F110" s="105">
        <f>'设计页-映射装备数值'!C216</f>
        <v>0.054</v>
      </c>
      <c r="G110" s="105">
        <v>0.001</v>
      </c>
      <c r="H110" s="29">
        <v>100</v>
      </c>
      <c r="I110" s="29">
        <f>'设计页-映射装备数值'!H216</f>
        <v>200</v>
      </c>
    </row>
    <row r="111" spans="2:9">
      <c r="C111" s="29" t="s">
        <v>130</v>
      </c>
      <c r="E111" s="105">
        <f>'设计页-映射装备数值'!D217</f>
        <v>0.18</v>
      </c>
      <c r="F111" s="105">
        <f>'设计页-映射装备数值'!C217</f>
        <v>0.054</v>
      </c>
      <c r="G111" s="105">
        <v>0.001</v>
      </c>
      <c r="H111" s="29">
        <v>100</v>
      </c>
      <c r="I111" s="29">
        <f>'设计页-映射装备数值'!H217</f>
        <v>200</v>
      </c>
    </row>
    <row r="112" spans="2:9">
      <c r="C112" s="29" t="s">
        <v>146</v>
      </c>
      <c r="E112" s="29">
        <f>'设计页-映射装备数值'!D218</f>
        <v>2275</v>
      </c>
      <c r="F112" s="29">
        <f>'设计页-映射装备数值'!C218</f>
        <v>683</v>
      </c>
      <c r="G112" s="29">
        <v>1</v>
      </c>
      <c r="H112" s="29">
        <v>100</v>
      </c>
      <c r="I112" s="29">
        <f>'设计页-映射装备数值'!H218</f>
        <v>250</v>
      </c>
    </row>
    <row r="113" spans="3:9">
      <c r="C113" s="29" t="s">
        <v>145</v>
      </c>
      <c r="E113" s="29">
        <f>'设计页-映射装备数值'!D219</f>
        <v>1575</v>
      </c>
      <c r="F113" s="29">
        <f>'设计页-映射装备数值'!C219</f>
        <v>473</v>
      </c>
      <c r="G113" s="29">
        <v>1</v>
      </c>
      <c r="H113" s="29">
        <v>100</v>
      </c>
      <c r="I113" s="29">
        <f>'设计页-映射装备数值'!H219</f>
        <v>250</v>
      </c>
    </row>
    <row r="114" spans="3:9">
      <c r="C114" s="29" t="s">
        <v>143</v>
      </c>
      <c r="E114" s="29">
        <f>'设计页-映射装备数值'!D220</f>
        <v>1575</v>
      </c>
      <c r="F114" s="29">
        <f>'设计页-映射装备数值'!C220</f>
        <v>473</v>
      </c>
      <c r="G114" s="29">
        <v>1</v>
      </c>
      <c r="H114" s="29">
        <v>100</v>
      </c>
      <c r="I114" s="29">
        <f>'设计页-映射装备数值'!H220</f>
        <v>250</v>
      </c>
    </row>
    <row r="115" spans="3:9">
      <c r="C115" s="29" t="s">
        <v>144</v>
      </c>
      <c r="E115" s="29">
        <f>'设计页-映射装备数值'!D221</f>
        <v>1925</v>
      </c>
      <c r="F115" s="29">
        <f>'设计页-映射装备数值'!C221</f>
        <v>578</v>
      </c>
      <c r="G115" s="29">
        <v>1</v>
      </c>
      <c r="H115" s="29">
        <v>100</v>
      </c>
      <c r="I115" s="29">
        <f>'设计页-映射装备数值'!H221</f>
        <v>250</v>
      </c>
    </row>
    <row r="116" spans="3:9">
      <c r="C116" s="29" t="s">
        <v>249</v>
      </c>
      <c r="E116" s="29">
        <f>'设计页-映射装备数值'!D222</f>
        <v>3000</v>
      </c>
      <c r="F116" s="29">
        <f>'设计页-映射装备数值'!C222</f>
        <v>900</v>
      </c>
      <c r="G116" s="29">
        <v>1</v>
      </c>
      <c r="H116" s="29">
        <v>100</v>
      </c>
      <c r="I116" s="29">
        <f>'设计页-映射装备数值'!H222</f>
        <v>100</v>
      </c>
    </row>
    <row r="117" spans="3:9">
      <c r="C117" s="29" t="s">
        <v>128</v>
      </c>
      <c r="E117" s="29">
        <f>'设计页-映射装备数值'!D223</f>
        <v>3000</v>
      </c>
      <c r="F117" s="29">
        <f>'设计页-映射装备数值'!C223</f>
        <v>900</v>
      </c>
      <c r="G117" s="29">
        <v>1</v>
      </c>
      <c r="H117" s="29">
        <v>100</v>
      </c>
      <c r="I117" s="29">
        <f>'设计页-映射装备数值'!H223</f>
        <v>100</v>
      </c>
    </row>
    <row r="118" spans="3:9">
      <c r="C118" s="29" t="s">
        <v>81</v>
      </c>
      <c r="E118" s="29">
        <f>'设计页-映射装备数值'!D224</f>
        <v>2000</v>
      </c>
      <c r="F118" s="29">
        <f>'设计页-映射装备数值'!C224</f>
        <v>600</v>
      </c>
      <c r="G118" s="29">
        <v>1</v>
      </c>
      <c r="H118" s="29">
        <v>100</v>
      </c>
      <c r="I118" s="29">
        <f>'设计页-映射装备数值'!H224</f>
        <v>100</v>
      </c>
    </row>
    <row r="119" spans="3:9">
      <c r="C119" s="29" t="s">
        <v>79</v>
      </c>
      <c r="E119" s="29">
        <f>'设计页-映射装备数值'!D225</f>
        <v>10000</v>
      </c>
      <c r="F119" s="29">
        <f>'设计页-映射装备数值'!C225</f>
        <v>3000</v>
      </c>
      <c r="G119" s="29">
        <v>1</v>
      </c>
      <c r="H119" s="29">
        <v>100</v>
      </c>
      <c r="I119" s="29">
        <f>'设计页-映射装备数值'!H225</f>
        <v>100</v>
      </c>
    </row>
    <row r="120" spans="3:9">
      <c r="C120" s="29" t="s">
        <v>141</v>
      </c>
      <c r="E120" s="105">
        <f>'设计页-映射装备数值'!D226</f>
        <v>0.0735</v>
      </c>
      <c r="F120" s="105">
        <f>'设计页-映射装备数值'!C226</f>
        <v>0.02205</v>
      </c>
      <c r="G120" s="105">
        <v>0.001</v>
      </c>
      <c r="H120" s="29">
        <v>100</v>
      </c>
      <c r="I120" s="29">
        <f>'设计页-映射装备数值'!H226</f>
        <v>300</v>
      </c>
    </row>
    <row r="121" spans="3:9">
      <c r="C121" s="29" t="s">
        <v>142</v>
      </c>
      <c r="E121" s="105">
        <f>'设计页-映射装备数值'!D227</f>
        <v>0.0735</v>
      </c>
      <c r="F121" s="105">
        <f>'设计页-映射装备数值'!C227</f>
        <v>0.02205</v>
      </c>
      <c r="G121" s="105">
        <v>0.001</v>
      </c>
      <c r="H121" s="29">
        <v>100</v>
      </c>
      <c r="I121" s="29">
        <f>'设计页-映射装备数值'!H227</f>
        <v>300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55"/>
  <sheetViews>
    <sheetView topLeftCell="A12" workbookViewId="0">
      <selection activeCell="P34" sqref="P34"/>
    </sheetView>
  </sheetViews>
  <sheetFormatPr defaultColWidth="9" defaultRowHeight="13.5" outlineLevelCol="5"/>
  <cols>
    <col min="2" max="2" width="15" style="8" customWidth="1"/>
    <col min="3" max="3" width="17.125" style="8" customWidth="1"/>
    <col min="4" max="4" width="15" style="8" customWidth="1"/>
    <col min="5" max="5" width="17.125" style="8" customWidth="1"/>
  </cols>
  <sheetData>
    <row r="2" ht="16.5" customHeight="1" spans="2:6">
      <c r="B2" t="s">
        <v>554</v>
      </c>
      <c r="C2" t="s">
        <v>555</v>
      </c>
      <c r="D2" s="86" t="s">
        <v>556</v>
      </c>
      <c r="E2" s="86" t="s">
        <v>557</v>
      </c>
    </row>
    <row r="3" spans="2:6">
      <c r="B3" t="str">
        <f>普通映射装备数值!D3</f>
        <v>初级喷射器</v>
      </c>
      <c r="C3" s="65">
        <v>311001</v>
      </c>
      <c r="D3" t="str">
        <f>普通映射装备数值!U3</f>
        <v>攻击</v>
      </c>
      <c r="E3">
        <f>普通映射装备数值!V3</f>
        <v>0.01</v>
      </c>
      <c r="F3" t="str">
        <f t="shared" ref="F3:F66" si="0">_xlfn.CONCAT(D3,E3)</f>
        <v>攻击0.01</v>
      </c>
    </row>
    <row r="4" spans="2:6">
      <c r="B4" t="str">
        <f>普通映射装备数值!D4</f>
        <v>中级喷射器</v>
      </c>
      <c r="C4" s="65">
        <v>311101</v>
      </c>
      <c r="D4" t="str">
        <f>普通映射装备数值!U4</f>
        <v>攻击</v>
      </c>
      <c r="E4">
        <f>普通映射装备数值!V4</f>
        <v>0.015</v>
      </c>
      <c r="F4" t="str">
        <f t="shared" si="0"/>
        <v>攻击0.015</v>
      </c>
    </row>
    <row r="5" spans="2:6">
      <c r="B5" t="str">
        <f>普通映射装备数值!D5</f>
        <v>高级喷射器</v>
      </c>
      <c r="C5" s="65">
        <v>311201</v>
      </c>
      <c r="D5" t="str">
        <f>普通映射装备数值!U5</f>
        <v>攻击</v>
      </c>
      <c r="E5">
        <f>普通映射装备数值!V5</f>
        <v>0.02</v>
      </c>
      <c r="F5" t="str">
        <f t="shared" si="0"/>
        <v>攻击0.02</v>
      </c>
    </row>
    <row r="6" spans="2:6">
      <c r="B6" t="str">
        <f>普通映射装备数值!D6</f>
        <v>初级逆变器</v>
      </c>
      <c r="C6" s="65">
        <v>311301</v>
      </c>
      <c r="D6" t="str">
        <f>普通映射装备数值!U6</f>
        <v>攻击</v>
      </c>
      <c r="E6">
        <f>普通映射装备数值!V6</f>
        <v>0.01</v>
      </c>
      <c r="F6" t="str">
        <f t="shared" si="0"/>
        <v>攻击0.01</v>
      </c>
    </row>
    <row r="7" spans="2:6">
      <c r="B7" t="str">
        <f>普通映射装备数值!D7</f>
        <v>中级逆变器</v>
      </c>
      <c r="C7" s="65">
        <v>311401</v>
      </c>
      <c r="D7" t="str">
        <f>普通映射装备数值!U7</f>
        <v>攻击</v>
      </c>
      <c r="E7">
        <f>普通映射装备数值!V7</f>
        <v>0.015</v>
      </c>
      <c r="F7" t="str">
        <f t="shared" si="0"/>
        <v>攻击0.015</v>
      </c>
    </row>
    <row r="8" spans="2:6">
      <c r="B8" t="str">
        <f>普通映射装备数值!D8</f>
        <v>高级逆变器</v>
      </c>
      <c r="C8" s="65">
        <v>311501</v>
      </c>
      <c r="D8" t="str">
        <f>普通映射装备数值!U8</f>
        <v>攻击</v>
      </c>
      <c r="E8">
        <f>普通映射装备数值!V8</f>
        <v>0.02</v>
      </c>
      <c r="F8" t="str">
        <f t="shared" si="0"/>
        <v>攻击0.02</v>
      </c>
    </row>
    <row r="9" spans="2:6">
      <c r="B9" t="str">
        <f>普通映射装备数值!D9</f>
        <v>初级切割器</v>
      </c>
      <c r="C9" s="65">
        <v>311601</v>
      </c>
      <c r="D9" t="str">
        <f>普通映射装备数值!U9</f>
        <v>穿透伤害加成</v>
      </c>
      <c r="E9">
        <f>普通映射装备数值!V9</f>
        <v>0.02</v>
      </c>
      <c r="F9" t="str">
        <f t="shared" si="0"/>
        <v>穿透伤害加成0.02</v>
      </c>
    </row>
    <row r="10" spans="2:6">
      <c r="B10" t="str">
        <f>普通映射装备数值!D10</f>
        <v>中级切割器</v>
      </c>
      <c r="C10" s="65">
        <v>311701</v>
      </c>
      <c r="D10" t="str">
        <f>普通映射装备数值!U10</f>
        <v>穿透伤害加成</v>
      </c>
      <c r="E10">
        <f>普通映射装备数值!V10</f>
        <v>0.03</v>
      </c>
      <c r="F10" t="str">
        <f t="shared" si="0"/>
        <v>穿透伤害加成0.03</v>
      </c>
    </row>
    <row r="11" spans="2:6">
      <c r="B11" t="str">
        <f>普通映射装备数值!D11</f>
        <v>高级切割器</v>
      </c>
      <c r="C11" s="65">
        <v>311801</v>
      </c>
      <c r="D11" t="str">
        <f>普通映射装备数值!U11</f>
        <v>穿透伤害加成</v>
      </c>
      <c r="E11">
        <f>普通映射装备数值!V11</f>
        <v>0.04</v>
      </c>
      <c r="F11" t="str">
        <f t="shared" si="0"/>
        <v>穿透伤害加成0.04</v>
      </c>
    </row>
    <row r="12" spans="2:6">
      <c r="B12" t="str">
        <f>普通映射装备数值!D12</f>
        <v>初级旋转机枪</v>
      </c>
      <c r="C12" s="65">
        <v>311901</v>
      </c>
      <c r="D12" t="str">
        <f>普通映射装备数值!U12</f>
        <v>普攻速度百分比</v>
      </c>
      <c r="E12">
        <f>普通映射装备数值!V12</f>
        <v>0.018</v>
      </c>
      <c r="F12" t="str">
        <f t="shared" si="0"/>
        <v>普攻速度百分比0.018</v>
      </c>
    </row>
    <row r="13" spans="2:6">
      <c r="B13" t="str">
        <f>普通映射装备数值!D13</f>
        <v>中级旋转机枪</v>
      </c>
      <c r="C13" s="65">
        <v>312001</v>
      </c>
      <c r="D13" t="str">
        <f>普通映射装备数值!U13</f>
        <v>普攻速度百分比</v>
      </c>
      <c r="E13">
        <f>普通映射装备数值!V13</f>
        <v>0.028</v>
      </c>
      <c r="F13" t="str">
        <f t="shared" si="0"/>
        <v>普攻速度百分比0.028</v>
      </c>
    </row>
    <row r="14" spans="2:6">
      <c r="B14" t="str">
        <f>普通映射装备数值!D14</f>
        <v>高级旋转机枪</v>
      </c>
      <c r="C14" s="65">
        <v>312101</v>
      </c>
      <c r="D14" t="str">
        <f>普通映射装备数值!U14</f>
        <v>普攻速度百分比</v>
      </c>
      <c r="E14">
        <f>普通映射装备数值!V14</f>
        <v>0.04</v>
      </c>
      <c r="F14" t="str">
        <f t="shared" si="0"/>
        <v>普攻速度百分比0.04</v>
      </c>
    </row>
    <row r="15" spans="2:6">
      <c r="B15" t="str">
        <f>普通映射装备数值!D15</f>
        <v>初级聚变融炮</v>
      </c>
      <c r="C15" s="65">
        <v>312201</v>
      </c>
      <c r="D15" t="str">
        <f>普通映射装备数值!U15</f>
        <v>攻击</v>
      </c>
      <c r="E15">
        <f>普通映射装备数值!V15</f>
        <v>210</v>
      </c>
      <c r="F15" t="str">
        <f t="shared" si="0"/>
        <v>攻击210</v>
      </c>
    </row>
    <row r="16" spans="2:6">
      <c r="B16" t="str">
        <f>普通映射装备数值!D16</f>
        <v>中级聚变融炮</v>
      </c>
      <c r="C16" s="65">
        <v>312301</v>
      </c>
      <c r="D16" t="str">
        <f>普通映射装备数值!U16</f>
        <v>攻击</v>
      </c>
      <c r="E16">
        <f>普通映射装备数值!V16</f>
        <v>390</v>
      </c>
      <c r="F16" t="str">
        <f t="shared" si="0"/>
        <v>攻击390</v>
      </c>
    </row>
    <row r="17" spans="2:6">
      <c r="B17" t="str">
        <f>普通映射装备数值!D17</f>
        <v>高级聚变融炮</v>
      </c>
      <c r="C17" s="65">
        <v>312401</v>
      </c>
      <c r="D17" t="str">
        <f>普通映射装备数值!U17</f>
        <v>攻击</v>
      </c>
      <c r="E17">
        <f>普通映射装备数值!V17</f>
        <v>630</v>
      </c>
      <c r="F17" t="str">
        <f t="shared" si="0"/>
        <v>攻击630</v>
      </c>
    </row>
    <row r="18" spans="2:6">
      <c r="B18" t="str">
        <f>普通映射装备数值!D18</f>
        <v>初级脉冲手炮</v>
      </c>
      <c r="C18" s="65">
        <v>312501</v>
      </c>
      <c r="D18" t="str">
        <f>普通映射装备数值!U18</f>
        <v>暴击伤害</v>
      </c>
      <c r="E18">
        <f>普通映射装备数值!V18</f>
        <v>0.02</v>
      </c>
      <c r="F18" t="str">
        <f t="shared" si="0"/>
        <v>暴击伤害0.02</v>
      </c>
    </row>
    <row r="19" spans="2:6">
      <c r="B19" t="str">
        <f>普通映射装备数值!D19</f>
        <v>中级脉冲手炮</v>
      </c>
      <c r="C19" s="65">
        <v>312601</v>
      </c>
      <c r="D19" t="str">
        <f>普通映射装备数值!U19</f>
        <v>暴击伤害</v>
      </c>
      <c r="E19">
        <f>普通映射装备数值!V19</f>
        <v>0.03</v>
      </c>
      <c r="F19" t="str">
        <f t="shared" si="0"/>
        <v>暴击伤害0.03</v>
      </c>
    </row>
    <row r="20" spans="2:6">
      <c r="B20" t="str">
        <f>普通映射装备数值!D20</f>
        <v>高级脉冲手炮</v>
      </c>
      <c r="C20" s="65">
        <v>312701</v>
      </c>
      <c r="D20" t="str">
        <f>普通映射装备数值!U20</f>
        <v>暴击伤害</v>
      </c>
      <c r="E20">
        <f>普通映射装备数值!V20</f>
        <v>0.04</v>
      </c>
      <c r="F20" t="str">
        <f t="shared" si="0"/>
        <v>暴击伤害0.04</v>
      </c>
    </row>
    <row r="21" spans="2:6">
      <c r="B21" t="str">
        <f>普通映射装备数值!D21</f>
        <v>初级圣光调和杖</v>
      </c>
      <c r="C21" s="65">
        <v>312801</v>
      </c>
      <c r="D21" t="str">
        <f>普通映射装备数值!U21</f>
        <v>治疗率</v>
      </c>
      <c r="E21">
        <f>普通映射装备数值!V21</f>
        <v>0.02</v>
      </c>
      <c r="F21" t="str">
        <f t="shared" si="0"/>
        <v>治疗率0.02</v>
      </c>
    </row>
    <row r="22" spans="2:6">
      <c r="B22" t="str">
        <f>普通映射装备数值!D22</f>
        <v>中级圣光调和杖</v>
      </c>
      <c r="C22" s="65">
        <v>312901</v>
      </c>
      <c r="D22" t="str">
        <f>普通映射装备数值!U22</f>
        <v>治疗率</v>
      </c>
      <c r="E22">
        <f>普通映射装备数值!V22</f>
        <v>0.03</v>
      </c>
      <c r="F22" t="str">
        <f t="shared" si="0"/>
        <v>治疗率0.03</v>
      </c>
    </row>
    <row r="23" spans="2:6">
      <c r="B23" t="str">
        <f>普通映射装备数值!D23</f>
        <v>高级圣光调和杖</v>
      </c>
      <c r="C23" s="65">
        <v>313001</v>
      </c>
      <c r="D23" t="str">
        <f>普通映射装备数值!U23</f>
        <v>治疗率</v>
      </c>
      <c r="E23">
        <f>普通映射装备数值!V23</f>
        <v>0.04</v>
      </c>
      <c r="F23" t="str">
        <f t="shared" si="0"/>
        <v>治疗率0.04</v>
      </c>
    </row>
    <row r="24" spans="2:6">
      <c r="B24" t="str">
        <f>普通映射装备数值!D24</f>
        <v>初级灾厄权杖</v>
      </c>
      <c r="C24" s="65">
        <v>313101</v>
      </c>
      <c r="D24" t="str">
        <f>普通映射装备数值!U24</f>
        <v>持续伤害加成</v>
      </c>
      <c r="E24">
        <f>普通映射装备数值!V24</f>
        <v>0.02</v>
      </c>
      <c r="F24" t="str">
        <f t="shared" si="0"/>
        <v>持续伤害加成0.02</v>
      </c>
    </row>
    <row r="25" spans="2:6">
      <c r="B25" t="str">
        <f>普通映射装备数值!D25</f>
        <v>中级灾厄权杖</v>
      </c>
      <c r="C25" s="65">
        <v>313201</v>
      </c>
      <c r="D25" t="str">
        <f>普通映射装备数值!U25</f>
        <v>持续伤害加成</v>
      </c>
      <c r="E25">
        <f>普通映射装备数值!V25</f>
        <v>0.03</v>
      </c>
      <c r="F25" t="str">
        <f t="shared" si="0"/>
        <v>持续伤害加成0.03</v>
      </c>
    </row>
    <row r="26" spans="2:6">
      <c r="B26" t="str">
        <f>普通映射装备数值!D26</f>
        <v>高级灾厄权杖</v>
      </c>
      <c r="C26" s="65">
        <v>313301</v>
      </c>
      <c r="D26" t="str">
        <f>普通映射装备数值!U26</f>
        <v>持续伤害加成</v>
      </c>
      <c r="E26">
        <f>普通映射装备数值!V26</f>
        <v>0.04</v>
      </c>
      <c r="F26" t="str">
        <f t="shared" si="0"/>
        <v>持续伤害加成0.04</v>
      </c>
    </row>
    <row r="27" spans="2:6">
      <c r="B27" t="str">
        <f>普通映射装备数值!D27</f>
        <v>初级虚空法杖</v>
      </c>
      <c r="C27" s="65">
        <v>313401</v>
      </c>
      <c r="D27" t="str">
        <f>普通映射装备数值!U27</f>
        <v>无视防御</v>
      </c>
      <c r="E27">
        <f>普通映射装备数值!V27</f>
        <v>0.015</v>
      </c>
      <c r="F27" t="str">
        <f t="shared" si="0"/>
        <v>无视防御0.015</v>
      </c>
    </row>
    <row r="28" spans="2:6">
      <c r="B28" t="str">
        <f>普通映射装备数值!D28</f>
        <v>中级虚空法杖</v>
      </c>
      <c r="C28" s="65">
        <v>313501</v>
      </c>
      <c r="D28" t="str">
        <f>普通映射装备数值!U28</f>
        <v>无视防御</v>
      </c>
      <c r="E28">
        <f>普通映射装备数值!V28</f>
        <v>0.025</v>
      </c>
      <c r="F28" t="str">
        <f t="shared" si="0"/>
        <v>无视防御0.025</v>
      </c>
    </row>
    <row r="29" spans="2:6">
      <c r="B29" t="str">
        <f>普通映射装备数值!D29</f>
        <v>高级虚空法杖</v>
      </c>
      <c r="C29" s="65">
        <v>313601</v>
      </c>
      <c r="D29" t="str">
        <f>普通映射装备数值!U29</f>
        <v>无视防御</v>
      </c>
      <c r="E29">
        <f>普通映射装备数值!V29</f>
        <v>0.035</v>
      </c>
      <c r="F29" t="str">
        <f t="shared" si="0"/>
        <v>无视防御0.035</v>
      </c>
    </row>
    <row r="30" spans="2:6">
      <c r="B30" t="str">
        <f>普通映射装备数值!D30</f>
        <v>初级隔热头盔</v>
      </c>
      <c r="C30" s="65">
        <v>320501</v>
      </c>
      <c r="D30" t="str">
        <f>普通映射装备数值!U30</f>
        <v>物理伤害减免</v>
      </c>
      <c r="E30">
        <f>普通映射装备数值!V30</f>
        <v>0.015</v>
      </c>
      <c r="F30" t="str">
        <f t="shared" si="0"/>
        <v>物理伤害减免0.015</v>
      </c>
    </row>
    <row r="31" spans="2:6">
      <c r="B31" t="str">
        <f>普通映射装备数值!D31</f>
        <v>中级隔热头盔</v>
      </c>
      <c r="C31" s="65">
        <v>320601</v>
      </c>
      <c r="D31" t="str">
        <f>普通映射装备数值!U31</f>
        <v>物理伤害减免</v>
      </c>
      <c r="E31">
        <f>普通映射装备数值!V31</f>
        <v>0.025</v>
      </c>
      <c r="F31" t="str">
        <f t="shared" si="0"/>
        <v>物理伤害减免0.025</v>
      </c>
    </row>
    <row r="32" spans="2:6">
      <c r="B32" t="str">
        <f>普通映射装备数值!D32</f>
        <v>高级隔热头盔</v>
      </c>
      <c r="C32" s="65">
        <v>320701</v>
      </c>
      <c r="D32" t="str">
        <f>普通映射装备数值!U32</f>
        <v>物理伤害减免</v>
      </c>
      <c r="E32">
        <f>普通映射装备数值!V32</f>
        <v>0.035</v>
      </c>
      <c r="F32" t="str">
        <f t="shared" si="0"/>
        <v>物理伤害减免0.035</v>
      </c>
    </row>
    <row r="33" spans="2:6">
      <c r="B33" t="str">
        <f>普通映射装备数值!D33</f>
        <v>初级聚合盔</v>
      </c>
      <c r="C33" s="65">
        <v>320801</v>
      </c>
      <c r="D33" t="str">
        <f>普通映射装备数值!U33</f>
        <v>伤害减免</v>
      </c>
      <c r="E33">
        <f>普通映射装备数值!V33</f>
        <v>0.015</v>
      </c>
      <c r="F33" t="str">
        <f t="shared" si="0"/>
        <v>伤害减免0.015</v>
      </c>
    </row>
    <row r="34" spans="2:6">
      <c r="B34" t="str">
        <f>普通映射装备数值!D34</f>
        <v>中级聚合盔</v>
      </c>
      <c r="C34" s="65">
        <v>320901</v>
      </c>
      <c r="D34" t="str">
        <f>普通映射装备数值!U34</f>
        <v>伤害减免</v>
      </c>
      <c r="E34">
        <f>普通映射装备数值!V34</f>
        <v>0.025</v>
      </c>
      <c r="F34" t="str">
        <f t="shared" si="0"/>
        <v>伤害减免0.025</v>
      </c>
    </row>
    <row r="35" spans="2:6">
      <c r="B35" t="str">
        <f>普通映射装备数值!D35</f>
        <v>高级聚合盔</v>
      </c>
      <c r="C35" s="65">
        <v>321001</v>
      </c>
      <c r="D35" t="str">
        <f>普通映射装备数值!U35</f>
        <v>伤害减免</v>
      </c>
      <c r="E35">
        <f>普通映射装备数值!V35</f>
        <v>0.035</v>
      </c>
      <c r="F35" t="str">
        <f t="shared" si="0"/>
        <v>伤害减免0.035</v>
      </c>
    </row>
    <row r="36" spans="2:6">
      <c r="B36" t="str">
        <f>普通映射装备数值!D36</f>
        <v>初级共生头铠</v>
      </c>
      <c r="C36" s="65">
        <v>321101</v>
      </c>
      <c r="D36" t="str">
        <f>普通映射装备数值!U36</f>
        <v>受到治疗效果</v>
      </c>
      <c r="E36">
        <f>普通映射装备数值!V36</f>
        <v>0.02</v>
      </c>
      <c r="F36" t="str">
        <f t="shared" si="0"/>
        <v>受到治疗效果0.02</v>
      </c>
    </row>
    <row r="37" spans="2:6">
      <c r="B37" t="str">
        <f>普通映射装备数值!D37</f>
        <v>中级共生头铠</v>
      </c>
      <c r="C37" s="65">
        <v>321201</v>
      </c>
      <c r="D37" t="str">
        <f>普通映射装备数值!U37</f>
        <v>受到治疗效果</v>
      </c>
      <c r="E37">
        <f>普通映射装备数值!V37</f>
        <v>0.03</v>
      </c>
      <c r="F37" t="str">
        <f t="shared" si="0"/>
        <v>受到治疗效果0.03</v>
      </c>
    </row>
    <row r="38" spans="2:6">
      <c r="B38" t="str">
        <f>普通映射装备数值!D38</f>
        <v>高级共生头铠</v>
      </c>
      <c r="C38" s="65">
        <v>321301</v>
      </c>
      <c r="D38" t="str">
        <f>普通映射装备数值!U38</f>
        <v>受到治疗效果</v>
      </c>
      <c r="E38">
        <f>普通映射装备数值!V38</f>
        <v>0.04</v>
      </c>
      <c r="F38" t="str">
        <f t="shared" si="0"/>
        <v>受到治疗效果0.04</v>
      </c>
    </row>
    <row r="39" spans="2:6">
      <c r="B39" t="str">
        <f>普通映射装备数值!D39</f>
        <v>初级链接盔</v>
      </c>
      <c r="C39" s="65">
        <v>321401</v>
      </c>
      <c r="D39" t="str">
        <f>普通映射装备数值!U39</f>
        <v>攻击</v>
      </c>
      <c r="E39">
        <f>普通映射装备数值!V39</f>
        <v>0.01</v>
      </c>
      <c r="F39" t="str">
        <f t="shared" si="0"/>
        <v>攻击0.01</v>
      </c>
    </row>
    <row r="40" spans="2:6">
      <c r="B40" t="str">
        <f>普通映射装备数值!D40</f>
        <v>中级链接盔</v>
      </c>
      <c r="C40" s="65">
        <v>321501</v>
      </c>
      <c r="D40" t="str">
        <f>普通映射装备数值!U40</f>
        <v>攻击</v>
      </c>
      <c r="E40">
        <f>普通映射装备数值!V40</f>
        <v>0.015</v>
      </c>
      <c r="F40" t="str">
        <f t="shared" si="0"/>
        <v>攻击0.015</v>
      </c>
    </row>
    <row r="41" spans="2:6">
      <c r="B41" t="str">
        <f>普通映射装备数值!D41</f>
        <v>高级链接盔</v>
      </c>
      <c r="C41" s="65">
        <v>321601</v>
      </c>
      <c r="D41" t="str">
        <f>普通映射装备数值!U41</f>
        <v>攻击</v>
      </c>
      <c r="E41">
        <f>普通映射装备数值!V41</f>
        <v>0.02</v>
      </c>
      <c r="F41" t="str">
        <f t="shared" si="0"/>
        <v>攻击0.02</v>
      </c>
    </row>
    <row r="42" spans="2:6">
      <c r="B42" t="str">
        <f>普通映射装备数值!D42</f>
        <v>初级修士法帽</v>
      </c>
      <c r="C42" s="65">
        <v>321701</v>
      </c>
      <c r="D42" t="str">
        <f>普通映射装备数值!U42</f>
        <v>魔法伤害减免</v>
      </c>
      <c r="E42">
        <f>普通映射装备数值!V42</f>
        <v>0.015</v>
      </c>
      <c r="F42" t="str">
        <f t="shared" si="0"/>
        <v>魔法伤害减免0.015</v>
      </c>
    </row>
    <row r="43" spans="2:6">
      <c r="B43" t="str">
        <f>普通映射装备数值!D43</f>
        <v>中级修士法帽</v>
      </c>
      <c r="C43" s="65">
        <v>321801</v>
      </c>
      <c r="D43" t="str">
        <f>普通映射装备数值!U43</f>
        <v>魔法伤害减免</v>
      </c>
      <c r="E43">
        <f>普通映射装备数值!V43</f>
        <v>0.025</v>
      </c>
      <c r="F43" t="str">
        <f t="shared" si="0"/>
        <v>魔法伤害减免0.025</v>
      </c>
    </row>
    <row r="44" spans="2:6">
      <c r="B44" t="str">
        <f>普通映射装备数值!D44</f>
        <v>高级修士法帽</v>
      </c>
      <c r="C44" s="65">
        <v>321901</v>
      </c>
      <c r="D44" t="str">
        <f>普通映射装备数值!U44</f>
        <v>魔法伤害减免</v>
      </c>
      <c r="E44">
        <f>普通映射装备数值!V44</f>
        <v>0.035</v>
      </c>
      <c r="F44" t="str">
        <f t="shared" si="0"/>
        <v>魔法伤害减免0.035</v>
      </c>
    </row>
    <row r="45" spans="2:6">
      <c r="B45" t="str">
        <f>普通映射装备数值!D45</f>
        <v>初级祷言法帽</v>
      </c>
      <c r="C45" s="65">
        <v>322001</v>
      </c>
      <c r="D45" t="str">
        <f>普通映射装备数值!U45</f>
        <v>治疗率</v>
      </c>
      <c r="E45">
        <f>普通映射装备数值!V45</f>
        <v>0.02</v>
      </c>
      <c r="F45" t="str">
        <f t="shared" si="0"/>
        <v>治疗率0.02</v>
      </c>
    </row>
    <row r="46" spans="2:6">
      <c r="B46" t="str">
        <f>普通映射装备数值!D46</f>
        <v>中级祷言法帽</v>
      </c>
      <c r="C46" s="65">
        <v>322101</v>
      </c>
      <c r="D46" t="str">
        <f>普通映射装备数值!U46</f>
        <v>治疗率</v>
      </c>
      <c r="E46">
        <f>普通映射装备数值!V46</f>
        <v>0.03</v>
      </c>
      <c r="F46" t="str">
        <f t="shared" si="0"/>
        <v>治疗率0.03</v>
      </c>
    </row>
    <row r="47" spans="2:6">
      <c r="B47" t="str">
        <f>普通映射装备数值!D47</f>
        <v>高级祷言法帽</v>
      </c>
      <c r="C47" s="65">
        <v>322201</v>
      </c>
      <c r="D47" t="str">
        <f>普通映射装备数值!U47</f>
        <v>治疗率</v>
      </c>
      <c r="E47">
        <f>普通映射装备数值!V47</f>
        <v>0.04</v>
      </c>
      <c r="F47" t="str">
        <f t="shared" si="0"/>
        <v>治疗率0.04</v>
      </c>
    </row>
    <row r="48" spans="2:6">
      <c r="B48" t="str">
        <f>普通映射装备数值!D48</f>
        <v>初级动力装甲</v>
      </c>
      <c r="C48" s="65">
        <v>330501</v>
      </c>
      <c r="D48" t="str">
        <f>普通映射装备数值!U48</f>
        <v>物理伤害减免</v>
      </c>
      <c r="E48">
        <f>普通映射装备数值!V48</f>
        <v>0.015</v>
      </c>
      <c r="F48" t="str">
        <f t="shared" si="0"/>
        <v>物理伤害减免0.015</v>
      </c>
    </row>
    <row r="49" spans="2:6">
      <c r="B49" t="str">
        <f>普通映射装备数值!D49</f>
        <v>中级动力装甲</v>
      </c>
      <c r="C49" s="65">
        <v>330601</v>
      </c>
      <c r="D49" t="str">
        <f>普通映射装备数值!U49</f>
        <v>物理伤害减免</v>
      </c>
      <c r="E49">
        <f>普通映射装备数值!V49</f>
        <v>0.025</v>
      </c>
      <c r="F49" t="str">
        <f t="shared" si="0"/>
        <v>物理伤害减免0.025</v>
      </c>
    </row>
    <row r="50" spans="2:6">
      <c r="B50" t="str">
        <f>普通映射装备数值!D50</f>
        <v>高级动力装甲</v>
      </c>
      <c r="C50" s="65">
        <v>330701</v>
      </c>
      <c r="D50" t="str">
        <f>普通映射装备数值!U50</f>
        <v>物理伤害减免</v>
      </c>
      <c r="E50">
        <f>普通映射装备数值!V50</f>
        <v>0.035</v>
      </c>
      <c r="F50" t="str">
        <f t="shared" si="0"/>
        <v>物理伤害减免0.035</v>
      </c>
    </row>
    <row r="51" spans="2:6">
      <c r="B51" t="str">
        <f>普通映射装备数值!D51</f>
        <v>初级纳米外骨骼</v>
      </c>
      <c r="C51" s="65">
        <v>330801</v>
      </c>
      <c r="D51" t="str">
        <f>普通映射装备数值!U51</f>
        <v>伤害减免</v>
      </c>
      <c r="E51">
        <f>普通映射装备数值!V51</f>
        <v>0.015</v>
      </c>
      <c r="F51" t="str">
        <f t="shared" si="0"/>
        <v>伤害减免0.015</v>
      </c>
    </row>
    <row r="52" spans="2:6">
      <c r="B52" t="str">
        <f>普通映射装备数值!D52</f>
        <v>中级纳米外骨骼</v>
      </c>
      <c r="C52" s="65">
        <v>330901</v>
      </c>
      <c r="D52" t="str">
        <f>普通映射装备数值!U52</f>
        <v>伤害减免</v>
      </c>
      <c r="E52">
        <f>普通映射装备数值!V52</f>
        <v>0.025</v>
      </c>
      <c r="F52" t="str">
        <f t="shared" si="0"/>
        <v>伤害减免0.025</v>
      </c>
    </row>
    <row r="53" spans="2:6">
      <c r="B53" t="str">
        <f>普通映射装备数值!D53</f>
        <v>高级纳米外骨骼</v>
      </c>
      <c r="C53" s="65">
        <v>331001</v>
      </c>
      <c r="D53" t="str">
        <f>普通映射装备数值!U53</f>
        <v>伤害减免</v>
      </c>
      <c r="E53">
        <f>普通映射装备数值!V53</f>
        <v>0.035</v>
      </c>
      <c r="F53" t="str">
        <f t="shared" si="0"/>
        <v>伤害减免0.035</v>
      </c>
    </row>
    <row r="54" spans="2:6">
      <c r="B54" t="str">
        <f>普通映射装备数值!D54</f>
        <v>初级突击生化服</v>
      </c>
      <c r="C54" s="65">
        <v>331101</v>
      </c>
      <c r="D54" t="str">
        <f>普通映射装备数值!U54</f>
        <v>防御力</v>
      </c>
      <c r="E54">
        <f>普通映射装备数值!V54</f>
        <v>100</v>
      </c>
      <c r="F54" t="str">
        <f t="shared" si="0"/>
        <v>防御力100</v>
      </c>
    </row>
    <row r="55" spans="2:6">
      <c r="B55" t="str">
        <f>普通映射装备数值!D55</f>
        <v>中级突击生化服</v>
      </c>
      <c r="C55" s="65">
        <v>331201</v>
      </c>
      <c r="D55" t="str">
        <f>普通映射装备数值!U55</f>
        <v>防御力</v>
      </c>
      <c r="E55">
        <f>普通映射装备数值!V55</f>
        <v>200</v>
      </c>
      <c r="F55" t="str">
        <f t="shared" si="0"/>
        <v>防御力200</v>
      </c>
    </row>
    <row r="56" spans="2:6">
      <c r="B56" t="str">
        <f>普通映射装备数值!D56</f>
        <v>高级突击生化服</v>
      </c>
      <c r="C56" s="65">
        <v>331301</v>
      </c>
      <c r="D56" t="str">
        <f>普通映射装备数值!U56</f>
        <v>防御力</v>
      </c>
      <c r="E56">
        <f>普通映射装备数值!V56</f>
        <v>400</v>
      </c>
      <c r="F56" t="str">
        <f t="shared" si="0"/>
        <v>防御力400</v>
      </c>
    </row>
    <row r="57" spans="2:6">
      <c r="B57" t="str">
        <f>普通映射装备数值!D57</f>
        <v>初级动力盔甲</v>
      </c>
      <c r="C57" s="65">
        <v>331401</v>
      </c>
      <c r="D57" t="str">
        <f>普通映射装备数值!U57</f>
        <v>防御力</v>
      </c>
      <c r="E57">
        <f>普通映射装备数值!V57</f>
        <v>0.01</v>
      </c>
      <c r="F57" t="str">
        <f t="shared" si="0"/>
        <v>防御力0.01</v>
      </c>
    </row>
    <row r="58" spans="2:6">
      <c r="B58" t="str">
        <f>普通映射装备数值!D58</f>
        <v>中级动力盔甲</v>
      </c>
      <c r="C58" s="65">
        <v>331501</v>
      </c>
      <c r="D58" t="str">
        <f>普通映射装备数值!U58</f>
        <v>防御力</v>
      </c>
      <c r="E58">
        <f>普通映射装备数值!V58</f>
        <v>0.015</v>
      </c>
      <c r="F58" t="str">
        <f t="shared" si="0"/>
        <v>防御力0.015</v>
      </c>
    </row>
    <row r="59" spans="2:6">
      <c r="B59" t="str">
        <f>普通映射装备数值!D59</f>
        <v>高级动力盔甲</v>
      </c>
      <c r="C59" s="65">
        <v>331601</v>
      </c>
      <c r="D59" t="str">
        <f>普通映射装备数值!U59</f>
        <v>防御力</v>
      </c>
      <c r="E59">
        <f>普通映射装备数值!V59</f>
        <v>0.02</v>
      </c>
      <c r="F59" t="str">
        <f t="shared" si="0"/>
        <v>防御力0.02</v>
      </c>
    </row>
    <row r="60" spans="2:6">
      <c r="B60" t="str">
        <f>普通映射装备数值!D60</f>
        <v>初级苍龙法袍</v>
      </c>
      <c r="C60" s="65">
        <v>331701</v>
      </c>
      <c r="D60" t="str">
        <f>普通映射装备数值!U60</f>
        <v>魔法伤害减免</v>
      </c>
      <c r="E60">
        <f>普通映射装备数值!V60</f>
        <v>0.015</v>
      </c>
      <c r="F60" t="str">
        <f t="shared" si="0"/>
        <v>魔法伤害减免0.015</v>
      </c>
    </row>
    <row r="61" spans="2:6">
      <c r="B61" t="str">
        <f>普通映射装备数值!D61</f>
        <v>中级苍龙法袍</v>
      </c>
      <c r="C61" s="65">
        <v>331801</v>
      </c>
      <c r="D61" t="str">
        <f>普通映射装备数值!U61</f>
        <v>魔法伤害减免</v>
      </c>
      <c r="E61">
        <f>普通映射装备数值!V61</f>
        <v>0.025</v>
      </c>
      <c r="F61" t="str">
        <f t="shared" si="0"/>
        <v>魔法伤害减免0.025</v>
      </c>
    </row>
    <row r="62" spans="2:6">
      <c r="B62" t="str">
        <f>普通映射装备数值!D62</f>
        <v>高级苍龙法袍</v>
      </c>
      <c r="C62" s="65">
        <v>331901</v>
      </c>
      <c r="D62" t="str">
        <f>普通映射装备数值!U62</f>
        <v>魔法伤害减免</v>
      </c>
      <c r="E62">
        <f>普通映射装备数值!V62</f>
        <v>0.035</v>
      </c>
      <c r="F62" t="str">
        <f t="shared" si="0"/>
        <v>魔法伤害减免0.035</v>
      </c>
    </row>
    <row r="63" spans="2:6">
      <c r="B63" t="str">
        <f>普通映射装备数值!D63</f>
        <v>初级暗影法袍</v>
      </c>
      <c r="C63" s="65">
        <v>332001</v>
      </c>
      <c r="D63" t="str">
        <f>普通映射装备数值!U63</f>
        <v>技能伤害加成</v>
      </c>
      <c r="E63">
        <f>普通映射装备数值!V63</f>
        <v>0.02</v>
      </c>
      <c r="F63" t="str">
        <f t="shared" si="0"/>
        <v>技能伤害加成0.02</v>
      </c>
    </row>
    <row r="64" spans="2:6">
      <c r="B64" t="str">
        <f>普通映射装备数值!D64</f>
        <v>中级暗影法袍</v>
      </c>
      <c r="C64" s="65">
        <v>332101</v>
      </c>
      <c r="D64" t="str">
        <f>普通映射装备数值!U64</f>
        <v>技能伤害加成</v>
      </c>
      <c r="E64">
        <f>普通映射装备数值!V64</f>
        <v>0.03</v>
      </c>
      <c r="F64" t="str">
        <f t="shared" si="0"/>
        <v>技能伤害加成0.03</v>
      </c>
    </row>
    <row r="65" spans="2:6">
      <c r="B65" t="str">
        <f>普通映射装备数值!D65</f>
        <v>高级暗影法袍</v>
      </c>
      <c r="C65" s="65">
        <v>332201</v>
      </c>
      <c r="D65" t="str">
        <f>普通映射装备数值!U65</f>
        <v>技能伤害加成</v>
      </c>
      <c r="E65">
        <f>普通映射装备数值!V65</f>
        <v>0.04</v>
      </c>
      <c r="F65" t="str">
        <f t="shared" si="0"/>
        <v>技能伤害加成0.04</v>
      </c>
    </row>
    <row r="66" spans="2:6">
      <c r="B66" t="str">
        <f>普通映射装备数值!D66</f>
        <v>初级操控护手</v>
      </c>
      <c r="C66" s="65">
        <v>340501</v>
      </c>
      <c r="D66" t="str">
        <f>普通映射装备数值!U66</f>
        <v>冷却缩减</v>
      </c>
      <c r="E66">
        <f>普通映射装备数值!V66</f>
        <v>0.015</v>
      </c>
      <c r="F66" t="str">
        <f t="shared" si="0"/>
        <v>冷却缩减0.015</v>
      </c>
    </row>
    <row r="67" spans="2:6">
      <c r="B67" t="str">
        <f>普通映射装备数值!D67</f>
        <v>中级操控护手</v>
      </c>
      <c r="C67" s="65">
        <v>340601</v>
      </c>
      <c r="D67" t="str">
        <f>普通映射装备数值!U67</f>
        <v>冷却缩减</v>
      </c>
      <c r="E67">
        <f>普通映射装备数值!V67</f>
        <v>0.025</v>
      </c>
      <c r="F67" t="str">
        <f t="shared" ref="F67:F130" si="1">_xlfn.CONCAT(D67,E67)</f>
        <v>冷却缩减0.025</v>
      </c>
    </row>
    <row r="68" spans="2:6">
      <c r="B68" t="str">
        <f>普通映射装备数值!D68</f>
        <v>高级操控护手</v>
      </c>
      <c r="C68" s="65">
        <v>340701</v>
      </c>
      <c r="D68" t="str">
        <f>普通映射装备数值!U68</f>
        <v>冷却缩减</v>
      </c>
      <c r="E68">
        <f>普通映射装备数值!V68</f>
        <v>0.035</v>
      </c>
      <c r="F68" t="str">
        <f t="shared" si="1"/>
        <v>冷却缩减0.035</v>
      </c>
    </row>
    <row r="69" spans="2:6">
      <c r="B69" t="str">
        <f>普通映射装备数值!D69</f>
        <v>初级织网手甲</v>
      </c>
      <c r="C69" s="65">
        <v>340801</v>
      </c>
      <c r="D69" t="str">
        <f>普通映射装备数值!U69</f>
        <v>生命</v>
      </c>
      <c r="E69">
        <f>普通映射装备数值!V69</f>
        <v>0.01</v>
      </c>
      <c r="F69" t="str">
        <f t="shared" si="1"/>
        <v>生命0.01</v>
      </c>
    </row>
    <row r="70" spans="2:6">
      <c r="B70" t="str">
        <f>普通映射装备数值!D70</f>
        <v>中级织网手甲</v>
      </c>
      <c r="C70" s="65">
        <v>340901</v>
      </c>
      <c r="D70" t="str">
        <f>普通映射装备数值!U70</f>
        <v>生命</v>
      </c>
      <c r="E70">
        <f>普通映射装备数值!V70</f>
        <v>0.015</v>
      </c>
      <c r="F70" t="str">
        <f t="shared" si="1"/>
        <v>生命0.015</v>
      </c>
    </row>
    <row r="71" spans="2:6">
      <c r="B71" t="str">
        <f>普通映射装备数值!D71</f>
        <v>高级织网手甲</v>
      </c>
      <c r="C71" s="65">
        <v>341001</v>
      </c>
      <c r="D71" t="str">
        <f>普通映射装备数值!U71</f>
        <v>生命</v>
      </c>
      <c r="E71">
        <f>普通映射装备数值!V71</f>
        <v>0.02</v>
      </c>
      <c r="F71" t="str">
        <f t="shared" si="1"/>
        <v>生命0.02</v>
      </c>
    </row>
    <row r="72" spans="2:6">
      <c r="B72" t="str">
        <f>普通映射装备数值!D72</f>
        <v>初级晶钛义体</v>
      </c>
      <c r="C72" s="65">
        <v>341101</v>
      </c>
      <c r="D72" t="str">
        <f>普通映射装备数值!U72</f>
        <v>攻击</v>
      </c>
      <c r="E72">
        <f>普通映射装备数值!V72</f>
        <v>210</v>
      </c>
      <c r="F72" t="str">
        <f t="shared" si="1"/>
        <v>攻击210</v>
      </c>
    </row>
    <row r="73" spans="2:6">
      <c r="B73" t="str">
        <f>普通映射装备数值!D73</f>
        <v>中级晶钛义体</v>
      </c>
      <c r="C73" s="65">
        <v>341201</v>
      </c>
      <c r="D73" t="str">
        <f>普通映射装备数值!U73</f>
        <v>攻击</v>
      </c>
      <c r="E73">
        <f>普通映射装备数值!V73</f>
        <v>390</v>
      </c>
      <c r="F73" t="str">
        <f t="shared" si="1"/>
        <v>攻击390</v>
      </c>
    </row>
    <row r="74" spans="2:6">
      <c r="B74" t="str">
        <f>普通映射装备数值!D74</f>
        <v>高级晶钛义体</v>
      </c>
      <c r="C74" s="65">
        <v>341301</v>
      </c>
      <c r="D74" t="str">
        <f>普通映射装备数值!U74</f>
        <v>攻击</v>
      </c>
      <c r="E74">
        <f>普通映射装备数值!V74</f>
        <v>630</v>
      </c>
      <c r="F74" t="str">
        <f t="shared" si="1"/>
        <v>攻击630</v>
      </c>
    </row>
    <row r="75" spans="2:6">
      <c r="B75" t="str">
        <f>普通映射装备数值!D75</f>
        <v>初级力场手甲</v>
      </c>
      <c r="C75" s="65">
        <v>341401</v>
      </c>
      <c r="D75" t="str">
        <f>普通映射装备数值!U75</f>
        <v>格挡率</v>
      </c>
      <c r="E75">
        <f>普通映射装备数值!V75</f>
        <v>0.015</v>
      </c>
      <c r="F75" t="str">
        <f t="shared" si="1"/>
        <v>格挡率0.015</v>
      </c>
    </row>
    <row r="76" spans="2:6">
      <c r="B76" t="str">
        <f>普通映射装备数值!D76</f>
        <v>中级力场手甲</v>
      </c>
      <c r="C76" s="65">
        <v>341501</v>
      </c>
      <c r="D76" t="str">
        <f>普通映射装备数值!U76</f>
        <v>格挡率</v>
      </c>
      <c r="E76">
        <f>普通映射装备数值!V76</f>
        <v>0.025</v>
      </c>
      <c r="F76" t="str">
        <f t="shared" si="1"/>
        <v>格挡率0.025</v>
      </c>
    </row>
    <row r="77" spans="2:6">
      <c r="B77" t="str">
        <f>普通映射装备数值!D77</f>
        <v>高级力场手甲</v>
      </c>
      <c r="C77" s="65">
        <v>341601</v>
      </c>
      <c r="D77" t="str">
        <f>普通映射装备数值!U77</f>
        <v>格挡率</v>
      </c>
      <c r="E77">
        <f>普通映射装备数值!V77</f>
        <v>0.035</v>
      </c>
      <c r="F77" t="str">
        <f t="shared" si="1"/>
        <v>格挡率0.035</v>
      </c>
    </row>
    <row r="78" spans="2:6">
      <c r="B78" t="str">
        <f>普通映射装备数值!D78</f>
        <v>初级圣祷言手套</v>
      </c>
      <c r="C78" s="65">
        <v>341701</v>
      </c>
      <c r="D78" t="str">
        <f>普通映射装备数值!U78</f>
        <v>受到治疗效果</v>
      </c>
      <c r="E78">
        <f>普通映射装备数值!V78</f>
        <v>0.02</v>
      </c>
      <c r="F78" t="str">
        <f t="shared" si="1"/>
        <v>受到治疗效果0.02</v>
      </c>
    </row>
    <row r="79" spans="2:6">
      <c r="B79" t="str">
        <f>普通映射装备数值!D79</f>
        <v>中级圣祷言手套</v>
      </c>
      <c r="C79" s="65">
        <v>341801</v>
      </c>
      <c r="D79" t="str">
        <f>普通映射装备数值!U79</f>
        <v>受到治疗效果</v>
      </c>
      <c r="E79">
        <f>普通映射装备数值!V79</f>
        <v>0.03</v>
      </c>
      <c r="F79" t="str">
        <f t="shared" si="1"/>
        <v>受到治疗效果0.03</v>
      </c>
    </row>
    <row r="80" spans="2:6">
      <c r="B80" t="str">
        <f>普通映射装备数值!D80</f>
        <v>高级圣祷言手套</v>
      </c>
      <c r="C80" s="65">
        <v>341901</v>
      </c>
      <c r="D80" t="str">
        <f>普通映射装备数值!U80</f>
        <v>受到治疗效果</v>
      </c>
      <c r="E80">
        <f>普通映射装备数值!V80</f>
        <v>0.04</v>
      </c>
      <c r="F80" t="str">
        <f t="shared" si="1"/>
        <v>受到治疗效果0.04</v>
      </c>
    </row>
    <row r="81" spans="2:6">
      <c r="B81" t="str">
        <f>普通映射装备数值!D81</f>
        <v>初级秘银护手</v>
      </c>
      <c r="C81" s="65">
        <v>342001</v>
      </c>
      <c r="D81" t="str">
        <f>普通映射装备数值!U81</f>
        <v>防御力</v>
      </c>
      <c r="E81">
        <f>普通映射装备数值!V81</f>
        <v>100</v>
      </c>
      <c r="F81" t="str">
        <f t="shared" si="1"/>
        <v>防御力100</v>
      </c>
    </row>
    <row r="82" spans="2:6">
      <c r="B82" t="str">
        <f>普通映射装备数值!D82</f>
        <v>中级秘银护手</v>
      </c>
      <c r="C82" s="65">
        <v>342101</v>
      </c>
      <c r="D82" t="str">
        <f>普通映射装备数值!U82</f>
        <v>防御力</v>
      </c>
      <c r="E82">
        <f>普通映射装备数值!V82</f>
        <v>200</v>
      </c>
      <c r="F82" t="str">
        <f t="shared" si="1"/>
        <v>防御力200</v>
      </c>
    </row>
    <row r="83" spans="2:6">
      <c r="B83" t="str">
        <f>普通映射装备数值!D83</f>
        <v>高级秘银护手</v>
      </c>
      <c r="C83" s="65">
        <v>342201</v>
      </c>
      <c r="D83" t="str">
        <f>普通映射装备数值!U83</f>
        <v>防御力</v>
      </c>
      <c r="E83">
        <f>普通映射装备数值!V83</f>
        <v>400</v>
      </c>
      <c r="F83" t="str">
        <f t="shared" si="1"/>
        <v>防御力400</v>
      </c>
    </row>
    <row r="84" spans="2:6">
      <c r="B84" t="str">
        <f>普通映射装备数值!D84</f>
        <v>初级弹药带</v>
      </c>
      <c r="C84" s="65">
        <v>350501</v>
      </c>
      <c r="D84" t="str">
        <f>普通映射装备数值!U84</f>
        <v>普攻伤害加成</v>
      </c>
      <c r="E84">
        <f>普通映射装备数值!V84</f>
        <v>0.02</v>
      </c>
      <c r="F84" t="str">
        <f t="shared" si="1"/>
        <v>普攻伤害加成0.02</v>
      </c>
    </row>
    <row r="85" spans="2:6">
      <c r="B85" t="str">
        <f>普通映射装备数值!D85</f>
        <v>中级弹药带</v>
      </c>
      <c r="C85" s="65">
        <v>350601</v>
      </c>
      <c r="D85" t="str">
        <f>普通映射装备数值!U85</f>
        <v>普攻伤害加成</v>
      </c>
      <c r="E85">
        <f>普通映射装备数值!V85</f>
        <v>0.03</v>
      </c>
      <c r="F85" t="str">
        <f t="shared" si="1"/>
        <v>普攻伤害加成0.03</v>
      </c>
    </row>
    <row r="86" spans="2:6">
      <c r="B86" t="str">
        <f>普通映射装备数值!D86</f>
        <v>高级弹药带</v>
      </c>
      <c r="C86" s="65">
        <v>350701</v>
      </c>
      <c r="D86" t="str">
        <f>普通映射装备数值!U86</f>
        <v>普攻伤害加成</v>
      </c>
      <c r="E86">
        <f>普通映射装备数值!V86</f>
        <v>0.04</v>
      </c>
      <c r="F86" t="str">
        <f t="shared" si="1"/>
        <v>普攻伤害加成0.04</v>
      </c>
    </row>
    <row r="87" spans="2:6">
      <c r="B87" t="str">
        <f>普通映射装备数值!D87</f>
        <v>初级旅行腰带</v>
      </c>
      <c r="C87" s="65">
        <v>350801</v>
      </c>
      <c r="D87" t="str">
        <f>普通映射装备数值!U87</f>
        <v>必杀回复速度</v>
      </c>
      <c r="E87">
        <f>普通映射装备数值!V87</f>
        <v>0.02</v>
      </c>
      <c r="F87" t="str">
        <f t="shared" si="1"/>
        <v>必杀回复速度0.02</v>
      </c>
    </row>
    <row r="88" spans="2:6">
      <c r="B88" t="str">
        <f>普通映射装备数值!D88</f>
        <v>中级旅行腰带</v>
      </c>
      <c r="C88" s="65">
        <v>350901</v>
      </c>
      <c r="D88" t="str">
        <f>普通映射装备数值!U88</f>
        <v>必杀回复速度</v>
      </c>
      <c r="E88">
        <f>普通映射装备数值!V88</f>
        <v>0.03</v>
      </c>
      <c r="F88" t="str">
        <f t="shared" si="1"/>
        <v>必杀回复速度0.03</v>
      </c>
    </row>
    <row r="89" spans="2:6">
      <c r="B89" t="str">
        <f>普通映射装备数值!D89</f>
        <v>高级旅行腰带</v>
      </c>
      <c r="C89" s="65">
        <v>351001</v>
      </c>
      <c r="D89" t="str">
        <f>普通映射装备数值!U89</f>
        <v>必杀回复速度</v>
      </c>
      <c r="E89">
        <f>普通映射装备数值!V89</f>
        <v>0.04</v>
      </c>
      <c r="F89" t="str">
        <f t="shared" si="1"/>
        <v>必杀回复速度0.04</v>
      </c>
    </row>
    <row r="90" spans="2:6">
      <c r="B90" t="str">
        <f>普通映射装备数值!D90</f>
        <v>初级监测带</v>
      </c>
      <c r="C90" s="65">
        <v>351101</v>
      </c>
      <c r="D90" t="str">
        <f>普通映射装备数值!U90</f>
        <v>暴击率</v>
      </c>
      <c r="E90">
        <f>普通映射装备数值!V90</f>
        <v>0.015</v>
      </c>
      <c r="F90" t="str">
        <f t="shared" si="1"/>
        <v>暴击率0.015</v>
      </c>
    </row>
    <row r="91" spans="2:6">
      <c r="B91" t="str">
        <f>普通映射装备数值!D91</f>
        <v>中级监测带</v>
      </c>
      <c r="C91" s="65">
        <v>351201</v>
      </c>
      <c r="D91" t="str">
        <f>普通映射装备数值!U91</f>
        <v>暴击率</v>
      </c>
      <c r="E91">
        <f>普通映射装备数值!V91</f>
        <v>0.025</v>
      </c>
      <c r="F91" t="str">
        <f t="shared" si="1"/>
        <v>暴击率0.025</v>
      </c>
    </row>
    <row r="92" spans="2:6">
      <c r="B92" t="str">
        <f>普通映射装备数值!D92</f>
        <v>高级监测带</v>
      </c>
      <c r="C92" s="65">
        <v>351301</v>
      </c>
      <c r="D92" t="str">
        <f>普通映射装备数值!U92</f>
        <v>暴击率</v>
      </c>
      <c r="E92">
        <f>普通映射装备数值!V92</f>
        <v>0.035</v>
      </c>
      <c r="F92" t="str">
        <f t="shared" si="1"/>
        <v>暴击率0.035</v>
      </c>
    </row>
    <row r="93" spans="2:6">
      <c r="B93" t="str">
        <f>普通映射装备数值!D93</f>
        <v>初级调节带</v>
      </c>
      <c r="C93" s="65">
        <v>351401</v>
      </c>
      <c r="D93" t="str">
        <f>普通映射装备数值!U93</f>
        <v>生命</v>
      </c>
      <c r="E93">
        <f>普通映射装备数值!V93</f>
        <v>700</v>
      </c>
      <c r="F93" t="str">
        <f t="shared" si="1"/>
        <v>生命700</v>
      </c>
    </row>
    <row r="94" spans="2:6">
      <c r="B94" t="str">
        <f>普通映射装备数值!D94</f>
        <v>中级调节带</v>
      </c>
      <c r="C94" s="65">
        <v>351501</v>
      </c>
      <c r="D94" t="str">
        <f>普通映射装备数值!U94</f>
        <v>生命</v>
      </c>
      <c r="E94">
        <f>普通映射装备数值!V94</f>
        <v>1300</v>
      </c>
      <c r="F94" t="str">
        <f t="shared" si="1"/>
        <v>生命1300</v>
      </c>
    </row>
    <row r="95" spans="2:6">
      <c r="B95" t="str">
        <f>普通映射装备数值!D95</f>
        <v>高级调节带</v>
      </c>
      <c r="C95" s="65">
        <v>351601</v>
      </c>
      <c r="D95" t="str">
        <f>普通映射装备数值!U95</f>
        <v>生命</v>
      </c>
      <c r="E95">
        <f>普通映射装备数值!V95</f>
        <v>2100</v>
      </c>
      <c r="F95" t="str">
        <f t="shared" si="1"/>
        <v>生命2100</v>
      </c>
    </row>
    <row r="96" spans="2:6">
      <c r="B96" t="str">
        <f>普通映射装备数值!D96</f>
        <v>初级增幅带</v>
      </c>
      <c r="C96" s="65">
        <v>351701</v>
      </c>
      <c r="D96" t="str">
        <f>普通映射装备数值!U96</f>
        <v>防御力</v>
      </c>
      <c r="E96">
        <f>普通映射装备数值!V96</f>
        <v>0.01</v>
      </c>
      <c r="F96" t="str">
        <f t="shared" si="1"/>
        <v>防御力0.01</v>
      </c>
    </row>
    <row r="97" spans="2:6">
      <c r="B97" t="str">
        <f>普通映射装备数值!D97</f>
        <v>中级增幅带</v>
      </c>
      <c r="C97" s="65">
        <v>351801</v>
      </c>
      <c r="D97" t="str">
        <f>普通映射装备数值!U97</f>
        <v>防御力</v>
      </c>
      <c r="E97">
        <f>普通映射装备数值!V97</f>
        <v>0.015</v>
      </c>
      <c r="F97" t="str">
        <f t="shared" si="1"/>
        <v>防御力0.015</v>
      </c>
    </row>
    <row r="98" spans="2:6">
      <c r="B98" t="str">
        <f>普通映射装备数值!D98</f>
        <v>高级增幅带</v>
      </c>
      <c r="C98" s="65">
        <v>351901</v>
      </c>
      <c r="D98" t="str">
        <f>普通映射装备数值!U98</f>
        <v>防御力</v>
      </c>
      <c r="E98">
        <f>普通映射装备数值!V98</f>
        <v>0.02</v>
      </c>
      <c r="F98" t="str">
        <f t="shared" si="1"/>
        <v>防御力0.02</v>
      </c>
    </row>
    <row r="99" spans="2:6">
      <c r="B99" t="str">
        <f>普通映射装备数值!D99</f>
        <v>初级流火之心</v>
      </c>
      <c r="C99" s="65">
        <v>352001</v>
      </c>
      <c r="D99" t="str">
        <f>普通映射装备数值!U99</f>
        <v>攻击</v>
      </c>
      <c r="E99">
        <f>普通映射装备数值!V99</f>
        <v>210</v>
      </c>
      <c r="F99" t="str">
        <f t="shared" si="1"/>
        <v>攻击210</v>
      </c>
    </row>
    <row r="100" spans="2:6">
      <c r="B100" t="str">
        <f>普通映射装备数值!D100</f>
        <v>中级流火之心</v>
      </c>
      <c r="C100" s="65">
        <v>352101</v>
      </c>
      <c r="D100" t="str">
        <f>普通映射装备数值!U100</f>
        <v>攻击</v>
      </c>
      <c r="E100">
        <f>普通映射装备数值!V100</f>
        <v>390</v>
      </c>
      <c r="F100" t="str">
        <f t="shared" si="1"/>
        <v>攻击390</v>
      </c>
    </row>
    <row r="101" spans="2:6">
      <c r="B101" t="str">
        <f>普通映射装备数值!D101</f>
        <v>高级流火之心</v>
      </c>
      <c r="C101" s="65">
        <v>352201</v>
      </c>
      <c r="D101" t="str">
        <f>普通映射装备数值!U101</f>
        <v>攻击</v>
      </c>
      <c r="E101">
        <f>普通映射装备数值!V101</f>
        <v>630</v>
      </c>
      <c r="F101" t="str">
        <f t="shared" si="1"/>
        <v>攻击630</v>
      </c>
    </row>
    <row r="102" spans="2:6">
      <c r="B102" t="str">
        <f>普通映射装备数值!D102</f>
        <v>初级潜行军靴</v>
      </c>
      <c r="C102" s="65">
        <v>360501</v>
      </c>
      <c r="D102" t="str">
        <f>普通映射装备数值!U102</f>
        <v>穿透伤害加成</v>
      </c>
      <c r="E102">
        <f>普通映射装备数值!V102</f>
        <v>0.02</v>
      </c>
      <c r="F102" t="str">
        <f t="shared" si="1"/>
        <v>穿透伤害加成0.02</v>
      </c>
    </row>
    <row r="103" spans="2:6">
      <c r="B103" t="str">
        <f>普通映射装备数值!D103</f>
        <v>中级潜行军靴</v>
      </c>
      <c r="C103" s="65">
        <v>360601</v>
      </c>
      <c r="D103" t="str">
        <f>普通映射装备数值!U103</f>
        <v>穿透伤害加成</v>
      </c>
      <c r="E103">
        <f>普通映射装备数值!V103</f>
        <v>0.03</v>
      </c>
      <c r="F103" t="str">
        <f t="shared" si="1"/>
        <v>穿透伤害加成0.03</v>
      </c>
    </row>
    <row r="104" spans="2:6">
      <c r="B104" t="str">
        <f>普通映射装备数值!D104</f>
        <v>高级潜行军靴</v>
      </c>
      <c r="C104" s="65">
        <v>360701</v>
      </c>
      <c r="D104" t="str">
        <f>普通映射装备数值!U104</f>
        <v>穿透伤害加成</v>
      </c>
      <c r="E104">
        <f>普通映射装备数值!V104</f>
        <v>0.04</v>
      </c>
      <c r="F104" t="str">
        <f t="shared" si="1"/>
        <v>穿透伤害加成0.04</v>
      </c>
    </row>
    <row r="105" spans="2:6">
      <c r="B105" t="str">
        <f>普通映射装备数值!D105</f>
        <v>初级匿踪之靴</v>
      </c>
      <c r="C105" s="65">
        <v>360801</v>
      </c>
      <c r="D105" t="str">
        <f>普通映射装备数值!U105</f>
        <v>暴击率</v>
      </c>
      <c r="E105">
        <f>普通映射装备数值!V105</f>
        <v>0.015</v>
      </c>
      <c r="F105" t="str">
        <f t="shared" si="1"/>
        <v>暴击率0.015</v>
      </c>
    </row>
    <row r="106" spans="2:6">
      <c r="B106" t="str">
        <f>普通映射装备数值!D106</f>
        <v>中级匿踪之靴</v>
      </c>
      <c r="C106" s="65">
        <v>360901</v>
      </c>
      <c r="D106" t="str">
        <f>普通映射装备数值!U106</f>
        <v>暴击率</v>
      </c>
      <c r="E106">
        <f>普通映射装备数值!V106</f>
        <v>0.025</v>
      </c>
      <c r="F106" t="str">
        <f t="shared" si="1"/>
        <v>暴击率0.025</v>
      </c>
    </row>
    <row r="107" spans="2:6">
      <c r="B107" t="str">
        <f>普通映射装备数值!D107</f>
        <v>高级匿踪之靴</v>
      </c>
      <c r="C107" s="65">
        <v>361001</v>
      </c>
      <c r="D107" t="str">
        <f>普通映射装备数值!U107</f>
        <v>暴击率</v>
      </c>
      <c r="E107">
        <f>普通映射装备数值!V107</f>
        <v>0.035</v>
      </c>
      <c r="F107" t="str">
        <f t="shared" si="1"/>
        <v>暴击率0.035</v>
      </c>
    </row>
    <row r="108" spans="2:6">
      <c r="B108" t="str">
        <f>普通映射装备数值!D108</f>
        <v>初级外骨骼力靴</v>
      </c>
      <c r="C108" s="65">
        <v>361101</v>
      </c>
      <c r="D108" t="str">
        <f>普通映射装备数值!U108</f>
        <v>普攻伤害加成</v>
      </c>
      <c r="E108">
        <f>普通映射装备数值!V108</f>
        <v>0.02</v>
      </c>
      <c r="F108" t="str">
        <f t="shared" si="1"/>
        <v>普攻伤害加成0.02</v>
      </c>
    </row>
    <row r="109" spans="2:6">
      <c r="B109" t="str">
        <f>普通映射装备数值!D109</f>
        <v>中级外骨骼力靴</v>
      </c>
      <c r="C109" s="65">
        <v>361201</v>
      </c>
      <c r="D109" t="str">
        <f>普通映射装备数值!U109</f>
        <v>普攻伤害加成</v>
      </c>
      <c r="E109">
        <f>普通映射装备数值!V109</f>
        <v>0.03</v>
      </c>
      <c r="F109" t="str">
        <f t="shared" si="1"/>
        <v>普攻伤害加成0.03</v>
      </c>
    </row>
    <row r="110" spans="2:6">
      <c r="B110" t="str">
        <f>普通映射装备数值!D110</f>
        <v>高级外骨骼力靴</v>
      </c>
      <c r="C110" s="65">
        <v>361301</v>
      </c>
      <c r="D110" t="str">
        <f>普通映射装备数值!U110</f>
        <v>普攻伤害加成</v>
      </c>
      <c r="E110">
        <f>普通映射装备数值!V110</f>
        <v>0.04</v>
      </c>
      <c r="F110" t="str">
        <f t="shared" si="1"/>
        <v>普攻伤害加成0.04</v>
      </c>
    </row>
    <row r="111" spans="2:6">
      <c r="B111" t="str">
        <f>普通映射装备数值!D111</f>
        <v>初级漫游者</v>
      </c>
      <c r="C111" s="65">
        <v>361401</v>
      </c>
      <c r="D111" t="str">
        <f>普通映射装备数值!U111</f>
        <v>攻击</v>
      </c>
      <c r="E111">
        <f>普通映射装备数值!V111</f>
        <v>0.01</v>
      </c>
      <c r="F111" t="str">
        <f t="shared" si="1"/>
        <v>攻击0.01</v>
      </c>
    </row>
    <row r="112" spans="2:6">
      <c r="B112" t="str">
        <f>普通映射装备数值!D112</f>
        <v>中级漫游者</v>
      </c>
      <c r="C112" s="65">
        <v>361501</v>
      </c>
      <c r="D112" t="str">
        <f>普通映射装备数值!U112</f>
        <v>攻击</v>
      </c>
      <c r="E112">
        <f>普通映射装备数值!V112</f>
        <v>0.015</v>
      </c>
      <c r="F112" t="str">
        <f t="shared" si="1"/>
        <v>攻击0.015</v>
      </c>
    </row>
    <row r="113" spans="2:6">
      <c r="B113" t="str">
        <f>普通映射装备数值!D113</f>
        <v>高级漫游者</v>
      </c>
      <c r="C113" s="65">
        <v>361601</v>
      </c>
      <c r="D113" t="str">
        <f>普通映射装备数值!U113</f>
        <v>攻击</v>
      </c>
      <c r="E113">
        <f>普通映射装备数值!V113</f>
        <v>0.02</v>
      </c>
      <c r="F113" t="str">
        <f t="shared" si="1"/>
        <v>攻击0.02</v>
      </c>
    </row>
    <row r="114" spans="2:6">
      <c r="B114" t="str">
        <f>普通映射装备数值!D114</f>
        <v>初级感知靴</v>
      </c>
      <c r="C114" s="65">
        <v>361701</v>
      </c>
      <c r="D114" t="str">
        <f>普通映射装备数值!U114</f>
        <v>暴击率</v>
      </c>
      <c r="E114">
        <f>普通映射装备数值!V114</f>
        <v>0.015</v>
      </c>
      <c r="F114" t="str">
        <f t="shared" si="1"/>
        <v>暴击率0.015</v>
      </c>
    </row>
    <row r="115" spans="2:6">
      <c r="B115" t="str">
        <f>普通映射装备数值!D115</f>
        <v>中级感知靴</v>
      </c>
      <c r="C115" s="65">
        <v>361801</v>
      </c>
      <c r="D115" t="str">
        <f>普通映射装备数值!U115</f>
        <v>暴击率</v>
      </c>
      <c r="E115">
        <f>普通映射装备数值!V115</f>
        <v>0.025</v>
      </c>
      <c r="F115" t="str">
        <f t="shared" si="1"/>
        <v>暴击率0.025</v>
      </c>
    </row>
    <row r="116" spans="2:6">
      <c r="B116" t="str">
        <f>普通映射装备数值!D116</f>
        <v>高级感知靴</v>
      </c>
      <c r="C116" s="65">
        <v>361901</v>
      </c>
      <c r="D116" t="str">
        <f>普通映射装备数值!U116</f>
        <v>暴击率</v>
      </c>
      <c r="E116">
        <f>普通映射装备数值!V116</f>
        <v>0.035</v>
      </c>
      <c r="F116" t="str">
        <f t="shared" si="1"/>
        <v>暴击率0.035</v>
      </c>
    </row>
    <row r="117" spans="2:6">
      <c r="B117" t="str">
        <f>普通映射装备数值!D117</f>
        <v>初级跃迁靴</v>
      </c>
      <c r="C117" s="65">
        <v>362001</v>
      </c>
      <c r="D117" t="str">
        <f>普通映射装备数值!U117</f>
        <v>伤害增加</v>
      </c>
      <c r="E117">
        <f>普通映射装备数值!V117</f>
        <v>0.01</v>
      </c>
      <c r="F117" t="str">
        <f t="shared" si="1"/>
        <v>伤害增加0.01</v>
      </c>
    </row>
    <row r="118" spans="2:6">
      <c r="B118" t="str">
        <f>普通映射装备数值!D118</f>
        <v>中级跃迁靴</v>
      </c>
      <c r="C118" s="65">
        <v>362101</v>
      </c>
      <c r="D118" t="str">
        <f>普通映射装备数值!U118</f>
        <v>伤害增加</v>
      </c>
      <c r="E118">
        <f>普通映射装备数值!V118</f>
        <v>0.015</v>
      </c>
      <c r="F118" t="str">
        <f t="shared" si="1"/>
        <v>伤害增加0.015</v>
      </c>
    </row>
    <row r="119" spans="2:6">
      <c r="B119" t="str">
        <f>普通映射装备数值!D119</f>
        <v>高级跃迁靴</v>
      </c>
      <c r="C119" s="65">
        <v>362201</v>
      </c>
      <c r="D119" t="str">
        <f>普通映射装备数值!U119</f>
        <v>伤害增加</v>
      </c>
      <c r="E119">
        <f>普通映射装备数值!V119</f>
        <v>0.02</v>
      </c>
      <c r="F119" t="str">
        <f t="shared" si="1"/>
        <v>伤害增加0.02</v>
      </c>
    </row>
    <row r="120" spans="2:6">
      <c r="B120" t="str">
        <f>普通映射装备数值!D120</f>
        <v>初级飞行器</v>
      </c>
      <c r="C120" s="65">
        <v>370501</v>
      </c>
      <c r="D120" t="str">
        <f>普通映射装备数值!U120</f>
        <v>普攻速度百分比</v>
      </c>
      <c r="E120">
        <f>普通映射装备数值!V120</f>
        <v>0.018</v>
      </c>
      <c r="F120" t="str">
        <f t="shared" si="1"/>
        <v>普攻速度百分比0.018</v>
      </c>
    </row>
    <row r="121" spans="2:6">
      <c r="B121" t="str">
        <f>普通映射装备数值!D121</f>
        <v>中级飞行器</v>
      </c>
      <c r="C121" s="65">
        <v>370601</v>
      </c>
      <c r="D121" t="str">
        <f>普通映射装备数值!U121</f>
        <v>普攻速度百分比</v>
      </c>
      <c r="E121">
        <f>普通映射装备数值!V121</f>
        <v>0.028</v>
      </c>
      <c r="F121" t="str">
        <f t="shared" si="1"/>
        <v>普攻速度百分比0.028</v>
      </c>
    </row>
    <row r="122" spans="2:6">
      <c r="B122" t="str">
        <f>普通映射装备数值!D122</f>
        <v>高级飞行器</v>
      </c>
      <c r="C122" s="65">
        <v>370701</v>
      </c>
      <c r="D122" t="str">
        <f>普通映射装备数值!U122</f>
        <v>普攻速度百分比</v>
      </c>
      <c r="E122">
        <f>普通映射装备数值!V122</f>
        <v>0.04</v>
      </c>
      <c r="F122" t="str">
        <f t="shared" si="1"/>
        <v>普攻速度百分比0.04</v>
      </c>
    </row>
    <row r="123" spans="2:6">
      <c r="B123" t="str">
        <f>普通映射装备数值!D123</f>
        <v>初级探测器</v>
      </c>
      <c r="C123" s="65">
        <v>370801</v>
      </c>
      <c r="D123" t="str">
        <f>普通映射装备数值!U123</f>
        <v>无视防御</v>
      </c>
      <c r="E123">
        <f>普通映射装备数值!V123</f>
        <v>0.015</v>
      </c>
      <c r="F123" t="str">
        <f t="shared" si="1"/>
        <v>无视防御0.015</v>
      </c>
    </row>
    <row r="124" spans="2:6">
      <c r="B124" t="str">
        <f>普通映射装备数值!D124</f>
        <v>中级探测器</v>
      </c>
      <c r="C124" s="65">
        <v>370901</v>
      </c>
      <c r="D124" t="str">
        <f>普通映射装备数值!U124</f>
        <v>无视防御</v>
      </c>
      <c r="E124">
        <f>普通映射装备数值!V124</f>
        <v>0.025</v>
      </c>
      <c r="F124" t="str">
        <f t="shared" si="1"/>
        <v>无视防御0.025</v>
      </c>
    </row>
    <row r="125" spans="2:6">
      <c r="B125" t="str">
        <f>普通映射装备数值!D125</f>
        <v>高级探测器</v>
      </c>
      <c r="C125" s="65">
        <v>371001</v>
      </c>
      <c r="D125" t="str">
        <f>普通映射装备数值!U125</f>
        <v>无视防御</v>
      </c>
      <c r="E125">
        <f>普通映射装备数值!V125</f>
        <v>0.035</v>
      </c>
      <c r="F125" t="str">
        <f t="shared" si="1"/>
        <v>无视防御0.035</v>
      </c>
    </row>
    <row r="126" spans="2:6">
      <c r="B126" t="str">
        <f>普通映射装备数值!D126</f>
        <v>初级浮游单元</v>
      </c>
      <c r="C126" s="65">
        <v>371101</v>
      </c>
      <c r="D126" t="str">
        <f>普通映射装备数值!U126</f>
        <v>范围伤害加成</v>
      </c>
      <c r="E126">
        <f>普通映射装备数值!V126</f>
        <v>0.02</v>
      </c>
      <c r="F126" t="str">
        <f t="shared" si="1"/>
        <v>范围伤害加成0.02</v>
      </c>
    </row>
    <row r="127" spans="2:6">
      <c r="B127" t="str">
        <f>普通映射装备数值!D127</f>
        <v>中级浮游单元</v>
      </c>
      <c r="C127" s="65">
        <v>371201</v>
      </c>
      <c r="D127" t="str">
        <f>普通映射装备数值!U127</f>
        <v>范围伤害加成</v>
      </c>
      <c r="E127">
        <f>普通映射装备数值!V127</f>
        <v>0.03</v>
      </c>
      <c r="F127" t="str">
        <f t="shared" si="1"/>
        <v>范围伤害加成0.03</v>
      </c>
    </row>
    <row r="128" spans="2:6">
      <c r="B128" t="str">
        <f>普通映射装备数值!D128</f>
        <v>高级浮游单元</v>
      </c>
      <c r="C128" s="65">
        <v>371301</v>
      </c>
      <c r="D128" t="str">
        <f>普通映射装备数值!U128</f>
        <v>范围伤害加成</v>
      </c>
      <c r="E128">
        <f>普通映射装备数值!V128</f>
        <v>0.04</v>
      </c>
      <c r="F128" t="str">
        <f t="shared" si="1"/>
        <v>范围伤害加成0.04</v>
      </c>
    </row>
    <row r="129" spans="2:6">
      <c r="B129" t="str">
        <f>普通映射装备数值!D129</f>
        <v>初级漂浮灵匣</v>
      </c>
      <c r="C129" s="65">
        <v>371401</v>
      </c>
      <c r="D129" t="str">
        <f>普通映射装备数值!U129</f>
        <v>生命</v>
      </c>
      <c r="E129">
        <f>普通映射装备数值!V129</f>
        <v>700</v>
      </c>
      <c r="F129" t="str">
        <f t="shared" si="1"/>
        <v>生命700</v>
      </c>
    </row>
    <row r="130" spans="2:6">
      <c r="B130" t="str">
        <f>普通映射装备数值!D130</f>
        <v>中级漂浮灵匣</v>
      </c>
      <c r="C130" s="65">
        <v>371501</v>
      </c>
      <c r="D130" t="str">
        <f>普通映射装备数值!U130</f>
        <v>生命</v>
      </c>
      <c r="E130">
        <f>普通映射装备数值!V130</f>
        <v>1300</v>
      </c>
      <c r="F130" t="str">
        <f t="shared" si="1"/>
        <v>生命1300</v>
      </c>
    </row>
    <row r="131" spans="2:6">
      <c r="B131" t="str">
        <f>普通映射装备数值!D131</f>
        <v>高级漂浮灵匣</v>
      </c>
      <c r="C131" s="65">
        <v>371601</v>
      </c>
      <c r="D131" t="str">
        <f>普通映射装备数值!U131</f>
        <v>生命</v>
      </c>
      <c r="E131">
        <f>普通映射装备数值!V131</f>
        <v>2100</v>
      </c>
      <c r="F131" t="str">
        <f t="shared" ref="F131:F155" si="2">_xlfn.CONCAT(D131,E131)</f>
        <v>生命2100</v>
      </c>
    </row>
    <row r="132" spans="2:6">
      <c r="B132" t="str">
        <f>普通映射装备数值!D132</f>
        <v>初级干扰仪</v>
      </c>
      <c r="C132" s="65">
        <v>371701</v>
      </c>
      <c r="D132" t="str">
        <f>普通映射装备数值!U132</f>
        <v>冷却缩减</v>
      </c>
      <c r="E132">
        <f>普通映射装备数值!V132</f>
        <v>0.015</v>
      </c>
      <c r="F132" t="str">
        <f t="shared" si="2"/>
        <v>冷却缩减0.015</v>
      </c>
    </row>
    <row r="133" spans="2:6">
      <c r="B133" t="str">
        <f>普通映射装备数值!D133</f>
        <v>中级干扰仪</v>
      </c>
      <c r="C133" s="65">
        <v>371801</v>
      </c>
      <c r="D133" t="str">
        <f>普通映射装备数值!U133</f>
        <v>冷却缩减</v>
      </c>
      <c r="E133">
        <f>普通映射装备数值!V133</f>
        <v>0.025</v>
      </c>
      <c r="F133" t="str">
        <f t="shared" si="2"/>
        <v>冷却缩减0.025</v>
      </c>
    </row>
    <row r="134" spans="2:6">
      <c r="B134" t="str">
        <f>普通映射装备数值!D134</f>
        <v>高级干扰仪</v>
      </c>
      <c r="C134" s="65">
        <v>371901</v>
      </c>
      <c r="D134" t="str">
        <f>普通映射装备数值!U134</f>
        <v>冷却缩减</v>
      </c>
      <c r="E134">
        <f>普通映射装备数值!V134</f>
        <v>0.035</v>
      </c>
      <c r="F134" t="str">
        <f t="shared" si="2"/>
        <v>冷却缩减0.035</v>
      </c>
    </row>
    <row r="135" spans="2:6">
      <c r="B135" t="str">
        <f>普通映射装备数值!D135</f>
        <v>初级蜂群无人机</v>
      </c>
      <c r="C135" s="65">
        <v>372001</v>
      </c>
      <c r="D135" t="str">
        <f>普通映射装备数值!U135</f>
        <v>持续伤害加成</v>
      </c>
      <c r="E135">
        <f>普通映射装备数值!V135</f>
        <v>0.02</v>
      </c>
      <c r="F135" t="str">
        <f t="shared" si="2"/>
        <v>持续伤害加成0.02</v>
      </c>
    </row>
    <row r="136" spans="2:6">
      <c r="B136" t="str">
        <f>普通映射装备数值!D136</f>
        <v>中级蜂群无人机</v>
      </c>
      <c r="C136" s="65">
        <v>372101</v>
      </c>
      <c r="D136" t="str">
        <f>普通映射装备数值!U136</f>
        <v>持续伤害加成</v>
      </c>
      <c r="E136">
        <f>普通映射装备数值!V136</f>
        <v>0.03</v>
      </c>
      <c r="F136" t="str">
        <f t="shared" si="2"/>
        <v>持续伤害加成0.03</v>
      </c>
    </row>
    <row r="137" spans="2:6">
      <c r="B137" t="str">
        <f>普通映射装备数值!D137</f>
        <v>高级蜂群无人机</v>
      </c>
      <c r="C137" s="65">
        <v>372201</v>
      </c>
      <c r="D137" t="str">
        <f>普通映射装备数值!U137</f>
        <v>持续伤害加成</v>
      </c>
      <c r="E137">
        <f>普通映射装备数值!V137</f>
        <v>0.04</v>
      </c>
      <c r="F137" t="str">
        <f t="shared" si="2"/>
        <v>持续伤害加成0.04</v>
      </c>
    </row>
    <row r="138" spans="2:6">
      <c r="B138" t="str">
        <f>普通映射装备数值!D138</f>
        <v>初级校准指环</v>
      </c>
      <c r="C138" s="65">
        <v>380501</v>
      </c>
      <c r="D138" t="str">
        <f>普通映射装备数值!U138</f>
        <v>穿透伤害加成</v>
      </c>
      <c r="E138">
        <f>普通映射装备数值!V138</f>
        <v>0.02</v>
      </c>
      <c r="F138" t="str">
        <f t="shared" si="2"/>
        <v>穿透伤害加成0.02</v>
      </c>
    </row>
    <row r="139" spans="2:6">
      <c r="B139" t="str">
        <f>普通映射装备数值!D139</f>
        <v>中级校准指环</v>
      </c>
      <c r="C139" s="65">
        <v>380601</v>
      </c>
      <c r="D139" t="str">
        <f>普通映射装备数值!U139</f>
        <v>穿透伤害加成</v>
      </c>
      <c r="E139">
        <f>普通映射装备数值!V139</f>
        <v>0.03</v>
      </c>
      <c r="F139" t="str">
        <f t="shared" si="2"/>
        <v>穿透伤害加成0.03</v>
      </c>
    </row>
    <row r="140" spans="2:6">
      <c r="B140" t="str">
        <f>普通映射装备数值!D140</f>
        <v>高级校准指环</v>
      </c>
      <c r="C140" s="65">
        <v>380701</v>
      </c>
      <c r="D140" t="str">
        <f>普通映射装备数值!U140</f>
        <v>穿透伤害加成</v>
      </c>
      <c r="E140">
        <f>普通映射装备数值!V140</f>
        <v>0.04</v>
      </c>
      <c r="F140" t="str">
        <f t="shared" si="2"/>
        <v>穿透伤害加成0.04</v>
      </c>
    </row>
    <row r="141" spans="2:6">
      <c r="B141" t="str">
        <f>普通映射装备数值!D141</f>
        <v>初级干扰手环</v>
      </c>
      <c r="C141" s="65">
        <v>380801</v>
      </c>
      <c r="D141" t="str">
        <f>普通映射装备数值!U141</f>
        <v>冷却缩减</v>
      </c>
      <c r="E141">
        <f>普通映射装备数值!V141</f>
        <v>0.015</v>
      </c>
      <c r="F141" t="str">
        <f t="shared" si="2"/>
        <v>冷却缩减0.015</v>
      </c>
    </row>
    <row r="142" spans="2:6">
      <c r="B142" t="str">
        <f>普通映射装备数值!D142</f>
        <v>中级干扰手环</v>
      </c>
      <c r="C142" s="65">
        <v>380901</v>
      </c>
      <c r="D142" t="str">
        <f>普通映射装备数值!U142</f>
        <v>冷却缩减</v>
      </c>
      <c r="E142">
        <f>普通映射装备数值!V142</f>
        <v>0.025</v>
      </c>
      <c r="F142" t="str">
        <f t="shared" si="2"/>
        <v>冷却缩减0.025</v>
      </c>
    </row>
    <row r="143" spans="2:6">
      <c r="B143" t="str">
        <f>普通映射装备数值!D143</f>
        <v>高级干扰手环</v>
      </c>
      <c r="C143" s="65">
        <v>381001</v>
      </c>
      <c r="D143" t="str">
        <f>普通映射装备数值!U143</f>
        <v>冷却缩减</v>
      </c>
      <c r="E143">
        <f>普通映射装备数值!V143</f>
        <v>0.035</v>
      </c>
      <c r="F143" t="str">
        <f t="shared" si="2"/>
        <v>冷却缩减0.035</v>
      </c>
    </row>
    <row r="144" spans="2:6">
      <c r="B144" t="str">
        <f>普通映射装备数值!D144</f>
        <v>初级圣痕魔导链</v>
      </c>
      <c r="C144" s="65">
        <v>381101</v>
      </c>
      <c r="D144" t="str">
        <f>普通映射装备数值!U144</f>
        <v>技能伤害加成</v>
      </c>
      <c r="E144">
        <f>普通映射装备数值!V144</f>
        <v>0.02</v>
      </c>
      <c r="F144" t="str">
        <f t="shared" si="2"/>
        <v>技能伤害加成0.02</v>
      </c>
    </row>
    <row r="145" spans="2:6">
      <c r="B145" t="str">
        <f>普通映射装备数值!D145</f>
        <v>中级圣痕魔导链</v>
      </c>
      <c r="C145" s="65">
        <v>381201</v>
      </c>
      <c r="D145" t="str">
        <f>普通映射装备数值!U145</f>
        <v>技能伤害加成</v>
      </c>
      <c r="E145">
        <f>普通映射装备数值!V145</f>
        <v>0.03</v>
      </c>
      <c r="F145" t="str">
        <f t="shared" si="2"/>
        <v>技能伤害加成0.03</v>
      </c>
    </row>
    <row r="146" spans="2:6">
      <c r="B146" t="str">
        <f>普通映射装备数值!D146</f>
        <v>高级圣痕魔导链</v>
      </c>
      <c r="C146" s="65">
        <v>381301</v>
      </c>
      <c r="D146" t="str">
        <f>普通映射装备数值!U146</f>
        <v>技能伤害加成</v>
      </c>
      <c r="E146">
        <f>普通映射装备数值!V146</f>
        <v>0.04</v>
      </c>
      <c r="F146" t="str">
        <f t="shared" si="2"/>
        <v>技能伤害加成0.04</v>
      </c>
    </row>
    <row r="147" spans="2:6">
      <c r="B147" t="str">
        <f>普通映射装备数值!D147</f>
        <v>初级神经戒指</v>
      </c>
      <c r="C147" s="65">
        <v>381401</v>
      </c>
      <c r="D147" t="str">
        <f>普通映射装备数值!U147</f>
        <v>必杀回复速度</v>
      </c>
      <c r="E147">
        <f>普通映射装备数值!V147</f>
        <v>0.02</v>
      </c>
      <c r="F147" t="str">
        <f t="shared" si="2"/>
        <v>必杀回复速度0.02</v>
      </c>
    </row>
    <row r="148" spans="2:6">
      <c r="B148" t="str">
        <f>普通映射装备数值!D148</f>
        <v>中级神经戒指</v>
      </c>
      <c r="C148" s="65">
        <v>381501</v>
      </c>
      <c r="D148" t="str">
        <f>普通映射装备数值!U148</f>
        <v>必杀回复速度</v>
      </c>
      <c r="E148">
        <f>普通映射装备数值!V148</f>
        <v>0.03</v>
      </c>
      <c r="F148" t="str">
        <f t="shared" si="2"/>
        <v>必杀回复速度0.03</v>
      </c>
    </row>
    <row r="149" spans="2:6">
      <c r="B149" t="str">
        <f>普通映射装备数值!D149</f>
        <v>高级神经戒指</v>
      </c>
      <c r="C149" s="65">
        <v>381601</v>
      </c>
      <c r="D149" t="str">
        <f>普通映射装备数值!U149</f>
        <v>必杀回复速度</v>
      </c>
      <c r="E149">
        <f>普通映射装备数值!V149</f>
        <v>0.04</v>
      </c>
      <c r="F149" t="str">
        <f t="shared" si="2"/>
        <v>必杀回复速度0.04</v>
      </c>
    </row>
    <row r="150" spans="2:6">
      <c r="B150" t="str">
        <f>普通映射装备数值!D150</f>
        <v>初级感知环</v>
      </c>
      <c r="C150" s="65">
        <v>381701</v>
      </c>
      <c r="D150" t="str">
        <f>普通映射装备数值!U150</f>
        <v>生命</v>
      </c>
      <c r="E150">
        <f>普通映射装备数值!V150</f>
        <v>0.01</v>
      </c>
      <c r="F150" t="str">
        <f t="shared" si="2"/>
        <v>生命0.01</v>
      </c>
    </row>
    <row r="151" spans="2:6">
      <c r="B151" t="str">
        <f>普通映射装备数值!D151</f>
        <v>中级感知环</v>
      </c>
      <c r="C151" s="65">
        <v>381801</v>
      </c>
      <c r="D151" t="str">
        <f>普通映射装备数值!U151</f>
        <v>生命</v>
      </c>
      <c r="E151">
        <f>普通映射装备数值!V151</f>
        <v>0.015</v>
      </c>
      <c r="F151" t="str">
        <f t="shared" si="2"/>
        <v>生命0.015</v>
      </c>
    </row>
    <row r="152" spans="2:6">
      <c r="B152" t="str">
        <f>普通映射装备数值!D152</f>
        <v>高级感知环</v>
      </c>
      <c r="C152" s="65">
        <v>381901</v>
      </c>
      <c r="D152" t="str">
        <f>普通映射装备数值!U152</f>
        <v>生命</v>
      </c>
      <c r="E152">
        <f>普通映射装备数值!V152</f>
        <v>0.02</v>
      </c>
      <c r="F152" t="str">
        <f t="shared" si="2"/>
        <v>生命0.02</v>
      </c>
    </row>
    <row r="153" spans="2:6">
      <c r="B153" t="str">
        <f>普通映射装备数值!D153</f>
        <v>初级契约指环</v>
      </c>
      <c r="C153" s="65">
        <v>382001</v>
      </c>
      <c r="D153" t="str">
        <f>普通映射装备数值!U153</f>
        <v>攻击</v>
      </c>
      <c r="E153">
        <f>普通映射装备数值!V153</f>
        <v>210</v>
      </c>
      <c r="F153" t="str">
        <f t="shared" si="2"/>
        <v>攻击210</v>
      </c>
    </row>
    <row r="154" spans="2:6">
      <c r="B154" t="str">
        <f>普通映射装备数值!D154</f>
        <v>中级契约指环</v>
      </c>
      <c r="C154" s="65">
        <v>382101</v>
      </c>
      <c r="D154" t="str">
        <f>普通映射装备数值!U154</f>
        <v>攻击</v>
      </c>
      <c r="E154">
        <f>普通映射装备数值!V154</f>
        <v>390</v>
      </c>
      <c r="F154" t="str">
        <f t="shared" si="2"/>
        <v>攻击390</v>
      </c>
    </row>
    <row r="155" spans="2:6">
      <c r="B155" t="str">
        <f>普通映射装备数值!D155</f>
        <v>高级契约指环</v>
      </c>
      <c r="C155" s="65">
        <v>382201</v>
      </c>
      <c r="D155" t="str">
        <f>普通映射装备数值!U155</f>
        <v>攻击</v>
      </c>
      <c r="E155">
        <f>普通映射装备数值!V155</f>
        <v>630</v>
      </c>
      <c r="F155" t="str">
        <f t="shared" si="2"/>
        <v>攻击630</v>
      </c>
    </row>
  </sheetData>
  <autoFilter xmlns:etc="http://www.wps.cn/officeDocument/2017/etCustomData" ref="D2:E155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X192"/>
  <sheetViews>
    <sheetView topLeftCell="A128" workbookViewId="0">
      <pane xSplit="5" topLeftCell="N1" activePane="topRight" state="frozen"/>
      <selection/>
      <selection pane="topRight" activeCell="V2" sqref="V2"/>
    </sheetView>
  </sheetViews>
  <sheetFormatPr defaultColWidth="9" defaultRowHeight="13.5"/>
  <cols>
    <col min="4" max="4" width="16" style="8" customWidth="1"/>
    <col min="5" max="5" width="20.125" style="8" customWidth="1"/>
    <col min="9" max="9" width="11.5" style="8" customWidth="1"/>
    <col min="10" max="10" width="12.875" style="8" customWidth="1"/>
    <col min="12" max="12" width="12" style="8" customWidth="1"/>
    <col min="13" max="13" width="13.5" style="8" customWidth="1"/>
    <col min="14" max="14" width="14.125" style="8" customWidth="1"/>
    <col min="17" max="17" width="14.25" style="8" customWidth="1"/>
    <col min="18" max="18" width="12.875" style="8" customWidth="1"/>
    <col min="19" max="19" width="8.125" style="8" customWidth="1"/>
    <col min="20" max="20" width="13.375" style="8" customWidth="1"/>
    <col min="21" max="21" width="33.125" style="8" customWidth="1"/>
    <col min="22" max="22" width="32.75" style="8" customWidth="1"/>
  </cols>
  <sheetData>
    <row r="1" spans="3:24">
      <c r="G1" t="s">
        <v>558</v>
      </c>
      <c r="O1" t="s">
        <v>559</v>
      </c>
    </row>
    <row r="2" ht="16.5" customHeight="1" spans="3:24">
      <c r="C2" s="79" t="s">
        <v>296</v>
      </c>
      <c r="D2" s="90" t="s">
        <v>560</v>
      </c>
      <c r="E2" s="78" t="s">
        <v>522</v>
      </c>
      <c r="F2" s="79" t="s">
        <v>523</v>
      </c>
      <c r="G2" s="86" t="s">
        <v>405</v>
      </c>
      <c r="H2" s="86" t="s">
        <v>525</v>
      </c>
      <c r="I2" s="86" t="s">
        <v>524</v>
      </c>
      <c r="J2" s="86" t="s">
        <v>407</v>
      </c>
      <c r="K2" s="86" t="s">
        <v>525</v>
      </c>
      <c r="L2" s="86" t="s">
        <v>524</v>
      </c>
      <c r="M2" s="86" t="s">
        <v>561</v>
      </c>
      <c r="N2" s="86" t="s">
        <v>562</v>
      </c>
      <c r="O2" s="86" t="s">
        <v>405</v>
      </c>
      <c r="P2" s="86" t="s">
        <v>525</v>
      </c>
      <c r="Q2" s="86" t="s">
        <v>524</v>
      </c>
      <c r="R2" s="86" t="s">
        <v>407</v>
      </c>
      <c r="S2" s="86" t="s">
        <v>525</v>
      </c>
      <c r="T2" s="86" t="s">
        <v>524</v>
      </c>
      <c r="U2" s="86" t="s">
        <v>556</v>
      </c>
      <c r="V2" s="86" t="s">
        <v>557</v>
      </c>
      <c r="X2" t="s">
        <v>555</v>
      </c>
    </row>
    <row r="3" ht="17.25" customHeight="1" spans="3:24">
      <c r="C3" s="7">
        <v>80001</v>
      </c>
      <c r="D3" s="7" t="s">
        <v>563</v>
      </c>
      <c r="E3" s="91" t="s">
        <v>528</v>
      </c>
      <c r="F3" s="92" t="s">
        <v>564</v>
      </c>
      <c r="G3" t="str">
        <f>IFERROR(INDEX(映射装备数值!D:D,SUMPRODUCT((映射装备数值!$C$10:$C$56=IF($F3="Blue","蓝",IF($F3="Purple","紫",IF($F3="Orange","金",IF($F3="Red","红",$F3)))))*((映射装备数值!$A$10:$A$56=$E3)+(映射装备数值!$B$10:$B$56=$E3))*ROW(映射装备数值!$A$10:$A$56))),"未匹配")</f>
        <v>攻击</v>
      </c>
      <c r="H3">
        <f>IFERROR(INDEX(映射装备数值!G:G,SUMPRODUCT((映射装备数值!$C$10:$C$56=IF($F3="Blue","蓝",IF($F3="Purple","紫",IF($F3="Orange","金",IF($F3="Red","红",$F3)))))*((映射装备数值!$A$10:$A$56=$E3)+(映射装备数值!$B$10:$B$56=$E3))*ROW(映射装备数值!$A$10:$A$56))),"未匹配")</f>
        <v>193.2</v>
      </c>
      <c r="I3">
        <f>IFERROR(INDEX(映射装备数值!F:F,SUMPRODUCT((映射装备数值!$C$10:$C$56=IF($F3="Blue","蓝",IF($F3="Purple","紫",IF($F3="Orange","金",IF($F3="Red","红",$F3)))))*((映射装备数值!$A$10:$A$56=$E3)+(映射装备数值!$B$10:$B$56=$E3))*ROW(映射装备数值!$A$10:$A$56))),"未匹配")</f>
        <v>25.2</v>
      </c>
      <c r="J3" t="str">
        <f>IFERROR(INDEX(映射装备数值!I:I,SUMPRODUCT((映射装备数值!$C$10:$C$56=IF($F3="Blue","蓝",IF($F3="Purple","紫",IF($F3="Orange","金",IF($F3="Red","红",$F3)))))*((映射装备数值!$A$10:$A$56=$E3)+(映射装备数值!$B$10:$B$56=$E3))*ROW(映射装备数值!$A$10:$A$56))),"未匹配")</f>
        <v>暴击等级</v>
      </c>
      <c r="K3">
        <f>IFERROR(INDEX(映射装备数值!L:L,SUMPRODUCT((映射装备数值!$C$10:$C$56=IF($F3="Blue","蓝",IF($F3="Purple","紫",IF($F3="Orange","金",IF($F3="Red","红",$F3)))))*((映射装备数值!$A$10:$A$56=$E3)+(映射装备数值!$B$10:$B$56=$E3))*ROW(映射装备数值!$A$10:$A$56))),"未匹配")</f>
        <v>100.2</v>
      </c>
      <c r="L3">
        <f>IFERROR(INDEX(映射装备数值!K:K,SUMPRODUCT((映射装备数值!$C$10:$C$56=IF($F3="Blue","蓝",IF($F3="Purple","紫",IF($F3="Orange","金",IF($F3="Red","红",$F3)))))*((映射装备数值!$A$10:$A$56=$E3)+(映射装备数值!$B$10:$B$56=$E3))*ROW(映射装备数值!$A$10:$A$56))),"未匹配")</f>
        <v>13.2</v>
      </c>
      <c r="M3" s="93">
        <v>1.1</v>
      </c>
      <c r="N3" s="93">
        <v>0.9</v>
      </c>
      <c r="O3" t="str">
        <f t="shared" ref="O3:O66" si="0">G3</f>
        <v>攻击</v>
      </c>
      <c r="P3">
        <f t="shared" ref="P3:P66" si="1">ROUND(H3*$M3,IF(H3&lt;1,3,0))</f>
        <v>213</v>
      </c>
      <c r="Q3">
        <f t="shared" ref="Q3:Q66" si="2">ROUND(I3*$M3,IF(I3&lt;1,3,0))</f>
        <v>28</v>
      </c>
      <c r="R3" t="str">
        <f t="shared" ref="R3:R66" si="3">J3</f>
        <v>暴击等级</v>
      </c>
      <c r="S3">
        <f t="shared" ref="S3:S66" si="4">ROUND(K3*$N3,IF(K3&lt;1,3,0))</f>
        <v>90</v>
      </c>
      <c r="T3">
        <f t="shared" ref="T3:T66" si="5">ROUND(L3*$N3,IF(L3&lt;1,4,0))</f>
        <v>12</v>
      </c>
      <c r="U3" t="s">
        <v>80</v>
      </c>
      <c r="V3">
        <v>0.01</v>
      </c>
      <c r="W3" s="7">
        <v>80001</v>
      </c>
    </row>
    <row r="4" ht="17.25" customHeight="1" spans="3:24">
      <c r="C4" s="7">
        <v>80002</v>
      </c>
      <c r="D4" s="7" t="s">
        <v>565</v>
      </c>
      <c r="E4" s="91" t="s">
        <v>528</v>
      </c>
      <c r="F4" s="92" t="s">
        <v>566</v>
      </c>
      <c r="G4" t="str">
        <f>IFERROR(INDEX(映射装备数值!D:D,SUMPRODUCT((映射装备数值!$C$10:$C$56=IF($F4="Blue","蓝",IF($F4="Purple","紫",IF($F4="Orange","金",IF($F4="Red","红",$F4)))))*((映射装备数值!$A$10:$A$56=$E4)+(映射装备数值!$B$10:$B$56=$E4))*ROW(映射装备数值!$A$10:$A$56))),"未匹配")</f>
        <v>攻击</v>
      </c>
      <c r="H4">
        <f>IFERROR(INDEX(映射装备数值!G:G,SUMPRODUCT((映射装备数值!$C$10:$C$56=IF($F4="Blue","蓝",IF($F4="Purple","紫",IF($F4="Orange","金",IF($F4="Red","红",$F4)))))*((映射装备数值!$A$10:$A$56=$E4)+(映射装备数值!$B$10:$B$56=$E4))*ROW(映射装备数值!$A$10:$A$56))),"未匹配")</f>
        <v>322</v>
      </c>
      <c r="I4">
        <f>IFERROR(INDEX(映射装备数值!F:F,SUMPRODUCT((映射装备数值!$C$10:$C$56=IF($F4="Blue","蓝",IF($F4="Purple","紫",IF($F4="Orange","金",IF($F4="Red","红",$F4)))))*((映射装备数值!$A$10:$A$56=$E4)+(映射装备数值!$B$10:$B$56=$E4))*ROW(映射装备数值!$A$10:$A$56))),"未匹配")</f>
        <v>42</v>
      </c>
      <c r="J4" t="str">
        <f>IFERROR(INDEX(映射装备数值!I:I,SUMPRODUCT((映射装备数值!$C$10:$C$56=IF($F4="Blue","蓝",IF($F4="Purple","紫",IF($F4="Orange","金",IF($F4="Red","红",$F4)))))*((映射装备数值!$A$10:$A$56=$E4)+(映射装备数值!$B$10:$B$56=$E4))*ROW(映射装备数值!$A$10:$A$56))),"未匹配")</f>
        <v>暴击等级</v>
      </c>
      <c r="K4">
        <f>IFERROR(INDEX(映射装备数值!L:L,SUMPRODUCT((映射装备数值!$C$10:$C$56=IF($F4="Blue","蓝",IF($F4="Purple","紫",IF($F4="Orange","金",IF($F4="Red","红",$F4)))))*((映射装备数值!$A$10:$A$56=$E4)+(映射装备数值!$B$10:$B$56=$E4))*ROW(映射装备数值!$A$10:$A$56))),"未匹配")</f>
        <v>167</v>
      </c>
      <c r="L4">
        <f>IFERROR(INDEX(映射装备数值!K:K,SUMPRODUCT((映射装备数值!$C$10:$C$56=IF($F4="Blue","蓝",IF($F4="Purple","紫",IF($F4="Orange","金",IF($F4="Red","红",$F4)))))*((映射装备数值!$A$10:$A$56=$E4)+(映射装备数值!$B$10:$B$56=$E4))*ROW(映射装备数值!$A$10:$A$56))),"未匹配")</f>
        <v>22</v>
      </c>
      <c r="M4" s="93">
        <v>1.1</v>
      </c>
      <c r="N4" s="93">
        <v>0.9</v>
      </c>
      <c r="O4" t="str">
        <f t="shared" si="0"/>
        <v>攻击</v>
      </c>
      <c r="P4">
        <f t="shared" si="1"/>
        <v>354</v>
      </c>
      <c r="Q4">
        <f t="shared" si="2"/>
        <v>46</v>
      </c>
      <c r="R4" t="str">
        <f t="shared" si="3"/>
        <v>暴击等级</v>
      </c>
      <c r="S4">
        <f t="shared" si="4"/>
        <v>150</v>
      </c>
      <c r="T4">
        <f t="shared" si="5"/>
        <v>20</v>
      </c>
      <c r="U4" t="s">
        <v>80</v>
      </c>
      <c r="V4">
        <v>0.015</v>
      </c>
      <c r="W4" s="7">
        <v>80002</v>
      </c>
    </row>
    <row r="5" ht="17.25" customHeight="1" spans="3:24">
      <c r="C5" s="7">
        <v>80003</v>
      </c>
      <c r="D5" s="7" t="s">
        <v>567</v>
      </c>
      <c r="E5" s="91" t="s">
        <v>528</v>
      </c>
      <c r="F5" s="92" t="s">
        <v>568</v>
      </c>
      <c r="G5" t="str">
        <f>IFERROR(INDEX(映射装备数值!D:D,SUMPRODUCT((映射装备数值!$C$10:$C$56=IF($F5="Blue","蓝",IF($F5="Purple","紫",IF($F5="Orange","金",IF($F5="Red","红",$F5)))))*((映射装备数值!$A$10:$A$56=$E5)+(映射装备数值!$B$10:$B$56=$E5))*ROW(映射装备数值!$A$10:$A$56))),"未匹配")</f>
        <v>攻击</v>
      </c>
      <c r="H5">
        <f>IFERROR(INDEX(映射装备数值!G:G,SUMPRODUCT((映射装备数值!$C$10:$C$56=IF($F5="Blue","蓝",IF($F5="Purple","紫",IF($F5="Orange","金",IF($F5="Red","红",$F5)))))*((映射装备数值!$A$10:$A$56=$E5)+(映射装备数值!$B$10:$B$56=$E5))*ROW(映射装备数值!$A$10:$A$56))),"未匹配")</f>
        <v>483</v>
      </c>
      <c r="I5">
        <f>IFERROR(INDEX(映射装备数值!F:F,SUMPRODUCT((映射装备数值!$C$10:$C$56=IF($F5="Blue","蓝",IF($F5="Purple","紫",IF($F5="Orange","金",IF($F5="Red","红",$F5)))))*((映射装备数值!$A$10:$A$56=$E5)+(映射装备数值!$B$10:$B$56=$E5))*ROW(映射装备数值!$A$10:$A$56))),"未匹配")</f>
        <v>63</v>
      </c>
      <c r="J5" t="str">
        <f>IFERROR(INDEX(映射装备数值!I:I,SUMPRODUCT((映射装备数值!$C$10:$C$56=IF($F5="Blue","蓝",IF($F5="Purple","紫",IF($F5="Orange","金",IF($F5="Red","红",$F5)))))*((映射装备数值!$A$10:$A$56=$E5)+(映射装备数值!$B$10:$B$56=$E5))*ROW(映射装备数值!$A$10:$A$56))),"未匹配")</f>
        <v>暴击等级</v>
      </c>
      <c r="K5">
        <f>IFERROR(INDEX(映射装备数值!L:L,SUMPRODUCT((映射装备数值!$C$10:$C$56=IF($F5="Blue","蓝",IF($F5="Purple","紫",IF($F5="Orange","金",IF($F5="Red","红",$F5)))))*((映射装备数值!$A$10:$A$56=$E5)+(映射装备数值!$B$10:$B$56=$E5))*ROW(映射装备数值!$A$10:$A$56))),"未匹配")</f>
        <v>250.5</v>
      </c>
      <c r="L5">
        <f>IFERROR(INDEX(映射装备数值!K:K,SUMPRODUCT((映射装备数值!$C$10:$C$56=IF($F5="Blue","蓝",IF($F5="Purple","紫",IF($F5="Orange","金",IF($F5="Red","红",$F5)))))*((映射装备数值!$A$10:$A$56=$E5)+(映射装备数值!$B$10:$B$56=$E5))*ROW(映射装备数值!$A$10:$A$56))),"未匹配")</f>
        <v>33</v>
      </c>
      <c r="M5" s="93">
        <v>1.1</v>
      </c>
      <c r="N5" s="93">
        <v>0.9</v>
      </c>
      <c r="O5" t="str">
        <f t="shared" si="0"/>
        <v>攻击</v>
      </c>
      <c r="P5">
        <f t="shared" si="1"/>
        <v>531</v>
      </c>
      <c r="Q5">
        <f t="shared" si="2"/>
        <v>69</v>
      </c>
      <c r="R5" t="str">
        <f t="shared" si="3"/>
        <v>暴击等级</v>
      </c>
      <c r="S5">
        <f t="shared" si="4"/>
        <v>225</v>
      </c>
      <c r="T5">
        <f t="shared" si="5"/>
        <v>30</v>
      </c>
      <c r="U5" t="s">
        <v>80</v>
      </c>
      <c r="V5">
        <v>0.02</v>
      </c>
      <c r="W5" s="7">
        <v>80003</v>
      </c>
    </row>
    <row r="6" ht="17.25" customHeight="1" spans="3:24">
      <c r="C6" s="7">
        <v>80004</v>
      </c>
      <c r="D6" s="7" t="s">
        <v>569</v>
      </c>
      <c r="E6" s="91" t="s">
        <v>528</v>
      </c>
      <c r="F6" s="92" t="s">
        <v>564</v>
      </c>
      <c r="G6" t="str">
        <f>IFERROR(INDEX(映射装备数值!D:D,SUMPRODUCT((映射装备数值!$C$10:$C$56=IF($F6="Blue","蓝",IF($F6="Purple","紫",IF($F6="Orange","金",IF($F6="Red","红",$F6)))))*((映射装备数值!$A$10:$A$56=$E6)+(映射装备数值!$B$10:$B$56=$E6))*ROW(映射装备数值!$A$10:$A$56))),"未匹配")</f>
        <v>攻击</v>
      </c>
      <c r="H6">
        <f>IFERROR(INDEX(映射装备数值!G:G,SUMPRODUCT((映射装备数值!$C$10:$C$56=IF($F6="Blue","蓝",IF($F6="Purple","紫",IF($F6="Orange","金",IF($F6="Red","红",$F6)))))*((映射装备数值!$A$10:$A$56=$E6)+(映射装备数值!$B$10:$B$56=$E6))*ROW(映射装备数值!$A$10:$A$56))),"未匹配")</f>
        <v>193.2</v>
      </c>
      <c r="I6">
        <f>IFERROR(INDEX(映射装备数值!F:F,SUMPRODUCT((映射装备数值!$C$10:$C$56=IF($F6="Blue","蓝",IF($F6="Purple","紫",IF($F6="Orange","金",IF($F6="Red","红",$F6)))))*((映射装备数值!$A$10:$A$56=$E6)+(映射装备数值!$B$10:$B$56=$E6))*ROW(映射装备数值!$A$10:$A$56))),"未匹配")</f>
        <v>25.2</v>
      </c>
      <c r="J6" t="str">
        <f>IFERROR(INDEX(映射装备数值!I:I,SUMPRODUCT((映射装备数值!$C$10:$C$56=IF($F6="Blue","蓝",IF($F6="Purple","紫",IF($F6="Orange","金",IF($F6="Red","红",$F6)))))*((映射装备数值!$A$10:$A$56=$E6)+(映射装备数值!$B$10:$B$56=$E6))*ROW(映射装备数值!$A$10:$A$56))),"未匹配")</f>
        <v>暴击等级</v>
      </c>
      <c r="K6">
        <f>IFERROR(INDEX(映射装备数值!L:L,SUMPRODUCT((映射装备数值!$C$10:$C$56=IF($F6="Blue","蓝",IF($F6="Purple","紫",IF($F6="Orange","金",IF($F6="Red","红",$F6)))))*((映射装备数值!$A$10:$A$56=$E6)+(映射装备数值!$B$10:$B$56=$E6))*ROW(映射装备数值!$A$10:$A$56))),"未匹配")</f>
        <v>100.2</v>
      </c>
      <c r="L6">
        <f>IFERROR(INDEX(映射装备数值!K:K,SUMPRODUCT((映射装备数值!$C$10:$C$56=IF($F6="Blue","蓝",IF($F6="Purple","紫",IF($F6="Orange","金",IF($F6="Red","红",$F6)))))*((映射装备数值!$A$10:$A$56=$E6)+(映射装备数值!$B$10:$B$56=$E6))*ROW(映射装备数值!$A$10:$A$56))),"未匹配")</f>
        <v>13.2</v>
      </c>
      <c r="M6" s="93">
        <v>0.95</v>
      </c>
      <c r="N6" s="93">
        <v>1.05</v>
      </c>
      <c r="O6" t="str">
        <f t="shared" si="0"/>
        <v>攻击</v>
      </c>
      <c r="P6">
        <f t="shared" si="1"/>
        <v>184</v>
      </c>
      <c r="Q6">
        <f t="shared" si="2"/>
        <v>24</v>
      </c>
      <c r="R6" t="str">
        <f t="shared" si="3"/>
        <v>暴击等级</v>
      </c>
      <c r="S6">
        <f t="shared" si="4"/>
        <v>105</v>
      </c>
      <c r="T6">
        <f t="shared" si="5"/>
        <v>14</v>
      </c>
      <c r="U6" t="s">
        <v>80</v>
      </c>
      <c r="V6">
        <v>0.01</v>
      </c>
      <c r="W6" s="7">
        <v>80004</v>
      </c>
    </row>
    <row r="7" ht="17.25" customHeight="1" spans="3:24">
      <c r="C7" s="7">
        <v>80005</v>
      </c>
      <c r="D7" s="7" t="s">
        <v>570</v>
      </c>
      <c r="E7" s="91" t="s">
        <v>528</v>
      </c>
      <c r="F7" s="92" t="s">
        <v>566</v>
      </c>
      <c r="G7" t="str">
        <f>IFERROR(INDEX(映射装备数值!D:D,SUMPRODUCT((映射装备数值!$C$10:$C$56=IF($F7="Blue","蓝",IF($F7="Purple","紫",IF($F7="Orange","金",IF($F7="Red","红",$F7)))))*((映射装备数值!$A$10:$A$56=$E7)+(映射装备数值!$B$10:$B$56=$E7))*ROW(映射装备数值!$A$10:$A$56))),"未匹配")</f>
        <v>攻击</v>
      </c>
      <c r="H7">
        <f>IFERROR(INDEX(映射装备数值!G:G,SUMPRODUCT((映射装备数值!$C$10:$C$56=IF($F7="Blue","蓝",IF($F7="Purple","紫",IF($F7="Orange","金",IF($F7="Red","红",$F7)))))*((映射装备数值!$A$10:$A$56=$E7)+(映射装备数值!$B$10:$B$56=$E7))*ROW(映射装备数值!$A$10:$A$56))),"未匹配")</f>
        <v>322</v>
      </c>
      <c r="I7">
        <f>IFERROR(INDEX(映射装备数值!F:F,SUMPRODUCT((映射装备数值!$C$10:$C$56=IF($F7="Blue","蓝",IF($F7="Purple","紫",IF($F7="Orange","金",IF($F7="Red","红",$F7)))))*((映射装备数值!$A$10:$A$56=$E7)+(映射装备数值!$B$10:$B$56=$E7))*ROW(映射装备数值!$A$10:$A$56))),"未匹配")</f>
        <v>42</v>
      </c>
      <c r="J7" t="str">
        <f>IFERROR(INDEX(映射装备数值!I:I,SUMPRODUCT((映射装备数值!$C$10:$C$56=IF($F7="Blue","蓝",IF($F7="Purple","紫",IF($F7="Orange","金",IF($F7="Red","红",$F7)))))*((映射装备数值!$A$10:$A$56=$E7)+(映射装备数值!$B$10:$B$56=$E7))*ROW(映射装备数值!$A$10:$A$56))),"未匹配")</f>
        <v>暴击等级</v>
      </c>
      <c r="K7">
        <f>IFERROR(INDEX(映射装备数值!L:L,SUMPRODUCT((映射装备数值!$C$10:$C$56=IF($F7="Blue","蓝",IF($F7="Purple","紫",IF($F7="Orange","金",IF($F7="Red","红",$F7)))))*((映射装备数值!$A$10:$A$56=$E7)+(映射装备数值!$B$10:$B$56=$E7))*ROW(映射装备数值!$A$10:$A$56))),"未匹配")</f>
        <v>167</v>
      </c>
      <c r="L7">
        <f>IFERROR(INDEX(映射装备数值!K:K,SUMPRODUCT((映射装备数值!$C$10:$C$56=IF($F7="Blue","蓝",IF($F7="Purple","紫",IF($F7="Orange","金",IF($F7="Red","红",$F7)))))*((映射装备数值!$A$10:$A$56=$E7)+(映射装备数值!$B$10:$B$56=$E7))*ROW(映射装备数值!$A$10:$A$56))),"未匹配")</f>
        <v>22</v>
      </c>
      <c r="M7" s="93">
        <v>0.95</v>
      </c>
      <c r="N7" s="93">
        <v>1.05</v>
      </c>
      <c r="O7" t="str">
        <f t="shared" si="0"/>
        <v>攻击</v>
      </c>
      <c r="P7">
        <f t="shared" si="1"/>
        <v>306</v>
      </c>
      <c r="Q7">
        <f t="shared" si="2"/>
        <v>40</v>
      </c>
      <c r="R7" t="str">
        <f t="shared" si="3"/>
        <v>暴击等级</v>
      </c>
      <c r="S7">
        <f t="shared" si="4"/>
        <v>175</v>
      </c>
      <c r="T7">
        <f t="shared" si="5"/>
        <v>23</v>
      </c>
      <c r="U7" t="s">
        <v>80</v>
      </c>
      <c r="V7">
        <v>0.015</v>
      </c>
      <c r="W7" s="7">
        <v>80005</v>
      </c>
    </row>
    <row r="8" ht="17.25" customHeight="1" spans="3:24">
      <c r="C8" s="7">
        <v>80006</v>
      </c>
      <c r="D8" s="7" t="s">
        <v>571</v>
      </c>
      <c r="E8" s="91" t="s">
        <v>528</v>
      </c>
      <c r="F8" s="92" t="s">
        <v>568</v>
      </c>
      <c r="G8" t="str">
        <f>IFERROR(INDEX(映射装备数值!D:D,SUMPRODUCT((映射装备数值!$C$10:$C$56=IF($F8="Blue","蓝",IF($F8="Purple","紫",IF($F8="Orange","金",IF($F8="Red","红",$F8)))))*((映射装备数值!$A$10:$A$56=$E8)+(映射装备数值!$B$10:$B$56=$E8))*ROW(映射装备数值!$A$10:$A$56))),"未匹配")</f>
        <v>攻击</v>
      </c>
      <c r="H8">
        <f>IFERROR(INDEX(映射装备数值!G:G,SUMPRODUCT((映射装备数值!$C$10:$C$56=IF($F8="Blue","蓝",IF($F8="Purple","紫",IF($F8="Orange","金",IF($F8="Red","红",$F8)))))*((映射装备数值!$A$10:$A$56=$E8)+(映射装备数值!$B$10:$B$56=$E8))*ROW(映射装备数值!$A$10:$A$56))),"未匹配")</f>
        <v>483</v>
      </c>
      <c r="I8">
        <f>IFERROR(INDEX(映射装备数值!F:F,SUMPRODUCT((映射装备数值!$C$10:$C$56=IF($F8="Blue","蓝",IF($F8="Purple","紫",IF($F8="Orange","金",IF($F8="Red","红",$F8)))))*((映射装备数值!$A$10:$A$56=$E8)+(映射装备数值!$B$10:$B$56=$E8))*ROW(映射装备数值!$A$10:$A$56))),"未匹配")</f>
        <v>63</v>
      </c>
      <c r="J8" t="str">
        <f>IFERROR(INDEX(映射装备数值!I:I,SUMPRODUCT((映射装备数值!$C$10:$C$56=IF($F8="Blue","蓝",IF($F8="Purple","紫",IF($F8="Orange","金",IF($F8="Red","红",$F8)))))*((映射装备数值!$A$10:$A$56=$E8)+(映射装备数值!$B$10:$B$56=$E8))*ROW(映射装备数值!$A$10:$A$56))),"未匹配")</f>
        <v>暴击等级</v>
      </c>
      <c r="K8">
        <f>IFERROR(INDEX(映射装备数值!L:L,SUMPRODUCT((映射装备数值!$C$10:$C$56=IF($F8="Blue","蓝",IF($F8="Purple","紫",IF($F8="Orange","金",IF($F8="Red","红",$F8)))))*((映射装备数值!$A$10:$A$56=$E8)+(映射装备数值!$B$10:$B$56=$E8))*ROW(映射装备数值!$A$10:$A$56))),"未匹配")</f>
        <v>250.5</v>
      </c>
      <c r="L8">
        <f>IFERROR(INDEX(映射装备数值!K:K,SUMPRODUCT((映射装备数值!$C$10:$C$56=IF($F8="Blue","蓝",IF($F8="Purple","紫",IF($F8="Orange","金",IF($F8="Red","红",$F8)))))*((映射装备数值!$A$10:$A$56=$E8)+(映射装备数值!$B$10:$B$56=$E8))*ROW(映射装备数值!$A$10:$A$56))),"未匹配")</f>
        <v>33</v>
      </c>
      <c r="M8" s="93">
        <v>0.95</v>
      </c>
      <c r="N8" s="93">
        <v>1.05</v>
      </c>
      <c r="O8" t="str">
        <f t="shared" si="0"/>
        <v>攻击</v>
      </c>
      <c r="P8">
        <f t="shared" si="1"/>
        <v>459</v>
      </c>
      <c r="Q8">
        <f t="shared" si="2"/>
        <v>60</v>
      </c>
      <c r="R8" t="str">
        <f t="shared" si="3"/>
        <v>暴击等级</v>
      </c>
      <c r="S8">
        <f t="shared" si="4"/>
        <v>263</v>
      </c>
      <c r="T8">
        <f t="shared" si="5"/>
        <v>35</v>
      </c>
      <c r="U8" t="s">
        <v>80</v>
      </c>
      <c r="V8">
        <v>0.02</v>
      </c>
      <c r="W8" s="7">
        <v>80006</v>
      </c>
    </row>
    <row r="9" ht="17.25" customHeight="1" spans="3:24">
      <c r="C9" s="7">
        <v>80007</v>
      </c>
      <c r="D9" s="7" t="s">
        <v>572</v>
      </c>
      <c r="E9" s="91" t="s">
        <v>528</v>
      </c>
      <c r="F9" s="92" t="s">
        <v>564</v>
      </c>
      <c r="G9" t="str">
        <f>IFERROR(INDEX(映射装备数值!D:D,SUMPRODUCT((映射装备数值!$C$10:$C$56=IF($F9="Blue","蓝",IF($F9="Purple","紫",IF($F9="Orange","金",IF($F9="Red","红",$F9)))))*((映射装备数值!$A$10:$A$56=$E9)+(映射装备数值!$B$10:$B$56=$E9))*ROW(映射装备数值!$A$10:$A$56))),"未匹配")</f>
        <v>攻击</v>
      </c>
      <c r="H9">
        <f>IFERROR(INDEX(映射装备数值!G:G,SUMPRODUCT((映射装备数值!$C$10:$C$56=IF($F9="Blue","蓝",IF($F9="Purple","紫",IF($F9="Orange","金",IF($F9="Red","红",$F9)))))*((映射装备数值!$A$10:$A$56=$E9)+(映射装备数值!$B$10:$B$56=$E9))*ROW(映射装备数值!$A$10:$A$56))),"未匹配")</f>
        <v>193.2</v>
      </c>
      <c r="I9">
        <f>IFERROR(INDEX(映射装备数值!F:F,SUMPRODUCT((映射装备数值!$C$10:$C$56=IF($F9="Blue","蓝",IF($F9="Purple","紫",IF($F9="Orange","金",IF($F9="Red","红",$F9)))))*((映射装备数值!$A$10:$A$56=$E9)+(映射装备数值!$B$10:$B$56=$E9))*ROW(映射装备数值!$A$10:$A$56))),"未匹配")</f>
        <v>25.2</v>
      </c>
      <c r="J9" t="str">
        <f>IFERROR(INDEX(映射装备数值!I:I,SUMPRODUCT((映射装备数值!$C$10:$C$56=IF($F9="Blue","蓝",IF($F9="Purple","紫",IF($F9="Orange","金",IF($F9="Red","红",$F9)))))*((映射装备数值!$A$10:$A$56=$E9)+(映射装备数值!$B$10:$B$56=$E9))*ROW(映射装备数值!$A$10:$A$56))),"未匹配")</f>
        <v>暴击等级</v>
      </c>
      <c r="K9">
        <f>IFERROR(INDEX(映射装备数值!L:L,SUMPRODUCT((映射装备数值!$C$10:$C$56=IF($F9="Blue","蓝",IF($F9="Purple","紫",IF($F9="Orange","金",IF($F9="Red","红",$F9)))))*((映射装备数值!$A$10:$A$56=$E9)+(映射装备数值!$B$10:$B$56=$E9))*ROW(映射装备数值!$A$10:$A$56))),"未匹配")</f>
        <v>100.2</v>
      </c>
      <c r="L9">
        <f>IFERROR(INDEX(映射装备数值!K:K,SUMPRODUCT((映射装备数值!$C$10:$C$56=IF($F9="Blue","蓝",IF($F9="Purple","紫",IF($F9="Orange","金",IF($F9="Red","红",$F9)))))*((映射装备数值!$A$10:$A$56=$E9)+(映射装备数值!$B$10:$B$56=$E9))*ROW(映射装备数值!$A$10:$A$56))),"未匹配")</f>
        <v>13.2</v>
      </c>
      <c r="M9" s="93">
        <v>1</v>
      </c>
      <c r="N9" s="93">
        <v>1</v>
      </c>
      <c r="O9" t="str">
        <f t="shared" si="0"/>
        <v>攻击</v>
      </c>
      <c r="P9">
        <f t="shared" si="1"/>
        <v>193</v>
      </c>
      <c r="Q9">
        <f t="shared" si="2"/>
        <v>25</v>
      </c>
      <c r="R9" t="str">
        <f t="shared" si="3"/>
        <v>暴击等级</v>
      </c>
      <c r="S9">
        <f t="shared" si="4"/>
        <v>100</v>
      </c>
      <c r="T9">
        <f t="shared" si="5"/>
        <v>13</v>
      </c>
      <c r="U9" t="s">
        <v>573</v>
      </c>
      <c r="V9">
        <v>0.02</v>
      </c>
      <c r="W9" s="7">
        <v>80007</v>
      </c>
    </row>
    <row r="10" ht="17.25" customHeight="1" spans="3:24">
      <c r="C10" s="7">
        <v>80008</v>
      </c>
      <c r="D10" s="7" t="s">
        <v>574</v>
      </c>
      <c r="E10" s="91" t="s">
        <v>528</v>
      </c>
      <c r="F10" s="92" t="s">
        <v>566</v>
      </c>
      <c r="G10" t="str">
        <f>IFERROR(INDEX(映射装备数值!D:D,SUMPRODUCT((映射装备数值!$C$10:$C$56=IF($F10="Blue","蓝",IF($F10="Purple","紫",IF($F10="Orange","金",IF($F10="Red","红",$F10)))))*((映射装备数值!$A$10:$A$56=$E10)+(映射装备数值!$B$10:$B$56=$E10))*ROW(映射装备数值!$A$10:$A$56))),"未匹配")</f>
        <v>攻击</v>
      </c>
      <c r="H10">
        <f>IFERROR(INDEX(映射装备数值!G:G,SUMPRODUCT((映射装备数值!$C$10:$C$56=IF($F10="Blue","蓝",IF($F10="Purple","紫",IF($F10="Orange","金",IF($F10="Red","红",$F10)))))*((映射装备数值!$A$10:$A$56=$E10)+(映射装备数值!$B$10:$B$56=$E10))*ROW(映射装备数值!$A$10:$A$56))),"未匹配")</f>
        <v>322</v>
      </c>
      <c r="I10">
        <f>IFERROR(INDEX(映射装备数值!F:F,SUMPRODUCT((映射装备数值!$C$10:$C$56=IF($F10="Blue","蓝",IF($F10="Purple","紫",IF($F10="Orange","金",IF($F10="Red","红",$F10)))))*((映射装备数值!$A$10:$A$56=$E10)+(映射装备数值!$B$10:$B$56=$E10))*ROW(映射装备数值!$A$10:$A$56))),"未匹配")</f>
        <v>42</v>
      </c>
      <c r="J10" t="str">
        <f>IFERROR(INDEX(映射装备数值!I:I,SUMPRODUCT((映射装备数值!$C$10:$C$56=IF($F10="Blue","蓝",IF($F10="Purple","紫",IF($F10="Orange","金",IF($F10="Red","红",$F10)))))*((映射装备数值!$A$10:$A$56=$E10)+(映射装备数值!$B$10:$B$56=$E10))*ROW(映射装备数值!$A$10:$A$56))),"未匹配")</f>
        <v>暴击等级</v>
      </c>
      <c r="K10">
        <f>IFERROR(INDEX(映射装备数值!L:L,SUMPRODUCT((映射装备数值!$C$10:$C$56=IF($F10="Blue","蓝",IF($F10="Purple","紫",IF($F10="Orange","金",IF($F10="Red","红",$F10)))))*((映射装备数值!$A$10:$A$56=$E10)+(映射装备数值!$B$10:$B$56=$E10))*ROW(映射装备数值!$A$10:$A$56))),"未匹配")</f>
        <v>167</v>
      </c>
      <c r="L10">
        <f>IFERROR(INDEX(映射装备数值!K:K,SUMPRODUCT((映射装备数值!$C$10:$C$56=IF($F10="Blue","蓝",IF($F10="Purple","紫",IF($F10="Orange","金",IF($F10="Red","红",$F10)))))*((映射装备数值!$A$10:$A$56=$E10)+(映射装备数值!$B$10:$B$56=$E10))*ROW(映射装备数值!$A$10:$A$56))),"未匹配")</f>
        <v>22</v>
      </c>
      <c r="M10" s="93">
        <v>1</v>
      </c>
      <c r="N10" s="93">
        <v>1</v>
      </c>
      <c r="O10" t="str">
        <f t="shared" si="0"/>
        <v>攻击</v>
      </c>
      <c r="P10">
        <f t="shared" si="1"/>
        <v>322</v>
      </c>
      <c r="Q10">
        <f t="shared" si="2"/>
        <v>42</v>
      </c>
      <c r="R10" t="str">
        <f t="shared" si="3"/>
        <v>暴击等级</v>
      </c>
      <c r="S10">
        <f t="shared" si="4"/>
        <v>167</v>
      </c>
      <c r="T10">
        <f t="shared" si="5"/>
        <v>22</v>
      </c>
      <c r="U10" t="s">
        <v>573</v>
      </c>
      <c r="V10">
        <v>0.03</v>
      </c>
      <c r="W10" s="7">
        <v>80008</v>
      </c>
    </row>
    <row r="11" ht="17.25" customHeight="1" spans="3:24">
      <c r="C11" s="88">
        <v>80009</v>
      </c>
      <c r="D11" s="88" t="s">
        <v>575</v>
      </c>
      <c r="E11" s="91" t="s">
        <v>528</v>
      </c>
      <c r="F11" s="94" t="s">
        <v>568</v>
      </c>
      <c r="G11" t="str">
        <f>IFERROR(INDEX(映射装备数值!D:D,SUMPRODUCT((映射装备数值!$C$10:$C$56=IF($F11="Blue","蓝",IF($F11="Purple","紫",IF($F11="Orange","金",IF($F11="Red","红",$F11)))))*((映射装备数值!$A$10:$A$56=$E11)+(映射装备数值!$B$10:$B$56=$E11))*ROW(映射装备数值!$A$10:$A$56))),"未匹配")</f>
        <v>攻击</v>
      </c>
      <c r="H11">
        <f>IFERROR(INDEX(映射装备数值!G:G,SUMPRODUCT((映射装备数值!$C$10:$C$56=IF($F11="Blue","蓝",IF($F11="Purple","紫",IF($F11="Orange","金",IF($F11="Red","红",$F11)))))*((映射装备数值!$A$10:$A$56=$E11)+(映射装备数值!$B$10:$B$56=$E11))*ROW(映射装备数值!$A$10:$A$56))),"未匹配")</f>
        <v>483</v>
      </c>
      <c r="I11">
        <f>IFERROR(INDEX(映射装备数值!F:F,SUMPRODUCT((映射装备数值!$C$10:$C$56=IF($F11="Blue","蓝",IF($F11="Purple","紫",IF($F11="Orange","金",IF($F11="Red","红",$F11)))))*((映射装备数值!$A$10:$A$56=$E11)+(映射装备数值!$B$10:$B$56=$E11))*ROW(映射装备数值!$A$10:$A$56))),"未匹配")</f>
        <v>63</v>
      </c>
      <c r="J11" t="str">
        <f>IFERROR(INDEX(映射装备数值!I:I,SUMPRODUCT((映射装备数值!$C$10:$C$56=IF($F11="Blue","蓝",IF($F11="Purple","紫",IF($F11="Orange","金",IF($F11="Red","红",$F11)))))*((映射装备数值!$A$10:$A$56=$E11)+(映射装备数值!$B$10:$B$56=$E11))*ROW(映射装备数值!$A$10:$A$56))),"未匹配")</f>
        <v>暴击等级</v>
      </c>
      <c r="K11">
        <f>IFERROR(INDEX(映射装备数值!L:L,SUMPRODUCT((映射装备数值!$C$10:$C$56=IF($F11="Blue","蓝",IF($F11="Purple","紫",IF($F11="Orange","金",IF($F11="Red","红",$F11)))))*((映射装备数值!$A$10:$A$56=$E11)+(映射装备数值!$B$10:$B$56=$E11))*ROW(映射装备数值!$A$10:$A$56))),"未匹配")</f>
        <v>250.5</v>
      </c>
      <c r="L11">
        <f>IFERROR(INDEX(映射装备数值!K:K,SUMPRODUCT((映射装备数值!$C$10:$C$56=IF($F11="Blue","蓝",IF($F11="Purple","紫",IF($F11="Orange","金",IF($F11="Red","红",$F11)))))*((映射装备数值!$A$10:$A$56=$E11)+(映射装备数值!$B$10:$B$56=$E11))*ROW(映射装备数值!$A$10:$A$56))),"未匹配")</f>
        <v>33</v>
      </c>
      <c r="M11" s="93">
        <v>1</v>
      </c>
      <c r="N11" s="93">
        <v>1</v>
      </c>
      <c r="O11" t="str">
        <f t="shared" si="0"/>
        <v>攻击</v>
      </c>
      <c r="P11">
        <f t="shared" si="1"/>
        <v>483</v>
      </c>
      <c r="Q11">
        <f t="shared" si="2"/>
        <v>63</v>
      </c>
      <c r="R11" t="str">
        <f t="shared" si="3"/>
        <v>暴击等级</v>
      </c>
      <c r="S11">
        <f t="shared" si="4"/>
        <v>251</v>
      </c>
      <c r="T11">
        <f t="shared" si="5"/>
        <v>33</v>
      </c>
      <c r="U11" t="s">
        <v>573</v>
      </c>
      <c r="V11">
        <v>0.04</v>
      </c>
      <c r="W11" s="88">
        <v>80009</v>
      </c>
    </row>
    <row r="12" ht="17.25" customHeight="1" spans="3:24">
      <c r="C12" s="7">
        <v>80010</v>
      </c>
      <c r="D12" s="7" t="s">
        <v>576</v>
      </c>
      <c r="E12" s="95" t="s">
        <v>530</v>
      </c>
      <c r="F12" s="92" t="s">
        <v>564</v>
      </c>
      <c r="G12" t="str">
        <f>IFERROR(INDEX(映射装备数值!D:D,SUMPRODUCT((映射装备数值!$C$10:$C$56=IF($F12="Blue","蓝",IF($F12="Purple","紫",IF($F12="Orange","金",IF($F12="Red","红",$F12)))))*((映射装备数值!$A$10:$A$56=$E12)+(映射装备数值!$B$10:$B$56=$E12))*ROW(映射装备数值!$A$10:$A$56))),"未匹配")</f>
        <v>攻击</v>
      </c>
      <c r="H12">
        <f>IFERROR(INDEX(映射装备数值!G:G,SUMPRODUCT((映射装备数值!$C$10:$C$56=IF($F12="Blue","蓝",IF($F12="Purple","紫",IF($F12="Orange","金",IF($F12="Red","红",$F12)))))*((映射装备数值!$A$10:$A$56=$E12)+(映射装备数值!$B$10:$B$56=$E12))*ROW(映射装备数值!$A$10:$A$56))),"未匹配")</f>
        <v>193.2</v>
      </c>
      <c r="I12">
        <f>IFERROR(INDEX(映射装备数值!F:F,SUMPRODUCT((映射装备数值!$C$10:$C$56=IF($F12="Blue","蓝",IF($F12="Purple","紫",IF($F12="Orange","金",IF($F12="Red","红",$F12)))))*((映射装备数值!$A$10:$A$56=$E12)+(映射装备数值!$B$10:$B$56=$E12))*ROW(映射装备数值!$A$10:$A$56))),"未匹配")</f>
        <v>25.2</v>
      </c>
      <c r="J12" t="str">
        <f>IFERROR(INDEX(映射装备数值!I:I,SUMPRODUCT((映射装备数值!$C$10:$C$56=IF($F12="Blue","蓝",IF($F12="Purple","紫",IF($F12="Orange","金",IF($F12="Red","红",$F12)))))*((映射装备数值!$A$10:$A$56=$E12)+(映射装备数值!$B$10:$B$56=$E12))*ROW(映射装备数值!$A$10:$A$56))),"未匹配")</f>
        <v>攻击</v>
      </c>
      <c r="K12">
        <f>IFERROR(INDEX(映射装备数值!L:L,SUMPRODUCT((映射装备数值!$C$10:$C$56=IF($F12="Blue","蓝",IF($F12="Purple","紫",IF($F12="Orange","金",IF($F12="Red","红",$F12)))))*((映射装备数值!$A$10:$A$56=$E12)+(映射装备数值!$B$10:$B$56=$E12))*ROW(映射装备数值!$A$10:$A$56))),"未匹配")</f>
        <v>193.2</v>
      </c>
      <c r="L12">
        <f>IFERROR(INDEX(映射装备数值!K:K,SUMPRODUCT((映射装备数值!$C$10:$C$56=IF($F12="Blue","蓝",IF($F12="Purple","紫",IF($F12="Orange","金",IF($F12="Red","红",$F12)))))*((映射装备数值!$A$10:$A$56=$E12)+(映射装备数值!$B$10:$B$56=$E12))*ROW(映射装备数值!$A$10:$A$56))),"未匹配")</f>
        <v>25.2</v>
      </c>
      <c r="M12" s="93">
        <v>1.15</v>
      </c>
      <c r="N12" s="93">
        <v>0.85</v>
      </c>
      <c r="O12" t="str">
        <f t="shared" si="0"/>
        <v>攻击</v>
      </c>
      <c r="P12">
        <f t="shared" si="1"/>
        <v>222</v>
      </c>
      <c r="Q12">
        <f t="shared" si="2"/>
        <v>29</v>
      </c>
      <c r="R12" t="str">
        <f t="shared" si="3"/>
        <v>攻击</v>
      </c>
      <c r="S12">
        <f t="shared" si="4"/>
        <v>164</v>
      </c>
      <c r="T12">
        <f t="shared" si="5"/>
        <v>21</v>
      </c>
      <c r="U12" t="s">
        <v>131</v>
      </c>
      <c r="V12">
        <v>0.018</v>
      </c>
      <c r="W12" s="7">
        <v>80010</v>
      </c>
    </row>
    <row r="13" ht="17.25" customHeight="1" spans="3:24">
      <c r="C13" s="7">
        <v>80011</v>
      </c>
      <c r="D13" s="7" t="s">
        <v>577</v>
      </c>
      <c r="E13" s="95" t="s">
        <v>530</v>
      </c>
      <c r="F13" s="92" t="s">
        <v>566</v>
      </c>
      <c r="G13" t="str">
        <f>IFERROR(INDEX(映射装备数值!D:D,SUMPRODUCT((映射装备数值!$C$10:$C$56=IF($F13="Blue","蓝",IF($F13="Purple","紫",IF($F13="Orange","金",IF($F13="Red","红",$F13)))))*((映射装备数值!$A$10:$A$56=$E13)+(映射装备数值!$B$10:$B$56=$E13))*ROW(映射装备数值!$A$10:$A$56))),"未匹配")</f>
        <v>攻击</v>
      </c>
      <c r="H13">
        <f>IFERROR(INDEX(映射装备数值!G:G,SUMPRODUCT((映射装备数值!$C$10:$C$56=IF($F13="Blue","蓝",IF($F13="Purple","紫",IF($F13="Orange","金",IF($F13="Red","红",$F13)))))*((映射装备数值!$A$10:$A$56=$E13)+(映射装备数值!$B$10:$B$56=$E13))*ROW(映射装备数值!$A$10:$A$56))),"未匹配")</f>
        <v>322</v>
      </c>
      <c r="I13">
        <f>IFERROR(INDEX(映射装备数值!F:F,SUMPRODUCT((映射装备数值!$C$10:$C$56=IF($F13="Blue","蓝",IF($F13="Purple","紫",IF($F13="Orange","金",IF($F13="Red","红",$F13)))))*((映射装备数值!$A$10:$A$56=$E13)+(映射装备数值!$B$10:$B$56=$E13))*ROW(映射装备数值!$A$10:$A$56))),"未匹配")</f>
        <v>42</v>
      </c>
      <c r="J13" t="str">
        <f>IFERROR(INDEX(映射装备数值!I:I,SUMPRODUCT((映射装备数值!$C$10:$C$56=IF($F13="Blue","蓝",IF($F13="Purple","紫",IF($F13="Orange","金",IF($F13="Red","红",$F13)))))*((映射装备数值!$A$10:$A$56=$E13)+(映射装备数值!$B$10:$B$56=$E13))*ROW(映射装备数值!$A$10:$A$56))),"未匹配")</f>
        <v>攻击</v>
      </c>
      <c r="K13">
        <f>IFERROR(INDEX(映射装备数值!L:L,SUMPRODUCT((映射装备数值!$C$10:$C$56=IF($F13="Blue","蓝",IF($F13="Purple","紫",IF($F13="Orange","金",IF($F13="Red","红",$F13)))))*((映射装备数值!$A$10:$A$56=$E13)+(映射装备数值!$B$10:$B$56=$E13))*ROW(映射装备数值!$A$10:$A$56))),"未匹配")</f>
        <v>322</v>
      </c>
      <c r="L13">
        <f>IFERROR(INDEX(映射装备数值!K:K,SUMPRODUCT((映射装备数值!$C$10:$C$56=IF($F13="Blue","蓝",IF($F13="Purple","紫",IF($F13="Orange","金",IF($F13="Red","红",$F13)))))*((映射装备数值!$A$10:$A$56=$E13)+(映射装备数值!$B$10:$B$56=$E13))*ROW(映射装备数值!$A$10:$A$56))),"未匹配")</f>
        <v>42</v>
      </c>
      <c r="M13" s="93">
        <v>1.15</v>
      </c>
      <c r="N13" s="93">
        <v>0.85</v>
      </c>
      <c r="O13" t="str">
        <f t="shared" si="0"/>
        <v>攻击</v>
      </c>
      <c r="P13">
        <f t="shared" si="1"/>
        <v>370</v>
      </c>
      <c r="Q13">
        <f t="shared" si="2"/>
        <v>48</v>
      </c>
      <c r="R13" t="str">
        <f t="shared" si="3"/>
        <v>攻击</v>
      </c>
      <c r="S13">
        <f t="shared" si="4"/>
        <v>274</v>
      </c>
      <c r="T13">
        <f t="shared" si="5"/>
        <v>36</v>
      </c>
      <c r="U13" t="s">
        <v>131</v>
      </c>
      <c r="V13">
        <v>0.028</v>
      </c>
      <c r="W13" s="7">
        <v>80011</v>
      </c>
    </row>
    <row r="14" ht="17.25" customHeight="1" spans="3:24">
      <c r="C14" s="7">
        <v>80012</v>
      </c>
      <c r="D14" s="7" t="s">
        <v>578</v>
      </c>
      <c r="E14" s="95" t="s">
        <v>530</v>
      </c>
      <c r="F14" s="92" t="s">
        <v>568</v>
      </c>
      <c r="G14" t="str">
        <f>IFERROR(INDEX(映射装备数值!D:D,SUMPRODUCT((映射装备数值!$C$10:$C$56=IF($F14="Blue","蓝",IF($F14="Purple","紫",IF($F14="Orange","金",IF($F14="Red","红",$F14)))))*((映射装备数值!$A$10:$A$56=$E14)+(映射装备数值!$B$10:$B$56=$E14))*ROW(映射装备数值!$A$10:$A$56))),"未匹配")</f>
        <v>攻击</v>
      </c>
      <c r="H14">
        <f>IFERROR(INDEX(映射装备数值!G:G,SUMPRODUCT((映射装备数值!$C$10:$C$56=IF($F14="Blue","蓝",IF($F14="Purple","紫",IF($F14="Orange","金",IF($F14="Red","红",$F14)))))*((映射装备数值!$A$10:$A$56=$E14)+(映射装备数值!$B$10:$B$56=$E14))*ROW(映射装备数值!$A$10:$A$56))),"未匹配")</f>
        <v>483</v>
      </c>
      <c r="I14">
        <f>IFERROR(INDEX(映射装备数值!F:F,SUMPRODUCT((映射装备数值!$C$10:$C$56=IF($F14="Blue","蓝",IF($F14="Purple","紫",IF($F14="Orange","金",IF($F14="Red","红",$F14)))))*((映射装备数值!$A$10:$A$56=$E14)+(映射装备数值!$B$10:$B$56=$E14))*ROW(映射装备数值!$A$10:$A$56))),"未匹配")</f>
        <v>63</v>
      </c>
      <c r="J14" t="str">
        <f>IFERROR(INDEX(映射装备数值!I:I,SUMPRODUCT((映射装备数值!$C$10:$C$56=IF($F14="Blue","蓝",IF($F14="Purple","紫",IF($F14="Orange","金",IF($F14="Red","红",$F14)))))*((映射装备数值!$A$10:$A$56=$E14)+(映射装备数值!$B$10:$B$56=$E14))*ROW(映射装备数值!$A$10:$A$56))),"未匹配")</f>
        <v>攻击</v>
      </c>
      <c r="K14">
        <f>IFERROR(INDEX(映射装备数值!L:L,SUMPRODUCT((映射装备数值!$C$10:$C$56=IF($F14="Blue","蓝",IF($F14="Purple","紫",IF($F14="Orange","金",IF($F14="Red","红",$F14)))))*((映射装备数值!$A$10:$A$56=$E14)+(映射装备数值!$B$10:$B$56=$E14))*ROW(映射装备数值!$A$10:$A$56))),"未匹配")</f>
        <v>483</v>
      </c>
      <c r="L14">
        <f>IFERROR(INDEX(映射装备数值!K:K,SUMPRODUCT((映射装备数值!$C$10:$C$56=IF($F14="Blue","蓝",IF($F14="Purple","紫",IF($F14="Orange","金",IF($F14="Red","红",$F14)))))*((映射装备数值!$A$10:$A$56=$E14)+(映射装备数值!$B$10:$B$56=$E14))*ROW(映射装备数值!$A$10:$A$56))),"未匹配")</f>
        <v>63</v>
      </c>
      <c r="M14" s="93">
        <v>1.15</v>
      </c>
      <c r="N14" s="93">
        <v>0.85</v>
      </c>
      <c r="O14" t="str">
        <f t="shared" si="0"/>
        <v>攻击</v>
      </c>
      <c r="P14">
        <f t="shared" si="1"/>
        <v>555</v>
      </c>
      <c r="Q14">
        <f t="shared" si="2"/>
        <v>72</v>
      </c>
      <c r="R14" t="str">
        <f t="shared" si="3"/>
        <v>攻击</v>
      </c>
      <c r="S14">
        <f t="shared" si="4"/>
        <v>411</v>
      </c>
      <c r="T14">
        <f t="shared" si="5"/>
        <v>54</v>
      </c>
      <c r="U14" t="s">
        <v>131</v>
      </c>
      <c r="V14">
        <v>0.04</v>
      </c>
      <c r="W14" s="7">
        <v>80012</v>
      </c>
    </row>
    <row r="15" ht="17.25" customHeight="1" spans="3:24">
      <c r="C15" s="7">
        <v>80013</v>
      </c>
      <c r="D15" s="7" t="s">
        <v>579</v>
      </c>
      <c r="E15" s="95" t="s">
        <v>530</v>
      </c>
      <c r="F15" s="92" t="s">
        <v>564</v>
      </c>
      <c r="G15" t="str">
        <f>IFERROR(INDEX(映射装备数值!D:D,SUMPRODUCT((映射装备数值!$C$10:$C$56=IF($F15="Blue","蓝",IF($F15="Purple","紫",IF($F15="Orange","金",IF($F15="Red","红",$F15)))))*((映射装备数值!$A$10:$A$56=$E15)+(映射装备数值!$B$10:$B$56=$E15))*ROW(映射装备数值!$A$10:$A$56))),"未匹配")</f>
        <v>攻击</v>
      </c>
      <c r="H15">
        <f>IFERROR(INDEX(映射装备数值!G:G,SUMPRODUCT((映射装备数值!$C$10:$C$56=IF($F15="Blue","蓝",IF($F15="Purple","紫",IF($F15="Orange","金",IF($F15="Red","红",$F15)))))*((映射装备数值!$A$10:$A$56=$E15)+(映射装备数值!$B$10:$B$56=$E15))*ROW(映射装备数值!$A$10:$A$56))),"未匹配")</f>
        <v>193.2</v>
      </c>
      <c r="I15">
        <f>IFERROR(INDEX(映射装备数值!F:F,SUMPRODUCT((映射装备数值!$C$10:$C$56=IF($F15="Blue","蓝",IF($F15="Purple","紫",IF($F15="Orange","金",IF($F15="Red","红",$F15)))))*((映射装备数值!$A$10:$A$56=$E15)+(映射装备数值!$B$10:$B$56=$E15))*ROW(映射装备数值!$A$10:$A$56))),"未匹配")</f>
        <v>25.2</v>
      </c>
      <c r="J15" t="str">
        <f>IFERROR(INDEX(映射装备数值!I:I,SUMPRODUCT((映射装备数值!$C$10:$C$56=IF($F15="Blue","蓝",IF($F15="Purple","紫",IF($F15="Orange","金",IF($F15="Red","红",$F15)))))*((映射装备数值!$A$10:$A$56=$E15)+(映射装备数值!$B$10:$B$56=$E15))*ROW(映射装备数值!$A$10:$A$56))),"未匹配")</f>
        <v>攻击</v>
      </c>
      <c r="K15">
        <f>IFERROR(INDEX(映射装备数值!L:L,SUMPRODUCT((映射装备数值!$C$10:$C$56=IF($F15="Blue","蓝",IF($F15="Purple","紫",IF($F15="Orange","金",IF($F15="Red","红",$F15)))))*((映射装备数值!$A$10:$A$56=$E15)+(映射装备数值!$B$10:$B$56=$E15))*ROW(映射装备数值!$A$10:$A$56))),"未匹配")</f>
        <v>193.2</v>
      </c>
      <c r="L15">
        <f>IFERROR(INDEX(映射装备数值!K:K,SUMPRODUCT((映射装备数值!$C$10:$C$56=IF($F15="Blue","蓝",IF($F15="Purple","紫",IF($F15="Orange","金",IF($F15="Red","红",$F15)))))*((映射装备数值!$A$10:$A$56=$E15)+(映射装备数值!$B$10:$B$56=$E15))*ROW(映射装备数值!$A$10:$A$56))),"未匹配")</f>
        <v>25.2</v>
      </c>
      <c r="M15" s="93">
        <v>0.9</v>
      </c>
      <c r="N15" s="93">
        <v>1.1</v>
      </c>
      <c r="O15" t="str">
        <f t="shared" si="0"/>
        <v>攻击</v>
      </c>
      <c r="P15">
        <f t="shared" si="1"/>
        <v>174</v>
      </c>
      <c r="Q15">
        <f t="shared" si="2"/>
        <v>23</v>
      </c>
      <c r="R15" t="str">
        <f t="shared" si="3"/>
        <v>攻击</v>
      </c>
      <c r="S15">
        <f t="shared" si="4"/>
        <v>213</v>
      </c>
      <c r="T15">
        <f t="shared" si="5"/>
        <v>28</v>
      </c>
      <c r="U15" t="s">
        <v>80</v>
      </c>
      <c r="V15">
        <v>210</v>
      </c>
      <c r="W15" s="7">
        <v>80013</v>
      </c>
    </row>
    <row r="16" ht="17.25" customHeight="1" spans="3:24">
      <c r="C16" s="7">
        <v>80014</v>
      </c>
      <c r="D16" s="7" t="s">
        <v>580</v>
      </c>
      <c r="E16" s="95" t="s">
        <v>530</v>
      </c>
      <c r="F16" s="92" t="s">
        <v>566</v>
      </c>
      <c r="G16" t="str">
        <f>IFERROR(INDEX(映射装备数值!D:D,SUMPRODUCT((映射装备数值!$C$10:$C$56=IF($F16="Blue","蓝",IF($F16="Purple","紫",IF($F16="Orange","金",IF($F16="Red","红",$F16)))))*((映射装备数值!$A$10:$A$56=$E16)+(映射装备数值!$B$10:$B$56=$E16))*ROW(映射装备数值!$A$10:$A$56))),"未匹配")</f>
        <v>攻击</v>
      </c>
      <c r="H16">
        <f>IFERROR(INDEX(映射装备数值!G:G,SUMPRODUCT((映射装备数值!$C$10:$C$56=IF($F16="Blue","蓝",IF($F16="Purple","紫",IF($F16="Orange","金",IF($F16="Red","红",$F16)))))*((映射装备数值!$A$10:$A$56=$E16)+(映射装备数值!$B$10:$B$56=$E16))*ROW(映射装备数值!$A$10:$A$56))),"未匹配")</f>
        <v>322</v>
      </c>
      <c r="I16">
        <f>IFERROR(INDEX(映射装备数值!F:F,SUMPRODUCT((映射装备数值!$C$10:$C$56=IF($F16="Blue","蓝",IF($F16="Purple","紫",IF($F16="Orange","金",IF($F16="Red","红",$F16)))))*((映射装备数值!$A$10:$A$56=$E16)+(映射装备数值!$B$10:$B$56=$E16))*ROW(映射装备数值!$A$10:$A$56))),"未匹配")</f>
        <v>42</v>
      </c>
      <c r="J16" t="str">
        <f>IFERROR(INDEX(映射装备数值!I:I,SUMPRODUCT((映射装备数值!$C$10:$C$56=IF($F16="Blue","蓝",IF($F16="Purple","紫",IF($F16="Orange","金",IF($F16="Red","红",$F16)))))*((映射装备数值!$A$10:$A$56=$E16)+(映射装备数值!$B$10:$B$56=$E16))*ROW(映射装备数值!$A$10:$A$56))),"未匹配")</f>
        <v>攻击</v>
      </c>
      <c r="K16">
        <f>IFERROR(INDEX(映射装备数值!L:L,SUMPRODUCT((映射装备数值!$C$10:$C$56=IF($F16="Blue","蓝",IF($F16="Purple","紫",IF($F16="Orange","金",IF($F16="Red","红",$F16)))))*((映射装备数值!$A$10:$A$56=$E16)+(映射装备数值!$B$10:$B$56=$E16))*ROW(映射装备数值!$A$10:$A$56))),"未匹配")</f>
        <v>322</v>
      </c>
      <c r="L16">
        <f>IFERROR(INDEX(映射装备数值!K:K,SUMPRODUCT((映射装备数值!$C$10:$C$56=IF($F16="Blue","蓝",IF($F16="Purple","紫",IF($F16="Orange","金",IF($F16="Red","红",$F16)))))*((映射装备数值!$A$10:$A$56=$E16)+(映射装备数值!$B$10:$B$56=$E16))*ROW(映射装备数值!$A$10:$A$56))),"未匹配")</f>
        <v>42</v>
      </c>
      <c r="M16" s="93">
        <v>0.9</v>
      </c>
      <c r="N16" s="93">
        <v>1.1</v>
      </c>
      <c r="O16" t="str">
        <f t="shared" si="0"/>
        <v>攻击</v>
      </c>
      <c r="P16">
        <f t="shared" si="1"/>
        <v>290</v>
      </c>
      <c r="Q16">
        <f t="shared" si="2"/>
        <v>38</v>
      </c>
      <c r="R16" t="str">
        <f t="shared" si="3"/>
        <v>攻击</v>
      </c>
      <c r="S16">
        <f t="shared" si="4"/>
        <v>354</v>
      </c>
      <c r="T16">
        <f t="shared" si="5"/>
        <v>46</v>
      </c>
      <c r="U16" t="s">
        <v>80</v>
      </c>
      <c r="V16">
        <v>390</v>
      </c>
      <c r="W16" s="7">
        <v>80014</v>
      </c>
    </row>
    <row r="17" ht="17.25" customHeight="1" spans="3:23">
      <c r="C17" s="7">
        <v>80015</v>
      </c>
      <c r="D17" s="7" t="s">
        <v>581</v>
      </c>
      <c r="E17" s="95" t="s">
        <v>530</v>
      </c>
      <c r="F17" s="92" t="s">
        <v>568</v>
      </c>
      <c r="G17" t="str">
        <f>IFERROR(INDEX(映射装备数值!D:D,SUMPRODUCT((映射装备数值!$C$10:$C$56=IF($F17="Blue","蓝",IF($F17="Purple","紫",IF($F17="Orange","金",IF($F17="Red","红",$F17)))))*((映射装备数值!$A$10:$A$56=$E17)+(映射装备数值!$B$10:$B$56=$E17))*ROW(映射装备数值!$A$10:$A$56))),"未匹配")</f>
        <v>攻击</v>
      </c>
      <c r="H17">
        <f>IFERROR(INDEX(映射装备数值!G:G,SUMPRODUCT((映射装备数值!$C$10:$C$56=IF($F17="Blue","蓝",IF($F17="Purple","紫",IF($F17="Orange","金",IF($F17="Red","红",$F17)))))*((映射装备数值!$A$10:$A$56=$E17)+(映射装备数值!$B$10:$B$56=$E17))*ROW(映射装备数值!$A$10:$A$56))),"未匹配")</f>
        <v>483</v>
      </c>
      <c r="I17">
        <f>IFERROR(INDEX(映射装备数值!F:F,SUMPRODUCT((映射装备数值!$C$10:$C$56=IF($F17="Blue","蓝",IF($F17="Purple","紫",IF($F17="Orange","金",IF($F17="Red","红",$F17)))))*((映射装备数值!$A$10:$A$56=$E17)+(映射装备数值!$B$10:$B$56=$E17))*ROW(映射装备数值!$A$10:$A$56))),"未匹配")</f>
        <v>63</v>
      </c>
      <c r="J17" t="str">
        <f>IFERROR(INDEX(映射装备数值!I:I,SUMPRODUCT((映射装备数值!$C$10:$C$56=IF($F17="Blue","蓝",IF($F17="Purple","紫",IF($F17="Orange","金",IF($F17="Red","红",$F17)))))*((映射装备数值!$A$10:$A$56=$E17)+(映射装备数值!$B$10:$B$56=$E17))*ROW(映射装备数值!$A$10:$A$56))),"未匹配")</f>
        <v>攻击</v>
      </c>
      <c r="K17">
        <f>IFERROR(INDEX(映射装备数值!L:L,SUMPRODUCT((映射装备数值!$C$10:$C$56=IF($F17="Blue","蓝",IF($F17="Purple","紫",IF($F17="Orange","金",IF($F17="Red","红",$F17)))))*((映射装备数值!$A$10:$A$56=$E17)+(映射装备数值!$B$10:$B$56=$E17))*ROW(映射装备数值!$A$10:$A$56))),"未匹配")</f>
        <v>483</v>
      </c>
      <c r="L17">
        <f>IFERROR(INDEX(映射装备数值!K:K,SUMPRODUCT((映射装备数值!$C$10:$C$56=IF($F17="Blue","蓝",IF($F17="Purple","紫",IF($F17="Orange","金",IF($F17="Red","红",$F17)))))*((映射装备数值!$A$10:$A$56=$E17)+(映射装备数值!$B$10:$B$56=$E17))*ROW(映射装备数值!$A$10:$A$56))),"未匹配")</f>
        <v>63</v>
      </c>
      <c r="M17" s="93">
        <v>0.9</v>
      </c>
      <c r="N17" s="93">
        <v>1.1</v>
      </c>
      <c r="O17" t="str">
        <f t="shared" si="0"/>
        <v>攻击</v>
      </c>
      <c r="P17">
        <f t="shared" si="1"/>
        <v>435</v>
      </c>
      <c r="Q17">
        <f t="shared" si="2"/>
        <v>57</v>
      </c>
      <c r="R17" t="str">
        <f t="shared" si="3"/>
        <v>攻击</v>
      </c>
      <c r="S17">
        <f t="shared" si="4"/>
        <v>531</v>
      </c>
      <c r="T17">
        <f t="shared" si="5"/>
        <v>69</v>
      </c>
      <c r="U17" t="s">
        <v>80</v>
      </c>
      <c r="V17">
        <v>630</v>
      </c>
      <c r="W17" s="7">
        <v>80015</v>
      </c>
    </row>
    <row r="18" ht="17.25" customHeight="1" spans="3:23">
      <c r="C18" s="7">
        <v>80016</v>
      </c>
      <c r="D18" s="7" t="s">
        <v>582</v>
      </c>
      <c r="E18" s="95" t="s">
        <v>530</v>
      </c>
      <c r="F18" s="92" t="s">
        <v>564</v>
      </c>
      <c r="G18" t="str">
        <f>IFERROR(INDEX(映射装备数值!D:D,SUMPRODUCT((映射装备数值!$C$10:$C$56=IF($F18="Blue","蓝",IF($F18="Purple","紫",IF($F18="Orange","金",IF($F18="Red","红",$F18)))))*((映射装备数值!$A$10:$A$56=$E18)+(映射装备数值!$B$10:$B$56=$E18))*ROW(映射装备数值!$A$10:$A$56))),"未匹配")</f>
        <v>攻击</v>
      </c>
      <c r="H18">
        <f>IFERROR(INDEX(映射装备数值!G:G,SUMPRODUCT((映射装备数值!$C$10:$C$56=IF($F18="Blue","蓝",IF($F18="Purple","紫",IF($F18="Orange","金",IF($F18="Red","红",$F18)))))*((映射装备数值!$A$10:$A$56=$E18)+(映射装备数值!$B$10:$B$56=$E18))*ROW(映射装备数值!$A$10:$A$56))),"未匹配")</f>
        <v>193.2</v>
      </c>
      <c r="I18">
        <f>IFERROR(INDEX(映射装备数值!F:F,SUMPRODUCT((映射装备数值!$C$10:$C$56=IF($F18="Blue","蓝",IF($F18="Purple","紫",IF($F18="Orange","金",IF($F18="Red","红",$F18)))))*((映射装备数值!$A$10:$A$56=$E18)+(映射装备数值!$B$10:$B$56=$E18))*ROW(映射装备数值!$A$10:$A$56))),"未匹配")</f>
        <v>25.2</v>
      </c>
      <c r="J18" t="str">
        <f>IFERROR(INDEX(映射装备数值!I:I,SUMPRODUCT((映射装备数值!$C$10:$C$56=IF($F18="Blue","蓝",IF($F18="Purple","紫",IF($F18="Orange","金",IF($F18="Red","红",$F18)))))*((映射装备数值!$A$10:$A$56=$E18)+(映射装备数值!$B$10:$B$56=$E18))*ROW(映射装备数值!$A$10:$A$56))),"未匹配")</f>
        <v>攻击</v>
      </c>
      <c r="K18">
        <f>IFERROR(INDEX(映射装备数值!L:L,SUMPRODUCT((映射装备数值!$C$10:$C$56=IF($F18="Blue","蓝",IF($F18="Purple","紫",IF($F18="Orange","金",IF($F18="Red","红",$F18)))))*((映射装备数值!$A$10:$A$56=$E18)+(映射装备数值!$B$10:$B$56=$E18))*ROW(映射装备数值!$A$10:$A$56))),"未匹配")</f>
        <v>193.2</v>
      </c>
      <c r="L18">
        <f>IFERROR(INDEX(映射装备数值!K:K,SUMPRODUCT((映射装备数值!$C$10:$C$56=IF($F18="Blue","蓝",IF($F18="Purple","紫",IF($F18="Orange","金",IF($F18="Red","红",$F18)))))*((映射装备数值!$A$10:$A$56=$E18)+(映射装备数值!$B$10:$B$56=$E18))*ROW(映射装备数值!$A$10:$A$56))),"未匹配")</f>
        <v>25.2</v>
      </c>
      <c r="M18" s="93">
        <v>1</v>
      </c>
      <c r="N18" s="93">
        <v>1</v>
      </c>
      <c r="O18" t="str">
        <f t="shared" si="0"/>
        <v>攻击</v>
      </c>
      <c r="P18">
        <f t="shared" si="1"/>
        <v>193</v>
      </c>
      <c r="Q18">
        <f t="shared" si="2"/>
        <v>25</v>
      </c>
      <c r="R18" t="str">
        <f t="shared" si="3"/>
        <v>攻击</v>
      </c>
      <c r="S18">
        <f t="shared" si="4"/>
        <v>193</v>
      </c>
      <c r="T18">
        <f t="shared" si="5"/>
        <v>25</v>
      </c>
      <c r="U18" t="s">
        <v>134</v>
      </c>
      <c r="V18">
        <v>0.02</v>
      </c>
      <c r="W18" s="7">
        <v>80016</v>
      </c>
    </row>
    <row r="19" ht="17.25" customHeight="1" spans="3:23">
      <c r="C19" s="7">
        <v>80017</v>
      </c>
      <c r="D19" s="7" t="s">
        <v>583</v>
      </c>
      <c r="E19" s="95" t="s">
        <v>530</v>
      </c>
      <c r="F19" s="92" t="s">
        <v>566</v>
      </c>
      <c r="G19" t="str">
        <f>IFERROR(INDEX(映射装备数值!D:D,SUMPRODUCT((映射装备数值!$C$10:$C$56=IF($F19="Blue","蓝",IF($F19="Purple","紫",IF($F19="Orange","金",IF($F19="Red","红",$F19)))))*((映射装备数值!$A$10:$A$56=$E19)+(映射装备数值!$B$10:$B$56=$E19))*ROW(映射装备数值!$A$10:$A$56))),"未匹配")</f>
        <v>攻击</v>
      </c>
      <c r="H19">
        <f>IFERROR(INDEX(映射装备数值!G:G,SUMPRODUCT((映射装备数值!$C$10:$C$56=IF($F19="Blue","蓝",IF($F19="Purple","紫",IF($F19="Orange","金",IF($F19="Red","红",$F19)))))*((映射装备数值!$A$10:$A$56=$E19)+(映射装备数值!$B$10:$B$56=$E19))*ROW(映射装备数值!$A$10:$A$56))),"未匹配")</f>
        <v>322</v>
      </c>
      <c r="I19">
        <f>IFERROR(INDEX(映射装备数值!F:F,SUMPRODUCT((映射装备数值!$C$10:$C$56=IF($F19="Blue","蓝",IF($F19="Purple","紫",IF($F19="Orange","金",IF($F19="Red","红",$F19)))))*((映射装备数值!$A$10:$A$56=$E19)+(映射装备数值!$B$10:$B$56=$E19))*ROW(映射装备数值!$A$10:$A$56))),"未匹配")</f>
        <v>42</v>
      </c>
      <c r="J19" t="str">
        <f>IFERROR(INDEX(映射装备数值!I:I,SUMPRODUCT((映射装备数值!$C$10:$C$56=IF($F19="Blue","蓝",IF($F19="Purple","紫",IF($F19="Orange","金",IF($F19="Red","红",$F19)))))*((映射装备数值!$A$10:$A$56=$E19)+(映射装备数值!$B$10:$B$56=$E19))*ROW(映射装备数值!$A$10:$A$56))),"未匹配")</f>
        <v>攻击</v>
      </c>
      <c r="K19">
        <f>IFERROR(INDEX(映射装备数值!L:L,SUMPRODUCT((映射装备数值!$C$10:$C$56=IF($F19="Blue","蓝",IF($F19="Purple","紫",IF($F19="Orange","金",IF($F19="Red","红",$F19)))))*((映射装备数值!$A$10:$A$56=$E19)+(映射装备数值!$B$10:$B$56=$E19))*ROW(映射装备数值!$A$10:$A$56))),"未匹配")</f>
        <v>322</v>
      </c>
      <c r="L19">
        <f>IFERROR(INDEX(映射装备数值!K:K,SUMPRODUCT((映射装备数值!$C$10:$C$56=IF($F19="Blue","蓝",IF($F19="Purple","紫",IF($F19="Orange","金",IF($F19="Red","红",$F19)))))*((映射装备数值!$A$10:$A$56=$E19)+(映射装备数值!$B$10:$B$56=$E19))*ROW(映射装备数值!$A$10:$A$56))),"未匹配")</f>
        <v>42</v>
      </c>
      <c r="M19" s="93">
        <v>1</v>
      </c>
      <c r="N19" s="93">
        <v>1</v>
      </c>
      <c r="O19" t="str">
        <f t="shared" si="0"/>
        <v>攻击</v>
      </c>
      <c r="P19">
        <f t="shared" si="1"/>
        <v>322</v>
      </c>
      <c r="Q19">
        <f t="shared" si="2"/>
        <v>42</v>
      </c>
      <c r="R19" t="str">
        <f t="shared" si="3"/>
        <v>攻击</v>
      </c>
      <c r="S19">
        <f t="shared" si="4"/>
        <v>322</v>
      </c>
      <c r="T19">
        <f t="shared" si="5"/>
        <v>42</v>
      </c>
      <c r="U19" t="s">
        <v>134</v>
      </c>
      <c r="V19">
        <v>0.03</v>
      </c>
      <c r="W19" s="7">
        <v>80017</v>
      </c>
    </row>
    <row r="20" ht="17.25" customHeight="1" spans="3:23">
      <c r="C20" s="88">
        <v>80018</v>
      </c>
      <c r="D20" s="88" t="s">
        <v>584</v>
      </c>
      <c r="E20" s="95" t="s">
        <v>530</v>
      </c>
      <c r="F20" s="94" t="s">
        <v>568</v>
      </c>
      <c r="G20" t="str">
        <f>IFERROR(INDEX(映射装备数值!D:D,SUMPRODUCT((映射装备数值!$C$10:$C$56=IF($F20="Blue","蓝",IF($F20="Purple","紫",IF($F20="Orange","金",IF($F20="Red","红",$F20)))))*((映射装备数值!$A$10:$A$56=$E20)+(映射装备数值!$B$10:$B$56=$E20))*ROW(映射装备数值!$A$10:$A$56))),"未匹配")</f>
        <v>攻击</v>
      </c>
      <c r="H20">
        <f>IFERROR(INDEX(映射装备数值!G:G,SUMPRODUCT((映射装备数值!$C$10:$C$56=IF($F20="Blue","蓝",IF($F20="Purple","紫",IF($F20="Orange","金",IF($F20="Red","红",$F20)))))*((映射装备数值!$A$10:$A$56=$E20)+(映射装备数值!$B$10:$B$56=$E20))*ROW(映射装备数值!$A$10:$A$56))),"未匹配")</f>
        <v>483</v>
      </c>
      <c r="I20">
        <f>IFERROR(INDEX(映射装备数值!F:F,SUMPRODUCT((映射装备数值!$C$10:$C$56=IF($F20="Blue","蓝",IF($F20="Purple","紫",IF($F20="Orange","金",IF($F20="Red","红",$F20)))))*((映射装备数值!$A$10:$A$56=$E20)+(映射装备数值!$B$10:$B$56=$E20))*ROW(映射装备数值!$A$10:$A$56))),"未匹配")</f>
        <v>63</v>
      </c>
      <c r="J20" t="str">
        <f>IFERROR(INDEX(映射装备数值!I:I,SUMPRODUCT((映射装备数值!$C$10:$C$56=IF($F20="Blue","蓝",IF($F20="Purple","紫",IF($F20="Orange","金",IF($F20="Red","红",$F20)))))*((映射装备数值!$A$10:$A$56=$E20)+(映射装备数值!$B$10:$B$56=$E20))*ROW(映射装备数值!$A$10:$A$56))),"未匹配")</f>
        <v>攻击</v>
      </c>
      <c r="K20">
        <f>IFERROR(INDEX(映射装备数值!L:L,SUMPRODUCT((映射装备数值!$C$10:$C$56=IF($F20="Blue","蓝",IF($F20="Purple","紫",IF($F20="Orange","金",IF($F20="Red","红",$F20)))))*((映射装备数值!$A$10:$A$56=$E20)+(映射装备数值!$B$10:$B$56=$E20))*ROW(映射装备数值!$A$10:$A$56))),"未匹配")</f>
        <v>483</v>
      </c>
      <c r="L20">
        <f>IFERROR(INDEX(映射装备数值!K:K,SUMPRODUCT((映射装备数值!$C$10:$C$56=IF($F20="Blue","蓝",IF($F20="Purple","紫",IF($F20="Orange","金",IF($F20="Red","红",$F20)))))*((映射装备数值!$A$10:$A$56=$E20)+(映射装备数值!$B$10:$B$56=$E20))*ROW(映射装备数值!$A$10:$A$56))),"未匹配")</f>
        <v>63</v>
      </c>
      <c r="M20" s="93">
        <v>1</v>
      </c>
      <c r="N20" s="93">
        <v>1</v>
      </c>
      <c r="O20" t="str">
        <f t="shared" si="0"/>
        <v>攻击</v>
      </c>
      <c r="P20">
        <f t="shared" si="1"/>
        <v>483</v>
      </c>
      <c r="Q20">
        <f t="shared" si="2"/>
        <v>63</v>
      </c>
      <c r="R20" t="str">
        <f t="shared" si="3"/>
        <v>攻击</v>
      </c>
      <c r="S20">
        <f t="shared" si="4"/>
        <v>483</v>
      </c>
      <c r="T20">
        <f t="shared" si="5"/>
        <v>63</v>
      </c>
      <c r="U20" t="s">
        <v>134</v>
      </c>
      <c r="V20">
        <v>0.04</v>
      </c>
      <c r="W20" s="88">
        <v>80018</v>
      </c>
    </row>
    <row r="21" ht="17.25" customHeight="1" spans="3:23">
      <c r="C21" s="7">
        <v>80019</v>
      </c>
      <c r="D21" s="7" t="s">
        <v>585</v>
      </c>
      <c r="E21" s="95" t="s">
        <v>412</v>
      </c>
      <c r="F21" s="92" t="s">
        <v>564</v>
      </c>
      <c r="G21" t="str">
        <f>IFERROR(INDEX(映射装备数值!D:D,SUMPRODUCT((映射装备数值!$C$10:$C$56=IF($F21="Blue","蓝",IF($F21="Purple","紫",IF($F21="Orange","金",IF($F21="Red","红",$F21)))))*((映射装备数值!$A$10:$A$56=$E21)+(映射装备数值!$B$10:$B$56=$E21))*ROW(映射装备数值!$A$10:$A$56))),"未匹配")</f>
        <v>攻击</v>
      </c>
      <c r="H21">
        <f>IFERROR(INDEX(映射装备数值!G:G,SUMPRODUCT((映射装备数值!$C$10:$C$56=IF($F21="Blue","蓝",IF($F21="Purple","紫",IF($F21="Orange","金",IF($F21="Red","红",$F21)))))*((映射装备数值!$A$10:$A$56=$E21)+(映射装备数值!$B$10:$B$56=$E21))*ROW(映射装备数值!$A$10:$A$56))),"未匹配")</f>
        <v>193.2</v>
      </c>
      <c r="I21">
        <f>IFERROR(INDEX(映射装备数值!F:F,SUMPRODUCT((映射装备数值!$C$10:$C$56=IF($F21="Blue","蓝",IF($F21="Purple","紫",IF($F21="Orange","金",IF($F21="Red","红",$F21)))))*((映射装备数值!$A$10:$A$56=$E21)+(映射装备数值!$B$10:$B$56=$E21))*ROW(映射装备数值!$A$10:$A$56))),"未匹配")</f>
        <v>25.2</v>
      </c>
      <c r="J21" t="str">
        <f>IFERROR(INDEX(映射装备数值!I:I,SUMPRODUCT((映射装备数值!$C$10:$C$56=IF($F21="Blue","蓝",IF($F21="Purple","紫",IF($F21="Orange","金",IF($F21="Red","红",$F21)))))*((映射装备数值!$A$10:$A$56=$E21)+(映射装备数值!$B$10:$B$56=$E21))*ROW(映射装备数值!$A$10:$A$56))),"未匹配")</f>
        <v>暴击等级</v>
      </c>
      <c r="K21">
        <f>IFERROR(INDEX(映射装备数值!L:L,SUMPRODUCT((映射装备数值!$C$10:$C$56=IF($F21="Blue","蓝",IF($F21="Purple","紫",IF($F21="Orange","金",IF($F21="Red","红",$F21)))))*((映射装备数值!$A$10:$A$56=$E21)+(映射装备数值!$B$10:$B$56=$E21))*ROW(映射装备数值!$A$10:$A$56))),"未匹配")</f>
        <v>100.2</v>
      </c>
      <c r="L21">
        <f>IFERROR(INDEX(映射装备数值!K:K,SUMPRODUCT((映射装备数值!$C$10:$C$56=IF($F21="Blue","蓝",IF($F21="Purple","紫",IF($F21="Orange","金",IF($F21="Red","红",$F21)))))*((映射装备数值!$A$10:$A$56=$E21)+(映射装备数值!$B$10:$B$56=$E21))*ROW(映射装备数值!$A$10:$A$56))),"未匹配")</f>
        <v>13.2</v>
      </c>
      <c r="M21" s="93">
        <v>1</v>
      </c>
      <c r="N21" s="93">
        <v>1</v>
      </c>
      <c r="O21" t="str">
        <f t="shared" si="0"/>
        <v>攻击</v>
      </c>
      <c r="P21">
        <f t="shared" si="1"/>
        <v>193</v>
      </c>
      <c r="Q21">
        <f t="shared" si="2"/>
        <v>25</v>
      </c>
      <c r="R21" t="str">
        <f t="shared" si="3"/>
        <v>暴击等级</v>
      </c>
      <c r="S21">
        <f t="shared" si="4"/>
        <v>100</v>
      </c>
      <c r="T21">
        <f t="shared" si="5"/>
        <v>13</v>
      </c>
      <c r="U21" t="s">
        <v>139</v>
      </c>
      <c r="V21">
        <v>0.02</v>
      </c>
      <c r="W21" s="7">
        <v>80019</v>
      </c>
    </row>
    <row r="22" ht="17.25" customHeight="1" spans="3:23">
      <c r="C22" s="7">
        <v>80020</v>
      </c>
      <c r="D22" s="7" t="s">
        <v>586</v>
      </c>
      <c r="E22" s="95" t="s">
        <v>412</v>
      </c>
      <c r="F22" s="92" t="s">
        <v>566</v>
      </c>
      <c r="G22" t="str">
        <f>IFERROR(INDEX(映射装备数值!D:D,SUMPRODUCT((映射装备数值!$C$10:$C$56=IF($F22="Blue","蓝",IF($F22="Purple","紫",IF($F22="Orange","金",IF($F22="Red","红",$F22)))))*((映射装备数值!$A$10:$A$56=$E22)+(映射装备数值!$B$10:$B$56=$E22))*ROW(映射装备数值!$A$10:$A$56))),"未匹配")</f>
        <v>攻击</v>
      </c>
      <c r="H22">
        <f>IFERROR(INDEX(映射装备数值!G:G,SUMPRODUCT((映射装备数值!$C$10:$C$56=IF($F22="Blue","蓝",IF($F22="Purple","紫",IF($F22="Orange","金",IF($F22="Red","红",$F22)))))*((映射装备数值!$A$10:$A$56=$E22)+(映射装备数值!$B$10:$B$56=$E22))*ROW(映射装备数值!$A$10:$A$56))),"未匹配")</f>
        <v>322</v>
      </c>
      <c r="I22">
        <f>IFERROR(INDEX(映射装备数值!F:F,SUMPRODUCT((映射装备数值!$C$10:$C$56=IF($F22="Blue","蓝",IF($F22="Purple","紫",IF($F22="Orange","金",IF($F22="Red","红",$F22)))))*((映射装备数值!$A$10:$A$56=$E22)+(映射装备数值!$B$10:$B$56=$E22))*ROW(映射装备数值!$A$10:$A$56))),"未匹配")</f>
        <v>42</v>
      </c>
      <c r="J22" t="str">
        <f>IFERROR(INDEX(映射装备数值!I:I,SUMPRODUCT((映射装备数值!$C$10:$C$56=IF($F22="Blue","蓝",IF($F22="Purple","紫",IF($F22="Orange","金",IF($F22="Red","红",$F22)))))*((映射装备数值!$A$10:$A$56=$E22)+(映射装备数值!$B$10:$B$56=$E22))*ROW(映射装备数值!$A$10:$A$56))),"未匹配")</f>
        <v>暴击等级</v>
      </c>
      <c r="K22">
        <f>IFERROR(INDEX(映射装备数值!L:L,SUMPRODUCT((映射装备数值!$C$10:$C$56=IF($F22="Blue","蓝",IF($F22="Purple","紫",IF($F22="Orange","金",IF($F22="Red","红",$F22)))))*((映射装备数值!$A$10:$A$56=$E22)+(映射装备数值!$B$10:$B$56=$E22))*ROW(映射装备数值!$A$10:$A$56))),"未匹配")</f>
        <v>167</v>
      </c>
      <c r="L22">
        <f>IFERROR(INDEX(映射装备数值!K:K,SUMPRODUCT((映射装备数值!$C$10:$C$56=IF($F22="Blue","蓝",IF($F22="Purple","紫",IF($F22="Orange","金",IF($F22="Red","红",$F22)))))*((映射装备数值!$A$10:$A$56=$E22)+(映射装备数值!$B$10:$B$56=$E22))*ROW(映射装备数值!$A$10:$A$56))),"未匹配")</f>
        <v>22</v>
      </c>
      <c r="M22" s="93">
        <v>1</v>
      </c>
      <c r="N22" s="93">
        <v>1</v>
      </c>
      <c r="O22" t="str">
        <f t="shared" si="0"/>
        <v>攻击</v>
      </c>
      <c r="P22">
        <f t="shared" si="1"/>
        <v>322</v>
      </c>
      <c r="Q22">
        <f t="shared" si="2"/>
        <v>42</v>
      </c>
      <c r="R22" t="str">
        <f t="shared" si="3"/>
        <v>暴击等级</v>
      </c>
      <c r="S22">
        <f t="shared" si="4"/>
        <v>167</v>
      </c>
      <c r="T22">
        <f t="shared" si="5"/>
        <v>22</v>
      </c>
      <c r="U22" t="s">
        <v>139</v>
      </c>
      <c r="V22">
        <v>0.03</v>
      </c>
      <c r="W22" s="7">
        <v>80020</v>
      </c>
    </row>
    <row r="23" ht="17.25" customHeight="1" spans="3:23">
      <c r="C23" s="7">
        <v>80021</v>
      </c>
      <c r="D23" s="7" t="s">
        <v>587</v>
      </c>
      <c r="E23" s="95" t="s">
        <v>412</v>
      </c>
      <c r="F23" s="92" t="s">
        <v>568</v>
      </c>
      <c r="G23" t="str">
        <f>IFERROR(INDEX(映射装备数值!D:D,SUMPRODUCT((映射装备数值!$C$10:$C$56=IF($F23="Blue","蓝",IF($F23="Purple","紫",IF($F23="Orange","金",IF($F23="Red","红",$F23)))))*((映射装备数值!$A$10:$A$56=$E23)+(映射装备数值!$B$10:$B$56=$E23))*ROW(映射装备数值!$A$10:$A$56))),"未匹配")</f>
        <v>攻击</v>
      </c>
      <c r="H23">
        <f>IFERROR(INDEX(映射装备数值!G:G,SUMPRODUCT((映射装备数值!$C$10:$C$56=IF($F23="Blue","蓝",IF($F23="Purple","紫",IF($F23="Orange","金",IF($F23="Red","红",$F23)))))*((映射装备数值!$A$10:$A$56=$E23)+(映射装备数值!$B$10:$B$56=$E23))*ROW(映射装备数值!$A$10:$A$56))),"未匹配")</f>
        <v>483</v>
      </c>
      <c r="I23">
        <f>IFERROR(INDEX(映射装备数值!F:F,SUMPRODUCT((映射装备数值!$C$10:$C$56=IF($F23="Blue","蓝",IF($F23="Purple","紫",IF($F23="Orange","金",IF($F23="Red","红",$F23)))))*((映射装备数值!$A$10:$A$56=$E23)+(映射装备数值!$B$10:$B$56=$E23))*ROW(映射装备数值!$A$10:$A$56))),"未匹配")</f>
        <v>63</v>
      </c>
      <c r="J23" t="str">
        <f>IFERROR(INDEX(映射装备数值!I:I,SUMPRODUCT((映射装备数值!$C$10:$C$56=IF($F23="Blue","蓝",IF($F23="Purple","紫",IF($F23="Orange","金",IF($F23="Red","红",$F23)))))*((映射装备数值!$A$10:$A$56=$E23)+(映射装备数值!$B$10:$B$56=$E23))*ROW(映射装备数值!$A$10:$A$56))),"未匹配")</f>
        <v>暴击等级</v>
      </c>
      <c r="K23">
        <f>IFERROR(INDEX(映射装备数值!L:L,SUMPRODUCT((映射装备数值!$C$10:$C$56=IF($F23="Blue","蓝",IF($F23="Purple","紫",IF($F23="Orange","金",IF($F23="Red","红",$F23)))))*((映射装备数值!$A$10:$A$56=$E23)+(映射装备数值!$B$10:$B$56=$E23))*ROW(映射装备数值!$A$10:$A$56))),"未匹配")</f>
        <v>250.5</v>
      </c>
      <c r="L23">
        <f>IFERROR(INDEX(映射装备数值!K:K,SUMPRODUCT((映射装备数值!$C$10:$C$56=IF($F23="Blue","蓝",IF($F23="Purple","紫",IF($F23="Orange","金",IF($F23="Red","红",$F23)))))*((映射装备数值!$A$10:$A$56=$E23)+(映射装备数值!$B$10:$B$56=$E23))*ROW(映射装备数值!$A$10:$A$56))),"未匹配")</f>
        <v>33</v>
      </c>
      <c r="M23" s="93">
        <v>1</v>
      </c>
      <c r="N23" s="93">
        <v>1</v>
      </c>
      <c r="O23" t="str">
        <f t="shared" si="0"/>
        <v>攻击</v>
      </c>
      <c r="P23">
        <f t="shared" si="1"/>
        <v>483</v>
      </c>
      <c r="Q23">
        <f t="shared" si="2"/>
        <v>63</v>
      </c>
      <c r="R23" t="str">
        <f t="shared" si="3"/>
        <v>暴击等级</v>
      </c>
      <c r="S23">
        <f t="shared" si="4"/>
        <v>251</v>
      </c>
      <c r="T23">
        <f t="shared" si="5"/>
        <v>33</v>
      </c>
      <c r="U23" t="s">
        <v>139</v>
      </c>
      <c r="V23">
        <v>0.04</v>
      </c>
      <c r="W23" s="7">
        <v>80021</v>
      </c>
    </row>
    <row r="24" ht="17.25" customHeight="1" spans="3:23">
      <c r="C24" s="7">
        <v>80022</v>
      </c>
      <c r="D24" s="7" t="s">
        <v>588</v>
      </c>
      <c r="E24" s="95" t="s">
        <v>412</v>
      </c>
      <c r="F24" s="92" t="s">
        <v>564</v>
      </c>
      <c r="G24" t="str">
        <f>IFERROR(INDEX(映射装备数值!D:D,SUMPRODUCT((映射装备数值!$C$10:$C$56=IF($F24="Blue","蓝",IF($F24="Purple","紫",IF($F24="Orange","金",IF($F24="Red","红",$F24)))))*((映射装备数值!$A$10:$A$56=$E24)+(映射装备数值!$B$10:$B$56=$E24))*ROW(映射装备数值!$A$10:$A$56))),"未匹配")</f>
        <v>攻击</v>
      </c>
      <c r="H24">
        <f>IFERROR(INDEX(映射装备数值!G:G,SUMPRODUCT((映射装备数值!$C$10:$C$56=IF($F24="Blue","蓝",IF($F24="Purple","紫",IF($F24="Orange","金",IF($F24="Red","红",$F24)))))*((映射装备数值!$A$10:$A$56=$E24)+(映射装备数值!$B$10:$B$56=$E24))*ROW(映射装备数值!$A$10:$A$56))),"未匹配")</f>
        <v>193.2</v>
      </c>
      <c r="I24">
        <f>IFERROR(INDEX(映射装备数值!F:F,SUMPRODUCT((映射装备数值!$C$10:$C$56=IF($F24="Blue","蓝",IF($F24="Purple","紫",IF($F24="Orange","金",IF($F24="Red","红",$F24)))))*((映射装备数值!$A$10:$A$56=$E24)+(映射装备数值!$B$10:$B$56=$E24))*ROW(映射装备数值!$A$10:$A$56))),"未匹配")</f>
        <v>25.2</v>
      </c>
      <c r="J24" t="str">
        <f>IFERROR(INDEX(映射装备数值!I:I,SUMPRODUCT((映射装备数值!$C$10:$C$56=IF($F24="Blue","蓝",IF($F24="Purple","紫",IF($F24="Orange","金",IF($F24="Red","红",$F24)))))*((映射装备数值!$A$10:$A$56=$E24)+(映射装备数值!$B$10:$B$56=$E24))*ROW(映射装备数值!$A$10:$A$56))),"未匹配")</f>
        <v>暴击等级</v>
      </c>
      <c r="K24">
        <f>IFERROR(INDEX(映射装备数值!L:L,SUMPRODUCT((映射装备数值!$C$10:$C$56=IF($F24="Blue","蓝",IF($F24="Purple","紫",IF($F24="Orange","金",IF($F24="Red","红",$F24)))))*((映射装备数值!$A$10:$A$56=$E24)+(映射装备数值!$B$10:$B$56=$E24))*ROW(映射装备数值!$A$10:$A$56))),"未匹配")</f>
        <v>100.2</v>
      </c>
      <c r="L24">
        <f>IFERROR(INDEX(映射装备数值!K:K,SUMPRODUCT((映射装备数值!$C$10:$C$56=IF($F24="Blue","蓝",IF($F24="Purple","紫",IF($F24="Orange","金",IF($F24="Red","红",$F24)))))*((映射装备数值!$A$10:$A$56=$E24)+(映射装备数值!$B$10:$B$56=$E24))*ROW(映射装备数值!$A$10:$A$56))),"未匹配")</f>
        <v>13.2</v>
      </c>
      <c r="M24" s="93">
        <v>1.15</v>
      </c>
      <c r="N24" s="93">
        <v>0.85</v>
      </c>
      <c r="O24" t="str">
        <f t="shared" si="0"/>
        <v>攻击</v>
      </c>
      <c r="P24">
        <f t="shared" si="1"/>
        <v>222</v>
      </c>
      <c r="Q24">
        <f t="shared" si="2"/>
        <v>29</v>
      </c>
      <c r="R24" t="str">
        <f t="shared" si="3"/>
        <v>暴击等级</v>
      </c>
      <c r="S24">
        <f t="shared" si="4"/>
        <v>85</v>
      </c>
      <c r="T24">
        <f t="shared" si="5"/>
        <v>11</v>
      </c>
      <c r="U24" t="s">
        <v>589</v>
      </c>
      <c r="V24">
        <v>0.02</v>
      </c>
      <c r="W24" s="7">
        <v>80022</v>
      </c>
    </row>
    <row r="25" ht="17.25" customHeight="1" spans="3:23">
      <c r="C25" s="7">
        <v>80023</v>
      </c>
      <c r="D25" s="7" t="s">
        <v>590</v>
      </c>
      <c r="E25" s="95" t="s">
        <v>412</v>
      </c>
      <c r="F25" s="92" t="s">
        <v>566</v>
      </c>
      <c r="G25" t="str">
        <f>IFERROR(INDEX(映射装备数值!D:D,SUMPRODUCT((映射装备数值!$C$10:$C$56=IF($F25="Blue","蓝",IF($F25="Purple","紫",IF($F25="Orange","金",IF($F25="Red","红",$F25)))))*((映射装备数值!$A$10:$A$56=$E25)+(映射装备数值!$B$10:$B$56=$E25))*ROW(映射装备数值!$A$10:$A$56))),"未匹配")</f>
        <v>攻击</v>
      </c>
      <c r="H25">
        <f>IFERROR(INDEX(映射装备数值!G:G,SUMPRODUCT((映射装备数值!$C$10:$C$56=IF($F25="Blue","蓝",IF($F25="Purple","紫",IF($F25="Orange","金",IF($F25="Red","红",$F25)))))*((映射装备数值!$A$10:$A$56=$E25)+(映射装备数值!$B$10:$B$56=$E25))*ROW(映射装备数值!$A$10:$A$56))),"未匹配")</f>
        <v>322</v>
      </c>
      <c r="I25">
        <f>IFERROR(INDEX(映射装备数值!F:F,SUMPRODUCT((映射装备数值!$C$10:$C$56=IF($F25="Blue","蓝",IF($F25="Purple","紫",IF($F25="Orange","金",IF($F25="Red","红",$F25)))))*((映射装备数值!$A$10:$A$56=$E25)+(映射装备数值!$B$10:$B$56=$E25))*ROW(映射装备数值!$A$10:$A$56))),"未匹配")</f>
        <v>42</v>
      </c>
      <c r="J25" t="str">
        <f>IFERROR(INDEX(映射装备数值!I:I,SUMPRODUCT((映射装备数值!$C$10:$C$56=IF($F25="Blue","蓝",IF($F25="Purple","紫",IF($F25="Orange","金",IF($F25="Red","红",$F25)))))*((映射装备数值!$A$10:$A$56=$E25)+(映射装备数值!$B$10:$B$56=$E25))*ROW(映射装备数值!$A$10:$A$56))),"未匹配")</f>
        <v>暴击等级</v>
      </c>
      <c r="K25">
        <f>IFERROR(INDEX(映射装备数值!L:L,SUMPRODUCT((映射装备数值!$C$10:$C$56=IF($F25="Blue","蓝",IF($F25="Purple","紫",IF($F25="Orange","金",IF($F25="Red","红",$F25)))))*((映射装备数值!$A$10:$A$56=$E25)+(映射装备数值!$B$10:$B$56=$E25))*ROW(映射装备数值!$A$10:$A$56))),"未匹配")</f>
        <v>167</v>
      </c>
      <c r="L25">
        <f>IFERROR(INDEX(映射装备数值!K:K,SUMPRODUCT((映射装备数值!$C$10:$C$56=IF($F25="Blue","蓝",IF($F25="Purple","紫",IF($F25="Orange","金",IF($F25="Red","红",$F25)))))*((映射装备数值!$A$10:$A$56=$E25)+(映射装备数值!$B$10:$B$56=$E25))*ROW(映射装备数值!$A$10:$A$56))),"未匹配")</f>
        <v>22</v>
      </c>
      <c r="M25" s="93">
        <v>1.15</v>
      </c>
      <c r="N25" s="93">
        <v>0.85</v>
      </c>
      <c r="O25" t="str">
        <f t="shared" si="0"/>
        <v>攻击</v>
      </c>
      <c r="P25">
        <f t="shared" si="1"/>
        <v>370</v>
      </c>
      <c r="Q25">
        <f t="shared" si="2"/>
        <v>48</v>
      </c>
      <c r="R25" t="str">
        <f t="shared" si="3"/>
        <v>暴击等级</v>
      </c>
      <c r="S25">
        <f t="shared" si="4"/>
        <v>142</v>
      </c>
      <c r="T25">
        <f t="shared" si="5"/>
        <v>19</v>
      </c>
      <c r="U25" t="s">
        <v>589</v>
      </c>
      <c r="V25">
        <v>0.03</v>
      </c>
      <c r="W25" s="7">
        <v>80023</v>
      </c>
    </row>
    <row r="26" ht="17.25" customHeight="1" spans="3:23">
      <c r="C26" s="7">
        <v>80024</v>
      </c>
      <c r="D26" s="7" t="s">
        <v>591</v>
      </c>
      <c r="E26" s="95" t="s">
        <v>412</v>
      </c>
      <c r="F26" s="92" t="s">
        <v>568</v>
      </c>
      <c r="G26" t="str">
        <f>IFERROR(INDEX(映射装备数值!D:D,SUMPRODUCT((映射装备数值!$C$10:$C$56=IF($F26="Blue","蓝",IF($F26="Purple","紫",IF($F26="Orange","金",IF($F26="Red","红",$F26)))))*((映射装备数值!$A$10:$A$56=$E26)+(映射装备数值!$B$10:$B$56=$E26))*ROW(映射装备数值!$A$10:$A$56))),"未匹配")</f>
        <v>攻击</v>
      </c>
      <c r="H26">
        <f>IFERROR(INDEX(映射装备数值!G:G,SUMPRODUCT((映射装备数值!$C$10:$C$56=IF($F26="Blue","蓝",IF($F26="Purple","紫",IF($F26="Orange","金",IF($F26="Red","红",$F26)))))*((映射装备数值!$A$10:$A$56=$E26)+(映射装备数值!$B$10:$B$56=$E26))*ROW(映射装备数值!$A$10:$A$56))),"未匹配")</f>
        <v>483</v>
      </c>
      <c r="I26">
        <f>IFERROR(INDEX(映射装备数值!F:F,SUMPRODUCT((映射装备数值!$C$10:$C$56=IF($F26="Blue","蓝",IF($F26="Purple","紫",IF($F26="Orange","金",IF($F26="Red","红",$F26)))))*((映射装备数值!$A$10:$A$56=$E26)+(映射装备数值!$B$10:$B$56=$E26))*ROW(映射装备数值!$A$10:$A$56))),"未匹配")</f>
        <v>63</v>
      </c>
      <c r="J26" t="str">
        <f>IFERROR(INDEX(映射装备数值!I:I,SUMPRODUCT((映射装备数值!$C$10:$C$56=IF($F26="Blue","蓝",IF($F26="Purple","紫",IF($F26="Orange","金",IF($F26="Red","红",$F26)))))*((映射装备数值!$A$10:$A$56=$E26)+(映射装备数值!$B$10:$B$56=$E26))*ROW(映射装备数值!$A$10:$A$56))),"未匹配")</f>
        <v>暴击等级</v>
      </c>
      <c r="K26">
        <f>IFERROR(INDEX(映射装备数值!L:L,SUMPRODUCT((映射装备数值!$C$10:$C$56=IF($F26="Blue","蓝",IF($F26="Purple","紫",IF($F26="Orange","金",IF($F26="Red","红",$F26)))))*((映射装备数值!$A$10:$A$56=$E26)+(映射装备数值!$B$10:$B$56=$E26))*ROW(映射装备数值!$A$10:$A$56))),"未匹配")</f>
        <v>250.5</v>
      </c>
      <c r="L26">
        <f>IFERROR(INDEX(映射装备数值!K:K,SUMPRODUCT((映射装备数值!$C$10:$C$56=IF($F26="Blue","蓝",IF($F26="Purple","紫",IF($F26="Orange","金",IF($F26="Red","红",$F26)))))*((映射装备数值!$A$10:$A$56=$E26)+(映射装备数值!$B$10:$B$56=$E26))*ROW(映射装备数值!$A$10:$A$56))),"未匹配")</f>
        <v>33</v>
      </c>
      <c r="M26" s="93">
        <v>1.15</v>
      </c>
      <c r="N26" s="93">
        <v>0.85</v>
      </c>
      <c r="O26" t="str">
        <f t="shared" si="0"/>
        <v>攻击</v>
      </c>
      <c r="P26">
        <f t="shared" si="1"/>
        <v>555</v>
      </c>
      <c r="Q26">
        <f t="shared" si="2"/>
        <v>72</v>
      </c>
      <c r="R26" t="str">
        <f t="shared" si="3"/>
        <v>暴击等级</v>
      </c>
      <c r="S26">
        <f t="shared" si="4"/>
        <v>213</v>
      </c>
      <c r="T26">
        <f t="shared" si="5"/>
        <v>28</v>
      </c>
      <c r="U26" t="s">
        <v>589</v>
      </c>
      <c r="V26">
        <v>0.04</v>
      </c>
      <c r="W26" s="7">
        <v>80024</v>
      </c>
    </row>
    <row r="27" ht="17.25" customHeight="1" spans="3:23">
      <c r="C27" s="7">
        <v>80025</v>
      </c>
      <c r="D27" s="7" t="s">
        <v>592</v>
      </c>
      <c r="E27" s="95" t="s">
        <v>412</v>
      </c>
      <c r="F27" s="92" t="s">
        <v>564</v>
      </c>
      <c r="G27" t="str">
        <f>IFERROR(INDEX(映射装备数值!D:D,SUMPRODUCT((映射装备数值!$C$10:$C$56=IF($F27="Blue","蓝",IF($F27="Purple","紫",IF($F27="Orange","金",IF($F27="Red","红",$F27)))))*((映射装备数值!$A$10:$A$56=$E27)+(映射装备数值!$B$10:$B$56=$E27))*ROW(映射装备数值!$A$10:$A$56))),"未匹配")</f>
        <v>攻击</v>
      </c>
      <c r="H27">
        <f>IFERROR(INDEX(映射装备数值!G:G,SUMPRODUCT((映射装备数值!$C$10:$C$56=IF($F27="Blue","蓝",IF($F27="Purple","紫",IF($F27="Orange","金",IF($F27="Red","红",$F27)))))*((映射装备数值!$A$10:$A$56=$E27)+(映射装备数值!$B$10:$B$56=$E27))*ROW(映射装备数值!$A$10:$A$56))),"未匹配")</f>
        <v>193.2</v>
      </c>
      <c r="I27">
        <f>IFERROR(INDEX(映射装备数值!F:F,SUMPRODUCT((映射装备数值!$C$10:$C$56=IF($F27="Blue","蓝",IF($F27="Purple","紫",IF($F27="Orange","金",IF($F27="Red","红",$F27)))))*((映射装备数值!$A$10:$A$56=$E27)+(映射装备数值!$B$10:$B$56=$E27))*ROW(映射装备数值!$A$10:$A$56))),"未匹配")</f>
        <v>25.2</v>
      </c>
      <c r="J27" t="str">
        <f>IFERROR(INDEX(映射装备数值!I:I,SUMPRODUCT((映射装备数值!$C$10:$C$56=IF($F27="Blue","蓝",IF($F27="Purple","紫",IF($F27="Orange","金",IF($F27="Red","红",$F27)))))*((映射装备数值!$A$10:$A$56=$E27)+(映射装备数值!$B$10:$B$56=$E27))*ROW(映射装备数值!$A$10:$A$56))),"未匹配")</f>
        <v>暴击等级</v>
      </c>
      <c r="K27">
        <f>IFERROR(INDEX(映射装备数值!L:L,SUMPRODUCT((映射装备数值!$C$10:$C$56=IF($F27="Blue","蓝",IF($F27="Purple","紫",IF($F27="Orange","金",IF($F27="Red","红",$F27)))))*((映射装备数值!$A$10:$A$56=$E27)+(映射装备数值!$B$10:$B$56=$E27))*ROW(映射装备数值!$A$10:$A$56))),"未匹配")</f>
        <v>100.2</v>
      </c>
      <c r="L27">
        <f>IFERROR(INDEX(映射装备数值!K:K,SUMPRODUCT((映射装备数值!$C$10:$C$56=IF($F27="Blue","蓝",IF($F27="Purple","紫",IF($F27="Orange","金",IF($F27="Red","红",$F27)))))*((映射装备数值!$A$10:$A$56=$E27)+(映射装备数值!$B$10:$B$56=$E27))*ROW(映射装备数值!$A$10:$A$56))),"未匹配")</f>
        <v>13.2</v>
      </c>
      <c r="M27" s="93">
        <v>0.95</v>
      </c>
      <c r="N27" s="93">
        <v>1.05</v>
      </c>
      <c r="O27" t="str">
        <f t="shared" si="0"/>
        <v>攻击</v>
      </c>
      <c r="P27">
        <f t="shared" si="1"/>
        <v>184</v>
      </c>
      <c r="Q27">
        <f t="shared" si="2"/>
        <v>24</v>
      </c>
      <c r="R27" t="str">
        <f t="shared" si="3"/>
        <v>暴击等级</v>
      </c>
      <c r="S27">
        <f t="shared" si="4"/>
        <v>105</v>
      </c>
      <c r="T27">
        <f t="shared" si="5"/>
        <v>14</v>
      </c>
      <c r="U27" t="s">
        <v>593</v>
      </c>
      <c r="V27">
        <v>0.015</v>
      </c>
      <c r="W27" s="7">
        <v>80025</v>
      </c>
    </row>
    <row r="28" ht="17.25" customHeight="1" spans="3:23">
      <c r="C28" s="7">
        <v>80026</v>
      </c>
      <c r="D28" s="7" t="s">
        <v>594</v>
      </c>
      <c r="E28" s="95" t="s">
        <v>412</v>
      </c>
      <c r="F28" s="92" t="s">
        <v>566</v>
      </c>
      <c r="G28" t="str">
        <f>IFERROR(INDEX(映射装备数值!D:D,SUMPRODUCT((映射装备数值!$C$10:$C$56=IF($F28="Blue","蓝",IF($F28="Purple","紫",IF($F28="Orange","金",IF($F28="Red","红",$F28)))))*((映射装备数值!$A$10:$A$56=$E28)+(映射装备数值!$B$10:$B$56=$E28))*ROW(映射装备数值!$A$10:$A$56))),"未匹配")</f>
        <v>攻击</v>
      </c>
      <c r="H28">
        <f>IFERROR(INDEX(映射装备数值!G:G,SUMPRODUCT((映射装备数值!$C$10:$C$56=IF($F28="Blue","蓝",IF($F28="Purple","紫",IF($F28="Orange","金",IF($F28="Red","红",$F28)))))*((映射装备数值!$A$10:$A$56=$E28)+(映射装备数值!$B$10:$B$56=$E28))*ROW(映射装备数值!$A$10:$A$56))),"未匹配")</f>
        <v>322</v>
      </c>
      <c r="I28">
        <f>IFERROR(INDEX(映射装备数值!F:F,SUMPRODUCT((映射装备数值!$C$10:$C$56=IF($F28="Blue","蓝",IF($F28="Purple","紫",IF($F28="Orange","金",IF($F28="Red","红",$F28)))))*((映射装备数值!$A$10:$A$56=$E28)+(映射装备数值!$B$10:$B$56=$E28))*ROW(映射装备数值!$A$10:$A$56))),"未匹配")</f>
        <v>42</v>
      </c>
      <c r="J28" t="str">
        <f>IFERROR(INDEX(映射装备数值!I:I,SUMPRODUCT((映射装备数值!$C$10:$C$56=IF($F28="Blue","蓝",IF($F28="Purple","紫",IF($F28="Orange","金",IF($F28="Red","红",$F28)))))*((映射装备数值!$A$10:$A$56=$E28)+(映射装备数值!$B$10:$B$56=$E28))*ROW(映射装备数值!$A$10:$A$56))),"未匹配")</f>
        <v>暴击等级</v>
      </c>
      <c r="K28">
        <f>IFERROR(INDEX(映射装备数值!L:L,SUMPRODUCT((映射装备数值!$C$10:$C$56=IF($F28="Blue","蓝",IF($F28="Purple","紫",IF($F28="Orange","金",IF($F28="Red","红",$F28)))))*((映射装备数值!$A$10:$A$56=$E28)+(映射装备数值!$B$10:$B$56=$E28))*ROW(映射装备数值!$A$10:$A$56))),"未匹配")</f>
        <v>167</v>
      </c>
      <c r="L28">
        <f>IFERROR(INDEX(映射装备数值!K:K,SUMPRODUCT((映射装备数值!$C$10:$C$56=IF($F28="Blue","蓝",IF($F28="Purple","紫",IF($F28="Orange","金",IF($F28="Red","红",$F28)))))*((映射装备数值!$A$10:$A$56=$E28)+(映射装备数值!$B$10:$B$56=$E28))*ROW(映射装备数值!$A$10:$A$56))),"未匹配")</f>
        <v>22</v>
      </c>
      <c r="M28" s="93">
        <v>0.95</v>
      </c>
      <c r="N28" s="93">
        <v>1.05</v>
      </c>
      <c r="O28" t="str">
        <f t="shared" si="0"/>
        <v>攻击</v>
      </c>
      <c r="P28">
        <f t="shared" si="1"/>
        <v>306</v>
      </c>
      <c r="Q28">
        <f t="shared" si="2"/>
        <v>40</v>
      </c>
      <c r="R28" t="str">
        <f t="shared" si="3"/>
        <v>暴击等级</v>
      </c>
      <c r="S28">
        <f t="shared" si="4"/>
        <v>175</v>
      </c>
      <c r="T28">
        <f t="shared" si="5"/>
        <v>23</v>
      </c>
      <c r="U28" t="s">
        <v>593</v>
      </c>
      <c r="V28">
        <v>0.025</v>
      </c>
      <c r="W28" s="7">
        <v>80026</v>
      </c>
    </row>
    <row r="29" ht="17.25" customHeight="1" spans="3:23">
      <c r="C29" s="88">
        <v>80027</v>
      </c>
      <c r="D29" s="88" t="s">
        <v>595</v>
      </c>
      <c r="E29" s="95" t="s">
        <v>412</v>
      </c>
      <c r="F29" s="94" t="s">
        <v>568</v>
      </c>
      <c r="G29" t="str">
        <f>IFERROR(INDEX(映射装备数值!D:D,SUMPRODUCT((映射装备数值!$C$10:$C$56=IF($F29="Blue","蓝",IF($F29="Purple","紫",IF($F29="Orange","金",IF($F29="Red","红",$F29)))))*((映射装备数值!$A$10:$A$56=$E29)+(映射装备数值!$B$10:$B$56=$E29))*ROW(映射装备数值!$A$10:$A$56))),"未匹配")</f>
        <v>攻击</v>
      </c>
      <c r="H29">
        <f>IFERROR(INDEX(映射装备数值!G:G,SUMPRODUCT((映射装备数值!$C$10:$C$56=IF($F29="Blue","蓝",IF($F29="Purple","紫",IF($F29="Orange","金",IF($F29="Red","红",$F29)))))*((映射装备数值!$A$10:$A$56=$E29)+(映射装备数值!$B$10:$B$56=$E29))*ROW(映射装备数值!$A$10:$A$56))),"未匹配")</f>
        <v>483</v>
      </c>
      <c r="I29">
        <f>IFERROR(INDEX(映射装备数值!F:F,SUMPRODUCT((映射装备数值!$C$10:$C$56=IF($F29="Blue","蓝",IF($F29="Purple","紫",IF($F29="Orange","金",IF($F29="Red","红",$F29)))))*((映射装备数值!$A$10:$A$56=$E29)+(映射装备数值!$B$10:$B$56=$E29))*ROW(映射装备数值!$A$10:$A$56))),"未匹配")</f>
        <v>63</v>
      </c>
      <c r="J29" t="str">
        <f>IFERROR(INDEX(映射装备数值!I:I,SUMPRODUCT((映射装备数值!$C$10:$C$56=IF($F29="Blue","蓝",IF($F29="Purple","紫",IF($F29="Orange","金",IF($F29="Red","红",$F29)))))*((映射装备数值!$A$10:$A$56=$E29)+(映射装备数值!$B$10:$B$56=$E29))*ROW(映射装备数值!$A$10:$A$56))),"未匹配")</f>
        <v>暴击等级</v>
      </c>
      <c r="K29">
        <f>IFERROR(INDEX(映射装备数值!L:L,SUMPRODUCT((映射装备数值!$C$10:$C$56=IF($F29="Blue","蓝",IF($F29="Purple","紫",IF($F29="Orange","金",IF($F29="Red","红",$F29)))))*((映射装备数值!$A$10:$A$56=$E29)+(映射装备数值!$B$10:$B$56=$E29))*ROW(映射装备数值!$A$10:$A$56))),"未匹配")</f>
        <v>250.5</v>
      </c>
      <c r="L29">
        <f>IFERROR(INDEX(映射装备数值!K:K,SUMPRODUCT((映射装备数值!$C$10:$C$56=IF($F29="Blue","蓝",IF($F29="Purple","紫",IF($F29="Orange","金",IF($F29="Red","红",$F29)))))*((映射装备数值!$A$10:$A$56=$E29)+(映射装备数值!$B$10:$B$56=$E29))*ROW(映射装备数值!$A$10:$A$56))),"未匹配")</f>
        <v>33</v>
      </c>
      <c r="M29" s="93">
        <v>0.95</v>
      </c>
      <c r="N29" s="93">
        <v>1.05</v>
      </c>
      <c r="O29" t="str">
        <f t="shared" si="0"/>
        <v>攻击</v>
      </c>
      <c r="P29">
        <f t="shared" si="1"/>
        <v>459</v>
      </c>
      <c r="Q29">
        <f t="shared" si="2"/>
        <v>60</v>
      </c>
      <c r="R29" t="str">
        <f t="shared" si="3"/>
        <v>暴击等级</v>
      </c>
      <c r="S29">
        <f t="shared" si="4"/>
        <v>263</v>
      </c>
      <c r="T29">
        <f t="shared" si="5"/>
        <v>35</v>
      </c>
      <c r="U29" t="s">
        <v>593</v>
      </c>
      <c r="V29">
        <v>0.035</v>
      </c>
      <c r="W29" s="88">
        <v>80027</v>
      </c>
    </row>
    <row r="30" ht="21" customHeight="1" spans="3:23">
      <c r="C30" s="7">
        <v>80028</v>
      </c>
      <c r="D30" s="7" t="s">
        <v>596</v>
      </c>
      <c r="E30" s="75" t="s">
        <v>413</v>
      </c>
      <c r="F30" s="92" t="s">
        <v>564</v>
      </c>
      <c r="G30" t="str">
        <f>IFERROR(INDEX(映射装备数值!D:D,SUMPRODUCT((映射装备数值!$C$10:$C$56=IF($F30="Blue","蓝",IF($F30="Purple","紫",IF($F30="Orange","金",IF($F30="Red","红",$F30)))))*((映射装备数值!$A$10:$A$56=$E30)+(映射装备数值!$B$10:$B$56=$E30))*ROW(映射装备数值!$A$10:$A$56))),"未匹配")</f>
        <v>生命</v>
      </c>
      <c r="H30">
        <f>IFERROR(INDEX(映射装备数值!G:G,SUMPRODUCT((映射装备数值!$C$10:$C$56=IF($F30="Blue","蓝",IF($F30="Purple","紫",IF($F30="Orange","金",IF($F30="Red","红",$F30)))))*((映射装备数值!$A$10:$A$56=$E30)+(映射装备数值!$B$10:$B$56=$E30))*ROW(映射装备数值!$A$10:$A$56))),"未匹配")</f>
        <v>646.875</v>
      </c>
      <c r="I30">
        <f>IFERROR(INDEX(映射装备数值!F:F,SUMPRODUCT((映射装备数值!$C$10:$C$56=IF($F30="Blue","蓝",IF($F30="Purple","紫",IF($F30="Orange","金",IF($F30="Red","红",$F30)))))*((映射装备数值!$A$10:$A$56=$E30)+(映射装备数值!$B$10:$B$56=$E30))*ROW(映射装备数值!$A$10:$A$56))),"未匹配")</f>
        <v>84.375</v>
      </c>
      <c r="J30" t="str">
        <f>IFERROR(INDEX(映射装备数值!I:I,SUMPRODUCT((映射装备数值!$C$10:$C$56=IF($F30="Blue","蓝",IF($F30="Purple","紫",IF($F30="Orange","金",IF($F30="Red","红",$F30)))))*((映射装备数值!$A$10:$A$56=$E30)+(映射装备数值!$B$10:$B$56=$E30))*ROW(映射装备数值!$A$10:$A$56))),"未匹配")</f>
        <v>攻击加成</v>
      </c>
      <c r="K30">
        <f>IFERROR(INDEX(映射装备数值!L:L,SUMPRODUCT((映射装备数值!$C$10:$C$56=IF($F30="Blue","蓝",IF($F30="Purple","紫",IF($F30="Orange","金",IF($F30="Red","红",$F30)))))*((映射装备数值!$A$10:$A$56=$E30)+(映射装备数值!$B$10:$B$56=$E30))*ROW(映射装备数值!$A$10:$A$56))),"未匹配")</f>
        <v>0.0138</v>
      </c>
      <c r="L30">
        <f>IFERROR(INDEX(映射装备数值!K:K,SUMPRODUCT((映射装备数值!$C$10:$C$56=IF($F30="Blue","蓝",IF($F30="Purple","紫",IF($F30="Orange","金",IF($F30="Red","红",$F30)))))*((映射装备数值!$A$10:$A$56=$E30)+(映射装备数值!$B$10:$B$56=$E30))*ROW(映射装备数值!$A$10:$A$56))),"未匹配")</f>
        <v>0.0018</v>
      </c>
      <c r="M30" s="93">
        <v>1.15</v>
      </c>
      <c r="N30" s="93">
        <v>0.85</v>
      </c>
      <c r="O30" t="str">
        <f t="shared" si="0"/>
        <v>生命</v>
      </c>
      <c r="P30">
        <f t="shared" si="1"/>
        <v>744</v>
      </c>
      <c r="Q30">
        <f t="shared" si="2"/>
        <v>97</v>
      </c>
      <c r="R30" t="str">
        <f t="shared" si="3"/>
        <v>攻击加成</v>
      </c>
      <c r="S30">
        <f t="shared" si="4"/>
        <v>0.012</v>
      </c>
      <c r="T30">
        <f t="shared" si="5"/>
        <v>0.0015</v>
      </c>
      <c r="U30" t="s">
        <v>597</v>
      </c>
      <c r="V30">
        <v>0.015</v>
      </c>
      <c r="W30" s="7">
        <v>80028</v>
      </c>
    </row>
    <row r="31" ht="21" customHeight="1" spans="3:23">
      <c r="C31" s="7">
        <v>80029</v>
      </c>
      <c r="D31" s="7" t="s">
        <v>598</v>
      </c>
      <c r="E31" s="75" t="s">
        <v>413</v>
      </c>
      <c r="F31" s="92" t="s">
        <v>566</v>
      </c>
      <c r="G31" t="str">
        <f>IFERROR(INDEX(映射装备数值!D:D,SUMPRODUCT((映射装备数值!$C$10:$C$56=IF($F31="Blue","蓝",IF($F31="Purple","紫",IF($F31="Orange","金",IF($F31="Red","红",$F31)))))*((映射装备数值!$A$10:$A$56=$E31)+(映射装备数值!$B$10:$B$56=$E31))*ROW(映射装备数值!$A$10:$A$56))),"未匹配")</f>
        <v>生命</v>
      </c>
      <c r="H31">
        <f>IFERROR(INDEX(映射装备数值!G:G,SUMPRODUCT((映射装备数值!$C$10:$C$56=IF($F31="Blue","蓝",IF($F31="Purple","紫",IF($F31="Orange","金",IF($F31="Red","红",$F31)))))*((映射装备数值!$A$10:$A$56=$E31)+(映射装备数值!$B$10:$B$56=$E31))*ROW(映射装备数值!$A$10:$A$56))),"未匹配")</f>
        <v>1078.125</v>
      </c>
      <c r="I31">
        <f>IFERROR(INDEX(映射装备数值!F:F,SUMPRODUCT((映射装备数值!$C$10:$C$56=IF($F31="Blue","蓝",IF($F31="Purple","紫",IF($F31="Orange","金",IF($F31="Red","红",$F31)))))*((映射装备数值!$A$10:$A$56=$E31)+(映射装备数值!$B$10:$B$56=$E31))*ROW(映射装备数值!$A$10:$A$56))),"未匹配")</f>
        <v>140.625</v>
      </c>
      <c r="J31" t="str">
        <f>IFERROR(INDEX(映射装备数值!I:I,SUMPRODUCT((映射装备数值!$C$10:$C$56=IF($F31="Blue","蓝",IF($F31="Purple","紫",IF($F31="Orange","金",IF($F31="Red","红",$F31)))))*((映射装备数值!$A$10:$A$56=$E31)+(映射装备数值!$B$10:$B$56=$E31))*ROW(映射装备数值!$A$10:$A$56))),"未匹配")</f>
        <v>攻击加成</v>
      </c>
      <c r="K31">
        <f>IFERROR(INDEX(映射装备数值!L:L,SUMPRODUCT((映射装备数值!$C$10:$C$56=IF($F31="Blue","蓝",IF($F31="Purple","紫",IF($F31="Orange","金",IF($F31="Red","红",$F31)))))*((映射装备数值!$A$10:$A$56=$E31)+(映射装备数值!$B$10:$B$56=$E31))*ROW(映射装备数值!$A$10:$A$56))),"未匹配")</f>
        <v>0.023</v>
      </c>
      <c r="L31">
        <f>IFERROR(INDEX(映射装备数值!K:K,SUMPRODUCT((映射装备数值!$C$10:$C$56=IF($F31="Blue","蓝",IF($F31="Purple","紫",IF($F31="Orange","金",IF($F31="Red","红",$F31)))))*((映射装备数值!$A$10:$A$56=$E31)+(映射装备数值!$B$10:$B$56=$E31))*ROW(映射装备数值!$A$10:$A$56))),"未匹配")</f>
        <v>0.003</v>
      </c>
      <c r="M31" s="93">
        <v>1.15</v>
      </c>
      <c r="N31" s="93">
        <v>0.85</v>
      </c>
      <c r="O31" t="str">
        <f t="shared" si="0"/>
        <v>生命</v>
      </c>
      <c r="P31">
        <f t="shared" si="1"/>
        <v>1240</v>
      </c>
      <c r="Q31">
        <f t="shared" si="2"/>
        <v>162</v>
      </c>
      <c r="R31" t="str">
        <f t="shared" si="3"/>
        <v>攻击加成</v>
      </c>
      <c r="S31">
        <f t="shared" si="4"/>
        <v>0.02</v>
      </c>
      <c r="T31">
        <f t="shared" si="5"/>
        <v>0.0026</v>
      </c>
      <c r="U31" t="s">
        <v>597</v>
      </c>
      <c r="V31">
        <v>0.025</v>
      </c>
      <c r="W31" s="7">
        <v>80029</v>
      </c>
    </row>
    <row r="32" ht="21" customHeight="1" spans="3:23">
      <c r="C32" s="7">
        <v>80030</v>
      </c>
      <c r="D32" s="7" t="s">
        <v>599</v>
      </c>
      <c r="E32" s="75" t="s">
        <v>413</v>
      </c>
      <c r="F32" s="92" t="s">
        <v>568</v>
      </c>
      <c r="G32" t="str">
        <f>IFERROR(INDEX(映射装备数值!D:D,SUMPRODUCT((映射装备数值!$C$10:$C$56=IF($F32="Blue","蓝",IF($F32="Purple","紫",IF($F32="Orange","金",IF($F32="Red","红",$F32)))))*((映射装备数值!$A$10:$A$56=$E32)+(映射装备数值!$B$10:$B$56=$E32))*ROW(映射装备数值!$A$10:$A$56))),"未匹配")</f>
        <v>生命</v>
      </c>
      <c r="H32">
        <f>IFERROR(INDEX(映射装备数值!G:G,SUMPRODUCT((映射装备数值!$C$10:$C$56=IF($F32="Blue","蓝",IF($F32="Purple","紫",IF($F32="Orange","金",IF($F32="Red","红",$F32)))))*((映射装备数值!$A$10:$A$56=$E32)+(映射装备数值!$B$10:$B$56=$E32))*ROW(映射装备数值!$A$10:$A$56))),"未匹配")</f>
        <v>1617.1875</v>
      </c>
      <c r="I32">
        <f>IFERROR(INDEX(映射装备数值!F:F,SUMPRODUCT((映射装备数值!$C$10:$C$56=IF($F32="Blue","蓝",IF($F32="Purple","紫",IF($F32="Orange","金",IF($F32="Red","红",$F32)))))*((映射装备数值!$A$10:$A$56=$E32)+(映射装备数值!$B$10:$B$56=$E32))*ROW(映射装备数值!$A$10:$A$56))),"未匹配")</f>
        <v>210.9375</v>
      </c>
      <c r="J32" t="str">
        <f>IFERROR(INDEX(映射装备数值!I:I,SUMPRODUCT((映射装备数值!$C$10:$C$56=IF($F32="Blue","蓝",IF($F32="Purple","紫",IF($F32="Orange","金",IF($F32="Red","红",$F32)))))*((映射装备数值!$A$10:$A$56=$E32)+(映射装备数值!$B$10:$B$56=$E32))*ROW(映射装备数值!$A$10:$A$56))),"未匹配")</f>
        <v>攻击加成</v>
      </c>
      <c r="K32">
        <f>IFERROR(INDEX(映射装备数值!L:L,SUMPRODUCT((映射装备数值!$C$10:$C$56=IF($F32="Blue","蓝",IF($F32="Purple","紫",IF($F32="Orange","金",IF($F32="Red","红",$F32)))))*((映射装备数值!$A$10:$A$56=$E32)+(映射装备数值!$B$10:$B$56=$E32))*ROW(映射装备数值!$A$10:$A$56))),"未匹配")</f>
        <v>0.0345</v>
      </c>
      <c r="L32">
        <f>IFERROR(INDEX(映射装备数值!K:K,SUMPRODUCT((映射装备数值!$C$10:$C$56=IF($F32="Blue","蓝",IF($F32="Purple","紫",IF($F32="Orange","金",IF($F32="Red","红",$F32)))))*((映射装备数值!$A$10:$A$56=$E32)+(映射装备数值!$B$10:$B$56=$E32))*ROW(映射装备数值!$A$10:$A$56))),"未匹配")</f>
        <v>0.0045</v>
      </c>
      <c r="M32" s="93">
        <v>1.15</v>
      </c>
      <c r="N32" s="93">
        <v>0.85</v>
      </c>
      <c r="O32" t="str">
        <f t="shared" si="0"/>
        <v>生命</v>
      </c>
      <c r="P32">
        <f t="shared" si="1"/>
        <v>1860</v>
      </c>
      <c r="Q32">
        <f t="shared" si="2"/>
        <v>243</v>
      </c>
      <c r="R32" t="str">
        <f t="shared" si="3"/>
        <v>攻击加成</v>
      </c>
      <c r="S32">
        <f t="shared" si="4"/>
        <v>0.029</v>
      </c>
      <c r="T32">
        <f t="shared" si="5"/>
        <v>0.0038</v>
      </c>
      <c r="U32" t="s">
        <v>597</v>
      </c>
      <c r="V32">
        <v>0.035</v>
      </c>
      <c r="W32" s="7">
        <v>80030</v>
      </c>
    </row>
    <row r="33" ht="21" customHeight="1" spans="3:23">
      <c r="C33" s="7">
        <v>80031</v>
      </c>
      <c r="D33" s="7" t="s">
        <v>600</v>
      </c>
      <c r="E33" s="75" t="s">
        <v>413</v>
      </c>
      <c r="F33" s="92" t="s">
        <v>564</v>
      </c>
      <c r="G33" t="str">
        <f>IFERROR(INDEX(映射装备数值!D:D,SUMPRODUCT((映射装备数值!$C$10:$C$56=IF($F33="Blue","蓝",IF($F33="Purple","紫",IF($F33="Orange","金",IF($F33="Red","红",$F33)))))*((映射装备数值!$A$10:$A$56=$E33)+(映射装备数值!$B$10:$B$56=$E33))*ROW(映射装备数值!$A$10:$A$56))),"未匹配")</f>
        <v>生命</v>
      </c>
      <c r="H33">
        <f>IFERROR(INDEX(映射装备数值!G:G,SUMPRODUCT((映射装备数值!$C$10:$C$56=IF($F33="Blue","蓝",IF($F33="Purple","紫",IF($F33="Orange","金",IF($F33="Red","红",$F33)))))*((映射装备数值!$A$10:$A$56=$E33)+(映射装备数值!$B$10:$B$56=$E33))*ROW(映射装备数值!$A$10:$A$56))),"未匹配")</f>
        <v>646.875</v>
      </c>
      <c r="I33">
        <f>IFERROR(INDEX(映射装备数值!F:F,SUMPRODUCT((映射装备数值!$C$10:$C$56=IF($F33="Blue","蓝",IF($F33="Purple","紫",IF($F33="Orange","金",IF($F33="Red","红",$F33)))))*((映射装备数值!$A$10:$A$56=$E33)+(映射装备数值!$B$10:$B$56=$E33))*ROW(映射装备数值!$A$10:$A$56))),"未匹配")</f>
        <v>84.375</v>
      </c>
      <c r="J33" t="str">
        <f>IFERROR(INDEX(映射装备数值!I:I,SUMPRODUCT((映射装备数值!$C$10:$C$56=IF($F33="Blue","蓝",IF($F33="Purple","紫",IF($F33="Orange","金",IF($F33="Red","红",$F33)))))*((映射装备数值!$A$10:$A$56=$E33)+(映射装备数值!$B$10:$B$56=$E33))*ROW(映射装备数值!$A$10:$A$56))),"未匹配")</f>
        <v>攻击加成</v>
      </c>
      <c r="K33">
        <f>IFERROR(INDEX(映射装备数值!L:L,SUMPRODUCT((映射装备数值!$C$10:$C$56=IF($F33="Blue","蓝",IF($F33="Purple","紫",IF($F33="Orange","金",IF($F33="Red","红",$F33)))))*((映射装备数值!$A$10:$A$56=$E33)+(映射装备数值!$B$10:$B$56=$E33))*ROW(映射装备数值!$A$10:$A$56))),"未匹配")</f>
        <v>0.0138</v>
      </c>
      <c r="L33">
        <f>IFERROR(INDEX(映射装备数值!K:K,SUMPRODUCT((映射装备数值!$C$10:$C$56=IF($F33="Blue","蓝",IF($F33="Purple","紫",IF($F33="Orange","金",IF($F33="Red","红",$F33)))))*((映射装备数值!$A$10:$A$56=$E33)+(映射装备数值!$B$10:$B$56=$E33))*ROW(映射装备数值!$A$10:$A$56))),"未匹配")</f>
        <v>0.0018</v>
      </c>
      <c r="M33" s="93">
        <v>1.1</v>
      </c>
      <c r="N33" s="93">
        <v>0.9</v>
      </c>
      <c r="O33" t="str">
        <f t="shared" si="0"/>
        <v>生命</v>
      </c>
      <c r="P33">
        <f t="shared" si="1"/>
        <v>712</v>
      </c>
      <c r="Q33">
        <f t="shared" si="2"/>
        <v>93</v>
      </c>
      <c r="R33" t="str">
        <f t="shared" si="3"/>
        <v>攻击加成</v>
      </c>
      <c r="S33">
        <f t="shared" si="4"/>
        <v>0.012</v>
      </c>
      <c r="T33">
        <f t="shared" si="5"/>
        <v>0.0016</v>
      </c>
      <c r="U33" t="s">
        <v>601</v>
      </c>
      <c r="V33">
        <v>0.015</v>
      </c>
      <c r="W33" s="7">
        <v>80031</v>
      </c>
    </row>
    <row r="34" ht="21" customHeight="1" spans="3:23">
      <c r="C34" s="7">
        <v>80032</v>
      </c>
      <c r="D34" s="7" t="s">
        <v>602</v>
      </c>
      <c r="E34" s="75" t="s">
        <v>413</v>
      </c>
      <c r="F34" s="92" t="s">
        <v>566</v>
      </c>
      <c r="G34" t="str">
        <f>IFERROR(INDEX(映射装备数值!D:D,SUMPRODUCT((映射装备数值!$C$10:$C$56=IF($F34="Blue","蓝",IF($F34="Purple","紫",IF($F34="Orange","金",IF($F34="Red","红",$F34)))))*((映射装备数值!$A$10:$A$56=$E34)+(映射装备数值!$B$10:$B$56=$E34))*ROW(映射装备数值!$A$10:$A$56))),"未匹配")</f>
        <v>生命</v>
      </c>
      <c r="H34">
        <f>IFERROR(INDEX(映射装备数值!G:G,SUMPRODUCT((映射装备数值!$C$10:$C$56=IF($F34="Blue","蓝",IF($F34="Purple","紫",IF($F34="Orange","金",IF($F34="Red","红",$F34)))))*((映射装备数值!$A$10:$A$56=$E34)+(映射装备数值!$B$10:$B$56=$E34))*ROW(映射装备数值!$A$10:$A$56))),"未匹配")</f>
        <v>1078.125</v>
      </c>
      <c r="I34">
        <f>IFERROR(INDEX(映射装备数值!F:F,SUMPRODUCT((映射装备数值!$C$10:$C$56=IF($F34="Blue","蓝",IF($F34="Purple","紫",IF($F34="Orange","金",IF($F34="Red","红",$F34)))))*((映射装备数值!$A$10:$A$56=$E34)+(映射装备数值!$B$10:$B$56=$E34))*ROW(映射装备数值!$A$10:$A$56))),"未匹配")</f>
        <v>140.625</v>
      </c>
      <c r="J34" t="str">
        <f>IFERROR(INDEX(映射装备数值!I:I,SUMPRODUCT((映射装备数值!$C$10:$C$56=IF($F34="Blue","蓝",IF($F34="Purple","紫",IF($F34="Orange","金",IF($F34="Red","红",$F34)))))*((映射装备数值!$A$10:$A$56=$E34)+(映射装备数值!$B$10:$B$56=$E34))*ROW(映射装备数值!$A$10:$A$56))),"未匹配")</f>
        <v>攻击加成</v>
      </c>
      <c r="K34">
        <f>IFERROR(INDEX(映射装备数值!L:L,SUMPRODUCT((映射装备数值!$C$10:$C$56=IF($F34="Blue","蓝",IF($F34="Purple","紫",IF($F34="Orange","金",IF($F34="Red","红",$F34)))))*((映射装备数值!$A$10:$A$56=$E34)+(映射装备数值!$B$10:$B$56=$E34))*ROW(映射装备数值!$A$10:$A$56))),"未匹配")</f>
        <v>0.023</v>
      </c>
      <c r="L34">
        <f>IFERROR(INDEX(映射装备数值!K:K,SUMPRODUCT((映射装备数值!$C$10:$C$56=IF($F34="Blue","蓝",IF($F34="Purple","紫",IF($F34="Orange","金",IF($F34="Red","红",$F34)))))*((映射装备数值!$A$10:$A$56=$E34)+(映射装备数值!$B$10:$B$56=$E34))*ROW(映射装备数值!$A$10:$A$56))),"未匹配")</f>
        <v>0.003</v>
      </c>
      <c r="M34" s="93">
        <v>1.1</v>
      </c>
      <c r="N34" s="93">
        <v>0.9</v>
      </c>
      <c r="O34" t="str">
        <f t="shared" si="0"/>
        <v>生命</v>
      </c>
      <c r="P34">
        <f t="shared" si="1"/>
        <v>1186</v>
      </c>
      <c r="Q34">
        <f t="shared" si="2"/>
        <v>155</v>
      </c>
      <c r="R34" t="str">
        <f t="shared" si="3"/>
        <v>攻击加成</v>
      </c>
      <c r="S34">
        <f t="shared" si="4"/>
        <v>0.021</v>
      </c>
      <c r="T34">
        <f t="shared" si="5"/>
        <v>0.0027</v>
      </c>
      <c r="U34" t="s">
        <v>601</v>
      </c>
      <c r="V34">
        <v>0.025</v>
      </c>
      <c r="W34" s="7">
        <v>80032</v>
      </c>
    </row>
    <row r="35" ht="21" customHeight="1" spans="3:23">
      <c r="C35" s="7">
        <v>80033</v>
      </c>
      <c r="D35" s="7" t="s">
        <v>603</v>
      </c>
      <c r="E35" s="75" t="s">
        <v>413</v>
      </c>
      <c r="F35" s="92" t="s">
        <v>568</v>
      </c>
      <c r="G35" t="str">
        <f>IFERROR(INDEX(映射装备数值!D:D,SUMPRODUCT((映射装备数值!$C$10:$C$56=IF($F35="Blue","蓝",IF($F35="Purple","紫",IF($F35="Orange","金",IF($F35="Red","红",$F35)))))*((映射装备数值!$A$10:$A$56=$E35)+(映射装备数值!$B$10:$B$56=$E35))*ROW(映射装备数值!$A$10:$A$56))),"未匹配")</f>
        <v>生命</v>
      </c>
      <c r="H35">
        <f>IFERROR(INDEX(映射装备数值!G:G,SUMPRODUCT((映射装备数值!$C$10:$C$56=IF($F35="Blue","蓝",IF($F35="Purple","紫",IF($F35="Orange","金",IF($F35="Red","红",$F35)))))*((映射装备数值!$A$10:$A$56=$E35)+(映射装备数值!$B$10:$B$56=$E35))*ROW(映射装备数值!$A$10:$A$56))),"未匹配")</f>
        <v>1617.1875</v>
      </c>
      <c r="I35">
        <f>IFERROR(INDEX(映射装备数值!F:F,SUMPRODUCT((映射装备数值!$C$10:$C$56=IF($F35="Blue","蓝",IF($F35="Purple","紫",IF($F35="Orange","金",IF($F35="Red","红",$F35)))))*((映射装备数值!$A$10:$A$56=$E35)+(映射装备数值!$B$10:$B$56=$E35))*ROW(映射装备数值!$A$10:$A$56))),"未匹配")</f>
        <v>210.9375</v>
      </c>
      <c r="J35" t="str">
        <f>IFERROR(INDEX(映射装备数值!I:I,SUMPRODUCT((映射装备数值!$C$10:$C$56=IF($F35="Blue","蓝",IF($F35="Purple","紫",IF($F35="Orange","金",IF($F35="Red","红",$F35)))))*((映射装备数值!$A$10:$A$56=$E35)+(映射装备数值!$B$10:$B$56=$E35))*ROW(映射装备数值!$A$10:$A$56))),"未匹配")</f>
        <v>攻击加成</v>
      </c>
      <c r="K35">
        <f>IFERROR(INDEX(映射装备数值!L:L,SUMPRODUCT((映射装备数值!$C$10:$C$56=IF($F35="Blue","蓝",IF($F35="Purple","紫",IF($F35="Orange","金",IF($F35="Red","红",$F35)))))*((映射装备数值!$A$10:$A$56=$E35)+(映射装备数值!$B$10:$B$56=$E35))*ROW(映射装备数值!$A$10:$A$56))),"未匹配")</f>
        <v>0.0345</v>
      </c>
      <c r="L35">
        <f>IFERROR(INDEX(映射装备数值!K:K,SUMPRODUCT((映射装备数值!$C$10:$C$56=IF($F35="Blue","蓝",IF($F35="Purple","紫",IF($F35="Orange","金",IF($F35="Red","红",$F35)))))*((映射装备数值!$A$10:$A$56=$E35)+(映射装备数值!$B$10:$B$56=$E35))*ROW(映射装备数值!$A$10:$A$56))),"未匹配")</f>
        <v>0.0045</v>
      </c>
      <c r="M35" s="93">
        <v>1.1</v>
      </c>
      <c r="N35" s="93">
        <v>0.9</v>
      </c>
      <c r="O35" t="str">
        <f t="shared" si="0"/>
        <v>生命</v>
      </c>
      <c r="P35">
        <f t="shared" si="1"/>
        <v>1779</v>
      </c>
      <c r="Q35">
        <f t="shared" si="2"/>
        <v>232</v>
      </c>
      <c r="R35" t="str">
        <f t="shared" si="3"/>
        <v>攻击加成</v>
      </c>
      <c r="S35">
        <f t="shared" si="4"/>
        <v>0.031</v>
      </c>
      <c r="T35">
        <f t="shared" si="5"/>
        <v>0.0041</v>
      </c>
      <c r="U35" t="s">
        <v>601</v>
      </c>
      <c r="V35">
        <v>0.035</v>
      </c>
      <c r="W35" s="7">
        <v>80033</v>
      </c>
    </row>
    <row r="36" ht="21" customHeight="1" spans="3:23">
      <c r="C36" s="7">
        <v>80034</v>
      </c>
      <c r="D36" s="7" t="s">
        <v>604</v>
      </c>
      <c r="E36" s="75" t="s">
        <v>413</v>
      </c>
      <c r="F36" s="92" t="s">
        <v>564</v>
      </c>
      <c r="G36" t="str">
        <f>IFERROR(INDEX(映射装备数值!D:D,SUMPRODUCT((映射装备数值!$C$10:$C$56=IF($F36="Blue","蓝",IF($F36="Purple","紫",IF($F36="Orange","金",IF($F36="Red","红",$F36)))))*((映射装备数值!$A$10:$A$56=$E36)+(映射装备数值!$B$10:$B$56=$E36))*ROW(映射装备数值!$A$10:$A$56))),"未匹配")</f>
        <v>生命</v>
      </c>
      <c r="H36">
        <f>IFERROR(INDEX(映射装备数值!G:G,SUMPRODUCT((映射装备数值!$C$10:$C$56=IF($F36="Blue","蓝",IF($F36="Purple","紫",IF($F36="Orange","金",IF($F36="Red","红",$F36)))))*((映射装备数值!$A$10:$A$56=$E36)+(映射装备数值!$B$10:$B$56=$E36))*ROW(映射装备数值!$A$10:$A$56))),"未匹配")</f>
        <v>646.875</v>
      </c>
      <c r="I36">
        <f>IFERROR(INDEX(映射装备数值!F:F,SUMPRODUCT((映射装备数值!$C$10:$C$56=IF($F36="Blue","蓝",IF($F36="Purple","紫",IF($F36="Orange","金",IF($F36="Red","红",$F36)))))*((映射装备数值!$A$10:$A$56=$E36)+(映射装备数值!$B$10:$B$56=$E36))*ROW(映射装备数值!$A$10:$A$56))),"未匹配")</f>
        <v>84.375</v>
      </c>
      <c r="J36" t="str">
        <f>IFERROR(INDEX(映射装备数值!I:I,SUMPRODUCT((映射装备数值!$C$10:$C$56=IF($F36="Blue","蓝",IF($F36="Purple","紫",IF($F36="Orange","金",IF($F36="Red","红",$F36)))))*((映射装备数值!$A$10:$A$56=$E36)+(映射装备数值!$B$10:$B$56=$E36))*ROW(映射装备数值!$A$10:$A$56))),"未匹配")</f>
        <v>攻击加成</v>
      </c>
      <c r="K36">
        <f>IFERROR(INDEX(映射装备数值!L:L,SUMPRODUCT((映射装备数值!$C$10:$C$56=IF($F36="Blue","蓝",IF($F36="Purple","紫",IF($F36="Orange","金",IF($F36="Red","红",$F36)))))*((映射装备数值!$A$10:$A$56=$E36)+(映射装备数值!$B$10:$B$56=$E36))*ROW(映射装备数值!$A$10:$A$56))),"未匹配")</f>
        <v>0.0138</v>
      </c>
      <c r="L36">
        <f>IFERROR(INDEX(映射装备数值!K:K,SUMPRODUCT((映射装备数值!$C$10:$C$56=IF($F36="Blue","蓝",IF($F36="Purple","紫",IF($F36="Orange","金",IF($F36="Red","红",$F36)))))*((映射装备数值!$A$10:$A$56=$E36)+(映射装备数值!$B$10:$B$56=$E36))*ROW(映射装备数值!$A$10:$A$56))),"未匹配")</f>
        <v>0.0018</v>
      </c>
      <c r="M36" s="93">
        <v>1.2</v>
      </c>
      <c r="N36" s="93">
        <v>0.8</v>
      </c>
      <c r="O36" t="str">
        <f t="shared" si="0"/>
        <v>生命</v>
      </c>
      <c r="P36">
        <f t="shared" si="1"/>
        <v>776</v>
      </c>
      <c r="Q36">
        <f t="shared" si="2"/>
        <v>101</v>
      </c>
      <c r="R36" t="str">
        <f t="shared" si="3"/>
        <v>攻击加成</v>
      </c>
      <c r="S36">
        <f t="shared" si="4"/>
        <v>0.011</v>
      </c>
      <c r="T36">
        <f t="shared" si="5"/>
        <v>0.0014</v>
      </c>
      <c r="U36" t="s">
        <v>605</v>
      </c>
      <c r="V36">
        <v>0.02</v>
      </c>
      <c r="W36" s="7">
        <v>80034</v>
      </c>
    </row>
    <row r="37" ht="21" customHeight="1" spans="3:23">
      <c r="C37" s="7">
        <v>80035</v>
      </c>
      <c r="D37" s="7" t="s">
        <v>606</v>
      </c>
      <c r="E37" s="75" t="s">
        <v>413</v>
      </c>
      <c r="F37" s="92" t="s">
        <v>566</v>
      </c>
      <c r="G37" t="str">
        <f>IFERROR(INDEX(映射装备数值!D:D,SUMPRODUCT((映射装备数值!$C$10:$C$56=IF($F37="Blue","蓝",IF($F37="Purple","紫",IF($F37="Orange","金",IF($F37="Red","红",$F37)))))*((映射装备数值!$A$10:$A$56=$E37)+(映射装备数值!$B$10:$B$56=$E37))*ROW(映射装备数值!$A$10:$A$56))),"未匹配")</f>
        <v>生命</v>
      </c>
      <c r="H37">
        <f>IFERROR(INDEX(映射装备数值!G:G,SUMPRODUCT((映射装备数值!$C$10:$C$56=IF($F37="Blue","蓝",IF($F37="Purple","紫",IF($F37="Orange","金",IF($F37="Red","红",$F37)))))*((映射装备数值!$A$10:$A$56=$E37)+(映射装备数值!$B$10:$B$56=$E37))*ROW(映射装备数值!$A$10:$A$56))),"未匹配")</f>
        <v>1078.125</v>
      </c>
      <c r="I37">
        <f>IFERROR(INDEX(映射装备数值!F:F,SUMPRODUCT((映射装备数值!$C$10:$C$56=IF($F37="Blue","蓝",IF($F37="Purple","紫",IF($F37="Orange","金",IF($F37="Red","红",$F37)))))*((映射装备数值!$A$10:$A$56=$E37)+(映射装备数值!$B$10:$B$56=$E37))*ROW(映射装备数值!$A$10:$A$56))),"未匹配")</f>
        <v>140.625</v>
      </c>
      <c r="J37" t="str">
        <f>IFERROR(INDEX(映射装备数值!I:I,SUMPRODUCT((映射装备数值!$C$10:$C$56=IF($F37="Blue","蓝",IF($F37="Purple","紫",IF($F37="Orange","金",IF($F37="Red","红",$F37)))))*((映射装备数值!$A$10:$A$56=$E37)+(映射装备数值!$B$10:$B$56=$E37))*ROW(映射装备数值!$A$10:$A$56))),"未匹配")</f>
        <v>攻击加成</v>
      </c>
      <c r="K37">
        <f>IFERROR(INDEX(映射装备数值!L:L,SUMPRODUCT((映射装备数值!$C$10:$C$56=IF($F37="Blue","蓝",IF($F37="Purple","紫",IF($F37="Orange","金",IF($F37="Red","红",$F37)))))*((映射装备数值!$A$10:$A$56=$E37)+(映射装备数值!$B$10:$B$56=$E37))*ROW(映射装备数值!$A$10:$A$56))),"未匹配")</f>
        <v>0.023</v>
      </c>
      <c r="L37">
        <f>IFERROR(INDEX(映射装备数值!K:K,SUMPRODUCT((映射装备数值!$C$10:$C$56=IF($F37="Blue","蓝",IF($F37="Purple","紫",IF($F37="Orange","金",IF($F37="Red","红",$F37)))))*((映射装备数值!$A$10:$A$56=$E37)+(映射装备数值!$B$10:$B$56=$E37))*ROW(映射装备数值!$A$10:$A$56))),"未匹配")</f>
        <v>0.003</v>
      </c>
      <c r="M37" s="93">
        <v>1.2</v>
      </c>
      <c r="N37" s="93">
        <v>0.8</v>
      </c>
      <c r="O37" t="str">
        <f t="shared" si="0"/>
        <v>生命</v>
      </c>
      <c r="P37">
        <f t="shared" si="1"/>
        <v>1294</v>
      </c>
      <c r="Q37">
        <f t="shared" si="2"/>
        <v>169</v>
      </c>
      <c r="R37" t="str">
        <f t="shared" si="3"/>
        <v>攻击加成</v>
      </c>
      <c r="S37">
        <f t="shared" si="4"/>
        <v>0.018</v>
      </c>
      <c r="T37">
        <f t="shared" si="5"/>
        <v>0.0024</v>
      </c>
      <c r="U37" t="s">
        <v>605</v>
      </c>
      <c r="V37">
        <v>0.03</v>
      </c>
      <c r="W37" s="7">
        <v>80035</v>
      </c>
    </row>
    <row r="38" ht="21" customHeight="1" spans="3:23">
      <c r="C38" s="7">
        <v>80036</v>
      </c>
      <c r="D38" s="7" t="s">
        <v>607</v>
      </c>
      <c r="E38" s="75" t="s">
        <v>413</v>
      </c>
      <c r="F38" s="92" t="s">
        <v>568</v>
      </c>
      <c r="G38" t="str">
        <f>IFERROR(INDEX(映射装备数值!D:D,SUMPRODUCT((映射装备数值!$C$10:$C$56=IF($F38="Blue","蓝",IF($F38="Purple","紫",IF($F38="Orange","金",IF($F38="Red","红",$F38)))))*((映射装备数值!$A$10:$A$56=$E38)+(映射装备数值!$B$10:$B$56=$E38))*ROW(映射装备数值!$A$10:$A$56))),"未匹配")</f>
        <v>生命</v>
      </c>
      <c r="H38">
        <f>IFERROR(INDEX(映射装备数值!G:G,SUMPRODUCT((映射装备数值!$C$10:$C$56=IF($F38="Blue","蓝",IF($F38="Purple","紫",IF($F38="Orange","金",IF($F38="Red","红",$F38)))))*((映射装备数值!$A$10:$A$56=$E38)+(映射装备数值!$B$10:$B$56=$E38))*ROW(映射装备数值!$A$10:$A$56))),"未匹配")</f>
        <v>1617.1875</v>
      </c>
      <c r="I38">
        <f>IFERROR(INDEX(映射装备数值!F:F,SUMPRODUCT((映射装备数值!$C$10:$C$56=IF($F38="Blue","蓝",IF($F38="Purple","紫",IF($F38="Orange","金",IF($F38="Red","红",$F38)))))*((映射装备数值!$A$10:$A$56=$E38)+(映射装备数值!$B$10:$B$56=$E38))*ROW(映射装备数值!$A$10:$A$56))),"未匹配")</f>
        <v>210.9375</v>
      </c>
      <c r="J38" t="str">
        <f>IFERROR(INDEX(映射装备数值!I:I,SUMPRODUCT((映射装备数值!$C$10:$C$56=IF($F38="Blue","蓝",IF($F38="Purple","紫",IF($F38="Orange","金",IF($F38="Red","红",$F38)))))*((映射装备数值!$A$10:$A$56=$E38)+(映射装备数值!$B$10:$B$56=$E38))*ROW(映射装备数值!$A$10:$A$56))),"未匹配")</f>
        <v>攻击加成</v>
      </c>
      <c r="K38">
        <f>IFERROR(INDEX(映射装备数值!L:L,SUMPRODUCT((映射装备数值!$C$10:$C$56=IF($F38="Blue","蓝",IF($F38="Purple","紫",IF($F38="Orange","金",IF($F38="Red","红",$F38)))))*((映射装备数值!$A$10:$A$56=$E38)+(映射装备数值!$B$10:$B$56=$E38))*ROW(映射装备数值!$A$10:$A$56))),"未匹配")</f>
        <v>0.0345</v>
      </c>
      <c r="L38">
        <f>IFERROR(INDEX(映射装备数值!K:K,SUMPRODUCT((映射装备数值!$C$10:$C$56=IF($F38="Blue","蓝",IF($F38="Purple","紫",IF($F38="Orange","金",IF($F38="Red","红",$F38)))))*((映射装备数值!$A$10:$A$56=$E38)+(映射装备数值!$B$10:$B$56=$E38))*ROW(映射装备数值!$A$10:$A$56))),"未匹配")</f>
        <v>0.0045</v>
      </c>
      <c r="M38" s="93">
        <v>1.2</v>
      </c>
      <c r="N38" s="93">
        <v>0.8</v>
      </c>
      <c r="O38" t="str">
        <f t="shared" si="0"/>
        <v>生命</v>
      </c>
      <c r="P38">
        <f t="shared" si="1"/>
        <v>1941</v>
      </c>
      <c r="Q38">
        <f t="shared" si="2"/>
        <v>253</v>
      </c>
      <c r="R38" t="str">
        <f t="shared" si="3"/>
        <v>攻击加成</v>
      </c>
      <c r="S38">
        <f t="shared" si="4"/>
        <v>0.028</v>
      </c>
      <c r="T38">
        <f t="shared" si="5"/>
        <v>0.0036</v>
      </c>
      <c r="U38" t="s">
        <v>605</v>
      </c>
      <c r="V38">
        <v>0.04</v>
      </c>
      <c r="W38" s="7">
        <v>80036</v>
      </c>
    </row>
    <row r="39" ht="21" customHeight="1" spans="3:23">
      <c r="C39" s="7">
        <v>80037</v>
      </c>
      <c r="D39" s="7" t="s">
        <v>608</v>
      </c>
      <c r="E39" s="75" t="s">
        <v>413</v>
      </c>
      <c r="F39" s="92" t="s">
        <v>564</v>
      </c>
      <c r="G39" t="str">
        <f>IFERROR(INDEX(映射装备数值!D:D,SUMPRODUCT((映射装备数值!$C$10:$C$56=IF($F39="Blue","蓝",IF($F39="Purple","紫",IF($F39="Orange","金",IF($F39="Red","红",$F39)))))*((映射装备数值!$A$10:$A$56=$E39)+(映射装备数值!$B$10:$B$56=$E39))*ROW(映射装备数值!$A$10:$A$56))),"未匹配")</f>
        <v>生命</v>
      </c>
      <c r="H39">
        <f>IFERROR(INDEX(映射装备数值!G:G,SUMPRODUCT((映射装备数值!$C$10:$C$56=IF($F39="Blue","蓝",IF($F39="Purple","紫",IF($F39="Orange","金",IF($F39="Red","红",$F39)))))*((映射装备数值!$A$10:$A$56=$E39)+(映射装备数值!$B$10:$B$56=$E39))*ROW(映射装备数值!$A$10:$A$56))),"未匹配")</f>
        <v>646.875</v>
      </c>
      <c r="I39">
        <f>IFERROR(INDEX(映射装备数值!F:F,SUMPRODUCT((映射装备数值!$C$10:$C$56=IF($F39="Blue","蓝",IF($F39="Purple","紫",IF($F39="Orange","金",IF($F39="Red","红",$F39)))))*((映射装备数值!$A$10:$A$56=$E39)+(映射装备数值!$B$10:$B$56=$E39))*ROW(映射装备数值!$A$10:$A$56))),"未匹配")</f>
        <v>84.375</v>
      </c>
      <c r="J39" t="str">
        <f>IFERROR(INDEX(映射装备数值!I:I,SUMPRODUCT((映射装备数值!$C$10:$C$56=IF($F39="Blue","蓝",IF($F39="Purple","紫",IF($F39="Orange","金",IF($F39="Red","红",$F39)))))*((映射装备数值!$A$10:$A$56=$E39)+(映射装备数值!$B$10:$B$56=$E39))*ROW(映射装备数值!$A$10:$A$56))),"未匹配")</f>
        <v>攻击加成</v>
      </c>
      <c r="K39">
        <f>IFERROR(INDEX(映射装备数值!L:L,SUMPRODUCT((映射装备数值!$C$10:$C$56=IF($F39="Blue","蓝",IF($F39="Purple","紫",IF($F39="Orange","金",IF($F39="Red","红",$F39)))))*((映射装备数值!$A$10:$A$56=$E39)+(映射装备数值!$B$10:$B$56=$E39))*ROW(映射装备数值!$A$10:$A$56))),"未匹配")</f>
        <v>0.0138</v>
      </c>
      <c r="L39">
        <f>IFERROR(INDEX(映射装备数值!K:K,SUMPRODUCT((映射装备数值!$C$10:$C$56=IF($F39="Blue","蓝",IF($F39="Purple","紫",IF($F39="Orange","金",IF($F39="Red","红",$F39)))))*((映射装备数值!$A$10:$A$56=$E39)+(映射装备数值!$B$10:$B$56=$E39))*ROW(映射装备数值!$A$10:$A$56))),"未匹配")</f>
        <v>0.0018</v>
      </c>
      <c r="M39" s="93">
        <v>1</v>
      </c>
      <c r="N39" s="93">
        <v>1</v>
      </c>
      <c r="O39" t="str">
        <f t="shared" si="0"/>
        <v>生命</v>
      </c>
      <c r="P39">
        <f t="shared" si="1"/>
        <v>647</v>
      </c>
      <c r="Q39">
        <f t="shared" si="2"/>
        <v>84</v>
      </c>
      <c r="R39" t="str">
        <f t="shared" si="3"/>
        <v>攻击加成</v>
      </c>
      <c r="S39">
        <f t="shared" si="4"/>
        <v>0.014</v>
      </c>
      <c r="T39">
        <f t="shared" si="5"/>
        <v>0.0018</v>
      </c>
      <c r="U39" t="s">
        <v>80</v>
      </c>
      <c r="V39">
        <v>0.01</v>
      </c>
      <c r="W39" s="7">
        <v>80037</v>
      </c>
    </row>
    <row r="40" ht="21" customHeight="1" spans="3:23">
      <c r="C40" s="7">
        <v>80038</v>
      </c>
      <c r="D40" s="7" t="s">
        <v>609</v>
      </c>
      <c r="E40" s="75" t="s">
        <v>413</v>
      </c>
      <c r="F40" s="92" t="s">
        <v>566</v>
      </c>
      <c r="G40" t="str">
        <f>IFERROR(INDEX(映射装备数值!D:D,SUMPRODUCT((映射装备数值!$C$10:$C$56=IF($F40="Blue","蓝",IF($F40="Purple","紫",IF($F40="Orange","金",IF($F40="Red","红",$F40)))))*((映射装备数值!$A$10:$A$56=$E40)+(映射装备数值!$B$10:$B$56=$E40))*ROW(映射装备数值!$A$10:$A$56))),"未匹配")</f>
        <v>生命</v>
      </c>
      <c r="H40">
        <f>IFERROR(INDEX(映射装备数值!G:G,SUMPRODUCT((映射装备数值!$C$10:$C$56=IF($F40="Blue","蓝",IF($F40="Purple","紫",IF($F40="Orange","金",IF($F40="Red","红",$F40)))))*((映射装备数值!$A$10:$A$56=$E40)+(映射装备数值!$B$10:$B$56=$E40))*ROW(映射装备数值!$A$10:$A$56))),"未匹配")</f>
        <v>1078.125</v>
      </c>
      <c r="I40">
        <f>IFERROR(INDEX(映射装备数值!F:F,SUMPRODUCT((映射装备数值!$C$10:$C$56=IF($F40="Blue","蓝",IF($F40="Purple","紫",IF($F40="Orange","金",IF($F40="Red","红",$F40)))))*((映射装备数值!$A$10:$A$56=$E40)+(映射装备数值!$B$10:$B$56=$E40))*ROW(映射装备数值!$A$10:$A$56))),"未匹配")</f>
        <v>140.625</v>
      </c>
      <c r="J40" t="str">
        <f>IFERROR(INDEX(映射装备数值!I:I,SUMPRODUCT((映射装备数值!$C$10:$C$56=IF($F40="Blue","蓝",IF($F40="Purple","紫",IF($F40="Orange","金",IF($F40="Red","红",$F40)))))*((映射装备数值!$A$10:$A$56=$E40)+(映射装备数值!$B$10:$B$56=$E40))*ROW(映射装备数值!$A$10:$A$56))),"未匹配")</f>
        <v>攻击加成</v>
      </c>
      <c r="K40">
        <f>IFERROR(INDEX(映射装备数值!L:L,SUMPRODUCT((映射装备数值!$C$10:$C$56=IF($F40="Blue","蓝",IF($F40="Purple","紫",IF($F40="Orange","金",IF($F40="Red","红",$F40)))))*((映射装备数值!$A$10:$A$56=$E40)+(映射装备数值!$B$10:$B$56=$E40))*ROW(映射装备数值!$A$10:$A$56))),"未匹配")</f>
        <v>0.023</v>
      </c>
      <c r="L40">
        <f>IFERROR(INDEX(映射装备数值!K:K,SUMPRODUCT((映射装备数值!$C$10:$C$56=IF($F40="Blue","蓝",IF($F40="Purple","紫",IF($F40="Orange","金",IF($F40="Red","红",$F40)))))*((映射装备数值!$A$10:$A$56=$E40)+(映射装备数值!$B$10:$B$56=$E40))*ROW(映射装备数值!$A$10:$A$56))),"未匹配")</f>
        <v>0.003</v>
      </c>
      <c r="M40" s="93">
        <v>1</v>
      </c>
      <c r="N40" s="93">
        <v>1</v>
      </c>
      <c r="O40" t="str">
        <f t="shared" si="0"/>
        <v>生命</v>
      </c>
      <c r="P40">
        <f t="shared" si="1"/>
        <v>1078</v>
      </c>
      <c r="Q40">
        <f t="shared" si="2"/>
        <v>141</v>
      </c>
      <c r="R40" t="str">
        <f t="shared" si="3"/>
        <v>攻击加成</v>
      </c>
      <c r="S40">
        <f t="shared" si="4"/>
        <v>0.023</v>
      </c>
      <c r="T40">
        <f t="shared" si="5"/>
        <v>0.003</v>
      </c>
      <c r="U40" t="s">
        <v>80</v>
      </c>
      <c r="V40">
        <v>0.015</v>
      </c>
      <c r="W40" s="7">
        <v>80038</v>
      </c>
    </row>
    <row r="41" ht="21" customHeight="1" spans="3:23">
      <c r="C41" s="7">
        <v>80039</v>
      </c>
      <c r="D41" s="7" t="s">
        <v>610</v>
      </c>
      <c r="E41" s="75" t="s">
        <v>413</v>
      </c>
      <c r="F41" s="92" t="s">
        <v>568</v>
      </c>
      <c r="G41" t="str">
        <f>IFERROR(INDEX(映射装备数值!D:D,SUMPRODUCT((映射装备数值!$C$10:$C$56=IF($F41="Blue","蓝",IF($F41="Purple","紫",IF($F41="Orange","金",IF($F41="Red","红",$F41)))))*((映射装备数值!$A$10:$A$56=$E41)+(映射装备数值!$B$10:$B$56=$E41))*ROW(映射装备数值!$A$10:$A$56))),"未匹配")</f>
        <v>生命</v>
      </c>
      <c r="H41">
        <f>IFERROR(INDEX(映射装备数值!G:G,SUMPRODUCT((映射装备数值!$C$10:$C$56=IF($F41="Blue","蓝",IF($F41="Purple","紫",IF($F41="Orange","金",IF($F41="Red","红",$F41)))))*((映射装备数值!$A$10:$A$56=$E41)+(映射装备数值!$B$10:$B$56=$E41))*ROW(映射装备数值!$A$10:$A$56))),"未匹配")</f>
        <v>1617.1875</v>
      </c>
      <c r="I41">
        <f>IFERROR(INDEX(映射装备数值!F:F,SUMPRODUCT((映射装备数值!$C$10:$C$56=IF($F41="Blue","蓝",IF($F41="Purple","紫",IF($F41="Orange","金",IF($F41="Red","红",$F41)))))*((映射装备数值!$A$10:$A$56=$E41)+(映射装备数值!$B$10:$B$56=$E41))*ROW(映射装备数值!$A$10:$A$56))),"未匹配")</f>
        <v>210.9375</v>
      </c>
      <c r="J41" t="str">
        <f>IFERROR(INDEX(映射装备数值!I:I,SUMPRODUCT((映射装备数值!$C$10:$C$56=IF($F41="Blue","蓝",IF($F41="Purple","紫",IF($F41="Orange","金",IF($F41="Red","红",$F41)))))*((映射装备数值!$A$10:$A$56=$E41)+(映射装备数值!$B$10:$B$56=$E41))*ROW(映射装备数值!$A$10:$A$56))),"未匹配")</f>
        <v>攻击加成</v>
      </c>
      <c r="K41">
        <f>IFERROR(INDEX(映射装备数值!L:L,SUMPRODUCT((映射装备数值!$C$10:$C$56=IF($F41="Blue","蓝",IF($F41="Purple","紫",IF($F41="Orange","金",IF($F41="Red","红",$F41)))))*((映射装备数值!$A$10:$A$56=$E41)+(映射装备数值!$B$10:$B$56=$E41))*ROW(映射装备数值!$A$10:$A$56))),"未匹配")</f>
        <v>0.0345</v>
      </c>
      <c r="L41">
        <f>IFERROR(INDEX(映射装备数值!K:K,SUMPRODUCT((映射装备数值!$C$10:$C$56=IF($F41="Blue","蓝",IF($F41="Purple","紫",IF($F41="Orange","金",IF($F41="Red","红",$F41)))))*((映射装备数值!$A$10:$A$56=$E41)+(映射装备数值!$B$10:$B$56=$E41))*ROW(映射装备数值!$A$10:$A$56))),"未匹配")</f>
        <v>0.0045</v>
      </c>
      <c r="M41" s="93">
        <v>1</v>
      </c>
      <c r="N41" s="93">
        <v>1</v>
      </c>
      <c r="O41" t="str">
        <f t="shared" si="0"/>
        <v>生命</v>
      </c>
      <c r="P41">
        <f t="shared" si="1"/>
        <v>1617</v>
      </c>
      <c r="Q41">
        <f t="shared" si="2"/>
        <v>211</v>
      </c>
      <c r="R41" t="str">
        <f t="shared" si="3"/>
        <v>攻击加成</v>
      </c>
      <c r="S41">
        <f t="shared" si="4"/>
        <v>0.035</v>
      </c>
      <c r="T41">
        <f t="shared" si="5"/>
        <v>0.0045</v>
      </c>
      <c r="U41" t="s">
        <v>80</v>
      </c>
      <c r="V41">
        <v>0.02</v>
      </c>
      <c r="W41" s="7">
        <v>80039</v>
      </c>
    </row>
    <row r="42" ht="21" customHeight="1" spans="3:23">
      <c r="C42" s="7">
        <v>80040</v>
      </c>
      <c r="D42" s="7" t="s">
        <v>611</v>
      </c>
      <c r="E42" s="75" t="s">
        <v>413</v>
      </c>
      <c r="F42" s="92" t="s">
        <v>564</v>
      </c>
      <c r="G42" t="str">
        <f>IFERROR(INDEX(映射装备数值!D:D,SUMPRODUCT((映射装备数值!$C$10:$C$56=IF($F42="Blue","蓝",IF($F42="Purple","紫",IF($F42="Orange","金",IF($F42="Red","红",$F42)))))*((映射装备数值!$A$10:$A$56=$E42)+(映射装备数值!$B$10:$B$56=$E42))*ROW(映射装备数值!$A$10:$A$56))),"未匹配")</f>
        <v>生命</v>
      </c>
      <c r="H42">
        <f>IFERROR(INDEX(映射装备数值!G:G,SUMPRODUCT((映射装备数值!$C$10:$C$56=IF($F42="Blue","蓝",IF($F42="Purple","紫",IF($F42="Orange","金",IF($F42="Red","红",$F42)))))*((映射装备数值!$A$10:$A$56=$E42)+(映射装备数值!$B$10:$B$56=$E42))*ROW(映射装备数值!$A$10:$A$56))),"未匹配")</f>
        <v>646.875</v>
      </c>
      <c r="I42">
        <f>IFERROR(INDEX(映射装备数值!F:F,SUMPRODUCT((映射装备数值!$C$10:$C$56=IF($F42="Blue","蓝",IF($F42="Purple","紫",IF($F42="Orange","金",IF($F42="Red","红",$F42)))))*((映射装备数值!$A$10:$A$56=$E42)+(映射装备数值!$B$10:$B$56=$E42))*ROW(映射装备数值!$A$10:$A$56))),"未匹配")</f>
        <v>84.375</v>
      </c>
      <c r="J42" t="str">
        <f>IFERROR(INDEX(映射装备数值!I:I,SUMPRODUCT((映射装备数值!$C$10:$C$56=IF($F42="Blue","蓝",IF($F42="Purple","紫",IF($F42="Orange","金",IF($F42="Red","红",$F42)))))*((映射装备数值!$A$10:$A$56=$E42)+(映射装备数值!$B$10:$B$56=$E42))*ROW(映射装备数值!$A$10:$A$56))),"未匹配")</f>
        <v>攻击加成</v>
      </c>
      <c r="K42">
        <f>IFERROR(INDEX(映射装备数值!L:L,SUMPRODUCT((映射装备数值!$C$10:$C$56=IF($F42="Blue","蓝",IF($F42="Purple","紫",IF($F42="Orange","金",IF($F42="Red","红",$F42)))))*((映射装备数值!$A$10:$A$56=$E42)+(映射装备数值!$B$10:$B$56=$E42))*ROW(映射装备数值!$A$10:$A$56))),"未匹配")</f>
        <v>0.0138</v>
      </c>
      <c r="L42">
        <f>IFERROR(INDEX(映射装备数值!K:K,SUMPRODUCT((映射装备数值!$C$10:$C$56=IF($F42="Blue","蓝",IF($F42="Purple","紫",IF($F42="Orange","金",IF($F42="Red","红",$F42)))))*((映射装备数值!$A$10:$A$56=$E42)+(映射装备数值!$B$10:$B$56=$E42))*ROW(映射装备数值!$A$10:$A$56))),"未匹配")</f>
        <v>0.0018</v>
      </c>
      <c r="M42" s="93">
        <v>0.95</v>
      </c>
      <c r="N42" s="93">
        <v>1.05</v>
      </c>
      <c r="O42" t="str">
        <f t="shared" si="0"/>
        <v>生命</v>
      </c>
      <c r="P42">
        <f t="shared" si="1"/>
        <v>615</v>
      </c>
      <c r="Q42">
        <f t="shared" si="2"/>
        <v>80</v>
      </c>
      <c r="R42" t="str">
        <f t="shared" si="3"/>
        <v>攻击加成</v>
      </c>
      <c r="S42">
        <f t="shared" si="4"/>
        <v>0.014</v>
      </c>
      <c r="T42">
        <f t="shared" si="5"/>
        <v>0.0019</v>
      </c>
      <c r="U42" t="s">
        <v>612</v>
      </c>
      <c r="V42">
        <v>0.015</v>
      </c>
      <c r="W42" s="7">
        <v>80040</v>
      </c>
    </row>
    <row r="43" ht="21" customHeight="1" spans="3:23">
      <c r="C43" s="7">
        <v>80041</v>
      </c>
      <c r="D43" s="7" t="s">
        <v>613</v>
      </c>
      <c r="E43" s="75" t="s">
        <v>413</v>
      </c>
      <c r="F43" s="92" t="s">
        <v>566</v>
      </c>
      <c r="G43" t="str">
        <f>IFERROR(INDEX(映射装备数值!D:D,SUMPRODUCT((映射装备数值!$C$10:$C$56=IF($F43="Blue","蓝",IF($F43="Purple","紫",IF($F43="Orange","金",IF($F43="Red","红",$F43)))))*((映射装备数值!$A$10:$A$56=$E43)+(映射装备数值!$B$10:$B$56=$E43))*ROW(映射装备数值!$A$10:$A$56))),"未匹配")</f>
        <v>生命</v>
      </c>
      <c r="H43">
        <f>IFERROR(INDEX(映射装备数值!G:G,SUMPRODUCT((映射装备数值!$C$10:$C$56=IF($F43="Blue","蓝",IF($F43="Purple","紫",IF($F43="Orange","金",IF($F43="Red","红",$F43)))))*((映射装备数值!$A$10:$A$56=$E43)+(映射装备数值!$B$10:$B$56=$E43))*ROW(映射装备数值!$A$10:$A$56))),"未匹配")</f>
        <v>1078.125</v>
      </c>
      <c r="I43">
        <f>IFERROR(INDEX(映射装备数值!F:F,SUMPRODUCT((映射装备数值!$C$10:$C$56=IF($F43="Blue","蓝",IF($F43="Purple","紫",IF($F43="Orange","金",IF($F43="Red","红",$F43)))))*((映射装备数值!$A$10:$A$56=$E43)+(映射装备数值!$B$10:$B$56=$E43))*ROW(映射装备数值!$A$10:$A$56))),"未匹配")</f>
        <v>140.625</v>
      </c>
      <c r="J43" t="str">
        <f>IFERROR(INDEX(映射装备数值!I:I,SUMPRODUCT((映射装备数值!$C$10:$C$56=IF($F43="Blue","蓝",IF($F43="Purple","紫",IF($F43="Orange","金",IF($F43="Red","红",$F43)))))*((映射装备数值!$A$10:$A$56=$E43)+(映射装备数值!$B$10:$B$56=$E43))*ROW(映射装备数值!$A$10:$A$56))),"未匹配")</f>
        <v>攻击加成</v>
      </c>
      <c r="K43">
        <f>IFERROR(INDEX(映射装备数值!L:L,SUMPRODUCT((映射装备数值!$C$10:$C$56=IF($F43="Blue","蓝",IF($F43="Purple","紫",IF($F43="Orange","金",IF($F43="Red","红",$F43)))))*((映射装备数值!$A$10:$A$56=$E43)+(映射装备数值!$B$10:$B$56=$E43))*ROW(映射装备数值!$A$10:$A$56))),"未匹配")</f>
        <v>0.023</v>
      </c>
      <c r="L43">
        <f>IFERROR(INDEX(映射装备数值!K:K,SUMPRODUCT((映射装备数值!$C$10:$C$56=IF($F43="Blue","蓝",IF($F43="Purple","紫",IF($F43="Orange","金",IF($F43="Red","红",$F43)))))*((映射装备数值!$A$10:$A$56=$E43)+(映射装备数值!$B$10:$B$56=$E43))*ROW(映射装备数值!$A$10:$A$56))),"未匹配")</f>
        <v>0.003</v>
      </c>
      <c r="M43" s="93">
        <v>0.95</v>
      </c>
      <c r="N43" s="93">
        <v>1.05</v>
      </c>
      <c r="O43" t="str">
        <f t="shared" si="0"/>
        <v>生命</v>
      </c>
      <c r="P43">
        <f t="shared" si="1"/>
        <v>1024</v>
      </c>
      <c r="Q43">
        <f t="shared" si="2"/>
        <v>134</v>
      </c>
      <c r="R43" t="str">
        <f t="shared" si="3"/>
        <v>攻击加成</v>
      </c>
      <c r="S43">
        <f t="shared" si="4"/>
        <v>0.024</v>
      </c>
      <c r="T43">
        <f t="shared" si="5"/>
        <v>0.0032</v>
      </c>
      <c r="U43" t="s">
        <v>612</v>
      </c>
      <c r="V43">
        <v>0.025</v>
      </c>
      <c r="W43" s="7">
        <v>80041</v>
      </c>
    </row>
    <row r="44" ht="21" customHeight="1" spans="3:23">
      <c r="C44" s="7">
        <v>80042</v>
      </c>
      <c r="D44" s="7" t="s">
        <v>614</v>
      </c>
      <c r="E44" s="75" t="s">
        <v>413</v>
      </c>
      <c r="F44" s="92" t="s">
        <v>568</v>
      </c>
      <c r="G44" t="str">
        <f>IFERROR(INDEX(映射装备数值!D:D,SUMPRODUCT((映射装备数值!$C$10:$C$56=IF($F44="Blue","蓝",IF($F44="Purple","紫",IF($F44="Orange","金",IF($F44="Red","红",$F44)))))*((映射装备数值!$A$10:$A$56=$E44)+(映射装备数值!$B$10:$B$56=$E44))*ROW(映射装备数值!$A$10:$A$56))),"未匹配")</f>
        <v>生命</v>
      </c>
      <c r="H44">
        <f>IFERROR(INDEX(映射装备数值!G:G,SUMPRODUCT((映射装备数值!$C$10:$C$56=IF($F44="Blue","蓝",IF($F44="Purple","紫",IF($F44="Orange","金",IF($F44="Red","红",$F44)))))*((映射装备数值!$A$10:$A$56=$E44)+(映射装备数值!$B$10:$B$56=$E44))*ROW(映射装备数值!$A$10:$A$56))),"未匹配")</f>
        <v>1617.1875</v>
      </c>
      <c r="I44">
        <f>IFERROR(INDEX(映射装备数值!F:F,SUMPRODUCT((映射装备数值!$C$10:$C$56=IF($F44="Blue","蓝",IF($F44="Purple","紫",IF($F44="Orange","金",IF($F44="Red","红",$F44)))))*((映射装备数值!$A$10:$A$56=$E44)+(映射装备数值!$B$10:$B$56=$E44))*ROW(映射装备数值!$A$10:$A$56))),"未匹配")</f>
        <v>210.9375</v>
      </c>
      <c r="J44" t="str">
        <f>IFERROR(INDEX(映射装备数值!I:I,SUMPRODUCT((映射装备数值!$C$10:$C$56=IF($F44="Blue","蓝",IF($F44="Purple","紫",IF($F44="Orange","金",IF($F44="Red","红",$F44)))))*((映射装备数值!$A$10:$A$56=$E44)+(映射装备数值!$B$10:$B$56=$E44))*ROW(映射装备数值!$A$10:$A$56))),"未匹配")</f>
        <v>攻击加成</v>
      </c>
      <c r="K44">
        <f>IFERROR(INDEX(映射装备数值!L:L,SUMPRODUCT((映射装备数值!$C$10:$C$56=IF($F44="Blue","蓝",IF($F44="Purple","紫",IF($F44="Orange","金",IF($F44="Red","红",$F44)))))*((映射装备数值!$A$10:$A$56=$E44)+(映射装备数值!$B$10:$B$56=$E44))*ROW(映射装备数值!$A$10:$A$56))),"未匹配")</f>
        <v>0.0345</v>
      </c>
      <c r="L44">
        <f>IFERROR(INDEX(映射装备数值!K:K,SUMPRODUCT((映射装备数值!$C$10:$C$56=IF($F44="Blue","蓝",IF($F44="Purple","紫",IF($F44="Orange","金",IF($F44="Red","红",$F44)))))*((映射装备数值!$A$10:$A$56=$E44)+(映射装备数值!$B$10:$B$56=$E44))*ROW(映射装备数值!$A$10:$A$56))),"未匹配")</f>
        <v>0.0045</v>
      </c>
      <c r="M44" s="93">
        <v>0.95</v>
      </c>
      <c r="N44" s="93">
        <v>1.05</v>
      </c>
      <c r="O44" t="str">
        <f t="shared" si="0"/>
        <v>生命</v>
      </c>
      <c r="P44">
        <f t="shared" si="1"/>
        <v>1536</v>
      </c>
      <c r="Q44">
        <f t="shared" si="2"/>
        <v>200</v>
      </c>
      <c r="R44" t="str">
        <f t="shared" si="3"/>
        <v>攻击加成</v>
      </c>
      <c r="S44">
        <f t="shared" si="4"/>
        <v>0.036</v>
      </c>
      <c r="T44">
        <f t="shared" si="5"/>
        <v>0.0047</v>
      </c>
      <c r="U44" t="s">
        <v>612</v>
      </c>
      <c r="V44">
        <v>0.035</v>
      </c>
      <c r="W44" s="7">
        <v>80042</v>
      </c>
    </row>
    <row r="45" ht="21" customHeight="1" spans="3:23">
      <c r="C45" s="7">
        <v>80043</v>
      </c>
      <c r="D45" s="7" t="s">
        <v>615</v>
      </c>
      <c r="E45" s="75" t="s">
        <v>413</v>
      </c>
      <c r="F45" s="92" t="s">
        <v>564</v>
      </c>
      <c r="G45" t="str">
        <f>IFERROR(INDEX(映射装备数值!D:D,SUMPRODUCT((映射装备数值!$C$10:$C$56=IF($F45="Blue","蓝",IF($F45="Purple","紫",IF($F45="Orange","金",IF($F45="Red","红",$F45)))))*((映射装备数值!$A$10:$A$56=$E45)+(映射装备数值!$B$10:$B$56=$E45))*ROW(映射装备数值!$A$10:$A$56))),"未匹配")</f>
        <v>生命</v>
      </c>
      <c r="H45">
        <f>IFERROR(INDEX(映射装备数值!G:G,SUMPRODUCT((映射装备数值!$C$10:$C$56=IF($F45="Blue","蓝",IF($F45="Purple","紫",IF($F45="Orange","金",IF($F45="Red","红",$F45)))))*((映射装备数值!$A$10:$A$56=$E45)+(映射装备数值!$B$10:$B$56=$E45))*ROW(映射装备数值!$A$10:$A$56))),"未匹配")</f>
        <v>646.875</v>
      </c>
      <c r="I45">
        <f>IFERROR(INDEX(映射装备数值!F:F,SUMPRODUCT((映射装备数值!$C$10:$C$56=IF($F45="Blue","蓝",IF($F45="Purple","紫",IF($F45="Orange","金",IF($F45="Red","红",$F45)))))*((映射装备数值!$A$10:$A$56=$E45)+(映射装备数值!$B$10:$B$56=$E45))*ROW(映射装备数值!$A$10:$A$56))),"未匹配")</f>
        <v>84.375</v>
      </c>
      <c r="J45" t="str">
        <f>IFERROR(INDEX(映射装备数值!I:I,SUMPRODUCT((映射装备数值!$C$10:$C$56=IF($F45="Blue","蓝",IF($F45="Purple","紫",IF($F45="Orange","金",IF($F45="Red","红",$F45)))))*((映射装备数值!$A$10:$A$56=$E45)+(映射装备数值!$B$10:$B$56=$E45))*ROW(映射装备数值!$A$10:$A$56))),"未匹配")</f>
        <v>攻击加成</v>
      </c>
      <c r="K45">
        <f>IFERROR(INDEX(映射装备数值!L:L,SUMPRODUCT((映射装备数值!$C$10:$C$56=IF($F45="Blue","蓝",IF($F45="Purple","紫",IF($F45="Orange","金",IF($F45="Red","红",$F45)))))*((映射装备数值!$A$10:$A$56=$E45)+(映射装备数值!$B$10:$B$56=$E45))*ROW(映射装备数值!$A$10:$A$56))),"未匹配")</f>
        <v>0.0138</v>
      </c>
      <c r="L45">
        <f>IFERROR(INDEX(映射装备数值!K:K,SUMPRODUCT((映射装备数值!$C$10:$C$56=IF($F45="Blue","蓝",IF($F45="Purple","紫",IF($F45="Orange","金",IF($F45="Red","红",$F45)))))*((映射装备数值!$A$10:$A$56=$E45)+(映射装备数值!$B$10:$B$56=$E45))*ROW(映射装备数值!$A$10:$A$56))),"未匹配")</f>
        <v>0.0018</v>
      </c>
      <c r="M45" s="93">
        <v>1.05</v>
      </c>
      <c r="N45" s="93">
        <v>0.95</v>
      </c>
      <c r="O45" t="str">
        <f t="shared" si="0"/>
        <v>生命</v>
      </c>
      <c r="P45">
        <f t="shared" si="1"/>
        <v>679</v>
      </c>
      <c r="Q45">
        <f t="shared" si="2"/>
        <v>89</v>
      </c>
      <c r="R45" t="str">
        <f t="shared" si="3"/>
        <v>攻击加成</v>
      </c>
      <c r="S45">
        <f t="shared" si="4"/>
        <v>0.013</v>
      </c>
      <c r="T45">
        <f t="shared" si="5"/>
        <v>0.0017</v>
      </c>
      <c r="U45" t="s">
        <v>139</v>
      </c>
      <c r="V45">
        <v>0.02</v>
      </c>
      <c r="W45" s="7">
        <v>80043</v>
      </c>
    </row>
    <row r="46" ht="21" customHeight="1" spans="3:23">
      <c r="C46" s="7">
        <v>80044</v>
      </c>
      <c r="D46" s="7" t="s">
        <v>616</v>
      </c>
      <c r="E46" s="75" t="s">
        <v>413</v>
      </c>
      <c r="F46" s="92" t="s">
        <v>566</v>
      </c>
      <c r="G46" t="str">
        <f>IFERROR(INDEX(映射装备数值!D:D,SUMPRODUCT((映射装备数值!$C$10:$C$56=IF($F46="Blue","蓝",IF($F46="Purple","紫",IF($F46="Orange","金",IF($F46="Red","红",$F46)))))*((映射装备数值!$A$10:$A$56=$E46)+(映射装备数值!$B$10:$B$56=$E46))*ROW(映射装备数值!$A$10:$A$56))),"未匹配")</f>
        <v>生命</v>
      </c>
      <c r="H46">
        <f>IFERROR(INDEX(映射装备数值!G:G,SUMPRODUCT((映射装备数值!$C$10:$C$56=IF($F46="Blue","蓝",IF($F46="Purple","紫",IF($F46="Orange","金",IF($F46="Red","红",$F46)))))*((映射装备数值!$A$10:$A$56=$E46)+(映射装备数值!$B$10:$B$56=$E46))*ROW(映射装备数值!$A$10:$A$56))),"未匹配")</f>
        <v>1078.125</v>
      </c>
      <c r="I46">
        <f>IFERROR(INDEX(映射装备数值!F:F,SUMPRODUCT((映射装备数值!$C$10:$C$56=IF($F46="Blue","蓝",IF($F46="Purple","紫",IF($F46="Orange","金",IF($F46="Red","红",$F46)))))*((映射装备数值!$A$10:$A$56=$E46)+(映射装备数值!$B$10:$B$56=$E46))*ROW(映射装备数值!$A$10:$A$56))),"未匹配")</f>
        <v>140.625</v>
      </c>
      <c r="J46" t="str">
        <f>IFERROR(INDEX(映射装备数值!I:I,SUMPRODUCT((映射装备数值!$C$10:$C$56=IF($F46="Blue","蓝",IF($F46="Purple","紫",IF($F46="Orange","金",IF($F46="Red","红",$F46)))))*((映射装备数值!$A$10:$A$56=$E46)+(映射装备数值!$B$10:$B$56=$E46))*ROW(映射装备数值!$A$10:$A$56))),"未匹配")</f>
        <v>攻击加成</v>
      </c>
      <c r="K46">
        <f>IFERROR(INDEX(映射装备数值!L:L,SUMPRODUCT((映射装备数值!$C$10:$C$56=IF($F46="Blue","蓝",IF($F46="Purple","紫",IF($F46="Orange","金",IF($F46="Red","红",$F46)))))*((映射装备数值!$A$10:$A$56=$E46)+(映射装备数值!$B$10:$B$56=$E46))*ROW(映射装备数值!$A$10:$A$56))),"未匹配")</f>
        <v>0.023</v>
      </c>
      <c r="L46">
        <f>IFERROR(INDEX(映射装备数值!K:K,SUMPRODUCT((映射装备数值!$C$10:$C$56=IF($F46="Blue","蓝",IF($F46="Purple","紫",IF($F46="Orange","金",IF($F46="Red","红",$F46)))))*((映射装备数值!$A$10:$A$56=$E46)+(映射装备数值!$B$10:$B$56=$E46))*ROW(映射装备数值!$A$10:$A$56))),"未匹配")</f>
        <v>0.003</v>
      </c>
      <c r="M46" s="93">
        <v>1.05</v>
      </c>
      <c r="N46" s="93">
        <v>0.95</v>
      </c>
      <c r="O46" t="str">
        <f t="shared" si="0"/>
        <v>生命</v>
      </c>
      <c r="P46">
        <f t="shared" si="1"/>
        <v>1132</v>
      </c>
      <c r="Q46">
        <f t="shared" si="2"/>
        <v>148</v>
      </c>
      <c r="R46" t="str">
        <f t="shared" si="3"/>
        <v>攻击加成</v>
      </c>
      <c r="S46">
        <f t="shared" si="4"/>
        <v>0.022</v>
      </c>
      <c r="T46">
        <f t="shared" si="5"/>
        <v>0.0029</v>
      </c>
      <c r="U46" t="s">
        <v>139</v>
      </c>
      <c r="V46">
        <v>0.03</v>
      </c>
      <c r="W46" s="7">
        <v>80044</v>
      </c>
    </row>
    <row r="47" ht="21" customHeight="1" spans="3:23">
      <c r="C47" s="88">
        <v>80045</v>
      </c>
      <c r="D47" s="88" t="s">
        <v>617</v>
      </c>
      <c r="E47" s="76" t="s">
        <v>413</v>
      </c>
      <c r="F47" s="92" t="s">
        <v>568</v>
      </c>
      <c r="G47" t="str">
        <f>IFERROR(INDEX(映射装备数值!D:D,SUMPRODUCT((映射装备数值!$C$10:$C$56=IF($F47="Blue","蓝",IF($F47="Purple","紫",IF($F47="Orange","金",IF($F47="Red","红",$F47)))))*((映射装备数值!$A$10:$A$56=$E47)+(映射装备数值!$B$10:$B$56=$E47))*ROW(映射装备数值!$A$10:$A$56))),"未匹配")</f>
        <v>生命</v>
      </c>
      <c r="H47">
        <f>IFERROR(INDEX(映射装备数值!G:G,SUMPRODUCT((映射装备数值!$C$10:$C$56=IF($F47="Blue","蓝",IF($F47="Purple","紫",IF($F47="Orange","金",IF($F47="Red","红",$F47)))))*((映射装备数值!$A$10:$A$56=$E47)+(映射装备数值!$B$10:$B$56=$E47))*ROW(映射装备数值!$A$10:$A$56))),"未匹配")</f>
        <v>1617.1875</v>
      </c>
      <c r="I47">
        <f>IFERROR(INDEX(映射装备数值!F:F,SUMPRODUCT((映射装备数值!$C$10:$C$56=IF($F47="Blue","蓝",IF($F47="Purple","紫",IF($F47="Orange","金",IF($F47="Red","红",$F47)))))*((映射装备数值!$A$10:$A$56=$E47)+(映射装备数值!$B$10:$B$56=$E47))*ROW(映射装备数值!$A$10:$A$56))),"未匹配")</f>
        <v>210.9375</v>
      </c>
      <c r="J47" t="str">
        <f>IFERROR(INDEX(映射装备数值!I:I,SUMPRODUCT((映射装备数值!$C$10:$C$56=IF($F47="Blue","蓝",IF($F47="Purple","紫",IF($F47="Orange","金",IF($F47="Red","红",$F47)))))*((映射装备数值!$A$10:$A$56=$E47)+(映射装备数值!$B$10:$B$56=$E47))*ROW(映射装备数值!$A$10:$A$56))),"未匹配")</f>
        <v>攻击加成</v>
      </c>
      <c r="K47">
        <f>IFERROR(INDEX(映射装备数值!L:L,SUMPRODUCT((映射装备数值!$C$10:$C$56=IF($F47="Blue","蓝",IF($F47="Purple","紫",IF($F47="Orange","金",IF($F47="Red","红",$F47)))))*((映射装备数值!$A$10:$A$56=$E47)+(映射装备数值!$B$10:$B$56=$E47))*ROW(映射装备数值!$A$10:$A$56))),"未匹配")</f>
        <v>0.0345</v>
      </c>
      <c r="L47">
        <f>IFERROR(INDEX(映射装备数值!K:K,SUMPRODUCT((映射装备数值!$C$10:$C$56=IF($F47="Blue","蓝",IF($F47="Purple","紫",IF($F47="Orange","金",IF($F47="Red","红",$F47)))))*((映射装备数值!$A$10:$A$56=$E47)+(映射装备数值!$B$10:$B$56=$E47))*ROW(映射装备数值!$A$10:$A$56))),"未匹配")</f>
        <v>0.0045</v>
      </c>
      <c r="M47" s="93">
        <v>1.05</v>
      </c>
      <c r="N47" s="93">
        <v>0.95</v>
      </c>
      <c r="O47" t="str">
        <f t="shared" si="0"/>
        <v>生命</v>
      </c>
      <c r="P47">
        <f t="shared" si="1"/>
        <v>1698</v>
      </c>
      <c r="Q47">
        <f t="shared" si="2"/>
        <v>221</v>
      </c>
      <c r="R47" t="str">
        <f t="shared" si="3"/>
        <v>攻击加成</v>
      </c>
      <c r="S47">
        <f t="shared" si="4"/>
        <v>0.033</v>
      </c>
      <c r="T47">
        <f t="shared" si="5"/>
        <v>0.0043</v>
      </c>
      <c r="U47" t="s">
        <v>139</v>
      </c>
      <c r="V47">
        <v>0.04</v>
      </c>
      <c r="W47" s="88">
        <v>80045</v>
      </c>
    </row>
    <row r="48" ht="21" customHeight="1" spans="3:23">
      <c r="C48" s="7">
        <v>80046</v>
      </c>
      <c r="D48" s="7" t="s">
        <v>618</v>
      </c>
      <c r="E48" s="75" t="s">
        <v>543</v>
      </c>
      <c r="F48" s="92" t="s">
        <v>564</v>
      </c>
      <c r="G48" t="str">
        <f>IFERROR(INDEX(映射装备数值!D:D,SUMPRODUCT((映射装备数值!$C$10:$C$56=IF($F48="Blue","蓝",IF($F48="Purple","紫",IF($F48="Orange","金",IF($F48="Red","红",$F48)))))*((映射装备数值!$A$10:$A$56=$E48)+(映射装备数值!$B$10:$B$56=$E48))*ROW(映射装备数值!$A$10:$A$56))),"未匹配")</f>
        <v>防御力</v>
      </c>
      <c r="H48">
        <f>IFERROR(INDEX(映射装备数值!G:G,SUMPRODUCT((映射装备数值!$C$10:$C$56=IF($F48="Blue","蓝",IF($F48="Purple","紫",IF($F48="Orange","金",IF($F48="Red","红",$F48)))))*((映射装备数值!$A$10:$A$56=$E48)+(映射装备数值!$B$10:$B$56=$E48))*ROW(映射装备数值!$A$10:$A$56))),"未匹配")</f>
        <v>129.375</v>
      </c>
      <c r="I48">
        <f>IFERROR(INDEX(映射装备数值!F:F,SUMPRODUCT((映射装备数值!$C$10:$C$56=IF($F48="Blue","蓝",IF($F48="Purple","紫",IF($F48="Orange","金",IF($F48="Red","红",$F48)))))*((映射装备数值!$A$10:$A$56=$E48)+(映射装备数值!$B$10:$B$56=$E48))*ROW(映射装备数值!$A$10:$A$56))),"未匹配")</f>
        <v>16.875</v>
      </c>
      <c r="J48" t="str">
        <f>IFERROR(INDEX(映射装备数值!I:I,SUMPRODUCT((映射装备数值!$C$10:$C$56=IF($F48="Blue","蓝",IF($F48="Purple","紫",IF($F48="Orange","金",IF($F48="Red","红",$F48)))))*((映射装备数值!$A$10:$A$56=$E48)+(映射装备数值!$B$10:$B$56=$E48))*ROW(映射装备数值!$A$10:$A$56))),"未匹配")</f>
        <v>防御加成</v>
      </c>
      <c r="K48">
        <f>IFERROR(INDEX(映射装备数值!L:L,SUMPRODUCT((映射装备数值!$C$10:$C$56=IF($F48="Blue","蓝",IF($F48="Purple","紫",IF($F48="Orange","金",IF($F48="Red","红",$F48)))))*((映射装备数值!$A$10:$A$56=$E48)+(映射装备数值!$B$10:$B$56=$E48))*ROW(映射装备数值!$A$10:$A$56))),"未匹配")</f>
        <v>0.0138</v>
      </c>
      <c r="L48">
        <f>IFERROR(INDEX(映射装备数值!K:K,SUMPRODUCT((映射装备数值!$C$10:$C$56=IF($F48="Blue","蓝",IF($F48="Purple","紫",IF($F48="Orange","金",IF($F48="Red","红",$F48)))))*((映射装备数值!$A$10:$A$56=$E48)+(映射装备数值!$B$10:$B$56=$E48))*ROW(映射装备数值!$A$10:$A$56))),"未匹配")</f>
        <v>0.0018</v>
      </c>
      <c r="M48" s="93">
        <v>1.15</v>
      </c>
      <c r="N48" s="93">
        <v>0.85</v>
      </c>
      <c r="O48" t="str">
        <f t="shared" si="0"/>
        <v>防御力</v>
      </c>
      <c r="P48">
        <f t="shared" si="1"/>
        <v>149</v>
      </c>
      <c r="Q48">
        <f t="shared" si="2"/>
        <v>19</v>
      </c>
      <c r="R48" t="str">
        <f t="shared" si="3"/>
        <v>防御加成</v>
      </c>
      <c r="S48">
        <f t="shared" si="4"/>
        <v>0.012</v>
      </c>
      <c r="T48">
        <f t="shared" si="5"/>
        <v>0.0015</v>
      </c>
      <c r="U48" t="s">
        <v>597</v>
      </c>
      <c r="V48">
        <v>0.015</v>
      </c>
      <c r="W48" s="7">
        <v>80046</v>
      </c>
    </row>
    <row r="49" ht="21" customHeight="1" spans="3:23">
      <c r="C49" s="7">
        <v>80047</v>
      </c>
      <c r="D49" s="7" t="s">
        <v>619</v>
      </c>
      <c r="E49" s="75" t="s">
        <v>543</v>
      </c>
      <c r="F49" s="92" t="s">
        <v>566</v>
      </c>
      <c r="G49" t="str">
        <f>IFERROR(INDEX(映射装备数值!D:D,SUMPRODUCT((映射装备数值!$C$10:$C$56=IF($F49="Blue","蓝",IF($F49="Purple","紫",IF($F49="Orange","金",IF($F49="Red","红",$F49)))))*((映射装备数值!$A$10:$A$56=$E49)+(映射装备数值!$B$10:$B$56=$E49))*ROW(映射装备数值!$A$10:$A$56))),"未匹配")</f>
        <v>防御力</v>
      </c>
      <c r="H49">
        <f>IFERROR(INDEX(映射装备数值!G:G,SUMPRODUCT((映射装备数值!$C$10:$C$56=IF($F49="Blue","蓝",IF($F49="Purple","紫",IF($F49="Orange","金",IF($F49="Red","红",$F49)))))*((映射装备数值!$A$10:$A$56=$E49)+(映射装备数值!$B$10:$B$56=$E49))*ROW(映射装备数值!$A$10:$A$56))),"未匹配")</f>
        <v>215.625</v>
      </c>
      <c r="I49">
        <f>IFERROR(INDEX(映射装备数值!F:F,SUMPRODUCT((映射装备数值!$C$10:$C$56=IF($F49="Blue","蓝",IF($F49="Purple","紫",IF($F49="Orange","金",IF($F49="Red","红",$F49)))))*((映射装备数值!$A$10:$A$56=$E49)+(映射装备数值!$B$10:$B$56=$E49))*ROW(映射装备数值!$A$10:$A$56))),"未匹配")</f>
        <v>28.125</v>
      </c>
      <c r="J49" t="str">
        <f>IFERROR(INDEX(映射装备数值!I:I,SUMPRODUCT((映射装备数值!$C$10:$C$56=IF($F49="Blue","蓝",IF($F49="Purple","紫",IF($F49="Orange","金",IF($F49="Red","红",$F49)))))*((映射装备数值!$A$10:$A$56=$E49)+(映射装备数值!$B$10:$B$56=$E49))*ROW(映射装备数值!$A$10:$A$56))),"未匹配")</f>
        <v>防御加成</v>
      </c>
      <c r="K49">
        <f>IFERROR(INDEX(映射装备数值!L:L,SUMPRODUCT((映射装备数值!$C$10:$C$56=IF($F49="Blue","蓝",IF($F49="Purple","紫",IF($F49="Orange","金",IF($F49="Red","红",$F49)))))*((映射装备数值!$A$10:$A$56=$E49)+(映射装备数值!$B$10:$B$56=$E49))*ROW(映射装备数值!$A$10:$A$56))),"未匹配")</f>
        <v>0.023</v>
      </c>
      <c r="L49">
        <f>IFERROR(INDEX(映射装备数值!K:K,SUMPRODUCT((映射装备数值!$C$10:$C$56=IF($F49="Blue","蓝",IF($F49="Purple","紫",IF($F49="Orange","金",IF($F49="Red","红",$F49)))))*((映射装备数值!$A$10:$A$56=$E49)+(映射装备数值!$B$10:$B$56=$E49))*ROW(映射装备数值!$A$10:$A$56))),"未匹配")</f>
        <v>0.003</v>
      </c>
      <c r="M49" s="93">
        <v>1.15</v>
      </c>
      <c r="N49" s="93">
        <v>0.85</v>
      </c>
      <c r="O49" t="str">
        <f t="shared" si="0"/>
        <v>防御力</v>
      </c>
      <c r="P49">
        <f t="shared" si="1"/>
        <v>248</v>
      </c>
      <c r="Q49">
        <f t="shared" si="2"/>
        <v>32</v>
      </c>
      <c r="R49" t="str">
        <f t="shared" si="3"/>
        <v>防御加成</v>
      </c>
      <c r="S49">
        <f t="shared" si="4"/>
        <v>0.02</v>
      </c>
      <c r="T49">
        <f t="shared" si="5"/>
        <v>0.0026</v>
      </c>
      <c r="U49" t="s">
        <v>597</v>
      </c>
      <c r="V49">
        <v>0.025</v>
      </c>
      <c r="W49" s="7">
        <v>80047</v>
      </c>
    </row>
    <row r="50" ht="21" customHeight="1" spans="3:23">
      <c r="C50" s="7">
        <v>80048</v>
      </c>
      <c r="D50" s="7" t="s">
        <v>620</v>
      </c>
      <c r="E50" s="75" t="s">
        <v>543</v>
      </c>
      <c r="F50" s="92" t="s">
        <v>568</v>
      </c>
      <c r="G50" t="str">
        <f>IFERROR(INDEX(映射装备数值!D:D,SUMPRODUCT((映射装备数值!$C$10:$C$56=IF($F50="Blue","蓝",IF($F50="Purple","紫",IF($F50="Orange","金",IF($F50="Red","红",$F50)))))*((映射装备数值!$A$10:$A$56=$E50)+(映射装备数值!$B$10:$B$56=$E50))*ROW(映射装备数值!$A$10:$A$56))),"未匹配")</f>
        <v>防御力</v>
      </c>
      <c r="H50">
        <f>IFERROR(INDEX(映射装备数值!G:G,SUMPRODUCT((映射装备数值!$C$10:$C$56=IF($F50="Blue","蓝",IF($F50="Purple","紫",IF($F50="Orange","金",IF($F50="Red","红",$F50)))))*((映射装备数值!$A$10:$A$56=$E50)+(映射装备数值!$B$10:$B$56=$E50))*ROW(映射装备数值!$A$10:$A$56))),"未匹配")</f>
        <v>323.4375</v>
      </c>
      <c r="I50">
        <f>IFERROR(INDEX(映射装备数值!F:F,SUMPRODUCT((映射装备数值!$C$10:$C$56=IF($F50="Blue","蓝",IF($F50="Purple","紫",IF($F50="Orange","金",IF($F50="Red","红",$F50)))))*((映射装备数值!$A$10:$A$56=$E50)+(映射装备数值!$B$10:$B$56=$E50))*ROW(映射装备数值!$A$10:$A$56))),"未匹配")</f>
        <v>42.1875</v>
      </c>
      <c r="J50" t="str">
        <f>IFERROR(INDEX(映射装备数值!I:I,SUMPRODUCT((映射装备数值!$C$10:$C$56=IF($F50="Blue","蓝",IF($F50="Purple","紫",IF($F50="Orange","金",IF($F50="Red","红",$F50)))))*((映射装备数值!$A$10:$A$56=$E50)+(映射装备数值!$B$10:$B$56=$E50))*ROW(映射装备数值!$A$10:$A$56))),"未匹配")</f>
        <v>防御加成</v>
      </c>
      <c r="K50">
        <f>IFERROR(INDEX(映射装备数值!L:L,SUMPRODUCT((映射装备数值!$C$10:$C$56=IF($F50="Blue","蓝",IF($F50="Purple","紫",IF($F50="Orange","金",IF($F50="Red","红",$F50)))))*((映射装备数值!$A$10:$A$56=$E50)+(映射装备数值!$B$10:$B$56=$E50))*ROW(映射装备数值!$A$10:$A$56))),"未匹配")</f>
        <v>0.0345</v>
      </c>
      <c r="L50">
        <f>IFERROR(INDEX(映射装备数值!K:K,SUMPRODUCT((映射装备数值!$C$10:$C$56=IF($F50="Blue","蓝",IF($F50="Purple","紫",IF($F50="Orange","金",IF($F50="Red","红",$F50)))))*((映射装备数值!$A$10:$A$56=$E50)+(映射装备数值!$B$10:$B$56=$E50))*ROW(映射装备数值!$A$10:$A$56))),"未匹配")</f>
        <v>0.0045</v>
      </c>
      <c r="M50" s="93">
        <v>1.15</v>
      </c>
      <c r="N50" s="93">
        <v>0.85</v>
      </c>
      <c r="O50" t="str">
        <f t="shared" si="0"/>
        <v>防御力</v>
      </c>
      <c r="P50">
        <f t="shared" si="1"/>
        <v>372</v>
      </c>
      <c r="Q50">
        <f t="shared" si="2"/>
        <v>49</v>
      </c>
      <c r="R50" t="str">
        <f t="shared" si="3"/>
        <v>防御加成</v>
      </c>
      <c r="S50">
        <f t="shared" si="4"/>
        <v>0.029</v>
      </c>
      <c r="T50">
        <f t="shared" si="5"/>
        <v>0.0038</v>
      </c>
      <c r="U50" t="s">
        <v>597</v>
      </c>
      <c r="V50">
        <v>0.035</v>
      </c>
      <c r="W50" s="7">
        <v>80048</v>
      </c>
    </row>
    <row r="51" ht="21" customHeight="1" spans="3:23">
      <c r="C51" s="7">
        <v>80049</v>
      </c>
      <c r="D51" s="7" t="s">
        <v>621</v>
      </c>
      <c r="E51" s="75" t="s">
        <v>543</v>
      </c>
      <c r="F51" s="92" t="s">
        <v>564</v>
      </c>
      <c r="G51" t="str">
        <f>IFERROR(INDEX(映射装备数值!D:D,SUMPRODUCT((映射装备数值!$C$10:$C$56=IF($F51="Blue","蓝",IF($F51="Purple","紫",IF($F51="Orange","金",IF($F51="Red","红",$F51)))))*((映射装备数值!$A$10:$A$56=$E51)+(映射装备数值!$B$10:$B$56=$E51))*ROW(映射装备数值!$A$10:$A$56))),"未匹配")</f>
        <v>防御力</v>
      </c>
      <c r="H51">
        <f>IFERROR(INDEX(映射装备数值!G:G,SUMPRODUCT((映射装备数值!$C$10:$C$56=IF($F51="Blue","蓝",IF($F51="Purple","紫",IF($F51="Orange","金",IF($F51="Red","红",$F51)))))*((映射装备数值!$A$10:$A$56=$E51)+(映射装备数值!$B$10:$B$56=$E51))*ROW(映射装备数值!$A$10:$A$56))),"未匹配")</f>
        <v>129.375</v>
      </c>
      <c r="I51">
        <f>IFERROR(INDEX(映射装备数值!F:F,SUMPRODUCT((映射装备数值!$C$10:$C$56=IF($F51="Blue","蓝",IF($F51="Purple","紫",IF($F51="Orange","金",IF($F51="Red","红",$F51)))))*((映射装备数值!$A$10:$A$56=$E51)+(映射装备数值!$B$10:$B$56=$E51))*ROW(映射装备数值!$A$10:$A$56))),"未匹配")</f>
        <v>16.875</v>
      </c>
      <c r="J51" t="str">
        <f>IFERROR(INDEX(映射装备数值!I:I,SUMPRODUCT((映射装备数值!$C$10:$C$56=IF($F51="Blue","蓝",IF($F51="Purple","紫",IF($F51="Orange","金",IF($F51="Red","红",$F51)))))*((映射装备数值!$A$10:$A$56=$E51)+(映射装备数值!$B$10:$B$56=$E51))*ROW(映射装备数值!$A$10:$A$56))),"未匹配")</f>
        <v>防御加成</v>
      </c>
      <c r="K51">
        <f>IFERROR(INDEX(映射装备数值!L:L,SUMPRODUCT((映射装备数值!$C$10:$C$56=IF($F51="Blue","蓝",IF($F51="Purple","紫",IF($F51="Orange","金",IF($F51="Red","红",$F51)))))*((映射装备数值!$A$10:$A$56=$E51)+(映射装备数值!$B$10:$B$56=$E51))*ROW(映射装备数值!$A$10:$A$56))),"未匹配")</f>
        <v>0.0138</v>
      </c>
      <c r="L51">
        <f>IFERROR(INDEX(映射装备数值!K:K,SUMPRODUCT((映射装备数值!$C$10:$C$56=IF($F51="Blue","蓝",IF($F51="Purple","紫",IF($F51="Orange","金",IF($F51="Red","红",$F51)))))*((映射装备数值!$A$10:$A$56=$E51)+(映射装备数值!$B$10:$B$56=$E51))*ROW(映射装备数值!$A$10:$A$56))),"未匹配")</f>
        <v>0.0018</v>
      </c>
      <c r="M51" s="93">
        <v>1.05</v>
      </c>
      <c r="N51" s="93">
        <v>0.95</v>
      </c>
      <c r="O51" t="str">
        <f t="shared" si="0"/>
        <v>防御力</v>
      </c>
      <c r="P51">
        <f t="shared" si="1"/>
        <v>136</v>
      </c>
      <c r="Q51">
        <f t="shared" si="2"/>
        <v>18</v>
      </c>
      <c r="R51" t="str">
        <f t="shared" si="3"/>
        <v>防御加成</v>
      </c>
      <c r="S51">
        <f t="shared" si="4"/>
        <v>0.013</v>
      </c>
      <c r="T51">
        <f t="shared" si="5"/>
        <v>0.0017</v>
      </c>
      <c r="U51" t="s">
        <v>601</v>
      </c>
      <c r="V51">
        <v>0.015</v>
      </c>
      <c r="W51" s="7">
        <v>80049</v>
      </c>
    </row>
    <row r="52" ht="21" customHeight="1" spans="3:23">
      <c r="C52" s="7">
        <v>80050</v>
      </c>
      <c r="D52" s="7" t="s">
        <v>622</v>
      </c>
      <c r="E52" s="75" t="s">
        <v>543</v>
      </c>
      <c r="F52" s="92" t="s">
        <v>566</v>
      </c>
      <c r="G52" t="str">
        <f>IFERROR(INDEX(映射装备数值!D:D,SUMPRODUCT((映射装备数值!$C$10:$C$56=IF($F52="Blue","蓝",IF($F52="Purple","紫",IF($F52="Orange","金",IF($F52="Red","红",$F52)))))*((映射装备数值!$A$10:$A$56=$E52)+(映射装备数值!$B$10:$B$56=$E52))*ROW(映射装备数值!$A$10:$A$56))),"未匹配")</f>
        <v>防御力</v>
      </c>
      <c r="H52">
        <f>IFERROR(INDEX(映射装备数值!G:G,SUMPRODUCT((映射装备数值!$C$10:$C$56=IF($F52="Blue","蓝",IF($F52="Purple","紫",IF($F52="Orange","金",IF($F52="Red","红",$F52)))))*((映射装备数值!$A$10:$A$56=$E52)+(映射装备数值!$B$10:$B$56=$E52))*ROW(映射装备数值!$A$10:$A$56))),"未匹配")</f>
        <v>215.625</v>
      </c>
      <c r="I52">
        <f>IFERROR(INDEX(映射装备数值!F:F,SUMPRODUCT((映射装备数值!$C$10:$C$56=IF($F52="Blue","蓝",IF($F52="Purple","紫",IF($F52="Orange","金",IF($F52="Red","红",$F52)))))*((映射装备数值!$A$10:$A$56=$E52)+(映射装备数值!$B$10:$B$56=$E52))*ROW(映射装备数值!$A$10:$A$56))),"未匹配")</f>
        <v>28.125</v>
      </c>
      <c r="J52" t="str">
        <f>IFERROR(INDEX(映射装备数值!I:I,SUMPRODUCT((映射装备数值!$C$10:$C$56=IF($F52="Blue","蓝",IF($F52="Purple","紫",IF($F52="Orange","金",IF($F52="Red","红",$F52)))))*((映射装备数值!$A$10:$A$56=$E52)+(映射装备数值!$B$10:$B$56=$E52))*ROW(映射装备数值!$A$10:$A$56))),"未匹配")</f>
        <v>防御加成</v>
      </c>
      <c r="K52">
        <f>IFERROR(INDEX(映射装备数值!L:L,SUMPRODUCT((映射装备数值!$C$10:$C$56=IF($F52="Blue","蓝",IF($F52="Purple","紫",IF($F52="Orange","金",IF($F52="Red","红",$F52)))))*((映射装备数值!$A$10:$A$56=$E52)+(映射装备数值!$B$10:$B$56=$E52))*ROW(映射装备数值!$A$10:$A$56))),"未匹配")</f>
        <v>0.023</v>
      </c>
      <c r="L52">
        <f>IFERROR(INDEX(映射装备数值!K:K,SUMPRODUCT((映射装备数值!$C$10:$C$56=IF($F52="Blue","蓝",IF($F52="Purple","紫",IF($F52="Orange","金",IF($F52="Red","红",$F52)))))*((映射装备数值!$A$10:$A$56=$E52)+(映射装备数值!$B$10:$B$56=$E52))*ROW(映射装备数值!$A$10:$A$56))),"未匹配")</f>
        <v>0.003</v>
      </c>
      <c r="M52" s="93">
        <v>1.05</v>
      </c>
      <c r="N52" s="93">
        <v>0.95</v>
      </c>
      <c r="O52" t="str">
        <f t="shared" si="0"/>
        <v>防御力</v>
      </c>
      <c r="P52">
        <f t="shared" si="1"/>
        <v>226</v>
      </c>
      <c r="Q52">
        <f t="shared" si="2"/>
        <v>30</v>
      </c>
      <c r="R52" t="str">
        <f t="shared" si="3"/>
        <v>防御加成</v>
      </c>
      <c r="S52">
        <f t="shared" si="4"/>
        <v>0.022</v>
      </c>
      <c r="T52">
        <f t="shared" si="5"/>
        <v>0.0029</v>
      </c>
      <c r="U52" t="s">
        <v>601</v>
      </c>
      <c r="V52">
        <v>0.025</v>
      </c>
      <c r="W52" s="7">
        <v>80050</v>
      </c>
    </row>
    <row r="53" ht="21" customHeight="1" spans="3:23">
      <c r="C53" s="7">
        <v>80051</v>
      </c>
      <c r="D53" s="7" t="s">
        <v>623</v>
      </c>
      <c r="E53" s="75" t="s">
        <v>543</v>
      </c>
      <c r="F53" s="92" t="s">
        <v>568</v>
      </c>
      <c r="G53" t="str">
        <f>IFERROR(INDEX(映射装备数值!D:D,SUMPRODUCT((映射装备数值!$C$10:$C$56=IF($F53="Blue","蓝",IF($F53="Purple","紫",IF($F53="Orange","金",IF($F53="Red","红",$F53)))))*((映射装备数值!$A$10:$A$56=$E53)+(映射装备数值!$B$10:$B$56=$E53))*ROW(映射装备数值!$A$10:$A$56))),"未匹配")</f>
        <v>防御力</v>
      </c>
      <c r="H53">
        <f>IFERROR(INDEX(映射装备数值!G:G,SUMPRODUCT((映射装备数值!$C$10:$C$56=IF($F53="Blue","蓝",IF($F53="Purple","紫",IF($F53="Orange","金",IF($F53="Red","红",$F53)))))*((映射装备数值!$A$10:$A$56=$E53)+(映射装备数值!$B$10:$B$56=$E53))*ROW(映射装备数值!$A$10:$A$56))),"未匹配")</f>
        <v>323.4375</v>
      </c>
      <c r="I53">
        <f>IFERROR(INDEX(映射装备数值!F:F,SUMPRODUCT((映射装备数值!$C$10:$C$56=IF($F53="Blue","蓝",IF($F53="Purple","紫",IF($F53="Orange","金",IF($F53="Red","红",$F53)))))*((映射装备数值!$A$10:$A$56=$E53)+(映射装备数值!$B$10:$B$56=$E53))*ROW(映射装备数值!$A$10:$A$56))),"未匹配")</f>
        <v>42.1875</v>
      </c>
      <c r="J53" t="str">
        <f>IFERROR(INDEX(映射装备数值!I:I,SUMPRODUCT((映射装备数值!$C$10:$C$56=IF($F53="Blue","蓝",IF($F53="Purple","紫",IF($F53="Orange","金",IF($F53="Red","红",$F53)))))*((映射装备数值!$A$10:$A$56=$E53)+(映射装备数值!$B$10:$B$56=$E53))*ROW(映射装备数值!$A$10:$A$56))),"未匹配")</f>
        <v>防御加成</v>
      </c>
      <c r="K53">
        <f>IFERROR(INDEX(映射装备数值!L:L,SUMPRODUCT((映射装备数值!$C$10:$C$56=IF($F53="Blue","蓝",IF($F53="Purple","紫",IF($F53="Orange","金",IF($F53="Red","红",$F53)))))*((映射装备数值!$A$10:$A$56=$E53)+(映射装备数值!$B$10:$B$56=$E53))*ROW(映射装备数值!$A$10:$A$56))),"未匹配")</f>
        <v>0.0345</v>
      </c>
      <c r="L53">
        <f>IFERROR(INDEX(映射装备数值!K:K,SUMPRODUCT((映射装备数值!$C$10:$C$56=IF($F53="Blue","蓝",IF($F53="Purple","紫",IF($F53="Orange","金",IF($F53="Red","红",$F53)))))*((映射装备数值!$A$10:$A$56=$E53)+(映射装备数值!$B$10:$B$56=$E53))*ROW(映射装备数值!$A$10:$A$56))),"未匹配")</f>
        <v>0.0045</v>
      </c>
      <c r="M53" s="93">
        <v>1.05</v>
      </c>
      <c r="N53" s="93">
        <v>0.95</v>
      </c>
      <c r="O53" t="str">
        <f t="shared" si="0"/>
        <v>防御力</v>
      </c>
      <c r="P53">
        <f t="shared" si="1"/>
        <v>340</v>
      </c>
      <c r="Q53">
        <f t="shared" si="2"/>
        <v>44</v>
      </c>
      <c r="R53" t="str">
        <f t="shared" si="3"/>
        <v>防御加成</v>
      </c>
      <c r="S53">
        <f t="shared" si="4"/>
        <v>0.033</v>
      </c>
      <c r="T53">
        <f t="shared" si="5"/>
        <v>0.0043</v>
      </c>
      <c r="U53" t="s">
        <v>601</v>
      </c>
      <c r="V53">
        <v>0.035</v>
      </c>
      <c r="W53" s="7">
        <v>80051</v>
      </c>
    </row>
    <row r="54" ht="21" customHeight="1" spans="3:23">
      <c r="C54" s="7">
        <v>80052</v>
      </c>
      <c r="D54" s="7" t="s">
        <v>624</v>
      </c>
      <c r="E54" s="75" t="s">
        <v>543</v>
      </c>
      <c r="F54" s="92" t="s">
        <v>564</v>
      </c>
      <c r="G54" t="str">
        <f>IFERROR(INDEX(映射装备数值!D:D,SUMPRODUCT((映射装备数值!$C$10:$C$56=IF($F54="Blue","蓝",IF($F54="Purple","紫",IF($F54="Orange","金",IF($F54="Red","红",$F54)))))*((映射装备数值!$A$10:$A$56=$E54)+(映射装备数值!$B$10:$B$56=$E54))*ROW(映射装备数值!$A$10:$A$56))),"未匹配")</f>
        <v>防御力</v>
      </c>
      <c r="H54">
        <f>IFERROR(INDEX(映射装备数值!G:G,SUMPRODUCT((映射装备数值!$C$10:$C$56=IF($F54="Blue","蓝",IF($F54="Purple","紫",IF($F54="Orange","金",IF($F54="Red","红",$F54)))))*((映射装备数值!$A$10:$A$56=$E54)+(映射装备数值!$B$10:$B$56=$E54))*ROW(映射装备数值!$A$10:$A$56))),"未匹配")</f>
        <v>129.375</v>
      </c>
      <c r="I54">
        <f>IFERROR(INDEX(映射装备数值!F:F,SUMPRODUCT((映射装备数值!$C$10:$C$56=IF($F54="Blue","蓝",IF($F54="Purple","紫",IF($F54="Orange","金",IF($F54="Red","红",$F54)))))*((映射装备数值!$A$10:$A$56=$E54)+(映射装备数值!$B$10:$B$56=$E54))*ROW(映射装备数值!$A$10:$A$56))),"未匹配")</f>
        <v>16.875</v>
      </c>
      <c r="J54" t="str">
        <f>IFERROR(INDEX(映射装备数值!I:I,SUMPRODUCT((映射装备数值!$C$10:$C$56=IF($F54="Blue","蓝",IF($F54="Purple","紫",IF($F54="Orange","金",IF($F54="Red","红",$F54)))))*((映射装备数值!$A$10:$A$56=$E54)+(映射装备数值!$B$10:$B$56=$E54))*ROW(映射装备数值!$A$10:$A$56))),"未匹配")</f>
        <v>防御加成</v>
      </c>
      <c r="K54">
        <f>IFERROR(INDEX(映射装备数值!L:L,SUMPRODUCT((映射装备数值!$C$10:$C$56=IF($F54="Blue","蓝",IF($F54="Purple","紫",IF($F54="Orange","金",IF($F54="Red","红",$F54)))))*((映射装备数值!$A$10:$A$56=$E54)+(映射装备数值!$B$10:$B$56=$E54))*ROW(映射装备数值!$A$10:$A$56))),"未匹配")</f>
        <v>0.0138</v>
      </c>
      <c r="L54">
        <f>IFERROR(INDEX(映射装备数值!K:K,SUMPRODUCT((映射装备数值!$C$10:$C$56=IF($F54="Blue","蓝",IF($F54="Purple","紫",IF($F54="Orange","金",IF($F54="Red","红",$F54)))))*((映射装备数值!$A$10:$A$56=$E54)+(映射装备数值!$B$10:$B$56=$E54))*ROW(映射装备数值!$A$10:$A$56))),"未匹配")</f>
        <v>0.0018</v>
      </c>
      <c r="M54" s="93">
        <v>1</v>
      </c>
      <c r="N54" s="93">
        <v>1</v>
      </c>
      <c r="O54" t="str">
        <f t="shared" si="0"/>
        <v>防御力</v>
      </c>
      <c r="P54">
        <f t="shared" si="1"/>
        <v>129</v>
      </c>
      <c r="Q54">
        <f t="shared" si="2"/>
        <v>17</v>
      </c>
      <c r="R54" t="str">
        <f t="shared" si="3"/>
        <v>防御加成</v>
      </c>
      <c r="S54">
        <f t="shared" si="4"/>
        <v>0.014</v>
      </c>
      <c r="T54">
        <f t="shared" si="5"/>
        <v>0.0018</v>
      </c>
      <c r="U54" t="s">
        <v>544</v>
      </c>
      <c r="V54">
        <v>100</v>
      </c>
      <c r="W54" s="7">
        <v>80052</v>
      </c>
    </row>
    <row r="55" ht="21" customHeight="1" spans="3:23">
      <c r="C55" s="7">
        <v>80053</v>
      </c>
      <c r="D55" s="7" t="s">
        <v>625</v>
      </c>
      <c r="E55" s="75" t="s">
        <v>543</v>
      </c>
      <c r="F55" s="92" t="s">
        <v>566</v>
      </c>
      <c r="G55" t="str">
        <f>IFERROR(INDEX(映射装备数值!D:D,SUMPRODUCT((映射装备数值!$C$10:$C$56=IF($F55="Blue","蓝",IF($F55="Purple","紫",IF($F55="Orange","金",IF($F55="Red","红",$F55)))))*((映射装备数值!$A$10:$A$56=$E55)+(映射装备数值!$B$10:$B$56=$E55))*ROW(映射装备数值!$A$10:$A$56))),"未匹配")</f>
        <v>防御力</v>
      </c>
      <c r="H55">
        <f>IFERROR(INDEX(映射装备数值!G:G,SUMPRODUCT((映射装备数值!$C$10:$C$56=IF($F55="Blue","蓝",IF($F55="Purple","紫",IF($F55="Orange","金",IF($F55="Red","红",$F55)))))*((映射装备数值!$A$10:$A$56=$E55)+(映射装备数值!$B$10:$B$56=$E55))*ROW(映射装备数值!$A$10:$A$56))),"未匹配")</f>
        <v>215.625</v>
      </c>
      <c r="I55">
        <f>IFERROR(INDEX(映射装备数值!F:F,SUMPRODUCT((映射装备数值!$C$10:$C$56=IF($F55="Blue","蓝",IF($F55="Purple","紫",IF($F55="Orange","金",IF($F55="Red","红",$F55)))))*((映射装备数值!$A$10:$A$56=$E55)+(映射装备数值!$B$10:$B$56=$E55))*ROW(映射装备数值!$A$10:$A$56))),"未匹配")</f>
        <v>28.125</v>
      </c>
      <c r="J55" t="str">
        <f>IFERROR(INDEX(映射装备数值!I:I,SUMPRODUCT((映射装备数值!$C$10:$C$56=IF($F55="Blue","蓝",IF($F55="Purple","紫",IF($F55="Orange","金",IF($F55="Red","红",$F55)))))*((映射装备数值!$A$10:$A$56=$E55)+(映射装备数值!$B$10:$B$56=$E55))*ROW(映射装备数值!$A$10:$A$56))),"未匹配")</f>
        <v>防御加成</v>
      </c>
      <c r="K55">
        <f>IFERROR(INDEX(映射装备数值!L:L,SUMPRODUCT((映射装备数值!$C$10:$C$56=IF($F55="Blue","蓝",IF($F55="Purple","紫",IF($F55="Orange","金",IF($F55="Red","红",$F55)))))*((映射装备数值!$A$10:$A$56=$E55)+(映射装备数值!$B$10:$B$56=$E55))*ROW(映射装备数值!$A$10:$A$56))),"未匹配")</f>
        <v>0.023</v>
      </c>
      <c r="L55">
        <f>IFERROR(INDEX(映射装备数值!K:K,SUMPRODUCT((映射装备数值!$C$10:$C$56=IF($F55="Blue","蓝",IF($F55="Purple","紫",IF($F55="Orange","金",IF($F55="Red","红",$F55)))))*((映射装备数值!$A$10:$A$56=$E55)+(映射装备数值!$B$10:$B$56=$E55))*ROW(映射装备数值!$A$10:$A$56))),"未匹配")</f>
        <v>0.003</v>
      </c>
      <c r="M55" s="93">
        <v>1</v>
      </c>
      <c r="N55" s="93">
        <v>1</v>
      </c>
      <c r="O55" t="str">
        <f t="shared" si="0"/>
        <v>防御力</v>
      </c>
      <c r="P55">
        <f t="shared" si="1"/>
        <v>216</v>
      </c>
      <c r="Q55">
        <f t="shared" si="2"/>
        <v>28</v>
      </c>
      <c r="R55" t="str">
        <f t="shared" si="3"/>
        <v>防御加成</v>
      </c>
      <c r="S55">
        <f t="shared" si="4"/>
        <v>0.023</v>
      </c>
      <c r="T55">
        <f t="shared" si="5"/>
        <v>0.003</v>
      </c>
      <c r="U55" t="s">
        <v>544</v>
      </c>
      <c r="V55">
        <v>200</v>
      </c>
      <c r="W55" s="7">
        <v>80053</v>
      </c>
    </row>
    <row r="56" ht="21" customHeight="1" spans="3:23">
      <c r="C56" s="7">
        <v>80054</v>
      </c>
      <c r="D56" s="7" t="s">
        <v>626</v>
      </c>
      <c r="E56" s="75" t="s">
        <v>543</v>
      </c>
      <c r="F56" s="92" t="s">
        <v>568</v>
      </c>
      <c r="G56" t="str">
        <f>IFERROR(INDEX(映射装备数值!D:D,SUMPRODUCT((映射装备数值!$C$10:$C$56=IF($F56="Blue","蓝",IF($F56="Purple","紫",IF($F56="Orange","金",IF($F56="Red","红",$F56)))))*((映射装备数值!$A$10:$A$56=$E56)+(映射装备数值!$B$10:$B$56=$E56))*ROW(映射装备数值!$A$10:$A$56))),"未匹配")</f>
        <v>防御力</v>
      </c>
      <c r="H56">
        <f>IFERROR(INDEX(映射装备数值!G:G,SUMPRODUCT((映射装备数值!$C$10:$C$56=IF($F56="Blue","蓝",IF($F56="Purple","紫",IF($F56="Orange","金",IF($F56="Red","红",$F56)))))*((映射装备数值!$A$10:$A$56=$E56)+(映射装备数值!$B$10:$B$56=$E56))*ROW(映射装备数值!$A$10:$A$56))),"未匹配")</f>
        <v>323.4375</v>
      </c>
      <c r="I56">
        <f>IFERROR(INDEX(映射装备数值!F:F,SUMPRODUCT((映射装备数值!$C$10:$C$56=IF($F56="Blue","蓝",IF($F56="Purple","紫",IF($F56="Orange","金",IF($F56="Red","红",$F56)))))*((映射装备数值!$A$10:$A$56=$E56)+(映射装备数值!$B$10:$B$56=$E56))*ROW(映射装备数值!$A$10:$A$56))),"未匹配")</f>
        <v>42.1875</v>
      </c>
      <c r="J56" t="str">
        <f>IFERROR(INDEX(映射装备数值!I:I,SUMPRODUCT((映射装备数值!$C$10:$C$56=IF($F56="Blue","蓝",IF($F56="Purple","紫",IF($F56="Orange","金",IF($F56="Red","红",$F56)))))*((映射装备数值!$A$10:$A$56=$E56)+(映射装备数值!$B$10:$B$56=$E56))*ROW(映射装备数值!$A$10:$A$56))),"未匹配")</f>
        <v>防御加成</v>
      </c>
      <c r="K56">
        <f>IFERROR(INDEX(映射装备数值!L:L,SUMPRODUCT((映射装备数值!$C$10:$C$56=IF($F56="Blue","蓝",IF($F56="Purple","紫",IF($F56="Orange","金",IF($F56="Red","红",$F56)))))*((映射装备数值!$A$10:$A$56=$E56)+(映射装备数值!$B$10:$B$56=$E56))*ROW(映射装备数值!$A$10:$A$56))),"未匹配")</f>
        <v>0.0345</v>
      </c>
      <c r="L56">
        <f>IFERROR(INDEX(映射装备数值!K:K,SUMPRODUCT((映射装备数值!$C$10:$C$56=IF($F56="Blue","蓝",IF($F56="Purple","紫",IF($F56="Orange","金",IF($F56="Red","红",$F56)))))*((映射装备数值!$A$10:$A$56=$E56)+(映射装备数值!$B$10:$B$56=$E56))*ROW(映射装备数值!$A$10:$A$56))),"未匹配")</f>
        <v>0.0045</v>
      </c>
      <c r="M56" s="93">
        <v>1</v>
      </c>
      <c r="N56" s="93">
        <v>1</v>
      </c>
      <c r="O56" t="str">
        <f t="shared" si="0"/>
        <v>防御力</v>
      </c>
      <c r="P56">
        <f t="shared" si="1"/>
        <v>323</v>
      </c>
      <c r="Q56">
        <f t="shared" si="2"/>
        <v>42</v>
      </c>
      <c r="R56" t="str">
        <f t="shared" si="3"/>
        <v>防御加成</v>
      </c>
      <c r="S56">
        <f t="shared" si="4"/>
        <v>0.035</v>
      </c>
      <c r="T56">
        <f t="shared" si="5"/>
        <v>0.0045</v>
      </c>
      <c r="U56" t="s">
        <v>544</v>
      </c>
      <c r="V56">
        <v>400</v>
      </c>
      <c r="W56" s="7">
        <v>80054</v>
      </c>
    </row>
    <row r="57" ht="21" customHeight="1" spans="3:23">
      <c r="C57" s="7">
        <v>80055</v>
      </c>
      <c r="D57" s="7" t="s">
        <v>627</v>
      </c>
      <c r="E57" s="75" t="s">
        <v>543</v>
      </c>
      <c r="F57" s="92" t="s">
        <v>564</v>
      </c>
      <c r="G57" t="str">
        <f>IFERROR(INDEX(映射装备数值!D:D,SUMPRODUCT((映射装备数值!$C$10:$C$56=IF($F57="Blue","蓝",IF($F57="Purple","紫",IF($F57="Orange","金",IF($F57="Red","红",$F57)))))*((映射装备数值!$A$10:$A$56=$E57)+(映射装备数值!$B$10:$B$56=$E57))*ROW(映射装备数值!$A$10:$A$56))),"未匹配")</f>
        <v>防御力</v>
      </c>
      <c r="H57">
        <f>IFERROR(INDEX(映射装备数值!G:G,SUMPRODUCT((映射装备数值!$C$10:$C$56=IF($F57="Blue","蓝",IF($F57="Purple","紫",IF($F57="Orange","金",IF($F57="Red","红",$F57)))))*((映射装备数值!$A$10:$A$56=$E57)+(映射装备数值!$B$10:$B$56=$E57))*ROW(映射装备数值!$A$10:$A$56))),"未匹配")</f>
        <v>129.375</v>
      </c>
      <c r="I57">
        <f>IFERROR(INDEX(映射装备数值!F:F,SUMPRODUCT((映射装备数值!$C$10:$C$56=IF($F57="Blue","蓝",IF($F57="Purple","紫",IF($F57="Orange","金",IF($F57="Red","红",$F57)))))*((映射装备数值!$A$10:$A$56=$E57)+(映射装备数值!$B$10:$B$56=$E57))*ROW(映射装备数值!$A$10:$A$56))),"未匹配")</f>
        <v>16.875</v>
      </c>
      <c r="J57" t="str">
        <f>IFERROR(INDEX(映射装备数值!I:I,SUMPRODUCT((映射装备数值!$C$10:$C$56=IF($F57="Blue","蓝",IF($F57="Purple","紫",IF($F57="Orange","金",IF($F57="Red","红",$F57)))))*((映射装备数值!$A$10:$A$56=$E57)+(映射装备数值!$B$10:$B$56=$E57))*ROW(映射装备数值!$A$10:$A$56))),"未匹配")</f>
        <v>防御加成</v>
      </c>
      <c r="K57">
        <f>IFERROR(INDEX(映射装备数值!L:L,SUMPRODUCT((映射装备数值!$C$10:$C$56=IF($F57="Blue","蓝",IF($F57="Purple","紫",IF($F57="Orange","金",IF($F57="Red","红",$F57)))))*((映射装备数值!$A$10:$A$56=$E57)+(映射装备数值!$B$10:$B$56=$E57))*ROW(映射装备数值!$A$10:$A$56))),"未匹配")</f>
        <v>0.0138</v>
      </c>
      <c r="L57">
        <f>IFERROR(INDEX(映射装备数值!K:K,SUMPRODUCT((映射装备数值!$C$10:$C$56=IF($F57="Blue","蓝",IF($F57="Purple","紫",IF($F57="Orange","金",IF($F57="Red","红",$F57)))))*((映射装备数值!$A$10:$A$56=$E57)+(映射装备数值!$B$10:$B$56=$E57))*ROW(映射装备数值!$A$10:$A$56))),"未匹配")</f>
        <v>0.0018</v>
      </c>
      <c r="M57" s="93">
        <v>1.1</v>
      </c>
      <c r="N57" s="93">
        <v>0.9</v>
      </c>
      <c r="O57" t="str">
        <f t="shared" si="0"/>
        <v>防御力</v>
      </c>
      <c r="P57">
        <f t="shared" si="1"/>
        <v>142</v>
      </c>
      <c r="Q57">
        <f t="shared" si="2"/>
        <v>19</v>
      </c>
      <c r="R57" t="str">
        <f t="shared" si="3"/>
        <v>防御加成</v>
      </c>
      <c r="S57">
        <f t="shared" si="4"/>
        <v>0.012</v>
      </c>
      <c r="T57">
        <f t="shared" si="5"/>
        <v>0.0016</v>
      </c>
      <c r="U57" t="s">
        <v>544</v>
      </c>
      <c r="V57">
        <v>0.01</v>
      </c>
      <c r="W57" s="7">
        <v>80055</v>
      </c>
    </row>
    <row r="58" ht="21" customHeight="1" spans="3:23">
      <c r="C58" s="7">
        <v>80056</v>
      </c>
      <c r="D58" s="7" t="s">
        <v>628</v>
      </c>
      <c r="E58" s="75" t="s">
        <v>543</v>
      </c>
      <c r="F58" s="92" t="s">
        <v>566</v>
      </c>
      <c r="G58" t="str">
        <f>IFERROR(INDEX(映射装备数值!D:D,SUMPRODUCT((映射装备数值!$C$10:$C$56=IF($F58="Blue","蓝",IF($F58="Purple","紫",IF($F58="Orange","金",IF($F58="Red","红",$F58)))))*((映射装备数值!$A$10:$A$56=$E58)+(映射装备数值!$B$10:$B$56=$E58))*ROW(映射装备数值!$A$10:$A$56))),"未匹配")</f>
        <v>防御力</v>
      </c>
      <c r="H58">
        <f>IFERROR(INDEX(映射装备数值!G:G,SUMPRODUCT((映射装备数值!$C$10:$C$56=IF($F58="Blue","蓝",IF($F58="Purple","紫",IF($F58="Orange","金",IF($F58="Red","红",$F58)))))*((映射装备数值!$A$10:$A$56=$E58)+(映射装备数值!$B$10:$B$56=$E58))*ROW(映射装备数值!$A$10:$A$56))),"未匹配")</f>
        <v>215.625</v>
      </c>
      <c r="I58">
        <f>IFERROR(INDEX(映射装备数值!F:F,SUMPRODUCT((映射装备数值!$C$10:$C$56=IF($F58="Blue","蓝",IF($F58="Purple","紫",IF($F58="Orange","金",IF($F58="Red","红",$F58)))))*((映射装备数值!$A$10:$A$56=$E58)+(映射装备数值!$B$10:$B$56=$E58))*ROW(映射装备数值!$A$10:$A$56))),"未匹配")</f>
        <v>28.125</v>
      </c>
      <c r="J58" t="str">
        <f>IFERROR(INDEX(映射装备数值!I:I,SUMPRODUCT((映射装备数值!$C$10:$C$56=IF($F58="Blue","蓝",IF($F58="Purple","紫",IF($F58="Orange","金",IF($F58="Red","红",$F58)))))*((映射装备数值!$A$10:$A$56=$E58)+(映射装备数值!$B$10:$B$56=$E58))*ROW(映射装备数值!$A$10:$A$56))),"未匹配")</f>
        <v>防御加成</v>
      </c>
      <c r="K58">
        <f>IFERROR(INDEX(映射装备数值!L:L,SUMPRODUCT((映射装备数值!$C$10:$C$56=IF($F58="Blue","蓝",IF($F58="Purple","紫",IF($F58="Orange","金",IF($F58="Red","红",$F58)))))*((映射装备数值!$A$10:$A$56=$E58)+(映射装备数值!$B$10:$B$56=$E58))*ROW(映射装备数值!$A$10:$A$56))),"未匹配")</f>
        <v>0.023</v>
      </c>
      <c r="L58">
        <f>IFERROR(INDEX(映射装备数值!K:K,SUMPRODUCT((映射装备数值!$C$10:$C$56=IF($F58="Blue","蓝",IF($F58="Purple","紫",IF($F58="Orange","金",IF($F58="Red","红",$F58)))))*((映射装备数值!$A$10:$A$56=$E58)+(映射装备数值!$B$10:$B$56=$E58))*ROW(映射装备数值!$A$10:$A$56))),"未匹配")</f>
        <v>0.003</v>
      </c>
      <c r="M58" s="93">
        <v>1.1</v>
      </c>
      <c r="N58" s="93">
        <v>0.9</v>
      </c>
      <c r="O58" t="str">
        <f t="shared" si="0"/>
        <v>防御力</v>
      </c>
      <c r="P58">
        <f t="shared" si="1"/>
        <v>237</v>
      </c>
      <c r="Q58">
        <f t="shared" si="2"/>
        <v>31</v>
      </c>
      <c r="R58" t="str">
        <f t="shared" si="3"/>
        <v>防御加成</v>
      </c>
      <c r="S58">
        <f t="shared" si="4"/>
        <v>0.021</v>
      </c>
      <c r="T58">
        <f t="shared" si="5"/>
        <v>0.0027</v>
      </c>
      <c r="U58" t="s">
        <v>544</v>
      </c>
      <c r="V58">
        <v>0.015</v>
      </c>
      <c r="W58" s="7">
        <v>80056</v>
      </c>
    </row>
    <row r="59" ht="21" customHeight="1" spans="3:23">
      <c r="C59" s="7">
        <v>80057</v>
      </c>
      <c r="D59" s="7" t="s">
        <v>629</v>
      </c>
      <c r="E59" s="75" t="s">
        <v>543</v>
      </c>
      <c r="F59" s="92" t="s">
        <v>568</v>
      </c>
      <c r="G59" t="str">
        <f>IFERROR(INDEX(映射装备数值!D:D,SUMPRODUCT((映射装备数值!$C$10:$C$56=IF($F59="Blue","蓝",IF($F59="Purple","紫",IF($F59="Orange","金",IF($F59="Red","红",$F59)))))*((映射装备数值!$A$10:$A$56=$E59)+(映射装备数值!$B$10:$B$56=$E59))*ROW(映射装备数值!$A$10:$A$56))),"未匹配")</f>
        <v>防御力</v>
      </c>
      <c r="H59">
        <f>IFERROR(INDEX(映射装备数值!G:G,SUMPRODUCT((映射装备数值!$C$10:$C$56=IF($F59="Blue","蓝",IF($F59="Purple","紫",IF($F59="Orange","金",IF($F59="Red","红",$F59)))))*((映射装备数值!$A$10:$A$56=$E59)+(映射装备数值!$B$10:$B$56=$E59))*ROW(映射装备数值!$A$10:$A$56))),"未匹配")</f>
        <v>323.4375</v>
      </c>
      <c r="I59">
        <f>IFERROR(INDEX(映射装备数值!F:F,SUMPRODUCT((映射装备数值!$C$10:$C$56=IF($F59="Blue","蓝",IF($F59="Purple","紫",IF($F59="Orange","金",IF($F59="Red","红",$F59)))))*((映射装备数值!$A$10:$A$56=$E59)+(映射装备数值!$B$10:$B$56=$E59))*ROW(映射装备数值!$A$10:$A$56))),"未匹配")</f>
        <v>42.1875</v>
      </c>
      <c r="J59" t="str">
        <f>IFERROR(INDEX(映射装备数值!I:I,SUMPRODUCT((映射装备数值!$C$10:$C$56=IF($F59="Blue","蓝",IF($F59="Purple","紫",IF($F59="Orange","金",IF($F59="Red","红",$F59)))))*((映射装备数值!$A$10:$A$56=$E59)+(映射装备数值!$B$10:$B$56=$E59))*ROW(映射装备数值!$A$10:$A$56))),"未匹配")</f>
        <v>防御加成</v>
      </c>
      <c r="K59">
        <f>IFERROR(INDEX(映射装备数值!L:L,SUMPRODUCT((映射装备数值!$C$10:$C$56=IF($F59="Blue","蓝",IF($F59="Purple","紫",IF($F59="Orange","金",IF($F59="Red","红",$F59)))))*((映射装备数值!$A$10:$A$56=$E59)+(映射装备数值!$B$10:$B$56=$E59))*ROW(映射装备数值!$A$10:$A$56))),"未匹配")</f>
        <v>0.0345</v>
      </c>
      <c r="L59">
        <f>IFERROR(INDEX(映射装备数值!K:K,SUMPRODUCT((映射装备数值!$C$10:$C$56=IF($F59="Blue","蓝",IF($F59="Purple","紫",IF($F59="Orange","金",IF($F59="Red","红",$F59)))))*((映射装备数值!$A$10:$A$56=$E59)+(映射装备数值!$B$10:$B$56=$E59))*ROW(映射装备数值!$A$10:$A$56))),"未匹配")</f>
        <v>0.0045</v>
      </c>
      <c r="M59" s="93">
        <v>1.1</v>
      </c>
      <c r="N59" s="93">
        <v>0.9</v>
      </c>
      <c r="O59" t="str">
        <f t="shared" si="0"/>
        <v>防御力</v>
      </c>
      <c r="P59">
        <f t="shared" si="1"/>
        <v>356</v>
      </c>
      <c r="Q59">
        <f t="shared" si="2"/>
        <v>46</v>
      </c>
      <c r="R59" t="str">
        <f t="shared" si="3"/>
        <v>防御加成</v>
      </c>
      <c r="S59">
        <f t="shared" si="4"/>
        <v>0.031</v>
      </c>
      <c r="T59">
        <f t="shared" si="5"/>
        <v>0.0041</v>
      </c>
      <c r="U59" t="s">
        <v>544</v>
      </c>
      <c r="V59">
        <v>0.02</v>
      </c>
      <c r="W59" s="7">
        <v>80057</v>
      </c>
    </row>
    <row r="60" ht="21" customHeight="1" spans="3:23">
      <c r="C60" s="7">
        <v>80058</v>
      </c>
      <c r="D60" s="7" t="s">
        <v>630</v>
      </c>
      <c r="E60" s="75" t="s">
        <v>543</v>
      </c>
      <c r="F60" s="92" t="s">
        <v>564</v>
      </c>
      <c r="G60" t="str">
        <f>IFERROR(INDEX(映射装备数值!D:D,SUMPRODUCT((映射装备数值!$C$10:$C$56=IF($F60="Blue","蓝",IF($F60="Purple","紫",IF($F60="Orange","金",IF($F60="Red","红",$F60)))))*((映射装备数值!$A$10:$A$56=$E60)+(映射装备数值!$B$10:$B$56=$E60))*ROW(映射装备数值!$A$10:$A$56))),"未匹配")</f>
        <v>防御力</v>
      </c>
      <c r="H60">
        <f>IFERROR(INDEX(映射装备数值!G:G,SUMPRODUCT((映射装备数值!$C$10:$C$56=IF($F60="Blue","蓝",IF($F60="Purple","紫",IF($F60="Orange","金",IF($F60="Red","红",$F60)))))*((映射装备数值!$A$10:$A$56=$E60)+(映射装备数值!$B$10:$B$56=$E60))*ROW(映射装备数值!$A$10:$A$56))),"未匹配")</f>
        <v>129.375</v>
      </c>
      <c r="I60">
        <f>IFERROR(INDEX(映射装备数值!F:F,SUMPRODUCT((映射装备数值!$C$10:$C$56=IF($F60="Blue","蓝",IF($F60="Purple","紫",IF($F60="Orange","金",IF($F60="Red","红",$F60)))))*((映射装备数值!$A$10:$A$56=$E60)+(映射装备数值!$B$10:$B$56=$E60))*ROW(映射装备数值!$A$10:$A$56))),"未匹配")</f>
        <v>16.875</v>
      </c>
      <c r="J60" t="str">
        <f>IFERROR(INDEX(映射装备数值!I:I,SUMPRODUCT((映射装备数值!$C$10:$C$56=IF($F60="Blue","蓝",IF($F60="Purple","紫",IF($F60="Orange","金",IF($F60="Red","红",$F60)))))*((映射装备数值!$A$10:$A$56=$E60)+(映射装备数值!$B$10:$B$56=$E60))*ROW(映射装备数值!$A$10:$A$56))),"未匹配")</f>
        <v>防御加成</v>
      </c>
      <c r="K60">
        <f>IFERROR(INDEX(映射装备数值!L:L,SUMPRODUCT((映射装备数值!$C$10:$C$56=IF($F60="Blue","蓝",IF($F60="Purple","紫",IF($F60="Orange","金",IF($F60="Red","红",$F60)))))*((映射装备数值!$A$10:$A$56=$E60)+(映射装备数值!$B$10:$B$56=$E60))*ROW(映射装备数值!$A$10:$A$56))),"未匹配")</f>
        <v>0.0138</v>
      </c>
      <c r="L60">
        <f>IFERROR(INDEX(映射装备数值!K:K,SUMPRODUCT((映射装备数值!$C$10:$C$56=IF($F60="Blue","蓝",IF($F60="Purple","紫",IF($F60="Orange","金",IF($F60="Red","红",$F60)))))*((映射装备数值!$A$10:$A$56=$E60)+(映射装备数值!$B$10:$B$56=$E60))*ROW(映射装备数值!$A$10:$A$56))),"未匹配")</f>
        <v>0.0018</v>
      </c>
      <c r="M60" s="93">
        <v>0.9</v>
      </c>
      <c r="N60" s="93">
        <v>1.1</v>
      </c>
      <c r="O60" t="str">
        <f t="shared" si="0"/>
        <v>防御力</v>
      </c>
      <c r="P60">
        <f t="shared" si="1"/>
        <v>116</v>
      </c>
      <c r="Q60">
        <f t="shared" si="2"/>
        <v>15</v>
      </c>
      <c r="R60" t="str">
        <f t="shared" si="3"/>
        <v>防御加成</v>
      </c>
      <c r="S60">
        <f t="shared" si="4"/>
        <v>0.015</v>
      </c>
      <c r="T60">
        <f t="shared" si="5"/>
        <v>0.002</v>
      </c>
      <c r="U60" t="s">
        <v>612</v>
      </c>
      <c r="V60">
        <v>0.015</v>
      </c>
      <c r="W60" s="7">
        <v>80058</v>
      </c>
    </row>
    <row r="61" ht="21" customHeight="1" spans="3:23">
      <c r="C61" s="7">
        <v>80059</v>
      </c>
      <c r="D61" s="7" t="s">
        <v>631</v>
      </c>
      <c r="E61" s="75" t="s">
        <v>543</v>
      </c>
      <c r="F61" s="92" t="s">
        <v>566</v>
      </c>
      <c r="G61" t="str">
        <f>IFERROR(INDEX(映射装备数值!D:D,SUMPRODUCT((映射装备数值!$C$10:$C$56=IF($F61="Blue","蓝",IF($F61="Purple","紫",IF($F61="Orange","金",IF($F61="Red","红",$F61)))))*((映射装备数值!$A$10:$A$56=$E61)+(映射装备数值!$B$10:$B$56=$E61))*ROW(映射装备数值!$A$10:$A$56))),"未匹配")</f>
        <v>防御力</v>
      </c>
      <c r="H61">
        <f>IFERROR(INDEX(映射装备数值!G:G,SUMPRODUCT((映射装备数值!$C$10:$C$56=IF($F61="Blue","蓝",IF($F61="Purple","紫",IF($F61="Orange","金",IF($F61="Red","红",$F61)))))*((映射装备数值!$A$10:$A$56=$E61)+(映射装备数值!$B$10:$B$56=$E61))*ROW(映射装备数值!$A$10:$A$56))),"未匹配")</f>
        <v>215.625</v>
      </c>
      <c r="I61">
        <f>IFERROR(INDEX(映射装备数值!F:F,SUMPRODUCT((映射装备数值!$C$10:$C$56=IF($F61="Blue","蓝",IF($F61="Purple","紫",IF($F61="Orange","金",IF($F61="Red","红",$F61)))))*((映射装备数值!$A$10:$A$56=$E61)+(映射装备数值!$B$10:$B$56=$E61))*ROW(映射装备数值!$A$10:$A$56))),"未匹配")</f>
        <v>28.125</v>
      </c>
      <c r="J61" t="str">
        <f>IFERROR(INDEX(映射装备数值!I:I,SUMPRODUCT((映射装备数值!$C$10:$C$56=IF($F61="Blue","蓝",IF($F61="Purple","紫",IF($F61="Orange","金",IF($F61="Red","红",$F61)))))*((映射装备数值!$A$10:$A$56=$E61)+(映射装备数值!$B$10:$B$56=$E61))*ROW(映射装备数值!$A$10:$A$56))),"未匹配")</f>
        <v>防御加成</v>
      </c>
      <c r="K61">
        <f>IFERROR(INDEX(映射装备数值!L:L,SUMPRODUCT((映射装备数值!$C$10:$C$56=IF($F61="Blue","蓝",IF($F61="Purple","紫",IF($F61="Orange","金",IF($F61="Red","红",$F61)))))*((映射装备数值!$A$10:$A$56=$E61)+(映射装备数值!$B$10:$B$56=$E61))*ROW(映射装备数值!$A$10:$A$56))),"未匹配")</f>
        <v>0.023</v>
      </c>
      <c r="L61">
        <f>IFERROR(INDEX(映射装备数值!K:K,SUMPRODUCT((映射装备数值!$C$10:$C$56=IF($F61="Blue","蓝",IF($F61="Purple","紫",IF($F61="Orange","金",IF($F61="Red","红",$F61)))))*((映射装备数值!$A$10:$A$56=$E61)+(映射装备数值!$B$10:$B$56=$E61))*ROW(映射装备数值!$A$10:$A$56))),"未匹配")</f>
        <v>0.003</v>
      </c>
      <c r="M61" s="93">
        <v>0.9</v>
      </c>
      <c r="N61" s="93">
        <v>1.1</v>
      </c>
      <c r="O61" t="str">
        <f t="shared" si="0"/>
        <v>防御力</v>
      </c>
      <c r="P61">
        <f t="shared" si="1"/>
        <v>194</v>
      </c>
      <c r="Q61">
        <f t="shared" si="2"/>
        <v>25</v>
      </c>
      <c r="R61" t="str">
        <f t="shared" si="3"/>
        <v>防御加成</v>
      </c>
      <c r="S61">
        <f t="shared" si="4"/>
        <v>0.025</v>
      </c>
      <c r="T61">
        <f t="shared" si="5"/>
        <v>0.0033</v>
      </c>
      <c r="U61" t="s">
        <v>612</v>
      </c>
      <c r="V61">
        <v>0.025</v>
      </c>
      <c r="W61" s="7">
        <v>80059</v>
      </c>
    </row>
    <row r="62" ht="21" customHeight="1" spans="3:23">
      <c r="C62" s="7">
        <v>80060</v>
      </c>
      <c r="D62" s="7" t="s">
        <v>632</v>
      </c>
      <c r="E62" s="75" t="s">
        <v>543</v>
      </c>
      <c r="F62" s="92" t="s">
        <v>568</v>
      </c>
      <c r="G62" t="str">
        <f>IFERROR(INDEX(映射装备数值!D:D,SUMPRODUCT((映射装备数值!$C$10:$C$56=IF($F62="Blue","蓝",IF($F62="Purple","紫",IF($F62="Orange","金",IF($F62="Red","红",$F62)))))*((映射装备数值!$A$10:$A$56=$E62)+(映射装备数值!$B$10:$B$56=$E62))*ROW(映射装备数值!$A$10:$A$56))),"未匹配")</f>
        <v>防御力</v>
      </c>
      <c r="H62">
        <f>IFERROR(INDEX(映射装备数值!G:G,SUMPRODUCT((映射装备数值!$C$10:$C$56=IF($F62="Blue","蓝",IF($F62="Purple","紫",IF($F62="Orange","金",IF($F62="Red","红",$F62)))))*((映射装备数值!$A$10:$A$56=$E62)+(映射装备数值!$B$10:$B$56=$E62))*ROW(映射装备数值!$A$10:$A$56))),"未匹配")</f>
        <v>323.4375</v>
      </c>
      <c r="I62">
        <f>IFERROR(INDEX(映射装备数值!F:F,SUMPRODUCT((映射装备数值!$C$10:$C$56=IF($F62="Blue","蓝",IF($F62="Purple","紫",IF($F62="Orange","金",IF($F62="Red","红",$F62)))))*((映射装备数值!$A$10:$A$56=$E62)+(映射装备数值!$B$10:$B$56=$E62))*ROW(映射装备数值!$A$10:$A$56))),"未匹配")</f>
        <v>42.1875</v>
      </c>
      <c r="J62" t="str">
        <f>IFERROR(INDEX(映射装备数值!I:I,SUMPRODUCT((映射装备数值!$C$10:$C$56=IF($F62="Blue","蓝",IF($F62="Purple","紫",IF($F62="Orange","金",IF($F62="Red","红",$F62)))))*((映射装备数值!$A$10:$A$56=$E62)+(映射装备数值!$B$10:$B$56=$E62))*ROW(映射装备数值!$A$10:$A$56))),"未匹配")</f>
        <v>防御加成</v>
      </c>
      <c r="K62">
        <f>IFERROR(INDEX(映射装备数值!L:L,SUMPRODUCT((映射装备数值!$C$10:$C$56=IF($F62="Blue","蓝",IF($F62="Purple","紫",IF($F62="Orange","金",IF($F62="Red","红",$F62)))))*((映射装备数值!$A$10:$A$56=$E62)+(映射装备数值!$B$10:$B$56=$E62))*ROW(映射装备数值!$A$10:$A$56))),"未匹配")</f>
        <v>0.0345</v>
      </c>
      <c r="L62">
        <f>IFERROR(INDEX(映射装备数值!K:K,SUMPRODUCT((映射装备数值!$C$10:$C$56=IF($F62="Blue","蓝",IF($F62="Purple","紫",IF($F62="Orange","金",IF($F62="Red","红",$F62)))))*((映射装备数值!$A$10:$A$56=$E62)+(映射装备数值!$B$10:$B$56=$E62))*ROW(映射装备数值!$A$10:$A$56))),"未匹配")</f>
        <v>0.0045</v>
      </c>
      <c r="M62" s="93">
        <v>0.9</v>
      </c>
      <c r="N62" s="93">
        <v>1.1</v>
      </c>
      <c r="O62" t="str">
        <f t="shared" si="0"/>
        <v>防御力</v>
      </c>
      <c r="P62">
        <f t="shared" si="1"/>
        <v>291</v>
      </c>
      <c r="Q62">
        <f t="shared" si="2"/>
        <v>38</v>
      </c>
      <c r="R62" t="str">
        <f t="shared" si="3"/>
        <v>防御加成</v>
      </c>
      <c r="S62">
        <f t="shared" si="4"/>
        <v>0.038</v>
      </c>
      <c r="T62">
        <f t="shared" si="5"/>
        <v>0.005</v>
      </c>
      <c r="U62" t="s">
        <v>612</v>
      </c>
      <c r="V62">
        <v>0.035</v>
      </c>
      <c r="W62" s="7">
        <v>80060</v>
      </c>
    </row>
    <row r="63" ht="21" customHeight="1" spans="3:23">
      <c r="C63" s="7">
        <v>80061</v>
      </c>
      <c r="D63" s="7" t="s">
        <v>633</v>
      </c>
      <c r="E63" s="75" t="s">
        <v>543</v>
      </c>
      <c r="F63" s="92" t="s">
        <v>564</v>
      </c>
      <c r="G63" t="str">
        <f>IFERROR(INDEX(映射装备数值!D:D,SUMPRODUCT((映射装备数值!$C$10:$C$56=IF($F63="Blue","蓝",IF($F63="Purple","紫",IF($F63="Orange","金",IF($F63="Red","红",$F63)))))*((映射装备数值!$A$10:$A$56=$E63)+(映射装备数值!$B$10:$B$56=$E63))*ROW(映射装备数值!$A$10:$A$56))),"未匹配")</f>
        <v>防御力</v>
      </c>
      <c r="H63">
        <f>IFERROR(INDEX(映射装备数值!G:G,SUMPRODUCT((映射装备数值!$C$10:$C$56=IF($F63="Blue","蓝",IF($F63="Purple","紫",IF($F63="Orange","金",IF($F63="Red","红",$F63)))))*((映射装备数值!$A$10:$A$56=$E63)+(映射装备数值!$B$10:$B$56=$E63))*ROW(映射装备数值!$A$10:$A$56))),"未匹配")</f>
        <v>129.375</v>
      </c>
      <c r="I63">
        <f>IFERROR(INDEX(映射装备数值!F:F,SUMPRODUCT((映射装备数值!$C$10:$C$56=IF($F63="Blue","蓝",IF($F63="Purple","紫",IF($F63="Orange","金",IF($F63="Red","红",$F63)))))*((映射装备数值!$A$10:$A$56=$E63)+(映射装备数值!$B$10:$B$56=$E63))*ROW(映射装备数值!$A$10:$A$56))),"未匹配")</f>
        <v>16.875</v>
      </c>
      <c r="J63" t="str">
        <f>IFERROR(INDEX(映射装备数值!I:I,SUMPRODUCT((映射装备数值!$C$10:$C$56=IF($F63="Blue","蓝",IF($F63="Purple","紫",IF($F63="Orange","金",IF($F63="Red","红",$F63)))))*((映射装备数值!$A$10:$A$56=$E63)+(映射装备数值!$B$10:$B$56=$E63))*ROW(映射装备数值!$A$10:$A$56))),"未匹配")</f>
        <v>防御加成</v>
      </c>
      <c r="K63">
        <f>IFERROR(INDEX(映射装备数值!L:L,SUMPRODUCT((映射装备数值!$C$10:$C$56=IF($F63="Blue","蓝",IF($F63="Purple","紫",IF($F63="Orange","金",IF($F63="Red","红",$F63)))))*((映射装备数值!$A$10:$A$56=$E63)+(映射装备数值!$B$10:$B$56=$E63))*ROW(映射装备数值!$A$10:$A$56))),"未匹配")</f>
        <v>0.0138</v>
      </c>
      <c r="L63">
        <f>IFERROR(INDEX(映射装备数值!K:K,SUMPRODUCT((映射装备数值!$C$10:$C$56=IF($F63="Blue","蓝",IF($F63="Purple","紫",IF($F63="Orange","金",IF($F63="Red","红",$F63)))))*((映射装备数值!$A$10:$A$56=$E63)+(映射装备数值!$B$10:$B$56=$E63))*ROW(映射装备数值!$A$10:$A$56))),"未匹配")</f>
        <v>0.0018</v>
      </c>
      <c r="M63" s="93">
        <v>0.95</v>
      </c>
      <c r="N63" s="93">
        <v>1.05</v>
      </c>
      <c r="O63" t="str">
        <f t="shared" si="0"/>
        <v>防御力</v>
      </c>
      <c r="P63">
        <f t="shared" si="1"/>
        <v>123</v>
      </c>
      <c r="Q63">
        <f t="shared" si="2"/>
        <v>16</v>
      </c>
      <c r="R63" t="str">
        <f t="shared" si="3"/>
        <v>防御加成</v>
      </c>
      <c r="S63">
        <f t="shared" si="4"/>
        <v>0.014</v>
      </c>
      <c r="T63">
        <f t="shared" si="5"/>
        <v>0.0019</v>
      </c>
      <c r="U63" t="s">
        <v>137</v>
      </c>
      <c r="V63">
        <v>0.02</v>
      </c>
      <c r="W63" s="7">
        <v>80061</v>
      </c>
    </row>
    <row r="64" ht="21" customHeight="1" spans="3:23">
      <c r="C64" s="7">
        <v>80062</v>
      </c>
      <c r="D64" s="7" t="s">
        <v>634</v>
      </c>
      <c r="E64" s="75" t="s">
        <v>543</v>
      </c>
      <c r="F64" s="92" t="s">
        <v>566</v>
      </c>
      <c r="G64" t="str">
        <f>IFERROR(INDEX(映射装备数值!D:D,SUMPRODUCT((映射装备数值!$C$10:$C$56=IF($F64="Blue","蓝",IF($F64="Purple","紫",IF($F64="Orange","金",IF($F64="Red","红",$F64)))))*((映射装备数值!$A$10:$A$56=$E64)+(映射装备数值!$B$10:$B$56=$E64))*ROW(映射装备数值!$A$10:$A$56))),"未匹配")</f>
        <v>防御力</v>
      </c>
      <c r="H64">
        <f>IFERROR(INDEX(映射装备数值!G:G,SUMPRODUCT((映射装备数值!$C$10:$C$56=IF($F64="Blue","蓝",IF($F64="Purple","紫",IF($F64="Orange","金",IF($F64="Red","红",$F64)))))*((映射装备数值!$A$10:$A$56=$E64)+(映射装备数值!$B$10:$B$56=$E64))*ROW(映射装备数值!$A$10:$A$56))),"未匹配")</f>
        <v>215.625</v>
      </c>
      <c r="I64">
        <f>IFERROR(INDEX(映射装备数值!F:F,SUMPRODUCT((映射装备数值!$C$10:$C$56=IF($F64="Blue","蓝",IF($F64="Purple","紫",IF($F64="Orange","金",IF($F64="Red","红",$F64)))))*((映射装备数值!$A$10:$A$56=$E64)+(映射装备数值!$B$10:$B$56=$E64))*ROW(映射装备数值!$A$10:$A$56))),"未匹配")</f>
        <v>28.125</v>
      </c>
      <c r="J64" t="str">
        <f>IFERROR(INDEX(映射装备数值!I:I,SUMPRODUCT((映射装备数值!$C$10:$C$56=IF($F64="Blue","蓝",IF($F64="Purple","紫",IF($F64="Orange","金",IF($F64="Red","红",$F64)))))*((映射装备数值!$A$10:$A$56=$E64)+(映射装备数值!$B$10:$B$56=$E64))*ROW(映射装备数值!$A$10:$A$56))),"未匹配")</f>
        <v>防御加成</v>
      </c>
      <c r="K64">
        <f>IFERROR(INDEX(映射装备数值!L:L,SUMPRODUCT((映射装备数值!$C$10:$C$56=IF($F64="Blue","蓝",IF($F64="Purple","紫",IF($F64="Orange","金",IF($F64="Red","红",$F64)))))*((映射装备数值!$A$10:$A$56=$E64)+(映射装备数值!$B$10:$B$56=$E64))*ROW(映射装备数值!$A$10:$A$56))),"未匹配")</f>
        <v>0.023</v>
      </c>
      <c r="L64">
        <f>IFERROR(INDEX(映射装备数值!K:K,SUMPRODUCT((映射装备数值!$C$10:$C$56=IF($F64="Blue","蓝",IF($F64="Purple","紫",IF($F64="Orange","金",IF($F64="Red","红",$F64)))))*((映射装备数值!$A$10:$A$56=$E64)+(映射装备数值!$B$10:$B$56=$E64))*ROW(映射装备数值!$A$10:$A$56))),"未匹配")</f>
        <v>0.003</v>
      </c>
      <c r="M64" s="93">
        <v>0.95</v>
      </c>
      <c r="N64" s="93">
        <v>1.05</v>
      </c>
      <c r="O64" t="str">
        <f t="shared" si="0"/>
        <v>防御力</v>
      </c>
      <c r="P64">
        <f t="shared" si="1"/>
        <v>205</v>
      </c>
      <c r="Q64">
        <f t="shared" si="2"/>
        <v>27</v>
      </c>
      <c r="R64" t="str">
        <f t="shared" si="3"/>
        <v>防御加成</v>
      </c>
      <c r="S64">
        <f t="shared" si="4"/>
        <v>0.024</v>
      </c>
      <c r="T64">
        <f t="shared" si="5"/>
        <v>0.0032</v>
      </c>
      <c r="U64" t="s">
        <v>137</v>
      </c>
      <c r="V64">
        <v>0.03</v>
      </c>
      <c r="W64" s="7">
        <v>80062</v>
      </c>
    </row>
    <row r="65" ht="21" customHeight="1" spans="3:23">
      <c r="C65" s="88">
        <v>80063</v>
      </c>
      <c r="D65" s="88" t="s">
        <v>635</v>
      </c>
      <c r="E65" s="76" t="s">
        <v>543</v>
      </c>
      <c r="F65" s="94" t="s">
        <v>568</v>
      </c>
      <c r="G65" t="str">
        <f>IFERROR(INDEX(映射装备数值!D:D,SUMPRODUCT((映射装备数值!$C$10:$C$56=IF($F65="Blue","蓝",IF($F65="Purple","紫",IF($F65="Orange","金",IF($F65="Red","红",$F65)))))*((映射装备数值!$A$10:$A$56=$E65)+(映射装备数值!$B$10:$B$56=$E65))*ROW(映射装备数值!$A$10:$A$56))),"未匹配")</f>
        <v>防御力</v>
      </c>
      <c r="H65">
        <f>IFERROR(INDEX(映射装备数值!G:G,SUMPRODUCT((映射装备数值!$C$10:$C$56=IF($F65="Blue","蓝",IF($F65="Purple","紫",IF($F65="Orange","金",IF($F65="Red","红",$F65)))))*((映射装备数值!$A$10:$A$56=$E65)+(映射装备数值!$B$10:$B$56=$E65))*ROW(映射装备数值!$A$10:$A$56))),"未匹配")</f>
        <v>323.4375</v>
      </c>
      <c r="I65">
        <f>IFERROR(INDEX(映射装备数值!F:F,SUMPRODUCT((映射装备数值!$C$10:$C$56=IF($F65="Blue","蓝",IF($F65="Purple","紫",IF($F65="Orange","金",IF($F65="Red","红",$F65)))))*((映射装备数值!$A$10:$A$56=$E65)+(映射装备数值!$B$10:$B$56=$E65))*ROW(映射装备数值!$A$10:$A$56))),"未匹配")</f>
        <v>42.1875</v>
      </c>
      <c r="J65" t="str">
        <f>IFERROR(INDEX(映射装备数值!I:I,SUMPRODUCT((映射装备数值!$C$10:$C$56=IF($F65="Blue","蓝",IF($F65="Purple","紫",IF($F65="Orange","金",IF($F65="Red","红",$F65)))))*((映射装备数值!$A$10:$A$56=$E65)+(映射装备数值!$B$10:$B$56=$E65))*ROW(映射装备数值!$A$10:$A$56))),"未匹配")</f>
        <v>防御加成</v>
      </c>
      <c r="K65">
        <f>IFERROR(INDEX(映射装备数值!L:L,SUMPRODUCT((映射装备数值!$C$10:$C$56=IF($F65="Blue","蓝",IF($F65="Purple","紫",IF($F65="Orange","金",IF($F65="Red","红",$F65)))))*((映射装备数值!$A$10:$A$56=$E65)+(映射装备数值!$B$10:$B$56=$E65))*ROW(映射装备数值!$A$10:$A$56))),"未匹配")</f>
        <v>0.0345</v>
      </c>
      <c r="L65">
        <f>IFERROR(INDEX(映射装备数值!K:K,SUMPRODUCT((映射装备数值!$C$10:$C$56=IF($F65="Blue","蓝",IF($F65="Purple","紫",IF($F65="Orange","金",IF($F65="Red","红",$F65)))))*((映射装备数值!$A$10:$A$56=$E65)+(映射装备数值!$B$10:$B$56=$E65))*ROW(映射装备数值!$A$10:$A$56))),"未匹配")</f>
        <v>0.0045</v>
      </c>
      <c r="M65" s="93">
        <v>0.95</v>
      </c>
      <c r="N65" s="93">
        <v>1.05</v>
      </c>
      <c r="O65" t="str">
        <f t="shared" si="0"/>
        <v>防御力</v>
      </c>
      <c r="P65">
        <f t="shared" si="1"/>
        <v>307</v>
      </c>
      <c r="Q65">
        <f t="shared" si="2"/>
        <v>40</v>
      </c>
      <c r="R65" t="str">
        <f t="shared" si="3"/>
        <v>防御加成</v>
      </c>
      <c r="S65">
        <f t="shared" si="4"/>
        <v>0.036</v>
      </c>
      <c r="T65">
        <f t="shared" si="5"/>
        <v>0.0047</v>
      </c>
      <c r="U65" t="s">
        <v>137</v>
      </c>
      <c r="V65">
        <v>0.04</v>
      </c>
      <c r="W65" s="88">
        <v>80063</v>
      </c>
    </row>
    <row r="66" ht="21" customHeight="1" spans="3:23">
      <c r="C66" s="7">
        <v>80064</v>
      </c>
      <c r="D66" s="7" t="s">
        <v>636</v>
      </c>
      <c r="E66" s="75" t="s">
        <v>419</v>
      </c>
      <c r="F66" s="92" t="s">
        <v>564</v>
      </c>
      <c r="G66" t="str">
        <f>IFERROR(INDEX(映射装备数值!D:D,SUMPRODUCT((映射装备数值!$C$10:$C$56=IF($F66="Blue","蓝",IF($F66="Purple","紫",IF($F66="Orange","金",IF($F66="Red","红",$F66)))))*((映射装备数值!$A$10:$A$56=$E66)+(映射装备数值!$B$10:$B$56=$E66))*ROW(映射装备数值!$A$10:$A$56))),"未匹配")</f>
        <v>防御力</v>
      </c>
      <c r="H66">
        <f>IFERROR(INDEX(映射装备数值!G:G,SUMPRODUCT((映射装备数值!$C$10:$C$56=IF($F66="Blue","蓝",IF($F66="Purple","紫",IF($F66="Orange","金",IF($F66="Red","红",$F66)))))*((映射装备数值!$A$10:$A$56=$E66)+(映射装备数值!$B$10:$B$56=$E66))*ROW(映射装备数值!$A$10:$A$56))),"未匹配")</f>
        <v>129.375</v>
      </c>
      <c r="I66">
        <f>IFERROR(INDEX(映射装备数值!F:F,SUMPRODUCT((映射装备数值!$C$10:$C$56=IF($F66="Blue","蓝",IF($F66="Purple","紫",IF($F66="Orange","金",IF($F66="Red","红",$F66)))))*((映射装备数值!$A$10:$A$56=$E66)+(映射装备数值!$B$10:$B$56=$E66))*ROW(映射装备数值!$A$10:$A$56))),"未匹配")</f>
        <v>16.875</v>
      </c>
      <c r="J66" t="str">
        <f>IFERROR(INDEX(映射装备数值!I:I,SUMPRODUCT((映射装备数值!$C$10:$C$56=IF($F66="Blue","蓝",IF($F66="Purple","紫",IF($F66="Orange","金",IF($F66="Red","红",$F66)))))*((映射装备数值!$A$10:$A$56=$E66)+(映射装备数值!$B$10:$B$56=$E66))*ROW(映射装备数值!$A$10:$A$56))),"未匹配")</f>
        <v>攻击加成</v>
      </c>
      <c r="K66">
        <f>IFERROR(INDEX(映射装备数值!L:L,SUMPRODUCT((映射装备数值!$C$10:$C$56=IF($F66="Blue","蓝",IF($F66="Purple","紫",IF($F66="Orange","金",IF($F66="Red","红",$F66)))))*((映射装备数值!$A$10:$A$56=$E66)+(映射装备数值!$B$10:$B$56=$E66))*ROW(映射装备数值!$A$10:$A$56))),"未匹配")</f>
        <v>0.0138</v>
      </c>
      <c r="L66">
        <f>IFERROR(INDEX(映射装备数值!K:K,SUMPRODUCT((映射装备数值!$C$10:$C$56=IF($F66="Blue","蓝",IF($F66="Purple","紫",IF($F66="Orange","金",IF($F66="Red","红",$F66)))))*((映射装备数值!$A$10:$A$56=$E66)+(映射装备数值!$B$10:$B$56=$E66))*ROW(映射装备数值!$A$10:$A$56))),"未匹配")</f>
        <v>0.0018</v>
      </c>
      <c r="M66" s="93">
        <v>0.9</v>
      </c>
      <c r="N66" s="93">
        <v>1.1</v>
      </c>
      <c r="O66" t="str">
        <f t="shared" si="0"/>
        <v>防御力</v>
      </c>
      <c r="P66">
        <f t="shared" si="1"/>
        <v>116</v>
      </c>
      <c r="Q66">
        <f t="shared" si="2"/>
        <v>15</v>
      </c>
      <c r="R66" t="str">
        <f t="shared" si="3"/>
        <v>攻击加成</v>
      </c>
      <c r="S66">
        <f t="shared" si="4"/>
        <v>0.015</v>
      </c>
      <c r="T66">
        <f t="shared" si="5"/>
        <v>0.002</v>
      </c>
      <c r="U66" t="s">
        <v>140</v>
      </c>
      <c r="V66">
        <v>0.015</v>
      </c>
      <c r="W66" s="7">
        <v>80064</v>
      </c>
    </row>
    <row r="67" ht="21" customHeight="1" spans="3:23">
      <c r="C67" s="7">
        <v>80065</v>
      </c>
      <c r="D67" s="7" t="s">
        <v>637</v>
      </c>
      <c r="E67" s="75" t="s">
        <v>419</v>
      </c>
      <c r="F67" s="92" t="s">
        <v>566</v>
      </c>
      <c r="G67" t="str">
        <f>IFERROR(INDEX(映射装备数值!D:D,SUMPRODUCT((映射装备数值!$C$10:$C$56=IF($F67="Blue","蓝",IF($F67="Purple","紫",IF($F67="Orange","金",IF($F67="Red","红",$F67)))))*((映射装备数值!$A$10:$A$56=$E67)+(映射装备数值!$B$10:$B$56=$E67))*ROW(映射装备数值!$A$10:$A$56))),"未匹配")</f>
        <v>防御力</v>
      </c>
      <c r="H67">
        <f>IFERROR(INDEX(映射装备数值!G:G,SUMPRODUCT((映射装备数值!$C$10:$C$56=IF($F67="Blue","蓝",IF($F67="Purple","紫",IF($F67="Orange","金",IF($F67="Red","红",$F67)))))*((映射装备数值!$A$10:$A$56=$E67)+(映射装备数值!$B$10:$B$56=$E67))*ROW(映射装备数值!$A$10:$A$56))),"未匹配")</f>
        <v>215.625</v>
      </c>
      <c r="I67">
        <f>IFERROR(INDEX(映射装备数值!F:F,SUMPRODUCT((映射装备数值!$C$10:$C$56=IF($F67="Blue","蓝",IF($F67="Purple","紫",IF($F67="Orange","金",IF($F67="Red","红",$F67)))))*((映射装备数值!$A$10:$A$56=$E67)+(映射装备数值!$B$10:$B$56=$E67))*ROW(映射装备数值!$A$10:$A$56))),"未匹配")</f>
        <v>28.125</v>
      </c>
      <c r="J67" t="str">
        <f>IFERROR(INDEX(映射装备数值!I:I,SUMPRODUCT((映射装备数值!$C$10:$C$56=IF($F67="Blue","蓝",IF($F67="Purple","紫",IF($F67="Orange","金",IF($F67="Red","红",$F67)))))*((映射装备数值!$A$10:$A$56=$E67)+(映射装备数值!$B$10:$B$56=$E67))*ROW(映射装备数值!$A$10:$A$56))),"未匹配")</f>
        <v>攻击加成</v>
      </c>
      <c r="K67">
        <f>IFERROR(INDEX(映射装备数值!L:L,SUMPRODUCT((映射装备数值!$C$10:$C$56=IF($F67="Blue","蓝",IF($F67="Purple","紫",IF($F67="Orange","金",IF($F67="Red","红",$F67)))))*((映射装备数值!$A$10:$A$56=$E67)+(映射装备数值!$B$10:$B$56=$E67))*ROW(映射装备数值!$A$10:$A$56))),"未匹配")</f>
        <v>0.023</v>
      </c>
      <c r="L67">
        <f>IFERROR(INDEX(映射装备数值!K:K,SUMPRODUCT((映射装备数值!$C$10:$C$56=IF($F67="Blue","蓝",IF($F67="Purple","紫",IF($F67="Orange","金",IF($F67="Red","红",$F67)))))*((映射装备数值!$A$10:$A$56=$E67)+(映射装备数值!$B$10:$B$56=$E67))*ROW(映射装备数值!$A$10:$A$56))),"未匹配")</f>
        <v>0.003</v>
      </c>
      <c r="M67" s="93">
        <v>0.9</v>
      </c>
      <c r="N67" s="93">
        <v>1.1</v>
      </c>
      <c r="O67" t="str">
        <f t="shared" ref="O67:O130" si="6">G67</f>
        <v>防御力</v>
      </c>
      <c r="P67">
        <f t="shared" ref="P67:P130" si="7">ROUND(H67*$M67,IF(H67&lt;1,3,0))</f>
        <v>194</v>
      </c>
      <c r="Q67">
        <f t="shared" ref="Q67:Q130" si="8">ROUND(I67*$M67,IF(I67&lt;1,3,0))</f>
        <v>25</v>
      </c>
      <c r="R67" t="str">
        <f t="shared" ref="R67:R130" si="9">J67</f>
        <v>攻击加成</v>
      </c>
      <c r="S67">
        <f t="shared" ref="S67:S130" si="10">ROUND(K67*$N67,IF(K67&lt;1,3,0))</f>
        <v>0.025</v>
      </c>
      <c r="T67">
        <f t="shared" ref="T67:T130" si="11">ROUND(L67*$N67,IF(L67&lt;1,4,0))</f>
        <v>0.0033</v>
      </c>
      <c r="U67" t="s">
        <v>140</v>
      </c>
      <c r="V67">
        <v>0.025</v>
      </c>
      <c r="W67" s="7">
        <v>80065</v>
      </c>
    </row>
    <row r="68" ht="21" customHeight="1" spans="3:23">
      <c r="C68" s="7">
        <v>80066</v>
      </c>
      <c r="D68" s="7" t="s">
        <v>638</v>
      </c>
      <c r="E68" s="75" t="s">
        <v>419</v>
      </c>
      <c r="F68" s="92" t="s">
        <v>568</v>
      </c>
      <c r="G68" t="str">
        <f>IFERROR(INDEX(映射装备数值!D:D,SUMPRODUCT((映射装备数值!$C$10:$C$56=IF($F68="Blue","蓝",IF($F68="Purple","紫",IF($F68="Orange","金",IF($F68="Red","红",$F68)))))*((映射装备数值!$A$10:$A$56=$E68)+(映射装备数值!$B$10:$B$56=$E68))*ROW(映射装备数值!$A$10:$A$56))),"未匹配")</f>
        <v>防御力</v>
      </c>
      <c r="H68">
        <f>IFERROR(INDEX(映射装备数值!G:G,SUMPRODUCT((映射装备数值!$C$10:$C$56=IF($F68="Blue","蓝",IF($F68="Purple","紫",IF($F68="Orange","金",IF($F68="Red","红",$F68)))))*((映射装备数值!$A$10:$A$56=$E68)+(映射装备数值!$B$10:$B$56=$E68))*ROW(映射装备数值!$A$10:$A$56))),"未匹配")</f>
        <v>323.4375</v>
      </c>
      <c r="I68">
        <f>IFERROR(INDEX(映射装备数值!F:F,SUMPRODUCT((映射装备数值!$C$10:$C$56=IF($F68="Blue","蓝",IF($F68="Purple","紫",IF($F68="Orange","金",IF($F68="Red","红",$F68)))))*((映射装备数值!$A$10:$A$56=$E68)+(映射装备数值!$B$10:$B$56=$E68))*ROW(映射装备数值!$A$10:$A$56))),"未匹配")</f>
        <v>42.1875</v>
      </c>
      <c r="J68" t="str">
        <f>IFERROR(INDEX(映射装备数值!I:I,SUMPRODUCT((映射装备数值!$C$10:$C$56=IF($F68="Blue","蓝",IF($F68="Purple","紫",IF($F68="Orange","金",IF($F68="Red","红",$F68)))))*((映射装备数值!$A$10:$A$56=$E68)+(映射装备数值!$B$10:$B$56=$E68))*ROW(映射装备数值!$A$10:$A$56))),"未匹配")</f>
        <v>攻击加成</v>
      </c>
      <c r="K68">
        <f>IFERROR(INDEX(映射装备数值!L:L,SUMPRODUCT((映射装备数值!$C$10:$C$56=IF($F68="Blue","蓝",IF($F68="Purple","紫",IF($F68="Orange","金",IF($F68="Red","红",$F68)))))*((映射装备数值!$A$10:$A$56=$E68)+(映射装备数值!$B$10:$B$56=$E68))*ROW(映射装备数值!$A$10:$A$56))),"未匹配")</f>
        <v>0.0345</v>
      </c>
      <c r="L68">
        <f>IFERROR(INDEX(映射装备数值!K:K,SUMPRODUCT((映射装备数值!$C$10:$C$56=IF($F68="Blue","蓝",IF($F68="Purple","紫",IF($F68="Orange","金",IF($F68="Red","红",$F68)))))*((映射装备数值!$A$10:$A$56=$E68)+(映射装备数值!$B$10:$B$56=$E68))*ROW(映射装备数值!$A$10:$A$56))),"未匹配")</f>
        <v>0.0045</v>
      </c>
      <c r="M68" s="93">
        <v>0.9</v>
      </c>
      <c r="N68" s="93">
        <v>1.1</v>
      </c>
      <c r="O68" t="str">
        <f t="shared" si="6"/>
        <v>防御力</v>
      </c>
      <c r="P68">
        <f t="shared" si="7"/>
        <v>291</v>
      </c>
      <c r="Q68">
        <f t="shared" si="8"/>
        <v>38</v>
      </c>
      <c r="R68" t="str">
        <f t="shared" si="9"/>
        <v>攻击加成</v>
      </c>
      <c r="S68">
        <f t="shared" si="10"/>
        <v>0.038</v>
      </c>
      <c r="T68">
        <f t="shared" si="11"/>
        <v>0.005</v>
      </c>
      <c r="U68" t="s">
        <v>140</v>
      </c>
      <c r="V68">
        <v>0.035</v>
      </c>
      <c r="W68" s="7">
        <v>80066</v>
      </c>
    </row>
    <row r="69" ht="21" customHeight="1" spans="3:23">
      <c r="C69" s="7">
        <v>80067</v>
      </c>
      <c r="D69" s="7" t="s">
        <v>639</v>
      </c>
      <c r="E69" s="75" t="s">
        <v>419</v>
      </c>
      <c r="F69" s="92" t="s">
        <v>564</v>
      </c>
      <c r="G69" t="str">
        <f>IFERROR(INDEX(映射装备数值!D:D,SUMPRODUCT((映射装备数值!$C$10:$C$56=IF($F69="Blue","蓝",IF($F69="Purple","紫",IF($F69="Orange","金",IF($F69="Red","红",$F69)))))*((映射装备数值!$A$10:$A$56=$E69)+(映射装备数值!$B$10:$B$56=$E69))*ROW(映射装备数值!$A$10:$A$56))),"未匹配")</f>
        <v>防御力</v>
      </c>
      <c r="H69">
        <f>IFERROR(INDEX(映射装备数值!G:G,SUMPRODUCT((映射装备数值!$C$10:$C$56=IF($F69="Blue","蓝",IF($F69="Purple","紫",IF($F69="Orange","金",IF($F69="Red","红",$F69)))))*((映射装备数值!$A$10:$A$56=$E69)+(映射装备数值!$B$10:$B$56=$E69))*ROW(映射装备数值!$A$10:$A$56))),"未匹配")</f>
        <v>129.375</v>
      </c>
      <c r="I69">
        <f>IFERROR(INDEX(映射装备数值!F:F,SUMPRODUCT((映射装备数值!$C$10:$C$56=IF($F69="Blue","蓝",IF($F69="Purple","紫",IF($F69="Orange","金",IF($F69="Red","红",$F69)))))*((映射装备数值!$A$10:$A$56=$E69)+(映射装备数值!$B$10:$B$56=$E69))*ROW(映射装备数值!$A$10:$A$56))),"未匹配")</f>
        <v>16.875</v>
      </c>
      <c r="J69" t="str">
        <f>IFERROR(INDEX(映射装备数值!I:I,SUMPRODUCT((映射装备数值!$C$10:$C$56=IF($F69="Blue","蓝",IF($F69="Purple","紫",IF($F69="Orange","金",IF($F69="Red","红",$F69)))))*((映射装备数值!$A$10:$A$56=$E69)+(映射装备数值!$B$10:$B$56=$E69))*ROW(映射装备数值!$A$10:$A$56))),"未匹配")</f>
        <v>攻击加成</v>
      </c>
      <c r="K69">
        <f>IFERROR(INDEX(映射装备数值!L:L,SUMPRODUCT((映射装备数值!$C$10:$C$56=IF($F69="Blue","蓝",IF($F69="Purple","紫",IF($F69="Orange","金",IF($F69="Red","红",$F69)))))*((映射装备数值!$A$10:$A$56=$E69)+(映射装备数值!$B$10:$B$56=$E69))*ROW(映射装备数值!$A$10:$A$56))),"未匹配")</f>
        <v>0.0138</v>
      </c>
      <c r="L69">
        <f>IFERROR(INDEX(映射装备数值!K:K,SUMPRODUCT((映射装备数值!$C$10:$C$56=IF($F69="Blue","蓝",IF($F69="Purple","紫",IF($F69="Orange","金",IF($F69="Red","红",$F69)))))*((映射装备数值!$A$10:$A$56=$E69)+(映射装备数值!$B$10:$B$56=$E69))*ROW(映射装备数值!$A$10:$A$56))),"未匹配")</f>
        <v>0.0018</v>
      </c>
      <c r="M69" s="93">
        <v>0.95</v>
      </c>
      <c r="N69" s="93">
        <v>1.05</v>
      </c>
      <c r="O69" t="str">
        <f t="shared" si="6"/>
        <v>防御力</v>
      </c>
      <c r="P69">
        <f t="shared" si="7"/>
        <v>123</v>
      </c>
      <c r="Q69">
        <f t="shared" si="8"/>
        <v>16</v>
      </c>
      <c r="R69" t="str">
        <f t="shared" si="9"/>
        <v>攻击加成</v>
      </c>
      <c r="S69">
        <f t="shared" si="10"/>
        <v>0.014</v>
      </c>
      <c r="T69">
        <f t="shared" si="11"/>
        <v>0.0019</v>
      </c>
      <c r="U69" t="s">
        <v>79</v>
      </c>
      <c r="V69">
        <v>0.01</v>
      </c>
      <c r="W69" s="7">
        <v>80067</v>
      </c>
    </row>
    <row r="70" ht="21" customHeight="1" spans="3:23">
      <c r="C70" s="7">
        <v>80068</v>
      </c>
      <c r="D70" s="7" t="s">
        <v>640</v>
      </c>
      <c r="E70" s="75" t="s">
        <v>419</v>
      </c>
      <c r="F70" s="92" t="s">
        <v>566</v>
      </c>
      <c r="G70" t="str">
        <f>IFERROR(INDEX(映射装备数值!D:D,SUMPRODUCT((映射装备数值!$C$10:$C$56=IF($F70="Blue","蓝",IF($F70="Purple","紫",IF($F70="Orange","金",IF($F70="Red","红",$F70)))))*((映射装备数值!$A$10:$A$56=$E70)+(映射装备数值!$B$10:$B$56=$E70))*ROW(映射装备数值!$A$10:$A$56))),"未匹配")</f>
        <v>防御力</v>
      </c>
      <c r="H70">
        <f>IFERROR(INDEX(映射装备数值!G:G,SUMPRODUCT((映射装备数值!$C$10:$C$56=IF($F70="Blue","蓝",IF($F70="Purple","紫",IF($F70="Orange","金",IF($F70="Red","红",$F70)))))*((映射装备数值!$A$10:$A$56=$E70)+(映射装备数值!$B$10:$B$56=$E70))*ROW(映射装备数值!$A$10:$A$56))),"未匹配")</f>
        <v>215.625</v>
      </c>
      <c r="I70">
        <f>IFERROR(INDEX(映射装备数值!F:F,SUMPRODUCT((映射装备数值!$C$10:$C$56=IF($F70="Blue","蓝",IF($F70="Purple","紫",IF($F70="Orange","金",IF($F70="Red","红",$F70)))))*((映射装备数值!$A$10:$A$56=$E70)+(映射装备数值!$B$10:$B$56=$E70))*ROW(映射装备数值!$A$10:$A$56))),"未匹配")</f>
        <v>28.125</v>
      </c>
      <c r="J70" t="str">
        <f>IFERROR(INDEX(映射装备数值!I:I,SUMPRODUCT((映射装备数值!$C$10:$C$56=IF($F70="Blue","蓝",IF($F70="Purple","紫",IF($F70="Orange","金",IF($F70="Red","红",$F70)))))*((映射装备数值!$A$10:$A$56=$E70)+(映射装备数值!$B$10:$B$56=$E70))*ROW(映射装备数值!$A$10:$A$56))),"未匹配")</f>
        <v>攻击加成</v>
      </c>
      <c r="K70">
        <f>IFERROR(INDEX(映射装备数值!L:L,SUMPRODUCT((映射装备数值!$C$10:$C$56=IF($F70="Blue","蓝",IF($F70="Purple","紫",IF($F70="Orange","金",IF($F70="Red","红",$F70)))))*((映射装备数值!$A$10:$A$56=$E70)+(映射装备数值!$B$10:$B$56=$E70))*ROW(映射装备数值!$A$10:$A$56))),"未匹配")</f>
        <v>0.023</v>
      </c>
      <c r="L70">
        <f>IFERROR(INDEX(映射装备数值!K:K,SUMPRODUCT((映射装备数值!$C$10:$C$56=IF($F70="Blue","蓝",IF($F70="Purple","紫",IF($F70="Orange","金",IF($F70="Red","红",$F70)))))*((映射装备数值!$A$10:$A$56=$E70)+(映射装备数值!$B$10:$B$56=$E70))*ROW(映射装备数值!$A$10:$A$56))),"未匹配")</f>
        <v>0.003</v>
      </c>
      <c r="M70" s="93">
        <v>0.95</v>
      </c>
      <c r="N70" s="93">
        <v>1.05</v>
      </c>
      <c r="O70" t="str">
        <f t="shared" si="6"/>
        <v>防御力</v>
      </c>
      <c r="P70">
        <f t="shared" si="7"/>
        <v>205</v>
      </c>
      <c r="Q70">
        <f t="shared" si="8"/>
        <v>27</v>
      </c>
      <c r="R70" t="str">
        <f t="shared" si="9"/>
        <v>攻击加成</v>
      </c>
      <c r="S70">
        <f t="shared" si="10"/>
        <v>0.024</v>
      </c>
      <c r="T70">
        <f t="shared" si="11"/>
        <v>0.0032</v>
      </c>
      <c r="U70" t="s">
        <v>79</v>
      </c>
      <c r="V70">
        <v>0.015</v>
      </c>
      <c r="W70" s="7">
        <v>80068</v>
      </c>
    </row>
    <row r="71" ht="21" customHeight="1" spans="3:23">
      <c r="C71" s="7">
        <v>80069</v>
      </c>
      <c r="D71" s="7" t="s">
        <v>641</v>
      </c>
      <c r="E71" s="75" t="s">
        <v>419</v>
      </c>
      <c r="F71" s="92" t="s">
        <v>568</v>
      </c>
      <c r="G71" t="str">
        <f>IFERROR(INDEX(映射装备数值!D:D,SUMPRODUCT((映射装备数值!$C$10:$C$56=IF($F71="Blue","蓝",IF($F71="Purple","紫",IF($F71="Orange","金",IF($F71="Red","红",$F71)))))*((映射装备数值!$A$10:$A$56=$E71)+(映射装备数值!$B$10:$B$56=$E71))*ROW(映射装备数值!$A$10:$A$56))),"未匹配")</f>
        <v>防御力</v>
      </c>
      <c r="H71">
        <f>IFERROR(INDEX(映射装备数值!G:G,SUMPRODUCT((映射装备数值!$C$10:$C$56=IF($F71="Blue","蓝",IF($F71="Purple","紫",IF($F71="Orange","金",IF($F71="Red","红",$F71)))))*((映射装备数值!$A$10:$A$56=$E71)+(映射装备数值!$B$10:$B$56=$E71))*ROW(映射装备数值!$A$10:$A$56))),"未匹配")</f>
        <v>323.4375</v>
      </c>
      <c r="I71">
        <f>IFERROR(INDEX(映射装备数值!F:F,SUMPRODUCT((映射装备数值!$C$10:$C$56=IF($F71="Blue","蓝",IF($F71="Purple","紫",IF($F71="Orange","金",IF($F71="Red","红",$F71)))))*((映射装备数值!$A$10:$A$56=$E71)+(映射装备数值!$B$10:$B$56=$E71))*ROW(映射装备数值!$A$10:$A$56))),"未匹配")</f>
        <v>42.1875</v>
      </c>
      <c r="J71" t="str">
        <f>IFERROR(INDEX(映射装备数值!I:I,SUMPRODUCT((映射装备数值!$C$10:$C$56=IF($F71="Blue","蓝",IF($F71="Purple","紫",IF($F71="Orange","金",IF($F71="Red","红",$F71)))))*((映射装备数值!$A$10:$A$56=$E71)+(映射装备数值!$B$10:$B$56=$E71))*ROW(映射装备数值!$A$10:$A$56))),"未匹配")</f>
        <v>攻击加成</v>
      </c>
      <c r="K71">
        <f>IFERROR(INDEX(映射装备数值!L:L,SUMPRODUCT((映射装备数值!$C$10:$C$56=IF($F71="Blue","蓝",IF($F71="Purple","紫",IF($F71="Orange","金",IF($F71="Red","红",$F71)))))*((映射装备数值!$A$10:$A$56=$E71)+(映射装备数值!$B$10:$B$56=$E71))*ROW(映射装备数值!$A$10:$A$56))),"未匹配")</f>
        <v>0.0345</v>
      </c>
      <c r="L71">
        <f>IFERROR(INDEX(映射装备数值!K:K,SUMPRODUCT((映射装备数值!$C$10:$C$56=IF($F71="Blue","蓝",IF($F71="Purple","紫",IF($F71="Orange","金",IF($F71="Red","红",$F71)))))*((映射装备数值!$A$10:$A$56=$E71)+(映射装备数值!$B$10:$B$56=$E71))*ROW(映射装备数值!$A$10:$A$56))),"未匹配")</f>
        <v>0.0045</v>
      </c>
      <c r="M71" s="93">
        <v>0.95</v>
      </c>
      <c r="N71" s="93">
        <v>1.05</v>
      </c>
      <c r="O71" t="str">
        <f t="shared" si="6"/>
        <v>防御力</v>
      </c>
      <c r="P71">
        <f t="shared" si="7"/>
        <v>307</v>
      </c>
      <c r="Q71">
        <f t="shared" si="8"/>
        <v>40</v>
      </c>
      <c r="R71" t="str">
        <f t="shared" si="9"/>
        <v>攻击加成</v>
      </c>
      <c r="S71">
        <f t="shared" si="10"/>
        <v>0.036</v>
      </c>
      <c r="T71">
        <f t="shared" si="11"/>
        <v>0.0047</v>
      </c>
      <c r="U71" t="s">
        <v>79</v>
      </c>
      <c r="V71">
        <v>0.02</v>
      </c>
      <c r="W71" s="7">
        <v>80069</v>
      </c>
    </row>
    <row r="72" ht="21" customHeight="1" spans="3:23">
      <c r="C72" s="7">
        <v>80070</v>
      </c>
      <c r="D72" s="7" t="s">
        <v>642</v>
      </c>
      <c r="E72" s="75" t="s">
        <v>419</v>
      </c>
      <c r="F72" s="92" t="s">
        <v>564</v>
      </c>
      <c r="G72" t="str">
        <f>IFERROR(INDEX(映射装备数值!D:D,SUMPRODUCT((映射装备数值!$C$10:$C$56=IF($F72="Blue","蓝",IF($F72="Purple","紫",IF($F72="Orange","金",IF($F72="Red","红",$F72)))))*((映射装备数值!$A$10:$A$56=$E72)+(映射装备数值!$B$10:$B$56=$E72))*ROW(映射装备数值!$A$10:$A$56))),"未匹配")</f>
        <v>防御力</v>
      </c>
      <c r="H72">
        <f>IFERROR(INDEX(映射装备数值!G:G,SUMPRODUCT((映射装备数值!$C$10:$C$56=IF($F72="Blue","蓝",IF($F72="Purple","紫",IF($F72="Orange","金",IF($F72="Red","红",$F72)))))*((映射装备数值!$A$10:$A$56=$E72)+(映射装备数值!$B$10:$B$56=$E72))*ROW(映射装备数值!$A$10:$A$56))),"未匹配")</f>
        <v>129.375</v>
      </c>
      <c r="I72">
        <f>IFERROR(INDEX(映射装备数值!F:F,SUMPRODUCT((映射装备数值!$C$10:$C$56=IF($F72="Blue","蓝",IF($F72="Purple","紫",IF($F72="Orange","金",IF($F72="Red","红",$F72)))))*((映射装备数值!$A$10:$A$56=$E72)+(映射装备数值!$B$10:$B$56=$E72))*ROW(映射装备数值!$A$10:$A$56))),"未匹配")</f>
        <v>16.875</v>
      </c>
      <c r="J72" t="str">
        <f>IFERROR(INDEX(映射装备数值!I:I,SUMPRODUCT((映射装备数值!$C$10:$C$56=IF($F72="Blue","蓝",IF($F72="Purple","紫",IF($F72="Orange","金",IF($F72="Red","红",$F72)))))*((映射装备数值!$A$10:$A$56=$E72)+(映射装备数值!$B$10:$B$56=$E72))*ROW(映射装备数值!$A$10:$A$56))),"未匹配")</f>
        <v>攻击加成</v>
      </c>
      <c r="K72">
        <f>IFERROR(INDEX(映射装备数值!L:L,SUMPRODUCT((映射装备数值!$C$10:$C$56=IF($F72="Blue","蓝",IF($F72="Purple","紫",IF($F72="Orange","金",IF($F72="Red","红",$F72)))))*((映射装备数值!$A$10:$A$56=$E72)+(映射装备数值!$B$10:$B$56=$E72))*ROW(映射装备数值!$A$10:$A$56))),"未匹配")</f>
        <v>0.0138</v>
      </c>
      <c r="L72">
        <f>IFERROR(INDEX(映射装备数值!K:K,SUMPRODUCT((映射装备数值!$C$10:$C$56=IF($F72="Blue","蓝",IF($F72="Purple","紫",IF($F72="Orange","金",IF($F72="Red","红",$F72)))))*((映射装备数值!$A$10:$A$56=$E72)+(映射装备数值!$B$10:$B$56=$E72))*ROW(映射装备数值!$A$10:$A$56))),"未匹配")</f>
        <v>0.0018</v>
      </c>
      <c r="M72" s="93">
        <v>1</v>
      </c>
      <c r="N72" s="93">
        <v>1</v>
      </c>
      <c r="O72" t="str">
        <f t="shared" si="6"/>
        <v>防御力</v>
      </c>
      <c r="P72">
        <f t="shared" si="7"/>
        <v>129</v>
      </c>
      <c r="Q72">
        <f t="shared" si="8"/>
        <v>17</v>
      </c>
      <c r="R72" t="str">
        <f t="shared" si="9"/>
        <v>攻击加成</v>
      </c>
      <c r="S72">
        <f t="shared" si="10"/>
        <v>0.014</v>
      </c>
      <c r="T72">
        <f t="shared" si="11"/>
        <v>0.0018</v>
      </c>
      <c r="U72" t="s">
        <v>80</v>
      </c>
      <c r="V72">
        <v>210</v>
      </c>
      <c r="W72" s="7">
        <v>80070</v>
      </c>
    </row>
    <row r="73" ht="21" customHeight="1" spans="3:23">
      <c r="C73" s="7">
        <v>80071</v>
      </c>
      <c r="D73" s="7" t="s">
        <v>643</v>
      </c>
      <c r="E73" s="75" t="s">
        <v>419</v>
      </c>
      <c r="F73" s="92" t="s">
        <v>566</v>
      </c>
      <c r="G73" t="str">
        <f>IFERROR(INDEX(映射装备数值!D:D,SUMPRODUCT((映射装备数值!$C$10:$C$56=IF($F73="Blue","蓝",IF($F73="Purple","紫",IF($F73="Orange","金",IF($F73="Red","红",$F73)))))*((映射装备数值!$A$10:$A$56=$E73)+(映射装备数值!$B$10:$B$56=$E73))*ROW(映射装备数值!$A$10:$A$56))),"未匹配")</f>
        <v>防御力</v>
      </c>
      <c r="H73">
        <f>IFERROR(INDEX(映射装备数值!G:G,SUMPRODUCT((映射装备数值!$C$10:$C$56=IF($F73="Blue","蓝",IF($F73="Purple","紫",IF($F73="Orange","金",IF($F73="Red","红",$F73)))))*((映射装备数值!$A$10:$A$56=$E73)+(映射装备数值!$B$10:$B$56=$E73))*ROW(映射装备数值!$A$10:$A$56))),"未匹配")</f>
        <v>215.625</v>
      </c>
      <c r="I73">
        <f>IFERROR(INDEX(映射装备数值!F:F,SUMPRODUCT((映射装备数值!$C$10:$C$56=IF($F73="Blue","蓝",IF($F73="Purple","紫",IF($F73="Orange","金",IF($F73="Red","红",$F73)))))*((映射装备数值!$A$10:$A$56=$E73)+(映射装备数值!$B$10:$B$56=$E73))*ROW(映射装备数值!$A$10:$A$56))),"未匹配")</f>
        <v>28.125</v>
      </c>
      <c r="J73" t="str">
        <f>IFERROR(INDEX(映射装备数值!I:I,SUMPRODUCT((映射装备数值!$C$10:$C$56=IF($F73="Blue","蓝",IF($F73="Purple","紫",IF($F73="Orange","金",IF($F73="Red","红",$F73)))))*((映射装备数值!$A$10:$A$56=$E73)+(映射装备数值!$B$10:$B$56=$E73))*ROW(映射装备数值!$A$10:$A$56))),"未匹配")</f>
        <v>攻击加成</v>
      </c>
      <c r="K73">
        <f>IFERROR(INDEX(映射装备数值!L:L,SUMPRODUCT((映射装备数值!$C$10:$C$56=IF($F73="Blue","蓝",IF($F73="Purple","紫",IF($F73="Orange","金",IF($F73="Red","红",$F73)))))*((映射装备数值!$A$10:$A$56=$E73)+(映射装备数值!$B$10:$B$56=$E73))*ROW(映射装备数值!$A$10:$A$56))),"未匹配")</f>
        <v>0.023</v>
      </c>
      <c r="L73">
        <f>IFERROR(INDEX(映射装备数值!K:K,SUMPRODUCT((映射装备数值!$C$10:$C$56=IF($F73="Blue","蓝",IF($F73="Purple","紫",IF($F73="Orange","金",IF($F73="Red","红",$F73)))))*((映射装备数值!$A$10:$A$56=$E73)+(映射装备数值!$B$10:$B$56=$E73))*ROW(映射装备数值!$A$10:$A$56))),"未匹配")</f>
        <v>0.003</v>
      </c>
      <c r="M73" s="93">
        <v>1</v>
      </c>
      <c r="N73" s="93">
        <v>1</v>
      </c>
      <c r="O73" t="str">
        <f t="shared" si="6"/>
        <v>防御力</v>
      </c>
      <c r="P73">
        <f t="shared" si="7"/>
        <v>216</v>
      </c>
      <c r="Q73">
        <f t="shared" si="8"/>
        <v>28</v>
      </c>
      <c r="R73" t="str">
        <f t="shared" si="9"/>
        <v>攻击加成</v>
      </c>
      <c r="S73">
        <f t="shared" si="10"/>
        <v>0.023</v>
      </c>
      <c r="T73">
        <f t="shared" si="11"/>
        <v>0.003</v>
      </c>
      <c r="U73" t="s">
        <v>80</v>
      </c>
      <c r="V73">
        <v>390</v>
      </c>
      <c r="W73" s="7">
        <v>80071</v>
      </c>
    </row>
    <row r="74" ht="21" customHeight="1" spans="3:23">
      <c r="C74" s="7">
        <v>80072</v>
      </c>
      <c r="D74" s="7" t="s">
        <v>644</v>
      </c>
      <c r="E74" s="75" t="s">
        <v>419</v>
      </c>
      <c r="F74" s="92" t="s">
        <v>568</v>
      </c>
      <c r="G74" t="str">
        <f>IFERROR(INDEX(映射装备数值!D:D,SUMPRODUCT((映射装备数值!$C$10:$C$56=IF($F74="Blue","蓝",IF($F74="Purple","紫",IF($F74="Orange","金",IF($F74="Red","红",$F74)))))*((映射装备数值!$A$10:$A$56=$E74)+(映射装备数值!$B$10:$B$56=$E74))*ROW(映射装备数值!$A$10:$A$56))),"未匹配")</f>
        <v>防御力</v>
      </c>
      <c r="H74">
        <f>IFERROR(INDEX(映射装备数值!G:G,SUMPRODUCT((映射装备数值!$C$10:$C$56=IF($F74="Blue","蓝",IF($F74="Purple","紫",IF($F74="Orange","金",IF($F74="Red","红",$F74)))))*((映射装备数值!$A$10:$A$56=$E74)+(映射装备数值!$B$10:$B$56=$E74))*ROW(映射装备数值!$A$10:$A$56))),"未匹配")</f>
        <v>323.4375</v>
      </c>
      <c r="I74">
        <f>IFERROR(INDEX(映射装备数值!F:F,SUMPRODUCT((映射装备数值!$C$10:$C$56=IF($F74="Blue","蓝",IF($F74="Purple","紫",IF($F74="Orange","金",IF($F74="Red","红",$F74)))))*((映射装备数值!$A$10:$A$56=$E74)+(映射装备数值!$B$10:$B$56=$E74))*ROW(映射装备数值!$A$10:$A$56))),"未匹配")</f>
        <v>42.1875</v>
      </c>
      <c r="J74" t="str">
        <f>IFERROR(INDEX(映射装备数值!I:I,SUMPRODUCT((映射装备数值!$C$10:$C$56=IF($F74="Blue","蓝",IF($F74="Purple","紫",IF($F74="Orange","金",IF($F74="Red","红",$F74)))))*((映射装备数值!$A$10:$A$56=$E74)+(映射装备数值!$B$10:$B$56=$E74))*ROW(映射装备数值!$A$10:$A$56))),"未匹配")</f>
        <v>攻击加成</v>
      </c>
      <c r="K74">
        <f>IFERROR(INDEX(映射装备数值!L:L,SUMPRODUCT((映射装备数值!$C$10:$C$56=IF($F74="Blue","蓝",IF($F74="Purple","紫",IF($F74="Orange","金",IF($F74="Red","红",$F74)))))*((映射装备数值!$A$10:$A$56=$E74)+(映射装备数值!$B$10:$B$56=$E74))*ROW(映射装备数值!$A$10:$A$56))),"未匹配")</f>
        <v>0.0345</v>
      </c>
      <c r="L74">
        <f>IFERROR(INDEX(映射装备数值!K:K,SUMPRODUCT((映射装备数值!$C$10:$C$56=IF($F74="Blue","蓝",IF($F74="Purple","紫",IF($F74="Orange","金",IF($F74="Red","红",$F74)))))*((映射装备数值!$A$10:$A$56=$E74)+(映射装备数值!$B$10:$B$56=$E74))*ROW(映射装备数值!$A$10:$A$56))),"未匹配")</f>
        <v>0.0045</v>
      </c>
      <c r="M74" s="93">
        <v>1</v>
      </c>
      <c r="N74" s="93">
        <v>1</v>
      </c>
      <c r="O74" t="str">
        <f t="shared" si="6"/>
        <v>防御力</v>
      </c>
      <c r="P74">
        <f t="shared" si="7"/>
        <v>323</v>
      </c>
      <c r="Q74">
        <f t="shared" si="8"/>
        <v>42</v>
      </c>
      <c r="R74" t="str">
        <f t="shared" si="9"/>
        <v>攻击加成</v>
      </c>
      <c r="S74">
        <f t="shared" si="10"/>
        <v>0.035</v>
      </c>
      <c r="T74">
        <f t="shared" si="11"/>
        <v>0.0045</v>
      </c>
      <c r="U74" t="s">
        <v>80</v>
      </c>
      <c r="V74">
        <v>630</v>
      </c>
      <c r="W74" s="7">
        <v>80072</v>
      </c>
    </row>
    <row r="75" ht="21" customHeight="1" spans="3:23">
      <c r="C75" s="7">
        <v>80073</v>
      </c>
      <c r="D75" s="7" t="s">
        <v>645</v>
      </c>
      <c r="E75" s="75" t="s">
        <v>419</v>
      </c>
      <c r="F75" s="92" t="s">
        <v>564</v>
      </c>
      <c r="G75" t="str">
        <f>IFERROR(INDEX(映射装备数值!D:D,SUMPRODUCT((映射装备数值!$C$10:$C$56=IF($F75="Blue","蓝",IF($F75="Purple","紫",IF($F75="Orange","金",IF($F75="Red","红",$F75)))))*((映射装备数值!$A$10:$A$56=$E75)+(映射装备数值!$B$10:$B$56=$E75))*ROW(映射装备数值!$A$10:$A$56))),"未匹配")</f>
        <v>防御力</v>
      </c>
      <c r="H75">
        <f>IFERROR(INDEX(映射装备数值!G:G,SUMPRODUCT((映射装备数值!$C$10:$C$56=IF($F75="Blue","蓝",IF($F75="Purple","紫",IF($F75="Orange","金",IF($F75="Red","红",$F75)))))*((映射装备数值!$A$10:$A$56=$E75)+(映射装备数值!$B$10:$B$56=$E75))*ROW(映射装备数值!$A$10:$A$56))),"未匹配")</f>
        <v>129.375</v>
      </c>
      <c r="I75">
        <f>IFERROR(INDEX(映射装备数值!F:F,SUMPRODUCT((映射装备数值!$C$10:$C$56=IF($F75="Blue","蓝",IF($F75="Purple","紫",IF($F75="Orange","金",IF($F75="Red","红",$F75)))))*((映射装备数值!$A$10:$A$56=$E75)+(映射装备数值!$B$10:$B$56=$E75))*ROW(映射装备数值!$A$10:$A$56))),"未匹配")</f>
        <v>16.875</v>
      </c>
      <c r="J75" t="str">
        <f>IFERROR(INDEX(映射装备数值!I:I,SUMPRODUCT((映射装备数值!$C$10:$C$56=IF($F75="Blue","蓝",IF($F75="Purple","紫",IF($F75="Orange","金",IF($F75="Red","红",$F75)))))*((映射装备数值!$A$10:$A$56=$E75)+(映射装备数值!$B$10:$B$56=$E75))*ROW(映射装备数值!$A$10:$A$56))),"未匹配")</f>
        <v>攻击加成</v>
      </c>
      <c r="K75">
        <f>IFERROR(INDEX(映射装备数值!L:L,SUMPRODUCT((映射装备数值!$C$10:$C$56=IF($F75="Blue","蓝",IF($F75="Purple","紫",IF($F75="Orange","金",IF($F75="Red","红",$F75)))))*((映射装备数值!$A$10:$A$56=$E75)+(映射装备数值!$B$10:$B$56=$E75))*ROW(映射装备数值!$A$10:$A$56))),"未匹配")</f>
        <v>0.0138</v>
      </c>
      <c r="L75">
        <f>IFERROR(INDEX(映射装备数值!K:K,SUMPRODUCT((映射装备数值!$C$10:$C$56=IF($F75="Blue","蓝",IF($F75="Purple","紫",IF($F75="Orange","金",IF($F75="Red","红",$F75)))))*((映射装备数值!$A$10:$A$56=$E75)+(映射装备数值!$B$10:$B$56=$E75))*ROW(映射装备数值!$A$10:$A$56))),"未匹配")</f>
        <v>0.0018</v>
      </c>
      <c r="M75" s="93">
        <v>1.1</v>
      </c>
      <c r="N75" s="93">
        <v>0.9</v>
      </c>
      <c r="O75" t="str">
        <f t="shared" si="6"/>
        <v>防御力</v>
      </c>
      <c r="P75">
        <f t="shared" si="7"/>
        <v>142</v>
      </c>
      <c r="Q75">
        <f t="shared" si="8"/>
        <v>19</v>
      </c>
      <c r="R75" t="str">
        <f t="shared" si="9"/>
        <v>攻击加成</v>
      </c>
      <c r="S75">
        <f t="shared" si="10"/>
        <v>0.012</v>
      </c>
      <c r="T75">
        <f t="shared" si="11"/>
        <v>0.0016</v>
      </c>
      <c r="U75" t="s">
        <v>147</v>
      </c>
      <c r="V75">
        <v>0.015</v>
      </c>
      <c r="W75" s="7">
        <v>80073</v>
      </c>
    </row>
    <row r="76" ht="21" customHeight="1" spans="3:23">
      <c r="C76" s="7">
        <v>80074</v>
      </c>
      <c r="D76" s="7" t="s">
        <v>646</v>
      </c>
      <c r="E76" s="75" t="s">
        <v>419</v>
      </c>
      <c r="F76" s="92" t="s">
        <v>566</v>
      </c>
      <c r="G76" t="str">
        <f>IFERROR(INDEX(映射装备数值!D:D,SUMPRODUCT((映射装备数值!$C$10:$C$56=IF($F76="Blue","蓝",IF($F76="Purple","紫",IF($F76="Orange","金",IF($F76="Red","红",$F76)))))*((映射装备数值!$A$10:$A$56=$E76)+(映射装备数值!$B$10:$B$56=$E76))*ROW(映射装备数值!$A$10:$A$56))),"未匹配")</f>
        <v>防御力</v>
      </c>
      <c r="H76">
        <f>IFERROR(INDEX(映射装备数值!G:G,SUMPRODUCT((映射装备数值!$C$10:$C$56=IF($F76="Blue","蓝",IF($F76="Purple","紫",IF($F76="Orange","金",IF($F76="Red","红",$F76)))))*((映射装备数值!$A$10:$A$56=$E76)+(映射装备数值!$B$10:$B$56=$E76))*ROW(映射装备数值!$A$10:$A$56))),"未匹配")</f>
        <v>215.625</v>
      </c>
      <c r="I76">
        <f>IFERROR(INDEX(映射装备数值!F:F,SUMPRODUCT((映射装备数值!$C$10:$C$56=IF($F76="Blue","蓝",IF($F76="Purple","紫",IF($F76="Orange","金",IF($F76="Red","红",$F76)))))*((映射装备数值!$A$10:$A$56=$E76)+(映射装备数值!$B$10:$B$56=$E76))*ROW(映射装备数值!$A$10:$A$56))),"未匹配")</f>
        <v>28.125</v>
      </c>
      <c r="J76" t="str">
        <f>IFERROR(INDEX(映射装备数值!I:I,SUMPRODUCT((映射装备数值!$C$10:$C$56=IF($F76="Blue","蓝",IF($F76="Purple","紫",IF($F76="Orange","金",IF($F76="Red","红",$F76)))))*((映射装备数值!$A$10:$A$56=$E76)+(映射装备数值!$B$10:$B$56=$E76))*ROW(映射装备数值!$A$10:$A$56))),"未匹配")</f>
        <v>攻击加成</v>
      </c>
      <c r="K76">
        <f>IFERROR(INDEX(映射装备数值!L:L,SUMPRODUCT((映射装备数值!$C$10:$C$56=IF($F76="Blue","蓝",IF($F76="Purple","紫",IF($F76="Orange","金",IF($F76="Red","红",$F76)))))*((映射装备数值!$A$10:$A$56=$E76)+(映射装备数值!$B$10:$B$56=$E76))*ROW(映射装备数值!$A$10:$A$56))),"未匹配")</f>
        <v>0.023</v>
      </c>
      <c r="L76">
        <f>IFERROR(INDEX(映射装备数值!K:K,SUMPRODUCT((映射装备数值!$C$10:$C$56=IF($F76="Blue","蓝",IF($F76="Purple","紫",IF($F76="Orange","金",IF($F76="Red","红",$F76)))))*((映射装备数值!$A$10:$A$56=$E76)+(映射装备数值!$B$10:$B$56=$E76))*ROW(映射装备数值!$A$10:$A$56))),"未匹配")</f>
        <v>0.003</v>
      </c>
      <c r="M76" s="93">
        <v>1.1</v>
      </c>
      <c r="N76" s="93">
        <v>0.9</v>
      </c>
      <c r="O76" t="str">
        <f t="shared" si="6"/>
        <v>防御力</v>
      </c>
      <c r="P76">
        <f t="shared" si="7"/>
        <v>237</v>
      </c>
      <c r="Q76">
        <f t="shared" si="8"/>
        <v>31</v>
      </c>
      <c r="R76" t="str">
        <f t="shared" si="9"/>
        <v>攻击加成</v>
      </c>
      <c r="S76">
        <f t="shared" si="10"/>
        <v>0.021</v>
      </c>
      <c r="T76">
        <f t="shared" si="11"/>
        <v>0.0027</v>
      </c>
      <c r="U76" t="s">
        <v>147</v>
      </c>
      <c r="V76">
        <v>0.025</v>
      </c>
      <c r="W76" s="7">
        <v>80074</v>
      </c>
    </row>
    <row r="77" ht="21" customHeight="1" spans="3:23">
      <c r="C77" s="7">
        <v>80075</v>
      </c>
      <c r="D77" s="7" t="s">
        <v>647</v>
      </c>
      <c r="E77" s="75" t="s">
        <v>419</v>
      </c>
      <c r="F77" s="92" t="s">
        <v>568</v>
      </c>
      <c r="G77" t="str">
        <f>IFERROR(INDEX(映射装备数值!D:D,SUMPRODUCT((映射装备数值!$C$10:$C$56=IF($F77="Blue","蓝",IF($F77="Purple","紫",IF($F77="Orange","金",IF($F77="Red","红",$F77)))))*((映射装备数值!$A$10:$A$56=$E77)+(映射装备数值!$B$10:$B$56=$E77))*ROW(映射装备数值!$A$10:$A$56))),"未匹配")</f>
        <v>防御力</v>
      </c>
      <c r="H77">
        <f>IFERROR(INDEX(映射装备数值!G:G,SUMPRODUCT((映射装备数值!$C$10:$C$56=IF($F77="Blue","蓝",IF($F77="Purple","紫",IF($F77="Orange","金",IF($F77="Red","红",$F77)))))*((映射装备数值!$A$10:$A$56=$E77)+(映射装备数值!$B$10:$B$56=$E77))*ROW(映射装备数值!$A$10:$A$56))),"未匹配")</f>
        <v>323.4375</v>
      </c>
      <c r="I77">
        <f>IFERROR(INDEX(映射装备数值!F:F,SUMPRODUCT((映射装备数值!$C$10:$C$56=IF($F77="Blue","蓝",IF($F77="Purple","紫",IF($F77="Orange","金",IF($F77="Red","红",$F77)))))*((映射装备数值!$A$10:$A$56=$E77)+(映射装备数值!$B$10:$B$56=$E77))*ROW(映射装备数值!$A$10:$A$56))),"未匹配")</f>
        <v>42.1875</v>
      </c>
      <c r="J77" t="str">
        <f>IFERROR(INDEX(映射装备数值!I:I,SUMPRODUCT((映射装备数值!$C$10:$C$56=IF($F77="Blue","蓝",IF($F77="Purple","紫",IF($F77="Orange","金",IF($F77="Red","红",$F77)))))*((映射装备数值!$A$10:$A$56=$E77)+(映射装备数值!$B$10:$B$56=$E77))*ROW(映射装备数值!$A$10:$A$56))),"未匹配")</f>
        <v>攻击加成</v>
      </c>
      <c r="K77">
        <f>IFERROR(INDEX(映射装备数值!L:L,SUMPRODUCT((映射装备数值!$C$10:$C$56=IF($F77="Blue","蓝",IF($F77="Purple","紫",IF($F77="Orange","金",IF($F77="Red","红",$F77)))))*((映射装备数值!$A$10:$A$56=$E77)+(映射装备数值!$B$10:$B$56=$E77))*ROW(映射装备数值!$A$10:$A$56))),"未匹配")</f>
        <v>0.0345</v>
      </c>
      <c r="L77">
        <f>IFERROR(INDEX(映射装备数值!K:K,SUMPRODUCT((映射装备数值!$C$10:$C$56=IF($F77="Blue","蓝",IF($F77="Purple","紫",IF($F77="Orange","金",IF($F77="Red","红",$F77)))))*((映射装备数值!$A$10:$A$56=$E77)+(映射装备数值!$B$10:$B$56=$E77))*ROW(映射装备数值!$A$10:$A$56))),"未匹配")</f>
        <v>0.0045</v>
      </c>
      <c r="M77" s="93">
        <v>1.1</v>
      </c>
      <c r="N77" s="93">
        <v>0.9</v>
      </c>
      <c r="O77" t="str">
        <f t="shared" si="6"/>
        <v>防御力</v>
      </c>
      <c r="P77">
        <f t="shared" si="7"/>
        <v>356</v>
      </c>
      <c r="Q77">
        <f t="shared" si="8"/>
        <v>46</v>
      </c>
      <c r="R77" t="str">
        <f t="shared" si="9"/>
        <v>攻击加成</v>
      </c>
      <c r="S77">
        <f t="shared" si="10"/>
        <v>0.031</v>
      </c>
      <c r="T77">
        <f t="shared" si="11"/>
        <v>0.0041</v>
      </c>
      <c r="U77" t="s">
        <v>147</v>
      </c>
      <c r="V77">
        <v>0.035</v>
      </c>
      <c r="W77" s="7">
        <v>80075</v>
      </c>
    </row>
    <row r="78" ht="21" customHeight="1" spans="3:23">
      <c r="C78" s="7">
        <v>80076</v>
      </c>
      <c r="D78" s="7" t="s">
        <v>648</v>
      </c>
      <c r="E78" s="75" t="s">
        <v>419</v>
      </c>
      <c r="F78" s="92" t="s">
        <v>564</v>
      </c>
      <c r="G78" t="str">
        <f>IFERROR(INDEX(映射装备数值!D:D,SUMPRODUCT((映射装备数值!$C$10:$C$56=IF($F78="Blue","蓝",IF($F78="Purple","紫",IF($F78="Orange","金",IF($F78="Red","红",$F78)))))*((映射装备数值!$A$10:$A$56=$E78)+(映射装备数值!$B$10:$B$56=$E78))*ROW(映射装备数值!$A$10:$A$56))),"未匹配")</f>
        <v>防御力</v>
      </c>
      <c r="H78">
        <f>IFERROR(INDEX(映射装备数值!G:G,SUMPRODUCT((映射装备数值!$C$10:$C$56=IF($F78="Blue","蓝",IF($F78="Purple","紫",IF($F78="Orange","金",IF($F78="Red","红",$F78)))))*((映射装备数值!$A$10:$A$56=$E78)+(映射装备数值!$B$10:$B$56=$E78))*ROW(映射装备数值!$A$10:$A$56))),"未匹配")</f>
        <v>129.375</v>
      </c>
      <c r="I78">
        <f>IFERROR(INDEX(映射装备数值!F:F,SUMPRODUCT((映射装备数值!$C$10:$C$56=IF($F78="Blue","蓝",IF($F78="Purple","紫",IF($F78="Orange","金",IF($F78="Red","红",$F78)))))*((映射装备数值!$A$10:$A$56=$E78)+(映射装备数值!$B$10:$B$56=$E78))*ROW(映射装备数值!$A$10:$A$56))),"未匹配")</f>
        <v>16.875</v>
      </c>
      <c r="J78" t="str">
        <f>IFERROR(INDEX(映射装备数值!I:I,SUMPRODUCT((映射装备数值!$C$10:$C$56=IF($F78="Blue","蓝",IF($F78="Purple","紫",IF($F78="Orange","金",IF($F78="Red","红",$F78)))))*((映射装备数值!$A$10:$A$56=$E78)+(映射装备数值!$B$10:$B$56=$E78))*ROW(映射装备数值!$A$10:$A$56))),"未匹配")</f>
        <v>攻击加成</v>
      </c>
      <c r="K78">
        <f>IFERROR(INDEX(映射装备数值!L:L,SUMPRODUCT((映射装备数值!$C$10:$C$56=IF($F78="Blue","蓝",IF($F78="Purple","紫",IF($F78="Orange","金",IF($F78="Red","红",$F78)))))*((映射装备数值!$A$10:$A$56=$E78)+(映射装备数值!$B$10:$B$56=$E78))*ROW(映射装备数值!$A$10:$A$56))),"未匹配")</f>
        <v>0.0138</v>
      </c>
      <c r="L78">
        <f>IFERROR(INDEX(映射装备数值!K:K,SUMPRODUCT((映射装备数值!$C$10:$C$56=IF($F78="Blue","蓝",IF($F78="Purple","紫",IF($F78="Orange","金",IF($F78="Red","红",$F78)))))*((映射装备数值!$A$10:$A$56=$E78)+(映射装备数值!$B$10:$B$56=$E78))*ROW(映射装备数值!$A$10:$A$56))),"未匹配")</f>
        <v>0.0018</v>
      </c>
      <c r="M78" s="93">
        <v>1.05</v>
      </c>
      <c r="N78" s="93">
        <v>0.95</v>
      </c>
      <c r="O78" t="str">
        <f t="shared" si="6"/>
        <v>防御力</v>
      </c>
      <c r="P78">
        <f t="shared" si="7"/>
        <v>136</v>
      </c>
      <c r="Q78">
        <f t="shared" si="8"/>
        <v>18</v>
      </c>
      <c r="R78" t="str">
        <f t="shared" si="9"/>
        <v>攻击加成</v>
      </c>
      <c r="S78">
        <f t="shared" si="10"/>
        <v>0.013</v>
      </c>
      <c r="T78">
        <f t="shared" si="11"/>
        <v>0.0017</v>
      </c>
      <c r="U78" t="s">
        <v>605</v>
      </c>
      <c r="V78">
        <v>0.02</v>
      </c>
      <c r="W78" s="7">
        <v>80076</v>
      </c>
    </row>
    <row r="79" ht="21" customHeight="1" spans="3:23">
      <c r="C79" s="7">
        <v>80077</v>
      </c>
      <c r="D79" s="7" t="s">
        <v>649</v>
      </c>
      <c r="E79" s="75" t="s">
        <v>419</v>
      </c>
      <c r="F79" s="92" t="s">
        <v>566</v>
      </c>
      <c r="G79" t="str">
        <f>IFERROR(INDEX(映射装备数值!D:D,SUMPRODUCT((映射装备数值!$C$10:$C$56=IF($F79="Blue","蓝",IF($F79="Purple","紫",IF($F79="Orange","金",IF($F79="Red","红",$F79)))))*((映射装备数值!$A$10:$A$56=$E79)+(映射装备数值!$B$10:$B$56=$E79))*ROW(映射装备数值!$A$10:$A$56))),"未匹配")</f>
        <v>防御力</v>
      </c>
      <c r="H79">
        <f>IFERROR(INDEX(映射装备数值!G:G,SUMPRODUCT((映射装备数值!$C$10:$C$56=IF($F79="Blue","蓝",IF($F79="Purple","紫",IF($F79="Orange","金",IF($F79="Red","红",$F79)))))*((映射装备数值!$A$10:$A$56=$E79)+(映射装备数值!$B$10:$B$56=$E79))*ROW(映射装备数值!$A$10:$A$56))),"未匹配")</f>
        <v>215.625</v>
      </c>
      <c r="I79">
        <f>IFERROR(INDEX(映射装备数值!F:F,SUMPRODUCT((映射装备数值!$C$10:$C$56=IF($F79="Blue","蓝",IF($F79="Purple","紫",IF($F79="Orange","金",IF($F79="Red","红",$F79)))))*((映射装备数值!$A$10:$A$56=$E79)+(映射装备数值!$B$10:$B$56=$E79))*ROW(映射装备数值!$A$10:$A$56))),"未匹配")</f>
        <v>28.125</v>
      </c>
      <c r="J79" t="str">
        <f>IFERROR(INDEX(映射装备数值!I:I,SUMPRODUCT((映射装备数值!$C$10:$C$56=IF($F79="Blue","蓝",IF($F79="Purple","紫",IF($F79="Orange","金",IF($F79="Red","红",$F79)))))*((映射装备数值!$A$10:$A$56=$E79)+(映射装备数值!$B$10:$B$56=$E79))*ROW(映射装备数值!$A$10:$A$56))),"未匹配")</f>
        <v>攻击加成</v>
      </c>
      <c r="K79">
        <f>IFERROR(INDEX(映射装备数值!L:L,SUMPRODUCT((映射装备数值!$C$10:$C$56=IF($F79="Blue","蓝",IF($F79="Purple","紫",IF($F79="Orange","金",IF($F79="Red","红",$F79)))))*((映射装备数值!$A$10:$A$56=$E79)+(映射装备数值!$B$10:$B$56=$E79))*ROW(映射装备数值!$A$10:$A$56))),"未匹配")</f>
        <v>0.023</v>
      </c>
      <c r="L79">
        <f>IFERROR(INDEX(映射装备数值!K:K,SUMPRODUCT((映射装备数值!$C$10:$C$56=IF($F79="Blue","蓝",IF($F79="Purple","紫",IF($F79="Orange","金",IF($F79="Red","红",$F79)))))*((映射装备数值!$A$10:$A$56=$E79)+(映射装备数值!$B$10:$B$56=$E79))*ROW(映射装备数值!$A$10:$A$56))),"未匹配")</f>
        <v>0.003</v>
      </c>
      <c r="M79" s="93">
        <v>1.05</v>
      </c>
      <c r="N79" s="93">
        <v>0.95</v>
      </c>
      <c r="O79" t="str">
        <f t="shared" si="6"/>
        <v>防御力</v>
      </c>
      <c r="P79">
        <f t="shared" si="7"/>
        <v>226</v>
      </c>
      <c r="Q79">
        <f t="shared" si="8"/>
        <v>30</v>
      </c>
      <c r="R79" t="str">
        <f t="shared" si="9"/>
        <v>攻击加成</v>
      </c>
      <c r="S79">
        <f t="shared" si="10"/>
        <v>0.022</v>
      </c>
      <c r="T79">
        <f t="shared" si="11"/>
        <v>0.0029</v>
      </c>
      <c r="U79" t="s">
        <v>605</v>
      </c>
      <c r="V79">
        <v>0.03</v>
      </c>
      <c r="W79" s="7">
        <v>80077</v>
      </c>
    </row>
    <row r="80" ht="21" customHeight="1" spans="3:23">
      <c r="C80" s="7">
        <v>80078</v>
      </c>
      <c r="D80" s="7" t="s">
        <v>650</v>
      </c>
      <c r="E80" s="75" t="s">
        <v>419</v>
      </c>
      <c r="F80" s="92" t="s">
        <v>568</v>
      </c>
      <c r="G80" t="str">
        <f>IFERROR(INDEX(映射装备数值!D:D,SUMPRODUCT((映射装备数值!$C$10:$C$56=IF($F80="Blue","蓝",IF($F80="Purple","紫",IF($F80="Orange","金",IF($F80="Red","红",$F80)))))*((映射装备数值!$A$10:$A$56=$E80)+(映射装备数值!$B$10:$B$56=$E80))*ROW(映射装备数值!$A$10:$A$56))),"未匹配")</f>
        <v>防御力</v>
      </c>
      <c r="H80">
        <f>IFERROR(INDEX(映射装备数值!G:G,SUMPRODUCT((映射装备数值!$C$10:$C$56=IF($F80="Blue","蓝",IF($F80="Purple","紫",IF($F80="Orange","金",IF($F80="Red","红",$F80)))))*((映射装备数值!$A$10:$A$56=$E80)+(映射装备数值!$B$10:$B$56=$E80))*ROW(映射装备数值!$A$10:$A$56))),"未匹配")</f>
        <v>323.4375</v>
      </c>
      <c r="I80">
        <f>IFERROR(INDEX(映射装备数值!F:F,SUMPRODUCT((映射装备数值!$C$10:$C$56=IF($F80="Blue","蓝",IF($F80="Purple","紫",IF($F80="Orange","金",IF($F80="Red","红",$F80)))))*((映射装备数值!$A$10:$A$56=$E80)+(映射装备数值!$B$10:$B$56=$E80))*ROW(映射装备数值!$A$10:$A$56))),"未匹配")</f>
        <v>42.1875</v>
      </c>
      <c r="J80" t="str">
        <f>IFERROR(INDEX(映射装备数值!I:I,SUMPRODUCT((映射装备数值!$C$10:$C$56=IF($F80="Blue","蓝",IF($F80="Purple","紫",IF($F80="Orange","金",IF($F80="Red","红",$F80)))))*((映射装备数值!$A$10:$A$56=$E80)+(映射装备数值!$B$10:$B$56=$E80))*ROW(映射装备数值!$A$10:$A$56))),"未匹配")</f>
        <v>攻击加成</v>
      </c>
      <c r="K80">
        <f>IFERROR(INDEX(映射装备数值!L:L,SUMPRODUCT((映射装备数值!$C$10:$C$56=IF($F80="Blue","蓝",IF($F80="Purple","紫",IF($F80="Orange","金",IF($F80="Red","红",$F80)))))*((映射装备数值!$A$10:$A$56=$E80)+(映射装备数值!$B$10:$B$56=$E80))*ROW(映射装备数值!$A$10:$A$56))),"未匹配")</f>
        <v>0.0345</v>
      </c>
      <c r="L80">
        <f>IFERROR(INDEX(映射装备数值!K:K,SUMPRODUCT((映射装备数值!$C$10:$C$56=IF($F80="Blue","蓝",IF($F80="Purple","紫",IF($F80="Orange","金",IF($F80="Red","红",$F80)))))*((映射装备数值!$A$10:$A$56=$E80)+(映射装备数值!$B$10:$B$56=$E80))*ROW(映射装备数值!$A$10:$A$56))),"未匹配")</f>
        <v>0.0045</v>
      </c>
      <c r="M80" s="93">
        <v>1.05</v>
      </c>
      <c r="N80" s="93">
        <v>0.95</v>
      </c>
      <c r="O80" t="str">
        <f t="shared" si="6"/>
        <v>防御力</v>
      </c>
      <c r="P80">
        <f t="shared" si="7"/>
        <v>340</v>
      </c>
      <c r="Q80">
        <f t="shared" si="8"/>
        <v>44</v>
      </c>
      <c r="R80" t="str">
        <f t="shared" si="9"/>
        <v>攻击加成</v>
      </c>
      <c r="S80">
        <f t="shared" si="10"/>
        <v>0.033</v>
      </c>
      <c r="T80">
        <f t="shared" si="11"/>
        <v>0.0043</v>
      </c>
      <c r="U80" t="s">
        <v>605</v>
      </c>
      <c r="V80">
        <v>0.04</v>
      </c>
      <c r="W80" s="7">
        <v>80078</v>
      </c>
    </row>
    <row r="81" ht="21" customHeight="1" spans="3:23">
      <c r="C81" s="7">
        <v>80079</v>
      </c>
      <c r="D81" s="7" t="s">
        <v>651</v>
      </c>
      <c r="E81" s="75" t="s">
        <v>419</v>
      </c>
      <c r="F81" s="92" t="s">
        <v>564</v>
      </c>
      <c r="G81" t="str">
        <f>IFERROR(INDEX(映射装备数值!D:D,SUMPRODUCT((映射装备数值!$C$10:$C$56=IF($F81="Blue","蓝",IF($F81="Purple","紫",IF($F81="Orange","金",IF($F81="Red","红",$F81)))))*((映射装备数值!$A$10:$A$56=$E81)+(映射装备数值!$B$10:$B$56=$E81))*ROW(映射装备数值!$A$10:$A$56))),"未匹配")</f>
        <v>防御力</v>
      </c>
      <c r="H81">
        <f>IFERROR(INDEX(映射装备数值!G:G,SUMPRODUCT((映射装备数值!$C$10:$C$56=IF($F81="Blue","蓝",IF($F81="Purple","紫",IF($F81="Orange","金",IF($F81="Red","红",$F81)))))*((映射装备数值!$A$10:$A$56=$E81)+(映射装备数值!$B$10:$B$56=$E81))*ROW(映射装备数值!$A$10:$A$56))),"未匹配")</f>
        <v>129.375</v>
      </c>
      <c r="I81">
        <f>IFERROR(INDEX(映射装备数值!F:F,SUMPRODUCT((映射装备数值!$C$10:$C$56=IF($F81="Blue","蓝",IF($F81="Purple","紫",IF($F81="Orange","金",IF($F81="Red","红",$F81)))))*((映射装备数值!$A$10:$A$56=$E81)+(映射装备数值!$B$10:$B$56=$E81))*ROW(映射装备数值!$A$10:$A$56))),"未匹配")</f>
        <v>16.875</v>
      </c>
      <c r="J81" t="str">
        <f>IFERROR(INDEX(映射装备数值!I:I,SUMPRODUCT((映射装备数值!$C$10:$C$56=IF($F81="Blue","蓝",IF($F81="Purple","紫",IF($F81="Orange","金",IF($F81="Red","红",$F81)))))*((映射装备数值!$A$10:$A$56=$E81)+(映射装备数值!$B$10:$B$56=$E81))*ROW(映射装备数值!$A$10:$A$56))),"未匹配")</f>
        <v>攻击加成</v>
      </c>
      <c r="K81">
        <f>IFERROR(INDEX(映射装备数值!L:L,SUMPRODUCT((映射装备数值!$C$10:$C$56=IF($F81="Blue","蓝",IF($F81="Purple","紫",IF($F81="Orange","金",IF($F81="Red","红",$F81)))))*((映射装备数值!$A$10:$A$56=$E81)+(映射装备数值!$B$10:$B$56=$E81))*ROW(映射装备数值!$A$10:$A$56))),"未匹配")</f>
        <v>0.0138</v>
      </c>
      <c r="L81">
        <f>IFERROR(INDEX(映射装备数值!K:K,SUMPRODUCT((映射装备数值!$C$10:$C$56=IF($F81="Blue","蓝",IF($F81="Purple","紫",IF($F81="Orange","金",IF($F81="Red","红",$F81)))))*((映射装备数值!$A$10:$A$56=$E81)+(映射装备数值!$B$10:$B$56=$E81))*ROW(映射装备数值!$A$10:$A$56))),"未匹配")</f>
        <v>0.0018</v>
      </c>
      <c r="M81" s="93">
        <v>1</v>
      </c>
      <c r="N81" s="93">
        <v>1</v>
      </c>
      <c r="O81" t="str">
        <f t="shared" si="6"/>
        <v>防御力</v>
      </c>
      <c r="P81">
        <f t="shared" si="7"/>
        <v>129</v>
      </c>
      <c r="Q81">
        <f t="shared" si="8"/>
        <v>17</v>
      </c>
      <c r="R81" t="str">
        <f t="shared" si="9"/>
        <v>攻击加成</v>
      </c>
      <c r="S81">
        <f t="shared" si="10"/>
        <v>0.014</v>
      </c>
      <c r="T81">
        <f t="shared" si="11"/>
        <v>0.0018</v>
      </c>
      <c r="U81" t="s">
        <v>544</v>
      </c>
      <c r="V81">
        <v>100</v>
      </c>
      <c r="W81" s="7">
        <v>80079</v>
      </c>
    </row>
    <row r="82" ht="21" customHeight="1" spans="3:23">
      <c r="C82" s="7">
        <v>80080</v>
      </c>
      <c r="D82" s="7" t="s">
        <v>652</v>
      </c>
      <c r="E82" s="75" t="s">
        <v>419</v>
      </c>
      <c r="F82" s="92" t="s">
        <v>566</v>
      </c>
      <c r="G82" t="str">
        <f>IFERROR(INDEX(映射装备数值!D:D,SUMPRODUCT((映射装备数值!$C$10:$C$56=IF($F82="Blue","蓝",IF($F82="Purple","紫",IF($F82="Orange","金",IF($F82="Red","红",$F82)))))*((映射装备数值!$A$10:$A$56=$E82)+(映射装备数值!$B$10:$B$56=$E82))*ROW(映射装备数值!$A$10:$A$56))),"未匹配")</f>
        <v>防御力</v>
      </c>
      <c r="H82">
        <f>IFERROR(INDEX(映射装备数值!G:G,SUMPRODUCT((映射装备数值!$C$10:$C$56=IF($F82="Blue","蓝",IF($F82="Purple","紫",IF($F82="Orange","金",IF($F82="Red","红",$F82)))))*((映射装备数值!$A$10:$A$56=$E82)+(映射装备数值!$B$10:$B$56=$E82))*ROW(映射装备数值!$A$10:$A$56))),"未匹配")</f>
        <v>215.625</v>
      </c>
      <c r="I82">
        <f>IFERROR(INDEX(映射装备数值!F:F,SUMPRODUCT((映射装备数值!$C$10:$C$56=IF($F82="Blue","蓝",IF($F82="Purple","紫",IF($F82="Orange","金",IF($F82="Red","红",$F82)))))*((映射装备数值!$A$10:$A$56=$E82)+(映射装备数值!$B$10:$B$56=$E82))*ROW(映射装备数值!$A$10:$A$56))),"未匹配")</f>
        <v>28.125</v>
      </c>
      <c r="J82" t="str">
        <f>IFERROR(INDEX(映射装备数值!I:I,SUMPRODUCT((映射装备数值!$C$10:$C$56=IF($F82="Blue","蓝",IF($F82="Purple","紫",IF($F82="Orange","金",IF($F82="Red","红",$F82)))))*((映射装备数值!$A$10:$A$56=$E82)+(映射装备数值!$B$10:$B$56=$E82))*ROW(映射装备数值!$A$10:$A$56))),"未匹配")</f>
        <v>攻击加成</v>
      </c>
      <c r="K82">
        <f>IFERROR(INDEX(映射装备数值!L:L,SUMPRODUCT((映射装备数值!$C$10:$C$56=IF($F82="Blue","蓝",IF($F82="Purple","紫",IF($F82="Orange","金",IF($F82="Red","红",$F82)))))*((映射装备数值!$A$10:$A$56=$E82)+(映射装备数值!$B$10:$B$56=$E82))*ROW(映射装备数值!$A$10:$A$56))),"未匹配")</f>
        <v>0.023</v>
      </c>
      <c r="L82">
        <f>IFERROR(INDEX(映射装备数值!K:K,SUMPRODUCT((映射装备数值!$C$10:$C$56=IF($F82="Blue","蓝",IF($F82="Purple","紫",IF($F82="Orange","金",IF($F82="Red","红",$F82)))))*((映射装备数值!$A$10:$A$56=$E82)+(映射装备数值!$B$10:$B$56=$E82))*ROW(映射装备数值!$A$10:$A$56))),"未匹配")</f>
        <v>0.003</v>
      </c>
      <c r="M82" s="93">
        <v>1</v>
      </c>
      <c r="N82" s="93">
        <v>1</v>
      </c>
      <c r="O82" t="str">
        <f t="shared" si="6"/>
        <v>防御力</v>
      </c>
      <c r="P82">
        <f t="shared" si="7"/>
        <v>216</v>
      </c>
      <c r="Q82">
        <f t="shared" si="8"/>
        <v>28</v>
      </c>
      <c r="R82" t="str">
        <f t="shared" si="9"/>
        <v>攻击加成</v>
      </c>
      <c r="S82">
        <f t="shared" si="10"/>
        <v>0.023</v>
      </c>
      <c r="T82">
        <f t="shared" si="11"/>
        <v>0.003</v>
      </c>
      <c r="U82" t="s">
        <v>544</v>
      </c>
      <c r="V82">
        <v>200</v>
      </c>
      <c r="W82" s="7">
        <v>80080</v>
      </c>
    </row>
    <row r="83" ht="21" customHeight="1" spans="3:23">
      <c r="C83" s="88">
        <v>80081</v>
      </c>
      <c r="D83" s="88" t="s">
        <v>653</v>
      </c>
      <c r="E83" s="76" t="s">
        <v>419</v>
      </c>
      <c r="F83" s="94" t="s">
        <v>568</v>
      </c>
      <c r="G83" t="str">
        <f>IFERROR(INDEX(映射装备数值!D:D,SUMPRODUCT((映射装备数值!$C$10:$C$56=IF($F83="Blue","蓝",IF($F83="Purple","紫",IF($F83="Orange","金",IF($F83="Red","红",$F83)))))*((映射装备数值!$A$10:$A$56=$E83)+(映射装备数值!$B$10:$B$56=$E83))*ROW(映射装备数值!$A$10:$A$56))),"未匹配")</f>
        <v>防御力</v>
      </c>
      <c r="H83">
        <f>IFERROR(INDEX(映射装备数值!G:G,SUMPRODUCT((映射装备数值!$C$10:$C$56=IF($F83="Blue","蓝",IF($F83="Purple","紫",IF($F83="Orange","金",IF($F83="Red","红",$F83)))))*((映射装备数值!$A$10:$A$56=$E83)+(映射装备数值!$B$10:$B$56=$E83))*ROW(映射装备数值!$A$10:$A$56))),"未匹配")</f>
        <v>323.4375</v>
      </c>
      <c r="I83">
        <f>IFERROR(INDEX(映射装备数值!F:F,SUMPRODUCT((映射装备数值!$C$10:$C$56=IF($F83="Blue","蓝",IF($F83="Purple","紫",IF($F83="Orange","金",IF($F83="Red","红",$F83)))))*((映射装备数值!$A$10:$A$56=$E83)+(映射装备数值!$B$10:$B$56=$E83))*ROW(映射装备数值!$A$10:$A$56))),"未匹配")</f>
        <v>42.1875</v>
      </c>
      <c r="J83" t="str">
        <f>IFERROR(INDEX(映射装备数值!I:I,SUMPRODUCT((映射装备数值!$C$10:$C$56=IF($F83="Blue","蓝",IF($F83="Purple","紫",IF($F83="Orange","金",IF($F83="Red","红",$F83)))))*((映射装备数值!$A$10:$A$56=$E83)+(映射装备数值!$B$10:$B$56=$E83))*ROW(映射装备数值!$A$10:$A$56))),"未匹配")</f>
        <v>攻击加成</v>
      </c>
      <c r="K83">
        <f>IFERROR(INDEX(映射装备数值!L:L,SUMPRODUCT((映射装备数值!$C$10:$C$56=IF($F83="Blue","蓝",IF($F83="Purple","紫",IF($F83="Orange","金",IF($F83="Red","红",$F83)))))*((映射装备数值!$A$10:$A$56=$E83)+(映射装备数值!$B$10:$B$56=$E83))*ROW(映射装备数值!$A$10:$A$56))),"未匹配")</f>
        <v>0.0345</v>
      </c>
      <c r="L83">
        <f>IFERROR(INDEX(映射装备数值!K:K,SUMPRODUCT((映射装备数值!$C$10:$C$56=IF($F83="Blue","蓝",IF($F83="Purple","紫",IF($F83="Orange","金",IF($F83="Red","红",$F83)))))*((映射装备数值!$A$10:$A$56=$E83)+(映射装备数值!$B$10:$B$56=$E83))*ROW(映射装备数值!$A$10:$A$56))),"未匹配")</f>
        <v>0.0045</v>
      </c>
      <c r="M83" s="93">
        <v>1</v>
      </c>
      <c r="N83" s="93">
        <v>1</v>
      </c>
      <c r="O83" t="str">
        <f t="shared" si="6"/>
        <v>防御力</v>
      </c>
      <c r="P83">
        <f t="shared" si="7"/>
        <v>323</v>
      </c>
      <c r="Q83">
        <f t="shared" si="8"/>
        <v>42</v>
      </c>
      <c r="R83" t="str">
        <f t="shared" si="9"/>
        <v>攻击加成</v>
      </c>
      <c r="S83">
        <f t="shared" si="10"/>
        <v>0.035</v>
      </c>
      <c r="T83">
        <f t="shared" si="11"/>
        <v>0.0045</v>
      </c>
      <c r="U83" t="s">
        <v>544</v>
      </c>
      <c r="V83">
        <v>400</v>
      </c>
      <c r="W83" s="88">
        <v>80081</v>
      </c>
    </row>
    <row r="84" ht="21" customHeight="1" spans="3:23">
      <c r="C84" s="7">
        <v>80082</v>
      </c>
      <c r="D84" s="7" t="s">
        <v>654</v>
      </c>
      <c r="E84" s="75" t="s">
        <v>420</v>
      </c>
      <c r="F84" s="92" t="s">
        <v>564</v>
      </c>
      <c r="G84" t="str">
        <f>IFERROR(INDEX(映射装备数值!D:D,SUMPRODUCT((映射装备数值!$C$10:$C$56=IF($F84="Blue","蓝",IF($F84="Purple","紫",IF($F84="Orange","金",IF($F84="Red","红",$F84)))))*((映射装备数值!$A$10:$A$56=$E84)+(映射装备数值!$B$10:$B$56=$E84))*ROW(映射装备数值!$A$10:$A$56))),"未匹配")</f>
        <v>生命</v>
      </c>
      <c r="H84">
        <f>IFERROR(INDEX(映射装备数值!G:G,SUMPRODUCT((映射装备数值!$C$10:$C$56=IF($F84="Blue","蓝",IF($F84="Purple","紫",IF($F84="Orange","金",IF($F84="Red","红",$F84)))))*((映射装备数值!$A$10:$A$56=$E84)+(映射装备数值!$B$10:$B$56=$E84))*ROW(映射装备数值!$A$10:$A$56))),"未匹配")</f>
        <v>646.875</v>
      </c>
      <c r="I84">
        <f>IFERROR(INDEX(映射装备数值!F:F,SUMPRODUCT((映射装备数值!$C$10:$C$56=IF($F84="Blue","蓝",IF($F84="Purple","紫",IF($F84="Orange","金",IF($F84="Red","红",$F84)))))*((映射装备数值!$A$10:$A$56=$E84)+(映射装备数值!$B$10:$B$56=$E84))*ROW(映射装备数值!$A$10:$A$56))),"未匹配")</f>
        <v>84.375</v>
      </c>
      <c r="J84" t="str">
        <f>IFERROR(INDEX(映射装备数值!I:I,SUMPRODUCT((映射装备数值!$C$10:$C$56=IF($F84="Blue","蓝",IF($F84="Purple","紫",IF($F84="Orange","金",IF($F84="Red","红",$F84)))))*((映射装备数值!$A$10:$A$56=$E84)+(映射装备数值!$B$10:$B$56=$E84))*ROW(映射装备数值!$A$10:$A$56))),"未匹配")</f>
        <v>生命加成</v>
      </c>
      <c r="K84">
        <f>IFERROR(INDEX(映射装备数值!L:L,SUMPRODUCT((映射装备数值!$C$10:$C$56=IF($F84="Blue","蓝",IF($F84="Purple","紫",IF($F84="Orange","金",IF($F84="Red","红",$F84)))))*((映射装备数值!$A$10:$A$56=$E84)+(映射装备数值!$B$10:$B$56=$E84))*ROW(映射装备数值!$A$10:$A$56))),"未匹配")</f>
        <v>0.0138</v>
      </c>
      <c r="L84">
        <f>IFERROR(INDEX(映射装备数值!K:K,SUMPRODUCT((映射装备数值!$C$10:$C$56=IF($F84="Blue","蓝",IF($F84="Purple","紫",IF($F84="Orange","金",IF($F84="Red","红",$F84)))))*((映射装备数值!$A$10:$A$56=$E84)+(映射装备数值!$B$10:$B$56=$E84))*ROW(映射装备数值!$A$10:$A$56))),"未匹配")</f>
        <v>0.0018</v>
      </c>
      <c r="M84" s="93">
        <v>0.95</v>
      </c>
      <c r="N84" s="93">
        <v>1.05</v>
      </c>
      <c r="O84" t="str">
        <f t="shared" si="6"/>
        <v>生命</v>
      </c>
      <c r="P84">
        <f t="shared" si="7"/>
        <v>615</v>
      </c>
      <c r="Q84">
        <f t="shared" si="8"/>
        <v>80</v>
      </c>
      <c r="R84" t="str">
        <f t="shared" si="9"/>
        <v>生命加成</v>
      </c>
      <c r="S84">
        <f t="shared" si="10"/>
        <v>0.014</v>
      </c>
      <c r="T84">
        <f t="shared" si="11"/>
        <v>0.0019</v>
      </c>
      <c r="U84" t="s">
        <v>136</v>
      </c>
      <c r="V84">
        <v>0.02</v>
      </c>
      <c r="W84" s="7">
        <v>80082</v>
      </c>
    </row>
    <row r="85" ht="21" customHeight="1" spans="3:23">
      <c r="C85" s="7">
        <v>80083</v>
      </c>
      <c r="D85" s="7" t="s">
        <v>655</v>
      </c>
      <c r="E85" s="75" t="s">
        <v>420</v>
      </c>
      <c r="F85" s="92" t="s">
        <v>566</v>
      </c>
      <c r="G85" t="str">
        <f>IFERROR(INDEX(映射装备数值!D:D,SUMPRODUCT((映射装备数值!$C$10:$C$56=IF($F85="Blue","蓝",IF($F85="Purple","紫",IF($F85="Orange","金",IF($F85="Red","红",$F85)))))*((映射装备数值!$A$10:$A$56=$E85)+(映射装备数值!$B$10:$B$56=$E85))*ROW(映射装备数值!$A$10:$A$56))),"未匹配")</f>
        <v>生命</v>
      </c>
      <c r="H85">
        <f>IFERROR(INDEX(映射装备数值!G:G,SUMPRODUCT((映射装备数值!$C$10:$C$56=IF($F85="Blue","蓝",IF($F85="Purple","紫",IF($F85="Orange","金",IF($F85="Red","红",$F85)))))*((映射装备数值!$A$10:$A$56=$E85)+(映射装备数值!$B$10:$B$56=$E85))*ROW(映射装备数值!$A$10:$A$56))),"未匹配")</f>
        <v>1078.125</v>
      </c>
      <c r="I85">
        <f>IFERROR(INDEX(映射装备数值!F:F,SUMPRODUCT((映射装备数值!$C$10:$C$56=IF($F85="Blue","蓝",IF($F85="Purple","紫",IF($F85="Orange","金",IF($F85="Red","红",$F85)))))*((映射装备数值!$A$10:$A$56=$E85)+(映射装备数值!$B$10:$B$56=$E85))*ROW(映射装备数值!$A$10:$A$56))),"未匹配")</f>
        <v>140.625</v>
      </c>
      <c r="J85" t="str">
        <f>IFERROR(INDEX(映射装备数值!I:I,SUMPRODUCT((映射装备数值!$C$10:$C$56=IF($F85="Blue","蓝",IF($F85="Purple","紫",IF($F85="Orange","金",IF($F85="Red","红",$F85)))))*((映射装备数值!$A$10:$A$56=$E85)+(映射装备数值!$B$10:$B$56=$E85))*ROW(映射装备数值!$A$10:$A$56))),"未匹配")</f>
        <v>生命加成</v>
      </c>
      <c r="K85">
        <f>IFERROR(INDEX(映射装备数值!L:L,SUMPRODUCT((映射装备数值!$C$10:$C$56=IF($F85="Blue","蓝",IF($F85="Purple","紫",IF($F85="Orange","金",IF($F85="Red","红",$F85)))))*((映射装备数值!$A$10:$A$56=$E85)+(映射装备数值!$B$10:$B$56=$E85))*ROW(映射装备数值!$A$10:$A$56))),"未匹配")</f>
        <v>0.023</v>
      </c>
      <c r="L85">
        <f>IFERROR(INDEX(映射装备数值!K:K,SUMPRODUCT((映射装备数值!$C$10:$C$56=IF($F85="Blue","蓝",IF($F85="Purple","紫",IF($F85="Orange","金",IF($F85="Red","红",$F85)))))*((映射装备数值!$A$10:$A$56=$E85)+(映射装备数值!$B$10:$B$56=$E85))*ROW(映射装备数值!$A$10:$A$56))),"未匹配")</f>
        <v>0.003</v>
      </c>
      <c r="M85" s="93">
        <v>0.95</v>
      </c>
      <c r="N85" s="93">
        <v>1.05</v>
      </c>
      <c r="O85" t="str">
        <f t="shared" si="6"/>
        <v>生命</v>
      </c>
      <c r="P85">
        <f t="shared" si="7"/>
        <v>1024</v>
      </c>
      <c r="Q85">
        <f t="shared" si="8"/>
        <v>134</v>
      </c>
      <c r="R85" t="str">
        <f t="shared" si="9"/>
        <v>生命加成</v>
      </c>
      <c r="S85">
        <f t="shared" si="10"/>
        <v>0.024</v>
      </c>
      <c r="T85">
        <f t="shared" si="11"/>
        <v>0.0032</v>
      </c>
      <c r="U85" t="s">
        <v>136</v>
      </c>
      <c r="V85">
        <v>0.03</v>
      </c>
      <c r="W85" s="7">
        <v>80083</v>
      </c>
    </row>
    <row r="86" ht="21" customHeight="1" spans="3:23">
      <c r="C86" s="7">
        <v>80084</v>
      </c>
      <c r="D86" s="7" t="s">
        <v>656</v>
      </c>
      <c r="E86" s="75" t="s">
        <v>420</v>
      </c>
      <c r="F86" s="92" t="s">
        <v>568</v>
      </c>
      <c r="G86" t="str">
        <f>IFERROR(INDEX(映射装备数值!D:D,SUMPRODUCT((映射装备数值!$C$10:$C$56=IF($F86="Blue","蓝",IF($F86="Purple","紫",IF($F86="Orange","金",IF($F86="Red","红",$F86)))))*((映射装备数值!$A$10:$A$56=$E86)+(映射装备数值!$B$10:$B$56=$E86))*ROW(映射装备数值!$A$10:$A$56))),"未匹配")</f>
        <v>生命</v>
      </c>
      <c r="H86">
        <f>IFERROR(INDEX(映射装备数值!G:G,SUMPRODUCT((映射装备数值!$C$10:$C$56=IF($F86="Blue","蓝",IF($F86="Purple","紫",IF($F86="Orange","金",IF($F86="Red","红",$F86)))))*((映射装备数值!$A$10:$A$56=$E86)+(映射装备数值!$B$10:$B$56=$E86))*ROW(映射装备数值!$A$10:$A$56))),"未匹配")</f>
        <v>1617.1875</v>
      </c>
      <c r="I86">
        <f>IFERROR(INDEX(映射装备数值!F:F,SUMPRODUCT((映射装备数值!$C$10:$C$56=IF($F86="Blue","蓝",IF($F86="Purple","紫",IF($F86="Orange","金",IF($F86="Red","红",$F86)))))*((映射装备数值!$A$10:$A$56=$E86)+(映射装备数值!$B$10:$B$56=$E86))*ROW(映射装备数值!$A$10:$A$56))),"未匹配")</f>
        <v>210.9375</v>
      </c>
      <c r="J86" t="str">
        <f>IFERROR(INDEX(映射装备数值!I:I,SUMPRODUCT((映射装备数值!$C$10:$C$56=IF($F86="Blue","蓝",IF($F86="Purple","紫",IF($F86="Orange","金",IF($F86="Red","红",$F86)))))*((映射装备数值!$A$10:$A$56=$E86)+(映射装备数值!$B$10:$B$56=$E86))*ROW(映射装备数值!$A$10:$A$56))),"未匹配")</f>
        <v>生命加成</v>
      </c>
      <c r="K86">
        <f>IFERROR(INDEX(映射装备数值!L:L,SUMPRODUCT((映射装备数值!$C$10:$C$56=IF($F86="Blue","蓝",IF($F86="Purple","紫",IF($F86="Orange","金",IF($F86="Red","红",$F86)))))*((映射装备数值!$A$10:$A$56=$E86)+(映射装备数值!$B$10:$B$56=$E86))*ROW(映射装备数值!$A$10:$A$56))),"未匹配")</f>
        <v>0.0345</v>
      </c>
      <c r="L86">
        <f>IFERROR(INDEX(映射装备数值!K:K,SUMPRODUCT((映射装备数值!$C$10:$C$56=IF($F86="Blue","蓝",IF($F86="Purple","紫",IF($F86="Orange","金",IF($F86="Red","红",$F86)))))*((映射装备数值!$A$10:$A$56=$E86)+(映射装备数值!$B$10:$B$56=$E86))*ROW(映射装备数值!$A$10:$A$56))),"未匹配")</f>
        <v>0.0045</v>
      </c>
      <c r="M86" s="93">
        <v>0.95</v>
      </c>
      <c r="N86" s="93">
        <v>1.05</v>
      </c>
      <c r="O86" t="str">
        <f t="shared" si="6"/>
        <v>生命</v>
      </c>
      <c r="P86">
        <f t="shared" si="7"/>
        <v>1536</v>
      </c>
      <c r="Q86">
        <f t="shared" si="8"/>
        <v>200</v>
      </c>
      <c r="R86" t="str">
        <f t="shared" si="9"/>
        <v>生命加成</v>
      </c>
      <c r="S86">
        <f t="shared" si="10"/>
        <v>0.036</v>
      </c>
      <c r="T86">
        <f t="shared" si="11"/>
        <v>0.0047</v>
      </c>
      <c r="U86" t="s">
        <v>136</v>
      </c>
      <c r="V86">
        <v>0.04</v>
      </c>
      <c r="W86" s="7">
        <v>80084</v>
      </c>
    </row>
    <row r="87" ht="21" customHeight="1" spans="3:23">
      <c r="C87" s="7">
        <v>80085</v>
      </c>
      <c r="D87" s="7" t="s">
        <v>657</v>
      </c>
      <c r="E87" s="75" t="s">
        <v>420</v>
      </c>
      <c r="F87" s="92" t="s">
        <v>564</v>
      </c>
      <c r="G87" t="str">
        <f>IFERROR(INDEX(映射装备数值!D:D,SUMPRODUCT((映射装备数值!$C$10:$C$56=IF($F87="Blue","蓝",IF($F87="Purple","紫",IF($F87="Orange","金",IF($F87="Red","红",$F87)))))*((映射装备数值!$A$10:$A$56=$E87)+(映射装备数值!$B$10:$B$56=$E87))*ROW(映射装备数值!$A$10:$A$56))),"未匹配")</f>
        <v>生命</v>
      </c>
      <c r="H87">
        <f>IFERROR(INDEX(映射装备数值!G:G,SUMPRODUCT((映射装备数值!$C$10:$C$56=IF($F87="Blue","蓝",IF($F87="Purple","紫",IF($F87="Orange","金",IF($F87="Red","红",$F87)))))*((映射装备数值!$A$10:$A$56=$E87)+(映射装备数值!$B$10:$B$56=$E87))*ROW(映射装备数值!$A$10:$A$56))),"未匹配")</f>
        <v>646.875</v>
      </c>
      <c r="I87">
        <f>IFERROR(INDEX(映射装备数值!F:F,SUMPRODUCT((映射装备数值!$C$10:$C$56=IF($F87="Blue","蓝",IF($F87="Purple","紫",IF($F87="Orange","金",IF($F87="Red","红",$F87)))))*((映射装备数值!$A$10:$A$56=$E87)+(映射装备数值!$B$10:$B$56=$E87))*ROW(映射装备数值!$A$10:$A$56))),"未匹配")</f>
        <v>84.375</v>
      </c>
      <c r="J87" t="str">
        <f>IFERROR(INDEX(映射装备数值!I:I,SUMPRODUCT((映射装备数值!$C$10:$C$56=IF($F87="Blue","蓝",IF($F87="Purple","紫",IF($F87="Orange","金",IF($F87="Red","红",$F87)))))*((映射装备数值!$A$10:$A$56=$E87)+(映射装备数值!$B$10:$B$56=$E87))*ROW(映射装备数值!$A$10:$A$56))),"未匹配")</f>
        <v>生命加成</v>
      </c>
      <c r="K87">
        <f>IFERROR(INDEX(映射装备数值!L:L,SUMPRODUCT((映射装备数值!$C$10:$C$56=IF($F87="Blue","蓝",IF($F87="Purple","紫",IF($F87="Orange","金",IF($F87="Red","红",$F87)))))*((映射装备数值!$A$10:$A$56=$E87)+(映射装备数值!$B$10:$B$56=$E87))*ROW(映射装备数值!$A$10:$A$56))),"未匹配")</f>
        <v>0.0138</v>
      </c>
      <c r="L87">
        <f>IFERROR(INDEX(映射装备数值!K:K,SUMPRODUCT((映射装备数值!$C$10:$C$56=IF($F87="Blue","蓝",IF($F87="Purple","紫",IF($F87="Orange","金",IF($F87="Red","红",$F87)))))*((映射装备数值!$A$10:$A$56=$E87)+(映射装备数值!$B$10:$B$56=$E87))*ROW(映射装备数值!$A$10:$A$56))),"未匹配")</f>
        <v>0.0018</v>
      </c>
      <c r="M87" s="93">
        <v>1.1</v>
      </c>
      <c r="N87" s="93">
        <v>0.9</v>
      </c>
      <c r="O87" t="str">
        <f t="shared" si="6"/>
        <v>生命</v>
      </c>
      <c r="P87">
        <f t="shared" si="7"/>
        <v>712</v>
      </c>
      <c r="Q87">
        <f t="shared" si="8"/>
        <v>93</v>
      </c>
      <c r="R87" t="str">
        <f t="shared" si="9"/>
        <v>生命加成</v>
      </c>
      <c r="S87">
        <f t="shared" si="10"/>
        <v>0.012</v>
      </c>
      <c r="T87">
        <f t="shared" si="11"/>
        <v>0.0016</v>
      </c>
      <c r="U87" t="s">
        <v>132</v>
      </c>
      <c r="V87">
        <v>0.02</v>
      </c>
      <c r="W87" s="7">
        <v>80085</v>
      </c>
    </row>
    <row r="88" ht="21" customHeight="1" spans="3:23">
      <c r="C88" s="7">
        <v>80086</v>
      </c>
      <c r="D88" s="7" t="s">
        <v>658</v>
      </c>
      <c r="E88" s="75" t="s">
        <v>420</v>
      </c>
      <c r="F88" s="92" t="s">
        <v>566</v>
      </c>
      <c r="G88" t="str">
        <f>IFERROR(INDEX(映射装备数值!D:D,SUMPRODUCT((映射装备数值!$C$10:$C$56=IF($F88="Blue","蓝",IF($F88="Purple","紫",IF($F88="Orange","金",IF($F88="Red","红",$F88)))))*((映射装备数值!$A$10:$A$56=$E88)+(映射装备数值!$B$10:$B$56=$E88))*ROW(映射装备数值!$A$10:$A$56))),"未匹配")</f>
        <v>生命</v>
      </c>
      <c r="H88">
        <f>IFERROR(INDEX(映射装备数值!G:G,SUMPRODUCT((映射装备数值!$C$10:$C$56=IF($F88="Blue","蓝",IF($F88="Purple","紫",IF($F88="Orange","金",IF($F88="Red","红",$F88)))))*((映射装备数值!$A$10:$A$56=$E88)+(映射装备数值!$B$10:$B$56=$E88))*ROW(映射装备数值!$A$10:$A$56))),"未匹配")</f>
        <v>1078.125</v>
      </c>
      <c r="I88">
        <f>IFERROR(INDEX(映射装备数值!F:F,SUMPRODUCT((映射装备数值!$C$10:$C$56=IF($F88="Blue","蓝",IF($F88="Purple","紫",IF($F88="Orange","金",IF($F88="Red","红",$F88)))))*((映射装备数值!$A$10:$A$56=$E88)+(映射装备数值!$B$10:$B$56=$E88))*ROW(映射装备数值!$A$10:$A$56))),"未匹配")</f>
        <v>140.625</v>
      </c>
      <c r="J88" t="str">
        <f>IFERROR(INDEX(映射装备数值!I:I,SUMPRODUCT((映射装备数值!$C$10:$C$56=IF($F88="Blue","蓝",IF($F88="Purple","紫",IF($F88="Orange","金",IF($F88="Red","红",$F88)))))*((映射装备数值!$A$10:$A$56=$E88)+(映射装备数值!$B$10:$B$56=$E88))*ROW(映射装备数值!$A$10:$A$56))),"未匹配")</f>
        <v>生命加成</v>
      </c>
      <c r="K88">
        <f>IFERROR(INDEX(映射装备数值!L:L,SUMPRODUCT((映射装备数值!$C$10:$C$56=IF($F88="Blue","蓝",IF($F88="Purple","紫",IF($F88="Orange","金",IF($F88="Red","红",$F88)))))*((映射装备数值!$A$10:$A$56=$E88)+(映射装备数值!$B$10:$B$56=$E88))*ROW(映射装备数值!$A$10:$A$56))),"未匹配")</f>
        <v>0.023</v>
      </c>
      <c r="L88">
        <f>IFERROR(INDEX(映射装备数值!K:K,SUMPRODUCT((映射装备数值!$C$10:$C$56=IF($F88="Blue","蓝",IF($F88="Purple","紫",IF($F88="Orange","金",IF($F88="Red","红",$F88)))))*((映射装备数值!$A$10:$A$56=$E88)+(映射装备数值!$B$10:$B$56=$E88))*ROW(映射装备数值!$A$10:$A$56))),"未匹配")</f>
        <v>0.003</v>
      </c>
      <c r="M88" s="93">
        <v>1.1</v>
      </c>
      <c r="N88" s="93">
        <v>0.9</v>
      </c>
      <c r="O88" t="str">
        <f t="shared" si="6"/>
        <v>生命</v>
      </c>
      <c r="P88">
        <f t="shared" si="7"/>
        <v>1186</v>
      </c>
      <c r="Q88">
        <f t="shared" si="8"/>
        <v>155</v>
      </c>
      <c r="R88" t="str">
        <f t="shared" si="9"/>
        <v>生命加成</v>
      </c>
      <c r="S88">
        <f t="shared" si="10"/>
        <v>0.021</v>
      </c>
      <c r="T88">
        <f t="shared" si="11"/>
        <v>0.0027</v>
      </c>
      <c r="U88" t="s">
        <v>132</v>
      </c>
      <c r="V88">
        <v>0.03</v>
      </c>
      <c r="W88" s="7">
        <v>80086</v>
      </c>
    </row>
    <row r="89" ht="21" customHeight="1" spans="3:23">
      <c r="C89" s="7">
        <v>80087</v>
      </c>
      <c r="D89" s="7" t="s">
        <v>659</v>
      </c>
      <c r="E89" s="75" t="s">
        <v>420</v>
      </c>
      <c r="F89" s="92" t="s">
        <v>568</v>
      </c>
      <c r="G89" t="str">
        <f>IFERROR(INDEX(映射装备数值!D:D,SUMPRODUCT((映射装备数值!$C$10:$C$56=IF($F89="Blue","蓝",IF($F89="Purple","紫",IF($F89="Orange","金",IF($F89="Red","红",$F89)))))*((映射装备数值!$A$10:$A$56=$E89)+(映射装备数值!$B$10:$B$56=$E89))*ROW(映射装备数值!$A$10:$A$56))),"未匹配")</f>
        <v>生命</v>
      </c>
      <c r="H89">
        <f>IFERROR(INDEX(映射装备数值!G:G,SUMPRODUCT((映射装备数值!$C$10:$C$56=IF($F89="Blue","蓝",IF($F89="Purple","紫",IF($F89="Orange","金",IF($F89="Red","红",$F89)))))*((映射装备数值!$A$10:$A$56=$E89)+(映射装备数值!$B$10:$B$56=$E89))*ROW(映射装备数值!$A$10:$A$56))),"未匹配")</f>
        <v>1617.1875</v>
      </c>
      <c r="I89">
        <f>IFERROR(INDEX(映射装备数值!F:F,SUMPRODUCT((映射装备数值!$C$10:$C$56=IF($F89="Blue","蓝",IF($F89="Purple","紫",IF($F89="Orange","金",IF($F89="Red","红",$F89)))))*((映射装备数值!$A$10:$A$56=$E89)+(映射装备数值!$B$10:$B$56=$E89))*ROW(映射装备数值!$A$10:$A$56))),"未匹配")</f>
        <v>210.9375</v>
      </c>
      <c r="J89" t="str">
        <f>IFERROR(INDEX(映射装备数值!I:I,SUMPRODUCT((映射装备数值!$C$10:$C$56=IF($F89="Blue","蓝",IF($F89="Purple","紫",IF($F89="Orange","金",IF($F89="Red","红",$F89)))))*((映射装备数值!$A$10:$A$56=$E89)+(映射装备数值!$B$10:$B$56=$E89))*ROW(映射装备数值!$A$10:$A$56))),"未匹配")</f>
        <v>生命加成</v>
      </c>
      <c r="K89">
        <f>IFERROR(INDEX(映射装备数值!L:L,SUMPRODUCT((映射装备数值!$C$10:$C$56=IF($F89="Blue","蓝",IF($F89="Purple","紫",IF($F89="Orange","金",IF($F89="Red","红",$F89)))))*((映射装备数值!$A$10:$A$56=$E89)+(映射装备数值!$B$10:$B$56=$E89))*ROW(映射装备数值!$A$10:$A$56))),"未匹配")</f>
        <v>0.0345</v>
      </c>
      <c r="L89">
        <f>IFERROR(INDEX(映射装备数值!K:K,SUMPRODUCT((映射装备数值!$C$10:$C$56=IF($F89="Blue","蓝",IF($F89="Purple","紫",IF($F89="Orange","金",IF($F89="Red","红",$F89)))))*((映射装备数值!$A$10:$A$56=$E89)+(映射装备数值!$B$10:$B$56=$E89))*ROW(映射装备数值!$A$10:$A$56))),"未匹配")</f>
        <v>0.0045</v>
      </c>
      <c r="M89" s="93">
        <v>1.1</v>
      </c>
      <c r="N89" s="93">
        <v>0.9</v>
      </c>
      <c r="O89" t="str">
        <f t="shared" si="6"/>
        <v>生命</v>
      </c>
      <c r="P89">
        <f t="shared" si="7"/>
        <v>1779</v>
      </c>
      <c r="Q89">
        <f t="shared" si="8"/>
        <v>232</v>
      </c>
      <c r="R89" t="str">
        <f t="shared" si="9"/>
        <v>生命加成</v>
      </c>
      <c r="S89">
        <f t="shared" si="10"/>
        <v>0.031</v>
      </c>
      <c r="T89">
        <f t="shared" si="11"/>
        <v>0.0041</v>
      </c>
      <c r="U89" t="s">
        <v>132</v>
      </c>
      <c r="V89">
        <v>0.04</v>
      </c>
      <c r="W89" s="7">
        <v>80087</v>
      </c>
    </row>
    <row r="90" ht="21" customHeight="1" spans="3:23">
      <c r="C90" s="7">
        <v>80088</v>
      </c>
      <c r="D90" s="7" t="s">
        <v>660</v>
      </c>
      <c r="E90" s="75" t="s">
        <v>420</v>
      </c>
      <c r="F90" s="92" t="s">
        <v>564</v>
      </c>
      <c r="G90" t="str">
        <f>IFERROR(INDEX(映射装备数值!D:D,SUMPRODUCT((映射装备数值!$C$10:$C$56=IF($F90="Blue","蓝",IF($F90="Purple","紫",IF($F90="Orange","金",IF($F90="Red","红",$F90)))))*((映射装备数值!$A$10:$A$56=$E90)+(映射装备数值!$B$10:$B$56=$E90))*ROW(映射装备数值!$A$10:$A$56))),"未匹配")</f>
        <v>生命</v>
      </c>
      <c r="H90">
        <f>IFERROR(INDEX(映射装备数值!G:G,SUMPRODUCT((映射装备数值!$C$10:$C$56=IF($F90="Blue","蓝",IF($F90="Purple","紫",IF($F90="Orange","金",IF($F90="Red","红",$F90)))))*((映射装备数值!$A$10:$A$56=$E90)+(映射装备数值!$B$10:$B$56=$E90))*ROW(映射装备数值!$A$10:$A$56))),"未匹配")</f>
        <v>646.875</v>
      </c>
      <c r="I90">
        <f>IFERROR(INDEX(映射装备数值!F:F,SUMPRODUCT((映射装备数值!$C$10:$C$56=IF($F90="Blue","蓝",IF($F90="Purple","紫",IF($F90="Orange","金",IF($F90="Red","红",$F90)))))*((映射装备数值!$A$10:$A$56=$E90)+(映射装备数值!$B$10:$B$56=$E90))*ROW(映射装备数值!$A$10:$A$56))),"未匹配")</f>
        <v>84.375</v>
      </c>
      <c r="J90" t="str">
        <f>IFERROR(INDEX(映射装备数值!I:I,SUMPRODUCT((映射装备数值!$C$10:$C$56=IF($F90="Blue","蓝",IF($F90="Purple","紫",IF($F90="Orange","金",IF($F90="Red","红",$F90)))))*((映射装备数值!$A$10:$A$56=$E90)+(映射装备数值!$B$10:$B$56=$E90))*ROW(映射装备数值!$A$10:$A$56))),"未匹配")</f>
        <v>生命加成</v>
      </c>
      <c r="K90">
        <f>IFERROR(INDEX(映射装备数值!L:L,SUMPRODUCT((映射装备数值!$C$10:$C$56=IF($F90="Blue","蓝",IF($F90="Purple","紫",IF($F90="Orange","金",IF($F90="Red","红",$F90)))))*((映射装备数值!$A$10:$A$56=$E90)+(映射装备数值!$B$10:$B$56=$E90))*ROW(映射装备数值!$A$10:$A$56))),"未匹配")</f>
        <v>0.0138</v>
      </c>
      <c r="L90">
        <f>IFERROR(INDEX(映射装备数值!K:K,SUMPRODUCT((映射装备数值!$C$10:$C$56=IF($F90="Blue","蓝",IF($F90="Purple","紫",IF($F90="Orange","金",IF($F90="Red","红",$F90)))))*((映射装备数值!$A$10:$A$56=$E90)+(映射装备数值!$B$10:$B$56=$E90))*ROW(映射装备数值!$A$10:$A$56))),"未匹配")</f>
        <v>0.0018</v>
      </c>
      <c r="M90" s="93">
        <v>1</v>
      </c>
      <c r="N90" s="93">
        <v>1</v>
      </c>
      <c r="O90" t="str">
        <f t="shared" si="6"/>
        <v>生命</v>
      </c>
      <c r="P90">
        <f t="shared" si="7"/>
        <v>647</v>
      </c>
      <c r="Q90">
        <f t="shared" si="8"/>
        <v>84</v>
      </c>
      <c r="R90" t="str">
        <f t="shared" si="9"/>
        <v>生命加成</v>
      </c>
      <c r="S90">
        <f t="shared" si="10"/>
        <v>0.014</v>
      </c>
      <c r="T90">
        <f t="shared" si="11"/>
        <v>0.0018</v>
      </c>
      <c r="U90" t="s">
        <v>133</v>
      </c>
      <c r="V90">
        <v>0.015</v>
      </c>
      <c r="W90" s="7">
        <v>80088</v>
      </c>
    </row>
    <row r="91" ht="21" customHeight="1" spans="3:23">
      <c r="C91" s="7">
        <v>80089</v>
      </c>
      <c r="D91" s="7" t="s">
        <v>661</v>
      </c>
      <c r="E91" s="75" t="s">
        <v>420</v>
      </c>
      <c r="F91" s="92" t="s">
        <v>566</v>
      </c>
      <c r="G91" t="str">
        <f>IFERROR(INDEX(映射装备数值!D:D,SUMPRODUCT((映射装备数值!$C$10:$C$56=IF($F91="Blue","蓝",IF($F91="Purple","紫",IF($F91="Orange","金",IF($F91="Red","红",$F91)))))*((映射装备数值!$A$10:$A$56=$E91)+(映射装备数值!$B$10:$B$56=$E91))*ROW(映射装备数值!$A$10:$A$56))),"未匹配")</f>
        <v>生命</v>
      </c>
      <c r="H91">
        <f>IFERROR(INDEX(映射装备数值!G:G,SUMPRODUCT((映射装备数值!$C$10:$C$56=IF($F91="Blue","蓝",IF($F91="Purple","紫",IF($F91="Orange","金",IF($F91="Red","红",$F91)))))*((映射装备数值!$A$10:$A$56=$E91)+(映射装备数值!$B$10:$B$56=$E91))*ROW(映射装备数值!$A$10:$A$56))),"未匹配")</f>
        <v>1078.125</v>
      </c>
      <c r="I91">
        <f>IFERROR(INDEX(映射装备数值!F:F,SUMPRODUCT((映射装备数值!$C$10:$C$56=IF($F91="Blue","蓝",IF($F91="Purple","紫",IF($F91="Orange","金",IF($F91="Red","红",$F91)))))*((映射装备数值!$A$10:$A$56=$E91)+(映射装备数值!$B$10:$B$56=$E91))*ROW(映射装备数值!$A$10:$A$56))),"未匹配")</f>
        <v>140.625</v>
      </c>
      <c r="J91" t="str">
        <f>IFERROR(INDEX(映射装备数值!I:I,SUMPRODUCT((映射装备数值!$C$10:$C$56=IF($F91="Blue","蓝",IF($F91="Purple","紫",IF($F91="Orange","金",IF($F91="Red","红",$F91)))))*((映射装备数值!$A$10:$A$56=$E91)+(映射装备数值!$B$10:$B$56=$E91))*ROW(映射装备数值!$A$10:$A$56))),"未匹配")</f>
        <v>生命加成</v>
      </c>
      <c r="K91">
        <f>IFERROR(INDEX(映射装备数值!L:L,SUMPRODUCT((映射装备数值!$C$10:$C$56=IF($F91="Blue","蓝",IF($F91="Purple","紫",IF($F91="Orange","金",IF($F91="Red","红",$F91)))))*((映射装备数值!$A$10:$A$56=$E91)+(映射装备数值!$B$10:$B$56=$E91))*ROW(映射装备数值!$A$10:$A$56))),"未匹配")</f>
        <v>0.023</v>
      </c>
      <c r="L91">
        <f>IFERROR(INDEX(映射装备数值!K:K,SUMPRODUCT((映射装备数值!$C$10:$C$56=IF($F91="Blue","蓝",IF($F91="Purple","紫",IF($F91="Orange","金",IF($F91="Red","红",$F91)))))*((映射装备数值!$A$10:$A$56=$E91)+(映射装备数值!$B$10:$B$56=$E91))*ROW(映射装备数值!$A$10:$A$56))),"未匹配")</f>
        <v>0.003</v>
      </c>
      <c r="M91" s="93">
        <v>1</v>
      </c>
      <c r="N91" s="93">
        <v>1</v>
      </c>
      <c r="O91" t="str">
        <f t="shared" si="6"/>
        <v>生命</v>
      </c>
      <c r="P91">
        <f t="shared" si="7"/>
        <v>1078</v>
      </c>
      <c r="Q91">
        <f t="shared" si="8"/>
        <v>141</v>
      </c>
      <c r="R91" t="str">
        <f t="shared" si="9"/>
        <v>生命加成</v>
      </c>
      <c r="S91">
        <f t="shared" si="10"/>
        <v>0.023</v>
      </c>
      <c r="T91">
        <f t="shared" si="11"/>
        <v>0.003</v>
      </c>
      <c r="U91" t="s">
        <v>133</v>
      </c>
      <c r="V91">
        <v>0.025</v>
      </c>
      <c r="W91" s="7">
        <v>80089</v>
      </c>
    </row>
    <row r="92" ht="21" customHeight="1" spans="3:23">
      <c r="C92" s="7">
        <v>80090</v>
      </c>
      <c r="D92" s="7" t="s">
        <v>662</v>
      </c>
      <c r="E92" s="75" t="s">
        <v>420</v>
      </c>
      <c r="F92" s="92" t="s">
        <v>568</v>
      </c>
      <c r="G92" t="str">
        <f>IFERROR(INDEX(映射装备数值!D:D,SUMPRODUCT((映射装备数值!$C$10:$C$56=IF($F92="Blue","蓝",IF($F92="Purple","紫",IF($F92="Orange","金",IF($F92="Red","红",$F92)))))*((映射装备数值!$A$10:$A$56=$E92)+(映射装备数值!$B$10:$B$56=$E92))*ROW(映射装备数值!$A$10:$A$56))),"未匹配")</f>
        <v>生命</v>
      </c>
      <c r="H92">
        <f>IFERROR(INDEX(映射装备数值!G:G,SUMPRODUCT((映射装备数值!$C$10:$C$56=IF($F92="Blue","蓝",IF($F92="Purple","紫",IF($F92="Orange","金",IF($F92="Red","红",$F92)))))*((映射装备数值!$A$10:$A$56=$E92)+(映射装备数值!$B$10:$B$56=$E92))*ROW(映射装备数值!$A$10:$A$56))),"未匹配")</f>
        <v>1617.1875</v>
      </c>
      <c r="I92">
        <f>IFERROR(INDEX(映射装备数值!F:F,SUMPRODUCT((映射装备数值!$C$10:$C$56=IF($F92="Blue","蓝",IF($F92="Purple","紫",IF($F92="Orange","金",IF($F92="Red","红",$F92)))))*((映射装备数值!$A$10:$A$56=$E92)+(映射装备数值!$B$10:$B$56=$E92))*ROW(映射装备数值!$A$10:$A$56))),"未匹配")</f>
        <v>210.9375</v>
      </c>
      <c r="J92" t="str">
        <f>IFERROR(INDEX(映射装备数值!I:I,SUMPRODUCT((映射装备数值!$C$10:$C$56=IF($F92="Blue","蓝",IF($F92="Purple","紫",IF($F92="Orange","金",IF($F92="Red","红",$F92)))))*((映射装备数值!$A$10:$A$56=$E92)+(映射装备数值!$B$10:$B$56=$E92))*ROW(映射装备数值!$A$10:$A$56))),"未匹配")</f>
        <v>生命加成</v>
      </c>
      <c r="K92">
        <f>IFERROR(INDEX(映射装备数值!L:L,SUMPRODUCT((映射装备数值!$C$10:$C$56=IF($F92="Blue","蓝",IF($F92="Purple","紫",IF($F92="Orange","金",IF($F92="Red","红",$F92)))))*((映射装备数值!$A$10:$A$56=$E92)+(映射装备数值!$B$10:$B$56=$E92))*ROW(映射装备数值!$A$10:$A$56))),"未匹配")</f>
        <v>0.0345</v>
      </c>
      <c r="L92">
        <f>IFERROR(INDEX(映射装备数值!K:K,SUMPRODUCT((映射装备数值!$C$10:$C$56=IF($F92="Blue","蓝",IF($F92="Purple","紫",IF($F92="Orange","金",IF($F92="Red","红",$F92)))))*((映射装备数值!$A$10:$A$56=$E92)+(映射装备数值!$B$10:$B$56=$E92))*ROW(映射装备数值!$A$10:$A$56))),"未匹配")</f>
        <v>0.0045</v>
      </c>
      <c r="M92" s="93">
        <v>1</v>
      </c>
      <c r="N92" s="93">
        <v>1</v>
      </c>
      <c r="O92" t="str">
        <f t="shared" si="6"/>
        <v>生命</v>
      </c>
      <c r="P92">
        <f t="shared" si="7"/>
        <v>1617</v>
      </c>
      <c r="Q92">
        <f t="shared" si="8"/>
        <v>211</v>
      </c>
      <c r="R92" t="str">
        <f t="shared" si="9"/>
        <v>生命加成</v>
      </c>
      <c r="S92">
        <f t="shared" si="10"/>
        <v>0.035</v>
      </c>
      <c r="T92">
        <f t="shared" si="11"/>
        <v>0.0045</v>
      </c>
      <c r="U92" t="s">
        <v>133</v>
      </c>
      <c r="V92">
        <v>0.035</v>
      </c>
      <c r="W92" s="7">
        <v>80090</v>
      </c>
    </row>
    <row r="93" ht="21" customHeight="1" spans="3:23">
      <c r="C93" s="7">
        <v>80091</v>
      </c>
      <c r="D93" s="7" t="s">
        <v>663</v>
      </c>
      <c r="E93" s="75" t="s">
        <v>420</v>
      </c>
      <c r="F93" s="92" t="s">
        <v>564</v>
      </c>
      <c r="G93" t="str">
        <f>IFERROR(INDEX(映射装备数值!D:D,SUMPRODUCT((映射装备数值!$C$10:$C$56=IF($F93="Blue","蓝",IF($F93="Purple","紫",IF($F93="Orange","金",IF($F93="Red","红",$F93)))))*((映射装备数值!$A$10:$A$56=$E93)+(映射装备数值!$B$10:$B$56=$E93))*ROW(映射装备数值!$A$10:$A$56))),"未匹配")</f>
        <v>生命</v>
      </c>
      <c r="H93">
        <f>IFERROR(INDEX(映射装备数值!G:G,SUMPRODUCT((映射装备数值!$C$10:$C$56=IF($F93="Blue","蓝",IF($F93="Purple","紫",IF($F93="Orange","金",IF($F93="Red","红",$F93)))))*((映射装备数值!$A$10:$A$56=$E93)+(映射装备数值!$B$10:$B$56=$E93))*ROW(映射装备数值!$A$10:$A$56))),"未匹配")</f>
        <v>646.875</v>
      </c>
      <c r="I93">
        <f>IFERROR(INDEX(映射装备数值!F:F,SUMPRODUCT((映射装备数值!$C$10:$C$56=IF($F93="Blue","蓝",IF($F93="Purple","紫",IF($F93="Orange","金",IF($F93="Red","红",$F93)))))*((映射装备数值!$A$10:$A$56=$E93)+(映射装备数值!$B$10:$B$56=$E93))*ROW(映射装备数值!$A$10:$A$56))),"未匹配")</f>
        <v>84.375</v>
      </c>
      <c r="J93" t="str">
        <f>IFERROR(INDEX(映射装备数值!I:I,SUMPRODUCT((映射装备数值!$C$10:$C$56=IF($F93="Blue","蓝",IF($F93="Purple","紫",IF($F93="Orange","金",IF($F93="Red","红",$F93)))))*((映射装备数值!$A$10:$A$56=$E93)+(映射装备数值!$B$10:$B$56=$E93))*ROW(映射装备数值!$A$10:$A$56))),"未匹配")</f>
        <v>生命加成</v>
      </c>
      <c r="K93">
        <f>IFERROR(INDEX(映射装备数值!L:L,SUMPRODUCT((映射装备数值!$C$10:$C$56=IF($F93="Blue","蓝",IF($F93="Purple","紫",IF($F93="Orange","金",IF($F93="Red","红",$F93)))))*((映射装备数值!$A$10:$A$56=$E93)+(映射装备数值!$B$10:$B$56=$E93))*ROW(映射装备数值!$A$10:$A$56))),"未匹配")</f>
        <v>0.0138</v>
      </c>
      <c r="L93">
        <f>IFERROR(INDEX(映射装备数值!K:K,SUMPRODUCT((映射装备数值!$C$10:$C$56=IF($F93="Blue","蓝",IF($F93="Purple","紫",IF($F93="Orange","金",IF($F93="Red","红",$F93)))))*((映射装备数值!$A$10:$A$56=$E93)+(映射装备数值!$B$10:$B$56=$E93))*ROW(映射装备数值!$A$10:$A$56))),"未匹配")</f>
        <v>0.0018</v>
      </c>
      <c r="M93" s="93">
        <v>1.05</v>
      </c>
      <c r="N93" s="93">
        <v>0.95</v>
      </c>
      <c r="O93" t="str">
        <f t="shared" si="6"/>
        <v>生命</v>
      </c>
      <c r="P93">
        <f t="shared" si="7"/>
        <v>679</v>
      </c>
      <c r="Q93">
        <f t="shared" si="8"/>
        <v>89</v>
      </c>
      <c r="R93" t="str">
        <f t="shared" si="9"/>
        <v>生命加成</v>
      </c>
      <c r="S93">
        <f t="shared" si="10"/>
        <v>0.013</v>
      </c>
      <c r="T93">
        <f t="shared" si="11"/>
        <v>0.0017</v>
      </c>
      <c r="U93" t="s">
        <v>79</v>
      </c>
      <c r="V93">
        <v>700</v>
      </c>
      <c r="W93" s="7">
        <v>80091</v>
      </c>
    </row>
    <row r="94" ht="21" customHeight="1" spans="3:23">
      <c r="C94" s="7">
        <v>80092</v>
      </c>
      <c r="D94" s="7" t="s">
        <v>664</v>
      </c>
      <c r="E94" s="75" t="s">
        <v>420</v>
      </c>
      <c r="F94" s="92" t="s">
        <v>566</v>
      </c>
      <c r="G94" t="str">
        <f>IFERROR(INDEX(映射装备数值!D:D,SUMPRODUCT((映射装备数值!$C$10:$C$56=IF($F94="Blue","蓝",IF($F94="Purple","紫",IF($F94="Orange","金",IF($F94="Red","红",$F94)))))*((映射装备数值!$A$10:$A$56=$E94)+(映射装备数值!$B$10:$B$56=$E94))*ROW(映射装备数值!$A$10:$A$56))),"未匹配")</f>
        <v>生命</v>
      </c>
      <c r="H94">
        <f>IFERROR(INDEX(映射装备数值!G:G,SUMPRODUCT((映射装备数值!$C$10:$C$56=IF($F94="Blue","蓝",IF($F94="Purple","紫",IF($F94="Orange","金",IF($F94="Red","红",$F94)))))*((映射装备数值!$A$10:$A$56=$E94)+(映射装备数值!$B$10:$B$56=$E94))*ROW(映射装备数值!$A$10:$A$56))),"未匹配")</f>
        <v>1078.125</v>
      </c>
      <c r="I94">
        <f>IFERROR(INDEX(映射装备数值!F:F,SUMPRODUCT((映射装备数值!$C$10:$C$56=IF($F94="Blue","蓝",IF($F94="Purple","紫",IF($F94="Orange","金",IF($F94="Red","红",$F94)))))*((映射装备数值!$A$10:$A$56=$E94)+(映射装备数值!$B$10:$B$56=$E94))*ROW(映射装备数值!$A$10:$A$56))),"未匹配")</f>
        <v>140.625</v>
      </c>
      <c r="J94" t="str">
        <f>IFERROR(INDEX(映射装备数值!I:I,SUMPRODUCT((映射装备数值!$C$10:$C$56=IF($F94="Blue","蓝",IF($F94="Purple","紫",IF($F94="Orange","金",IF($F94="Red","红",$F94)))))*((映射装备数值!$A$10:$A$56=$E94)+(映射装备数值!$B$10:$B$56=$E94))*ROW(映射装备数值!$A$10:$A$56))),"未匹配")</f>
        <v>生命加成</v>
      </c>
      <c r="K94">
        <f>IFERROR(INDEX(映射装备数值!L:L,SUMPRODUCT((映射装备数值!$C$10:$C$56=IF($F94="Blue","蓝",IF($F94="Purple","紫",IF($F94="Orange","金",IF($F94="Red","红",$F94)))))*((映射装备数值!$A$10:$A$56=$E94)+(映射装备数值!$B$10:$B$56=$E94))*ROW(映射装备数值!$A$10:$A$56))),"未匹配")</f>
        <v>0.023</v>
      </c>
      <c r="L94">
        <f>IFERROR(INDEX(映射装备数值!K:K,SUMPRODUCT((映射装备数值!$C$10:$C$56=IF($F94="Blue","蓝",IF($F94="Purple","紫",IF($F94="Orange","金",IF($F94="Red","红",$F94)))))*((映射装备数值!$A$10:$A$56=$E94)+(映射装备数值!$B$10:$B$56=$E94))*ROW(映射装备数值!$A$10:$A$56))),"未匹配")</f>
        <v>0.003</v>
      </c>
      <c r="M94" s="93">
        <v>1.05</v>
      </c>
      <c r="N94" s="93">
        <v>0.95</v>
      </c>
      <c r="O94" t="str">
        <f t="shared" si="6"/>
        <v>生命</v>
      </c>
      <c r="P94">
        <f t="shared" si="7"/>
        <v>1132</v>
      </c>
      <c r="Q94">
        <f t="shared" si="8"/>
        <v>148</v>
      </c>
      <c r="R94" t="str">
        <f t="shared" si="9"/>
        <v>生命加成</v>
      </c>
      <c r="S94">
        <f t="shared" si="10"/>
        <v>0.022</v>
      </c>
      <c r="T94">
        <f t="shared" si="11"/>
        <v>0.0029</v>
      </c>
      <c r="U94" t="s">
        <v>79</v>
      </c>
      <c r="V94">
        <v>1300</v>
      </c>
      <c r="W94" s="7">
        <v>80092</v>
      </c>
    </row>
    <row r="95" ht="21" customHeight="1" spans="3:23">
      <c r="C95" s="7">
        <v>80093</v>
      </c>
      <c r="D95" s="7" t="s">
        <v>665</v>
      </c>
      <c r="E95" s="75" t="s">
        <v>420</v>
      </c>
      <c r="F95" s="92" t="s">
        <v>568</v>
      </c>
      <c r="G95" t="str">
        <f>IFERROR(INDEX(映射装备数值!D:D,SUMPRODUCT((映射装备数值!$C$10:$C$56=IF($F95="Blue","蓝",IF($F95="Purple","紫",IF($F95="Orange","金",IF($F95="Red","红",$F95)))))*((映射装备数值!$A$10:$A$56=$E95)+(映射装备数值!$B$10:$B$56=$E95))*ROW(映射装备数值!$A$10:$A$56))),"未匹配")</f>
        <v>生命</v>
      </c>
      <c r="H95">
        <f>IFERROR(INDEX(映射装备数值!G:G,SUMPRODUCT((映射装备数值!$C$10:$C$56=IF($F95="Blue","蓝",IF($F95="Purple","紫",IF($F95="Orange","金",IF($F95="Red","红",$F95)))))*((映射装备数值!$A$10:$A$56=$E95)+(映射装备数值!$B$10:$B$56=$E95))*ROW(映射装备数值!$A$10:$A$56))),"未匹配")</f>
        <v>1617.1875</v>
      </c>
      <c r="I95">
        <f>IFERROR(INDEX(映射装备数值!F:F,SUMPRODUCT((映射装备数值!$C$10:$C$56=IF($F95="Blue","蓝",IF($F95="Purple","紫",IF($F95="Orange","金",IF($F95="Red","红",$F95)))))*((映射装备数值!$A$10:$A$56=$E95)+(映射装备数值!$B$10:$B$56=$E95))*ROW(映射装备数值!$A$10:$A$56))),"未匹配")</f>
        <v>210.9375</v>
      </c>
      <c r="J95" t="str">
        <f>IFERROR(INDEX(映射装备数值!I:I,SUMPRODUCT((映射装备数值!$C$10:$C$56=IF($F95="Blue","蓝",IF($F95="Purple","紫",IF($F95="Orange","金",IF($F95="Red","红",$F95)))))*((映射装备数值!$A$10:$A$56=$E95)+(映射装备数值!$B$10:$B$56=$E95))*ROW(映射装备数值!$A$10:$A$56))),"未匹配")</f>
        <v>生命加成</v>
      </c>
      <c r="K95">
        <f>IFERROR(INDEX(映射装备数值!L:L,SUMPRODUCT((映射装备数值!$C$10:$C$56=IF($F95="Blue","蓝",IF($F95="Purple","紫",IF($F95="Orange","金",IF($F95="Red","红",$F95)))))*((映射装备数值!$A$10:$A$56=$E95)+(映射装备数值!$B$10:$B$56=$E95))*ROW(映射装备数值!$A$10:$A$56))),"未匹配")</f>
        <v>0.0345</v>
      </c>
      <c r="L95">
        <f>IFERROR(INDEX(映射装备数值!K:K,SUMPRODUCT((映射装备数值!$C$10:$C$56=IF($F95="Blue","蓝",IF($F95="Purple","紫",IF($F95="Orange","金",IF($F95="Red","红",$F95)))))*((映射装备数值!$A$10:$A$56=$E95)+(映射装备数值!$B$10:$B$56=$E95))*ROW(映射装备数值!$A$10:$A$56))),"未匹配")</f>
        <v>0.0045</v>
      </c>
      <c r="M95" s="93">
        <v>1.05</v>
      </c>
      <c r="N95" s="93">
        <v>0.95</v>
      </c>
      <c r="O95" t="str">
        <f t="shared" si="6"/>
        <v>生命</v>
      </c>
      <c r="P95">
        <f t="shared" si="7"/>
        <v>1698</v>
      </c>
      <c r="Q95">
        <f t="shared" si="8"/>
        <v>221</v>
      </c>
      <c r="R95" t="str">
        <f t="shared" si="9"/>
        <v>生命加成</v>
      </c>
      <c r="S95">
        <f t="shared" si="10"/>
        <v>0.033</v>
      </c>
      <c r="T95">
        <f t="shared" si="11"/>
        <v>0.0043</v>
      </c>
      <c r="U95" t="s">
        <v>79</v>
      </c>
      <c r="V95">
        <v>2100</v>
      </c>
      <c r="W95" s="7">
        <v>80093</v>
      </c>
    </row>
    <row r="96" ht="21" customHeight="1" spans="3:23">
      <c r="C96" s="7">
        <v>80094</v>
      </c>
      <c r="D96" s="7" t="s">
        <v>666</v>
      </c>
      <c r="E96" s="75" t="s">
        <v>420</v>
      </c>
      <c r="F96" s="92" t="s">
        <v>564</v>
      </c>
      <c r="G96" t="str">
        <f>IFERROR(INDEX(映射装备数值!D:D,SUMPRODUCT((映射装备数值!$C$10:$C$56=IF($F96="Blue","蓝",IF($F96="Purple","紫",IF($F96="Orange","金",IF($F96="Red","红",$F96)))))*((映射装备数值!$A$10:$A$56=$E96)+(映射装备数值!$B$10:$B$56=$E96))*ROW(映射装备数值!$A$10:$A$56))),"未匹配")</f>
        <v>生命</v>
      </c>
      <c r="H96">
        <f>IFERROR(INDEX(映射装备数值!G:G,SUMPRODUCT((映射装备数值!$C$10:$C$56=IF($F96="Blue","蓝",IF($F96="Purple","紫",IF($F96="Orange","金",IF($F96="Red","红",$F96)))))*((映射装备数值!$A$10:$A$56=$E96)+(映射装备数值!$B$10:$B$56=$E96))*ROW(映射装备数值!$A$10:$A$56))),"未匹配")</f>
        <v>646.875</v>
      </c>
      <c r="I96">
        <f>IFERROR(INDEX(映射装备数值!F:F,SUMPRODUCT((映射装备数值!$C$10:$C$56=IF($F96="Blue","蓝",IF($F96="Purple","紫",IF($F96="Orange","金",IF($F96="Red","红",$F96)))))*((映射装备数值!$A$10:$A$56=$E96)+(映射装备数值!$B$10:$B$56=$E96))*ROW(映射装备数值!$A$10:$A$56))),"未匹配")</f>
        <v>84.375</v>
      </c>
      <c r="J96" t="str">
        <f>IFERROR(INDEX(映射装备数值!I:I,SUMPRODUCT((映射装备数值!$C$10:$C$56=IF($F96="Blue","蓝",IF($F96="Purple","紫",IF($F96="Orange","金",IF($F96="Red","红",$F96)))))*((映射装备数值!$A$10:$A$56=$E96)+(映射装备数值!$B$10:$B$56=$E96))*ROW(映射装备数值!$A$10:$A$56))),"未匹配")</f>
        <v>生命加成</v>
      </c>
      <c r="K96">
        <f>IFERROR(INDEX(映射装备数值!L:L,SUMPRODUCT((映射装备数值!$C$10:$C$56=IF($F96="Blue","蓝",IF($F96="Purple","紫",IF($F96="Orange","金",IF($F96="Red","红",$F96)))))*((映射装备数值!$A$10:$A$56=$E96)+(映射装备数值!$B$10:$B$56=$E96))*ROW(映射装备数值!$A$10:$A$56))),"未匹配")</f>
        <v>0.0138</v>
      </c>
      <c r="L96">
        <f>IFERROR(INDEX(映射装备数值!K:K,SUMPRODUCT((映射装备数值!$C$10:$C$56=IF($F96="Blue","蓝",IF($F96="Purple","紫",IF($F96="Orange","金",IF($F96="Red","红",$F96)))))*((映射装备数值!$A$10:$A$56=$E96)+(映射装备数值!$B$10:$B$56=$E96))*ROW(映射装备数值!$A$10:$A$56))),"未匹配")</f>
        <v>0.0018</v>
      </c>
      <c r="M96" s="93">
        <v>0.9</v>
      </c>
      <c r="N96" s="93">
        <v>1.1</v>
      </c>
      <c r="O96" t="str">
        <f t="shared" si="6"/>
        <v>生命</v>
      </c>
      <c r="P96">
        <f t="shared" si="7"/>
        <v>582</v>
      </c>
      <c r="Q96">
        <f t="shared" si="8"/>
        <v>76</v>
      </c>
      <c r="R96" t="str">
        <f t="shared" si="9"/>
        <v>生命加成</v>
      </c>
      <c r="S96">
        <f t="shared" si="10"/>
        <v>0.015</v>
      </c>
      <c r="T96">
        <f t="shared" si="11"/>
        <v>0.002</v>
      </c>
      <c r="U96" t="s">
        <v>544</v>
      </c>
      <c r="V96">
        <v>0.01</v>
      </c>
      <c r="W96" s="7">
        <v>80094</v>
      </c>
    </row>
    <row r="97" ht="21" customHeight="1" spans="3:23">
      <c r="C97" s="7">
        <v>80095</v>
      </c>
      <c r="D97" s="7" t="s">
        <v>667</v>
      </c>
      <c r="E97" s="75" t="s">
        <v>420</v>
      </c>
      <c r="F97" s="92" t="s">
        <v>566</v>
      </c>
      <c r="G97" t="str">
        <f>IFERROR(INDEX(映射装备数值!D:D,SUMPRODUCT((映射装备数值!$C$10:$C$56=IF($F97="Blue","蓝",IF($F97="Purple","紫",IF($F97="Orange","金",IF($F97="Red","红",$F97)))))*((映射装备数值!$A$10:$A$56=$E97)+(映射装备数值!$B$10:$B$56=$E97))*ROW(映射装备数值!$A$10:$A$56))),"未匹配")</f>
        <v>生命</v>
      </c>
      <c r="H97">
        <f>IFERROR(INDEX(映射装备数值!G:G,SUMPRODUCT((映射装备数值!$C$10:$C$56=IF($F97="Blue","蓝",IF($F97="Purple","紫",IF($F97="Orange","金",IF($F97="Red","红",$F97)))))*((映射装备数值!$A$10:$A$56=$E97)+(映射装备数值!$B$10:$B$56=$E97))*ROW(映射装备数值!$A$10:$A$56))),"未匹配")</f>
        <v>1078.125</v>
      </c>
      <c r="I97">
        <f>IFERROR(INDEX(映射装备数值!F:F,SUMPRODUCT((映射装备数值!$C$10:$C$56=IF($F97="Blue","蓝",IF($F97="Purple","紫",IF($F97="Orange","金",IF($F97="Red","红",$F97)))))*((映射装备数值!$A$10:$A$56=$E97)+(映射装备数值!$B$10:$B$56=$E97))*ROW(映射装备数值!$A$10:$A$56))),"未匹配")</f>
        <v>140.625</v>
      </c>
      <c r="J97" t="str">
        <f>IFERROR(INDEX(映射装备数值!I:I,SUMPRODUCT((映射装备数值!$C$10:$C$56=IF($F97="Blue","蓝",IF($F97="Purple","紫",IF($F97="Orange","金",IF($F97="Red","红",$F97)))))*((映射装备数值!$A$10:$A$56=$E97)+(映射装备数值!$B$10:$B$56=$E97))*ROW(映射装备数值!$A$10:$A$56))),"未匹配")</f>
        <v>生命加成</v>
      </c>
      <c r="K97">
        <f>IFERROR(INDEX(映射装备数值!L:L,SUMPRODUCT((映射装备数值!$C$10:$C$56=IF($F97="Blue","蓝",IF($F97="Purple","紫",IF($F97="Orange","金",IF($F97="Red","红",$F97)))))*((映射装备数值!$A$10:$A$56=$E97)+(映射装备数值!$B$10:$B$56=$E97))*ROW(映射装备数值!$A$10:$A$56))),"未匹配")</f>
        <v>0.023</v>
      </c>
      <c r="L97">
        <f>IFERROR(INDEX(映射装备数值!K:K,SUMPRODUCT((映射装备数值!$C$10:$C$56=IF($F97="Blue","蓝",IF($F97="Purple","紫",IF($F97="Orange","金",IF($F97="Red","红",$F97)))))*((映射装备数值!$A$10:$A$56=$E97)+(映射装备数值!$B$10:$B$56=$E97))*ROW(映射装备数值!$A$10:$A$56))),"未匹配")</f>
        <v>0.003</v>
      </c>
      <c r="M97" s="93">
        <v>0.9</v>
      </c>
      <c r="N97" s="93">
        <v>1.1</v>
      </c>
      <c r="O97" t="str">
        <f t="shared" si="6"/>
        <v>生命</v>
      </c>
      <c r="P97">
        <f t="shared" si="7"/>
        <v>970</v>
      </c>
      <c r="Q97">
        <f t="shared" si="8"/>
        <v>127</v>
      </c>
      <c r="R97" t="str">
        <f t="shared" si="9"/>
        <v>生命加成</v>
      </c>
      <c r="S97">
        <f t="shared" si="10"/>
        <v>0.025</v>
      </c>
      <c r="T97">
        <f t="shared" si="11"/>
        <v>0.0033</v>
      </c>
      <c r="U97" t="s">
        <v>544</v>
      </c>
      <c r="V97">
        <v>0.015</v>
      </c>
      <c r="W97" s="7">
        <v>80095</v>
      </c>
    </row>
    <row r="98" ht="21" customHeight="1" spans="3:23">
      <c r="C98" s="7">
        <v>80096</v>
      </c>
      <c r="D98" s="7" t="s">
        <v>668</v>
      </c>
      <c r="E98" s="75" t="s">
        <v>420</v>
      </c>
      <c r="F98" s="92" t="s">
        <v>568</v>
      </c>
      <c r="G98" t="str">
        <f>IFERROR(INDEX(映射装备数值!D:D,SUMPRODUCT((映射装备数值!$C$10:$C$56=IF($F98="Blue","蓝",IF($F98="Purple","紫",IF($F98="Orange","金",IF($F98="Red","红",$F98)))))*((映射装备数值!$A$10:$A$56=$E98)+(映射装备数值!$B$10:$B$56=$E98))*ROW(映射装备数值!$A$10:$A$56))),"未匹配")</f>
        <v>生命</v>
      </c>
      <c r="H98">
        <f>IFERROR(INDEX(映射装备数值!G:G,SUMPRODUCT((映射装备数值!$C$10:$C$56=IF($F98="Blue","蓝",IF($F98="Purple","紫",IF($F98="Orange","金",IF($F98="Red","红",$F98)))))*((映射装备数值!$A$10:$A$56=$E98)+(映射装备数值!$B$10:$B$56=$E98))*ROW(映射装备数值!$A$10:$A$56))),"未匹配")</f>
        <v>1617.1875</v>
      </c>
      <c r="I98">
        <f>IFERROR(INDEX(映射装备数值!F:F,SUMPRODUCT((映射装备数值!$C$10:$C$56=IF($F98="Blue","蓝",IF($F98="Purple","紫",IF($F98="Orange","金",IF($F98="Red","红",$F98)))))*((映射装备数值!$A$10:$A$56=$E98)+(映射装备数值!$B$10:$B$56=$E98))*ROW(映射装备数值!$A$10:$A$56))),"未匹配")</f>
        <v>210.9375</v>
      </c>
      <c r="J98" t="str">
        <f>IFERROR(INDEX(映射装备数值!I:I,SUMPRODUCT((映射装备数值!$C$10:$C$56=IF($F98="Blue","蓝",IF($F98="Purple","紫",IF($F98="Orange","金",IF($F98="Red","红",$F98)))))*((映射装备数值!$A$10:$A$56=$E98)+(映射装备数值!$B$10:$B$56=$E98))*ROW(映射装备数值!$A$10:$A$56))),"未匹配")</f>
        <v>生命加成</v>
      </c>
      <c r="K98">
        <f>IFERROR(INDEX(映射装备数值!L:L,SUMPRODUCT((映射装备数值!$C$10:$C$56=IF($F98="Blue","蓝",IF($F98="Purple","紫",IF($F98="Orange","金",IF($F98="Red","红",$F98)))))*((映射装备数值!$A$10:$A$56=$E98)+(映射装备数值!$B$10:$B$56=$E98))*ROW(映射装备数值!$A$10:$A$56))),"未匹配")</f>
        <v>0.0345</v>
      </c>
      <c r="L98">
        <f>IFERROR(INDEX(映射装备数值!K:K,SUMPRODUCT((映射装备数值!$C$10:$C$56=IF($F98="Blue","蓝",IF($F98="Purple","紫",IF($F98="Orange","金",IF($F98="Red","红",$F98)))))*((映射装备数值!$A$10:$A$56=$E98)+(映射装备数值!$B$10:$B$56=$E98))*ROW(映射装备数值!$A$10:$A$56))),"未匹配")</f>
        <v>0.0045</v>
      </c>
      <c r="M98" s="93">
        <v>0.9</v>
      </c>
      <c r="N98" s="93">
        <v>1.1</v>
      </c>
      <c r="O98" t="str">
        <f t="shared" si="6"/>
        <v>生命</v>
      </c>
      <c r="P98">
        <f t="shared" si="7"/>
        <v>1455</v>
      </c>
      <c r="Q98">
        <f t="shared" si="8"/>
        <v>190</v>
      </c>
      <c r="R98" t="str">
        <f t="shared" si="9"/>
        <v>生命加成</v>
      </c>
      <c r="S98">
        <f t="shared" si="10"/>
        <v>0.038</v>
      </c>
      <c r="T98">
        <f t="shared" si="11"/>
        <v>0.005</v>
      </c>
      <c r="U98" t="s">
        <v>544</v>
      </c>
      <c r="V98">
        <v>0.02</v>
      </c>
      <c r="W98" s="7">
        <v>80096</v>
      </c>
    </row>
    <row r="99" ht="21" customHeight="1" spans="3:23">
      <c r="C99" s="7">
        <v>80097</v>
      </c>
      <c r="D99" s="7" t="s">
        <v>669</v>
      </c>
      <c r="E99" s="75" t="s">
        <v>420</v>
      </c>
      <c r="F99" s="92" t="s">
        <v>564</v>
      </c>
      <c r="G99" t="str">
        <f>IFERROR(INDEX(映射装备数值!D:D,SUMPRODUCT((映射装备数值!$C$10:$C$56=IF($F99="Blue","蓝",IF($F99="Purple","紫",IF($F99="Orange","金",IF($F99="Red","红",$F99)))))*((映射装备数值!$A$10:$A$56=$E99)+(映射装备数值!$B$10:$B$56=$E99))*ROW(映射装备数值!$A$10:$A$56))),"未匹配")</f>
        <v>生命</v>
      </c>
      <c r="H99">
        <f>IFERROR(INDEX(映射装备数值!G:G,SUMPRODUCT((映射装备数值!$C$10:$C$56=IF($F99="Blue","蓝",IF($F99="Purple","紫",IF($F99="Orange","金",IF($F99="Red","红",$F99)))))*((映射装备数值!$A$10:$A$56=$E99)+(映射装备数值!$B$10:$B$56=$E99))*ROW(映射装备数值!$A$10:$A$56))),"未匹配")</f>
        <v>646.875</v>
      </c>
      <c r="I99">
        <f>IFERROR(INDEX(映射装备数值!F:F,SUMPRODUCT((映射装备数值!$C$10:$C$56=IF($F99="Blue","蓝",IF($F99="Purple","紫",IF($F99="Orange","金",IF($F99="Red","红",$F99)))))*((映射装备数值!$A$10:$A$56=$E99)+(映射装备数值!$B$10:$B$56=$E99))*ROW(映射装备数值!$A$10:$A$56))),"未匹配")</f>
        <v>84.375</v>
      </c>
      <c r="J99" t="str">
        <f>IFERROR(INDEX(映射装备数值!I:I,SUMPRODUCT((映射装备数值!$C$10:$C$56=IF($F99="Blue","蓝",IF($F99="Purple","紫",IF($F99="Orange","金",IF($F99="Red","红",$F99)))))*((映射装备数值!$A$10:$A$56=$E99)+(映射装备数值!$B$10:$B$56=$E99))*ROW(映射装备数值!$A$10:$A$56))),"未匹配")</f>
        <v>生命加成</v>
      </c>
      <c r="K99">
        <f>IFERROR(INDEX(映射装备数值!L:L,SUMPRODUCT((映射装备数值!$C$10:$C$56=IF($F99="Blue","蓝",IF($F99="Purple","紫",IF($F99="Orange","金",IF($F99="Red","红",$F99)))))*((映射装备数值!$A$10:$A$56=$E99)+(映射装备数值!$B$10:$B$56=$E99))*ROW(映射装备数值!$A$10:$A$56))),"未匹配")</f>
        <v>0.0138</v>
      </c>
      <c r="L99">
        <f>IFERROR(INDEX(映射装备数值!K:K,SUMPRODUCT((映射装备数值!$C$10:$C$56=IF($F99="Blue","蓝",IF($F99="Purple","紫",IF($F99="Orange","金",IF($F99="Red","红",$F99)))))*((映射装备数值!$A$10:$A$56=$E99)+(映射装备数值!$B$10:$B$56=$E99))*ROW(映射装备数值!$A$10:$A$56))),"未匹配")</f>
        <v>0.0018</v>
      </c>
      <c r="M99" s="93">
        <v>0.95</v>
      </c>
      <c r="N99" s="93">
        <v>1.05</v>
      </c>
      <c r="O99" t="str">
        <f t="shared" si="6"/>
        <v>生命</v>
      </c>
      <c r="P99">
        <f t="shared" si="7"/>
        <v>615</v>
      </c>
      <c r="Q99">
        <f t="shared" si="8"/>
        <v>80</v>
      </c>
      <c r="R99" t="str">
        <f t="shared" si="9"/>
        <v>生命加成</v>
      </c>
      <c r="S99">
        <f t="shared" si="10"/>
        <v>0.014</v>
      </c>
      <c r="T99">
        <f t="shared" si="11"/>
        <v>0.0019</v>
      </c>
      <c r="U99" t="s">
        <v>80</v>
      </c>
      <c r="V99">
        <v>210</v>
      </c>
      <c r="W99" s="7">
        <v>80097</v>
      </c>
    </row>
    <row r="100" ht="21" customHeight="1" spans="3:23">
      <c r="C100" s="7">
        <v>80098</v>
      </c>
      <c r="D100" s="7" t="s">
        <v>670</v>
      </c>
      <c r="E100" s="75" t="s">
        <v>420</v>
      </c>
      <c r="F100" s="92" t="s">
        <v>566</v>
      </c>
      <c r="G100" t="str">
        <f>IFERROR(INDEX(映射装备数值!D:D,SUMPRODUCT((映射装备数值!$C$10:$C$56=IF($F100="Blue","蓝",IF($F100="Purple","紫",IF($F100="Orange","金",IF($F100="Red","红",$F100)))))*((映射装备数值!$A$10:$A$56=$E100)+(映射装备数值!$B$10:$B$56=$E100))*ROW(映射装备数值!$A$10:$A$56))),"未匹配")</f>
        <v>生命</v>
      </c>
      <c r="H100">
        <f>IFERROR(INDEX(映射装备数值!G:G,SUMPRODUCT((映射装备数值!$C$10:$C$56=IF($F100="Blue","蓝",IF($F100="Purple","紫",IF($F100="Orange","金",IF($F100="Red","红",$F100)))))*((映射装备数值!$A$10:$A$56=$E100)+(映射装备数值!$B$10:$B$56=$E100))*ROW(映射装备数值!$A$10:$A$56))),"未匹配")</f>
        <v>1078.125</v>
      </c>
      <c r="I100">
        <f>IFERROR(INDEX(映射装备数值!F:F,SUMPRODUCT((映射装备数值!$C$10:$C$56=IF($F100="Blue","蓝",IF($F100="Purple","紫",IF($F100="Orange","金",IF($F100="Red","红",$F100)))))*((映射装备数值!$A$10:$A$56=$E100)+(映射装备数值!$B$10:$B$56=$E100))*ROW(映射装备数值!$A$10:$A$56))),"未匹配")</f>
        <v>140.625</v>
      </c>
      <c r="J100" t="str">
        <f>IFERROR(INDEX(映射装备数值!I:I,SUMPRODUCT((映射装备数值!$C$10:$C$56=IF($F100="Blue","蓝",IF($F100="Purple","紫",IF($F100="Orange","金",IF($F100="Red","红",$F100)))))*((映射装备数值!$A$10:$A$56=$E100)+(映射装备数值!$B$10:$B$56=$E100))*ROW(映射装备数值!$A$10:$A$56))),"未匹配")</f>
        <v>生命加成</v>
      </c>
      <c r="K100">
        <f>IFERROR(INDEX(映射装备数值!L:L,SUMPRODUCT((映射装备数值!$C$10:$C$56=IF($F100="Blue","蓝",IF($F100="Purple","紫",IF($F100="Orange","金",IF($F100="Red","红",$F100)))))*((映射装备数值!$A$10:$A$56=$E100)+(映射装备数值!$B$10:$B$56=$E100))*ROW(映射装备数值!$A$10:$A$56))),"未匹配")</f>
        <v>0.023</v>
      </c>
      <c r="L100">
        <f>IFERROR(INDEX(映射装备数值!K:K,SUMPRODUCT((映射装备数值!$C$10:$C$56=IF($F100="Blue","蓝",IF($F100="Purple","紫",IF($F100="Orange","金",IF($F100="Red","红",$F100)))))*((映射装备数值!$A$10:$A$56=$E100)+(映射装备数值!$B$10:$B$56=$E100))*ROW(映射装备数值!$A$10:$A$56))),"未匹配")</f>
        <v>0.003</v>
      </c>
      <c r="M100" s="93">
        <v>0.95</v>
      </c>
      <c r="N100" s="93">
        <v>1.05</v>
      </c>
      <c r="O100" t="str">
        <f t="shared" si="6"/>
        <v>生命</v>
      </c>
      <c r="P100">
        <f t="shared" si="7"/>
        <v>1024</v>
      </c>
      <c r="Q100">
        <f t="shared" si="8"/>
        <v>134</v>
      </c>
      <c r="R100" t="str">
        <f t="shared" si="9"/>
        <v>生命加成</v>
      </c>
      <c r="S100">
        <f t="shared" si="10"/>
        <v>0.024</v>
      </c>
      <c r="T100">
        <f t="shared" si="11"/>
        <v>0.0032</v>
      </c>
      <c r="U100" t="s">
        <v>80</v>
      </c>
      <c r="V100">
        <v>390</v>
      </c>
      <c r="W100" s="7">
        <v>80098</v>
      </c>
    </row>
    <row r="101" ht="21" customHeight="1" spans="3:23">
      <c r="C101" s="88">
        <v>80099</v>
      </c>
      <c r="D101" s="88" t="s">
        <v>671</v>
      </c>
      <c r="E101" s="76" t="s">
        <v>420</v>
      </c>
      <c r="F101" s="94" t="s">
        <v>568</v>
      </c>
      <c r="G101" t="str">
        <f>IFERROR(INDEX(映射装备数值!D:D,SUMPRODUCT((映射装备数值!$C$10:$C$56=IF($F101="Blue","蓝",IF($F101="Purple","紫",IF($F101="Orange","金",IF($F101="Red","红",$F101)))))*((映射装备数值!$A$10:$A$56=$E101)+(映射装备数值!$B$10:$B$56=$E101))*ROW(映射装备数值!$A$10:$A$56))),"未匹配")</f>
        <v>生命</v>
      </c>
      <c r="H101">
        <f>IFERROR(INDEX(映射装备数值!G:G,SUMPRODUCT((映射装备数值!$C$10:$C$56=IF($F101="Blue","蓝",IF($F101="Purple","紫",IF($F101="Orange","金",IF($F101="Red","红",$F101)))))*((映射装备数值!$A$10:$A$56=$E101)+(映射装备数值!$B$10:$B$56=$E101))*ROW(映射装备数值!$A$10:$A$56))),"未匹配")</f>
        <v>1617.1875</v>
      </c>
      <c r="I101">
        <f>IFERROR(INDEX(映射装备数值!F:F,SUMPRODUCT((映射装备数值!$C$10:$C$56=IF($F101="Blue","蓝",IF($F101="Purple","紫",IF($F101="Orange","金",IF($F101="Red","红",$F101)))))*((映射装备数值!$A$10:$A$56=$E101)+(映射装备数值!$B$10:$B$56=$E101))*ROW(映射装备数值!$A$10:$A$56))),"未匹配")</f>
        <v>210.9375</v>
      </c>
      <c r="J101" t="str">
        <f>IFERROR(INDEX(映射装备数值!I:I,SUMPRODUCT((映射装备数值!$C$10:$C$56=IF($F101="Blue","蓝",IF($F101="Purple","紫",IF($F101="Orange","金",IF($F101="Red","红",$F101)))))*((映射装备数值!$A$10:$A$56=$E101)+(映射装备数值!$B$10:$B$56=$E101))*ROW(映射装备数值!$A$10:$A$56))),"未匹配")</f>
        <v>生命加成</v>
      </c>
      <c r="K101">
        <f>IFERROR(INDEX(映射装备数值!L:L,SUMPRODUCT((映射装备数值!$C$10:$C$56=IF($F101="Blue","蓝",IF($F101="Purple","紫",IF($F101="Orange","金",IF($F101="Red","红",$F101)))))*((映射装备数值!$A$10:$A$56=$E101)+(映射装备数值!$B$10:$B$56=$E101))*ROW(映射装备数值!$A$10:$A$56))),"未匹配")</f>
        <v>0.0345</v>
      </c>
      <c r="L101">
        <f>IFERROR(INDEX(映射装备数值!K:K,SUMPRODUCT((映射装备数值!$C$10:$C$56=IF($F101="Blue","蓝",IF($F101="Purple","紫",IF($F101="Orange","金",IF($F101="Red","红",$F101)))))*((映射装备数值!$A$10:$A$56=$E101)+(映射装备数值!$B$10:$B$56=$E101))*ROW(映射装备数值!$A$10:$A$56))),"未匹配")</f>
        <v>0.0045</v>
      </c>
      <c r="M101" s="93">
        <v>0.95</v>
      </c>
      <c r="N101" s="93">
        <v>1.05</v>
      </c>
      <c r="O101" t="str">
        <f t="shared" si="6"/>
        <v>生命</v>
      </c>
      <c r="P101">
        <f t="shared" si="7"/>
        <v>1536</v>
      </c>
      <c r="Q101">
        <f t="shared" si="8"/>
        <v>200</v>
      </c>
      <c r="R101" t="str">
        <f t="shared" si="9"/>
        <v>生命加成</v>
      </c>
      <c r="S101">
        <f t="shared" si="10"/>
        <v>0.036</v>
      </c>
      <c r="T101">
        <f t="shared" si="11"/>
        <v>0.0047</v>
      </c>
      <c r="U101" t="s">
        <v>80</v>
      </c>
      <c r="V101">
        <v>630</v>
      </c>
      <c r="W101" s="88">
        <v>80099</v>
      </c>
    </row>
    <row r="102" ht="21" customHeight="1" spans="3:23">
      <c r="C102" s="7">
        <v>80100</v>
      </c>
      <c r="D102" s="7" t="s">
        <v>672</v>
      </c>
      <c r="E102" s="75" t="s">
        <v>422</v>
      </c>
      <c r="F102" s="92" t="s">
        <v>564</v>
      </c>
      <c r="G102" t="str">
        <f>IFERROR(INDEX(映射装备数值!D:D,SUMPRODUCT((映射装备数值!$C$10:$C$56=IF($F102="Blue","蓝",IF($F102="Purple","紫",IF($F102="Orange","金",IF($F102="Red","红",$F102)))))*((映射装备数值!$A$10:$A$56=$E102)+(映射装备数值!$B$10:$B$56=$E102))*ROW(映射装备数值!$A$10:$A$56))),"未匹配")</f>
        <v>攻击</v>
      </c>
      <c r="H102">
        <f>IFERROR(INDEX(映射装备数值!G:G,SUMPRODUCT((映射装备数值!$C$10:$C$56=IF($F102="Blue","蓝",IF($F102="Purple","紫",IF($F102="Orange","金",IF($F102="Red","红",$F102)))))*((映射装备数值!$A$10:$A$56=$E102)+(映射装备数值!$B$10:$B$56=$E102))*ROW(映射装备数值!$A$10:$A$56))),"未匹配")</f>
        <v>193.2</v>
      </c>
      <c r="I102">
        <f>IFERROR(INDEX(映射装备数值!F:F,SUMPRODUCT((映射装备数值!$C$10:$C$56=IF($F102="Blue","蓝",IF($F102="Purple","紫",IF($F102="Orange","金",IF($F102="Red","红",$F102)))))*((映射装备数值!$A$10:$A$56=$E102)+(映射装备数值!$B$10:$B$56=$E102))*ROW(映射装备数值!$A$10:$A$56))),"未匹配")</f>
        <v>25.2</v>
      </c>
      <c r="J102" t="str">
        <f>IFERROR(INDEX(映射装备数值!I:I,SUMPRODUCT((映射装备数值!$C$10:$C$56=IF($F102="Blue","蓝",IF($F102="Purple","紫",IF($F102="Orange","金",IF($F102="Red","红",$F102)))))*((映射装备数值!$A$10:$A$56=$E102)+(映射装备数值!$B$10:$B$56=$E102))*ROW(映射装备数值!$A$10:$A$56))),"未匹配")</f>
        <v>冷却缩减等级</v>
      </c>
      <c r="K102">
        <f>IFERROR(INDEX(映射装备数值!L:L,SUMPRODUCT((映射装备数值!$C$10:$C$56=IF($F102="Blue","蓝",IF($F102="Purple","紫",IF($F102="Orange","金",IF($F102="Red","红",$F102)))))*((映射装备数值!$A$10:$A$56=$E102)+(映射装备数值!$B$10:$B$56=$E102))*ROW(映射装备数值!$A$10:$A$56))),"未匹配")</f>
        <v>125.7</v>
      </c>
      <c r="L102">
        <f>IFERROR(INDEX(映射装备数值!K:K,SUMPRODUCT((映射装备数值!$C$10:$C$56=IF($F102="Blue","蓝",IF($F102="Purple","紫",IF($F102="Orange","金",IF($F102="Red","红",$F102)))))*((映射装备数值!$A$10:$A$56=$E102)+(映射装备数值!$B$10:$B$56=$E102))*ROW(映射装备数值!$A$10:$A$56))),"未匹配")</f>
        <v>16.5</v>
      </c>
      <c r="M102" s="93">
        <v>1.05</v>
      </c>
      <c r="N102" s="93">
        <v>0.95</v>
      </c>
      <c r="O102" t="str">
        <f t="shared" si="6"/>
        <v>攻击</v>
      </c>
      <c r="P102">
        <f t="shared" si="7"/>
        <v>203</v>
      </c>
      <c r="Q102">
        <f t="shared" si="8"/>
        <v>26</v>
      </c>
      <c r="R102" t="str">
        <f t="shared" si="9"/>
        <v>冷却缩减等级</v>
      </c>
      <c r="S102">
        <f t="shared" si="10"/>
        <v>119</v>
      </c>
      <c r="T102">
        <f t="shared" si="11"/>
        <v>16</v>
      </c>
      <c r="U102" t="s">
        <v>573</v>
      </c>
      <c r="V102">
        <v>0.02</v>
      </c>
      <c r="W102" s="7">
        <v>80100</v>
      </c>
    </row>
    <row r="103" ht="21" customHeight="1" spans="3:23">
      <c r="C103" s="7">
        <v>80101</v>
      </c>
      <c r="D103" s="7" t="s">
        <v>673</v>
      </c>
      <c r="E103" s="75" t="s">
        <v>422</v>
      </c>
      <c r="F103" s="92" t="s">
        <v>566</v>
      </c>
      <c r="G103" t="str">
        <f>IFERROR(INDEX(映射装备数值!D:D,SUMPRODUCT((映射装备数值!$C$10:$C$56=IF($F103="Blue","蓝",IF($F103="Purple","紫",IF($F103="Orange","金",IF($F103="Red","红",$F103)))))*((映射装备数值!$A$10:$A$56=$E103)+(映射装备数值!$B$10:$B$56=$E103))*ROW(映射装备数值!$A$10:$A$56))),"未匹配")</f>
        <v>攻击</v>
      </c>
      <c r="H103">
        <f>IFERROR(INDEX(映射装备数值!G:G,SUMPRODUCT((映射装备数值!$C$10:$C$56=IF($F103="Blue","蓝",IF($F103="Purple","紫",IF($F103="Orange","金",IF($F103="Red","红",$F103)))))*((映射装备数值!$A$10:$A$56=$E103)+(映射装备数值!$B$10:$B$56=$E103))*ROW(映射装备数值!$A$10:$A$56))),"未匹配")</f>
        <v>322</v>
      </c>
      <c r="I103">
        <f>IFERROR(INDEX(映射装备数值!F:F,SUMPRODUCT((映射装备数值!$C$10:$C$56=IF($F103="Blue","蓝",IF($F103="Purple","紫",IF($F103="Orange","金",IF($F103="Red","红",$F103)))))*((映射装备数值!$A$10:$A$56=$E103)+(映射装备数值!$B$10:$B$56=$E103))*ROW(映射装备数值!$A$10:$A$56))),"未匹配")</f>
        <v>42</v>
      </c>
      <c r="J103" t="str">
        <f>IFERROR(INDEX(映射装备数值!I:I,SUMPRODUCT((映射装备数值!$C$10:$C$56=IF($F103="Blue","蓝",IF($F103="Purple","紫",IF($F103="Orange","金",IF($F103="Red","红",$F103)))))*((映射装备数值!$A$10:$A$56=$E103)+(映射装备数值!$B$10:$B$56=$E103))*ROW(映射装备数值!$A$10:$A$56))),"未匹配")</f>
        <v>冷却缩减等级</v>
      </c>
      <c r="K103">
        <f>IFERROR(INDEX(映射装备数值!L:L,SUMPRODUCT((映射装备数值!$C$10:$C$56=IF($F103="Blue","蓝",IF($F103="Purple","紫",IF($F103="Orange","金",IF($F103="Red","红",$F103)))))*((映射装备数值!$A$10:$A$56=$E103)+(映射装备数值!$B$10:$B$56=$E103))*ROW(映射装备数值!$A$10:$A$56))),"未匹配")</f>
        <v>209.5</v>
      </c>
      <c r="L103">
        <f>IFERROR(INDEX(映射装备数值!K:K,SUMPRODUCT((映射装备数值!$C$10:$C$56=IF($F103="Blue","蓝",IF($F103="Purple","紫",IF($F103="Orange","金",IF($F103="Red","红",$F103)))))*((映射装备数值!$A$10:$A$56=$E103)+(映射装备数值!$B$10:$B$56=$E103))*ROW(映射装备数值!$A$10:$A$56))),"未匹配")</f>
        <v>27.5</v>
      </c>
      <c r="M103" s="93">
        <v>1.05</v>
      </c>
      <c r="N103" s="93">
        <v>0.95</v>
      </c>
      <c r="O103" t="str">
        <f t="shared" si="6"/>
        <v>攻击</v>
      </c>
      <c r="P103">
        <f t="shared" si="7"/>
        <v>338</v>
      </c>
      <c r="Q103">
        <f t="shared" si="8"/>
        <v>44</v>
      </c>
      <c r="R103" t="str">
        <f t="shared" si="9"/>
        <v>冷却缩减等级</v>
      </c>
      <c r="S103">
        <f t="shared" si="10"/>
        <v>199</v>
      </c>
      <c r="T103">
        <f t="shared" si="11"/>
        <v>26</v>
      </c>
      <c r="U103" t="s">
        <v>573</v>
      </c>
      <c r="V103">
        <v>0.03</v>
      </c>
      <c r="W103" s="7">
        <v>80101</v>
      </c>
    </row>
    <row r="104" ht="21" customHeight="1" spans="3:23">
      <c r="C104" s="7">
        <v>80102</v>
      </c>
      <c r="D104" s="7" t="s">
        <v>674</v>
      </c>
      <c r="E104" s="75" t="s">
        <v>422</v>
      </c>
      <c r="F104" s="92" t="s">
        <v>568</v>
      </c>
      <c r="G104" t="str">
        <f>IFERROR(INDEX(映射装备数值!D:D,SUMPRODUCT((映射装备数值!$C$10:$C$56=IF($F104="Blue","蓝",IF($F104="Purple","紫",IF($F104="Orange","金",IF($F104="Red","红",$F104)))))*((映射装备数值!$A$10:$A$56=$E104)+(映射装备数值!$B$10:$B$56=$E104))*ROW(映射装备数值!$A$10:$A$56))),"未匹配")</f>
        <v>攻击</v>
      </c>
      <c r="H104">
        <f>IFERROR(INDEX(映射装备数值!G:G,SUMPRODUCT((映射装备数值!$C$10:$C$56=IF($F104="Blue","蓝",IF($F104="Purple","紫",IF($F104="Orange","金",IF($F104="Red","红",$F104)))))*((映射装备数值!$A$10:$A$56=$E104)+(映射装备数值!$B$10:$B$56=$E104))*ROW(映射装备数值!$A$10:$A$56))),"未匹配")</f>
        <v>483</v>
      </c>
      <c r="I104">
        <f>IFERROR(INDEX(映射装备数值!F:F,SUMPRODUCT((映射装备数值!$C$10:$C$56=IF($F104="Blue","蓝",IF($F104="Purple","紫",IF($F104="Orange","金",IF($F104="Red","红",$F104)))))*((映射装备数值!$A$10:$A$56=$E104)+(映射装备数值!$B$10:$B$56=$E104))*ROW(映射装备数值!$A$10:$A$56))),"未匹配")</f>
        <v>63</v>
      </c>
      <c r="J104" t="str">
        <f>IFERROR(INDEX(映射装备数值!I:I,SUMPRODUCT((映射装备数值!$C$10:$C$56=IF($F104="Blue","蓝",IF($F104="Purple","紫",IF($F104="Orange","金",IF($F104="Red","红",$F104)))))*((映射装备数值!$A$10:$A$56=$E104)+(映射装备数值!$B$10:$B$56=$E104))*ROW(映射装备数值!$A$10:$A$56))),"未匹配")</f>
        <v>冷却缩减等级</v>
      </c>
      <c r="K104">
        <f>IFERROR(INDEX(映射装备数值!L:L,SUMPRODUCT((映射装备数值!$C$10:$C$56=IF($F104="Blue","蓝",IF($F104="Purple","紫",IF($F104="Orange","金",IF($F104="Red","红",$F104)))))*((映射装备数值!$A$10:$A$56=$E104)+(映射装备数值!$B$10:$B$56=$E104))*ROW(映射装备数值!$A$10:$A$56))),"未匹配")</f>
        <v>314.25</v>
      </c>
      <c r="L104">
        <f>IFERROR(INDEX(映射装备数值!K:K,SUMPRODUCT((映射装备数值!$C$10:$C$56=IF($F104="Blue","蓝",IF($F104="Purple","紫",IF($F104="Orange","金",IF($F104="Red","红",$F104)))))*((映射装备数值!$A$10:$A$56=$E104)+(映射装备数值!$B$10:$B$56=$E104))*ROW(映射装备数值!$A$10:$A$56))),"未匹配")</f>
        <v>41.25</v>
      </c>
      <c r="M104" s="93">
        <v>1.05</v>
      </c>
      <c r="N104" s="93">
        <v>0.95</v>
      </c>
      <c r="O104" t="str">
        <f t="shared" si="6"/>
        <v>攻击</v>
      </c>
      <c r="P104">
        <f t="shared" si="7"/>
        <v>507</v>
      </c>
      <c r="Q104">
        <f t="shared" si="8"/>
        <v>66</v>
      </c>
      <c r="R104" t="str">
        <f t="shared" si="9"/>
        <v>冷却缩减等级</v>
      </c>
      <c r="S104">
        <f t="shared" si="10"/>
        <v>299</v>
      </c>
      <c r="T104">
        <f t="shared" si="11"/>
        <v>39</v>
      </c>
      <c r="U104" t="s">
        <v>573</v>
      </c>
      <c r="V104">
        <v>0.04</v>
      </c>
      <c r="W104" s="7">
        <v>80102</v>
      </c>
    </row>
    <row r="105" ht="21" customHeight="1" spans="3:23">
      <c r="C105" s="7">
        <v>80103</v>
      </c>
      <c r="D105" s="7" t="s">
        <v>675</v>
      </c>
      <c r="E105" s="75" t="s">
        <v>422</v>
      </c>
      <c r="F105" s="92" t="s">
        <v>564</v>
      </c>
      <c r="G105" t="str">
        <f>IFERROR(INDEX(映射装备数值!D:D,SUMPRODUCT((映射装备数值!$C$10:$C$56=IF($F105="Blue","蓝",IF($F105="Purple","紫",IF($F105="Orange","金",IF($F105="Red","红",$F105)))))*((映射装备数值!$A$10:$A$56=$E105)+(映射装备数值!$B$10:$B$56=$E105))*ROW(映射装备数值!$A$10:$A$56))),"未匹配")</f>
        <v>攻击</v>
      </c>
      <c r="H105">
        <f>IFERROR(INDEX(映射装备数值!G:G,SUMPRODUCT((映射装备数值!$C$10:$C$56=IF($F105="Blue","蓝",IF($F105="Purple","紫",IF($F105="Orange","金",IF($F105="Red","红",$F105)))))*((映射装备数值!$A$10:$A$56=$E105)+(映射装备数值!$B$10:$B$56=$E105))*ROW(映射装备数值!$A$10:$A$56))),"未匹配")</f>
        <v>193.2</v>
      </c>
      <c r="I105">
        <f>IFERROR(INDEX(映射装备数值!F:F,SUMPRODUCT((映射装备数值!$C$10:$C$56=IF($F105="Blue","蓝",IF($F105="Purple","紫",IF($F105="Orange","金",IF($F105="Red","红",$F105)))))*((映射装备数值!$A$10:$A$56=$E105)+(映射装备数值!$B$10:$B$56=$E105))*ROW(映射装备数值!$A$10:$A$56))),"未匹配")</f>
        <v>25.2</v>
      </c>
      <c r="J105" t="str">
        <f>IFERROR(INDEX(映射装备数值!I:I,SUMPRODUCT((映射装备数值!$C$10:$C$56=IF($F105="Blue","蓝",IF($F105="Purple","紫",IF($F105="Orange","金",IF($F105="Red","红",$F105)))))*((映射装备数值!$A$10:$A$56=$E105)+(映射装备数值!$B$10:$B$56=$E105))*ROW(映射装备数值!$A$10:$A$56))),"未匹配")</f>
        <v>冷却缩减等级</v>
      </c>
      <c r="K105">
        <f>IFERROR(INDEX(映射装备数值!L:L,SUMPRODUCT((映射装备数值!$C$10:$C$56=IF($F105="Blue","蓝",IF($F105="Purple","紫",IF($F105="Orange","金",IF($F105="Red","红",$F105)))))*((映射装备数值!$A$10:$A$56=$E105)+(映射装备数值!$B$10:$B$56=$E105))*ROW(映射装备数值!$A$10:$A$56))),"未匹配")</f>
        <v>125.7</v>
      </c>
      <c r="L105">
        <f>IFERROR(INDEX(映射装备数值!K:K,SUMPRODUCT((映射装备数值!$C$10:$C$56=IF($F105="Blue","蓝",IF($F105="Purple","紫",IF($F105="Orange","金",IF($F105="Red","红",$F105)))))*((映射装备数值!$A$10:$A$56=$E105)+(映射装备数值!$B$10:$B$56=$E105))*ROW(映射装备数值!$A$10:$A$56))),"未匹配")</f>
        <v>16.5</v>
      </c>
      <c r="M105" s="93">
        <v>0.95</v>
      </c>
      <c r="N105" s="93">
        <v>1.05</v>
      </c>
      <c r="O105" t="str">
        <f t="shared" si="6"/>
        <v>攻击</v>
      </c>
      <c r="P105">
        <f t="shared" si="7"/>
        <v>184</v>
      </c>
      <c r="Q105">
        <f t="shared" si="8"/>
        <v>24</v>
      </c>
      <c r="R105" t="str">
        <f t="shared" si="9"/>
        <v>冷却缩减等级</v>
      </c>
      <c r="S105">
        <f t="shared" si="10"/>
        <v>132</v>
      </c>
      <c r="T105">
        <f t="shared" si="11"/>
        <v>17</v>
      </c>
      <c r="U105" t="s">
        <v>133</v>
      </c>
      <c r="V105">
        <v>0.015</v>
      </c>
      <c r="W105" s="7">
        <v>80103</v>
      </c>
    </row>
    <row r="106" ht="21" customHeight="1" spans="3:23">
      <c r="C106" s="7">
        <v>80104</v>
      </c>
      <c r="D106" s="7" t="s">
        <v>676</v>
      </c>
      <c r="E106" s="75" t="s">
        <v>422</v>
      </c>
      <c r="F106" s="92" t="s">
        <v>566</v>
      </c>
      <c r="G106" t="str">
        <f>IFERROR(INDEX(映射装备数值!D:D,SUMPRODUCT((映射装备数值!$C$10:$C$56=IF($F106="Blue","蓝",IF($F106="Purple","紫",IF($F106="Orange","金",IF($F106="Red","红",$F106)))))*((映射装备数值!$A$10:$A$56=$E106)+(映射装备数值!$B$10:$B$56=$E106))*ROW(映射装备数值!$A$10:$A$56))),"未匹配")</f>
        <v>攻击</v>
      </c>
      <c r="H106">
        <f>IFERROR(INDEX(映射装备数值!G:G,SUMPRODUCT((映射装备数值!$C$10:$C$56=IF($F106="Blue","蓝",IF($F106="Purple","紫",IF($F106="Orange","金",IF($F106="Red","红",$F106)))))*((映射装备数值!$A$10:$A$56=$E106)+(映射装备数值!$B$10:$B$56=$E106))*ROW(映射装备数值!$A$10:$A$56))),"未匹配")</f>
        <v>322</v>
      </c>
      <c r="I106">
        <f>IFERROR(INDEX(映射装备数值!F:F,SUMPRODUCT((映射装备数值!$C$10:$C$56=IF($F106="Blue","蓝",IF($F106="Purple","紫",IF($F106="Orange","金",IF($F106="Red","红",$F106)))))*((映射装备数值!$A$10:$A$56=$E106)+(映射装备数值!$B$10:$B$56=$E106))*ROW(映射装备数值!$A$10:$A$56))),"未匹配")</f>
        <v>42</v>
      </c>
      <c r="J106" t="str">
        <f>IFERROR(INDEX(映射装备数值!I:I,SUMPRODUCT((映射装备数值!$C$10:$C$56=IF($F106="Blue","蓝",IF($F106="Purple","紫",IF($F106="Orange","金",IF($F106="Red","红",$F106)))))*((映射装备数值!$A$10:$A$56=$E106)+(映射装备数值!$B$10:$B$56=$E106))*ROW(映射装备数值!$A$10:$A$56))),"未匹配")</f>
        <v>冷却缩减等级</v>
      </c>
      <c r="K106">
        <f>IFERROR(INDEX(映射装备数值!L:L,SUMPRODUCT((映射装备数值!$C$10:$C$56=IF($F106="Blue","蓝",IF($F106="Purple","紫",IF($F106="Orange","金",IF($F106="Red","红",$F106)))))*((映射装备数值!$A$10:$A$56=$E106)+(映射装备数值!$B$10:$B$56=$E106))*ROW(映射装备数值!$A$10:$A$56))),"未匹配")</f>
        <v>209.5</v>
      </c>
      <c r="L106">
        <f>IFERROR(INDEX(映射装备数值!K:K,SUMPRODUCT((映射装备数值!$C$10:$C$56=IF($F106="Blue","蓝",IF($F106="Purple","紫",IF($F106="Orange","金",IF($F106="Red","红",$F106)))))*((映射装备数值!$A$10:$A$56=$E106)+(映射装备数值!$B$10:$B$56=$E106))*ROW(映射装备数值!$A$10:$A$56))),"未匹配")</f>
        <v>27.5</v>
      </c>
      <c r="M106" s="93">
        <v>0.95</v>
      </c>
      <c r="N106" s="93">
        <v>1.05</v>
      </c>
      <c r="O106" t="str">
        <f t="shared" si="6"/>
        <v>攻击</v>
      </c>
      <c r="P106">
        <f t="shared" si="7"/>
        <v>306</v>
      </c>
      <c r="Q106">
        <f t="shared" si="8"/>
        <v>40</v>
      </c>
      <c r="R106" t="str">
        <f t="shared" si="9"/>
        <v>冷却缩减等级</v>
      </c>
      <c r="S106">
        <f t="shared" si="10"/>
        <v>220</v>
      </c>
      <c r="T106">
        <f t="shared" si="11"/>
        <v>29</v>
      </c>
      <c r="U106" t="s">
        <v>133</v>
      </c>
      <c r="V106">
        <v>0.025</v>
      </c>
      <c r="W106" s="7">
        <v>80104</v>
      </c>
    </row>
    <row r="107" ht="21" customHeight="1" spans="3:23">
      <c r="C107" s="7">
        <v>80105</v>
      </c>
      <c r="D107" s="7" t="s">
        <v>677</v>
      </c>
      <c r="E107" s="75" t="s">
        <v>422</v>
      </c>
      <c r="F107" s="92" t="s">
        <v>568</v>
      </c>
      <c r="G107" t="str">
        <f>IFERROR(INDEX(映射装备数值!D:D,SUMPRODUCT((映射装备数值!$C$10:$C$56=IF($F107="Blue","蓝",IF($F107="Purple","紫",IF($F107="Orange","金",IF($F107="Red","红",$F107)))))*((映射装备数值!$A$10:$A$56=$E107)+(映射装备数值!$B$10:$B$56=$E107))*ROW(映射装备数值!$A$10:$A$56))),"未匹配")</f>
        <v>攻击</v>
      </c>
      <c r="H107">
        <f>IFERROR(INDEX(映射装备数值!G:G,SUMPRODUCT((映射装备数值!$C$10:$C$56=IF($F107="Blue","蓝",IF($F107="Purple","紫",IF($F107="Orange","金",IF($F107="Red","红",$F107)))))*((映射装备数值!$A$10:$A$56=$E107)+(映射装备数值!$B$10:$B$56=$E107))*ROW(映射装备数值!$A$10:$A$56))),"未匹配")</f>
        <v>483</v>
      </c>
      <c r="I107">
        <f>IFERROR(INDEX(映射装备数值!F:F,SUMPRODUCT((映射装备数值!$C$10:$C$56=IF($F107="Blue","蓝",IF($F107="Purple","紫",IF($F107="Orange","金",IF($F107="Red","红",$F107)))))*((映射装备数值!$A$10:$A$56=$E107)+(映射装备数值!$B$10:$B$56=$E107))*ROW(映射装备数值!$A$10:$A$56))),"未匹配")</f>
        <v>63</v>
      </c>
      <c r="J107" t="str">
        <f>IFERROR(INDEX(映射装备数值!I:I,SUMPRODUCT((映射装备数值!$C$10:$C$56=IF($F107="Blue","蓝",IF($F107="Purple","紫",IF($F107="Orange","金",IF($F107="Red","红",$F107)))))*((映射装备数值!$A$10:$A$56=$E107)+(映射装备数值!$B$10:$B$56=$E107))*ROW(映射装备数值!$A$10:$A$56))),"未匹配")</f>
        <v>冷却缩减等级</v>
      </c>
      <c r="K107">
        <f>IFERROR(INDEX(映射装备数值!L:L,SUMPRODUCT((映射装备数值!$C$10:$C$56=IF($F107="Blue","蓝",IF($F107="Purple","紫",IF($F107="Orange","金",IF($F107="Red","红",$F107)))))*((映射装备数值!$A$10:$A$56=$E107)+(映射装备数值!$B$10:$B$56=$E107))*ROW(映射装备数值!$A$10:$A$56))),"未匹配")</f>
        <v>314.25</v>
      </c>
      <c r="L107">
        <f>IFERROR(INDEX(映射装备数值!K:K,SUMPRODUCT((映射装备数值!$C$10:$C$56=IF($F107="Blue","蓝",IF($F107="Purple","紫",IF($F107="Orange","金",IF($F107="Red","红",$F107)))))*((映射装备数值!$A$10:$A$56=$E107)+(映射装备数值!$B$10:$B$56=$E107))*ROW(映射装备数值!$A$10:$A$56))),"未匹配")</f>
        <v>41.25</v>
      </c>
      <c r="M107" s="93">
        <v>0.95</v>
      </c>
      <c r="N107" s="93">
        <v>1.05</v>
      </c>
      <c r="O107" t="str">
        <f t="shared" si="6"/>
        <v>攻击</v>
      </c>
      <c r="P107">
        <f t="shared" si="7"/>
        <v>459</v>
      </c>
      <c r="Q107">
        <f t="shared" si="8"/>
        <v>60</v>
      </c>
      <c r="R107" t="str">
        <f t="shared" si="9"/>
        <v>冷却缩减等级</v>
      </c>
      <c r="S107">
        <f t="shared" si="10"/>
        <v>330</v>
      </c>
      <c r="T107">
        <f t="shared" si="11"/>
        <v>43</v>
      </c>
      <c r="U107" t="s">
        <v>133</v>
      </c>
      <c r="V107">
        <v>0.035</v>
      </c>
      <c r="W107" s="7">
        <v>80105</v>
      </c>
    </row>
    <row r="108" ht="21" customHeight="1" spans="3:23">
      <c r="C108" s="7">
        <v>80106</v>
      </c>
      <c r="D108" s="7" t="s">
        <v>678</v>
      </c>
      <c r="E108" s="75" t="s">
        <v>422</v>
      </c>
      <c r="F108" s="92" t="s">
        <v>564</v>
      </c>
      <c r="G108" t="str">
        <f>IFERROR(INDEX(映射装备数值!D:D,SUMPRODUCT((映射装备数值!$C$10:$C$56=IF($F108="Blue","蓝",IF($F108="Purple","紫",IF($F108="Orange","金",IF($F108="Red","红",$F108)))))*((映射装备数值!$A$10:$A$56=$E108)+(映射装备数值!$B$10:$B$56=$E108))*ROW(映射装备数值!$A$10:$A$56))),"未匹配")</f>
        <v>攻击</v>
      </c>
      <c r="H108">
        <f>IFERROR(INDEX(映射装备数值!G:G,SUMPRODUCT((映射装备数值!$C$10:$C$56=IF($F108="Blue","蓝",IF($F108="Purple","紫",IF($F108="Orange","金",IF($F108="Red","红",$F108)))))*((映射装备数值!$A$10:$A$56=$E108)+(映射装备数值!$B$10:$B$56=$E108))*ROW(映射装备数值!$A$10:$A$56))),"未匹配")</f>
        <v>193.2</v>
      </c>
      <c r="I108">
        <f>IFERROR(INDEX(映射装备数值!F:F,SUMPRODUCT((映射装备数值!$C$10:$C$56=IF($F108="Blue","蓝",IF($F108="Purple","紫",IF($F108="Orange","金",IF($F108="Red","红",$F108)))))*((映射装备数值!$A$10:$A$56=$E108)+(映射装备数值!$B$10:$B$56=$E108))*ROW(映射装备数值!$A$10:$A$56))),"未匹配")</f>
        <v>25.2</v>
      </c>
      <c r="J108" t="str">
        <f>IFERROR(INDEX(映射装备数值!I:I,SUMPRODUCT((映射装备数值!$C$10:$C$56=IF($F108="Blue","蓝",IF($F108="Purple","紫",IF($F108="Orange","金",IF($F108="Red","红",$F108)))))*((映射装备数值!$A$10:$A$56=$E108)+(映射装备数值!$B$10:$B$56=$E108))*ROW(映射装备数值!$A$10:$A$56))),"未匹配")</f>
        <v>冷却缩减等级</v>
      </c>
      <c r="K108">
        <f>IFERROR(INDEX(映射装备数值!L:L,SUMPRODUCT((映射装备数值!$C$10:$C$56=IF($F108="Blue","蓝",IF($F108="Purple","紫",IF($F108="Orange","金",IF($F108="Red","红",$F108)))))*((映射装备数值!$A$10:$A$56=$E108)+(映射装备数值!$B$10:$B$56=$E108))*ROW(映射装备数值!$A$10:$A$56))),"未匹配")</f>
        <v>125.7</v>
      </c>
      <c r="L108">
        <f>IFERROR(INDEX(映射装备数值!K:K,SUMPRODUCT((映射装备数值!$C$10:$C$56=IF($F108="Blue","蓝",IF($F108="Purple","紫",IF($F108="Orange","金",IF($F108="Red","红",$F108)))))*((映射装备数值!$A$10:$A$56=$E108)+(映射装备数值!$B$10:$B$56=$E108))*ROW(映射装备数值!$A$10:$A$56))),"未匹配")</f>
        <v>16.5</v>
      </c>
      <c r="M108" s="93">
        <v>1.15</v>
      </c>
      <c r="N108" s="93">
        <v>0.85</v>
      </c>
      <c r="O108" t="str">
        <f t="shared" si="6"/>
        <v>攻击</v>
      </c>
      <c r="P108">
        <f t="shared" si="7"/>
        <v>222</v>
      </c>
      <c r="Q108">
        <f t="shared" si="8"/>
        <v>29</v>
      </c>
      <c r="R108" t="str">
        <f t="shared" si="9"/>
        <v>冷却缩减等级</v>
      </c>
      <c r="S108">
        <f t="shared" si="10"/>
        <v>107</v>
      </c>
      <c r="T108">
        <f t="shared" si="11"/>
        <v>14</v>
      </c>
      <c r="U108" t="s">
        <v>136</v>
      </c>
      <c r="V108">
        <v>0.02</v>
      </c>
      <c r="W108" s="7">
        <v>80106</v>
      </c>
    </row>
    <row r="109" ht="21" customHeight="1" spans="3:23">
      <c r="C109" s="7">
        <v>80107</v>
      </c>
      <c r="D109" s="7" t="s">
        <v>679</v>
      </c>
      <c r="E109" s="75" t="s">
        <v>422</v>
      </c>
      <c r="F109" s="92" t="s">
        <v>566</v>
      </c>
      <c r="G109" t="str">
        <f>IFERROR(INDEX(映射装备数值!D:D,SUMPRODUCT((映射装备数值!$C$10:$C$56=IF($F109="Blue","蓝",IF($F109="Purple","紫",IF($F109="Orange","金",IF($F109="Red","红",$F109)))))*((映射装备数值!$A$10:$A$56=$E109)+(映射装备数值!$B$10:$B$56=$E109))*ROW(映射装备数值!$A$10:$A$56))),"未匹配")</f>
        <v>攻击</v>
      </c>
      <c r="H109">
        <f>IFERROR(INDEX(映射装备数值!G:G,SUMPRODUCT((映射装备数值!$C$10:$C$56=IF($F109="Blue","蓝",IF($F109="Purple","紫",IF($F109="Orange","金",IF($F109="Red","红",$F109)))))*((映射装备数值!$A$10:$A$56=$E109)+(映射装备数值!$B$10:$B$56=$E109))*ROW(映射装备数值!$A$10:$A$56))),"未匹配")</f>
        <v>322</v>
      </c>
      <c r="I109">
        <f>IFERROR(INDEX(映射装备数值!F:F,SUMPRODUCT((映射装备数值!$C$10:$C$56=IF($F109="Blue","蓝",IF($F109="Purple","紫",IF($F109="Orange","金",IF($F109="Red","红",$F109)))))*((映射装备数值!$A$10:$A$56=$E109)+(映射装备数值!$B$10:$B$56=$E109))*ROW(映射装备数值!$A$10:$A$56))),"未匹配")</f>
        <v>42</v>
      </c>
      <c r="J109" t="str">
        <f>IFERROR(INDEX(映射装备数值!I:I,SUMPRODUCT((映射装备数值!$C$10:$C$56=IF($F109="Blue","蓝",IF($F109="Purple","紫",IF($F109="Orange","金",IF($F109="Red","红",$F109)))))*((映射装备数值!$A$10:$A$56=$E109)+(映射装备数值!$B$10:$B$56=$E109))*ROW(映射装备数值!$A$10:$A$56))),"未匹配")</f>
        <v>冷却缩减等级</v>
      </c>
      <c r="K109">
        <f>IFERROR(INDEX(映射装备数值!L:L,SUMPRODUCT((映射装备数值!$C$10:$C$56=IF($F109="Blue","蓝",IF($F109="Purple","紫",IF($F109="Orange","金",IF($F109="Red","红",$F109)))))*((映射装备数值!$A$10:$A$56=$E109)+(映射装备数值!$B$10:$B$56=$E109))*ROW(映射装备数值!$A$10:$A$56))),"未匹配")</f>
        <v>209.5</v>
      </c>
      <c r="L109">
        <f>IFERROR(INDEX(映射装备数值!K:K,SUMPRODUCT((映射装备数值!$C$10:$C$56=IF($F109="Blue","蓝",IF($F109="Purple","紫",IF($F109="Orange","金",IF($F109="Red","红",$F109)))))*((映射装备数值!$A$10:$A$56=$E109)+(映射装备数值!$B$10:$B$56=$E109))*ROW(映射装备数值!$A$10:$A$56))),"未匹配")</f>
        <v>27.5</v>
      </c>
      <c r="M109" s="93">
        <v>1.15</v>
      </c>
      <c r="N109" s="93">
        <v>0.85</v>
      </c>
      <c r="O109" t="str">
        <f t="shared" si="6"/>
        <v>攻击</v>
      </c>
      <c r="P109">
        <f t="shared" si="7"/>
        <v>370</v>
      </c>
      <c r="Q109">
        <f t="shared" si="8"/>
        <v>48</v>
      </c>
      <c r="R109" t="str">
        <f t="shared" si="9"/>
        <v>冷却缩减等级</v>
      </c>
      <c r="S109">
        <f t="shared" si="10"/>
        <v>178</v>
      </c>
      <c r="T109">
        <f t="shared" si="11"/>
        <v>23</v>
      </c>
      <c r="U109" t="s">
        <v>136</v>
      </c>
      <c r="V109">
        <v>0.03</v>
      </c>
      <c r="W109" s="7">
        <v>80107</v>
      </c>
    </row>
    <row r="110" ht="21" customHeight="1" spans="3:23">
      <c r="C110" s="7">
        <v>80108</v>
      </c>
      <c r="D110" s="7" t="s">
        <v>680</v>
      </c>
      <c r="E110" s="75" t="s">
        <v>422</v>
      </c>
      <c r="F110" s="92" t="s">
        <v>568</v>
      </c>
      <c r="G110" t="str">
        <f>IFERROR(INDEX(映射装备数值!D:D,SUMPRODUCT((映射装备数值!$C$10:$C$56=IF($F110="Blue","蓝",IF($F110="Purple","紫",IF($F110="Orange","金",IF($F110="Red","红",$F110)))))*((映射装备数值!$A$10:$A$56=$E110)+(映射装备数值!$B$10:$B$56=$E110))*ROW(映射装备数值!$A$10:$A$56))),"未匹配")</f>
        <v>攻击</v>
      </c>
      <c r="H110">
        <f>IFERROR(INDEX(映射装备数值!G:G,SUMPRODUCT((映射装备数值!$C$10:$C$56=IF($F110="Blue","蓝",IF($F110="Purple","紫",IF($F110="Orange","金",IF($F110="Red","红",$F110)))))*((映射装备数值!$A$10:$A$56=$E110)+(映射装备数值!$B$10:$B$56=$E110))*ROW(映射装备数值!$A$10:$A$56))),"未匹配")</f>
        <v>483</v>
      </c>
      <c r="I110">
        <f>IFERROR(INDEX(映射装备数值!F:F,SUMPRODUCT((映射装备数值!$C$10:$C$56=IF($F110="Blue","蓝",IF($F110="Purple","紫",IF($F110="Orange","金",IF($F110="Red","红",$F110)))))*((映射装备数值!$A$10:$A$56=$E110)+(映射装备数值!$B$10:$B$56=$E110))*ROW(映射装备数值!$A$10:$A$56))),"未匹配")</f>
        <v>63</v>
      </c>
      <c r="J110" t="str">
        <f>IFERROR(INDEX(映射装备数值!I:I,SUMPRODUCT((映射装备数值!$C$10:$C$56=IF($F110="Blue","蓝",IF($F110="Purple","紫",IF($F110="Orange","金",IF($F110="Red","红",$F110)))))*((映射装备数值!$A$10:$A$56=$E110)+(映射装备数值!$B$10:$B$56=$E110))*ROW(映射装备数值!$A$10:$A$56))),"未匹配")</f>
        <v>冷却缩减等级</v>
      </c>
      <c r="K110">
        <f>IFERROR(INDEX(映射装备数值!L:L,SUMPRODUCT((映射装备数值!$C$10:$C$56=IF($F110="Blue","蓝",IF($F110="Purple","紫",IF($F110="Orange","金",IF($F110="Red","红",$F110)))))*((映射装备数值!$A$10:$A$56=$E110)+(映射装备数值!$B$10:$B$56=$E110))*ROW(映射装备数值!$A$10:$A$56))),"未匹配")</f>
        <v>314.25</v>
      </c>
      <c r="L110">
        <f>IFERROR(INDEX(映射装备数值!K:K,SUMPRODUCT((映射装备数值!$C$10:$C$56=IF($F110="Blue","蓝",IF($F110="Purple","紫",IF($F110="Orange","金",IF($F110="Red","红",$F110)))))*((映射装备数值!$A$10:$A$56=$E110)+(映射装备数值!$B$10:$B$56=$E110))*ROW(映射装备数值!$A$10:$A$56))),"未匹配")</f>
        <v>41.25</v>
      </c>
      <c r="M110" s="93">
        <v>1.15</v>
      </c>
      <c r="N110" s="93">
        <v>0.85</v>
      </c>
      <c r="O110" t="str">
        <f t="shared" si="6"/>
        <v>攻击</v>
      </c>
      <c r="P110">
        <f t="shared" si="7"/>
        <v>555</v>
      </c>
      <c r="Q110">
        <f t="shared" si="8"/>
        <v>72</v>
      </c>
      <c r="R110" t="str">
        <f t="shared" si="9"/>
        <v>冷却缩减等级</v>
      </c>
      <c r="S110">
        <f t="shared" si="10"/>
        <v>267</v>
      </c>
      <c r="T110">
        <f t="shared" si="11"/>
        <v>35</v>
      </c>
      <c r="U110" t="s">
        <v>136</v>
      </c>
      <c r="V110">
        <v>0.04</v>
      </c>
      <c r="W110" s="7">
        <v>80108</v>
      </c>
    </row>
    <row r="111" ht="21" customHeight="1" spans="3:23">
      <c r="C111" s="7">
        <v>80109</v>
      </c>
      <c r="D111" s="7" t="s">
        <v>681</v>
      </c>
      <c r="E111" s="75" t="s">
        <v>422</v>
      </c>
      <c r="F111" s="92" t="s">
        <v>564</v>
      </c>
      <c r="G111" t="str">
        <f>IFERROR(INDEX(映射装备数值!D:D,SUMPRODUCT((映射装备数值!$C$10:$C$56=IF($F111="Blue","蓝",IF($F111="Purple","紫",IF($F111="Orange","金",IF($F111="Red","红",$F111)))))*((映射装备数值!$A$10:$A$56=$E111)+(映射装备数值!$B$10:$B$56=$E111))*ROW(映射装备数值!$A$10:$A$56))),"未匹配")</f>
        <v>攻击</v>
      </c>
      <c r="H111">
        <f>IFERROR(INDEX(映射装备数值!G:G,SUMPRODUCT((映射装备数值!$C$10:$C$56=IF($F111="Blue","蓝",IF($F111="Purple","紫",IF($F111="Orange","金",IF($F111="Red","红",$F111)))))*((映射装备数值!$A$10:$A$56=$E111)+(映射装备数值!$B$10:$B$56=$E111))*ROW(映射装备数值!$A$10:$A$56))),"未匹配")</f>
        <v>193.2</v>
      </c>
      <c r="I111">
        <f>IFERROR(INDEX(映射装备数值!F:F,SUMPRODUCT((映射装备数值!$C$10:$C$56=IF($F111="Blue","蓝",IF($F111="Purple","紫",IF($F111="Orange","金",IF($F111="Red","红",$F111)))))*((映射装备数值!$A$10:$A$56=$E111)+(映射装备数值!$B$10:$B$56=$E111))*ROW(映射装备数值!$A$10:$A$56))),"未匹配")</f>
        <v>25.2</v>
      </c>
      <c r="J111" t="str">
        <f>IFERROR(INDEX(映射装备数值!I:I,SUMPRODUCT((映射装备数值!$C$10:$C$56=IF($F111="Blue","蓝",IF($F111="Purple","紫",IF($F111="Orange","金",IF($F111="Red","红",$F111)))))*((映射装备数值!$A$10:$A$56=$E111)+(映射装备数值!$B$10:$B$56=$E111))*ROW(映射装备数值!$A$10:$A$56))),"未匹配")</f>
        <v>冷却缩减等级</v>
      </c>
      <c r="K111">
        <f>IFERROR(INDEX(映射装备数值!L:L,SUMPRODUCT((映射装备数值!$C$10:$C$56=IF($F111="Blue","蓝",IF($F111="Purple","紫",IF($F111="Orange","金",IF($F111="Red","红",$F111)))))*((映射装备数值!$A$10:$A$56=$E111)+(映射装备数值!$B$10:$B$56=$E111))*ROW(映射装备数值!$A$10:$A$56))),"未匹配")</f>
        <v>125.7</v>
      </c>
      <c r="L111">
        <f>IFERROR(INDEX(映射装备数值!K:K,SUMPRODUCT((映射装备数值!$C$10:$C$56=IF($F111="Blue","蓝",IF($F111="Purple","紫",IF($F111="Orange","金",IF($F111="Red","红",$F111)))))*((映射装备数值!$A$10:$A$56=$E111)+(映射装备数值!$B$10:$B$56=$E111))*ROW(映射装备数值!$A$10:$A$56))),"未匹配")</f>
        <v>16.5</v>
      </c>
      <c r="M111" s="93">
        <v>1</v>
      </c>
      <c r="N111" s="93">
        <v>1</v>
      </c>
      <c r="O111" t="str">
        <f t="shared" si="6"/>
        <v>攻击</v>
      </c>
      <c r="P111">
        <f t="shared" si="7"/>
        <v>193</v>
      </c>
      <c r="Q111">
        <f t="shared" si="8"/>
        <v>25</v>
      </c>
      <c r="R111" t="str">
        <f t="shared" si="9"/>
        <v>冷却缩减等级</v>
      </c>
      <c r="S111">
        <f t="shared" si="10"/>
        <v>126</v>
      </c>
      <c r="T111">
        <f t="shared" si="11"/>
        <v>17</v>
      </c>
      <c r="U111" t="s">
        <v>80</v>
      </c>
      <c r="V111">
        <v>0.01</v>
      </c>
      <c r="W111" s="7">
        <v>80109</v>
      </c>
    </row>
    <row r="112" ht="21" customHeight="1" spans="3:23">
      <c r="C112" s="7">
        <v>80110</v>
      </c>
      <c r="D112" s="7" t="s">
        <v>682</v>
      </c>
      <c r="E112" s="75" t="s">
        <v>422</v>
      </c>
      <c r="F112" s="92" t="s">
        <v>566</v>
      </c>
      <c r="G112" t="str">
        <f>IFERROR(INDEX(映射装备数值!D:D,SUMPRODUCT((映射装备数值!$C$10:$C$56=IF($F112="Blue","蓝",IF($F112="Purple","紫",IF($F112="Orange","金",IF($F112="Red","红",$F112)))))*((映射装备数值!$A$10:$A$56=$E112)+(映射装备数值!$B$10:$B$56=$E112))*ROW(映射装备数值!$A$10:$A$56))),"未匹配")</f>
        <v>攻击</v>
      </c>
      <c r="H112">
        <f>IFERROR(INDEX(映射装备数值!G:G,SUMPRODUCT((映射装备数值!$C$10:$C$56=IF($F112="Blue","蓝",IF($F112="Purple","紫",IF($F112="Orange","金",IF($F112="Red","红",$F112)))))*((映射装备数值!$A$10:$A$56=$E112)+(映射装备数值!$B$10:$B$56=$E112))*ROW(映射装备数值!$A$10:$A$56))),"未匹配")</f>
        <v>322</v>
      </c>
      <c r="I112">
        <f>IFERROR(INDEX(映射装备数值!F:F,SUMPRODUCT((映射装备数值!$C$10:$C$56=IF($F112="Blue","蓝",IF($F112="Purple","紫",IF($F112="Orange","金",IF($F112="Red","红",$F112)))))*((映射装备数值!$A$10:$A$56=$E112)+(映射装备数值!$B$10:$B$56=$E112))*ROW(映射装备数值!$A$10:$A$56))),"未匹配")</f>
        <v>42</v>
      </c>
      <c r="J112" t="str">
        <f>IFERROR(INDEX(映射装备数值!I:I,SUMPRODUCT((映射装备数值!$C$10:$C$56=IF($F112="Blue","蓝",IF($F112="Purple","紫",IF($F112="Orange","金",IF($F112="Red","红",$F112)))))*((映射装备数值!$A$10:$A$56=$E112)+(映射装备数值!$B$10:$B$56=$E112))*ROW(映射装备数值!$A$10:$A$56))),"未匹配")</f>
        <v>冷却缩减等级</v>
      </c>
      <c r="K112">
        <f>IFERROR(INDEX(映射装备数值!L:L,SUMPRODUCT((映射装备数值!$C$10:$C$56=IF($F112="Blue","蓝",IF($F112="Purple","紫",IF($F112="Orange","金",IF($F112="Red","红",$F112)))))*((映射装备数值!$A$10:$A$56=$E112)+(映射装备数值!$B$10:$B$56=$E112))*ROW(映射装备数值!$A$10:$A$56))),"未匹配")</f>
        <v>209.5</v>
      </c>
      <c r="L112">
        <f>IFERROR(INDEX(映射装备数值!K:K,SUMPRODUCT((映射装备数值!$C$10:$C$56=IF($F112="Blue","蓝",IF($F112="Purple","紫",IF($F112="Orange","金",IF($F112="Red","红",$F112)))))*((映射装备数值!$A$10:$A$56=$E112)+(映射装备数值!$B$10:$B$56=$E112))*ROW(映射装备数值!$A$10:$A$56))),"未匹配")</f>
        <v>27.5</v>
      </c>
      <c r="M112" s="93">
        <v>1</v>
      </c>
      <c r="N112" s="93">
        <v>1</v>
      </c>
      <c r="O112" t="str">
        <f t="shared" si="6"/>
        <v>攻击</v>
      </c>
      <c r="P112">
        <f t="shared" si="7"/>
        <v>322</v>
      </c>
      <c r="Q112">
        <f t="shared" si="8"/>
        <v>42</v>
      </c>
      <c r="R112" t="str">
        <f t="shared" si="9"/>
        <v>冷却缩减等级</v>
      </c>
      <c r="S112">
        <f t="shared" si="10"/>
        <v>210</v>
      </c>
      <c r="T112">
        <f t="shared" si="11"/>
        <v>28</v>
      </c>
      <c r="U112" t="s">
        <v>80</v>
      </c>
      <c r="V112">
        <v>0.015</v>
      </c>
      <c r="W112" s="7">
        <v>80110</v>
      </c>
    </row>
    <row r="113" ht="21" customHeight="1" spans="3:23">
      <c r="C113" s="7">
        <v>80111</v>
      </c>
      <c r="D113" s="7" t="s">
        <v>683</v>
      </c>
      <c r="E113" s="75" t="s">
        <v>422</v>
      </c>
      <c r="F113" s="92" t="s">
        <v>568</v>
      </c>
      <c r="G113" t="str">
        <f>IFERROR(INDEX(映射装备数值!D:D,SUMPRODUCT((映射装备数值!$C$10:$C$56=IF($F113="Blue","蓝",IF($F113="Purple","紫",IF($F113="Orange","金",IF($F113="Red","红",$F113)))))*((映射装备数值!$A$10:$A$56=$E113)+(映射装备数值!$B$10:$B$56=$E113))*ROW(映射装备数值!$A$10:$A$56))),"未匹配")</f>
        <v>攻击</v>
      </c>
      <c r="H113">
        <f>IFERROR(INDEX(映射装备数值!G:G,SUMPRODUCT((映射装备数值!$C$10:$C$56=IF($F113="Blue","蓝",IF($F113="Purple","紫",IF($F113="Orange","金",IF($F113="Red","红",$F113)))))*((映射装备数值!$A$10:$A$56=$E113)+(映射装备数值!$B$10:$B$56=$E113))*ROW(映射装备数值!$A$10:$A$56))),"未匹配")</f>
        <v>483</v>
      </c>
      <c r="I113">
        <f>IFERROR(INDEX(映射装备数值!F:F,SUMPRODUCT((映射装备数值!$C$10:$C$56=IF($F113="Blue","蓝",IF($F113="Purple","紫",IF($F113="Orange","金",IF($F113="Red","红",$F113)))))*((映射装备数值!$A$10:$A$56=$E113)+(映射装备数值!$B$10:$B$56=$E113))*ROW(映射装备数值!$A$10:$A$56))),"未匹配")</f>
        <v>63</v>
      </c>
      <c r="J113" t="str">
        <f>IFERROR(INDEX(映射装备数值!I:I,SUMPRODUCT((映射装备数值!$C$10:$C$56=IF($F113="Blue","蓝",IF($F113="Purple","紫",IF($F113="Orange","金",IF($F113="Red","红",$F113)))))*((映射装备数值!$A$10:$A$56=$E113)+(映射装备数值!$B$10:$B$56=$E113))*ROW(映射装备数值!$A$10:$A$56))),"未匹配")</f>
        <v>冷却缩减等级</v>
      </c>
      <c r="K113">
        <f>IFERROR(INDEX(映射装备数值!L:L,SUMPRODUCT((映射装备数值!$C$10:$C$56=IF($F113="Blue","蓝",IF($F113="Purple","紫",IF($F113="Orange","金",IF($F113="Red","红",$F113)))))*((映射装备数值!$A$10:$A$56=$E113)+(映射装备数值!$B$10:$B$56=$E113))*ROW(映射装备数值!$A$10:$A$56))),"未匹配")</f>
        <v>314.25</v>
      </c>
      <c r="L113">
        <f>IFERROR(INDEX(映射装备数值!K:K,SUMPRODUCT((映射装备数值!$C$10:$C$56=IF($F113="Blue","蓝",IF($F113="Purple","紫",IF($F113="Orange","金",IF($F113="Red","红",$F113)))))*((映射装备数值!$A$10:$A$56=$E113)+(映射装备数值!$B$10:$B$56=$E113))*ROW(映射装备数值!$A$10:$A$56))),"未匹配")</f>
        <v>41.25</v>
      </c>
      <c r="M113" s="93">
        <v>1</v>
      </c>
      <c r="N113" s="93">
        <v>1</v>
      </c>
      <c r="O113" t="str">
        <f t="shared" si="6"/>
        <v>攻击</v>
      </c>
      <c r="P113">
        <f t="shared" si="7"/>
        <v>483</v>
      </c>
      <c r="Q113">
        <f t="shared" si="8"/>
        <v>63</v>
      </c>
      <c r="R113" t="str">
        <f t="shared" si="9"/>
        <v>冷却缩减等级</v>
      </c>
      <c r="S113">
        <f t="shared" si="10"/>
        <v>314</v>
      </c>
      <c r="T113">
        <f t="shared" si="11"/>
        <v>41</v>
      </c>
      <c r="U113" t="s">
        <v>80</v>
      </c>
      <c r="V113">
        <v>0.02</v>
      </c>
      <c r="W113" s="7">
        <v>80111</v>
      </c>
    </row>
    <row r="114" ht="21" customHeight="1" spans="3:23">
      <c r="C114" s="7">
        <v>80112</v>
      </c>
      <c r="D114" s="7" t="s">
        <v>684</v>
      </c>
      <c r="E114" s="75" t="s">
        <v>422</v>
      </c>
      <c r="F114" s="92" t="s">
        <v>564</v>
      </c>
      <c r="G114" t="str">
        <f>IFERROR(INDEX(映射装备数值!D:D,SUMPRODUCT((映射装备数值!$C$10:$C$56=IF($F114="Blue","蓝",IF($F114="Purple","紫",IF($F114="Orange","金",IF($F114="Red","红",$F114)))))*((映射装备数值!$A$10:$A$56=$E114)+(映射装备数值!$B$10:$B$56=$E114))*ROW(映射装备数值!$A$10:$A$56))),"未匹配")</f>
        <v>攻击</v>
      </c>
      <c r="H114">
        <f>IFERROR(INDEX(映射装备数值!G:G,SUMPRODUCT((映射装备数值!$C$10:$C$56=IF($F114="Blue","蓝",IF($F114="Purple","紫",IF($F114="Orange","金",IF($F114="Red","红",$F114)))))*((映射装备数值!$A$10:$A$56=$E114)+(映射装备数值!$B$10:$B$56=$E114))*ROW(映射装备数值!$A$10:$A$56))),"未匹配")</f>
        <v>193.2</v>
      </c>
      <c r="I114">
        <f>IFERROR(INDEX(映射装备数值!F:F,SUMPRODUCT((映射装备数值!$C$10:$C$56=IF($F114="Blue","蓝",IF($F114="Purple","紫",IF($F114="Orange","金",IF($F114="Red","红",$F114)))))*((映射装备数值!$A$10:$A$56=$E114)+(映射装备数值!$B$10:$B$56=$E114))*ROW(映射装备数值!$A$10:$A$56))),"未匹配")</f>
        <v>25.2</v>
      </c>
      <c r="J114" t="str">
        <f>IFERROR(INDEX(映射装备数值!I:I,SUMPRODUCT((映射装备数值!$C$10:$C$56=IF($F114="Blue","蓝",IF($F114="Purple","紫",IF($F114="Orange","金",IF($F114="Red","红",$F114)))))*((映射装备数值!$A$10:$A$56=$E114)+(映射装备数值!$B$10:$B$56=$E114))*ROW(映射装备数值!$A$10:$A$56))),"未匹配")</f>
        <v>冷却缩减等级</v>
      </c>
      <c r="K114">
        <f>IFERROR(INDEX(映射装备数值!L:L,SUMPRODUCT((映射装备数值!$C$10:$C$56=IF($F114="Blue","蓝",IF($F114="Purple","紫",IF($F114="Orange","金",IF($F114="Red","红",$F114)))))*((映射装备数值!$A$10:$A$56=$E114)+(映射装备数值!$B$10:$B$56=$E114))*ROW(映射装备数值!$A$10:$A$56))),"未匹配")</f>
        <v>125.7</v>
      </c>
      <c r="L114">
        <f>IFERROR(INDEX(映射装备数值!K:K,SUMPRODUCT((映射装备数值!$C$10:$C$56=IF($F114="Blue","蓝",IF($F114="Purple","紫",IF($F114="Orange","金",IF($F114="Red","红",$F114)))))*((映射装备数值!$A$10:$A$56=$E114)+(映射装备数值!$B$10:$B$56=$E114))*ROW(映射装备数值!$A$10:$A$56))),"未匹配")</f>
        <v>16.5</v>
      </c>
      <c r="M114" s="93">
        <v>0.9</v>
      </c>
      <c r="N114" s="93">
        <v>1.1</v>
      </c>
      <c r="O114" t="str">
        <f t="shared" si="6"/>
        <v>攻击</v>
      </c>
      <c r="P114">
        <f t="shared" si="7"/>
        <v>174</v>
      </c>
      <c r="Q114">
        <f t="shared" si="8"/>
        <v>23</v>
      </c>
      <c r="R114" t="str">
        <f t="shared" si="9"/>
        <v>冷却缩减等级</v>
      </c>
      <c r="S114">
        <f t="shared" si="10"/>
        <v>138</v>
      </c>
      <c r="T114">
        <f t="shared" si="11"/>
        <v>18</v>
      </c>
      <c r="U114" t="s">
        <v>133</v>
      </c>
      <c r="V114">
        <v>0.015</v>
      </c>
      <c r="W114" s="7">
        <v>80112</v>
      </c>
    </row>
    <row r="115" ht="21" customHeight="1" spans="3:23">
      <c r="C115" s="7">
        <v>80113</v>
      </c>
      <c r="D115" s="7" t="s">
        <v>685</v>
      </c>
      <c r="E115" s="75" t="s">
        <v>422</v>
      </c>
      <c r="F115" s="92" t="s">
        <v>566</v>
      </c>
      <c r="G115" t="str">
        <f>IFERROR(INDEX(映射装备数值!D:D,SUMPRODUCT((映射装备数值!$C$10:$C$56=IF($F115="Blue","蓝",IF($F115="Purple","紫",IF($F115="Orange","金",IF($F115="Red","红",$F115)))))*((映射装备数值!$A$10:$A$56=$E115)+(映射装备数值!$B$10:$B$56=$E115))*ROW(映射装备数值!$A$10:$A$56))),"未匹配")</f>
        <v>攻击</v>
      </c>
      <c r="H115">
        <f>IFERROR(INDEX(映射装备数值!G:G,SUMPRODUCT((映射装备数值!$C$10:$C$56=IF($F115="Blue","蓝",IF($F115="Purple","紫",IF($F115="Orange","金",IF($F115="Red","红",$F115)))))*((映射装备数值!$A$10:$A$56=$E115)+(映射装备数值!$B$10:$B$56=$E115))*ROW(映射装备数值!$A$10:$A$56))),"未匹配")</f>
        <v>322</v>
      </c>
      <c r="I115">
        <f>IFERROR(INDEX(映射装备数值!F:F,SUMPRODUCT((映射装备数值!$C$10:$C$56=IF($F115="Blue","蓝",IF($F115="Purple","紫",IF($F115="Orange","金",IF($F115="Red","红",$F115)))))*((映射装备数值!$A$10:$A$56=$E115)+(映射装备数值!$B$10:$B$56=$E115))*ROW(映射装备数值!$A$10:$A$56))),"未匹配")</f>
        <v>42</v>
      </c>
      <c r="J115" t="str">
        <f>IFERROR(INDEX(映射装备数值!I:I,SUMPRODUCT((映射装备数值!$C$10:$C$56=IF($F115="Blue","蓝",IF($F115="Purple","紫",IF($F115="Orange","金",IF($F115="Red","红",$F115)))))*((映射装备数值!$A$10:$A$56=$E115)+(映射装备数值!$B$10:$B$56=$E115))*ROW(映射装备数值!$A$10:$A$56))),"未匹配")</f>
        <v>冷却缩减等级</v>
      </c>
      <c r="K115">
        <f>IFERROR(INDEX(映射装备数值!L:L,SUMPRODUCT((映射装备数值!$C$10:$C$56=IF($F115="Blue","蓝",IF($F115="Purple","紫",IF($F115="Orange","金",IF($F115="Red","红",$F115)))))*((映射装备数值!$A$10:$A$56=$E115)+(映射装备数值!$B$10:$B$56=$E115))*ROW(映射装备数值!$A$10:$A$56))),"未匹配")</f>
        <v>209.5</v>
      </c>
      <c r="L115">
        <f>IFERROR(INDEX(映射装备数值!K:K,SUMPRODUCT((映射装备数值!$C$10:$C$56=IF($F115="Blue","蓝",IF($F115="Purple","紫",IF($F115="Orange","金",IF($F115="Red","红",$F115)))))*((映射装备数值!$A$10:$A$56=$E115)+(映射装备数值!$B$10:$B$56=$E115))*ROW(映射装备数值!$A$10:$A$56))),"未匹配")</f>
        <v>27.5</v>
      </c>
      <c r="M115" s="93">
        <v>0.9</v>
      </c>
      <c r="N115" s="93">
        <v>1.1</v>
      </c>
      <c r="O115" t="str">
        <f t="shared" si="6"/>
        <v>攻击</v>
      </c>
      <c r="P115">
        <f t="shared" si="7"/>
        <v>290</v>
      </c>
      <c r="Q115">
        <f t="shared" si="8"/>
        <v>38</v>
      </c>
      <c r="R115" t="str">
        <f t="shared" si="9"/>
        <v>冷却缩减等级</v>
      </c>
      <c r="S115">
        <f t="shared" si="10"/>
        <v>230</v>
      </c>
      <c r="T115">
        <f t="shared" si="11"/>
        <v>30</v>
      </c>
      <c r="U115" t="s">
        <v>133</v>
      </c>
      <c r="V115">
        <v>0.025</v>
      </c>
      <c r="W115" s="7">
        <v>80113</v>
      </c>
    </row>
    <row r="116" ht="21" customHeight="1" spans="3:23">
      <c r="C116" s="7">
        <v>80114</v>
      </c>
      <c r="D116" s="7" t="s">
        <v>686</v>
      </c>
      <c r="E116" s="75" t="s">
        <v>422</v>
      </c>
      <c r="F116" s="92" t="s">
        <v>568</v>
      </c>
      <c r="G116" t="str">
        <f>IFERROR(INDEX(映射装备数值!D:D,SUMPRODUCT((映射装备数值!$C$10:$C$56=IF($F116="Blue","蓝",IF($F116="Purple","紫",IF($F116="Orange","金",IF($F116="Red","红",$F116)))))*((映射装备数值!$A$10:$A$56=$E116)+(映射装备数值!$B$10:$B$56=$E116))*ROW(映射装备数值!$A$10:$A$56))),"未匹配")</f>
        <v>攻击</v>
      </c>
      <c r="H116">
        <f>IFERROR(INDEX(映射装备数值!G:G,SUMPRODUCT((映射装备数值!$C$10:$C$56=IF($F116="Blue","蓝",IF($F116="Purple","紫",IF($F116="Orange","金",IF($F116="Red","红",$F116)))))*((映射装备数值!$A$10:$A$56=$E116)+(映射装备数值!$B$10:$B$56=$E116))*ROW(映射装备数值!$A$10:$A$56))),"未匹配")</f>
        <v>483</v>
      </c>
      <c r="I116">
        <f>IFERROR(INDEX(映射装备数值!F:F,SUMPRODUCT((映射装备数值!$C$10:$C$56=IF($F116="Blue","蓝",IF($F116="Purple","紫",IF($F116="Orange","金",IF($F116="Red","红",$F116)))))*((映射装备数值!$A$10:$A$56=$E116)+(映射装备数值!$B$10:$B$56=$E116))*ROW(映射装备数值!$A$10:$A$56))),"未匹配")</f>
        <v>63</v>
      </c>
      <c r="J116" t="str">
        <f>IFERROR(INDEX(映射装备数值!I:I,SUMPRODUCT((映射装备数值!$C$10:$C$56=IF($F116="Blue","蓝",IF($F116="Purple","紫",IF($F116="Orange","金",IF($F116="Red","红",$F116)))))*((映射装备数值!$A$10:$A$56=$E116)+(映射装备数值!$B$10:$B$56=$E116))*ROW(映射装备数值!$A$10:$A$56))),"未匹配")</f>
        <v>冷却缩减等级</v>
      </c>
      <c r="K116">
        <f>IFERROR(INDEX(映射装备数值!L:L,SUMPRODUCT((映射装备数值!$C$10:$C$56=IF($F116="Blue","蓝",IF($F116="Purple","紫",IF($F116="Orange","金",IF($F116="Red","红",$F116)))))*((映射装备数值!$A$10:$A$56=$E116)+(映射装备数值!$B$10:$B$56=$E116))*ROW(映射装备数值!$A$10:$A$56))),"未匹配")</f>
        <v>314.25</v>
      </c>
      <c r="L116">
        <f>IFERROR(INDEX(映射装备数值!K:K,SUMPRODUCT((映射装备数值!$C$10:$C$56=IF($F116="Blue","蓝",IF($F116="Purple","紫",IF($F116="Orange","金",IF($F116="Red","红",$F116)))))*((映射装备数值!$A$10:$A$56=$E116)+(映射装备数值!$B$10:$B$56=$E116))*ROW(映射装备数值!$A$10:$A$56))),"未匹配")</f>
        <v>41.25</v>
      </c>
      <c r="M116" s="93">
        <v>0.9</v>
      </c>
      <c r="N116" s="93">
        <v>1.1</v>
      </c>
      <c r="O116" t="str">
        <f t="shared" si="6"/>
        <v>攻击</v>
      </c>
      <c r="P116">
        <f t="shared" si="7"/>
        <v>435</v>
      </c>
      <c r="Q116">
        <f t="shared" si="8"/>
        <v>57</v>
      </c>
      <c r="R116" t="str">
        <f t="shared" si="9"/>
        <v>冷却缩减等级</v>
      </c>
      <c r="S116">
        <f t="shared" si="10"/>
        <v>346</v>
      </c>
      <c r="T116">
        <f t="shared" si="11"/>
        <v>45</v>
      </c>
      <c r="U116" t="s">
        <v>133</v>
      </c>
      <c r="V116">
        <v>0.035</v>
      </c>
      <c r="W116" s="7">
        <v>80114</v>
      </c>
    </row>
    <row r="117" ht="21" customHeight="1" spans="3:23">
      <c r="C117" s="7">
        <v>80115</v>
      </c>
      <c r="D117" s="7" t="s">
        <v>687</v>
      </c>
      <c r="E117" s="75" t="s">
        <v>422</v>
      </c>
      <c r="F117" s="92" t="s">
        <v>564</v>
      </c>
      <c r="G117" t="str">
        <f>IFERROR(INDEX(映射装备数值!D:D,SUMPRODUCT((映射装备数值!$C$10:$C$56=IF($F117="Blue","蓝",IF($F117="Purple","紫",IF($F117="Orange","金",IF($F117="Red","红",$F117)))))*((映射装备数值!$A$10:$A$56=$E117)+(映射装备数值!$B$10:$B$56=$E117))*ROW(映射装备数值!$A$10:$A$56))),"未匹配")</f>
        <v>攻击</v>
      </c>
      <c r="H117">
        <f>IFERROR(INDEX(映射装备数值!G:G,SUMPRODUCT((映射装备数值!$C$10:$C$56=IF($F117="Blue","蓝",IF($F117="Purple","紫",IF($F117="Orange","金",IF($F117="Red","红",$F117)))))*((映射装备数值!$A$10:$A$56=$E117)+(映射装备数值!$B$10:$B$56=$E117))*ROW(映射装备数值!$A$10:$A$56))),"未匹配")</f>
        <v>193.2</v>
      </c>
      <c r="I117">
        <f>IFERROR(INDEX(映射装备数值!F:F,SUMPRODUCT((映射装备数值!$C$10:$C$56=IF($F117="Blue","蓝",IF($F117="Purple","紫",IF($F117="Orange","金",IF($F117="Red","红",$F117)))))*((映射装备数值!$A$10:$A$56=$E117)+(映射装备数值!$B$10:$B$56=$E117))*ROW(映射装备数值!$A$10:$A$56))),"未匹配")</f>
        <v>25.2</v>
      </c>
      <c r="J117" t="str">
        <f>IFERROR(INDEX(映射装备数值!I:I,SUMPRODUCT((映射装备数值!$C$10:$C$56=IF($F117="Blue","蓝",IF($F117="Purple","紫",IF($F117="Orange","金",IF($F117="Red","红",$F117)))))*((映射装备数值!$A$10:$A$56=$E117)+(映射装备数值!$B$10:$B$56=$E117))*ROW(映射装备数值!$A$10:$A$56))),"未匹配")</f>
        <v>冷却缩减等级</v>
      </c>
      <c r="K117">
        <f>IFERROR(INDEX(映射装备数值!L:L,SUMPRODUCT((映射装备数值!$C$10:$C$56=IF($F117="Blue","蓝",IF($F117="Purple","紫",IF($F117="Orange","金",IF($F117="Red","红",$F117)))))*((映射装备数值!$A$10:$A$56=$E117)+(映射装备数值!$B$10:$B$56=$E117))*ROW(映射装备数值!$A$10:$A$56))),"未匹配")</f>
        <v>125.7</v>
      </c>
      <c r="L117">
        <f>IFERROR(INDEX(映射装备数值!K:K,SUMPRODUCT((映射装备数值!$C$10:$C$56=IF($F117="Blue","蓝",IF($F117="Purple","紫",IF($F117="Orange","金",IF($F117="Red","红",$F117)))))*((映射装备数值!$A$10:$A$56=$E117)+(映射装备数值!$B$10:$B$56=$E117))*ROW(映射装备数值!$A$10:$A$56))),"未匹配")</f>
        <v>16.5</v>
      </c>
      <c r="M117" s="93">
        <v>0.95</v>
      </c>
      <c r="N117" s="93">
        <v>1.05</v>
      </c>
      <c r="O117" t="str">
        <f t="shared" si="6"/>
        <v>攻击</v>
      </c>
      <c r="P117">
        <f t="shared" si="7"/>
        <v>184</v>
      </c>
      <c r="Q117">
        <f t="shared" si="8"/>
        <v>24</v>
      </c>
      <c r="R117" t="str">
        <f t="shared" si="9"/>
        <v>冷却缩减等级</v>
      </c>
      <c r="S117">
        <f t="shared" si="10"/>
        <v>132</v>
      </c>
      <c r="T117">
        <f t="shared" si="11"/>
        <v>17</v>
      </c>
      <c r="U117" t="s">
        <v>688</v>
      </c>
      <c r="V117">
        <v>0.01</v>
      </c>
      <c r="W117" s="7">
        <v>80115</v>
      </c>
    </row>
    <row r="118" ht="21" customHeight="1" spans="3:23">
      <c r="C118" s="7">
        <v>80116</v>
      </c>
      <c r="D118" s="7" t="s">
        <v>689</v>
      </c>
      <c r="E118" s="75" t="s">
        <v>422</v>
      </c>
      <c r="F118" s="92" t="s">
        <v>566</v>
      </c>
      <c r="G118" t="str">
        <f>IFERROR(INDEX(映射装备数值!D:D,SUMPRODUCT((映射装备数值!$C$10:$C$56=IF($F118="Blue","蓝",IF($F118="Purple","紫",IF($F118="Orange","金",IF($F118="Red","红",$F118)))))*((映射装备数值!$A$10:$A$56=$E118)+(映射装备数值!$B$10:$B$56=$E118))*ROW(映射装备数值!$A$10:$A$56))),"未匹配")</f>
        <v>攻击</v>
      </c>
      <c r="H118">
        <f>IFERROR(INDEX(映射装备数值!G:G,SUMPRODUCT((映射装备数值!$C$10:$C$56=IF($F118="Blue","蓝",IF($F118="Purple","紫",IF($F118="Orange","金",IF($F118="Red","红",$F118)))))*((映射装备数值!$A$10:$A$56=$E118)+(映射装备数值!$B$10:$B$56=$E118))*ROW(映射装备数值!$A$10:$A$56))),"未匹配")</f>
        <v>322</v>
      </c>
      <c r="I118">
        <f>IFERROR(INDEX(映射装备数值!F:F,SUMPRODUCT((映射装备数值!$C$10:$C$56=IF($F118="Blue","蓝",IF($F118="Purple","紫",IF($F118="Orange","金",IF($F118="Red","红",$F118)))))*((映射装备数值!$A$10:$A$56=$E118)+(映射装备数值!$B$10:$B$56=$E118))*ROW(映射装备数值!$A$10:$A$56))),"未匹配")</f>
        <v>42</v>
      </c>
      <c r="J118" t="str">
        <f>IFERROR(INDEX(映射装备数值!I:I,SUMPRODUCT((映射装备数值!$C$10:$C$56=IF($F118="Blue","蓝",IF($F118="Purple","紫",IF($F118="Orange","金",IF($F118="Red","红",$F118)))))*((映射装备数值!$A$10:$A$56=$E118)+(映射装备数值!$B$10:$B$56=$E118))*ROW(映射装备数值!$A$10:$A$56))),"未匹配")</f>
        <v>冷却缩减等级</v>
      </c>
      <c r="K118">
        <f>IFERROR(INDEX(映射装备数值!L:L,SUMPRODUCT((映射装备数值!$C$10:$C$56=IF($F118="Blue","蓝",IF($F118="Purple","紫",IF($F118="Orange","金",IF($F118="Red","红",$F118)))))*((映射装备数值!$A$10:$A$56=$E118)+(映射装备数值!$B$10:$B$56=$E118))*ROW(映射装备数值!$A$10:$A$56))),"未匹配")</f>
        <v>209.5</v>
      </c>
      <c r="L118">
        <f>IFERROR(INDEX(映射装备数值!K:K,SUMPRODUCT((映射装备数值!$C$10:$C$56=IF($F118="Blue","蓝",IF($F118="Purple","紫",IF($F118="Orange","金",IF($F118="Red","红",$F118)))))*((映射装备数值!$A$10:$A$56=$E118)+(映射装备数值!$B$10:$B$56=$E118))*ROW(映射装备数值!$A$10:$A$56))),"未匹配")</f>
        <v>27.5</v>
      </c>
      <c r="M118" s="93">
        <v>0.95</v>
      </c>
      <c r="N118" s="93">
        <v>1.05</v>
      </c>
      <c r="O118" t="str">
        <f t="shared" si="6"/>
        <v>攻击</v>
      </c>
      <c r="P118">
        <f t="shared" si="7"/>
        <v>306</v>
      </c>
      <c r="Q118">
        <f t="shared" si="8"/>
        <v>40</v>
      </c>
      <c r="R118" t="str">
        <f t="shared" si="9"/>
        <v>冷却缩减等级</v>
      </c>
      <c r="S118">
        <f t="shared" si="10"/>
        <v>220</v>
      </c>
      <c r="T118">
        <f t="shared" si="11"/>
        <v>29</v>
      </c>
      <c r="U118" t="s">
        <v>688</v>
      </c>
      <c r="V118">
        <v>0.015</v>
      </c>
      <c r="W118" s="7">
        <v>80116</v>
      </c>
    </row>
    <row r="119" ht="21" customHeight="1" spans="3:23">
      <c r="C119" s="88">
        <v>80117</v>
      </c>
      <c r="D119" s="88" t="s">
        <v>690</v>
      </c>
      <c r="E119" s="76" t="s">
        <v>422</v>
      </c>
      <c r="F119" s="94" t="s">
        <v>568</v>
      </c>
      <c r="G119" t="str">
        <f>IFERROR(INDEX(映射装备数值!D:D,SUMPRODUCT((映射装备数值!$C$10:$C$56=IF($F119="Blue","蓝",IF($F119="Purple","紫",IF($F119="Orange","金",IF($F119="Red","红",$F119)))))*((映射装备数值!$A$10:$A$56=$E119)+(映射装备数值!$B$10:$B$56=$E119))*ROW(映射装备数值!$A$10:$A$56))),"未匹配")</f>
        <v>攻击</v>
      </c>
      <c r="H119">
        <f>IFERROR(INDEX(映射装备数值!G:G,SUMPRODUCT((映射装备数值!$C$10:$C$56=IF($F119="Blue","蓝",IF($F119="Purple","紫",IF($F119="Orange","金",IF($F119="Red","红",$F119)))))*((映射装备数值!$A$10:$A$56=$E119)+(映射装备数值!$B$10:$B$56=$E119))*ROW(映射装备数值!$A$10:$A$56))),"未匹配")</f>
        <v>483</v>
      </c>
      <c r="I119">
        <f>IFERROR(INDEX(映射装备数值!F:F,SUMPRODUCT((映射装备数值!$C$10:$C$56=IF($F119="Blue","蓝",IF($F119="Purple","紫",IF($F119="Orange","金",IF($F119="Red","红",$F119)))))*((映射装备数值!$A$10:$A$56=$E119)+(映射装备数值!$B$10:$B$56=$E119))*ROW(映射装备数值!$A$10:$A$56))),"未匹配")</f>
        <v>63</v>
      </c>
      <c r="J119" t="str">
        <f>IFERROR(INDEX(映射装备数值!I:I,SUMPRODUCT((映射装备数值!$C$10:$C$56=IF($F119="Blue","蓝",IF($F119="Purple","紫",IF($F119="Orange","金",IF($F119="Red","红",$F119)))))*((映射装备数值!$A$10:$A$56=$E119)+(映射装备数值!$B$10:$B$56=$E119))*ROW(映射装备数值!$A$10:$A$56))),"未匹配")</f>
        <v>冷却缩减等级</v>
      </c>
      <c r="K119">
        <f>IFERROR(INDEX(映射装备数值!L:L,SUMPRODUCT((映射装备数值!$C$10:$C$56=IF($F119="Blue","蓝",IF($F119="Purple","紫",IF($F119="Orange","金",IF($F119="Red","红",$F119)))))*((映射装备数值!$A$10:$A$56=$E119)+(映射装备数值!$B$10:$B$56=$E119))*ROW(映射装备数值!$A$10:$A$56))),"未匹配")</f>
        <v>314.25</v>
      </c>
      <c r="L119">
        <f>IFERROR(INDEX(映射装备数值!K:K,SUMPRODUCT((映射装备数值!$C$10:$C$56=IF($F119="Blue","蓝",IF($F119="Purple","紫",IF($F119="Orange","金",IF($F119="Red","红",$F119)))))*((映射装备数值!$A$10:$A$56=$E119)+(映射装备数值!$B$10:$B$56=$E119))*ROW(映射装备数值!$A$10:$A$56))),"未匹配")</f>
        <v>41.25</v>
      </c>
      <c r="M119" s="93">
        <v>0.95</v>
      </c>
      <c r="N119" s="93">
        <v>1.05</v>
      </c>
      <c r="O119" t="str">
        <f t="shared" si="6"/>
        <v>攻击</v>
      </c>
      <c r="P119">
        <f t="shared" si="7"/>
        <v>459</v>
      </c>
      <c r="Q119">
        <f t="shared" si="8"/>
        <v>60</v>
      </c>
      <c r="R119" t="str">
        <f t="shared" si="9"/>
        <v>冷却缩减等级</v>
      </c>
      <c r="S119">
        <f t="shared" si="10"/>
        <v>330</v>
      </c>
      <c r="T119">
        <f t="shared" si="11"/>
        <v>43</v>
      </c>
      <c r="U119" t="s">
        <v>688</v>
      </c>
      <c r="V119">
        <v>0.02</v>
      </c>
      <c r="W119" s="88">
        <v>80117</v>
      </c>
    </row>
    <row r="120" ht="21" customHeight="1" spans="3:23">
      <c r="C120" s="7">
        <v>80118</v>
      </c>
      <c r="D120" s="7" t="s">
        <v>691</v>
      </c>
      <c r="E120" s="75" t="s">
        <v>423</v>
      </c>
      <c r="F120" s="92" t="s">
        <v>564</v>
      </c>
      <c r="G120" t="str">
        <f>IFERROR(INDEX(映射装备数值!D:D,SUMPRODUCT((映射装备数值!$C$10:$C$56=IF($F120="Blue","蓝",IF($F120="Purple","紫",IF($F120="Orange","金",IF($F120="Red","红",$F120)))))*((映射装备数值!$A$10:$A$56=$E120)+(映射装备数值!$B$10:$B$56=$E120))*ROW(映射装备数值!$A$10:$A$56))),"未匹配")</f>
        <v>攻击</v>
      </c>
      <c r="H120">
        <f>IFERROR(INDEX(映射装备数值!G:G,SUMPRODUCT((映射装备数值!$C$10:$C$56=IF($F120="Blue","蓝",IF($F120="Purple","紫",IF($F120="Orange","金",IF($F120="Red","红",$F120)))))*((映射装备数值!$A$10:$A$56=$E120)+(映射装备数值!$B$10:$B$56=$E120))*ROW(映射装备数值!$A$10:$A$56))),"未匹配")</f>
        <v>193.2</v>
      </c>
      <c r="I120">
        <f>IFERROR(INDEX(映射装备数值!F:F,SUMPRODUCT((映射装备数值!$C$10:$C$56=IF($F120="Blue","蓝",IF($F120="Purple","紫",IF($F120="Orange","金",IF($F120="Red","红",$F120)))))*((映射装备数值!$A$10:$A$56=$E120)+(映射装备数值!$B$10:$B$56=$E120))*ROW(映射装备数值!$A$10:$A$56))),"未匹配")</f>
        <v>25.2</v>
      </c>
      <c r="J120" t="str">
        <f>IFERROR(INDEX(映射装备数值!I:I,SUMPRODUCT((映射装备数值!$C$10:$C$56=IF($F120="Blue","蓝",IF($F120="Purple","紫",IF($F120="Orange","金",IF($F120="Red","红",$F120)))))*((映射装备数值!$A$10:$A$56=$E120)+(映射装备数值!$B$10:$B$56=$E120))*ROW(映射装备数值!$A$10:$A$56))),"未匹配")</f>
        <v>能量回复等级</v>
      </c>
      <c r="K120">
        <f>IFERROR(INDEX(映射装备数值!L:L,SUMPRODUCT((映射装备数值!$C$10:$C$56=IF($F120="Blue","蓝",IF($F120="Purple","紫",IF($F120="Orange","金",IF($F120="Red","红",$F120)))))*((映射装备数值!$A$10:$A$56=$E120)+(映射装备数值!$B$10:$B$56=$E120))*ROW(映射装备数值!$A$10:$A$56))),"未匹配")</f>
        <v>87</v>
      </c>
      <c r="L120">
        <f>IFERROR(INDEX(映射装备数值!K:K,SUMPRODUCT((映射装备数值!$C$10:$C$56=IF($F120="Blue","蓝",IF($F120="Purple","紫",IF($F120="Orange","金",IF($F120="Red","红",$F120)))))*((映射装备数值!$A$10:$A$56=$E120)+(映射装备数值!$B$10:$B$56=$E120))*ROW(映射装备数值!$A$10:$A$56))),"未匹配")</f>
        <v>11.4</v>
      </c>
      <c r="M120" s="93">
        <v>1.05</v>
      </c>
      <c r="N120" s="93">
        <v>0.95</v>
      </c>
      <c r="O120" t="str">
        <f t="shared" si="6"/>
        <v>攻击</v>
      </c>
      <c r="P120">
        <f t="shared" si="7"/>
        <v>203</v>
      </c>
      <c r="Q120">
        <f t="shared" si="8"/>
        <v>26</v>
      </c>
      <c r="R120" t="str">
        <f t="shared" si="9"/>
        <v>能量回复等级</v>
      </c>
      <c r="S120">
        <f t="shared" si="10"/>
        <v>83</v>
      </c>
      <c r="T120">
        <f t="shared" si="11"/>
        <v>11</v>
      </c>
      <c r="U120" t="s">
        <v>131</v>
      </c>
      <c r="V120">
        <v>0.018</v>
      </c>
      <c r="W120" s="7">
        <v>80118</v>
      </c>
    </row>
    <row r="121" ht="21" customHeight="1" spans="3:23">
      <c r="C121" s="7">
        <v>80119</v>
      </c>
      <c r="D121" s="7" t="s">
        <v>692</v>
      </c>
      <c r="E121" s="75" t="s">
        <v>423</v>
      </c>
      <c r="F121" s="92" t="s">
        <v>566</v>
      </c>
      <c r="G121" t="str">
        <f>IFERROR(INDEX(映射装备数值!D:D,SUMPRODUCT((映射装备数值!$C$10:$C$56=IF($F121="Blue","蓝",IF($F121="Purple","紫",IF($F121="Orange","金",IF($F121="Red","红",$F121)))))*((映射装备数值!$A$10:$A$56=$E121)+(映射装备数值!$B$10:$B$56=$E121))*ROW(映射装备数值!$A$10:$A$56))),"未匹配")</f>
        <v>攻击</v>
      </c>
      <c r="H121">
        <f>IFERROR(INDEX(映射装备数值!G:G,SUMPRODUCT((映射装备数值!$C$10:$C$56=IF($F121="Blue","蓝",IF($F121="Purple","紫",IF($F121="Orange","金",IF($F121="Red","红",$F121)))))*((映射装备数值!$A$10:$A$56=$E121)+(映射装备数值!$B$10:$B$56=$E121))*ROW(映射装备数值!$A$10:$A$56))),"未匹配")</f>
        <v>322</v>
      </c>
      <c r="I121">
        <f>IFERROR(INDEX(映射装备数值!F:F,SUMPRODUCT((映射装备数值!$C$10:$C$56=IF($F121="Blue","蓝",IF($F121="Purple","紫",IF($F121="Orange","金",IF($F121="Red","红",$F121)))))*((映射装备数值!$A$10:$A$56=$E121)+(映射装备数值!$B$10:$B$56=$E121))*ROW(映射装备数值!$A$10:$A$56))),"未匹配")</f>
        <v>42</v>
      </c>
      <c r="J121" t="str">
        <f>IFERROR(INDEX(映射装备数值!I:I,SUMPRODUCT((映射装备数值!$C$10:$C$56=IF($F121="Blue","蓝",IF($F121="Purple","紫",IF($F121="Orange","金",IF($F121="Red","红",$F121)))))*((映射装备数值!$A$10:$A$56=$E121)+(映射装备数值!$B$10:$B$56=$E121))*ROW(映射装备数值!$A$10:$A$56))),"未匹配")</f>
        <v>能量回复等级</v>
      </c>
      <c r="K121">
        <f>IFERROR(INDEX(映射装备数值!L:L,SUMPRODUCT((映射装备数值!$C$10:$C$56=IF($F121="Blue","蓝",IF($F121="Purple","紫",IF($F121="Orange","金",IF($F121="Red","红",$F121)))))*((映射装备数值!$A$10:$A$56=$E121)+(映射装备数值!$B$10:$B$56=$E121))*ROW(映射装备数值!$A$10:$A$56))),"未匹配")</f>
        <v>145</v>
      </c>
      <c r="L121">
        <f>IFERROR(INDEX(映射装备数值!K:K,SUMPRODUCT((映射装备数值!$C$10:$C$56=IF($F121="Blue","蓝",IF($F121="Purple","紫",IF($F121="Orange","金",IF($F121="Red","红",$F121)))))*((映射装备数值!$A$10:$A$56=$E121)+(映射装备数值!$B$10:$B$56=$E121))*ROW(映射装备数值!$A$10:$A$56))),"未匹配")</f>
        <v>19</v>
      </c>
      <c r="M121" s="93">
        <v>1.05</v>
      </c>
      <c r="N121" s="93">
        <v>0.95</v>
      </c>
      <c r="O121" t="str">
        <f t="shared" si="6"/>
        <v>攻击</v>
      </c>
      <c r="P121">
        <f t="shared" si="7"/>
        <v>338</v>
      </c>
      <c r="Q121">
        <f t="shared" si="8"/>
        <v>44</v>
      </c>
      <c r="R121" t="str">
        <f t="shared" si="9"/>
        <v>能量回复等级</v>
      </c>
      <c r="S121">
        <f t="shared" si="10"/>
        <v>138</v>
      </c>
      <c r="T121">
        <f t="shared" si="11"/>
        <v>18</v>
      </c>
      <c r="U121" t="s">
        <v>131</v>
      </c>
      <c r="V121">
        <v>0.028</v>
      </c>
      <c r="W121" s="7">
        <v>80119</v>
      </c>
    </row>
    <row r="122" ht="21" customHeight="1" spans="3:23">
      <c r="C122" s="7">
        <v>80120</v>
      </c>
      <c r="D122" s="7" t="s">
        <v>693</v>
      </c>
      <c r="E122" s="75" t="s">
        <v>423</v>
      </c>
      <c r="F122" s="92" t="s">
        <v>568</v>
      </c>
      <c r="G122" t="str">
        <f>IFERROR(INDEX(映射装备数值!D:D,SUMPRODUCT((映射装备数值!$C$10:$C$56=IF($F122="Blue","蓝",IF($F122="Purple","紫",IF($F122="Orange","金",IF($F122="Red","红",$F122)))))*((映射装备数值!$A$10:$A$56=$E122)+(映射装备数值!$B$10:$B$56=$E122))*ROW(映射装备数值!$A$10:$A$56))),"未匹配")</f>
        <v>攻击</v>
      </c>
      <c r="H122">
        <f>IFERROR(INDEX(映射装备数值!G:G,SUMPRODUCT((映射装备数值!$C$10:$C$56=IF($F122="Blue","蓝",IF($F122="Purple","紫",IF($F122="Orange","金",IF($F122="Red","红",$F122)))))*((映射装备数值!$A$10:$A$56=$E122)+(映射装备数值!$B$10:$B$56=$E122))*ROW(映射装备数值!$A$10:$A$56))),"未匹配")</f>
        <v>483</v>
      </c>
      <c r="I122">
        <f>IFERROR(INDEX(映射装备数值!F:F,SUMPRODUCT((映射装备数值!$C$10:$C$56=IF($F122="Blue","蓝",IF($F122="Purple","紫",IF($F122="Orange","金",IF($F122="Red","红",$F122)))))*((映射装备数值!$A$10:$A$56=$E122)+(映射装备数值!$B$10:$B$56=$E122))*ROW(映射装备数值!$A$10:$A$56))),"未匹配")</f>
        <v>63</v>
      </c>
      <c r="J122" t="str">
        <f>IFERROR(INDEX(映射装备数值!I:I,SUMPRODUCT((映射装备数值!$C$10:$C$56=IF($F122="Blue","蓝",IF($F122="Purple","紫",IF($F122="Orange","金",IF($F122="Red","红",$F122)))))*((映射装备数值!$A$10:$A$56=$E122)+(映射装备数值!$B$10:$B$56=$E122))*ROW(映射装备数值!$A$10:$A$56))),"未匹配")</f>
        <v>能量回复等级</v>
      </c>
      <c r="K122">
        <f>IFERROR(INDEX(映射装备数值!L:L,SUMPRODUCT((映射装备数值!$C$10:$C$56=IF($F122="Blue","蓝",IF($F122="Purple","紫",IF($F122="Orange","金",IF($F122="Red","红",$F122)))))*((映射装备数值!$A$10:$A$56=$E122)+(映射装备数值!$B$10:$B$56=$E122))*ROW(映射装备数值!$A$10:$A$56))),"未匹配")</f>
        <v>217.5</v>
      </c>
      <c r="L122">
        <f>IFERROR(INDEX(映射装备数值!K:K,SUMPRODUCT((映射装备数值!$C$10:$C$56=IF($F122="Blue","蓝",IF($F122="Purple","紫",IF($F122="Orange","金",IF($F122="Red","红",$F122)))))*((映射装备数值!$A$10:$A$56=$E122)+(映射装备数值!$B$10:$B$56=$E122))*ROW(映射装备数值!$A$10:$A$56))),"未匹配")</f>
        <v>28.5</v>
      </c>
      <c r="M122" s="93">
        <v>1.05</v>
      </c>
      <c r="N122" s="93">
        <v>0.95</v>
      </c>
      <c r="O122" t="str">
        <f t="shared" si="6"/>
        <v>攻击</v>
      </c>
      <c r="P122">
        <f t="shared" si="7"/>
        <v>507</v>
      </c>
      <c r="Q122">
        <f t="shared" si="8"/>
        <v>66</v>
      </c>
      <c r="R122" t="str">
        <f t="shared" si="9"/>
        <v>能量回复等级</v>
      </c>
      <c r="S122">
        <f t="shared" si="10"/>
        <v>207</v>
      </c>
      <c r="T122">
        <f t="shared" si="11"/>
        <v>27</v>
      </c>
      <c r="U122" t="s">
        <v>131</v>
      </c>
      <c r="V122">
        <v>0.04</v>
      </c>
      <c r="W122" s="7">
        <v>80120</v>
      </c>
    </row>
    <row r="123" ht="21" customHeight="1" spans="3:23">
      <c r="C123" s="7">
        <v>80121</v>
      </c>
      <c r="D123" s="7" t="s">
        <v>694</v>
      </c>
      <c r="E123" s="75" t="s">
        <v>423</v>
      </c>
      <c r="F123" s="92" t="s">
        <v>564</v>
      </c>
      <c r="G123" t="str">
        <f>IFERROR(INDEX(映射装备数值!D:D,SUMPRODUCT((映射装备数值!$C$10:$C$56=IF($F123="Blue","蓝",IF($F123="Purple","紫",IF($F123="Orange","金",IF($F123="Red","红",$F123)))))*((映射装备数值!$A$10:$A$56=$E123)+(映射装备数值!$B$10:$B$56=$E123))*ROW(映射装备数值!$A$10:$A$56))),"未匹配")</f>
        <v>攻击</v>
      </c>
      <c r="H123">
        <f>IFERROR(INDEX(映射装备数值!G:G,SUMPRODUCT((映射装备数值!$C$10:$C$56=IF($F123="Blue","蓝",IF($F123="Purple","紫",IF($F123="Orange","金",IF($F123="Red","红",$F123)))))*((映射装备数值!$A$10:$A$56=$E123)+(映射装备数值!$B$10:$B$56=$E123))*ROW(映射装备数值!$A$10:$A$56))),"未匹配")</f>
        <v>193.2</v>
      </c>
      <c r="I123">
        <f>IFERROR(INDEX(映射装备数值!F:F,SUMPRODUCT((映射装备数值!$C$10:$C$56=IF($F123="Blue","蓝",IF($F123="Purple","紫",IF($F123="Orange","金",IF($F123="Red","红",$F123)))))*((映射装备数值!$A$10:$A$56=$E123)+(映射装备数值!$B$10:$B$56=$E123))*ROW(映射装备数值!$A$10:$A$56))),"未匹配")</f>
        <v>25.2</v>
      </c>
      <c r="J123" t="str">
        <f>IFERROR(INDEX(映射装备数值!I:I,SUMPRODUCT((映射装备数值!$C$10:$C$56=IF($F123="Blue","蓝",IF($F123="Purple","紫",IF($F123="Orange","金",IF($F123="Red","红",$F123)))))*((映射装备数值!$A$10:$A$56=$E123)+(映射装备数值!$B$10:$B$56=$E123))*ROW(映射装备数值!$A$10:$A$56))),"未匹配")</f>
        <v>能量回复等级</v>
      </c>
      <c r="K123">
        <f>IFERROR(INDEX(映射装备数值!L:L,SUMPRODUCT((映射装备数值!$C$10:$C$56=IF($F123="Blue","蓝",IF($F123="Purple","紫",IF($F123="Orange","金",IF($F123="Red","红",$F123)))))*((映射装备数值!$A$10:$A$56=$E123)+(映射装备数值!$B$10:$B$56=$E123))*ROW(映射装备数值!$A$10:$A$56))),"未匹配")</f>
        <v>87</v>
      </c>
      <c r="L123">
        <f>IFERROR(INDEX(映射装备数值!K:K,SUMPRODUCT((映射装备数值!$C$10:$C$56=IF($F123="Blue","蓝",IF($F123="Purple","紫",IF($F123="Orange","金",IF($F123="Red","红",$F123)))))*((映射装备数值!$A$10:$A$56=$E123)+(映射装备数值!$B$10:$B$56=$E123))*ROW(映射装备数值!$A$10:$A$56))),"未匹配")</f>
        <v>11.4</v>
      </c>
      <c r="M123" s="93">
        <v>0.95</v>
      </c>
      <c r="N123" s="93">
        <v>1.05</v>
      </c>
      <c r="O123" t="str">
        <f t="shared" si="6"/>
        <v>攻击</v>
      </c>
      <c r="P123">
        <f t="shared" si="7"/>
        <v>184</v>
      </c>
      <c r="Q123">
        <f t="shared" si="8"/>
        <v>24</v>
      </c>
      <c r="R123" t="str">
        <f t="shared" si="9"/>
        <v>能量回复等级</v>
      </c>
      <c r="S123">
        <f t="shared" si="10"/>
        <v>91</v>
      </c>
      <c r="T123">
        <f t="shared" si="11"/>
        <v>12</v>
      </c>
      <c r="U123" t="s">
        <v>593</v>
      </c>
      <c r="V123">
        <v>0.015</v>
      </c>
      <c r="W123" s="7">
        <v>80121</v>
      </c>
    </row>
    <row r="124" ht="21" customHeight="1" spans="3:23">
      <c r="C124" s="7">
        <v>80122</v>
      </c>
      <c r="D124" s="7" t="s">
        <v>695</v>
      </c>
      <c r="E124" s="75" t="s">
        <v>423</v>
      </c>
      <c r="F124" s="92" t="s">
        <v>566</v>
      </c>
      <c r="G124" t="str">
        <f>IFERROR(INDEX(映射装备数值!D:D,SUMPRODUCT((映射装备数值!$C$10:$C$56=IF($F124="Blue","蓝",IF($F124="Purple","紫",IF($F124="Orange","金",IF($F124="Red","红",$F124)))))*((映射装备数值!$A$10:$A$56=$E124)+(映射装备数值!$B$10:$B$56=$E124))*ROW(映射装备数值!$A$10:$A$56))),"未匹配")</f>
        <v>攻击</v>
      </c>
      <c r="H124">
        <f>IFERROR(INDEX(映射装备数值!G:G,SUMPRODUCT((映射装备数值!$C$10:$C$56=IF($F124="Blue","蓝",IF($F124="Purple","紫",IF($F124="Orange","金",IF($F124="Red","红",$F124)))))*((映射装备数值!$A$10:$A$56=$E124)+(映射装备数值!$B$10:$B$56=$E124))*ROW(映射装备数值!$A$10:$A$56))),"未匹配")</f>
        <v>322</v>
      </c>
      <c r="I124">
        <f>IFERROR(INDEX(映射装备数值!F:F,SUMPRODUCT((映射装备数值!$C$10:$C$56=IF($F124="Blue","蓝",IF($F124="Purple","紫",IF($F124="Orange","金",IF($F124="Red","红",$F124)))))*((映射装备数值!$A$10:$A$56=$E124)+(映射装备数值!$B$10:$B$56=$E124))*ROW(映射装备数值!$A$10:$A$56))),"未匹配")</f>
        <v>42</v>
      </c>
      <c r="J124" t="str">
        <f>IFERROR(INDEX(映射装备数值!I:I,SUMPRODUCT((映射装备数值!$C$10:$C$56=IF($F124="Blue","蓝",IF($F124="Purple","紫",IF($F124="Orange","金",IF($F124="Red","红",$F124)))))*((映射装备数值!$A$10:$A$56=$E124)+(映射装备数值!$B$10:$B$56=$E124))*ROW(映射装备数值!$A$10:$A$56))),"未匹配")</f>
        <v>能量回复等级</v>
      </c>
      <c r="K124">
        <f>IFERROR(INDEX(映射装备数值!L:L,SUMPRODUCT((映射装备数值!$C$10:$C$56=IF($F124="Blue","蓝",IF($F124="Purple","紫",IF($F124="Orange","金",IF($F124="Red","红",$F124)))))*((映射装备数值!$A$10:$A$56=$E124)+(映射装备数值!$B$10:$B$56=$E124))*ROW(映射装备数值!$A$10:$A$56))),"未匹配")</f>
        <v>145</v>
      </c>
      <c r="L124">
        <f>IFERROR(INDEX(映射装备数值!K:K,SUMPRODUCT((映射装备数值!$C$10:$C$56=IF($F124="Blue","蓝",IF($F124="Purple","紫",IF($F124="Orange","金",IF($F124="Red","红",$F124)))))*((映射装备数值!$A$10:$A$56=$E124)+(映射装备数值!$B$10:$B$56=$E124))*ROW(映射装备数值!$A$10:$A$56))),"未匹配")</f>
        <v>19</v>
      </c>
      <c r="M124" s="93">
        <v>0.95</v>
      </c>
      <c r="N124" s="93">
        <v>1.05</v>
      </c>
      <c r="O124" t="str">
        <f t="shared" si="6"/>
        <v>攻击</v>
      </c>
      <c r="P124">
        <f t="shared" si="7"/>
        <v>306</v>
      </c>
      <c r="Q124">
        <f t="shared" si="8"/>
        <v>40</v>
      </c>
      <c r="R124" t="str">
        <f t="shared" si="9"/>
        <v>能量回复等级</v>
      </c>
      <c r="S124">
        <f t="shared" si="10"/>
        <v>152</v>
      </c>
      <c r="T124">
        <f t="shared" si="11"/>
        <v>20</v>
      </c>
      <c r="U124" t="s">
        <v>593</v>
      </c>
      <c r="V124">
        <v>0.025</v>
      </c>
      <c r="W124" s="7">
        <v>80122</v>
      </c>
    </row>
    <row r="125" ht="21" customHeight="1" spans="3:23">
      <c r="C125" s="7">
        <v>80123</v>
      </c>
      <c r="D125" s="7" t="s">
        <v>696</v>
      </c>
      <c r="E125" s="75" t="s">
        <v>423</v>
      </c>
      <c r="F125" s="92" t="s">
        <v>568</v>
      </c>
      <c r="G125" t="str">
        <f>IFERROR(INDEX(映射装备数值!D:D,SUMPRODUCT((映射装备数值!$C$10:$C$56=IF($F125="Blue","蓝",IF($F125="Purple","紫",IF($F125="Orange","金",IF($F125="Red","红",$F125)))))*((映射装备数值!$A$10:$A$56=$E125)+(映射装备数值!$B$10:$B$56=$E125))*ROW(映射装备数值!$A$10:$A$56))),"未匹配")</f>
        <v>攻击</v>
      </c>
      <c r="H125">
        <f>IFERROR(INDEX(映射装备数值!G:G,SUMPRODUCT((映射装备数值!$C$10:$C$56=IF($F125="Blue","蓝",IF($F125="Purple","紫",IF($F125="Orange","金",IF($F125="Red","红",$F125)))))*((映射装备数值!$A$10:$A$56=$E125)+(映射装备数值!$B$10:$B$56=$E125))*ROW(映射装备数值!$A$10:$A$56))),"未匹配")</f>
        <v>483</v>
      </c>
      <c r="I125">
        <f>IFERROR(INDEX(映射装备数值!F:F,SUMPRODUCT((映射装备数值!$C$10:$C$56=IF($F125="Blue","蓝",IF($F125="Purple","紫",IF($F125="Orange","金",IF($F125="Red","红",$F125)))))*((映射装备数值!$A$10:$A$56=$E125)+(映射装备数值!$B$10:$B$56=$E125))*ROW(映射装备数值!$A$10:$A$56))),"未匹配")</f>
        <v>63</v>
      </c>
      <c r="J125" t="str">
        <f>IFERROR(INDEX(映射装备数值!I:I,SUMPRODUCT((映射装备数值!$C$10:$C$56=IF($F125="Blue","蓝",IF($F125="Purple","紫",IF($F125="Orange","金",IF($F125="Red","红",$F125)))))*((映射装备数值!$A$10:$A$56=$E125)+(映射装备数值!$B$10:$B$56=$E125))*ROW(映射装备数值!$A$10:$A$56))),"未匹配")</f>
        <v>能量回复等级</v>
      </c>
      <c r="K125">
        <f>IFERROR(INDEX(映射装备数值!L:L,SUMPRODUCT((映射装备数值!$C$10:$C$56=IF($F125="Blue","蓝",IF($F125="Purple","紫",IF($F125="Orange","金",IF($F125="Red","红",$F125)))))*((映射装备数值!$A$10:$A$56=$E125)+(映射装备数值!$B$10:$B$56=$E125))*ROW(映射装备数值!$A$10:$A$56))),"未匹配")</f>
        <v>217.5</v>
      </c>
      <c r="L125">
        <f>IFERROR(INDEX(映射装备数值!K:K,SUMPRODUCT((映射装备数值!$C$10:$C$56=IF($F125="Blue","蓝",IF($F125="Purple","紫",IF($F125="Orange","金",IF($F125="Red","红",$F125)))))*((映射装备数值!$A$10:$A$56=$E125)+(映射装备数值!$B$10:$B$56=$E125))*ROW(映射装备数值!$A$10:$A$56))),"未匹配")</f>
        <v>28.5</v>
      </c>
      <c r="M125" s="93">
        <v>0.95</v>
      </c>
      <c r="N125" s="93">
        <v>1.05</v>
      </c>
      <c r="O125" t="str">
        <f t="shared" si="6"/>
        <v>攻击</v>
      </c>
      <c r="P125">
        <f t="shared" si="7"/>
        <v>459</v>
      </c>
      <c r="Q125">
        <f t="shared" si="8"/>
        <v>60</v>
      </c>
      <c r="R125" t="str">
        <f t="shared" si="9"/>
        <v>能量回复等级</v>
      </c>
      <c r="S125">
        <f t="shared" si="10"/>
        <v>228</v>
      </c>
      <c r="T125">
        <f t="shared" si="11"/>
        <v>30</v>
      </c>
      <c r="U125" t="s">
        <v>593</v>
      </c>
      <c r="V125">
        <v>0.035</v>
      </c>
      <c r="W125" s="7">
        <v>80123</v>
      </c>
    </row>
    <row r="126" ht="21" customHeight="1" spans="3:23">
      <c r="C126" s="7">
        <v>80124</v>
      </c>
      <c r="D126" s="7" t="s">
        <v>697</v>
      </c>
      <c r="E126" s="75" t="s">
        <v>423</v>
      </c>
      <c r="F126" s="92" t="s">
        <v>564</v>
      </c>
      <c r="G126" t="str">
        <f>IFERROR(INDEX(映射装备数值!D:D,SUMPRODUCT((映射装备数值!$C$10:$C$56=IF($F126="Blue","蓝",IF($F126="Purple","紫",IF($F126="Orange","金",IF($F126="Red","红",$F126)))))*((映射装备数值!$A$10:$A$56=$E126)+(映射装备数值!$B$10:$B$56=$E126))*ROW(映射装备数值!$A$10:$A$56))),"未匹配")</f>
        <v>攻击</v>
      </c>
      <c r="H126">
        <f>IFERROR(INDEX(映射装备数值!G:G,SUMPRODUCT((映射装备数值!$C$10:$C$56=IF($F126="Blue","蓝",IF($F126="Purple","紫",IF($F126="Orange","金",IF($F126="Red","红",$F126)))))*((映射装备数值!$A$10:$A$56=$E126)+(映射装备数值!$B$10:$B$56=$E126))*ROW(映射装备数值!$A$10:$A$56))),"未匹配")</f>
        <v>193.2</v>
      </c>
      <c r="I126">
        <f>IFERROR(INDEX(映射装备数值!F:F,SUMPRODUCT((映射装备数值!$C$10:$C$56=IF($F126="Blue","蓝",IF($F126="Purple","紫",IF($F126="Orange","金",IF($F126="Red","红",$F126)))))*((映射装备数值!$A$10:$A$56=$E126)+(映射装备数值!$B$10:$B$56=$E126))*ROW(映射装备数值!$A$10:$A$56))),"未匹配")</f>
        <v>25.2</v>
      </c>
      <c r="J126" t="str">
        <f>IFERROR(INDEX(映射装备数值!I:I,SUMPRODUCT((映射装备数值!$C$10:$C$56=IF($F126="Blue","蓝",IF($F126="Purple","紫",IF($F126="Orange","金",IF($F126="Red","红",$F126)))))*((映射装备数值!$A$10:$A$56=$E126)+(映射装备数值!$B$10:$B$56=$E126))*ROW(映射装备数值!$A$10:$A$56))),"未匹配")</f>
        <v>能量回复等级</v>
      </c>
      <c r="K126">
        <f>IFERROR(INDEX(映射装备数值!L:L,SUMPRODUCT((映射装备数值!$C$10:$C$56=IF($F126="Blue","蓝",IF($F126="Purple","紫",IF($F126="Orange","金",IF($F126="Red","红",$F126)))))*((映射装备数值!$A$10:$A$56=$E126)+(映射装备数值!$B$10:$B$56=$E126))*ROW(映射装备数值!$A$10:$A$56))),"未匹配")</f>
        <v>87</v>
      </c>
      <c r="L126">
        <f>IFERROR(INDEX(映射装备数值!K:K,SUMPRODUCT((映射装备数值!$C$10:$C$56=IF($F126="Blue","蓝",IF($F126="Purple","紫",IF($F126="Orange","金",IF($F126="Red","红",$F126)))))*((映射装备数值!$A$10:$A$56=$E126)+(映射装备数值!$B$10:$B$56=$E126))*ROW(映射装备数值!$A$10:$A$56))),"未匹配")</f>
        <v>11.4</v>
      </c>
      <c r="M126" s="93">
        <v>1.1</v>
      </c>
      <c r="N126" s="93">
        <v>0.9</v>
      </c>
      <c r="O126" t="str">
        <f t="shared" si="6"/>
        <v>攻击</v>
      </c>
      <c r="P126">
        <f t="shared" si="7"/>
        <v>213</v>
      </c>
      <c r="Q126">
        <f t="shared" si="8"/>
        <v>28</v>
      </c>
      <c r="R126" t="str">
        <f t="shared" si="9"/>
        <v>能量回复等级</v>
      </c>
      <c r="S126">
        <f t="shared" si="10"/>
        <v>78</v>
      </c>
      <c r="T126">
        <f t="shared" si="11"/>
        <v>10</v>
      </c>
      <c r="U126" t="s">
        <v>698</v>
      </c>
      <c r="V126">
        <v>0.02</v>
      </c>
      <c r="W126" s="7">
        <v>80124</v>
      </c>
    </row>
    <row r="127" ht="21" customHeight="1" spans="3:23">
      <c r="C127" s="7">
        <v>80125</v>
      </c>
      <c r="D127" s="7" t="s">
        <v>699</v>
      </c>
      <c r="E127" s="75" t="s">
        <v>423</v>
      </c>
      <c r="F127" s="92" t="s">
        <v>566</v>
      </c>
      <c r="G127" t="str">
        <f>IFERROR(INDEX(映射装备数值!D:D,SUMPRODUCT((映射装备数值!$C$10:$C$56=IF($F127="Blue","蓝",IF($F127="Purple","紫",IF($F127="Orange","金",IF($F127="Red","红",$F127)))))*((映射装备数值!$A$10:$A$56=$E127)+(映射装备数值!$B$10:$B$56=$E127))*ROW(映射装备数值!$A$10:$A$56))),"未匹配")</f>
        <v>攻击</v>
      </c>
      <c r="H127">
        <f>IFERROR(INDEX(映射装备数值!G:G,SUMPRODUCT((映射装备数值!$C$10:$C$56=IF($F127="Blue","蓝",IF($F127="Purple","紫",IF($F127="Orange","金",IF($F127="Red","红",$F127)))))*((映射装备数值!$A$10:$A$56=$E127)+(映射装备数值!$B$10:$B$56=$E127))*ROW(映射装备数值!$A$10:$A$56))),"未匹配")</f>
        <v>322</v>
      </c>
      <c r="I127">
        <f>IFERROR(INDEX(映射装备数值!F:F,SUMPRODUCT((映射装备数值!$C$10:$C$56=IF($F127="Blue","蓝",IF($F127="Purple","紫",IF($F127="Orange","金",IF($F127="Red","红",$F127)))))*((映射装备数值!$A$10:$A$56=$E127)+(映射装备数值!$B$10:$B$56=$E127))*ROW(映射装备数值!$A$10:$A$56))),"未匹配")</f>
        <v>42</v>
      </c>
      <c r="J127" t="str">
        <f>IFERROR(INDEX(映射装备数值!I:I,SUMPRODUCT((映射装备数值!$C$10:$C$56=IF($F127="Blue","蓝",IF($F127="Purple","紫",IF($F127="Orange","金",IF($F127="Red","红",$F127)))))*((映射装备数值!$A$10:$A$56=$E127)+(映射装备数值!$B$10:$B$56=$E127))*ROW(映射装备数值!$A$10:$A$56))),"未匹配")</f>
        <v>能量回复等级</v>
      </c>
      <c r="K127">
        <f>IFERROR(INDEX(映射装备数值!L:L,SUMPRODUCT((映射装备数值!$C$10:$C$56=IF($F127="Blue","蓝",IF($F127="Purple","紫",IF($F127="Orange","金",IF($F127="Red","红",$F127)))))*((映射装备数值!$A$10:$A$56=$E127)+(映射装备数值!$B$10:$B$56=$E127))*ROW(映射装备数值!$A$10:$A$56))),"未匹配")</f>
        <v>145</v>
      </c>
      <c r="L127">
        <f>IFERROR(INDEX(映射装备数值!K:K,SUMPRODUCT((映射装备数值!$C$10:$C$56=IF($F127="Blue","蓝",IF($F127="Purple","紫",IF($F127="Orange","金",IF($F127="Red","红",$F127)))))*((映射装备数值!$A$10:$A$56=$E127)+(映射装备数值!$B$10:$B$56=$E127))*ROW(映射装备数值!$A$10:$A$56))),"未匹配")</f>
        <v>19</v>
      </c>
      <c r="M127" s="93">
        <v>1.1</v>
      </c>
      <c r="N127" s="93">
        <v>0.9</v>
      </c>
      <c r="O127" t="str">
        <f t="shared" si="6"/>
        <v>攻击</v>
      </c>
      <c r="P127">
        <f t="shared" si="7"/>
        <v>354</v>
      </c>
      <c r="Q127">
        <f t="shared" si="8"/>
        <v>46</v>
      </c>
      <c r="R127" t="str">
        <f t="shared" si="9"/>
        <v>能量回复等级</v>
      </c>
      <c r="S127">
        <f t="shared" si="10"/>
        <v>131</v>
      </c>
      <c r="T127">
        <f t="shared" si="11"/>
        <v>17</v>
      </c>
      <c r="U127" t="s">
        <v>698</v>
      </c>
      <c r="V127">
        <v>0.03</v>
      </c>
      <c r="W127" s="7">
        <v>80125</v>
      </c>
    </row>
    <row r="128" ht="21" customHeight="1" spans="3:23">
      <c r="C128" s="7">
        <v>80126</v>
      </c>
      <c r="D128" s="7" t="s">
        <v>700</v>
      </c>
      <c r="E128" s="75" t="s">
        <v>423</v>
      </c>
      <c r="F128" s="92" t="s">
        <v>568</v>
      </c>
      <c r="G128" t="str">
        <f>IFERROR(INDEX(映射装备数值!D:D,SUMPRODUCT((映射装备数值!$C$10:$C$56=IF($F128="Blue","蓝",IF($F128="Purple","紫",IF($F128="Orange","金",IF($F128="Red","红",$F128)))))*((映射装备数值!$A$10:$A$56=$E128)+(映射装备数值!$B$10:$B$56=$E128))*ROW(映射装备数值!$A$10:$A$56))),"未匹配")</f>
        <v>攻击</v>
      </c>
      <c r="H128">
        <f>IFERROR(INDEX(映射装备数值!G:G,SUMPRODUCT((映射装备数值!$C$10:$C$56=IF($F128="Blue","蓝",IF($F128="Purple","紫",IF($F128="Orange","金",IF($F128="Red","红",$F128)))))*((映射装备数值!$A$10:$A$56=$E128)+(映射装备数值!$B$10:$B$56=$E128))*ROW(映射装备数值!$A$10:$A$56))),"未匹配")</f>
        <v>483</v>
      </c>
      <c r="I128">
        <f>IFERROR(INDEX(映射装备数值!F:F,SUMPRODUCT((映射装备数值!$C$10:$C$56=IF($F128="Blue","蓝",IF($F128="Purple","紫",IF($F128="Orange","金",IF($F128="Red","红",$F128)))))*((映射装备数值!$A$10:$A$56=$E128)+(映射装备数值!$B$10:$B$56=$E128))*ROW(映射装备数值!$A$10:$A$56))),"未匹配")</f>
        <v>63</v>
      </c>
      <c r="J128" t="str">
        <f>IFERROR(INDEX(映射装备数值!I:I,SUMPRODUCT((映射装备数值!$C$10:$C$56=IF($F128="Blue","蓝",IF($F128="Purple","紫",IF($F128="Orange","金",IF($F128="Red","红",$F128)))))*((映射装备数值!$A$10:$A$56=$E128)+(映射装备数值!$B$10:$B$56=$E128))*ROW(映射装备数值!$A$10:$A$56))),"未匹配")</f>
        <v>能量回复等级</v>
      </c>
      <c r="K128">
        <f>IFERROR(INDEX(映射装备数值!L:L,SUMPRODUCT((映射装备数值!$C$10:$C$56=IF($F128="Blue","蓝",IF($F128="Purple","紫",IF($F128="Orange","金",IF($F128="Red","红",$F128)))))*((映射装备数值!$A$10:$A$56=$E128)+(映射装备数值!$B$10:$B$56=$E128))*ROW(映射装备数值!$A$10:$A$56))),"未匹配")</f>
        <v>217.5</v>
      </c>
      <c r="L128">
        <f>IFERROR(INDEX(映射装备数值!K:K,SUMPRODUCT((映射装备数值!$C$10:$C$56=IF($F128="Blue","蓝",IF($F128="Purple","紫",IF($F128="Orange","金",IF($F128="Red","红",$F128)))))*((映射装备数值!$A$10:$A$56=$E128)+(映射装备数值!$B$10:$B$56=$E128))*ROW(映射装备数值!$A$10:$A$56))),"未匹配")</f>
        <v>28.5</v>
      </c>
      <c r="M128" s="93">
        <v>1.1</v>
      </c>
      <c r="N128" s="93">
        <v>0.9</v>
      </c>
      <c r="O128" t="str">
        <f t="shared" si="6"/>
        <v>攻击</v>
      </c>
      <c r="P128">
        <f t="shared" si="7"/>
        <v>531</v>
      </c>
      <c r="Q128">
        <f t="shared" si="8"/>
        <v>69</v>
      </c>
      <c r="R128" t="str">
        <f t="shared" si="9"/>
        <v>能量回复等级</v>
      </c>
      <c r="S128">
        <f t="shared" si="10"/>
        <v>196</v>
      </c>
      <c r="T128">
        <f t="shared" si="11"/>
        <v>26</v>
      </c>
      <c r="U128" t="s">
        <v>698</v>
      </c>
      <c r="V128">
        <v>0.04</v>
      </c>
      <c r="W128" s="7">
        <v>80126</v>
      </c>
    </row>
    <row r="129" ht="21" customHeight="1" spans="3:23">
      <c r="C129" s="7">
        <v>80127</v>
      </c>
      <c r="D129" s="7" t="s">
        <v>701</v>
      </c>
      <c r="E129" s="75" t="s">
        <v>423</v>
      </c>
      <c r="F129" s="92" t="s">
        <v>564</v>
      </c>
      <c r="G129" t="str">
        <f>IFERROR(INDEX(映射装备数值!D:D,SUMPRODUCT((映射装备数值!$C$10:$C$56=IF($F129="Blue","蓝",IF($F129="Purple","紫",IF($F129="Orange","金",IF($F129="Red","红",$F129)))))*((映射装备数值!$A$10:$A$56=$E129)+(映射装备数值!$B$10:$B$56=$E129))*ROW(映射装备数值!$A$10:$A$56))),"未匹配")</f>
        <v>攻击</v>
      </c>
      <c r="H129">
        <f>IFERROR(INDEX(映射装备数值!G:G,SUMPRODUCT((映射装备数值!$C$10:$C$56=IF($F129="Blue","蓝",IF($F129="Purple","紫",IF($F129="Orange","金",IF($F129="Red","红",$F129)))))*((映射装备数值!$A$10:$A$56=$E129)+(映射装备数值!$B$10:$B$56=$E129))*ROW(映射装备数值!$A$10:$A$56))),"未匹配")</f>
        <v>193.2</v>
      </c>
      <c r="I129">
        <f>IFERROR(INDEX(映射装备数值!F:F,SUMPRODUCT((映射装备数值!$C$10:$C$56=IF($F129="Blue","蓝",IF($F129="Purple","紫",IF($F129="Orange","金",IF($F129="Red","红",$F129)))))*((映射装备数值!$A$10:$A$56=$E129)+(映射装备数值!$B$10:$B$56=$E129))*ROW(映射装备数值!$A$10:$A$56))),"未匹配")</f>
        <v>25.2</v>
      </c>
      <c r="J129" t="str">
        <f>IFERROR(INDEX(映射装备数值!I:I,SUMPRODUCT((映射装备数值!$C$10:$C$56=IF($F129="Blue","蓝",IF($F129="Purple","紫",IF($F129="Orange","金",IF($F129="Red","红",$F129)))))*((映射装备数值!$A$10:$A$56=$E129)+(映射装备数值!$B$10:$B$56=$E129))*ROW(映射装备数值!$A$10:$A$56))),"未匹配")</f>
        <v>能量回复等级</v>
      </c>
      <c r="K129">
        <f>IFERROR(INDEX(映射装备数值!L:L,SUMPRODUCT((映射装备数值!$C$10:$C$56=IF($F129="Blue","蓝",IF($F129="Purple","紫",IF($F129="Orange","金",IF($F129="Red","红",$F129)))))*((映射装备数值!$A$10:$A$56=$E129)+(映射装备数值!$B$10:$B$56=$E129))*ROW(映射装备数值!$A$10:$A$56))),"未匹配")</f>
        <v>87</v>
      </c>
      <c r="L129">
        <f>IFERROR(INDEX(映射装备数值!K:K,SUMPRODUCT((映射装备数值!$C$10:$C$56=IF($F129="Blue","蓝",IF($F129="Purple","紫",IF($F129="Orange","金",IF($F129="Red","红",$F129)))))*((映射装备数值!$A$10:$A$56=$E129)+(映射装备数值!$B$10:$B$56=$E129))*ROW(映射装备数值!$A$10:$A$56))),"未匹配")</f>
        <v>11.4</v>
      </c>
      <c r="M129" s="93">
        <v>1</v>
      </c>
      <c r="N129" s="93">
        <v>1</v>
      </c>
      <c r="O129" t="str">
        <f t="shared" si="6"/>
        <v>攻击</v>
      </c>
      <c r="P129">
        <f t="shared" si="7"/>
        <v>193</v>
      </c>
      <c r="Q129">
        <f t="shared" si="8"/>
        <v>25</v>
      </c>
      <c r="R129" t="str">
        <f t="shared" si="9"/>
        <v>能量回复等级</v>
      </c>
      <c r="S129">
        <f t="shared" si="10"/>
        <v>87</v>
      </c>
      <c r="T129">
        <f t="shared" si="11"/>
        <v>11</v>
      </c>
      <c r="U129" t="s">
        <v>79</v>
      </c>
      <c r="V129">
        <v>700</v>
      </c>
      <c r="W129" s="7">
        <v>80127</v>
      </c>
    </row>
    <row r="130" ht="21" customHeight="1" spans="3:23">
      <c r="C130" s="7">
        <v>80128</v>
      </c>
      <c r="D130" s="7" t="s">
        <v>702</v>
      </c>
      <c r="E130" s="75" t="s">
        <v>423</v>
      </c>
      <c r="F130" s="92" t="s">
        <v>566</v>
      </c>
      <c r="G130" t="str">
        <f>IFERROR(INDEX(映射装备数值!D:D,SUMPRODUCT((映射装备数值!$C$10:$C$56=IF($F130="Blue","蓝",IF($F130="Purple","紫",IF($F130="Orange","金",IF($F130="Red","红",$F130)))))*((映射装备数值!$A$10:$A$56=$E130)+(映射装备数值!$B$10:$B$56=$E130))*ROW(映射装备数值!$A$10:$A$56))),"未匹配")</f>
        <v>攻击</v>
      </c>
      <c r="H130">
        <f>IFERROR(INDEX(映射装备数值!G:G,SUMPRODUCT((映射装备数值!$C$10:$C$56=IF($F130="Blue","蓝",IF($F130="Purple","紫",IF($F130="Orange","金",IF($F130="Red","红",$F130)))))*((映射装备数值!$A$10:$A$56=$E130)+(映射装备数值!$B$10:$B$56=$E130))*ROW(映射装备数值!$A$10:$A$56))),"未匹配")</f>
        <v>322</v>
      </c>
      <c r="I130">
        <f>IFERROR(INDEX(映射装备数值!F:F,SUMPRODUCT((映射装备数值!$C$10:$C$56=IF($F130="Blue","蓝",IF($F130="Purple","紫",IF($F130="Orange","金",IF($F130="Red","红",$F130)))))*((映射装备数值!$A$10:$A$56=$E130)+(映射装备数值!$B$10:$B$56=$E130))*ROW(映射装备数值!$A$10:$A$56))),"未匹配")</f>
        <v>42</v>
      </c>
      <c r="J130" t="str">
        <f>IFERROR(INDEX(映射装备数值!I:I,SUMPRODUCT((映射装备数值!$C$10:$C$56=IF($F130="Blue","蓝",IF($F130="Purple","紫",IF($F130="Orange","金",IF($F130="Red","红",$F130)))))*((映射装备数值!$A$10:$A$56=$E130)+(映射装备数值!$B$10:$B$56=$E130))*ROW(映射装备数值!$A$10:$A$56))),"未匹配")</f>
        <v>能量回复等级</v>
      </c>
      <c r="K130">
        <f>IFERROR(INDEX(映射装备数值!L:L,SUMPRODUCT((映射装备数值!$C$10:$C$56=IF($F130="Blue","蓝",IF($F130="Purple","紫",IF($F130="Orange","金",IF($F130="Red","红",$F130)))))*((映射装备数值!$A$10:$A$56=$E130)+(映射装备数值!$B$10:$B$56=$E130))*ROW(映射装备数值!$A$10:$A$56))),"未匹配")</f>
        <v>145</v>
      </c>
      <c r="L130">
        <f>IFERROR(INDEX(映射装备数值!K:K,SUMPRODUCT((映射装备数值!$C$10:$C$56=IF($F130="Blue","蓝",IF($F130="Purple","紫",IF($F130="Orange","金",IF($F130="Red","红",$F130)))))*((映射装备数值!$A$10:$A$56=$E130)+(映射装备数值!$B$10:$B$56=$E130))*ROW(映射装备数值!$A$10:$A$56))),"未匹配")</f>
        <v>19</v>
      </c>
      <c r="M130" s="93">
        <v>1</v>
      </c>
      <c r="N130" s="93">
        <v>1</v>
      </c>
      <c r="O130" t="str">
        <f t="shared" si="6"/>
        <v>攻击</v>
      </c>
      <c r="P130">
        <f t="shared" si="7"/>
        <v>322</v>
      </c>
      <c r="Q130">
        <f t="shared" si="8"/>
        <v>42</v>
      </c>
      <c r="R130" t="str">
        <f t="shared" si="9"/>
        <v>能量回复等级</v>
      </c>
      <c r="S130">
        <f t="shared" si="10"/>
        <v>145</v>
      </c>
      <c r="T130">
        <f t="shared" si="11"/>
        <v>19</v>
      </c>
      <c r="U130" t="s">
        <v>79</v>
      </c>
      <c r="V130">
        <v>1300</v>
      </c>
      <c r="W130" s="7">
        <v>80128</v>
      </c>
    </row>
    <row r="131" ht="21" customHeight="1" spans="3:23">
      <c r="C131" s="7">
        <v>80129</v>
      </c>
      <c r="D131" s="7" t="s">
        <v>703</v>
      </c>
      <c r="E131" s="75" t="s">
        <v>423</v>
      </c>
      <c r="F131" s="92" t="s">
        <v>568</v>
      </c>
      <c r="G131" t="str">
        <f>IFERROR(INDEX(映射装备数值!D:D,SUMPRODUCT((映射装备数值!$C$10:$C$56=IF($F131="Blue","蓝",IF($F131="Purple","紫",IF($F131="Orange","金",IF($F131="Red","红",$F131)))))*((映射装备数值!$A$10:$A$56=$E131)+(映射装备数值!$B$10:$B$56=$E131))*ROW(映射装备数值!$A$10:$A$56))),"未匹配")</f>
        <v>攻击</v>
      </c>
      <c r="H131">
        <f>IFERROR(INDEX(映射装备数值!G:G,SUMPRODUCT((映射装备数值!$C$10:$C$56=IF($F131="Blue","蓝",IF($F131="Purple","紫",IF($F131="Orange","金",IF($F131="Red","红",$F131)))))*((映射装备数值!$A$10:$A$56=$E131)+(映射装备数值!$B$10:$B$56=$E131))*ROW(映射装备数值!$A$10:$A$56))),"未匹配")</f>
        <v>483</v>
      </c>
      <c r="I131">
        <f>IFERROR(INDEX(映射装备数值!F:F,SUMPRODUCT((映射装备数值!$C$10:$C$56=IF($F131="Blue","蓝",IF($F131="Purple","紫",IF($F131="Orange","金",IF($F131="Red","红",$F131)))))*((映射装备数值!$A$10:$A$56=$E131)+(映射装备数值!$B$10:$B$56=$E131))*ROW(映射装备数值!$A$10:$A$56))),"未匹配")</f>
        <v>63</v>
      </c>
      <c r="J131" t="str">
        <f>IFERROR(INDEX(映射装备数值!I:I,SUMPRODUCT((映射装备数值!$C$10:$C$56=IF($F131="Blue","蓝",IF($F131="Purple","紫",IF($F131="Orange","金",IF($F131="Red","红",$F131)))))*((映射装备数值!$A$10:$A$56=$E131)+(映射装备数值!$B$10:$B$56=$E131))*ROW(映射装备数值!$A$10:$A$56))),"未匹配")</f>
        <v>能量回复等级</v>
      </c>
      <c r="K131">
        <f>IFERROR(INDEX(映射装备数值!L:L,SUMPRODUCT((映射装备数值!$C$10:$C$56=IF($F131="Blue","蓝",IF($F131="Purple","紫",IF($F131="Orange","金",IF($F131="Red","红",$F131)))))*((映射装备数值!$A$10:$A$56=$E131)+(映射装备数值!$B$10:$B$56=$E131))*ROW(映射装备数值!$A$10:$A$56))),"未匹配")</f>
        <v>217.5</v>
      </c>
      <c r="L131">
        <f>IFERROR(INDEX(映射装备数值!K:K,SUMPRODUCT((映射装备数值!$C$10:$C$56=IF($F131="Blue","蓝",IF($F131="Purple","紫",IF($F131="Orange","金",IF($F131="Red","红",$F131)))))*((映射装备数值!$A$10:$A$56=$E131)+(映射装备数值!$B$10:$B$56=$E131))*ROW(映射装备数值!$A$10:$A$56))),"未匹配")</f>
        <v>28.5</v>
      </c>
      <c r="M131" s="93">
        <v>1</v>
      </c>
      <c r="N131" s="93">
        <v>1</v>
      </c>
      <c r="O131" t="str">
        <f t="shared" ref="O131:O192" si="12">G131</f>
        <v>攻击</v>
      </c>
      <c r="P131">
        <f t="shared" ref="P131:P192" si="13">ROUND(H131*$M131,IF(H131&lt;1,3,0))</f>
        <v>483</v>
      </c>
      <c r="Q131">
        <f t="shared" ref="Q131:Q192" si="14">ROUND(I131*$M131,IF(I131&lt;1,3,0))</f>
        <v>63</v>
      </c>
      <c r="R131" t="str">
        <f t="shared" ref="R131:R192" si="15">J131</f>
        <v>能量回复等级</v>
      </c>
      <c r="S131">
        <f t="shared" ref="S131:S192" si="16">ROUND(K131*$N131,IF(K131&lt;1,3,0))</f>
        <v>218</v>
      </c>
      <c r="T131">
        <f t="shared" ref="T131:T192" si="17">ROUND(L131*$N131,IF(L131&lt;1,4,0))</f>
        <v>29</v>
      </c>
      <c r="U131" t="s">
        <v>79</v>
      </c>
      <c r="V131">
        <v>2100</v>
      </c>
      <c r="W131" s="7">
        <v>80129</v>
      </c>
    </row>
    <row r="132" ht="21" customHeight="1" spans="3:23">
      <c r="C132" s="7">
        <v>80130</v>
      </c>
      <c r="D132" s="7" t="s">
        <v>704</v>
      </c>
      <c r="E132" s="75" t="s">
        <v>423</v>
      </c>
      <c r="F132" s="92" t="s">
        <v>564</v>
      </c>
      <c r="G132" t="str">
        <f>IFERROR(INDEX(映射装备数值!D:D,SUMPRODUCT((映射装备数值!$C$10:$C$56=IF($F132="Blue","蓝",IF($F132="Purple","紫",IF($F132="Orange","金",IF($F132="Red","红",$F132)))))*((映射装备数值!$A$10:$A$56=$E132)+(映射装备数值!$B$10:$B$56=$E132))*ROW(映射装备数值!$A$10:$A$56))),"未匹配")</f>
        <v>攻击</v>
      </c>
      <c r="H132">
        <f>IFERROR(INDEX(映射装备数值!G:G,SUMPRODUCT((映射装备数值!$C$10:$C$56=IF($F132="Blue","蓝",IF($F132="Purple","紫",IF($F132="Orange","金",IF($F132="Red","红",$F132)))))*((映射装备数值!$A$10:$A$56=$E132)+(映射装备数值!$B$10:$B$56=$E132))*ROW(映射装备数值!$A$10:$A$56))),"未匹配")</f>
        <v>193.2</v>
      </c>
      <c r="I132">
        <f>IFERROR(INDEX(映射装备数值!F:F,SUMPRODUCT((映射装备数值!$C$10:$C$56=IF($F132="Blue","蓝",IF($F132="Purple","紫",IF($F132="Orange","金",IF($F132="Red","红",$F132)))))*((映射装备数值!$A$10:$A$56=$E132)+(映射装备数值!$B$10:$B$56=$E132))*ROW(映射装备数值!$A$10:$A$56))),"未匹配")</f>
        <v>25.2</v>
      </c>
      <c r="J132" t="str">
        <f>IFERROR(INDEX(映射装备数值!I:I,SUMPRODUCT((映射装备数值!$C$10:$C$56=IF($F132="Blue","蓝",IF($F132="Purple","紫",IF($F132="Orange","金",IF($F132="Red","红",$F132)))))*((映射装备数值!$A$10:$A$56=$E132)+(映射装备数值!$B$10:$B$56=$E132))*ROW(映射装备数值!$A$10:$A$56))),"未匹配")</f>
        <v>能量回复等级</v>
      </c>
      <c r="K132">
        <f>IFERROR(INDEX(映射装备数值!L:L,SUMPRODUCT((映射装备数值!$C$10:$C$56=IF($F132="Blue","蓝",IF($F132="Purple","紫",IF($F132="Orange","金",IF($F132="Red","红",$F132)))))*((映射装备数值!$A$10:$A$56=$E132)+(映射装备数值!$B$10:$B$56=$E132))*ROW(映射装备数值!$A$10:$A$56))),"未匹配")</f>
        <v>87</v>
      </c>
      <c r="L132">
        <f>IFERROR(INDEX(映射装备数值!K:K,SUMPRODUCT((映射装备数值!$C$10:$C$56=IF($F132="Blue","蓝",IF($F132="Purple","紫",IF($F132="Orange","金",IF($F132="Red","红",$F132)))))*((映射装备数值!$A$10:$A$56=$E132)+(映射装备数值!$B$10:$B$56=$E132))*ROW(映射装备数值!$A$10:$A$56))),"未匹配")</f>
        <v>11.4</v>
      </c>
      <c r="M132" s="93">
        <v>0.9</v>
      </c>
      <c r="N132" s="93">
        <v>1.1</v>
      </c>
      <c r="O132" t="str">
        <f t="shared" si="12"/>
        <v>攻击</v>
      </c>
      <c r="P132">
        <f t="shared" si="13"/>
        <v>174</v>
      </c>
      <c r="Q132">
        <f t="shared" si="14"/>
        <v>23</v>
      </c>
      <c r="R132" t="str">
        <f t="shared" si="15"/>
        <v>能量回复等级</v>
      </c>
      <c r="S132">
        <f t="shared" si="16"/>
        <v>96</v>
      </c>
      <c r="T132">
        <f t="shared" si="17"/>
        <v>13</v>
      </c>
      <c r="U132" t="s">
        <v>140</v>
      </c>
      <c r="V132">
        <v>0.015</v>
      </c>
      <c r="W132" s="7">
        <v>80130</v>
      </c>
    </row>
    <row r="133" ht="21" customHeight="1" spans="3:23">
      <c r="C133" s="7">
        <v>80131</v>
      </c>
      <c r="D133" s="7" t="s">
        <v>705</v>
      </c>
      <c r="E133" s="75" t="s">
        <v>423</v>
      </c>
      <c r="F133" s="92" t="s">
        <v>566</v>
      </c>
      <c r="G133" t="str">
        <f>IFERROR(INDEX(映射装备数值!D:D,SUMPRODUCT((映射装备数值!$C$10:$C$56=IF($F133="Blue","蓝",IF($F133="Purple","紫",IF($F133="Orange","金",IF($F133="Red","红",$F133)))))*((映射装备数值!$A$10:$A$56=$E133)+(映射装备数值!$B$10:$B$56=$E133))*ROW(映射装备数值!$A$10:$A$56))),"未匹配")</f>
        <v>攻击</v>
      </c>
      <c r="H133">
        <f>IFERROR(INDEX(映射装备数值!G:G,SUMPRODUCT((映射装备数值!$C$10:$C$56=IF($F133="Blue","蓝",IF($F133="Purple","紫",IF($F133="Orange","金",IF($F133="Red","红",$F133)))))*((映射装备数值!$A$10:$A$56=$E133)+(映射装备数值!$B$10:$B$56=$E133))*ROW(映射装备数值!$A$10:$A$56))),"未匹配")</f>
        <v>322</v>
      </c>
      <c r="I133">
        <f>IFERROR(INDEX(映射装备数值!F:F,SUMPRODUCT((映射装备数值!$C$10:$C$56=IF($F133="Blue","蓝",IF($F133="Purple","紫",IF($F133="Orange","金",IF($F133="Red","红",$F133)))))*((映射装备数值!$A$10:$A$56=$E133)+(映射装备数值!$B$10:$B$56=$E133))*ROW(映射装备数值!$A$10:$A$56))),"未匹配")</f>
        <v>42</v>
      </c>
      <c r="J133" t="str">
        <f>IFERROR(INDEX(映射装备数值!I:I,SUMPRODUCT((映射装备数值!$C$10:$C$56=IF($F133="Blue","蓝",IF($F133="Purple","紫",IF($F133="Orange","金",IF($F133="Red","红",$F133)))))*((映射装备数值!$A$10:$A$56=$E133)+(映射装备数值!$B$10:$B$56=$E133))*ROW(映射装备数值!$A$10:$A$56))),"未匹配")</f>
        <v>能量回复等级</v>
      </c>
      <c r="K133">
        <f>IFERROR(INDEX(映射装备数值!L:L,SUMPRODUCT((映射装备数值!$C$10:$C$56=IF($F133="Blue","蓝",IF($F133="Purple","紫",IF($F133="Orange","金",IF($F133="Red","红",$F133)))))*((映射装备数值!$A$10:$A$56=$E133)+(映射装备数值!$B$10:$B$56=$E133))*ROW(映射装备数值!$A$10:$A$56))),"未匹配")</f>
        <v>145</v>
      </c>
      <c r="L133">
        <f>IFERROR(INDEX(映射装备数值!K:K,SUMPRODUCT((映射装备数值!$C$10:$C$56=IF($F133="Blue","蓝",IF($F133="Purple","紫",IF($F133="Orange","金",IF($F133="Red","红",$F133)))))*((映射装备数值!$A$10:$A$56=$E133)+(映射装备数值!$B$10:$B$56=$E133))*ROW(映射装备数值!$A$10:$A$56))),"未匹配")</f>
        <v>19</v>
      </c>
      <c r="M133" s="93">
        <v>0.9</v>
      </c>
      <c r="N133" s="93">
        <v>1.1</v>
      </c>
      <c r="O133" t="str">
        <f t="shared" si="12"/>
        <v>攻击</v>
      </c>
      <c r="P133">
        <f t="shared" si="13"/>
        <v>290</v>
      </c>
      <c r="Q133">
        <f t="shared" si="14"/>
        <v>38</v>
      </c>
      <c r="R133" t="str">
        <f t="shared" si="15"/>
        <v>能量回复等级</v>
      </c>
      <c r="S133">
        <f t="shared" si="16"/>
        <v>160</v>
      </c>
      <c r="T133">
        <f t="shared" si="17"/>
        <v>21</v>
      </c>
      <c r="U133" t="s">
        <v>140</v>
      </c>
      <c r="V133">
        <v>0.025</v>
      </c>
      <c r="W133" s="7">
        <v>80131</v>
      </c>
    </row>
    <row r="134" ht="21" customHeight="1" spans="3:23">
      <c r="C134" s="7">
        <v>80132</v>
      </c>
      <c r="D134" s="7" t="s">
        <v>706</v>
      </c>
      <c r="E134" s="75" t="s">
        <v>423</v>
      </c>
      <c r="F134" s="92" t="s">
        <v>568</v>
      </c>
      <c r="G134" t="str">
        <f>IFERROR(INDEX(映射装备数值!D:D,SUMPRODUCT((映射装备数值!$C$10:$C$56=IF($F134="Blue","蓝",IF($F134="Purple","紫",IF($F134="Orange","金",IF($F134="Red","红",$F134)))))*((映射装备数值!$A$10:$A$56=$E134)+(映射装备数值!$B$10:$B$56=$E134))*ROW(映射装备数值!$A$10:$A$56))),"未匹配")</f>
        <v>攻击</v>
      </c>
      <c r="H134">
        <f>IFERROR(INDEX(映射装备数值!G:G,SUMPRODUCT((映射装备数值!$C$10:$C$56=IF($F134="Blue","蓝",IF($F134="Purple","紫",IF($F134="Orange","金",IF($F134="Red","红",$F134)))))*((映射装备数值!$A$10:$A$56=$E134)+(映射装备数值!$B$10:$B$56=$E134))*ROW(映射装备数值!$A$10:$A$56))),"未匹配")</f>
        <v>483</v>
      </c>
      <c r="I134">
        <f>IFERROR(INDEX(映射装备数值!F:F,SUMPRODUCT((映射装备数值!$C$10:$C$56=IF($F134="Blue","蓝",IF($F134="Purple","紫",IF($F134="Orange","金",IF($F134="Red","红",$F134)))))*((映射装备数值!$A$10:$A$56=$E134)+(映射装备数值!$B$10:$B$56=$E134))*ROW(映射装备数值!$A$10:$A$56))),"未匹配")</f>
        <v>63</v>
      </c>
      <c r="J134" t="str">
        <f>IFERROR(INDEX(映射装备数值!I:I,SUMPRODUCT((映射装备数值!$C$10:$C$56=IF($F134="Blue","蓝",IF($F134="Purple","紫",IF($F134="Orange","金",IF($F134="Red","红",$F134)))))*((映射装备数值!$A$10:$A$56=$E134)+(映射装备数值!$B$10:$B$56=$E134))*ROW(映射装备数值!$A$10:$A$56))),"未匹配")</f>
        <v>能量回复等级</v>
      </c>
      <c r="K134">
        <f>IFERROR(INDEX(映射装备数值!L:L,SUMPRODUCT((映射装备数值!$C$10:$C$56=IF($F134="Blue","蓝",IF($F134="Purple","紫",IF($F134="Orange","金",IF($F134="Red","红",$F134)))))*((映射装备数值!$A$10:$A$56=$E134)+(映射装备数值!$B$10:$B$56=$E134))*ROW(映射装备数值!$A$10:$A$56))),"未匹配")</f>
        <v>217.5</v>
      </c>
      <c r="L134">
        <f>IFERROR(INDEX(映射装备数值!K:K,SUMPRODUCT((映射装备数值!$C$10:$C$56=IF($F134="Blue","蓝",IF($F134="Purple","紫",IF($F134="Orange","金",IF($F134="Red","红",$F134)))))*((映射装备数值!$A$10:$A$56=$E134)+(映射装备数值!$B$10:$B$56=$E134))*ROW(映射装备数值!$A$10:$A$56))),"未匹配")</f>
        <v>28.5</v>
      </c>
      <c r="M134" s="93">
        <v>0.9</v>
      </c>
      <c r="N134" s="93">
        <v>1.1</v>
      </c>
      <c r="O134" t="str">
        <f t="shared" si="12"/>
        <v>攻击</v>
      </c>
      <c r="P134">
        <f t="shared" si="13"/>
        <v>435</v>
      </c>
      <c r="Q134">
        <f t="shared" si="14"/>
        <v>57</v>
      </c>
      <c r="R134" t="str">
        <f t="shared" si="15"/>
        <v>能量回复等级</v>
      </c>
      <c r="S134">
        <f t="shared" si="16"/>
        <v>239</v>
      </c>
      <c r="T134">
        <f t="shared" si="17"/>
        <v>31</v>
      </c>
      <c r="U134" t="s">
        <v>140</v>
      </c>
      <c r="V134">
        <v>0.035</v>
      </c>
      <c r="W134" s="7">
        <v>80132</v>
      </c>
    </row>
    <row r="135" ht="21" customHeight="1" spans="3:23">
      <c r="C135" s="7">
        <v>80133</v>
      </c>
      <c r="D135" s="7" t="s">
        <v>707</v>
      </c>
      <c r="E135" s="75" t="s">
        <v>423</v>
      </c>
      <c r="F135" s="92" t="s">
        <v>564</v>
      </c>
      <c r="G135" t="str">
        <f>IFERROR(INDEX(映射装备数值!D:D,SUMPRODUCT((映射装备数值!$C$10:$C$56=IF($F135="Blue","蓝",IF($F135="Purple","紫",IF($F135="Orange","金",IF($F135="Red","红",$F135)))))*((映射装备数值!$A$10:$A$56=$E135)+(映射装备数值!$B$10:$B$56=$E135))*ROW(映射装备数值!$A$10:$A$56))),"未匹配")</f>
        <v>攻击</v>
      </c>
      <c r="H135">
        <f>IFERROR(INDEX(映射装备数值!G:G,SUMPRODUCT((映射装备数值!$C$10:$C$56=IF($F135="Blue","蓝",IF($F135="Purple","紫",IF($F135="Orange","金",IF($F135="Red","红",$F135)))))*((映射装备数值!$A$10:$A$56=$E135)+(映射装备数值!$B$10:$B$56=$E135))*ROW(映射装备数值!$A$10:$A$56))),"未匹配")</f>
        <v>193.2</v>
      </c>
      <c r="I135">
        <f>IFERROR(INDEX(映射装备数值!F:F,SUMPRODUCT((映射装备数值!$C$10:$C$56=IF($F135="Blue","蓝",IF($F135="Purple","紫",IF($F135="Orange","金",IF($F135="Red","红",$F135)))))*((映射装备数值!$A$10:$A$56=$E135)+(映射装备数值!$B$10:$B$56=$E135))*ROW(映射装备数值!$A$10:$A$56))),"未匹配")</f>
        <v>25.2</v>
      </c>
      <c r="J135" t="str">
        <f>IFERROR(INDEX(映射装备数值!I:I,SUMPRODUCT((映射装备数值!$C$10:$C$56=IF($F135="Blue","蓝",IF($F135="Purple","紫",IF($F135="Orange","金",IF($F135="Red","红",$F135)))))*((映射装备数值!$A$10:$A$56=$E135)+(映射装备数值!$B$10:$B$56=$E135))*ROW(映射装备数值!$A$10:$A$56))),"未匹配")</f>
        <v>能量回复等级</v>
      </c>
      <c r="K135">
        <f>IFERROR(INDEX(映射装备数值!L:L,SUMPRODUCT((映射装备数值!$C$10:$C$56=IF($F135="Blue","蓝",IF($F135="Purple","紫",IF($F135="Orange","金",IF($F135="Red","红",$F135)))))*((映射装备数值!$A$10:$A$56=$E135)+(映射装备数值!$B$10:$B$56=$E135))*ROW(映射装备数值!$A$10:$A$56))),"未匹配")</f>
        <v>87</v>
      </c>
      <c r="L135">
        <f>IFERROR(INDEX(映射装备数值!K:K,SUMPRODUCT((映射装备数值!$C$10:$C$56=IF($F135="Blue","蓝",IF($F135="Purple","紫",IF($F135="Orange","金",IF($F135="Red","红",$F135)))))*((映射装备数值!$A$10:$A$56=$E135)+(映射装备数值!$B$10:$B$56=$E135))*ROW(映射装备数值!$A$10:$A$56))),"未匹配")</f>
        <v>11.4</v>
      </c>
      <c r="M135" s="93">
        <v>1.15</v>
      </c>
      <c r="N135" s="93">
        <v>0.85</v>
      </c>
      <c r="O135" t="str">
        <f t="shared" si="12"/>
        <v>攻击</v>
      </c>
      <c r="P135">
        <f t="shared" si="13"/>
        <v>222</v>
      </c>
      <c r="Q135">
        <f t="shared" si="14"/>
        <v>29</v>
      </c>
      <c r="R135" t="str">
        <f t="shared" si="15"/>
        <v>能量回复等级</v>
      </c>
      <c r="S135">
        <f t="shared" si="16"/>
        <v>74</v>
      </c>
      <c r="T135">
        <f t="shared" si="17"/>
        <v>10</v>
      </c>
      <c r="U135" t="s">
        <v>589</v>
      </c>
      <c r="V135">
        <v>0.02</v>
      </c>
      <c r="W135" s="7">
        <v>80133</v>
      </c>
    </row>
    <row r="136" ht="21" customHeight="1" spans="3:23">
      <c r="C136" s="7">
        <v>80134</v>
      </c>
      <c r="D136" s="7" t="s">
        <v>708</v>
      </c>
      <c r="E136" s="75" t="s">
        <v>423</v>
      </c>
      <c r="F136" s="92" t="s">
        <v>566</v>
      </c>
      <c r="G136" t="str">
        <f>IFERROR(INDEX(映射装备数值!D:D,SUMPRODUCT((映射装备数值!$C$10:$C$56=IF($F136="Blue","蓝",IF($F136="Purple","紫",IF($F136="Orange","金",IF($F136="Red","红",$F136)))))*((映射装备数值!$A$10:$A$56=$E136)+(映射装备数值!$B$10:$B$56=$E136))*ROW(映射装备数值!$A$10:$A$56))),"未匹配")</f>
        <v>攻击</v>
      </c>
      <c r="H136">
        <f>IFERROR(INDEX(映射装备数值!G:G,SUMPRODUCT((映射装备数值!$C$10:$C$56=IF($F136="Blue","蓝",IF($F136="Purple","紫",IF($F136="Orange","金",IF($F136="Red","红",$F136)))))*((映射装备数值!$A$10:$A$56=$E136)+(映射装备数值!$B$10:$B$56=$E136))*ROW(映射装备数值!$A$10:$A$56))),"未匹配")</f>
        <v>322</v>
      </c>
      <c r="I136">
        <f>IFERROR(INDEX(映射装备数值!F:F,SUMPRODUCT((映射装备数值!$C$10:$C$56=IF($F136="Blue","蓝",IF($F136="Purple","紫",IF($F136="Orange","金",IF($F136="Red","红",$F136)))))*((映射装备数值!$A$10:$A$56=$E136)+(映射装备数值!$B$10:$B$56=$E136))*ROW(映射装备数值!$A$10:$A$56))),"未匹配")</f>
        <v>42</v>
      </c>
      <c r="J136" t="str">
        <f>IFERROR(INDEX(映射装备数值!I:I,SUMPRODUCT((映射装备数值!$C$10:$C$56=IF($F136="Blue","蓝",IF($F136="Purple","紫",IF($F136="Orange","金",IF($F136="Red","红",$F136)))))*((映射装备数值!$A$10:$A$56=$E136)+(映射装备数值!$B$10:$B$56=$E136))*ROW(映射装备数值!$A$10:$A$56))),"未匹配")</f>
        <v>能量回复等级</v>
      </c>
      <c r="K136">
        <f>IFERROR(INDEX(映射装备数值!L:L,SUMPRODUCT((映射装备数值!$C$10:$C$56=IF($F136="Blue","蓝",IF($F136="Purple","紫",IF($F136="Orange","金",IF($F136="Red","红",$F136)))))*((映射装备数值!$A$10:$A$56=$E136)+(映射装备数值!$B$10:$B$56=$E136))*ROW(映射装备数值!$A$10:$A$56))),"未匹配")</f>
        <v>145</v>
      </c>
      <c r="L136">
        <f>IFERROR(INDEX(映射装备数值!K:K,SUMPRODUCT((映射装备数值!$C$10:$C$56=IF($F136="Blue","蓝",IF($F136="Purple","紫",IF($F136="Orange","金",IF($F136="Red","红",$F136)))))*((映射装备数值!$A$10:$A$56=$E136)+(映射装备数值!$B$10:$B$56=$E136))*ROW(映射装备数值!$A$10:$A$56))),"未匹配")</f>
        <v>19</v>
      </c>
      <c r="M136" s="93">
        <v>1.15</v>
      </c>
      <c r="N136" s="93">
        <v>0.85</v>
      </c>
      <c r="O136" t="str">
        <f t="shared" si="12"/>
        <v>攻击</v>
      </c>
      <c r="P136">
        <f t="shared" si="13"/>
        <v>370</v>
      </c>
      <c r="Q136">
        <f t="shared" si="14"/>
        <v>48</v>
      </c>
      <c r="R136" t="str">
        <f t="shared" si="15"/>
        <v>能量回复等级</v>
      </c>
      <c r="S136">
        <f t="shared" si="16"/>
        <v>123</v>
      </c>
      <c r="T136">
        <f t="shared" si="17"/>
        <v>16</v>
      </c>
      <c r="U136" t="s">
        <v>589</v>
      </c>
      <c r="V136">
        <v>0.03</v>
      </c>
      <c r="W136" s="7">
        <v>80134</v>
      </c>
    </row>
    <row r="137" ht="21" customHeight="1" spans="3:23">
      <c r="C137" s="88">
        <v>80135</v>
      </c>
      <c r="D137" s="88" t="s">
        <v>709</v>
      </c>
      <c r="E137" s="76" t="s">
        <v>423</v>
      </c>
      <c r="F137" s="94" t="s">
        <v>568</v>
      </c>
      <c r="G137" t="str">
        <f>IFERROR(INDEX(映射装备数值!D:D,SUMPRODUCT((映射装备数值!$C$10:$C$56=IF($F137="Blue","蓝",IF($F137="Purple","紫",IF($F137="Orange","金",IF($F137="Red","红",$F137)))))*((映射装备数值!$A$10:$A$56=$E137)+(映射装备数值!$B$10:$B$56=$E137))*ROW(映射装备数值!$A$10:$A$56))),"未匹配")</f>
        <v>攻击</v>
      </c>
      <c r="H137">
        <f>IFERROR(INDEX(映射装备数值!G:G,SUMPRODUCT((映射装备数值!$C$10:$C$56=IF($F137="Blue","蓝",IF($F137="Purple","紫",IF($F137="Orange","金",IF($F137="Red","红",$F137)))))*((映射装备数值!$A$10:$A$56=$E137)+(映射装备数值!$B$10:$B$56=$E137))*ROW(映射装备数值!$A$10:$A$56))),"未匹配")</f>
        <v>483</v>
      </c>
      <c r="I137">
        <f>IFERROR(INDEX(映射装备数值!F:F,SUMPRODUCT((映射装备数值!$C$10:$C$56=IF($F137="Blue","蓝",IF($F137="Purple","紫",IF($F137="Orange","金",IF($F137="Red","红",$F137)))))*((映射装备数值!$A$10:$A$56=$E137)+(映射装备数值!$B$10:$B$56=$E137))*ROW(映射装备数值!$A$10:$A$56))),"未匹配")</f>
        <v>63</v>
      </c>
      <c r="J137" t="str">
        <f>IFERROR(INDEX(映射装备数值!I:I,SUMPRODUCT((映射装备数值!$C$10:$C$56=IF($F137="Blue","蓝",IF($F137="Purple","紫",IF($F137="Orange","金",IF($F137="Red","红",$F137)))))*((映射装备数值!$A$10:$A$56=$E137)+(映射装备数值!$B$10:$B$56=$E137))*ROW(映射装备数值!$A$10:$A$56))),"未匹配")</f>
        <v>能量回复等级</v>
      </c>
      <c r="K137">
        <f>IFERROR(INDEX(映射装备数值!L:L,SUMPRODUCT((映射装备数值!$C$10:$C$56=IF($F137="Blue","蓝",IF($F137="Purple","紫",IF($F137="Orange","金",IF($F137="Red","红",$F137)))))*((映射装备数值!$A$10:$A$56=$E137)+(映射装备数值!$B$10:$B$56=$E137))*ROW(映射装备数值!$A$10:$A$56))),"未匹配")</f>
        <v>217.5</v>
      </c>
      <c r="L137">
        <f>IFERROR(INDEX(映射装备数值!K:K,SUMPRODUCT((映射装备数值!$C$10:$C$56=IF($F137="Blue","蓝",IF($F137="Purple","紫",IF($F137="Orange","金",IF($F137="Red","红",$F137)))))*((映射装备数值!$A$10:$A$56=$E137)+(映射装备数值!$B$10:$B$56=$E137))*ROW(映射装备数值!$A$10:$A$56))),"未匹配")</f>
        <v>28.5</v>
      </c>
      <c r="M137" s="93">
        <v>1.15</v>
      </c>
      <c r="N137" s="93">
        <v>0.85</v>
      </c>
      <c r="O137" t="str">
        <f t="shared" si="12"/>
        <v>攻击</v>
      </c>
      <c r="P137">
        <f t="shared" si="13"/>
        <v>555</v>
      </c>
      <c r="Q137">
        <f t="shared" si="14"/>
        <v>72</v>
      </c>
      <c r="R137" t="str">
        <f t="shared" si="15"/>
        <v>能量回复等级</v>
      </c>
      <c r="S137">
        <f t="shared" si="16"/>
        <v>185</v>
      </c>
      <c r="T137">
        <f t="shared" si="17"/>
        <v>24</v>
      </c>
      <c r="U137" t="s">
        <v>589</v>
      </c>
      <c r="V137">
        <v>0.04</v>
      </c>
      <c r="W137" s="88">
        <v>80135</v>
      </c>
    </row>
    <row r="138" ht="21" customHeight="1" spans="3:23">
      <c r="C138" s="7">
        <v>80136</v>
      </c>
      <c r="D138" s="7" t="s">
        <v>710</v>
      </c>
      <c r="E138" s="75" t="s">
        <v>425</v>
      </c>
      <c r="F138" s="92" t="s">
        <v>564</v>
      </c>
      <c r="G138" t="str">
        <f>IFERROR(INDEX(映射装备数值!D:D,SUMPRODUCT((映射装备数值!$C$10:$C$56=IF($F138="Blue","蓝",IF($F138="Purple","紫",IF($F138="Orange","金",IF($F138="Red","红",$F138)))))*((映射装备数值!$A$10:$A$56=$E138)+(映射装备数值!$B$10:$B$56=$E138))*ROW(映射装备数值!$A$10:$A$56))),"未匹配")</f>
        <v>暴击等级</v>
      </c>
      <c r="H138">
        <f>IFERROR(INDEX(映射装备数值!G:G,SUMPRODUCT((映射装备数值!$C$10:$C$56=IF($F138="Blue","蓝",IF($F138="Purple","紫",IF($F138="Orange","金",IF($F138="Red","红",$F138)))))*((映射装备数值!$A$10:$A$56=$E138)+(映射装备数值!$B$10:$B$56=$E138))*ROW(映射装备数值!$A$10:$A$56))),"未匹配")</f>
        <v>100.2</v>
      </c>
      <c r="I138">
        <f>IFERROR(INDEX(映射装备数值!F:F,SUMPRODUCT((映射装备数值!$C$10:$C$56=IF($F138="Blue","蓝",IF($F138="Purple","紫",IF($F138="Orange","金",IF($F138="Red","红",$F138)))))*((映射装备数值!$A$10:$A$56=$E138)+(映射装备数值!$B$10:$B$56=$E138))*ROW(映射装备数值!$A$10:$A$56))),"未匹配")</f>
        <v>13.2</v>
      </c>
      <c r="J138" t="str">
        <f>IFERROR(INDEX(映射装备数值!I:I,SUMPRODUCT((映射装备数值!$C$10:$C$56=IF($F138="Blue","蓝",IF($F138="Purple","紫",IF($F138="Orange","金",IF($F138="Red","红",$F138)))))*((映射装备数值!$A$10:$A$56=$E138)+(映射装备数值!$B$10:$B$56=$E138))*ROW(映射装备数值!$A$10:$A$56))),"未匹配")</f>
        <v>暴击伤害等级</v>
      </c>
      <c r="K138">
        <f>IFERROR(INDEX(映射装备数值!L:L,SUMPRODUCT((映射装备数值!$C$10:$C$56=IF($F138="Blue","蓝",IF($F138="Purple","紫",IF($F138="Orange","金",IF($F138="Red","红",$F138)))))*((映射装备数值!$A$10:$A$56=$E138)+(映射装备数值!$B$10:$B$56=$E138))*ROW(映射装备数值!$A$10:$A$56))),"未匹配")</f>
        <v>151.8</v>
      </c>
      <c r="L138">
        <f>IFERROR(INDEX(映射装备数值!K:K,SUMPRODUCT((映射装备数值!$C$10:$C$56=IF($F138="Blue","蓝",IF($F138="Purple","紫",IF($F138="Orange","金",IF($F138="Red","红",$F138)))))*((映射装备数值!$A$10:$A$56=$E138)+(映射装备数值!$B$10:$B$56=$E138))*ROW(映射装备数值!$A$10:$A$56))),"未匹配")</f>
        <v>19.8</v>
      </c>
      <c r="M138" s="93">
        <v>1</v>
      </c>
      <c r="N138" s="93">
        <v>1</v>
      </c>
      <c r="O138" t="str">
        <f t="shared" si="12"/>
        <v>暴击等级</v>
      </c>
      <c r="P138">
        <f t="shared" si="13"/>
        <v>100</v>
      </c>
      <c r="Q138">
        <f t="shared" si="14"/>
        <v>13</v>
      </c>
      <c r="R138" t="str">
        <f t="shared" si="15"/>
        <v>暴击伤害等级</v>
      </c>
      <c r="S138">
        <f t="shared" si="16"/>
        <v>152</v>
      </c>
      <c r="T138">
        <f t="shared" si="17"/>
        <v>20</v>
      </c>
      <c r="U138" t="s">
        <v>573</v>
      </c>
      <c r="V138">
        <v>0.02</v>
      </c>
      <c r="W138" s="7">
        <v>80136</v>
      </c>
    </row>
    <row r="139" ht="21" customHeight="1" spans="3:23">
      <c r="C139" s="7">
        <v>80137</v>
      </c>
      <c r="D139" s="7" t="s">
        <v>711</v>
      </c>
      <c r="E139" s="75" t="s">
        <v>425</v>
      </c>
      <c r="F139" s="92" t="s">
        <v>566</v>
      </c>
      <c r="G139" t="str">
        <f>IFERROR(INDEX(映射装备数值!D:D,SUMPRODUCT((映射装备数值!$C$10:$C$56=IF($F139="Blue","蓝",IF($F139="Purple","紫",IF($F139="Orange","金",IF($F139="Red","红",$F139)))))*((映射装备数值!$A$10:$A$56=$E139)+(映射装备数值!$B$10:$B$56=$E139))*ROW(映射装备数值!$A$10:$A$56))),"未匹配")</f>
        <v>暴击等级</v>
      </c>
      <c r="H139">
        <f>IFERROR(INDEX(映射装备数值!G:G,SUMPRODUCT((映射装备数值!$C$10:$C$56=IF($F139="Blue","蓝",IF($F139="Purple","紫",IF($F139="Orange","金",IF($F139="Red","红",$F139)))))*((映射装备数值!$A$10:$A$56=$E139)+(映射装备数值!$B$10:$B$56=$E139))*ROW(映射装备数值!$A$10:$A$56))),"未匹配")</f>
        <v>167</v>
      </c>
      <c r="I139">
        <f>IFERROR(INDEX(映射装备数值!F:F,SUMPRODUCT((映射装备数值!$C$10:$C$56=IF($F139="Blue","蓝",IF($F139="Purple","紫",IF($F139="Orange","金",IF($F139="Red","红",$F139)))))*((映射装备数值!$A$10:$A$56=$E139)+(映射装备数值!$B$10:$B$56=$E139))*ROW(映射装备数值!$A$10:$A$56))),"未匹配")</f>
        <v>22</v>
      </c>
      <c r="J139" t="str">
        <f>IFERROR(INDEX(映射装备数值!I:I,SUMPRODUCT((映射装备数值!$C$10:$C$56=IF($F139="Blue","蓝",IF($F139="Purple","紫",IF($F139="Orange","金",IF($F139="Red","红",$F139)))))*((映射装备数值!$A$10:$A$56=$E139)+(映射装备数值!$B$10:$B$56=$E139))*ROW(映射装备数值!$A$10:$A$56))),"未匹配")</f>
        <v>暴击伤害等级</v>
      </c>
      <c r="K139">
        <f>IFERROR(INDEX(映射装备数值!L:L,SUMPRODUCT((映射装备数值!$C$10:$C$56=IF($F139="Blue","蓝",IF($F139="Purple","紫",IF($F139="Orange","金",IF($F139="Red","红",$F139)))))*((映射装备数值!$A$10:$A$56=$E139)+(映射装备数值!$B$10:$B$56=$E139))*ROW(映射装备数值!$A$10:$A$56))),"未匹配")</f>
        <v>253</v>
      </c>
      <c r="L139">
        <f>IFERROR(INDEX(映射装备数值!K:K,SUMPRODUCT((映射装备数值!$C$10:$C$56=IF($F139="Blue","蓝",IF($F139="Purple","紫",IF($F139="Orange","金",IF($F139="Red","红",$F139)))))*((映射装备数值!$A$10:$A$56=$E139)+(映射装备数值!$B$10:$B$56=$E139))*ROW(映射装备数值!$A$10:$A$56))),"未匹配")</f>
        <v>33</v>
      </c>
      <c r="M139" s="93">
        <v>1</v>
      </c>
      <c r="N139" s="93">
        <v>1</v>
      </c>
      <c r="O139" t="str">
        <f t="shared" si="12"/>
        <v>暴击等级</v>
      </c>
      <c r="P139">
        <f t="shared" si="13"/>
        <v>167</v>
      </c>
      <c r="Q139">
        <f t="shared" si="14"/>
        <v>22</v>
      </c>
      <c r="R139" t="str">
        <f t="shared" si="15"/>
        <v>暴击伤害等级</v>
      </c>
      <c r="S139">
        <f t="shared" si="16"/>
        <v>253</v>
      </c>
      <c r="T139">
        <f t="shared" si="17"/>
        <v>33</v>
      </c>
      <c r="U139" t="s">
        <v>573</v>
      </c>
      <c r="V139">
        <v>0.03</v>
      </c>
      <c r="W139" s="7">
        <v>80137</v>
      </c>
    </row>
    <row r="140" ht="21" customHeight="1" spans="3:23">
      <c r="C140" s="7">
        <v>80138</v>
      </c>
      <c r="D140" s="7" t="s">
        <v>712</v>
      </c>
      <c r="E140" s="75" t="s">
        <v>425</v>
      </c>
      <c r="F140" s="92" t="s">
        <v>568</v>
      </c>
      <c r="G140" t="str">
        <f>IFERROR(INDEX(映射装备数值!D:D,SUMPRODUCT((映射装备数值!$C$10:$C$56=IF($F140="Blue","蓝",IF($F140="Purple","紫",IF($F140="Orange","金",IF($F140="Red","红",$F140)))))*((映射装备数值!$A$10:$A$56=$E140)+(映射装备数值!$B$10:$B$56=$E140))*ROW(映射装备数值!$A$10:$A$56))),"未匹配")</f>
        <v>暴击等级</v>
      </c>
      <c r="H140">
        <f>IFERROR(INDEX(映射装备数值!G:G,SUMPRODUCT((映射装备数值!$C$10:$C$56=IF($F140="Blue","蓝",IF($F140="Purple","紫",IF($F140="Orange","金",IF($F140="Red","红",$F140)))))*((映射装备数值!$A$10:$A$56=$E140)+(映射装备数值!$B$10:$B$56=$E140))*ROW(映射装备数值!$A$10:$A$56))),"未匹配")</f>
        <v>250.5</v>
      </c>
      <c r="I140">
        <f>IFERROR(INDEX(映射装备数值!F:F,SUMPRODUCT((映射装备数值!$C$10:$C$56=IF($F140="Blue","蓝",IF($F140="Purple","紫",IF($F140="Orange","金",IF($F140="Red","红",$F140)))))*((映射装备数值!$A$10:$A$56=$E140)+(映射装备数值!$B$10:$B$56=$E140))*ROW(映射装备数值!$A$10:$A$56))),"未匹配")</f>
        <v>33</v>
      </c>
      <c r="J140" t="str">
        <f>IFERROR(INDEX(映射装备数值!I:I,SUMPRODUCT((映射装备数值!$C$10:$C$56=IF($F140="Blue","蓝",IF($F140="Purple","紫",IF($F140="Orange","金",IF($F140="Red","红",$F140)))))*((映射装备数值!$A$10:$A$56=$E140)+(映射装备数值!$B$10:$B$56=$E140))*ROW(映射装备数值!$A$10:$A$56))),"未匹配")</f>
        <v>暴击伤害等级</v>
      </c>
      <c r="K140">
        <f>IFERROR(INDEX(映射装备数值!L:L,SUMPRODUCT((映射装备数值!$C$10:$C$56=IF($F140="Blue","蓝",IF($F140="Purple","紫",IF($F140="Orange","金",IF($F140="Red","红",$F140)))))*((映射装备数值!$A$10:$A$56=$E140)+(映射装备数值!$B$10:$B$56=$E140))*ROW(映射装备数值!$A$10:$A$56))),"未匹配")</f>
        <v>379.5</v>
      </c>
      <c r="L140">
        <f>IFERROR(INDEX(映射装备数值!K:K,SUMPRODUCT((映射装备数值!$C$10:$C$56=IF($F140="Blue","蓝",IF($F140="Purple","紫",IF($F140="Orange","金",IF($F140="Red","红",$F140)))))*((映射装备数值!$A$10:$A$56=$E140)+(映射装备数值!$B$10:$B$56=$E140))*ROW(映射装备数值!$A$10:$A$56))),"未匹配")</f>
        <v>49.5</v>
      </c>
      <c r="M140" s="93">
        <v>1</v>
      </c>
      <c r="N140" s="93">
        <v>1</v>
      </c>
      <c r="O140" t="str">
        <f t="shared" si="12"/>
        <v>暴击等级</v>
      </c>
      <c r="P140">
        <f t="shared" si="13"/>
        <v>251</v>
      </c>
      <c r="Q140">
        <f t="shared" si="14"/>
        <v>33</v>
      </c>
      <c r="R140" t="str">
        <f t="shared" si="15"/>
        <v>暴击伤害等级</v>
      </c>
      <c r="S140">
        <f t="shared" si="16"/>
        <v>380</v>
      </c>
      <c r="T140">
        <f t="shared" si="17"/>
        <v>50</v>
      </c>
      <c r="U140" t="s">
        <v>573</v>
      </c>
      <c r="V140">
        <v>0.04</v>
      </c>
      <c r="W140" s="7">
        <v>80138</v>
      </c>
    </row>
    <row r="141" ht="21" customHeight="1" spans="3:23">
      <c r="C141" s="7">
        <v>80139</v>
      </c>
      <c r="D141" s="7" t="s">
        <v>713</v>
      </c>
      <c r="E141" s="75" t="s">
        <v>425</v>
      </c>
      <c r="F141" s="92" t="s">
        <v>564</v>
      </c>
      <c r="G141" t="str">
        <f>IFERROR(INDEX(映射装备数值!D:D,SUMPRODUCT((映射装备数值!$C$10:$C$56=IF($F141="Blue","蓝",IF($F141="Purple","紫",IF($F141="Orange","金",IF($F141="Red","红",$F141)))))*((映射装备数值!$A$10:$A$56=$E141)+(映射装备数值!$B$10:$B$56=$E141))*ROW(映射装备数值!$A$10:$A$56))),"未匹配")</f>
        <v>暴击等级</v>
      </c>
      <c r="H141">
        <f>IFERROR(INDEX(映射装备数值!G:G,SUMPRODUCT((映射装备数值!$C$10:$C$56=IF($F141="Blue","蓝",IF($F141="Purple","紫",IF($F141="Orange","金",IF($F141="Red","红",$F141)))))*((映射装备数值!$A$10:$A$56=$E141)+(映射装备数值!$B$10:$B$56=$E141))*ROW(映射装备数值!$A$10:$A$56))),"未匹配")</f>
        <v>100.2</v>
      </c>
      <c r="I141">
        <f>IFERROR(INDEX(映射装备数值!F:F,SUMPRODUCT((映射装备数值!$C$10:$C$56=IF($F141="Blue","蓝",IF($F141="Purple","紫",IF($F141="Orange","金",IF($F141="Red","红",$F141)))))*((映射装备数值!$A$10:$A$56=$E141)+(映射装备数值!$B$10:$B$56=$E141))*ROW(映射装备数值!$A$10:$A$56))),"未匹配")</f>
        <v>13.2</v>
      </c>
      <c r="J141" t="str">
        <f>IFERROR(INDEX(映射装备数值!I:I,SUMPRODUCT((映射装备数值!$C$10:$C$56=IF($F141="Blue","蓝",IF($F141="Purple","紫",IF($F141="Orange","金",IF($F141="Red","红",$F141)))))*((映射装备数值!$A$10:$A$56=$E141)+(映射装备数值!$B$10:$B$56=$E141))*ROW(映射装备数值!$A$10:$A$56))),"未匹配")</f>
        <v>暴击伤害等级</v>
      </c>
      <c r="K141">
        <f>IFERROR(INDEX(映射装备数值!L:L,SUMPRODUCT((映射装备数值!$C$10:$C$56=IF($F141="Blue","蓝",IF($F141="Purple","紫",IF($F141="Orange","金",IF($F141="Red","红",$F141)))))*((映射装备数值!$A$10:$A$56=$E141)+(映射装备数值!$B$10:$B$56=$E141))*ROW(映射装备数值!$A$10:$A$56))),"未匹配")</f>
        <v>151.8</v>
      </c>
      <c r="L141">
        <f>IFERROR(INDEX(映射装备数值!K:K,SUMPRODUCT((映射装备数值!$C$10:$C$56=IF($F141="Blue","蓝",IF($F141="Purple","紫",IF($F141="Orange","金",IF($F141="Red","红",$F141)))))*((映射装备数值!$A$10:$A$56=$E141)+(映射装备数值!$B$10:$B$56=$E141))*ROW(映射装备数值!$A$10:$A$56))),"未匹配")</f>
        <v>19.8</v>
      </c>
      <c r="M141" s="93">
        <v>0.95</v>
      </c>
      <c r="N141" s="93">
        <v>1.05</v>
      </c>
      <c r="O141" t="str">
        <f t="shared" si="12"/>
        <v>暴击等级</v>
      </c>
      <c r="P141">
        <f t="shared" si="13"/>
        <v>95</v>
      </c>
      <c r="Q141">
        <f t="shared" si="14"/>
        <v>13</v>
      </c>
      <c r="R141" t="str">
        <f t="shared" si="15"/>
        <v>暴击伤害等级</v>
      </c>
      <c r="S141">
        <f t="shared" si="16"/>
        <v>159</v>
      </c>
      <c r="T141">
        <f t="shared" si="17"/>
        <v>21</v>
      </c>
      <c r="U141" t="s">
        <v>140</v>
      </c>
      <c r="V141">
        <v>0.015</v>
      </c>
      <c r="W141" s="7">
        <v>80139</v>
      </c>
    </row>
    <row r="142" ht="21" customHeight="1" spans="3:23">
      <c r="C142" s="7">
        <v>80140</v>
      </c>
      <c r="D142" s="7" t="s">
        <v>714</v>
      </c>
      <c r="E142" s="75" t="s">
        <v>425</v>
      </c>
      <c r="F142" s="92" t="s">
        <v>566</v>
      </c>
      <c r="G142" t="str">
        <f>IFERROR(INDEX(映射装备数值!D:D,SUMPRODUCT((映射装备数值!$C$10:$C$56=IF($F142="Blue","蓝",IF($F142="Purple","紫",IF($F142="Orange","金",IF($F142="Red","红",$F142)))))*((映射装备数值!$A$10:$A$56=$E142)+(映射装备数值!$B$10:$B$56=$E142))*ROW(映射装备数值!$A$10:$A$56))),"未匹配")</f>
        <v>暴击等级</v>
      </c>
      <c r="H142">
        <f>IFERROR(INDEX(映射装备数值!G:G,SUMPRODUCT((映射装备数值!$C$10:$C$56=IF($F142="Blue","蓝",IF($F142="Purple","紫",IF($F142="Orange","金",IF($F142="Red","红",$F142)))))*((映射装备数值!$A$10:$A$56=$E142)+(映射装备数值!$B$10:$B$56=$E142))*ROW(映射装备数值!$A$10:$A$56))),"未匹配")</f>
        <v>167</v>
      </c>
      <c r="I142">
        <f>IFERROR(INDEX(映射装备数值!F:F,SUMPRODUCT((映射装备数值!$C$10:$C$56=IF($F142="Blue","蓝",IF($F142="Purple","紫",IF($F142="Orange","金",IF($F142="Red","红",$F142)))))*((映射装备数值!$A$10:$A$56=$E142)+(映射装备数值!$B$10:$B$56=$E142))*ROW(映射装备数值!$A$10:$A$56))),"未匹配")</f>
        <v>22</v>
      </c>
      <c r="J142" t="str">
        <f>IFERROR(INDEX(映射装备数值!I:I,SUMPRODUCT((映射装备数值!$C$10:$C$56=IF($F142="Blue","蓝",IF($F142="Purple","紫",IF($F142="Orange","金",IF($F142="Red","红",$F142)))))*((映射装备数值!$A$10:$A$56=$E142)+(映射装备数值!$B$10:$B$56=$E142))*ROW(映射装备数值!$A$10:$A$56))),"未匹配")</f>
        <v>暴击伤害等级</v>
      </c>
      <c r="K142">
        <f>IFERROR(INDEX(映射装备数值!L:L,SUMPRODUCT((映射装备数值!$C$10:$C$56=IF($F142="Blue","蓝",IF($F142="Purple","紫",IF($F142="Orange","金",IF($F142="Red","红",$F142)))))*((映射装备数值!$A$10:$A$56=$E142)+(映射装备数值!$B$10:$B$56=$E142))*ROW(映射装备数值!$A$10:$A$56))),"未匹配")</f>
        <v>253</v>
      </c>
      <c r="L142">
        <f>IFERROR(INDEX(映射装备数值!K:K,SUMPRODUCT((映射装备数值!$C$10:$C$56=IF($F142="Blue","蓝",IF($F142="Purple","紫",IF($F142="Orange","金",IF($F142="Red","红",$F142)))))*((映射装备数值!$A$10:$A$56=$E142)+(映射装备数值!$B$10:$B$56=$E142))*ROW(映射装备数值!$A$10:$A$56))),"未匹配")</f>
        <v>33</v>
      </c>
      <c r="M142" s="93">
        <v>0.95</v>
      </c>
      <c r="N142" s="93">
        <v>1.05</v>
      </c>
      <c r="O142" t="str">
        <f t="shared" si="12"/>
        <v>暴击等级</v>
      </c>
      <c r="P142">
        <f t="shared" si="13"/>
        <v>159</v>
      </c>
      <c r="Q142">
        <f t="shared" si="14"/>
        <v>21</v>
      </c>
      <c r="R142" t="str">
        <f t="shared" si="15"/>
        <v>暴击伤害等级</v>
      </c>
      <c r="S142">
        <f t="shared" si="16"/>
        <v>266</v>
      </c>
      <c r="T142">
        <f t="shared" si="17"/>
        <v>35</v>
      </c>
      <c r="U142" t="s">
        <v>140</v>
      </c>
      <c r="V142">
        <v>0.025</v>
      </c>
      <c r="W142" s="7">
        <v>80140</v>
      </c>
    </row>
    <row r="143" ht="21" customHeight="1" spans="3:23">
      <c r="C143" s="7">
        <v>80141</v>
      </c>
      <c r="D143" s="7" t="s">
        <v>715</v>
      </c>
      <c r="E143" s="75" t="s">
        <v>425</v>
      </c>
      <c r="F143" s="92" t="s">
        <v>568</v>
      </c>
      <c r="G143" t="str">
        <f>IFERROR(INDEX(映射装备数值!D:D,SUMPRODUCT((映射装备数值!$C$10:$C$56=IF($F143="Blue","蓝",IF($F143="Purple","紫",IF($F143="Orange","金",IF($F143="Red","红",$F143)))))*((映射装备数值!$A$10:$A$56=$E143)+(映射装备数值!$B$10:$B$56=$E143))*ROW(映射装备数值!$A$10:$A$56))),"未匹配")</f>
        <v>暴击等级</v>
      </c>
      <c r="H143">
        <f>IFERROR(INDEX(映射装备数值!G:G,SUMPRODUCT((映射装备数值!$C$10:$C$56=IF($F143="Blue","蓝",IF($F143="Purple","紫",IF($F143="Orange","金",IF($F143="Red","红",$F143)))))*((映射装备数值!$A$10:$A$56=$E143)+(映射装备数值!$B$10:$B$56=$E143))*ROW(映射装备数值!$A$10:$A$56))),"未匹配")</f>
        <v>250.5</v>
      </c>
      <c r="I143">
        <f>IFERROR(INDEX(映射装备数值!F:F,SUMPRODUCT((映射装备数值!$C$10:$C$56=IF($F143="Blue","蓝",IF($F143="Purple","紫",IF($F143="Orange","金",IF($F143="Red","红",$F143)))))*((映射装备数值!$A$10:$A$56=$E143)+(映射装备数值!$B$10:$B$56=$E143))*ROW(映射装备数值!$A$10:$A$56))),"未匹配")</f>
        <v>33</v>
      </c>
      <c r="J143" t="str">
        <f>IFERROR(INDEX(映射装备数值!I:I,SUMPRODUCT((映射装备数值!$C$10:$C$56=IF($F143="Blue","蓝",IF($F143="Purple","紫",IF($F143="Orange","金",IF($F143="Red","红",$F143)))))*((映射装备数值!$A$10:$A$56=$E143)+(映射装备数值!$B$10:$B$56=$E143))*ROW(映射装备数值!$A$10:$A$56))),"未匹配")</f>
        <v>暴击伤害等级</v>
      </c>
      <c r="K143">
        <f>IFERROR(INDEX(映射装备数值!L:L,SUMPRODUCT((映射装备数值!$C$10:$C$56=IF($F143="Blue","蓝",IF($F143="Purple","紫",IF($F143="Orange","金",IF($F143="Red","红",$F143)))))*((映射装备数值!$A$10:$A$56=$E143)+(映射装备数值!$B$10:$B$56=$E143))*ROW(映射装备数值!$A$10:$A$56))),"未匹配")</f>
        <v>379.5</v>
      </c>
      <c r="L143">
        <f>IFERROR(INDEX(映射装备数值!K:K,SUMPRODUCT((映射装备数值!$C$10:$C$56=IF($F143="Blue","蓝",IF($F143="Purple","紫",IF($F143="Orange","金",IF($F143="Red","红",$F143)))))*((映射装备数值!$A$10:$A$56=$E143)+(映射装备数值!$B$10:$B$56=$E143))*ROW(映射装备数值!$A$10:$A$56))),"未匹配")</f>
        <v>49.5</v>
      </c>
      <c r="M143" s="93">
        <v>0.95</v>
      </c>
      <c r="N143" s="93">
        <v>1.05</v>
      </c>
      <c r="O143" t="str">
        <f t="shared" si="12"/>
        <v>暴击等级</v>
      </c>
      <c r="P143">
        <f t="shared" si="13"/>
        <v>238</v>
      </c>
      <c r="Q143">
        <f t="shared" si="14"/>
        <v>31</v>
      </c>
      <c r="R143" t="str">
        <f t="shared" si="15"/>
        <v>暴击伤害等级</v>
      </c>
      <c r="S143">
        <f t="shared" si="16"/>
        <v>398</v>
      </c>
      <c r="T143">
        <f t="shared" si="17"/>
        <v>52</v>
      </c>
      <c r="U143" t="s">
        <v>140</v>
      </c>
      <c r="V143">
        <v>0.035</v>
      </c>
      <c r="W143" s="7">
        <v>80141</v>
      </c>
    </row>
    <row r="144" ht="21" customHeight="1" spans="3:23">
      <c r="C144" s="7">
        <v>80142</v>
      </c>
      <c r="D144" s="7" t="s">
        <v>716</v>
      </c>
      <c r="E144" s="75" t="s">
        <v>425</v>
      </c>
      <c r="F144" s="92" t="s">
        <v>564</v>
      </c>
      <c r="G144" t="str">
        <f>IFERROR(INDEX(映射装备数值!D:D,SUMPRODUCT((映射装备数值!$C$10:$C$56=IF($F144="Blue","蓝",IF($F144="Purple","紫",IF($F144="Orange","金",IF($F144="Red","红",$F144)))))*((映射装备数值!$A$10:$A$56=$E144)+(映射装备数值!$B$10:$B$56=$E144))*ROW(映射装备数值!$A$10:$A$56))),"未匹配")</f>
        <v>暴击等级</v>
      </c>
      <c r="H144">
        <f>IFERROR(INDEX(映射装备数值!G:G,SUMPRODUCT((映射装备数值!$C$10:$C$56=IF($F144="Blue","蓝",IF($F144="Purple","紫",IF($F144="Orange","金",IF($F144="Red","红",$F144)))))*((映射装备数值!$A$10:$A$56=$E144)+(映射装备数值!$B$10:$B$56=$E144))*ROW(映射装备数值!$A$10:$A$56))),"未匹配")</f>
        <v>100.2</v>
      </c>
      <c r="I144">
        <f>IFERROR(INDEX(映射装备数值!F:F,SUMPRODUCT((映射装备数值!$C$10:$C$56=IF($F144="Blue","蓝",IF($F144="Purple","紫",IF($F144="Orange","金",IF($F144="Red","红",$F144)))))*((映射装备数值!$A$10:$A$56=$E144)+(映射装备数值!$B$10:$B$56=$E144))*ROW(映射装备数值!$A$10:$A$56))),"未匹配")</f>
        <v>13.2</v>
      </c>
      <c r="J144" t="str">
        <f>IFERROR(INDEX(映射装备数值!I:I,SUMPRODUCT((映射装备数值!$C$10:$C$56=IF($F144="Blue","蓝",IF($F144="Purple","紫",IF($F144="Orange","金",IF($F144="Red","红",$F144)))))*((映射装备数值!$A$10:$A$56=$E144)+(映射装备数值!$B$10:$B$56=$E144))*ROW(映射装备数值!$A$10:$A$56))),"未匹配")</f>
        <v>暴击伤害等级</v>
      </c>
      <c r="K144">
        <f>IFERROR(INDEX(映射装备数值!L:L,SUMPRODUCT((映射装备数值!$C$10:$C$56=IF($F144="Blue","蓝",IF($F144="Purple","紫",IF($F144="Orange","金",IF($F144="Red","红",$F144)))))*((映射装备数值!$A$10:$A$56=$E144)+(映射装备数值!$B$10:$B$56=$E144))*ROW(映射装备数值!$A$10:$A$56))),"未匹配")</f>
        <v>151.8</v>
      </c>
      <c r="L144">
        <f>IFERROR(INDEX(映射装备数值!K:K,SUMPRODUCT((映射装备数值!$C$10:$C$56=IF($F144="Blue","蓝",IF($F144="Purple","紫",IF($F144="Orange","金",IF($F144="Red","红",$F144)))))*((映射装备数值!$A$10:$A$56=$E144)+(映射装备数值!$B$10:$B$56=$E144))*ROW(映射装备数值!$A$10:$A$56))),"未匹配")</f>
        <v>19.8</v>
      </c>
      <c r="M144" s="93">
        <v>0.9</v>
      </c>
      <c r="N144" s="93">
        <v>1.1</v>
      </c>
      <c r="O144" t="str">
        <f t="shared" si="12"/>
        <v>暴击等级</v>
      </c>
      <c r="P144">
        <f t="shared" si="13"/>
        <v>90</v>
      </c>
      <c r="Q144">
        <f t="shared" si="14"/>
        <v>12</v>
      </c>
      <c r="R144" t="str">
        <f t="shared" si="15"/>
        <v>暴击伤害等级</v>
      </c>
      <c r="S144">
        <f t="shared" si="16"/>
        <v>167</v>
      </c>
      <c r="T144">
        <f t="shared" si="17"/>
        <v>22</v>
      </c>
      <c r="U144" t="s">
        <v>137</v>
      </c>
      <c r="V144">
        <v>0.02</v>
      </c>
      <c r="W144" s="7">
        <v>80142</v>
      </c>
    </row>
    <row r="145" ht="21" customHeight="1" spans="3:23">
      <c r="C145" s="7">
        <v>80143</v>
      </c>
      <c r="D145" s="7" t="s">
        <v>717</v>
      </c>
      <c r="E145" s="75" t="s">
        <v>425</v>
      </c>
      <c r="F145" s="92" t="s">
        <v>566</v>
      </c>
      <c r="G145" t="str">
        <f>IFERROR(INDEX(映射装备数值!D:D,SUMPRODUCT((映射装备数值!$C$10:$C$56=IF($F145="Blue","蓝",IF($F145="Purple","紫",IF($F145="Orange","金",IF($F145="Red","红",$F145)))))*((映射装备数值!$A$10:$A$56=$E145)+(映射装备数值!$B$10:$B$56=$E145))*ROW(映射装备数值!$A$10:$A$56))),"未匹配")</f>
        <v>暴击等级</v>
      </c>
      <c r="H145">
        <f>IFERROR(INDEX(映射装备数值!G:G,SUMPRODUCT((映射装备数值!$C$10:$C$56=IF($F145="Blue","蓝",IF($F145="Purple","紫",IF($F145="Orange","金",IF($F145="Red","红",$F145)))))*((映射装备数值!$A$10:$A$56=$E145)+(映射装备数值!$B$10:$B$56=$E145))*ROW(映射装备数值!$A$10:$A$56))),"未匹配")</f>
        <v>167</v>
      </c>
      <c r="I145">
        <f>IFERROR(INDEX(映射装备数值!F:F,SUMPRODUCT((映射装备数值!$C$10:$C$56=IF($F145="Blue","蓝",IF($F145="Purple","紫",IF($F145="Orange","金",IF($F145="Red","红",$F145)))))*((映射装备数值!$A$10:$A$56=$E145)+(映射装备数值!$B$10:$B$56=$E145))*ROW(映射装备数值!$A$10:$A$56))),"未匹配")</f>
        <v>22</v>
      </c>
      <c r="J145" t="str">
        <f>IFERROR(INDEX(映射装备数值!I:I,SUMPRODUCT((映射装备数值!$C$10:$C$56=IF($F145="Blue","蓝",IF($F145="Purple","紫",IF($F145="Orange","金",IF($F145="Red","红",$F145)))))*((映射装备数值!$A$10:$A$56=$E145)+(映射装备数值!$B$10:$B$56=$E145))*ROW(映射装备数值!$A$10:$A$56))),"未匹配")</f>
        <v>暴击伤害等级</v>
      </c>
      <c r="K145">
        <f>IFERROR(INDEX(映射装备数值!L:L,SUMPRODUCT((映射装备数值!$C$10:$C$56=IF($F145="Blue","蓝",IF($F145="Purple","紫",IF($F145="Orange","金",IF($F145="Red","红",$F145)))))*((映射装备数值!$A$10:$A$56=$E145)+(映射装备数值!$B$10:$B$56=$E145))*ROW(映射装备数值!$A$10:$A$56))),"未匹配")</f>
        <v>253</v>
      </c>
      <c r="L145">
        <f>IFERROR(INDEX(映射装备数值!K:K,SUMPRODUCT((映射装备数值!$C$10:$C$56=IF($F145="Blue","蓝",IF($F145="Purple","紫",IF($F145="Orange","金",IF($F145="Red","红",$F145)))))*((映射装备数值!$A$10:$A$56=$E145)+(映射装备数值!$B$10:$B$56=$E145))*ROW(映射装备数值!$A$10:$A$56))),"未匹配")</f>
        <v>33</v>
      </c>
      <c r="M145" s="93">
        <v>0.9</v>
      </c>
      <c r="N145" s="93">
        <v>1.1</v>
      </c>
      <c r="O145" t="str">
        <f t="shared" si="12"/>
        <v>暴击等级</v>
      </c>
      <c r="P145">
        <f t="shared" si="13"/>
        <v>150</v>
      </c>
      <c r="Q145">
        <f t="shared" si="14"/>
        <v>20</v>
      </c>
      <c r="R145" t="str">
        <f t="shared" si="15"/>
        <v>暴击伤害等级</v>
      </c>
      <c r="S145">
        <f t="shared" si="16"/>
        <v>278</v>
      </c>
      <c r="T145">
        <f t="shared" si="17"/>
        <v>36</v>
      </c>
      <c r="U145" t="s">
        <v>137</v>
      </c>
      <c r="V145">
        <v>0.03</v>
      </c>
      <c r="W145" s="7">
        <v>80143</v>
      </c>
    </row>
    <row r="146" ht="21" customHeight="1" spans="3:23">
      <c r="C146" s="7">
        <v>80144</v>
      </c>
      <c r="D146" s="7" t="s">
        <v>718</v>
      </c>
      <c r="E146" s="75" t="s">
        <v>425</v>
      </c>
      <c r="F146" s="92" t="s">
        <v>568</v>
      </c>
      <c r="G146" t="str">
        <f>IFERROR(INDEX(映射装备数值!D:D,SUMPRODUCT((映射装备数值!$C$10:$C$56=IF($F146="Blue","蓝",IF($F146="Purple","紫",IF($F146="Orange","金",IF($F146="Red","红",$F146)))))*((映射装备数值!$A$10:$A$56=$E146)+(映射装备数值!$B$10:$B$56=$E146))*ROW(映射装备数值!$A$10:$A$56))),"未匹配")</f>
        <v>暴击等级</v>
      </c>
      <c r="H146">
        <f>IFERROR(INDEX(映射装备数值!G:G,SUMPRODUCT((映射装备数值!$C$10:$C$56=IF($F146="Blue","蓝",IF($F146="Purple","紫",IF($F146="Orange","金",IF($F146="Red","红",$F146)))))*((映射装备数值!$A$10:$A$56=$E146)+(映射装备数值!$B$10:$B$56=$E146))*ROW(映射装备数值!$A$10:$A$56))),"未匹配")</f>
        <v>250.5</v>
      </c>
      <c r="I146">
        <f>IFERROR(INDEX(映射装备数值!F:F,SUMPRODUCT((映射装备数值!$C$10:$C$56=IF($F146="Blue","蓝",IF($F146="Purple","紫",IF($F146="Orange","金",IF($F146="Red","红",$F146)))))*((映射装备数值!$A$10:$A$56=$E146)+(映射装备数值!$B$10:$B$56=$E146))*ROW(映射装备数值!$A$10:$A$56))),"未匹配")</f>
        <v>33</v>
      </c>
      <c r="J146" t="str">
        <f>IFERROR(INDEX(映射装备数值!I:I,SUMPRODUCT((映射装备数值!$C$10:$C$56=IF($F146="Blue","蓝",IF($F146="Purple","紫",IF($F146="Orange","金",IF($F146="Red","红",$F146)))))*((映射装备数值!$A$10:$A$56=$E146)+(映射装备数值!$B$10:$B$56=$E146))*ROW(映射装备数值!$A$10:$A$56))),"未匹配")</f>
        <v>暴击伤害等级</v>
      </c>
      <c r="K146">
        <f>IFERROR(INDEX(映射装备数值!L:L,SUMPRODUCT((映射装备数值!$C$10:$C$56=IF($F146="Blue","蓝",IF($F146="Purple","紫",IF($F146="Orange","金",IF($F146="Red","红",$F146)))))*((映射装备数值!$A$10:$A$56=$E146)+(映射装备数值!$B$10:$B$56=$E146))*ROW(映射装备数值!$A$10:$A$56))),"未匹配")</f>
        <v>379.5</v>
      </c>
      <c r="L146">
        <f>IFERROR(INDEX(映射装备数值!K:K,SUMPRODUCT((映射装备数值!$C$10:$C$56=IF($F146="Blue","蓝",IF($F146="Purple","紫",IF($F146="Orange","金",IF($F146="Red","红",$F146)))))*((映射装备数值!$A$10:$A$56=$E146)+(映射装备数值!$B$10:$B$56=$E146))*ROW(映射装备数值!$A$10:$A$56))),"未匹配")</f>
        <v>49.5</v>
      </c>
      <c r="M146" s="93">
        <v>0.9</v>
      </c>
      <c r="N146" s="93">
        <v>1.1</v>
      </c>
      <c r="O146" t="str">
        <f t="shared" si="12"/>
        <v>暴击等级</v>
      </c>
      <c r="P146">
        <f t="shared" si="13"/>
        <v>225</v>
      </c>
      <c r="Q146">
        <f t="shared" si="14"/>
        <v>30</v>
      </c>
      <c r="R146" t="str">
        <f t="shared" si="15"/>
        <v>暴击伤害等级</v>
      </c>
      <c r="S146">
        <f t="shared" si="16"/>
        <v>417</v>
      </c>
      <c r="T146">
        <f t="shared" si="17"/>
        <v>54</v>
      </c>
      <c r="U146" t="s">
        <v>137</v>
      </c>
      <c r="V146">
        <v>0.04</v>
      </c>
      <c r="W146" s="7">
        <v>80144</v>
      </c>
    </row>
    <row r="147" ht="21" customHeight="1" spans="3:23">
      <c r="C147" s="7">
        <v>80145</v>
      </c>
      <c r="D147" s="7" t="s">
        <v>719</v>
      </c>
      <c r="E147" s="75" t="s">
        <v>425</v>
      </c>
      <c r="F147" s="92" t="s">
        <v>564</v>
      </c>
      <c r="G147" t="str">
        <f>IFERROR(INDEX(映射装备数值!D:D,SUMPRODUCT((映射装备数值!$C$10:$C$56=IF($F147="Blue","蓝",IF($F147="Purple","紫",IF($F147="Orange","金",IF($F147="Red","红",$F147)))))*((映射装备数值!$A$10:$A$56=$E147)+(映射装备数值!$B$10:$B$56=$E147))*ROW(映射装备数值!$A$10:$A$56))),"未匹配")</f>
        <v>暴击等级</v>
      </c>
      <c r="H147">
        <f>IFERROR(INDEX(映射装备数值!G:G,SUMPRODUCT((映射装备数值!$C$10:$C$56=IF($F147="Blue","蓝",IF($F147="Purple","紫",IF($F147="Orange","金",IF($F147="Red","红",$F147)))))*((映射装备数值!$A$10:$A$56=$E147)+(映射装备数值!$B$10:$B$56=$E147))*ROW(映射装备数值!$A$10:$A$56))),"未匹配")</f>
        <v>100.2</v>
      </c>
      <c r="I147">
        <f>IFERROR(INDEX(映射装备数值!F:F,SUMPRODUCT((映射装备数值!$C$10:$C$56=IF($F147="Blue","蓝",IF($F147="Purple","紫",IF($F147="Orange","金",IF($F147="Red","红",$F147)))))*((映射装备数值!$A$10:$A$56=$E147)+(映射装备数值!$B$10:$B$56=$E147))*ROW(映射装备数值!$A$10:$A$56))),"未匹配")</f>
        <v>13.2</v>
      </c>
      <c r="J147" t="str">
        <f>IFERROR(INDEX(映射装备数值!I:I,SUMPRODUCT((映射装备数值!$C$10:$C$56=IF($F147="Blue","蓝",IF($F147="Purple","紫",IF($F147="Orange","金",IF($F147="Red","红",$F147)))))*((映射装备数值!$A$10:$A$56=$E147)+(映射装备数值!$B$10:$B$56=$E147))*ROW(映射装备数值!$A$10:$A$56))),"未匹配")</f>
        <v>暴击伤害等级</v>
      </c>
      <c r="K147">
        <f>IFERROR(INDEX(映射装备数值!L:L,SUMPRODUCT((映射装备数值!$C$10:$C$56=IF($F147="Blue","蓝",IF($F147="Purple","紫",IF($F147="Orange","金",IF($F147="Red","红",$F147)))))*((映射装备数值!$A$10:$A$56=$E147)+(映射装备数值!$B$10:$B$56=$E147))*ROW(映射装备数值!$A$10:$A$56))),"未匹配")</f>
        <v>151.8</v>
      </c>
      <c r="L147">
        <f>IFERROR(INDEX(映射装备数值!K:K,SUMPRODUCT((映射装备数值!$C$10:$C$56=IF($F147="Blue","蓝",IF($F147="Purple","紫",IF($F147="Orange","金",IF($F147="Red","红",$F147)))))*((映射装备数值!$A$10:$A$56=$E147)+(映射装备数值!$B$10:$B$56=$E147))*ROW(映射装备数值!$A$10:$A$56))),"未匹配")</f>
        <v>19.8</v>
      </c>
      <c r="M147" s="93">
        <v>1.05</v>
      </c>
      <c r="N147" s="93">
        <v>0.95</v>
      </c>
      <c r="O147" t="str">
        <f t="shared" si="12"/>
        <v>暴击等级</v>
      </c>
      <c r="P147">
        <f t="shared" si="13"/>
        <v>105</v>
      </c>
      <c r="Q147">
        <f t="shared" si="14"/>
        <v>14</v>
      </c>
      <c r="R147" t="str">
        <f t="shared" si="15"/>
        <v>暴击伤害等级</v>
      </c>
      <c r="S147">
        <f t="shared" si="16"/>
        <v>144</v>
      </c>
      <c r="T147">
        <f t="shared" si="17"/>
        <v>19</v>
      </c>
      <c r="U147" t="s">
        <v>132</v>
      </c>
      <c r="V147">
        <v>0.02</v>
      </c>
      <c r="W147" s="7">
        <v>80145</v>
      </c>
    </row>
    <row r="148" ht="21" customHeight="1" spans="3:23">
      <c r="C148" s="7">
        <v>80146</v>
      </c>
      <c r="D148" s="7" t="s">
        <v>720</v>
      </c>
      <c r="E148" s="75" t="s">
        <v>425</v>
      </c>
      <c r="F148" s="92" t="s">
        <v>566</v>
      </c>
      <c r="G148" t="str">
        <f>IFERROR(INDEX(映射装备数值!D:D,SUMPRODUCT((映射装备数值!$C$10:$C$56=IF($F148="Blue","蓝",IF($F148="Purple","紫",IF($F148="Orange","金",IF($F148="Red","红",$F148)))))*((映射装备数值!$A$10:$A$56=$E148)+(映射装备数值!$B$10:$B$56=$E148))*ROW(映射装备数值!$A$10:$A$56))),"未匹配")</f>
        <v>暴击等级</v>
      </c>
      <c r="H148">
        <f>IFERROR(INDEX(映射装备数值!G:G,SUMPRODUCT((映射装备数值!$C$10:$C$56=IF($F148="Blue","蓝",IF($F148="Purple","紫",IF($F148="Orange","金",IF($F148="Red","红",$F148)))))*((映射装备数值!$A$10:$A$56=$E148)+(映射装备数值!$B$10:$B$56=$E148))*ROW(映射装备数值!$A$10:$A$56))),"未匹配")</f>
        <v>167</v>
      </c>
      <c r="I148">
        <f>IFERROR(INDEX(映射装备数值!F:F,SUMPRODUCT((映射装备数值!$C$10:$C$56=IF($F148="Blue","蓝",IF($F148="Purple","紫",IF($F148="Orange","金",IF($F148="Red","红",$F148)))))*((映射装备数值!$A$10:$A$56=$E148)+(映射装备数值!$B$10:$B$56=$E148))*ROW(映射装备数值!$A$10:$A$56))),"未匹配")</f>
        <v>22</v>
      </c>
      <c r="J148" t="str">
        <f>IFERROR(INDEX(映射装备数值!I:I,SUMPRODUCT((映射装备数值!$C$10:$C$56=IF($F148="Blue","蓝",IF($F148="Purple","紫",IF($F148="Orange","金",IF($F148="Red","红",$F148)))))*((映射装备数值!$A$10:$A$56=$E148)+(映射装备数值!$B$10:$B$56=$E148))*ROW(映射装备数值!$A$10:$A$56))),"未匹配")</f>
        <v>暴击伤害等级</v>
      </c>
      <c r="K148">
        <f>IFERROR(INDEX(映射装备数值!L:L,SUMPRODUCT((映射装备数值!$C$10:$C$56=IF($F148="Blue","蓝",IF($F148="Purple","紫",IF($F148="Orange","金",IF($F148="Red","红",$F148)))))*((映射装备数值!$A$10:$A$56=$E148)+(映射装备数值!$B$10:$B$56=$E148))*ROW(映射装备数值!$A$10:$A$56))),"未匹配")</f>
        <v>253</v>
      </c>
      <c r="L148">
        <f>IFERROR(INDEX(映射装备数值!K:K,SUMPRODUCT((映射装备数值!$C$10:$C$56=IF($F148="Blue","蓝",IF($F148="Purple","紫",IF($F148="Orange","金",IF($F148="Red","红",$F148)))))*((映射装备数值!$A$10:$A$56=$E148)+(映射装备数值!$B$10:$B$56=$E148))*ROW(映射装备数值!$A$10:$A$56))),"未匹配")</f>
        <v>33</v>
      </c>
      <c r="M148" s="93">
        <v>1.05</v>
      </c>
      <c r="N148" s="93">
        <v>0.95</v>
      </c>
      <c r="O148" t="str">
        <f t="shared" si="12"/>
        <v>暴击等级</v>
      </c>
      <c r="P148">
        <f t="shared" si="13"/>
        <v>175</v>
      </c>
      <c r="Q148">
        <f t="shared" si="14"/>
        <v>23</v>
      </c>
      <c r="R148" t="str">
        <f t="shared" si="15"/>
        <v>暴击伤害等级</v>
      </c>
      <c r="S148">
        <f t="shared" si="16"/>
        <v>240</v>
      </c>
      <c r="T148">
        <f t="shared" si="17"/>
        <v>31</v>
      </c>
      <c r="U148" t="s">
        <v>132</v>
      </c>
      <c r="V148">
        <v>0.03</v>
      </c>
      <c r="W148" s="7">
        <v>80146</v>
      </c>
    </row>
    <row r="149" ht="21" customHeight="1" spans="3:23">
      <c r="C149" s="7">
        <v>80147</v>
      </c>
      <c r="D149" s="7" t="s">
        <v>721</v>
      </c>
      <c r="E149" s="75" t="s">
        <v>425</v>
      </c>
      <c r="F149" s="92" t="s">
        <v>568</v>
      </c>
      <c r="G149" t="str">
        <f>IFERROR(INDEX(映射装备数值!D:D,SUMPRODUCT((映射装备数值!$C$10:$C$56=IF($F149="Blue","蓝",IF($F149="Purple","紫",IF($F149="Orange","金",IF($F149="Red","红",$F149)))))*((映射装备数值!$A$10:$A$56=$E149)+(映射装备数值!$B$10:$B$56=$E149))*ROW(映射装备数值!$A$10:$A$56))),"未匹配")</f>
        <v>暴击等级</v>
      </c>
      <c r="H149">
        <f>IFERROR(INDEX(映射装备数值!G:G,SUMPRODUCT((映射装备数值!$C$10:$C$56=IF($F149="Blue","蓝",IF($F149="Purple","紫",IF($F149="Orange","金",IF($F149="Red","红",$F149)))))*((映射装备数值!$A$10:$A$56=$E149)+(映射装备数值!$B$10:$B$56=$E149))*ROW(映射装备数值!$A$10:$A$56))),"未匹配")</f>
        <v>250.5</v>
      </c>
      <c r="I149">
        <f>IFERROR(INDEX(映射装备数值!F:F,SUMPRODUCT((映射装备数值!$C$10:$C$56=IF($F149="Blue","蓝",IF($F149="Purple","紫",IF($F149="Orange","金",IF($F149="Red","红",$F149)))))*((映射装备数值!$A$10:$A$56=$E149)+(映射装备数值!$B$10:$B$56=$E149))*ROW(映射装备数值!$A$10:$A$56))),"未匹配")</f>
        <v>33</v>
      </c>
      <c r="J149" t="str">
        <f>IFERROR(INDEX(映射装备数值!I:I,SUMPRODUCT((映射装备数值!$C$10:$C$56=IF($F149="Blue","蓝",IF($F149="Purple","紫",IF($F149="Orange","金",IF($F149="Red","红",$F149)))))*((映射装备数值!$A$10:$A$56=$E149)+(映射装备数值!$B$10:$B$56=$E149))*ROW(映射装备数值!$A$10:$A$56))),"未匹配")</f>
        <v>暴击伤害等级</v>
      </c>
      <c r="K149">
        <f>IFERROR(INDEX(映射装备数值!L:L,SUMPRODUCT((映射装备数值!$C$10:$C$56=IF($F149="Blue","蓝",IF($F149="Purple","紫",IF($F149="Orange","金",IF($F149="Red","红",$F149)))))*((映射装备数值!$A$10:$A$56=$E149)+(映射装备数值!$B$10:$B$56=$E149))*ROW(映射装备数值!$A$10:$A$56))),"未匹配")</f>
        <v>379.5</v>
      </c>
      <c r="L149">
        <f>IFERROR(INDEX(映射装备数值!K:K,SUMPRODUCT((映射装备数值!$C$10:$C$56=IF($F149="Blue","蓝",IF($F149="Purple","紫",IF($F149="Orange","金",IF($F149="Red","红",$F149)))))*((映射装备数值!$A$10:$A$56=$E149)+(映射装备数值!$B$10:$B$56=$E149))*ROW(映射装备数值!$A$10:$A$56))),"未匹配")</f>
        <v>49.5</v>
      </c>
      <c r="M149" s="93">
        <v>1.05</v>
      </c>
      <c r="N149" s="93">
        <v>0.95</v>
      </c>
      <c r="O149" t="str">
        <f t="shared" si="12"/>
        <v>暴击等级</v>
      </c>
      <c r="P149">
        <f t="shared" si="13"/>
        <v>263</v>
      </c>
      <c r="Q149">
        <f t="shared" si="14"/>
        <v>35</v>
      </c>
      <c r="R149" t="str">
        <f t="shared" si="15"/>
        <v>暴击伤害等级</v>
      </c>
      <c r="S149">
        <f t="shared" si="16"/>
        <v>361</v>
      </c>
      <c r="T149">
        <f t="shared" si="17"/>
        <v>47</v>
      </c>
      <c r="U149" t="s">
        <v>132</v>
      </c>
      <c r="V149">
        <v>0.04</v>
      </c>
      <c r="W149" s="7">
        <v>80147</v>
      </c>
    </row>
    <row r="150" ht="21" customHeight="1" spans="3:23">
      <c r="C150" s="7">
        <v>80148</v>
      </c>
      <c r="D150" s="7" t="s">
        <v>722</v>
      </c>
      <c r="E150" s="75" t="s">
        <v>425</v>
      </c>
      <c r="F150" s="92" t="s">
        <v>564</v>
      </c>
      <c r="G150" t="str">
        <f>IFERROR(INDEX(映射装备数值!D:D,SUMPRODUCT((映射装备数值!$C$10:$C$56=IF($F150="Blue","蓝",IF($F150="Purple","紫",IF($F150="Orange","金",IF($F150="Red","红",$F150)))))*((映射装备数值!$A$10:$A$56=$E150)+(映射装备数值!$B$10:$B$56=$E150))*ROW(映射装备数值!$A$10:$A$56))),"未匹配")</f>
        <v>暴击等级</v>
      </c>
      <c r="H150">
        <f>IFERROR(INDEX(映射装备数值!G:G,SUMPRODUCT((映射装备数值!$C$10:$C$56=IF($F150="Blue","蓝",IF($F150="Purple","紫",IF($F150="Orange","金",IF($F150="Red","红",$F150)))))*((映射装备数值!$A$10:$A$56=$E150)+(映射装备数值!$B$10:$B$56=$E150))*ROW(映射装备数值!$A$10:$A$56))),"未匹配")</f>
        <v>100.2</v>
      </c>
      <c r="I150">
        <f>IFERROR(INDEX(映射装备数值!F:F,SUMPRODUCT((映射装备数值!$C$10:$C$56=IF($F150="Blue","蓝",IF($F150="Purple","紫",IF($F150="Orange","金",IF($F150="Red","红",$F150)))))*((映射装备数值!$A$10:$A$56=$E150)+(映射装备数值!$B$10:$B$56=$E150))*ROW(映射装备数值!$A$10:$A$56))),"未匹配")</f>
        <v>13.2</v>
      </c>
      <c r="J150" t="str">
        <f>IFERROR(INDEX(映射装备数值!I:I,SUMPRODUCT((映射装备数值!$C$10:$C$56=IF($F150="Blue","蓝",IF($F150="Purple","紫",IF($F150="Orange","金",IF($F150="Red","红",$F150)))))*((映射装备数值!$A$10:$A$56=$E150)+(映射装备数值!$B$10:$B$56=$E150))*ROW(映射装备数值!$A$10:$A$56))),"未匹配")</f>
        <v>暴击伤害等级</v>
      </c>
      <c r="K150">
        <f>IFERROR(INDEX(映射装备数值!L:L,SUMPRODUCT((映射装备数值!$C$10:$C$56=IF($F150="Blue","蓝",IF($F150="Purple","紫",IF($F150="Orange","金",IF($F150="Red","红",$F150)))))*((映射装备数值!$A$10:$A$56=$E150)+(映射装备数值!$B$10:$B$56=$E150))*ROW(映射装备数值!$A$10:$A$56))),"未匹配")</f>
        <v>151.8</v>
      </c>
      <c r="L150">
        <f>IFERROR(INDEX(映射装备数值!K:K,SUMPRODUCT((映射装备数值!$C$10:$C$56=IF($F150="Blue","蓝",IF($F150="Purple","紫",IF($F150="Orange","金",IF($F150="Red","红",$F150)))))*((映射装备数值!$A$10:$A$56=$E150)+(映射装备数值!$B$10:$B$56=$E150))*ROW(映射装备数值!$A$10:$A$56))),"未匹配")</f>
        <v>19.8</v>
      </c>
      <c r="M150" s="93">
        <v>0.95</v>
      </c>
      <c r="N150" s="93">
        <v>1.05</v>
      </c>
      <c r="O150" t="str">
        <f t="shared" si="12"/>
        <v>暴击等级</v>
      </c>
      <c r="P150">
        <f t="shared" si="13"/>
        <v>95</v>
      </c>
      <c r="Q150">
        <f t="shared" si="14"/>
        <v>13</v>
      </c>
      <c r="R150" t="str">
        <f t="shared" si="15"/>
        <v>暴击伤害等级</v>
      </c>
      <c r="S150">
        <f t="shared" si="16"/>
        <v>159</v>
      </c>
      <c r="T150">
        <f t="shared" si="17"/>
        <v>21</v>
      </c>
      <c r="U150" t="s">
        <v>79</v>
      </c>
      <c r="V150">
        <v>0.01</v>
      </c>
      <c r="W150" s="7">
        <v>80148</v>
      </c>
    </row>
    <row r="151" ht="21" customHeight="1" spans="3:23">
      <c r="C151" s="7">
        <v>80149</v>
      </c>
      <c r="D151" s="7" t="s">
        <v>723</v>
      </c>
      <c r="E151" s="75" t="s">
        <v>425</v>
      </c>
      <c r="F151" s="92" t="s">
        <v>566</v>
      </c>
      <c r="G151" t="str">
        <f>IFERROR(INDEX(映射装备数值!D:D,SUMPRODUCT((映射装备数值!$C$10:$C$56=IF($F151="Blue","蓝",IF($F151="Purple","紫",IF($F151="Orange","金",IF($F151="Red","红",$F151)))))*((映射装备数值!$A$10:$A$56=$E151)+(映射装备数值!$B$10:$B$56=$E151))*ROW(映射装备数值!$A$10:$A$56))),"未匹配")</f>
        <v>暴击等级</v>
      </c>
      <c r="H151">
        <f>IFERROR(INDEX(映射装备数值!G:G,SUMPRODUCT((映射装备数值!$C$10:$C$56=IF($F151="Blue","蓝",IF($F151="Purple","紫",IF($F151="Orange","金",IF($F151="Red","红",$F151)))))*((映射装备数值!$A$10:$A$56=$E151)+(映射装备数值!$B$10:$B$56=$E151))*ROW(映射装备数值!$A$10:$A$56))),"未匹配")</f>
        <v>167</v>
      </c>
      <c r="I151">
        <f>IFERROR(INDEX(映射装备数值!F:F,SUMPRODUCT((映射装备数值!$C$10:$C$56=IF($F151="Blue","蓝",IF($F151="Purple","紫",IF($F151="Orange","金",IF($F151="Red","红",$F151)))))*((映射装备数值!$A$10:$A$56=$E151)+(映射装备数值!$B$10:$B$56=$E151))*ROW(映射装备数值!$A$10:$A$56))),"未匹配")</f>
        <v>22</v>
      </c>
      <c r="J151" t="str">
        <f>IFERROR(INDEX(映射装备数值!I:I,SUMPRODUCT((映射装备数值!$C$10:$C$56=IF($F151="Blue","蓝",IF($F151="Purple","紫",IF($F151="Orange","金",IF($F151="Red","红",$F151)))))*((映射装备数值!$A$10:$A$56=$E151)+(映射装备数值!$B$10:$B$56=$E151))*ROW(映射装备数值!$A$10:$A$56))),"未匹配")</f>
        <v>暴击伤害等级</v>
      </c>
      <c r="K151">
        <f>IFERROR(INDEX(映射装备数值!L:L,SUMPRODUCT((映射装备数值!$C$10:$C$56=IF($F151="Blue","蓝",IF($F151="Purple","紫",IF($F151="Orange","金",IF($F151="Red","红",$F151)))))*((映射装备数值!$A$10:$A$56=$E151)+(映射装备数值!$B$10:$B$56=$E151))*ROW(映射装备数值!$A$10:$A$56))),"未匹配")</f>
        <v>253</v>
      </c>
      <c r="L151">
        <f>IFERROR(INDEX(映射装备数值!K:K,SUMPRODUCT((映射装备数值!$C$10:$C$56=IF($F151="Blue","蓝",IF($F151="Purple","紫",IF($F151="Orange","金",IF($F151="Red","红",$F151)))))*((映射装备数值!$A$10:$A$56=$E151)+(映射装备数值!$B$10:$B$56=$E151))*ROW(映射装备数值!$A$10:$A$56))),"未匹配")</f>
        <v>33</v>
      </c>
      <c r="M151" s="93">
        <v>0.95</v>
      </c>
      <c r="N151" s="93">
        <v>1.05</v>
      </c>
      <c r="O151" t="str">
        <f t="shared" si="12"/>
        <v>暴击等级</v>
      </c>
      <c r="P151">
        <f t="shared" si="13"/>
        <v>159</v>
      </c>
      <c r="Q151">
        <f t="shared" si="14"/>
        <v>21</v>
      </c>
      <c r="R151" t="str">
        <f t="shared" si="15"/>
        <v>暴击伤害等级</v>
      </c>
      <c r="S151">
        <f t="shared" si="16"/>
        <v>266</v>
      </c>
      <c r="T151">
        <f t="shared" si="17"/>
        <v>35</v>
      </c>
      <c r="U151" t="s">
        <v>79</v>
      </c>
      <c r="V151">
        <v>0.015</v>
      </c>
      <c r="W151" s="7">
        <v>80149</v>
      </c>
    </row>
    <row r="152" ht="21" customHeight="1" spans="3:23">
      <c r="C152" s="7">
        <v>80150</v>
      </c>
      <c r="D152" s="7" t="s">
        <v>724</v>
      </c>
      <c r="E152" s="75" t="s">
        <v>425</v>
      </c>
      <c r="F152" s="92" t="s">
        <v>568</v>
      </c>
      <c r="G152" t="str">
        <f>IFERROR(INDEX(映射装备数值!D:D,SUMPRODUCT((映射装备数值!$C$10:$C$56=IF($F152="Blue","蓝",IF($F152="Purple","紫",IF($F152="Orange","金",IF($F152="Red","红",$F152)))))*((映射装备数值!$A$10:$A$56=$E152)+(映射装备数值!$B$10:$B$56=$E152))*ROW(映射装备数值!$A$10:$A$56))),"未匹配")</f>
        <v>暴击等级</v>
      </c>
      <c r="H152">
        <f>IFERROR(INDEX(映射装备数值!G:G,SUMPRODUCT((映射装备数值!$C$10:$C$56=IF($F152="Blue","蓝",IF($F152="Purple","紫",IF($F152="Orange","金",IF($F152="Red","红",$F152)))))*((映射装备数值!$A$10:$A$56=$E152)+(映射装备数值!$B$10:$B$56=$E152))*ROW(映射装备数值!$A$10:$A$56))),"未匹配")</f>
        <v>250.5</v>
      </c>
      <c r="I152">
        <f>IFERROR(INDEX(映射装备数值!F:F,SUMPRODUCT((映射装备数值!$C$10:$C$56=IF($F152="Blue","蓝",IF($F152="Purple","紫",IF($F152="Orange","金",IF($F152="Red","红",$F152)))))*((映射装备数值!$A$10:$A$56=$E152)+(映射装备数值!$B$10:$B$56=$E152))*ROW(映射装备数值!$A$10:$A$56))),"未匹配")</f>
        <v>33</v>
      </c>
      <c r="J152" t="str">
        <f>IFERROR(INDEX(映射装备数值!I:I,SUMPRODUCT((映射装备数值!$C$10:$C$56=IF($F152="Blue","蓝",IF($F152="Purple","紫",IF($F152="Orange","金",IF($F152="Red","红",$F152)))))*((映射装备数值!$A$10:$A$56=$E152)+(映射装备数值!$B$10:$B$56=$E152))*ROW(映射装备数值!$A$10:$A$56))),"未匹配")</f>
        <v>暴击伤害等级</v>
      </c>
      <c r="K152">
        <f>IFERROR(INDEX(映射装备数值!L:L,SUMPRODUCT((映射装备数值!$C$10:$C$56=IF($F152="Blue","蓝",IF($F152="Purple","紫",IF($F152="Orange","金",IF($F152="Red","红",$F152)))))*((映射装备数值!$A$10:$A$56=$E152)+(映射装备数值!$B$10:$B$56=$E152))*ROW(映射装备数值!$A$10:$A$56))),"未匹配")</f>
        <v>379.5</v>
      </c>
      <c r="L152">
        <f>IFERROR(INDEX(映射装备数值!K:K,SUMPRODUCT((映射装备数值!$C$10:$C$56=IF($F152="Blue","蓝",IF($F152="Purple","紫",IF($F152="Orange","金",IF($F152="Red","红",$F152)))))*((映射装备数值!$A$10:$A$56=$E152)+(映射装备数值!$B$10:$B$56=$E152))*ROW(映射装备数值!$A$10:$A$56))),"未匹配")</f>
        <v>49.5</v>
      </c>
      <c r="M152" s="93">
        <v>0.95</v>
      </c>
      <c r="N152" s="93">
        <v>1.05</v>
      </c>
      <c r="O152" t="str">
        <f t="shared" si="12"/>
        <v>暴击等级</v>
      </c>
      <c r="P152">
        <f t="shared" si="13"/>
        <v>238</v>
      </c>
      <c r="Q152">
        <f t="shared" si="14"/>
        <v>31</v>
      </c>
      <c r="R152" t="str">
        <f t="shared" si="15"/>
        <v>暴击伤害等级</v>
      </c>
      <c r="S152">
        <f t="shared" si="16"/>
        <v>398</v>
      </c>
      <c r="T152">
        <f t="shared" si="17"/>
        <v>52</v>
      </c>
      <c r="U152" t="s">
        <v>79</v>
      </c>
      <c r="V152">
        <v>0.02</v>
      </c>
      <c r="W152" s="7">
        <v>80150</v>
      </c>
    </row>
    <row r="153" ht="21" customHeight="1" spans="3:23">
      <c r="C153" s="7">
        <v>80151</v>
      </c>
      <c r="D153" s="7" t="s">
        <v>725</v>
      </c>
      <c r="E153" s="75" t="s">
        <v>425</v>
      </c>
      <c r="F153" s="92" t="s">
        <v>564</v>
      </c>
      <c r="G153" t="str">
        <f>IFERROR(INDEX(映射装备数值!D:D,SUMPRODUCT((映射装备数值!$C$10:$C$56=IF($F153="Blue","蓝",IF($F153="Purple","紫",IF($F153="Orange","金",IF($F153="Red","红",$F153)))))*((映射装备数值!$A$10:$A$56=$E153)+(映射装备数值!$B$10:$B$56=$E153))*ROW(映射装备数值!$A$10:$A$56))),"未匹配")</f>
        <v>暴击等级</v>
      </c>
      <c r="H153">
        <f>IFERROR(INDEX(映射装备数值!G:G,SUMPRODUCT((映射装备数值!$C$10:$C$56=IF($F153="Blue","蓝",IF($F153="Purple","紫",IF($F153="Orange","金",IF($F153="Red","红",$F153)))))*((映射装备数值!$A$10:$A$56=$E153)+(映射装备数值!$B$10:$B$56=$E153))*ROW(映射装备数值!$A$10:$A$56))),"未匹配")</f>
        <v>100.2</v>
      </c>
      <c r="I153">
        <f>IFERROR(INDEX(映射装备数值!F:F,SUMPRODUCT((映射装备数值!$C$10:$C$56=IF($F153="Blue","蓝",IF($F153="Purple","紫",IF($F153="Orange","金",IF($F153="Red","红",$F153)))))*((映射装备数值!$A$10:$A$56=$E153)+(映射装备数值!$B$10:$B$56=$E153))*ROW(映射装备数值!$A$10:$A$56))),"未匹配")</f>
        <v>13.2</v>
      </c>
      <c r="J153" t="str">
        <f>IFERROR(INDEX(映射装备数值!I:I,SUMPRODUCT((映射装备数值!$C$10:$C$56=IF($F153="Blue","蓝",IF($F153="Purple","紫",IF($F153="Orange","金",IF($F153="Red","红",$F153)))))*((映射装备数值!$A$10:$A$56=$E153)+(映射装备数值!$B$10:$B$56=$E153))*ROW(映射装备数值!$A$10:$A$56))),"未匹配")</f>
        <v>暴击伤害等级</v>
      </c>
      <c r="K153">
        <f>IFERROR(INDEX(映射装备数值!L:L,SUMPRODUCT((映射装备数值!$C$10:$C$56=IF($F153="Blue","蓝",IF($F153="Purple","紫",IF($F153="Orange","金",IF($F153="Red","红",$F153)))))*((映射装备数值!$A$10:$A$56=$E153)+(映射装备数值!$B$10:$B$56=$E153))*ROW(映射装备数值!$A$10:$A$56))),"未匹配")</f>
        <v>151.8</v>
      </c>
      <c r="L153">
        <f>IFERROR(INDEX(映射装备数值!K:K,SUMPRODUCT((映射装备数值!$C$10:$C$56=IF($F153="Blue","蓝",IF($F153="Purple","紫",IF($F153="Orange","金",IF($F153="Red","红",$F153)))))*((映射装备数值!$A$10:$A$56=$E153)+(映射装备数值!$B$10:$B$56=$E153))*ROW(映射装备数值!$A$10:$A$56))),"未匹配")</f>
        <v>19.8</v>
      </c>
      <c r="M153" s="93">
        <v>1.1</v>
      </c>
      <c r="N153" s="93">
        <v>0.9</v>
      </c>
      <c r="O153" t="str">
        <f t="shared" si="12"/>
        <v>暴击等级</v>
      </c>
      <c r="P153">
        <f t="shared" si="13"/>
        <v>110</v>
      </c>
      <c r="Q153">
        <f t="shared" si="14"/>
        <v>15</v>
      </c>
      <c r="R153" t="str">
        <f t="shared" si="15"/>
        <v>暴击伤害等级</v>
      </c>
      <c r="S153">
        <f t="shared" si="16"/>
        <v>137</v>
      </c>
      <c r="T153">
        <f t="shared" si="17"/>
        <v>18</v>
      </c>
      <c r="U153" t="s">
        <v>80</v>
      </c>
      <c r="V153">
        <v>210</v>
      </c>
      <c r="W153" s="7">
        <v>80151</v>
      </c>
    </row>
    <row r="154" ht="21" customHeight="1" spans="3:23">
      <c r="C154" s="7">
        <v>80152</v>
      </c>
      <c r="D154" s="7" t="s">
        <v>726</v>
      </c>
      <c r="E154" s="75" t="s">
        <v>425</v>
      </c>
      <c r="F154" s="92" t="s">
        <v>566</v>
      </c>
      <c r="G154" t="str">
        <f>IFERROR(INDEX(映射装备数值!D:D,SUMPRODUCT((映射装备数值!$C$10:$C$56=IF($F154="Blue","蓝",IF($F154="Purple","紫",IF($F154="Orange","金",IF($F154="Red","红",$F154)))))*((映射装备数值!$A$10:$A$56=$E154)+(映射装备数值!$B$10:$B$56=$E154))*ROW(映射装备数值!$A$10:$A$56))),"未匹配")</f>
        <v>暴击等级</v>
      </c>
      <c r="H154">
        <f>IFERROR(INDEX(映射装备数值!G:G,SUMPRODUCT((映射装备数值!$C$10:$C$56=IF($F154="Blue","蓝",IF($F154="Purple","紫",IF($F154="Orange","金",IF($F154="Red","红",$F154)))))*((映射装备数值!$A$10:$A$56=$E154)+(映射装备数值!$B$10:$B$56=$E154))*ROW(映射装备数值!$A$10:$A$56))),"未匹配")</f>
        <v>167</v>
      </c>
      <c r="I154">
        <f>IFERROR(INDEX(映射装备数值!F:F,SUMPRODUCT((映射装备数值!$C$10:$C$56=IF($F154="Blue","蓝",IF($F154="Purple","紫",IF($F154="Orange","金",IF($F154="Red","红",$F154)))))*((映射装备数值!$A$10:$A$56=$E154)+(映射装备数值!$B$10:$B$56=$E154))*ROW(映射装备数值!$A$10:$A$56))),"未匹配")</f>
        <v>22</v>
      </c>
      <c r="J154" t="str">
        <f>IFERROR(INDEX(映射装备数值!I:I,SUMPRODUCT((映射装备数值!$C$10:$C$56=IF($F154="Blue","蓝",IF($F154="Purple","紫",IF($F154="Orange","金",IF($F154="Red","红",$F154)))))*((映射装备数值!$A$10:$A$56=$E154)+(映射装备数值!$B$10:$B$56=$E154))*ROW(映射装备数值!$A$10:$A$56))),"未匹配")</f>
        <v>暴击伤害等级</v>
      </c>
      <c r="K154">
        <f>IFERROR(INDEX(映射装备数值!L:L,SUMPRODUCT((映射装备数值!$C$10:$C$56=IF($F154="Blue","蓝",IF($F154="Purple","紫",IF($F154="Orange","金",IF($F154="Red","红",$F154)))))*((映射装备数值!$A$10:$A$56=$E154)+(映射装备数值!$B$10:$B$56=$E154))*ROW(映射装备数值!$A$10:$A$56))),"未匹配")</f>
        <v>253</v>
      </c>
      <c r="L154">
        <f>IFERROR(INDEX(映射装备数值!K:K,SUMPRODUCT((映射装备数值!$C$10:$C$56=IF($F154="Blue","蓝",IF($F154="Purple","紫",IF($F154="Orange","金",IF($F154="Red","红",$F154)))))*((映射装备数值!$A$10:$A$56=$E154)+(映射装备数值!$B$10:$B$56=$E154))*ROW(映射装备数值!$A$10:$A$56))),"未匹配")</f>
        <v>33</v>
      </c>
      <c r="M154" s="93">
        <v>1.1</v>
      </c>
      <c r="N154" s="93">
        <v>0.9</v>
      </c>
      <c r="O154" t="str">
        <f t="shared" si="12"/>
        <v>暴击等级</v>
      </c>
      <c r="P154">
        <f t="shared" si="13"/>
        <v>184</v>
      </c>
      <c r="Q154">
        <f t="shared" si="14"/>
        <v>24</v>
      </c>
      <c r="R154" t="str">
        <f t="shared" si="15"/>
        <v>暴击伤害等级</v>
      </c>
      <c r="S154">
        <f t="shared" si="16"/>
        <v>228</v>
      </c>
      <c r="T154">
        <f t="shared" si="17"/>
        <v>30</v>
      </c>
      <c r="U154" t="s">
        <v>80</v>
      </c>
      <c r="V154">
        <v>390</v>
      </c>
      <c r="W154" s="7">
        <v>80152</v>
      </c>
    </row>
    <row r="155" ht="21" customHeight="1" spans="3:23">
      <c r="C155" s="88">
        <v>80153</v>
      </c>
      <c r="D155" s="7" t="s">
        <v>727</v>
      </c>
      <c r="E155" s="76" t="s">
        <v>425</v>
      </c>
      <c r="F155" s="94" t="s">
        <v>568</v>
      </c>
      <c r="G155" t="str">
        <f>IFERROR(INDEX(映射装备数值!D:D,SUMPRODUCT((映射装备数值!$C$10:$C$56=IF($F155="Blue","蓝",IF($F155="Purple","紫",IF($F155="Orange","金",IF($F155="Red","红",$F155)))))*((映射装备数值!$A$10:$A$56=$E155)+(映射装备数值!$B$10:$B$56=$E155))*ROW(映射装备数值!$A$10:$A$56))),"未匹配")</f>
        <v>暴击等级</v>
      </c>
      <c r="H155">
        <f>IFERROR(INDEX(映射装备数值!G:G,SUMPRODUCT((映射装备数值!$C$10:$C$56=IF($F155="Blue","蓝",IF($F155="Purple","紫",IF($F155="Orange","金",IF($F155="Red","红",$F155)))))*((映射装备数值!$A$10:$A$56=$E155)+(映射装备数值!$B$10:$B$56=$E155))*ROW(映射装备数值!$A$10:$A$56))),"未匹配")</f>
        <v>250.5</v>
      </c>
      <c r="I155">
        <f>IFERROR(INDEX(映射装备数值!F:F,SUMPRODUCT((映射装备数值!$C$10:$C$56=IF($F155="Blue","蓝",IF($F155="Purple","紫",IF($F155="Orange","金",IF($F155="Red","红",$F155)))))*((映射装备数值!$A$10:$A$56=$E155)+(映射装备数值!$B$10:$B$56=$E155))*ROW(映射装备数值!$A$10:$A$56))),"未匹配")</f>
        <v>33</v>
      </c>
      <c r="J155" t="str">
        <f>IFERROR(INDEX(映射装备数值!I:I,SUMPRODUCT((映射装备数值!$C$10:$C$56=IF($F155="Blue","蓝",IF($F155="Purple","紫",IF($F155="Orange","金",IF($F155="Red","红",$F155)))))*((映射装备数值!$A$10:$A$56=$E155)+(映射装备数值!$B$10:$B$56=$E155))*ROW(映射装备数值!$A$10:$A$56))),"未匹配")</f>
        <v>暴击伤害等级</v>
      </c>
      <c r="K155">
        <f>IFERROR(INDEX(映射装备数值!L:L,SUMPRODUCT((映射装备数值!$C$10:$C$56=IF($F155="Blue","蓝",IF($F155="Purple","紫",IF($F155="Orange","金",IF($F155="Red","红",$F155)))))*((映射装备数值!$A$10:$A$56=$E155)+(映射装备数值!$B$10:$B$56=$E155))*ROW(映射装备数值!$A$10:$A$56))),"未匹配")</f>
        <v>379.5</v>
      </c>
      <c r="L155">
        <f>IFERROR(INDEX(映射装备数值!K:K,SUMPRODUCT((映射装备数值!$C$10:$C$56=IF($F155="Blue","蓝",IF($F155="Purple","紫",IF($F155="Orange","金",IF($F155="Red","红",$F155)))))*((映射装备数值!$A$10:$A$56=$E155)+(映射装备数值!$B$10:$B$56=$E155))*ROW(映射装备数值!$A$10:$A$56))),"未匹配")</f>
        <v>49.5</v>
      </c>
      <c r="M155" s="93">
        <v>1.1</v>
      </c>
      <c r="N155" s="93">
        <v>0.9</v>
      </c>
      <c r="O155" t="str">
        <f t="shared" si="12"/>
        <v>暴击等级</v>
      </c>
      <c r="P155">
        <f t="shared" si="13"/>
        <v>276</v>
      </c>
      <c r="Q155">
        <f t="shared" si="14"/>
        <v>36</v>
      </c>
      <c r="R155" t="str">
        <f t="shared" si="15"/>
        <v>暴击伤害等级</v>
      </c>
      <c r="S155">
        <f t="shared" si="16"/>
        <v>342</v>
      </c>
      <c r="T155">
        <f t="shared" si="17"/>
        <v>45</v>
      </c>
      <c r="U155" t="s">
        <v>80</v>
      </c>
      <c r="V155">
        <v>630</v>
      </c>
      <c r="W155" s="88">
        <v>80153</v>
      </c>
    </row>
    <row r="156" ht="17.25" customHeight="1" spans="3:23">
      <c r="C156" s="7">
        <v>80154</v>
      </c>
      <c r="D156" s="7" t="s">
        <v>728</v>
      </c>
      <c r="E156" s="91" t="s">
        <v>528</v>
      </c>
      <c r="F156" s="92" t="s">
        <v>729</v>
      </c>
      <c r="G156" t="str">
        <f>IFERROR(INDEX(映射装备数值!D:D,SUMPRODUCT((映射装备数值!$C$10:$C$56=IF($F156="Blue","蓝",IF($F156="Purple","紫",IF($F156="Orange","金",IF($F156="Red","红",$F156)))))*((映射装备数值!$A$10:$A$56=$E156)+(映射装备数值!$B$10:$B$56=$E156))*ROW(映射装备数值!$A$10:$A$56))),"未匹配")</f>
        <v>攻击</v>
      </c>
      <c r="H156">
        <f>IFERROR(INDEX(映射装备数值!G:G,SUMPRODUCT((映射装备数值!$C$10:$C$56=IF($F156="Blue","蓝",IF($F156="Purple","紫",IF($F156="Orange","金",IF($F156="Red","红",$F156)))))*((映射装备数值!$A$10:$A$56=$E156)+(映射装备数值!$B$10:$B$56=$E156))*ROW(映射装备数值!$A$10:$A$56))),"未匹配")</f>
        <v>644</v>
      </c>
      <c r="I156">
        <f>IFERROR(INDEX(映射装备数值!F:F,SUMPRODUCT((映射装备数值!$C$10:$C$56=IF($F156="Blue","蓝",IF($F156="Purple","紫",IF($F156="Orange","金",IF($F156="Red","红",$F156)))))*((映射装备数值!$A$10:$A$56=$E156)+(映射装备数值!$B$10:$B$56=$E156))*ROW(映射装备数值!$A$10:$A$56))),"未匹配")</f>
        <v>84</v>
      </c>
      <c r="J156" t="str">
        <f>IFERROR(INDEX(映射装备数值!I:I,SUMPRODUCT((映射装备数值!$C$10:$C$56=IF($F156="Blue","蓝",IF($F156="Purple","紫",IF($F156="Orange","金",IF($F156="Red","红",$F156)))))*((映射装备数值!$A$10:$A$56=$E156)+(映射装备数值!$B$10:$B$56=$E156))*ROW(映射装备数值!$A$10:$A$56))),"未匹配")</f>
        <v>暴击等级</v>
      </c>
      <c r="K156">
        <f>IFERROR(INDEX(映射装备数值!L:L,SUMPRODUCT((映射装备数值!$C$10:$C$56=IF($F156="Blue","蓝",IF($F156="Purple","紫",IF($F156="Orange","金",IF($F156="Red","红",$F156)))))*((映射装备数值!$A$10:$A$56=$E156)+(映射装备数值!$B$10:$B$56=$E156))*ROW(映射装备数值!$A$10:$A$56))),"未匹配")</f>
        <v>334</v>
      </c>
      <c r="L156">
        <f>IFERROR(INDEX(映射装备数值!K:K,SUMPRODUCT((映射装备数值!$C$10:$C$56=IF($F156="Blue","蓝",IF($F156="Purple","紫",IF($F156="Orange","金",IF($F156="Red","红",$F156)))))*((映射装备数值!$A$10:$A$56=$E156)+(映射装备数值!$B$10:$B$56=$E156))*ROW(映射装备数值!$A$10:$A$56))),"未匹配")</f>
        <v>44</v>
      </c>
      <c r="M156" s="93">
        <v>1.08</v>
      </c>
      <c r="N156" s="93">
        <v>0.92</v>
      </c>
      <c r="O156" t="str">
        <f t="shared" si="12"/>
        <v>攻击</v>
      </c>
      <c r="P156">
        <f t="shared" si="13"/>
        <v>696</v>
      </c>
      <c r="Q156">
        <f t="shared" si="14"/>
        <v>91</v>
      </c>
      <c r="R156" t="str">
        <f t="shared" si="15"/>
        <v>暴击等级</v>
      </c>
      <c r="S156">
        <f t="shared" si="16"/>
        <v>307</v>
      </c>
      <c r="T156">
        <f t="shared" si="17"/>
        <v>40</v>
      </c>
      <c r="W156" s="7">
        <v>80154</v>
      </c>
    </row>
    <row r="157" ht="17.25" customHeight="1" spans="3:23">
      <c r="C157" s="7">
        <v>80155</v>
      </c>
      <c r="D157" s="7" t="s">
        <v>730</v>
      </c>
      <c r="E157" s="91" t="s">
        <v>528</v>
      </c>
      <c r="F157" s="92" t="s">
        <v>729</v>
      </c>
      <c r="G157" t="str">
        <f>IFERROR(INDEX(映射装备数值!D:D,SUMPRODUCT((映射装备数值!$C$10:$C$56=IF($F157="Blue","蓝",IF($F157="Purple","紫",IF($F157="Orange","金",IF($F157="Red","红",$F157)))))*((映射装备数值!$A$10:$A$56=$E157)+(映射装备数值!$B$10:$B$56=$E157))*ROW(映射装备数值!$A$10:$A$56))),"未匹配")</f>
        <v>攻击</v>
      </c>
      <c r="H157">
        <f>IFERROR(INDEX(映射装备数值!G:G,SUMPRODUCT((映射装备数值!$C$10:$C$56=IF($F157="Blue","蓝",IF($F157="Purple","紫",IF($F157="Orange","金",IF($F157="Red","红",$F157)))))*((映射装备数值!$A$10:$A$56=$E157)+(映射装备数值!$B$10:$B$56=$E157))*ROW(映射装备数值!$A$10:$A$56))),"未匹配")</f>
        <v>644</v>
      </c>
      <c r="I157">
        <f>IFERROR(INDEX(映射装备数值!F:F,SUMPRODUCT((映射装备数值!$C$10:$C$56=IF($F157="Blue","蓝",IF($F157="Purple","紫",IF($F157="Orange","金",IF($F157="Red","红",$F157)))))*((映射装备数值!$A$10:$A$56=$E157)+(映射装备数值!$B$10:$B$56=$E157))*ROW(映射装备数值!$A$10:$A$56))),"未匹配")</f>
        <v>84</v>
      </c>
      <c r="J157" t="str">
        <f>IFERROR(INDEX(映射装备数值!I:I,SUMPRODUCT((映射装备数值!$C$10:$C$56=IF($F157="Blue","蓝",IF($F157="Purple","紫",IF($F157="Orange","金",IF($F157="Red","红",$F157)))))*((映射装备数值!$A$10:$A$56=$E157)+(映射装备数值!$B$10:$B$56=$E157))*ROW(映射装备数值!$A$10:$A$56))),"未匹配")</f>
        <v>暴击等级</v>
      </c>
      <c r="K157">
        <f>IFERROR(INDEX(映射装备数值!L:L,SUMPRODUCT((映射装备数值!$C$10:$C$56=IF($F157="Blue","蓝",IF($F157="Purple","紫",IF($F157="Orange","金",IF($F157="Red","红",$F157)))))*((映射装备数值!$A$10:$A$56=$E157)+(映射装备数值!$B$10:$B$56=$E157))*ROW(映射装备数值!$A$10:$A$56))),"未匹配")</f>
        <v>334</v>
      </c>
      <c r="L157">
        <f>IFERROR(INDEX(映射装备数值!K:K,SUMPRODUCT((映射装备数值!$C$10:$C$56=IF($F157="Blue","蓝",IF($F157="Purple","紫",IF($F157="Orange","金",IF($F157="Red","红",$F157)))))*((映射装备数值!$A$10:$A$56=$E157)+(映射装备数值!$B$10:$B$56=$E157))*ROW(映射装备数值!$A$10:$A$56))),"未匹配")</f>
        <v>44</v>
      </c>
      <c r="M157" s="93">
        <v>0.96</v>
      </c>
      <c r="N157" s="93">
        <v>1.04</v>
      </c>
      <c r="O157" t="str">
        <f t="shared" si="12"/>
        <v>攻击</v>
      </c>
      <c r="P157">
        <f t="shared" si="13"/>
        <v>618</v>
      </c>
      <c r="Q157">
        <f t="shared" si="14"/>
        <v>81</v>
      </c>
      <c r="R157" t="str">
        <f t="shared" si="15"/>
        <v>暴击等级</v>
      </c>
      <c r="S157">
        <f t="shared" si="16"/>
        <v>347</v>
      </c>
      <c r="T157">
        <f t="shared" si="17"/>
        <v>46</v>
      </c>
      <c r="W157" s="7">
        <v>80155</v>
      </c>
    </row>
    <row r="158" ht="17.25" customHeight="1" spans="3:23">
      <c r="C158" s="88">
        <v>80156</v>
      </c>
      <c r="D158" s="7" t="s">
        <v>731</v>
      </c>
      <c r="E158" s="91" t="s">
        <v>528</v>
      </c>
      <c r="F158" s="94" t="s">
        <v>729</v>
      </c>
      <c r="G158" t="str">
        <f>IFERROR(INDEX(映射装备数值!D:D,SUMPRODUCT((映射装备数值!$C$10:$C$56=IF($F158="Blue","蓝",IF($F158="Purple","紫",IF($F158="Orange","金",IF($F158="Red","红",$F158)))))*((映射装备数值!$A$10:$A$56=$E158)+(映射装备数值!$B$10:$B$56=$E158))*ROW(映射装备数值!$A$10:$A$56))),"未匹配")</f>
        <v>攻击</v>
      </c>
      <c r="H158">
        <f>IFERROR(INDEX(映射装备数值!G:G,SUMPRODUCT((映射装备数值!$C$10:$C$56=IF($F158="Blue","蓝",IF($F158="Purple","紫",IF($F158="Orange","金",IF($F158="Red","红",$F158)))))*((映射装备数值!$A$10:$A$56=$E158)+(映射装备数值!$B$10:$B$56=$E158))*ROW(映射装备数值!$A$10:$A$56))),"未匹配")</f>
        <v>644</v>
      </c>
      <c r="I158">
        <f>IFERROR(INDEX(映射装备数值!F:F,SUMPRODUCT((映射装备数值!$C$10:$C$56=IF($F158="Blue","蓝",IF($F158="Purple","紫",IF($F158="Orange","金",IF($F158="Red","红",$F158)))))*((映射装备数值!$A$10:$A$56=$E158)+(映射装备数值!$B$10:$B$56=$E158))*ROW(映射装备数值!$A$10:$A$56))),"未匹配")</f>
        <v>84</v>
      </c>
      <c r="J158" t="str">
        <f>IFERROR(INDEX(映射装备数值!I:I,SUMPRODUCT((映射装备数值!$C$10:$C$56=IF($F158="Blue","蓝",IF($F158="Purple","紫",IF($F158="Orange","金",IF($F158="Red","红",$F158)))))*((映射装备数值!$A$10:$A$56=$E158)+(映射装备数值!$B$10:$B$56=$E158))*ROW(映射装备数值!$A$10:$A$56))),"未匹配")</f>
        <v>暴击等级</v>
      </c>
      <c r="K158">
        <f>IFERROR(INDEX(映射装备数值!L:L,SUMPRODUCT((映射装备数值!$C$10:$C$56=IF($F158="Blue","蓝",IF($F158="Purple","紫",IF($F158="Orange","金",IF($F158="Red","红",$F158)))))*((映射装备数值!$A$10:$A$56=$E158)+(映射装备数值!$B$10:$B$56=$E158))*ROW(映射装备数值!$A$10:$A$56))),"未匹配")</f>
        <v>334</v>
      </c>
      <c r="L158">
        <f>IFERROR(INDEX(映射装备数值!K:K,SUMPRODUCT((映射装备数值!$C$10:$C$56=IF($F158="Blue","蓝",IF($F158="Purple","紫",IF($F158="Orange","金",IF($F158="Red","红",$F158)))))*((映射装备数值!$A$10:$A$56=$E158)+(映射装备数值!$B$10:$B$56=$E158))*ROW(映射装备数值!$A$10:$A$56))),"未匹配")</f>
        <v>44</v>
      </c>
      <c r="M158" s="93">
        <v>1.12</v>
      </c>
      <c r="N158" s="93">
        <v>0.88</v>
      </c>
      <c r="O158" t="str">
        <f t="shared" si="12"/>
        <v>攻击</v>
      </c>
      <c r="P158">
        <f t="shared" si="13"/>
        <v>721</v>
      </c>
      <c r="Q158">
        <f t="shared" si="14"/>
        <v>94</v>
      </c>
      <c r="R158" t="str">
        <f t="shared" si="15"/>
        <v>暴击等级</v>
      </c>
      <c r="S158">
        <f t="shared" si="16"/>
        <v>294</v>
      </c>
      <c r="T158">
        <f t="shared" si="17"/>
        <v>39</v>
      </c>
      <c r="W158" s="88">
        <v>80156</v>
      </c>
    </row>
    <row r="159" ht="17.25" customHeight="1" spans="3:23">
      <c r="C159" s="7">
        <v>80157</v>
      </c>
      <c r="D159" s="7" t="s">
        <v>732</v>
      </c>
      <c r="E159" s="95" t="s">
        <v>530</v>
      </c>
      <c r="F159" s="92" t="s">
        <v>729</v>
      </c>
      <c r="G159" t="str">
        <f>IFERROR(INDEX(映射装备数值!D:D,SUMPRODUCT((映射装备数值!$C$10:$C$56=IF($F159="Blue","蓝",IF($F159="Purple","紫",IF($F159="Orange","金",IF($F159="Red","红",$F159)))))*((映射装备数值!$A$10:$A$56=$E159)+(映射装备数值!$B$10:$B$56=$E159))*ROW(映射装备数值!$A$10:$A$56))),"未匹配")</f>
        <v>攻击</v>
      </c>
      <c r="H159">
        <f>IFERROR(INDEX(映射装备数值!G:G,SUMPRODUCT((映射装备数值!$C$10:$C$56=IF($F159="Blue","蓝",IF($F159="Purple","紫",IF($F159="Orange","金",IF($F159="Red","红",$F159)))))*((映射装备数值!$A$10:$A$56=$E159)+(映射装备数值!$B$10:$B$56=$E159))*ROW(映射装备数值!$A$10:$A$56))),"未匹配")</f>
        <v>644</v>
      </c>
      <c r="I159">
        <f>IFERROR(INDEX(映射装备数值!F:F,SUMPRODUCT((映射装备数值!$C$10:$C$56=IF($F159="Blue","蓝",IF($F159="Purple","紫",IF($F159="Orange","金",IF($F159="Red","红",$F159)))))*((映射装备数值!$A$10:$A$56=$E159)+(映射装备数值!$B$10:$B$56=$E159))*ROW(映射装备数值!$A$10:$A$56))),"未匹配")</f>
        <v>84</v>
      </c>
      <c r="J159" t="str">
        <f>IFERROR(INDEX(映射装备数值!I:I,SUMPRODUCT((映射装备数值!$C$10:$C$56=IF($F159="Blue","蓝",IF($F159="Purple","紫",IF($F159="Orange","金",IF($F159="Red","红",$F159)))))*((映射装备数值!$A$10:$A$56=$E159)+(映射装备数值!$B$10:$B$56=$E159))*ROW(映射装备数值!$A$10:$A$56))),"未匹配")</f>
        <v>攻击</v>
      </c>
      <c r="K159">
        <f>IFERROR(INDEX(映射装备数值!L:L,SUMPRODUCT((映射装备数值!$C$10:$C$56=IF($F159="Blue","蓝",IF($F159="Purple","紫",IF($F159="Orange","金",IF($F159="Red","红",$F159)))))*((映射装备数值!$A$10:$A$56=$E159)+(映射装备数值!$B$10:$B$56=$E159))*ROW(映射装备数值!$A$10:$A$56))),"未匹配")</f>
        <v>644</v>
      </c>
      <c r="L159">
        <f>IFERROR(INDEX(映射装备数值!K:K,SUMPRODUCT((映射装备数值!$C$10:$C$56=IF($F159="Blue","蓝",IF($F159="Purple","紫",IF($F159="Orange","金",IF($F159="Red","红",$F159)))))*((映射装备数值!$A$10:$A$56=$E159)+(映射装备数值!$B$10:$B$56=$E159))*ROW(映射装备数值!$A$10:$A$56))),"未匹配")</f>
        <v>84</v>
      </c>
      <c r="M159" s="93">
        <v>1.08</v>
      </c>
      <c r="N159" s="93">
        <v>0.92</v>
      </c>
      <c r="O159" t="str">
        <f t="shared" si="12"/>
        <v>攻击</v>
      </c>
      <c r="P159">
        <f t="shared" si="13"/>
        <v>696</v>
      </c>
      <c r="Q159">
        <f t="shared" si="14"/>
        <v>91</v>
      </c>
      <c r="R159" t="str">
        <f t="shared" si="15"/>
        <v>攻击</v>
      </c>
      <c r="S159">
        <f t="shared" si="16"/>
        <v>592</v>
      </c>
      <c r="T159">
        <f t="shared" si="17"/>
        <v>77</v>
      </c>
      <c r="W159" s="7">
        <v>80157</v>
      </c>
    </row>
    <row r="160" ht="17.25" customHeight="1" spans="3:23">
      <c r="C160" s="7">
        <v>80158</v>
      </c>
      <c r="D160" s="7" t="s">
        <v>733</v>
      </c>
      <c r="E160" s="95" t="s">
        <v>530</v>
      </c>
      <c r="F160" s="92" t="s">
        <v>729</v>
      </c>
      <c r="G160" t="str">
        <f>IFERROR(INDEX(映射装备数值!D:D,SUMPRODUCT((映射装备数值!$C$10:$C$56=IF($F160="Blue","蓝",IF($F160="Purple","紫",IF($F160="Orange","金",IF($F160="Red","红",$F160)))))*((映射装备数值!$A$10:$A$56=$E160)+(映射装备数值!$B$10:$B$56=$E160))*ROW(映射装备数值!$A$10:$A$56))),"未匹配")</f>
        <v>攻击</v>
      </c>
      <c r="H160">
        <f>IFERROR(INDEX(映射装备数值!G:G,SUMPRODUCT((映射装备数值!$C$10:$C$56=IF($F160="Blue","蓝",IF($F160="Purple","紫",IF($F160="Orange","金",IF($F160="Red","红",$F160)))))*((映射装备数值!$A$10:$A$56=$E160)+(映射装备数值!$B$10:$B$56=$E160))*ROW(映射装备数值!$A$10:$A$56))),"未匹配")</f>
        <v>644</v>
      </c>
      <c r="I160">
        <f>IFERROR(INDEX(映射装备数值!F:F,SUMPRODUCT((映射装备数值!$C$10:$C$56=IF($F160="Blue","蓝",IF($F160="Purple","紫",IF($F160="Orange","金",IF($F160="Red","红",$F160)))))*((映射装备数值!$A$10:$A$56=$E160)+(映射装备数值!$B$10:$B$56=$E160))*ROW(映射装备数值!$A$10:$A$56))),"未匹配")</f>
        <v>84</v>
      </c>
      <c r="J160" t="str">
        <f>IFERROR(INDEX(映射装备数值!I:I,SUMPRODUCT((映射装备数值!$C$10:$C$56=IF($F160="Blue","蓝",IF($F160="Purple","紫",IF($F160="Orange","金",IF($F160="Red","红",$F160)))))*((映射装备数值!$A$10:$A$56=$E160)+(映射装备数值!$B$10:$B$56=$E160))*ROW(映射装备数值!$A$10:$A$56))),"未匹配")</f>
        <v>攻击</v>
      </c>
      <c r="K160">
        <f>IFERROR(INDEX(映射装备数值!L:L,SUMPRODUCT((映射装备数值!$C$10:$C$56=IF($F160="Blue","蓝",IF($F160="Purple","紫",IF($F160="Orange","金",IF($F160="Red","红",$F160)))))*((映射装备数值!$A$10:$A$56=$E160)+(映射装备数值!$B$10:$B$56=$E160))*ROW(映射装备数值!$A$10:$A$56))),"未匹配")</f>
        <v>644</v>
      </c>
      <c r="L160">
        <f>IFERROR(INDEX(映射装备数值!K:K,SUMPRODUCT((映射装备数值!$C$10:$C$56=IF($F160="Blue","蓝",IF($F160="Purple","紫",IF($F160="Orange","金",IF($F160="Red","红",$F160)))))*((映射装备数值!$A$10:$A$56=$E160)+(映射装备数值!$B$10:$B$56=$E160))*ROW(映射装备数值!$A$10:$A$56))),"未匹配")</f>
        <v>84</v>
      </c>
      <c r="M160" s="93">
        <v>1.18</v>
      </c>
      <c r="N160" s="93">
        <v>0.82</v>
      </c>
      <c r="O160" t="str">
        <f t="shared" si="12"/>
        <v>攻击</v>
      </c>
      <c r="P160">
        <f t="shared" si="13"/>
        <v>760</v>
      </c>
      <c r="Q160">
        <f t="shared" si="14"/>
        <v>99</v>
      </c>
      <c r="R160" t="str">
        <f t="shared" si="15"/>
        <v>攻击</v>
      </c>
      <c r="S160">
        <f t="shared" si="16"/>
        <v>528</v>
      </c>
      <c r="T160">
        <f t="shared" si="17"/>
        <v>69</v>
      </c>
      <c r="W160" s="7">
        <v>80158</v>
      </c>
    </row>
    <row r="161" ht="17.25" customHeight="1" spans="3:23">
      <c r="C161" s="88">
        <v>80159</v>
      </c>
      <c r="D161" s="7" t="s">
        <v>734</v>
      </c>
      <c r="E161" s="95" t="s">
        <v>530</v>
      </c>
      <c r="F161" s="94" t="s">
        <v>729</v>
      </c>
      <c r="G161" t="str">
        <f>IFERROR(INDEX(映射装备数值!D:D,SUMPRODUCT((映射装备数值!$C$10:$C$56=IF($F161="Blue","蓝",IF($F161="Purple","紫",IF($F161="Orange","金",IF($F161="Red","红",$F161)))))*((映射装备数值!$A$10:$A$56=$E161)+(映射装备数值!$B$10:$B$56=$E161))*ROW(映射装备数值!$A$10:$A$56))),"未匹配")</f>
        <v>攻击</v>
      </c>
      <c r="H161">
        <f>IFERROR(INDEX(映射装备数值!G:G,SUMPRODUCT((映射装备数值!$C$10:$C$56=IF($F161="Blue","蓝",IF($F161="Purple","紫",IF($F161="Orange","金",IF($F161="Red","红",$F161)))))*((映射装备数值!$A$10:$A$56=$E161)+(映射装备数值!$B$10:$B$56=$E161))*ROW(映射装备数值!$A$10:$A$56))),"未匹配")</f>
        <v>644</v>
      </c>
      <c r="I161">
        <f>IFERROR(INDEX(映射装备数值!F:F,SUMPRODUCT((映射装备数值!$C$10:$C$56=IF($F161="Blue","蓝",IF($F161="Purple","紫",IF($F161="Orange","金",IF($F161="Red","红",$F161)))))*((映射装备数值!$A$10:$A$56=$E161)+(映射装备数值!$B$10:$B$56=$E161))*ROW(映射装备数值!$A$10:$A$56))),"未匹配")</f>
        <v>84</v>
      </c>
      <c r="J161" t="str">
        <f>IFERROR(INDEX(映射装备数值!I:I,SUMPRODUCT((映射装备数值!$C$10:$C$56=IF($F161="Blue","蓝",IF($F161="Purple","紫",IF($F161="Orange","金",IF($F161="Red","红",$F161)))))*((映射装备数值!$A$10:$A$56=$E161)+(映射装备数值!$B$10:$B$56=$E161))*ROW(映射装备数值!$A$10:$A$56))),"未匹配")</f>
        <v>攻击</v>
      </c>
      <c r="K161">
        <f>IFERROR(INDEX(映射装备数值!L:L,SUMPRODUCT((映射装备数值!$C$10:$C$56=IF($F161="Blue","蓝",IF($F161="Purple","紫",IF($F161="Orange","金",IF($F161="Red","红",$F161)))))*((映射装备数值!$A$10:$A$56=$E161)+(映射装备数值!$B$10:$B$56=$E161))*ROW(映射装备数值!$A$10:$A$56))),"未匹配")</f>
        <v>644</v>
      </c>
      <c r="L161">
        <f>IFERROR(INDEX(映射装备数值!K:K,SUMPRODUCT((映射装备数值!$C$10:$C$56=IF($F161="Blue","蓝",IF($F161="Purple","紫",IF($F161="Orange","金",IF($F161="Red","红",$F161)))))*((映射装备数值!$A$10:$A$56=$E161)+(映射装备数值!$B$10:$B$56=$E161))*ROW(映射装备数值!$A$10:$A$56))),"未匹配")</f>
        <v>84</v>
      </c>
      <c r="M161" s="93">
        <v>1.15</v>
      </c>
      <c r="N161" s="93">
        <v>0.85</v>
      </c>
      <c r="O161" t="str">
        <f t="shared" si="12"/>
        <v>攻击</v>
      </c>
      <c r="P161">
        <f t="shared" si="13"/>
        <v>741</v>
      </c>
      <c r="Q161">
        <f t="shared" si="14"/>
        <v>97</v>
      </c>
      <c r="R161" t="str">
        <f t="shared" si="15"/>
        <v>攻击</v>
      </c>
      <c r="S161">
        <f t="shared" si="16"/>
        <v>547</v>
      </c>
      <c r="T161">
        <f t="shared" si="17"/>
        <v>71</v>
      </c>
      <c r="W161" s="88">
        <v>80159</v>
      </c>
    </row>
    <row r="162" ht="17.25" customHeight="1" spans="3:23">
      <c r="C162" s="7">
        <v>80160</v>
      </c>
      <c r="D162" s="7" t="s">
        <v>735</v>
      </c>
      <c r="E162" s="95" t="s">
        <v>412</v>
      </c>
      <c r="F162" s="92" t="s">
        <v>729</v>
      </c>
      <c r="G162" t="str">
        <f>IFERROR(INDEX(映射装备数值!D:D,SUMPRODUCT((映射装备数值!$C$10:$C$56=IF($F162="Blue","蓝",IF($F162="Purple","紫",IF($F162="Orange","金",IF($F162="Red","红",$F162)))))*((映射装备数值!$A$10:$A$56=$E162)+(映射装备数值!$B$10:$B$56=$E162))*ROW(映射装备数值!$A$10:$A$56))),"未匹配")</f>
        <v>攻击</v>
      </c>
      <c r="H162">
        <f>IFERROR(INDEX(映射装备数值!G:G,SUMPRODUCT((映射装备数值!$C$10:$C$56=IF($F162="Blue","蓝",IF($F162="Purple","紫",IF($F162="Orange","金",IF($F162="Red","红",$F162)))))*((映射装备数值!$A$10:$A$56=$E162)+(映射装备数值!$B$10:$B$56=$E162))*ROW(映射装备数值!$A$10:$A$56))),"未匹配")</f>
        <v>644</v>
      </c>
      <c r="I162">
        <f>IFERROR(INDEX(映射装备数值!F:F,SUMPRODUCT((映射装备数值!$C$10:$C$56=IF($F162="Blue","蓝",IF($F162="Purple","紫",IF($F162="Orange","金",IF($F162="Red","红",$F162)))))*((映射装备数值!$A$10:$A$56=$E162)+(映射装备数值!$B$10:$B$56=$E162))*ROW(映射装备数值!$A$10:$A$56))),"未匹配")</f>
        <v>84</v>
      </c>
      <c r="J162" t="str">
        <f>IFERROR(INDEX(映射装备数值!I:I,SUMPRODUCT((映射装备数值!$C$10:$C$56=IF($F162="Blue","蓝",IF($F162="Purple","紫",IF($F162="Orange","金",IF($F162="Red","红",$F162)))))*((映射装备数值!$A$10:$A$56=$E162)+(映射装备数值!$B$10:$B$56=$E162))*ROW(映射装备数值!$A$10:$A$56))),"未匹配")</f>
        <v>暴击等级</v>
      </c>
      <c r="K162">
        <f>IFERROR(INDEX(映射装备数值!L:L,SUMPRODUCT((映射装备数值!$C$10:$C$56=IF($F162="Blue","蓝",IF($F162="Purple","紫",IF($F162="Orange","金",IF($F162="Red","红",$F162)))))*((映射装备数值!$A$10:$A$56=$E162)+(映射装备数值!$B$10:$B$56=$E162))*ROW(映射装备数值!$A$10:$A$56))),"未匹配")</f>
        <v>334</v>
      </c>
      <c r="L162">
        <f>IFERROR(INDEX(映射装备数值!K:K,SUMPRODUCT((映射装备数值!$C$10:$C$56=IF($F162="Blue","蓝",IF($F162="Purple","紫",IF($F162="Orange","金",IF($F162="Red","红",$F162)))))*((映射装备数值!$A$10:$A$56=$E162)+(映射装备数值!$B$10:$B$56=$E162))*ROW(映射装备数值!$A$10:$A$56))),"未匹配")</f>
        <v>44</v>
      </c>
      <c r="M162" s="93">
        <v>1.16</v>
      </c>
      <c r="N162" s="93">
        <v>0.84</v>
      </c>
      <c r="O162" t="str">
        <f t="shared" si="12"/>
        <v>攻击</v>
      </c>
      <c r="P162">
        <f t="shared" si="13"/>
        <v>747</v>
      </c>
      <c r="Q162">
        <f t="shared" si="14"/>
        <v>97</v>
      </c>
      <c r="R162" t="str">
        <f t="shared" si="15"/>
        <v>暴击等级</v>
      </c>
      <c r="S162">
        <f t="shared" si="16"/>
        <v>281</v>
      </c>
      <c r="T162">
        <f t="shared" si="17"/>
        <v>37</v>
      </c>
      <c r="W162" s="7">
        <v>80160</v>
      </c>
    </row>
    <row r="163" ht="17.25" customHeight="1" spans="3:23">
      <c r="C163" s="7">
        <v>80161</v>
      </c>
      <c r="D163" s="7" t="s">
        <v>736</v>
      </c>
      <c r="E163" s="95" t="s">
        <v>412</v>
      </c>
      <c r="F163" s="92" t="s">
        <v>729</v>
      </c>
      <c r="G163" t="str">
        <f>IFERROR(INDEX(映射装备数值!D:D,SUMPRODUCT((映射装备数值!$C$10:$C$56=IF($F163="Blue","蓝",IF($F163="Purple","紫",IF($F163="Orange","金",IF($F163="Red","红",$F163)))))*((映射装备数值!$A$10:$A$56=$E163)+(映射装备数值!$B$10:$B$56=$E163))*ROW(映射装备数值!$A$10:$A$56))),"未匹配")</f>
        <v>攻击</v>
      </c>
      <c r="H163">
        <f>IFERROR(INDEX(映射装备数值!G:G,SUMPRODUCT((映射装备数值!$C$10:$C$56=IF($F163="Blue","蓝",IF($F163="Purple","紫",IF($F163="Orange","金",IF($F163="Red","红",$F163)))))*((映射装备数值!$A$10:$A$56=$E163)+(映射装备数值!$B$10:$B$56=$E163))*ROW(映射装备数值!$A$10:$A$56))),"未匹配")</f>
        <v>644</v>
      </c>
      <c r="I163">
        <f>IFERROR(INDEX(映射装备数值!F:F,SUMPRODUCT((映射装备数值!$C$10:$C$56=IF($F163="Blue","蓝",IF($F163="Purple","紫",IF($F163="Orange","金",IF($F163="Red","红",$F163)))))*((映射装备数值!$A$10:$A$56=$E163)+(映射装备数值!$B$10:$B$56=$E163))*ROW(映射装备数值!$A$10:$A$56))),"未匹配")</f>
        <v>84</v>
      </c>
      <c r="J163" t="str">
        <f>IFERROR(INDEX(映射装备数值!I:I,SUMPRODUCT((映射装备数值!$C$10:$C$56=IF($F163="Blue","蓝",IF($F163="Purple","紫",IF($F163="Orange","金",IF($F163="Red","红",$F163)))))*((映射装备数值!$A$10:$A$56=$E163)+(映射装备数值!$B$10:$B$56=$E163))*ROW(映射装备数值!$A$10:$A$56))),"未匹配")</f>
        <v>暴击等级</v>
      </c>
      <c r="K163">
        <f>IFERROR(INDEX(映射装备数值!L:L,SUMPRODUCT((映射装备数值!$C$10:$C$56=IF($F163="Blue","蓝",IF($F163="Purple","紫",IF($F163="Orange","金",IF($F163="Red","红",$F163)))))*((映射装备数值!$A$10:$A$56=$E163)+(映射装备数值!$B$10:$B$56=$E163))*ROW(映射装备数值!$A$10:$A$56))),"未匹配")</f>
        <v>334</v>
      </c>
      <c r="L163">
        <f>IFERROR(INDEX(映射装备数值!K:K,SUMPRODUCT((映射装备数值!$C$10:$C$56=IF($F163="Blue","蓝",IF($F163="Purple","紫",IF($F163="Orange","金",IF($F163="Red","红",$F163)))))*((映射装备数值!$A$10:$A$56=$E163)+(映射装备数值!$B$10:$B$56=$E163))*ROW(映射装备数值!$A$10:$A$56))),"未匹配")</f>
        <v>44</v>
      </c>
      <c r="M163" s="93">
        <v>1.1</v>
      </c>
      <c r="N163" s="93">
        <v>0.9</v>
      </c>
      <c r="O163" t="str">
        <f t="shared" si="12"/>
        <v>攻击</v>
      </c>
      <c r="P163">
        <f t="shared" si="13"/>
        <v>708</v>
      </c>
      <c r="Q163">
        <f t="shared" si="14"/>
        <v>92</v>
      </c>
      <c r="R163" t="str">
        <f t="shared" si="15"/>
        <v>暴击等级</v>
      </c>
      <c r="S163">
        <f t="shared" si="16"/>
        <v>301</v>
      </c>
      <c r="T163">
        <f t="shared" si="17"/>
        <v>40</v>
      </c>
      <c r="W163" s="7">
        <v>80161</v>
      </c>
    </row>
    <row r="164" ht="17.25" customHeight="1" spans="3:23">
      <c r="C164" s="88">
        <v>80162</v>
      </c>
      <c r="D164" s="7" t="s">
        <v>737</v>
      </c>
      <c r="E164" s="95" t="s">
        <v>412</v>
      </c>
      <c r="F164" s="94" t="s">
        <v>729</v>
      </c>
      <c r="G164" t="str">
        <f>IFERROR(INDEX(映射装备数值!D:D,SUMPRODUCT((映射装备数值!$C$10:$C$56=IF($F164="Blue","蓝",IF($F164="Purple","紫",IF($F164="Orange","金",IF($F164="Red","红",$F164)))))*((映射装备数值!$A$10:$A$56=$E164)+(映射装备数值!$B$10:$B$56=$E164))*ROW(映射装备数值!$A$10:$A$56))),"未匹配")</f>
        <v>攻击</v>
      </c>
      <c r="H164">
        <f>IFERROR(INDEX(映射装备数值!G:G,SUMPRODUCT((映射装备数值!$C$10:$C$56=IF($F164="Blue","蓝",IF($F164="Purple","紫",IF($F164="Orange","金",IF($F164="Red","红",$F164)))))*((映射装备数值!$A$10:$A$56=$E164)+(映射装备数值!$B$10:$B$56=$E164))*ROW(映射装备数值!$A$10:$A$56))),"未匹配")</f>
        <v>644</v>
      </c>
      <c r="I164">
        <f>IFERROR(INDEX(映射装备数值!F:F,SUMPRODUCT((映射装备数值!$C$10:$C$56=IF($F164="Blue","蓝",IF($F164="Purple","紫",IF($F164="Orange","金",IF($F164="Red","红",$F164)))))*((映射装备数值!$A$10:$A$56=$E164)+(映射装备数值!$B$10:$B$56=$E164))*ROW(映射装备数值!$A$10:$A$56))),"未匹配")</f>
        <v>84</v>
      </c>
      <c r="J164" t="str">
        <f>IFERROR(INDEX(映射装备数值!I:I,SUMPRODUCT((映射装备数值!$C$10:$C$56=IF($F164="Blue","蓝",IF($F164="Purple","紫",IF($F164="Orange","金",IF($F164="Red","红",$F164)))))*((映射装备数值!$A$10:$A$56=$E164)+(映射装备数值!$B$10:$B$56=$E164))*ROW(映射装备数值!$A$10:$A$56))),"未匹配")</f>
        <v>暴击等级</v>
      </c>
      <c r="K164">
        <f>IFERROR(INDEX(映射装备数值!L:L,SUMPRODUCT((映射装备数值!$C$10:$C$56=IF($F164="Blue","蓝",IF($F164="Purple","紫",IF($F164="Orange","金",IF($F164="Red","红",$F164)))))*((映射装备数值!$A$10:$A$56=$E164)+(映射装备数值!$B$10:$B$56=$E164))*ROW(映射装备数值!$A$10:$A$56))),"未匹配")</f>
        <v>334</v>
      </c>
      <c r="L164">
        <f>IFERROR(INDEX(映射装备数值!K:K,SUMPRODUCT((映射装备数值!$C$10:$C$56=IF($F164="Blue","蓝",IF($F164="Purple","紫",IF($F164="Orange","金",IF($F164="Red","红",$F164)))))*((映射装备数值!$A$10:$A$56=$E164)+(映射装备数值!$B$10:$B$56=$E164))*ROW(映射装备数值!$A$10:$A$56))),"未匹配")</f>
        <v>44</v>
      </c>
      <c r="M164" s="93">
        <v>1.12</v>
      </c>
      <c r="N164" s="93">
        <v>0.88</v>
      </c>
      <c r="O164" t="str">
        <f t="shared" si="12"/>
        <v>攻击</v>
      </c>
      <c r="P164">
        <f t="shared" si="13"/>
        <v>721</v>
      </c>
      <c r="Q164">
        <f t="shared" si="14"/>
        <v>94</v>
      </c>
      <c r="R164" t="str">
        <f t="shared" si="15"/>
        <v>暴击等级</v>
      </c>
      <c r="S164">
        <f t="shared" si="16"/>
        <v>294</v>
      </c>
      <c r="T164">
        <f t="shared" si="17"/>
        <v>39</v>
      </c>
      <c r="W164" s="88">
        <v>80162</v>
      </c>
    </row>
    <row r="165" ht="17.25" customHeight="1" spans="3:23">
      <c r="C165" s="7">
        <v>80163</v>
      </c>
      <c r="D165" s="7" t="s">
        <v>738</v>
      </c>
      <c r="E165" s="25" t="s">
        <v>413</v>
      </c>
      <c r="F165" s="92" t="s">
        <v>729</v>
      </c>
      <c r="G165" t="str">
        <f>IFERROR(INDEX(映射装备数值!D:D,SUMPRODUCT((映射装备数值!$C$10:$C$56=IF($F165="Blue","蓝",IF($F165="Purple","紫",IF($F165="Orange","金",IF($F165="Red","红",$F165)))))*((映射装备数值!$A$10:$A$56=$E165)+(映射装备数值!$B$10:$B$56=$E165))*ROW(映射装备数值!$A$10:$A$56))),"未匹配")</f>
        <v>生命</v>
      </c>
      <c r="H165">
        <f>IFERROR(INDEX(映射装备数值!G:G,SUMPRODUCT((映射装备数值!$C$10:$C$56=IF($F165="Blue","蓝",IF($F165="Purple","紫",IF($F165="Orange","金",IF($F165="Red","红",$F165)))))*((映射装备数值!$A$10:$A$56=$E165)+(映射装备数值!$B$10:$B$56=$E165))*ROW(映射装备数值!$A$10:$A$56))),"未匹配")</f>
        <v>2156.25</v>
      </c>
      <c r="I165">
        <f>IFERROR(INDEX(映射装备数值!F:F,SUMPRODUCT((映射装备数值!$C$10:$C$56=IF($F165="Blue","蓝",IF($F165="Purple","紫",IF($F165="Orange","金",IF($F165="Red","红",$F165)))))*((映射装备数值!$A$10:$A$56=$E165)+(映射装备数值!$B$10:$B$56=$E165))*ROW(映射装备数值!$A$10:$A$56))),"未匹配")</f>
        <v>281.25</v>
      </c>
      <c r="J165" t="str">
        <f>IFERROR(INDEX(映射装备数值!I:I,SUMPRODUCT((映射装备数值!$C$10:$C$56=IF($F165="Blue","蓝",IF($F165="Purple","紫",IF($F165="Orange","金",IF($F165="Red","红",$F165)))))*((映射装备数值!$A$10:$A$56=$E165)+(映射装备数值!$B$10:$B$56=$E165))*ROW(映射装备数值!$A$10:$A$56))),"未匹配")</f>
        <v>攻击加成</v>
      </c>
      <c r="K165">
        <f>IFERROR(INDEX(映射装备数值!L:L,SUMPRODUCT((映射装备数值!$C$10:$C$56=IF($F165="Blue","蓝",IF($F165="Purple","紫",IF($F165="Orange","金",IF($F165="Red","红",$F165)))))*((映射装备数值!$A$10:$A$56=$E165)+(映射装备数值!$B$10:$B$56=$E165))*ROW(映射装备数值!$A$10:$A$56))),"未匹配")</f>
        <v>0.046</v>
      </c>
      <c r="L165">
        <f>IFERROR(INDEX(映射装备数值!K:K,SUMPRODUCT((映射装备数值!$C$10:$C$56=IF($F165="Blue","蓝",IF($F165="Purple","紫",IF($F165="Orange","金",IF($F165="Red","红",$F165)))))*((映射装备数值!$A$10:$A$56=$E165)+(映射装备数值!$B$10:$B$56=$E165))*ROW(映射装备数值!$A$10:$A$56))),"未匹配")</f>
        <v>0.006</v>
      </c>
      <c r="M165" s="93">
        <v>1.2</v>
      </c>
      <c r="N165" s="93">
        <v>0.8</v>
      </c>
      <c r="O165" t="str">
        <f t="shared" si="12"/>
        <v>生命</v>
      </c>
      <c r="P165">
        <f t="shared" si="13"/>
        <v>2588</v>
      </c>
      <c r="Q165">
        <f t="shared" si="14"/>
        <v>338</v>
      </c>
      <c r="R165" t="str">
        <f t="shared" si="15"/>
        <v>攻击加成</v>
      </c>
      <c r="S165">
        <f t="shared" si="16"/>
        <v>0.037</v>
      </c>
      <c r="T165">
        <f t="shared" si="17"/>
        <v>0.0048</v>
      </c>
      <c r="W165" s="7">
        <v>80163</v>
      </c>
    </row>
    <row r="166" ht="17.25" customHeight="1" spans="3:23">
      <c r="C166" s="7">
        <v>80164</v>
      </c>
      <c r="D166" s="7" t="s">
        <v>739</v>
      </c>
      <c r="E166" s="25" t="s">
        <v>413</v>
      </c>
      <c r="F166" s="92" t="s">
        <v>729</v>
      </c>
      <c r="G166" t="str">
        <f>IFERROR(INDEX(映射装备数值!D:D,SUMPRODUCT((映射装备数值!$C$10:$C$56=IF($F166="Blue","蓝",IF($F166="Purple","紫",IF($F166="Orange","金",IF($F166="Red","红",$F166)))))*((映射装备数值!$A$10:$A$56=$E166)+(映射装备数值!$B$10:$B$56=$E166))*ROW(映射装备数值!$A$10:$A$56))),"未匹配")</f>
        <v>生命</v>
      </c>
      <c r="H166">
        <f>IFERROR(INDEX(映射装备数值!G:G,SUMPRODUCT((映射装备数值!$C$10:$C$56=IF($F166="Blue","蓝",IF($F166="Purple","紫",IF($F166="Orange","金",IF($F166="Red","红",$F166)))))*((映射装备数值!$A$10:$A$56=$E166)+(映射装备数值!$B$10:$B$56=$E166))*ROW(映射装备数值!$A$10:$A$56))),"未匹配")</f>
        <v>2156.25</v>
      </c>
      <c r="I166">
        <f>IFERROR(INDEX(映射装备数值!F:F,SUMPRODUCT((映射装备数值!$C$10:$C$56=IF($F166="Blue","蓝",IF($F166="Purple","紫",IF($F166="Orange","金",IF($F166="Red","红",$F166)))))*((映射装备数值!$A$10:$A$56=$E166)+(映射装备数值!$B$10:$B$56=$E166))*ROW(映射装备数值!$A$10:$A$56))),"未匹配")</f>
        <v>281.25</v>
      </c>
      <c r="J166" t="str">
        <f>IFERROR(INDEX(映射装备数值!I:I,SUMPRODUCT((映射装备数值!$C$10:$C$56=IF($F166="Blue","蓝",IF($F166="Purple","紫",IF($F166="Orange","金",IF($F166="Red","红",$F166)))))*((映射装备数值!$A$10:$A$56=$E166)+(映射装备数值!$B$10:$B$56=$E166))*ROW(映射装备数值!$A$10:$A$56))),"未匹配")</f>
        <v>攻击加成</v>
      </c>
      <c r="K166">
        <f>IFERROR(INDEX(映射装备数值!L:L,SUMPRODUCT((映射装备数值!$C$10:$C$56=IF($F166="Blue","蓝",IF($F166="Purple","紫",IF($F166="Orange","金",IF($F166="Red","红",$F166)))))*((映射装备数值!$A$10:$A$56=$E166)+(映射装备数值!$B$10:$B$56=$E166))*ROW(映射装备数值!$A$10:$A$56))),"未匹配")</f>
        <v>0.046</v>
      </c>
      <c r="L166">
        <f>IFERROR(INDEX(映射装备数值!K:K,SUMPRODUCT((映射装备数值!$C$10:$C$56=IF($F166="Blue","蓝",IF($F166="Purple","紫",IF($F166="Orange","金",IF($F166="Red","红",$F166)))))*((映射装备数值!$A$10:$A$56=$E166)+(映射装备数值!$B$10:$B$56=$E166))*ROW(映射装备数值!$A$10:$A$56))),"未匹配")</f>
        <v>0.006</v>
      </c>
      <c r="M166" s="93">
        <v>1.25</v>
      </c>
      <c r="N166" s="93">
        <v>0.75</v>
      </c>
      <c r="O166" t="str">
        <f t="shared" si="12"/>
        <v>生命</v>
      </c>
      <c r="P166">
        <f t="shared" si="13"/>
        <v>2695</v>
      </c>
      <c r="Q166">
        <f t="shared" si="14"/>
        <v>352</v>
      </c>
      <c r="R166" t="str">
        <f t="shared" si="15"/>
        <v>攻击加成</v>
      </c>
      <c r="S166">
        <f t="shared" si="16"/>
        <v>0.035</v>
      </c>
      <c r="T166">
        <f t="shared" si="17"/>
        <v>0.0045</v>
      </c>
      <c r="W166" s="7">
        <v>80164</v>
      </c>
    </row>
    <row r="167" ht="17.25" customHeight="1" spans="3:23">
      <c r="C167" s="7">
        <v>80165</v>
      </c>
      <c r="D167" s="7" t="s">
        <v>740</v>
      </c>
      <c r="E167" s="25" t="s">
        <v>413</v>
      </c>
      <c r="F167" s="92" t="s">
        <v>729</v>
      </c>
      <c r="G167" t="str">
        <f>IFERROR(INDEX(映射装备数值!D:D,SUMPRODUCT((映射装备数值!$C$10:$C$56=IF($F167="Blue","蓝",IF($F167="Purple","紫",IF($F167="Orange","金",IF($F167="Red","红",$F167)))))*((映射装备数值!$A$10:$A$56=$E167)+(映射装备数值!$B$10:$B$56=$E167))*ROW(映射装备数值!$A$10:$A$56))),"未匹配")</f>
        <v>生命</v>
      </c>
      <c r="H167">
        <f>IFERROR(INDEX(映射装备数值!G:G,SUMPRODUCT((映射装备数值!$C$10:$C$56=IF($F167="Blue","蓝",IF($F167="Purple","紫",IF($F167="Orange","金",IF($F167="Red","红",$F167)))))*((映射装备数值!$A$10:$A$56=$E167)+(映射装备数值!$B$10:$B$56=$E167))*ROW(映射装备数值!$A$10:$A$56))),"未匹配")</f>
        <v>2156.25</v>
      </c>
      <c r="I167">
        <f>IFERROR(INDEX(映射装备数值!F:F,SUMPRODUCT((映射装备数值!$C$10:$C$56=IF($F167="Blue","蓝",IF($F167="Purple","紫",IF($F167="Orange","金",IF($F167="Red","红",$F167)))))*((映射装备数值!$A$10:$A$56=$E167)+(映射装备数值!$B$10:$B$56=$E167))*ROW(映射装备数值!$A$10:$A$56))),"未匹配")</f>
        <v>281.25</v>
      </c>
      <c r="J167" t="str">
        <f>IFERROR(INDEX(映射装备数值!I:I,SUMPRODUCT((映射装备数值!$C$10:$C$56=IF($F167="Blue","蓝",IF($F167="Purple","紫",IF($F167="Orange","金",IF($F167="Red","红",$F167)))))*((映射装备数值!$A$10:$A$56=$E167)+(映射装备数值!$B$10:$B$56=$E167))*ROW(映射装备数值!$A$10:$A$56))),"未匹配")</f>
        <v>攻击加成</v>
      </c>
      <c r="K167">
        <f>IFERROR(INDEX(映射装备数值!L:L,SUMPRODUCT((映射装备数值!$C$10:$C$56=IF($F167="Blue","蓝",IF($F167="Purple","紫",IF($F167="Orange","金",IF($F167="Red","红",$F167)))))*((映射装备数值!$A$10:$A$56=$E167)+(映射装备数值!$B$10:$B$56=$E167))*ROW(映射装备数值!$A$10:$A$56))),"未匹配")</f>
        <v>0.046</v>
      </c>
      <c r="L167">
        <f>IFERROR(INDEX(映射装备数值!K:K,SUMPRODUCT((映射装备数值!$C$10:$C$56=IF($F167="Blue","蓝",IF($F167="Purple","紫",IF($F167="Orange","金",IF($F167="Red","红",$F167)))))*((映射装备数值!$A$10:$A$56=$E167)+(映射装备数值!$B$10:$B$56=$E167))*ROW(映射装备数值!$A$10:$A$56))),"未匹配")</f>
        <v>0.006</v>
      </c>
      <c r="M167" s="93">
        <v>1</v>
      </c>
      <c r="N167" s="93">
        <v>1</v>
      </c>
      <c r="O167" t="str">
        <f t="shared" si="12"/>
        <v>生命</v>
      </c>
      <c r="P167">
        <f t="shared" si="13"/>
        <v>2156</v>
      </c>
      <c r="Q167">
        <f t="shared" si="14"/>
        <v>281</v>
      </c>
      <c r="R167" t="str">
        <f t="shared" si="15"/>
        <v>攻击加成</v>
      </c>
      <c r="S167">
        <f t="shared" si="16"/>
        <v>0.046</v>
      </c>
      <c r="T167">
        <f t="shared" si="17"/>
        <v>0.006</v>
      </c>
      <c r="W167" s="7">
        <v>80165</v>
      </c>
    </row>
    <row r="168" ht="17.25" customHeight="1" spans="3:23">
      <c r="C168" s="88">
        <v>80166</v>
      </c>
      <c r="D168" s="7" t="s">
        <v>741</v>
      </c>
      <c r="E168" s="25" t="s">
        <v>413</v>
      </c>
      <c r="F168" s="94" t="s">
        <v>729</v>
      </c>
      <c r="G168" t="str">
        <f>IFERROR(INDEX(映射装备数值!D:D,SUMPRODUCT((映射装备数值!$C$10:$C$56=IF($F168="Blue","蓝",IF($F168="Purple","紫",IF($F168="Orange","金",IF($F168="Red","红",$F168)))))*((映射装备数值!$A$10:$A$56=$E168)+(映射装备数值!$B$10:$B$56=$E168))*ROW(映射装备数值!$A$10:$A$56))),"未匹配")</f>
        <v>生命</v>
      </c>
      <c r="H168">
        <f>IFERROR(INDEX(映射装备数值!G:G,SUMPRODUCT((映射装备数值!$C$10:$C$56=IF($F168="Blue","蓝",IF($F168="Purple","紫",IF($F168="Orange","金",IF($F168="Red","红",$F168)))))*((映射装备数值!$A$10:$A$56=$E168)+(映射装备数值!$B$10:$B$56=$E168))*ROW(映射装备数值!$A$10:$A$56))),"未匹配")</f>
        <v>2156.25</v>
      </c>
      <c r="I168">
        <f>IFERROR(INDEX(映射装备数值!F:F,SUMPRODUCT((映射装备数值!$C$10:$C$56=IF($F168="Blue","蓝",IF($F168="Purple","紫",IF($F168="Orange","金",IF($F168="Red","红",$F168)))))*((映射装备数值!$A$10:$A$56=$E168)+(映射装备数值!$B$10:$B$56=$E168))*ROW(映射装备数值!$A$10:$A$56))),"未匹配")</f>
        <v>281.25</v>
      </c>
      <c r="J168" t="str">
        <f>IFERROR(INDEX(映射装备数值!I:I,SUMPRODUCT((映射装备数值!$C$10:$C$56=IF($F168="Blue","蓝",IF($F168="Purple","紫",IF($F168="Orange","金",IF($F168="Red","红",$F168)))))*((映射装备数值!$A$10:$A$56=$E168)+(映射装备数值!$B$10:$B$56=$E168))*ROW(映射装备数值!$A$10:$A$56))),"未匹配")</f>
        <v>攻击加成</v>
      </c>
      <c r="K168">
        <f>IFERROR(INDEX(映射装备数值!L:L,SUMPRODUCT((映射装备数值!$C$10:$C$56=IF($F168="Blue","蓝",IF($F168="Purple","紫",IF($F168="Orange","金",IF($F168="Red","红",$F168)))))*((映射装备数值!$A$10:$A$56=$E168)+(映射装备数值!$B$10:$B$56=$E168))*ROW(映射装备数值!$A$10:$A$56))),"未匹配")</f>
        <v>0.046</v>
      </c>
      <c r="L168">
        <f>IFERROR(INDEX(映射装备数值!K:K,SUMPRODUCT((映射装备数值!$C$10:$C$56=IF($F168="Blue","蓝",IF($F168="Purple","紫",IF($F168="Orange","金",IF($F168="Red","红",$F168)))))*((映射装备数值!$A$10:$A$56=$E168)+(映射装备数值!$B$10:$B$56=$E168))*ROW(映射装备数值!$A$10:$A$56))),"未匹配")</f>
        <v>0.006</v>
      </c>
      <c r="M168" s="93">
        <v>0.9</v>
      </c>
      <c r="N168" s="93">
        <v>1.1</v>
      </c>
      <c r="O168" t="str">
        <f t="shared" si="12"/>
        <v>生命</v>
      </c>
      <c r="P168">
        <f t="shared" si="13"/>
        <v>1941</v>
      </c>
      <c r="Q168">
        <f t="shared" si="14"/>
        <v>253</v>
      </c>
      <c r="R168" t="str">
        <f t="shared" si="15"/>
        <v>攻击加成</v>
      </c>
      <c r="S168">
        <f t="shared" si="16"/>
        <v>0.051</v>
      </c>
      <c r="T168">
        <f t="shared" si="17"/>
        <v>0.0066</v>
      </c>
      <c r="W168" s="88">
        <v>80166</v>
      </c>
    </row>
    <row r="169" ht="17.25" customHeight="1" spans="3:23">
      <c r="C169" s="7">
        <v>80167</v>
      </c>
      <c r="D169" s="7" t="s">
        <v>742</v>
      </c>
      <c r="E169" s="25" t="s">
        <v>543</v>
      </c>
      <c r="F169" s="92" t="s">
        <v>729</v>
      </c>
      <c r="G169" t="str">
        <f>IFERROR(INDEX(映射装备数值!D:D,SUMPRODUCT((映射装备数值!$C$10:$C$56=IF($F169="Blue","蓝",IF($F169="Purple","紫",IF($F169="Orange","金",IF($F169="Red","红",$F169)))))*((映射装备数值!$A$10:$A$56=$E169)+(映射装备数值!$B$10:$B$56=$E169))*ROW(映射装备数值!$A$10:$A$56))),"未匹配")</f>
        <v>防御力</v>
      </c>
      <c r="H169">
        <f>IFERROR(INDEX(映射装备数值!G:G,SUMPRODUCT((映射装备数值!$C$10:$C$56=IF($F169="Blue","蓝",IF($F169="Purple","紫",IF($F169="Orange","金",IF($F169="Red","红",$F169)))))*((映射装备数值!$A$10:$A$56=$E169)+(映射装备数值!$B$10:$B$56=$E169))*ROW(映射装备数值!$A$10:$A$56))),"未匹配")</f>
        <v>431.25</v>
      </c>
      <c r="I169">
        <f>IFERROR(INDEX(映射装备数值!F:F,SUMPRODUCT((映射装备数值!$C$10:$C$56=IF($F169="Blue","蓝",IF($F169="Purple","紫",IF($F169="Orange","金",IF($F169="Red","红",$F169)))))*((映射装备数值!$A$10:$A$56=$E169)+(映射装备数值!$B$10:$B$56=$E169))*ROW(映射装备数值!$A$10:$A$56))),"未匹配")</f>
        <v>56.25</v>
      </c>
      <c r="J169" t="str">
        <f>IFERROR(INDEX(映射装备数值!I:I,SUMPRODUCT((映射装备数值!$C$10:$C$56=IF($F169="Blue","蓝",IF($F169="Purple","紫",IF($F169="Orange","金",IF($F169="Red","红",$F169)))))*((映射装备数值!$A$10:$A$56=$E169)+(映射装备数值!$B$10:$B$56=$E169))*ROW(映射装备数值!$A$10:$A$56))),"未匹配")</f>
        <v>防御加成</v>
      </c>
      <c r="K169">
        <f>IFERROR(INDEX(映射装备数值!L:L,SUMPRODUCT((映射装备数值!$C$10:$C$56=IF($F169="Blue","蓝",IF($F169="Purple","紫",IF($F169="Orange","金",IF($F169="Red","红",$F169)))))*((映射装备数值!$A$10:$A$56=$E169)+(映射装备数值!$B$10:$B$56=$E169))*ROW(映射装备数值!$A$10:$A$56))),"未匹配")</f>
        <v>0.046</v>
      </c>
      <c r="L169">
        <f>IFERROR(INDEX(映射装备数值!K:K,SUMPRODUCT((映射装备数值!$C$10:$C$56=IF($F169="Blue","蓝",IF($F169="Purple","紫",IF($F169="Orange","金",IF($F169="Red","红",$F169)))))*((映射装备数值!$A$10:$A$56=$E169)+(映射装备数值!$B$10:$B$56=$E169))*ROW(映射装备数值!$A$10:$A$56))),"未匹配")</f>
        <v>0.006</v>
      </c>
      <c r="M169" s="93">
        <v>1.05</v>
      </c>
      <c r="N169" s="93">
        <v>0.95</v>
      </c>
      <c r="O169" t="str">
        <f t="shared" si="12"/>
        <v>防御力</v>
      </c>
      <c r="P169">
        <f t="shared" si="13"/>
        <v>453</v>
      </c>
      <c r="Q169">
        <f t="shared" si="14"/>
        <v>59</v>
      </c>
      <c r="R169" t="str">
        <f t="shared" si="15"/>
        <v>防御加成</v>
      </c>
      <c r="S169">
        <f t="shared" si="16"/>
        <v>0.044</v>
      </c>
      <c r="T169">
        <f t="shared" si="17"/>
        <v>0.0057</v>
      </c>
      <c r="W169" s="7">
        <v>80167</v>
      </c>
    </row>
    <row r="170" ht="17.25" customHeight="1" spans="3:23">
      <c r="C170" s="7">
        <v>80168</v>
      </c>
      <c r="D170" s="7" t="s">
        <v>743</v>
      </c>
      <c r="E170" s="25" t="s">
        <v>543</v>
      </c>
      <c r="F170" s="92" t="s">
        <v>729</v>
      </c>
      <c r="G170" t="str">
        <f>IFERROR(INDEX(映射装备数值!D:D,SUMPRODUCT((映射装备数值!$C$10:$C$56=IF($F170="Blue","蓝",IF($F170="Purple","紫",IF($F170="Orange","金",IF($F170="Red","红",$F170)))))*((映射装备数值!$A$10:$A$56=$E170)+(映射装备数值!$B$10:$B$56=$E170))*ROW(映射装备数值!$A$10:$A$56))),"未匹配")</f>
        <v>防御力</v>
      </c>
      <c r="H170">
        <f>IFERROR(INDEX(映射装备数值!G:G,SUMPRODUCT((映射装备数值!$C$10:$C$56=IF($F170="Blue","蓝",IF($F170="Purple","紫",IF($F170="Orange","金",IF($F170="Red","红",$F170)))))*((映射装备数值!$A$10:$A$56=$E170)+(映射装备数值!$B$10:$B$56=$E170))*ROW(映射装备数值!$A$10:$A$56))),"未匹配")</f>
        <v>431.25</v>
      </c>
      <c r="I170">
        <f>IFERROR(INDEX(映射装备数值!F:F,SUMPRODUCT((映射装备数值!$C$10:$C$56=IF($F170="Blue","蓝",IF($F170="Purple","紫",IF($F170="Orange","金",IF($F170="Red","红",$F170)))))*((映射装备数值!$A$10:$A$56=$E170)+(映射装备数值!$B$10:$B$56=$E170))*ROW(映射装备数值!$A$10:$A$56))),"未匹配")</f>
        <v>56.25</v>
      </c>
      <c r="J170" t="str">
        <f>IFERROR(INDEX(映射装备数值!I:I,SUMPRODUCT((映射装备数值!$C$10:$C$56=IF($F170="Blue","蓝",IF($F170="Purple","紫",IF($F170="Orange","金",IF($F170="Red","红",$F170)))))*((映射装备数值!$A$10:$A$56=$E170)+(映射装备数值!$B$10:$B$56=$E170))*ROW(映射装备数值!$A$10:$A$56))),"未匹配")</f>
        <v>防御加成</v>
      </c>
      <c r="K170">
        <f>IFERROR(INDEX(映射装备数值!L:L,SUMPRODUCT((映射装备数值!$C$10:$C$56=IF($F170="Blue","蓝",IF($F170="Purple","紫",IF($F170="Orange","金",IF($F170="Red","红",$F170)))))*((映射装备数值!$A$10:$A$56=$E170)+(映射装备数值!$B$10:$B$56=$E170))*ROW(映射装备数值!$A$10:$A$56))),"未匹配")</f>
        <v>0.046</v>
      </c>
      <c r="L170">
        <f>IFERROR(INDEX(映射装备数值!K:K,SUMPRODUCT((映射装备数值!$C$10:$C$56=IF($F170="Blue","蓝",IF($F170="Purple","紫",IF($F170="Orange","金",IF($F170="Red","红",$F170)))))*((映射装备数值!$A$10:$A$56=$E170)+(映射装备数值!$B$10:$B$56=$E170))*ROW(映射装备数值!$A$10:$A$56))),"未匹配")</f>
        <v>0.006</v>
      </c>
      <c r="M170" s="93">
        <v>1.15</v>
      </c>
      <c r="N170" s="93">
        <v>0.85</v>
      </c>
      <c r="O170" t="str">
        <f t="shared" si="12"/>
        <v>防御力</v>
      </c>
      <c r="P170">
        <f t="shared" si="13"/>
        <v>496</v>
      </c>
      <c r="Q170">
        <f t="shared" si="14"/>
        <v>65</v>
      </c>
      <c r="R170" t="str">
        <f t="shared" si="15"/>
        <v>防御加成</v>
      </c>
      <c r="S170">
        <f t="shared" si="16"/>
        <v>0.039</v>
      </c>
      <c r="T170">
        <f t="shared" si="17"/>
        <v>0.0051</v>
      </c>
      <c r="W170" s="7">
        <v>80168</v>
      </c>
    </row>
    <row r="171" ht="17.25" customHeight="1" spans="3:23">
      <c r="C171" s="7">
        <v>80169</v>
      </c>
      <c r="D171" s="7" t="s">
        <v>744</v>
      </c>
      <c r="E171" s="25" t="s">
        <v>543</v>
      </c>
      <c r="F171" s="92" t="s">
        <v>729</v>
      </c>
      <c r="G171" t="str">
        <f>IFERROR(INDEX(映射装备数值!D:D,SUMPRODUCT((映射装备数值!$C$10:$C$56=IF($F171="Blue","蓝",IF($F171="Purple","紫",IF($F171="Orange","金",IF($F171="Red","红",$F171)))))*((映射装备数值!$A$10:$A$56=$E171)+(映射装备数值!$B$10:$B$56=$E171))*ROW(映射装备数值!$A$10:$A$56))),"未匹配")</f>
        <v>防御力</v>
      </c>
      <c r="H171">
        <f>IFERROR(INDEX(映射装备数值!G:G,SUMPRODUCT((映射装备数值!$C$10:$C$56=IF($F171="Blue","蓝",IF($F171="Purple","紫",IF($F171="Orange","金",IF($F171="Red","红",$F171)))))*((映射装备数值!$A$10:$A$56=$E171)+(映射装备数值!$B$10:$B$56=$E171))*ROW(映射装备数值!$A$10:$A$56))),"未匹配")</f>
        <v>431.25</v>
      </c>
      <c r="I171">
        <f>IFERROR(INDEX(映射装备数值!F:F,SUMPRODUCT((映射装备数值!$C$10:$C$56=IF($F171="Blue","蓝",IF($F171="Purple","紫",IF($F171="Orange","金",IF($F171="Red","红",$F171)))))*((映射装备数值!$A$10:$A$56=$E171)+(映射装备数值!$B$10:$B$56=$E171))*ROW(映射装备数值!$A$10:$A$56))),"未匹配")</f>
        <v>56.25</v>
      </c>
      <c r="J171" t="str">
        <f>IFERROR(INDEX(映射装备数值!I:I,SUMPRODUCT((映射装备数值!$C$10:$C$56=IF($F171="Blue","蓝",IF($F171="Purple","紫",IF($F171="Orange","金",IF($F171="Red","红",$F171)))))*((映射装备数值!$A$10:$A$56=$E171)+(映射装备数值!$B$10:$B$56=$E171))*ROW(映射装备数值!$A$10:$A$56))),"未匹配")</f>
        <v>防御加成</v>
      </c>
      <c r="K171">
        <f>IFERROR(INDEX(映射装备数值!L:L,SUMPRODUCT((映射装备数值!$C$10:$C$56=IF($F171="Blue","蓝",IF($F171="Purple","紫",IF($F171="Orange","金",IF($F171="Red","红",$F171)))))*((映射装备数值!$A$10:$A$56=$E171)+(映射装备数值!$B$10:$B$56=$E171))*ROW(映射装备数值!$A$10:$A$56))),"未匹配")</f>
        <v>0.046</v>
      </c>
      <c r="L171">
        <f>IFERROR(INDEX(映射装备数值!K:K,SUMPRODUCT((映射装备数值!$C$10:$C$56=IF($F171="Blue","蓝",IF($F171="Purple","紫",IF($F171="Orange","金",IF($F171="Red","红",$F171)))))*((映射装备数值!$A$10:$A$56=$E171)+(映射装备数值!$B$10:$B$56=$E171))*ROW(映射装备数值!$A$10:$A$56))),"未匹配")</f>
        <v>0.006</v>
      </c>
      <c r="M171" s="93">
        <v>1.12</v>
      </c>
      <c r="N171" s="93">
        <v>0.88</v>
      </c>
      <c r="O171" t="str">
        <f t="shared" si="12"/>
        <v>防御力</v>
      </c>
      <c r="P171">
        <f t="shared" si="13"/>
        <v>483</v>
      </c>
      <c r="Q171">
        <f t="shared" si="14"/>
        <v>63</v>
      </c>
      <c r="R171" t="str">
        <f t="shared" si="15"/>
        <v>防御加成</v>
      </c>
      <c r="S171">
        <f t="shared" si="16"/>
        <v>0.04</v>
      </c>
      <c r="T171">
        <f t="shared" si="17"/>
        <v>0.0053</v>
      </c>
      <c r="W171" s="7">
        <v>80169</v>
      </c>
    </row>
    <row r="172" ht="17.25" customHeight="1" spans="3:23">
      <c r="C172" s="88">
        <v>80170</v>
      </c>
      <c r="D172" s="7" t="s">
        <v>745</v>
      </c>
      <c r="E172" s="25" t="s">
        <v>543</v>
      </c>
      <c r="F172" s="94" t="s">
        <v>729</v>
      </c>
      <c r="G172" t="str">
        <f>IFERROR(INDEX(映射装备数值!D:D,SUMPRODUCT((映射装备数值!$C$10:$C$56=IF($F172="Blue","蓝",IF($F172="Purple","紫",IF($F172="Orange","金",IF($F172="Red","红",$F172)))))*((映射装备数值!$A$10:$A$56=$E172)+(映射装备数值!$B$10:$B$56=$E172))*ROW(映射装备数值!$A$10:$A$56))),"未匹配")</f>
        <v>防御力</v>
      </c>
      <c r="H172">
        <f>IFERROR(INDEX(映射装备数值!G:G,SUMPRODUCT((映射装备数值!$C$10:$C$56=IF($F172="Blue","蓝",IF($F172="Purple","紫",IF($F172="Orange","金",IF($F172="Red","红",$F172)))))*((映射装备数值!$A$10:$A$56=$E172)+(映射装备数值!$B$10:$B$56=$E172))*ROW(映射装备数值!$A$10:$A$56))),"未匹配")</f>
        <v>431.25</v>
      </c>
      <c r="I172">
        <f>IFERROR(INDEX(映射装备数值!F:F,SUMPRODUCT((映射装备数值!$C$10:$C$56=IF($F172="Blue","蓝",IF($F172="Purple","紫",IF($F172="Orange","金",IF($F172="Red","红",$F172)))))*((映射装备数值!$A$10:$A$56=$E172)+(映射装备数值!$B$10:$B$56=$E172))*ROW(映射装备数值!$A$10:$A$56))),"未匹配")</f>
        <v>56.25</v>
      </c>
      <c r="J172" t="str">
        <f>IFERROR(INDEX(映射装备数值!I:I,SUMPRODUCT((映射装备数值!$C$10:$C$56=IF($F172="Blue","蓝",IF($F172="Purple","紫",IF($F172="Orange","金",IF($F172="Red","红",$F172)))))*((映射装备数值!$A$10:$A$56=$E172)+(映射装备数值!$B$10:$B$56=$E172))*ROW(映射装备数值!$A$10:$A$56))),"未匹配")</f>
        <v>防御加成</v>
      </c>
      <c r="K172">
        <f>IFERROR(INDEX(映射装备数值!L:L,SUMPRODUCT((映射装备数值!$C$10:$C$56=IF($F172="Blue","蓝",IF($F172="Purple","紫",IF($F172="Orange","金",IF($F172="Red","红",$F172)))))*((映射装备数值!$A$10:$A$56=$E172)+(映射装备数值!$B$10:$B$56=$E172))*ROW(映射装备数值!$A$10:$A$56))),"未匹配")</f>
        <v>0.046</v>
      </c>
      <c r="L172">
        <f>IFERROR(INDEX(映射装备数值!K:K,SUMPRODUCT((映射装备数值!$C$10:$C$56=IF($F172="Blue","蓝",IF($F172="Purple","紫",IF($F172="Orange","金",IF($F172="Red","红",$F172)))))*((映射装备数值!$A$10:$A$56=$E172)+(映射装备数值!$B$10:$B$56=$E172))*ROW(映射装备数值!$A$10:$A$56))),"未匹配")</f>
        <v>0.006</v>
      </c>
      <c r="M172" s="93">
        <v>0.95</v>
      </c>
      <c r="N172" s="93">
        <v>1.05</v>
      </c>
      <c r="O172" t="str">
        <f t="shared" si="12"/>
        <v>防御力</v>
      </c>
      <c r="P172">
        <f t="shared" si="13"/>
        <v>410</v>
      </c>
      <c r="Q172">
        <f t="shared" si="14"/>
        <v>53</v>
      </c>
      <c r="R172" t="str">
        <f t="shared" si="15"/>
        <v>防御加成</v>
      </c>
      <c r="S172">
        <f t="shared" si="16"/>
        <v>0.048</v>
      </c>
      <c r="T172">
        <f t="shared" si="17"/>
        <v>0.0063</v>
      </c>
      <c r="W172" s="88">
        <v>80170</v>
      </c>
    </row>
    <row r="173" ht="17.25" customHeight="1" spans="3:23">
      <c r="C173" s="7">
        <v>80171</v>
      </c>
      <c r="D173" s="7" t="s">
        <v>746</v>
      </c>
      <c r="E173" s="25" t="s">
        <v>419</v>
      </c>
      <c r="F173" s="92" t="s">
        <v>729</v>
      </c>
      <c r="G173" t="str">
        <f>IFERROR(INDEX(映射装备数值!D:D,SUMPRODUCT((映射装备数值!$C$10:$C$56=IF($F173="Blue","蓝",IF($F173="Purple","紫",IF($F173="Orange","金",IF($F173="Red","红",$F173)))))*((映射装备数值!$A$10:$A$56=$E173)+(映射装备数值!$B$10:$B$56=$E173))*ROW(映射装备数值!$A$10:$A$56))),"未匹配")</f>
        <v>防御力</v>
      </c>
      <c r="H173">
        <f>IFERROR(INDEX(映射装备数值!G:G,SUMPRODUCT((映射装备数值!$C$10:$C$56=IF($F173="Blue","蓝",IF($F173="Purple","紫",IF($F173="Orange","金",IF($F173="Red","红",$F173)))))*((映射装备数值!$A$10:$A$56=$E173)+(映射装备数值!$B$10:$B$56=$E173))*ROW(映射装备数值!$A$10:$A$56))),"未匹配")</f>
        <v>431.25</v>
      </c>
      <c r="I173">
        <f>IFERROR(INDEX(映射装备数值!F:F,SUMPRODUCT((映射装备数值!$C$10:$C$56=IF($F173="Blue","蓝",IF($F173="Purple","紫",IF($F173="Orange","金",IF($F173="Red","红",$F173)))))*((映射装备数值!$A$10:$A$56=$E173)+(映射装备数值!$B$10:$B$56=$E173))*ROW(映射装备数值!$A$10:$A$56))),"未匹配")</f>
        <v>56.25</v>
      </c>
      <c r="J173" t="str">
        <f>IFERROR(INDEX(映射装备数值!I:I,SUMPRODUCT((映射装备数值!$C$10:$C$56=IF($F173="Blue","蓝",IF($F173="Purple","紫",IF($F173="Orange","金",IF($F173="Red","红",$F173)))))*((映射装备数值!$A$10:$A$56=$E173)+(映射装备数值!$B$10:$B$56=$E173))*ROW(映射装备数值!$A$10:$A$56))),"未匹配")</f>
        <v>攻击加成</v>
      </c>
      <c r="K173">
        <f>IFERROR(INDEX(映射装备数值!L:L,SUMPRODUCT((映射装备数值!$C$10:$C$56=IF($F173="Blue","蓝",IF($F173="Purple","紫",IF($F173="Orange","金",IF($F173="Red","红",$F173)))))*((映射装备数值!$A$10:$A$56=$E173)+(映射装备数值!$B$10:$B$56=$E173))*ROW(映射装备数值!$A$10:$A$56))),"未匹配")</f>
        <v>0.046</v>
      </c>
      <c r="L173">
        <f>IFERROR(INDEX(映射装备数值!K:K,SUMPRODUCT((映射装备数值!$C$10:$C$56=IF($F173="Blue","蓝",IF($F173="Purple","紫",IF($F173="Orange","金",IF($F173="Red","红",$F173)))))*((映射装备数值!$A$10:$A$56=$E173)+(映射装备数值!$B$10:$B$56=$E173))*ROW(映射装备数值!$A$10:$A$56))),"未匹配")</f>
        <v>0.006</v>
      </c>
      <c r="M173" s="93">
        <v>0.85</v>
      </c>
      <c r="N173" s="93">
        <v>1.15</v>
      </c>
      <c r="O173" t="str">
        <f t="shared" si="12"/>
        <v>防御力</v>
      </c>
      <c r="P173">
        <f t="shared" si="13"/>
        <v>367</v>
      </c>
      <c r="Q173">
        <f t="shared" si="14"/>
        <v>48</v>
      </c>
      <c r="R173" t="str">
        <f t="shared" si="15"/>
        <v>攻击加成</v>
      </c>
      <c r="S173">
        <f t="shared" si="16"/>
        <v>0.053</v>
      </c>
      <c r="T173">
        <f t="shared" si="17"/>
        <v>0.0069</v>
      </c>
      <c r="W173" s="7">
        <v>80171</v>
      </c>
    </row>
    <row r="174" ht="17.25" customHeight="1" spans="3:23">
      <c r="C174" s="7">
        <v>80172</v>
      </c>
      <c r="D174" s="7" t="s">
        <v>747</v>
      </c>
      <c r="E174" s="25" t="s">
        <v>419</v>
      </c>
      <c r="F174" s="92" t="s">
        <v>729</v>
      </c>
      <c r="G174" t="str">
        <f>IFERROR(INDEX(映射装备数值!D:D,SUMPRODUCT((映射装备数值!$C$10:$C$56=IF($F174="Blue","蓝",IF($F174="Purple","紫",IF($F174="Orange","金",IF($F174="Red","红",$F174)))))*((映射装备数值!$A$10:$A$56=$E174)+(映射装备数值!$B$10:$B$56=$E174))*ROW(映射装备数值!$A$10:$A$56))),"未匹配")</f>
        <v>防御力</v>
      </c>
      <c r="H174">
        <f>IFERROR(INDEX(映射装备数值!G:G,SUMPRODUCT((映射装备数值!$C$10:$C$56=IF($F174="Blue","蓝",IF($F174="Purple","紫",IF($F174="Orange","金",IF($F174="Red","红",$F174)))))*((映射装备数值!$A$10:$A$56=$E174)+(映射装备数值!$B$10:$B$56=$E174))*ROW(映射装备数值!$A$10:$A$56))),"未匹配")</f>
        <v>431.25</v>
      </c>
      <c r="I174">
        <f>IFERROR(INDEX(映射装备数值!F:F,SUMPRODUCT((映射装备数值!$C$10:$C$56=IF($F174="Blue","蓝",IF($F174="Purple","紫",IF($F174="Orange","金",IF($F174="Red","红",$F174)))))*((映射装备数值!$A$10:$A$56=$E174)+(映射装备数值!$B$10:$B$56=$E174))*ROW(映射装备数值!$A$10:$A$56))),"未匹配")</f>
        <v>56.25</v>
      </c>
      <c r="J174" t="str">
        <f>IFERROR(INDEX(映射装备数值!I:I,SUMPRODUCT((映射装备数值!$C$10:$C$56=IF($F174="Blue","蓝",IF($F174="Purple","紫",IF($F174="Orange","金",IF($F174="Red","红",$F174)))))*((映射装备数值!$A$10:$A$56=$E174)+(映射装备数值!$B$10:$B$56=$E174))*ROW(映射装备数值!$A$10:$A$56))),"未匹配")</f>
        <v>攻击加成</v>
      </c>
      <c r="K174">
        <f>IFERROR(INDEX(映射装备数值!L:L,SUMPRODUCT((映射装备数值!$C$10:$C$56=IF($F174="Blue","蓝",IF($F174="Purple","紫",IF($F174="Orange","金",IF($F174="Red","红",$F174)))))*((映射装备数值!$A$10:$A$56=$E174)+(映射装备数值!$B$10:$B$56=$E174))*ROW(映射装备数值!$A$10:$A$56))),"未匹配")</f>
        <v>0.046</v>
      </c>
      <c r="L174">
        <f>IFERROR(INDEX(映射装备数值!K:K,SUMPRODUCT((映射装备数值!$C$10:$C$56=IF($F174="Blue","蓝",IF($F174="Purple","紫",IF($F174="Orange","金",IF($F174="Red","红",$F174)))))*((映射装备数值!$A$10:$A$56=$E174)+(映射装备数值!$B$10:$B$56=$E174))*ROW(映射装备数值!$A$10:$A$56))),"未匹配")</f>
        <v>0.006</v>
      </c>
      <c r="M174" s="93">
        <v>0.9</v>
      </c>
      <c r="N174" s="93">
        <v>1.1</v>
      </c>
      <c r="O174" t="str">
        <f t="shared" si="12"/>
        <v>防御力</v>
      </c>
      <c r="P174">
        <f t="shared" si="13"/>
        <v>388</v>
      </c>
      <c r="Q174">
        <f t="shared" si="14"/>
        <v>51</v>
      </c>
      <c r="R174" t="str">
        <f t="shared" si="15"/>
        <v>攻击加成</v>
      </c>
      <c r="S174">
        <f t="shared" si="16"/>
        <v>0.051</v>
      </c>
      <c r="T174">
        <f t="shared" si="17"/>
        <v>0.0066</v>
      </c>
      <c r="W174" s="7">
        <v>80172</v>
      </c>
    </row>
    <row r="175" ht="17.25" customHeight="1" spans="3:23">
      <c r="C175" s="7">
        <v>80173</v>
      </c>
      <c r="D175" s="7" t="s">
        <v>748</v>
      </c>
      <c r="E175" s="25" t="s">
        <v>419</v>
      </c>
      <c r="F175" s="92" t="s">
        <v>729</v>
      </c>
      <c r="G175" t="str">
        <f>IFERROR(INDEX(映射装备数值!D:D,SUMPRODUCT((映射装备数值!$C$10:$C$56=IF($F175="Blue","蓝",IF($F175="Purple","紫",IF($F175="Orange","金",IF($F175="Red","红",$F175)))))*((映射装备数值!$A$10:$A$56=$E175)+(映射装备数值!$B$10:$B$56=$E175))*ROW(映射装备数值!$A$10:$A$56))),"未匹配")</f>
        <v>防御力</v>
      </c>
      <c r="H175">
        <f>IFERROR(INDEX(映射装备数值!G:G,SUMPRODUCT((映射装备数值!$C$10:$C$56=IF($F175="Blue","蓝",IF($F175="Purple","紫",IF($F175="Orange","金",IF($F175="Red","红",$F175)))))*((映射装备数值!$A$10:$A$56=$E175)+(映射装备数值!$B$10:$B$56=$E175))*ROW(映射装备数值!$A$10:$A$56))),"未匹配")</f>
        <v>431.25</v>
      </c>
      <c r="I175">
        <f>IFERROR(INDEX(映射装备数值!F:F,SUMPRODUCT((映射装备数值!$C$10:$C$56=IF($F175="Blue","蓝",IF($F175="Purple","紫",IF($F175="Orange","金",IF($F175="Red","红",$F175)))))*((映射装备数值!$A$10:$A$56=$E175)+(映射装备数值!$B$10:$B$56=$E175))*ROW(映射装备数值!$A$10:$A$56))),"未匹配")</f>
        <v>56.25</v>
      </c>
      <c r="J175" t="str">
        <f>IFERROR(INDEX(映射装备数值!I:I,SUMPRODUCT((映射装备数值!$C$10:$C$56=IF($F175="Blue","蓝",IF($F175="Purple","紫",IF($F175="Orange","金",IF($F175="Red","红",$F175)))))*((映射装备数值!$A$10:$A$56=$E175)+(映射装备数值!$B$10:$B$56=$E175))*ROW(映射装备数值!$A$10:$A$56))),"未匹配")</f>
        <v>攻击加成</v>
      </c>
      <c r="K175">
        <f>IFERROR(INDEX(映射装备数值!L:L,SUMPRODUCT((映射装备数值!$C$10:$C$56=IF($F175="Blue","蓝",IF($F175="Purple","紫",IF($F175="Orange","金",IF($F175="Red","红",$F175)))))*((映射装备数值!$A$10:$A$56=$E175)+(映射装备数值!$B$10:$B$56=$E175))*ROW(映射装备数值!$A$10:$A$56))),"未匹配")</f>
        <v>0.046</v>
      </c>
      <c r="L175">
        <f>IFERROR(INDEX(映射装备数值!K:K,SUMPRODUCT((映射装备数值!$C$10:$C$56=IF($F175="Blue","蓝",IF($F175="Purple","紫",IF($F175="Orange","金",IF($F175="Red","红",$F175)))))*((映射装备数值!$A$10:$A$56=$E175)+(映射装备数值!$B$10:$B$56=$E175))*ROW(映射装备数值!$A$10:$A$56))),"未匹配")</f>
        <v>0.006</v>
      </c>
      <c r="M175" s="93">
        <v>0.92</v>
      </c>
      <c r="N175" s="93">
        <v>1.08</v>
      </c>
      <c r="O175" t="str">
        <f t="shared" si="12"/>
        <v>防御力</v>
      </c>
      <c r="P175">
        <f t="shared" si="13"/>
        <v>397</v>
      </c>
      <c r="Q175">
        <f t="shared" si="14"/>
        <v>52</v>
      </c>
      <c r="R175" t="str">
        <f t="shared" si="15"/>
        <v>攻击加成</v>
      </c>
      <c r="S175">
        <f t="shared" si="16"/>
        <v>0.05</v>
      </c>
      <c r="T175">
        <f t="shared" si="17"/>
        <v>0.0065</v>
      </c>
      <c r="W175" s="7">
        <v>80173</v>
      </c>
    </row>
    <row r="176" ht="17.25" customHeight="1" spans="3:23">
      <c r="C176" s="88">
        <v>80174</v>
      </c>
      <c r="D176" s="7" t="s">
        <v>749</v>
      </c>
      <c r="E176" s="25" t="s">
        <v>419</v>
      </c>
      <c r="F176" s="94" t="s">
        <v>729</v>
      </c>
      <c r="G176" t="str">
        <f>IFERROR(INDEX(映射装备数值!D:D,SUMPRODUCT((映射装备数值!$C$10:$C$56=IF($F176="Blue","蓝",IF($F176="Purple","紫",IF($F176="Orange","金",IF($F176="Red","红",$F176)))))*((映射装备数值!$A$10:$A$56=$E176)+(映射装备数值!$B$10:$B$56=$E176))*ROW(映射装备数值!$A$10:$A$56))),"未匹配")</f>
        <v>防御力</v>
      </c>
      <c r="H176">
        <f>IFERROR(INDEX(映射装备数值!G:G,SUMPRODUCT((映射装备数值!$C$10:$C$56=IF($F176="Blue","蓝",IF($F176="Purple","紫",IF($F176="Orange","金",IF($F176="Red","红",$F176)))))*((映射装备数值!$A$10:$A$56=$E176)+(映射装备数值!$B$10:$B$56=$E176))*ROW(映射装备数值!$A$10:$A$56))),"未匹配")</f>
        <v>431.25</v>
      </c>
      <c r="I176">
        <f>IFERROR(INDEX(映射装备数值!F:F,SUMPRODUCT((映射装备数值!$C$10:$C$56=IF($F176="Blue","蓝",IF($F176="Purple","紫",IF($F176="Orange","金",IF($F176="Red","红",$F176)))))*((映射装备数值!$A$10:$A$56=$E176)+(映射装备数值!$B$10:$B$56=$E176))*ROW(映射装备数值!$A$10:$A$56))),"未匹配")</f>
        <v>56.25</v>
      </c>
      <c r="J176" t="str">
        <f>IFERROR(INDEX(映射装备数值!I:I,SUMPRODUCT((映射装备数值!$C$10:$C$56=IF($F176="Blue","蓝",IF($F176="Purple","紫",IF($F176="Orange","金",IF($F176="Red","红",$F176)))))*((映射装备数值!$A$10:$A$56=$E176)+(映射装备数值!$B$10:$B$56=$E176))*ROW(映射装备数值!$A$10:$A$56))),"未匹配")</f>
        <v>攻击加成</v>
      </c>
      <c r="K176">
        <f>IFERROR(INDEX(映射装备数值!L:L,SUMPRODUCT((映射装备数值!$C$10:$C$56=IF($F176="Blue","蓝",IF($F176="Purple","紫",IF($F176="Orange","金",IF($F176="Red","红",$F176)))))*((映射装备数值!$A$10:$A$56=$E176)+(映射装备数值!$B$10:$B$56=$E176))*ROW(映射装备数值!$A$10:$A$56))),"未匹配")</f>
        <v>0.046</v>
      </c>
      <c r="L176">
        <f>IFERROR(INDEX(映射装备数值!K:K,SUMPRODUCT((映射装备数值!$C$10:$C$56=IF($F176="Blue","蓝",IF($F176="Purple","紫",IF($F176="Orange","金",IF($F176="Red","红",$F176)))))*((映射装备数值!$A$10:$A$56=$E176)+(映射装备数值!$B$10:$B$56=$E176))*ROW(映射装备数值!$A$10:$A$56))),"未匹配")</f>
        <v>0.006</v>
      </c>
      <c r="M176" s="93">
        <v>1.05</v>
      </c>
      <c r="N176" s="93">
        <v>0.95</v>
      </c>
      <c r="O176" t="str">
        <f t="shared" si="12"/>
        <v>防御力</v>
      </c>
      <c r="P176">
        <f t="shared" si="13"/>
        <v>453</v>
      </c>
      <c r="Q176">
        <f t="shared" si="14"/>
        <v>59</v>
      </c>
      <c r="R176" t="str">
        <f t="shared" si="15"/>
        <v>攻击加成</v>
      </c>
      <c r="S176">
        <f t="shared" si="16"/>
        <v>0.044</v>
      </c>
      <c r="T176">
        <f t="shared" si="17"/>
        <v>0.0057</v>
      </c>
      <c r="W176" s="88">
        <v>80174</v>
      </c>
    </row>
    <row r="177" ht="17.25" customHeight="1" spans="3:23">
      <c r="C177" s="7">
        <v>80175</v>
      </c>
      <c r="D177" s="7" t="s">
        <v>750</v>
      </c>
      <c r="E177" s="25" t="s">
        <v>420</v>
      </c>
      <c r="F177" s="92" t="s">
        <v>729</v>
      </c>
      <c r="G177" t="str">
        <f>IFERROR(INDEX(映射装备数值!D:D,SUMPRODUCT((映射装备数值!$C$10:$C$56=IF($F177="Blue","蓝",IF($F177="Purple","紫",IF($F177="Orange","金",IF($F177="Red","红",$F177)))))*((映射装备数值!$A$10:$A$56=$E177)+(映射装备数值!$B$10:$B$56=$E177))*ROW(映射装备数值!$A$10:$A$56))),"未匹配")</f>
        <v>生命</v>
      </c>
      <c r="H177">
        <f>IFERROR(INDEX(映射装备数值!G:G,SUMPRODUCT((映射装备数值!$C$10:$C$56=IF($F177="Blue","蓝",IF($F177="Purple","紫",IF($F177="Orange","金",IF($F177="Red","红",$F177)))))*((映射装备数值!$A$10:$A$56=$E177)+(映射装备数值!$B$10:$B$56=$E177))*ROW(映射装备数值!$A$10:$A$56))),"未匹配")</f>
        <v>2156.25</v>
      </c>
      <c r="I177">
        <f>IFERROR(INDEX(映射装备数值!F:F,SUMPRODUCT((映射装备数值!$C$10:$C$56=IF($F177="Blue","蓝",IF($F177="Purple","紫",IF($F177="Orange","金",IF($F177="Red","红",$F177)))))*((映射装备数值!$A$10:$A$56=$E177)+(映射装备数值!$B$10:$B$56=$E177))*ROW(映射装备数值!$A$10:$A$56))),"未匹配")</f>
        <v>281.25</v>
      </c>
      <c r="J177" t="str">
        <f>IFERROR(INDEX(映射装备数值!I:I,SUMPRODUCT((映射装备数值!$C$10:$C$56=IF($F177="Blue","蓝",IF($F177="Purple","紫",IF($F177="Orange","金",IF($F177="Red","红",$F177)))))*((映射装备数值!$A$10:$A$56=$E177)+(映射装备数值!$B$10:$B$56=$E177))*ROW(映射装备数值!$A$10:$A$56))),"未匹配")</f>
        <v>生命加成</v>
      </c>
      <c r="K177">
        <f>IFERROR(INDEX(映射装备数值!L:L,SUMPRODUCT((映射装备数值!$C$10:$C$56=IF($F177="Blue","蓝",IF($F177="Purple","紫",IF($F177="Orange","金",IF($F177="Red","红",$F177)))))*((映射装备数值!$A$10:$A$56=$E177)+(映射装备数值!$B$10:$B$56=$E177))*ROW(映射装备数值!$A$10:$A$56))),"未匹配")</f>
        <v>0.046</v>
      </c>
      <c r="L177">
        <f>IFERROR(INDEX(映射装备数值!K:K,SUMPRODUCT((映射装备数值!$C$10:$C$56=IF($F177="Blue","蓝",IF($F177="Purple","紫",IF($F177="Orange","金",IF($F177="Red","红",$F177)))))*((映射装备数值!$A$10:$A$56=$E177)+(映射装备数值!$B$10:$B$56=$E177))*ROW(映射装备数值!$A$10:$A$56))),"未匹配")</f>
        <v>0.006</v>
      </c>
      <c r="M177" s="93">
        <v>1</v>
      </c>
      <c r="N177" s="93">
        <v>1</v>
      </c>
      <c r="O177" t="str">
        <f t="shared" si="12"/>
        <v>生命</v>
      </c>
      <c r="P177">
        <f t="shared" si="13"/>
        <v>2156</v>
      </c>
      <c r="Q177">
        <f t="shared" si="14"/>
        <v>281</v>
      </c>
      <c r="R177" t="str">
        <f t="shared" si="15"/>
        <v>生命加成</v>
      </c>
      <c r="S177">
        <f t="shared" si="16"/>
        <v>0.046</v>
      </c>
      <c r="T177">
        <f t="shared" si="17"/>
        <v>0.006</v>
      </c>
      <c r="W177" s="7">
        <v>80175</v>
      </c>
    </row>
    <row r="178" ht="17.25" customHeight="1" spans="3:23">
      <c r="C178" s="7">
        <v>80176</v>
      </c>
      <c r="D178" s="7" t="s">
        <v>751</v>
      </c>
      <c r="E178" s="25" t="s">
        <v>420</v>
      </c>
      <c r="F178" s="92" t="s">
        <v>729</v>
      </c>
      <c r="G178" t="str">
        <f>IFERROR(INDEX(映射装备数值!D:D,SUMPRODUCT((映射装备数值!$C$10:$C$56=IF($F178="Blue","蓝",IF($F178="Purple","紫",IF($F178="Orange","金",IF($F178="Red","红",$F178)))))*((映射装备数值!$A$10:$A$56=$E178)+(映射装备数值!$B$10:$B$56=$E178))*ROW(映射装备数值!$A$10:$A$56))),"未匹配")</f>
        <v>生命</v>
      </c>
      <c r="H178">
        <f>IFERROR(INDEX(映射装备数值!G:G,SUMPRODUCT((映射装备数值!$C$10:$C$56=IF($F178="Blue","蓝",IF($F178="Purple","紫",IF($F178="Orange","金",IF($F178="Red","红",$F178)))))*((映射装备数值!$A$10:$A$56=$E178)+(映射装备数值!$B$10:$B$56=$E178))*ROW(映射装备数值!$A$10:$A$56))),"未匹配")</f>
        <v>2156.25</v>
      </c>
      <c r="I178">
        <f>IFERROR(INDEX(映射装备数值!F:F,SUMPRODUCT((映射装备数值!$C$10:$C$56=IF($F178="Blue","蓝",IF($F178="Purple","紫",IF($F178="Orange","金",IF($F178="Red","红",$F178)))))*((映射装备数值!$A$10:$A$56=$E178)+(映射装备数值!$B$10:$B$56=$E178))*ROW(映射装备数值!$A$10:$A$56))),"未匹配")</f>
        <v>281.25</v>
      </c>
      <c r="J178" t="str">
        <f>IFERROR(INDEX(映射装备数值!I:I,SUMPRODUCT((映射装备数值!$C$10:$C$56=IF($F178="Blue","蓝",IF($F178="Purple","紫",IF($F178="Orange","金",IF($F178="Red","红",$F178)))))*((映射装备数值!$A$10:$A$56=$E178)+(映射装备数值!$B$10:$B$56=$E178))*ROW(映射装备数值!$A$10:$A$56))),"未匹配")</f>
        <v>生命加成</v>
      </c>
      <c r="K178">
        <f>IFERROR(INDEX(映射装备数值!L:L,SUMPRODUCT((映射装备数值!$C$10:$C$56=IF($F178="Blue","蓝",IF($F178="Purple","紫",IF($F178="Orange","金",IF($F178="Red","红",$F178)))))*((映射装备数值!$A$10:$A$56=$E178)+(映射装备数值!$B$10:$B$56=$E178))*ROW(映射装备数值!$A$10:$A$56))),"未匹配")</f>
        <v>0.046</v>
      </c>
      <c r="L178">
        <f>IFERROR(INDEX(映射装备数值!K:K,SUMPRODUCT((映射装备数值!$C$10:$C$56=IF($F178="Blue","蓝",IF($F178="Purple","紫",IF($F178="Orange","金",IF($F178="Red","红",$F178)))))*((映射装备数值!$A$10:$A$56=$E178)+(映射装备数值!$B$10:$B$56=$E178))*ROW(映射装备数值!$A$10:$A$56))),"未匹配")</f>
        <v>0.006</v>
      </c>
      <c r="M178" s="93">
        <v>0.9</v>
      </c>
      <c r="N178" s="93">
        <v>1.1</v>
      </c>
      <c r="O178" t="str">
        <f t="shared" si="12"/>
        <v>生命</v>
      </c>
      <c r="P178">
        <f t="shared" si="13"/>
        <v>1941</v>
      </c>
      <c r="Q178">
        <f t="shared" si="14"/>
        <v>253</v>
      </c>
      <c r="R178" t="str">
        <f t="shared" si="15"/>
        <v>生命加成</v>
      </c>
      <c r="S178">
        <f t="shared" si="16"/>
        <v>0.051</v>
      </c>
      <c r="T178">
        <f t="shared" si="17"/>
        <v>0.0066</v>
      </c>
      <c r="W178" s="7">
        <v>80176</v>
      </c>
    </row>
    <row r="179" ht="17.25" customHeight="1" spans="3:23">
      <c r="C179" s="7">
        <v>80177</v>
      </c>
      <c r="D179" s="7" t="s">
        <v>752</v>
      </c>
      <c r="E179" s="25" t="s">
        <v>420</v>
      </c>
      <c r="F179" s="92" t="s">
        <v>729</v>
      </c>
      <c r="G179" t="str">
        <f>IFERROR(INDEX(映射装备数值!D:D,SUMPRODUCT((映射装备数值!$C$10:$C$56=IF($F179="Blue","蓝",IF($F179="Purple","紫",IF($F179="Orange","金",IF($F179="Red","红",$F179)))))*((映射装备数值!$A$10:$A$56=$E179)+(映射装备数值!$B$10:$B$56=$E179))*ROW(映射装备数值!$A$10:$A$56))),"未匹配")</f>
        <v>生命</v>
      </c>
      <c r="H179">
        <f>IFERROR(INDEX(映射装备数值!G:G,SUMPRODUCT((映射装备数值!$C$10:$C$56=IF($F179="Blue","蓝",IF($F179="Purple","紫",IF($F179="Orange","金",IF($F179="Red","红",$F179)))))*((映射装备数值!$A$10:$A$56=$E179)+(映射装备数值!$B$10:$B$56=$E179))*ROW(映射装备数值!$A$10:$A$56))),"未匹配")</f>
        <v>2156.25</v>
      </c>
      <c r="I179">
        <f>IFERROR(INDEX(映射装备数值!F:F,SUMPRODUCT((映射装备数值!$C$10:$C$56=IF($F179="Blue","蓝",IF($F179="Purple","紫",IF($F179="Orange","金",IF($F179="Red","红",$F179)))))*((映射装备数值!$A$10:$A$56=$E179)+(映射装备数值!$B$10:$B$56=$E179))*ROW(映射装备数值!$A$10:$A$56))),"未匹配")</f>
        <v>281.25</v>
      </c>
      <c r="J179" t="str">
        <f>IFERROR(INDEX(映射装备数值!I:I,SUMPRODUCT((映射装备数值!$C$10:$C$56=IF($F179="Blue","蓝",IF($F179="Purple","紫",IF($F179="Orange","金",IF($F179="Red","红",$F179)))))*((映射装备数值!$A$10:$A$56=$E179)+(映射装备数值!$B$10:$B$56=$E179))*ROW(映射装备数值!$A$10:$A$56))),"未匹配")</f>
        <v>生命加成</v>
      </c>
      <c r="K179">
        <f>IFERROR(INDEX(映射装备数值!L:L,SUMPRODUCT((映射装备数值!$C$10:$C$56=IF($F179="Blue","蓝",IF($F179="Purple","紫",IF($F179="Orange","金",IF($F179="Red","红",$F179)))))*((映射装备数值!$A$10:$A$56=$E179)+(映射装备数值!$B$10:$B$56=$E179))*ROW(映射装备数值!$A$10:$A$56))),"未匹配")</f>
        <v>0.046</v>
      </c>
      <c r="L179">
        <f>IFERROR(INDEX(映射装备数值!K:K,SUMPRODUCT((映射装备数值!$C$10:$C$56=IF($F179="Blue","蓝",IF($F179="Purple","紫",IF($F179="Orange","金",IF($F179="Red","红",$F179)))))*((映射装备数值!$A$10:$A$56=$E179)+(映射装备数值!$B$10:$B$56=$E179))*ROW(映射装备数值!$A$10:$A$56))),"未匹配")</f>
        <v>0.006</v>
      </c>
      <c r="M179" s="93">
        <v>1.15</v>
      </c>
      <c r="N179" s="93">
        <v>0.85</v>
      </c>
      <c r="O179" t="str">
        <f t="shared" si="12"/>
        <v>生命</v>
      </c>
      <c r="P179">
        <f t="shared" si="13"/>
        <v>2480</v>
      </c>
      <c r="Q179">
        <f t="shared" si="14"/>
        <v>323</v>
      </c>
      <c r="R179" t="str">
        <f t="shared" si="15"/>
        <v>生命加成</v>
      </c>
      <c r="S179">
        <f t="shared" si="16"/>
        <v>0.039</v>
      </c>
      <c r="T179">
        <f t="shared" si="17"/>
        <v>0.0051</v>
      </c>
      <c r="W179" s="7">
        <v>80177</v>
      </c>
    </row>
    <row r="180" ht="17.25" customHeight="1" spans="3:23">
      <c r="C180" s="88">
        <v>80178</v>
      </c>
      <c r="D180" s="7" t="s">
        <v>753</v>
      </c>
      <c r="E180" s="25" t="s">
        <v>420</v>
      </c>
      <c r="F180" s="94" t="s">
        <v>729</v>
      </c>
      <c r="G180" t="str">
        <f>IFERROR(INDEX(映射装备数值!D:D,SUMPRODUCT((映射装备数值!$C$10:$C$56=IF($F180="Blue","蓝",IF($F180="Purple","紫",IF($F180="Orange","金",IF($F180="Red","红",$F180)))))*((映射装备数值!$A$10:$A$56=$E180)+(映射装备数值!$B$10:$B$56=$E180))*ROW(映射装备数值!$A$10:$A$56))),"未匹配")</f>
        <v>生命</v>
      </c>
      <c r="H180">
        <f>IFERROR(INDEX(映射装备数值!G:G,SUMPRODUCT((映射装备数值!$C$10:$C$56=IF($F180="Blue","蓝",IF($F180="Purple","紫",IF($F180="Orange","金",IF($F180="Red","红",$F180)))))*((映射装备数值!$A$10:$A$56=$E180)+(映射装备数值!$B$10:$B$56=$E180))*ROW(映射装备数值!$A$10:$A$56))),"未匹配")</f>
        <v>2156.25</v>
      </c>
      <c r="I180">
        <f>IFERROR(INDEX(映射装备数值!F:F,SUMPRODUCT((映射装备数值!$C$10:$C$56=IF($F180="Blue","蓝",IF($F180="Purple","紫",IF($F180="Orange","金",IF($F180="Red","红",$F180)))))*((映射装备数值!$A$10:$A$56=$E180)+(映射装备数值!$B$10:$B$56=$E180))*ROW(映射装备数值!$A$10:$A$56))),"未匹配")</f>
        <v>281.25</v>
      </c>
      <c r="J180" t="str">
        <f>IFERROR(INDEX(映射装备数值!I:I,SUMPRODUCT((映射装备数值!$C$10:$C$56=IF($F180="Blue","蓝",IF($F180="Purple","紫",IF($F180="Orange","金",IF($F180="Red","红",$F180)))))*((映射装备数值!$A$10:$A$56=$E180)+(映射装备数值!$B$10:$B$56=$E180))*ROW(映射装备数值!$A$10:$A$56))),"未匹配")</f>
        <v>生命加成</v>
      </c>
      <c r="K180">
        <f>IFERROR(INDEX(映射装备数值!L:L,SUMPRODUCT((映射装备数值!$C$10:$C$56=IF($F180="Blue","蓝",IF($F180="Purple","紫",IF($F180="Orange","金",IF($F180="Red","红",$F180)))))*((映射装备数值!$A$10:$A$56=$E180)+(映射装备数值!$B$10:$B$56=$E180))*ROW(映射装备数值!$A$10:$A$56))),"未匹配")</f>
        <v>0.046</v>
      </c>
      <c r="L180">
        <f>IFERROR(INDEX(映射装备数值!K:K,SUMPRODUCT((映射装备数值!$C$10:$C$56=IF($F180="Blue","蓝",IF($F180="Purple","紫",IF($F180="Orange","金",IF($F180="Red","红",$F180)))))*((映射装备数值!$A$10:$A$56=$E180)+(映射装备数值!$B$10:$B$56=$E180))*ROW(映射装备数值!$A$10:$A$56))),"未匹配")</f>
        <v>0.006</v>
      </c>
      <c r="M180" s="93">
        <v>0.95</v>
      </c>
      <c r="N180" s="93">
        <v>1.05</v>
      </c>
      <c r="O180" t="str">
        <f t="shared" si="12"/>
        <v>生命</v>
      </c>
      <c r="P180">
        <f t="shared" si="13"/>
        <v>2048</v>
      </c>
      <c r="Q180">
        <f t="shared" si="14"/>
        <v>267</v>
      </c>
      <c r="R180" t="str">
        <f t="shared" si="15"/>
        <v>生命加成</v>
      </c>
      <c r="S180">
        <f t="shared" si="16"/>
        <v>0.048</v>
      </c>
      <c r="T180">
        <f t="shared" si="17"/>
        <v>0.0063</v>
      </c>
      <c r="W180" s="88">
        <v>80178</v>
      </c>
    </row>
    <row r="181" ht="17.25" customHeight="1" spans="3:23">
      <c r="C181" s="7">
        <v>80179</v>
      </c>
      <c r="D181" s="7" t="s">
        <v>754</v>
      </c>
      <c r="E181" s="25" t="s">
        <v>422</v>
      </c>
      <c r="F181" s="92" t="s">
        <v>729</v>
      </c>
      <c r="G181" t="str">
        <f>IFERROR(INDEX(映射装备数值!D:D,SUMPRODUCT((映射装备数值!$C$10:$C$56=IF($F181="Blue","蓝",IF($F181="Purple","紫",IF($F181="Orange","金",IF($F181="Red","红",$F181)))))*((映射装备数值!$A$10:$A$56=$E181)+(映射装备数值!$B$10:$B$56=$E181))*ROW(映射装备数值!$A$10:$A$56))),"未匹配")</f>
        <v>攻击</v>
      </c>
      <c r="H181">
        <f>IFERROR(INDEX(映射装备数值!G:G,SUMPRODUCT((映射装备数值!$C$10:$C$56=IF($F181="Blue","蓝",IF($F181="Purple","紫",IF($F181="Orange","金",IF($F181="Red","红",$F181)))))*((映射装备数值!$A$10:$A$56=$E181)+(映射装备数值!$B$10:$B$56=$E181))*ROW(映射装备数值!$A$10:$A$56))),"未匹配")</f>
        <v>644</v>
      </c>
      <c r="I181">
        <f>IFERROR(INDEX(映射装备数值!F:F,SUMPRODUCT((映射装备数值!$C$10:$C$56=IF($F181="Blue","蓝",IF($F181="Purple","紫",IF($F181="Orange","金",IF($F181="Red","红",$F181)))))*((映射装备数值!$A$10:$A$56=$E181)+(映射装备数值!$B$10:$B$56=$E181))*ROW(映射装备数值!$A$10:$A$56))),"未匹配")</f>
        <v>84</v>
      </c>
      <c r="J181" t="str">
        <f>IFERROR(INDEX(映射装备数值!I:I,SUMPRODUCT((映射装备数值!$C$10:$C$56=IF($F181="Blue","蓝",IF($F181="Purple","紫",IF($F181="Orange","金",IF($F181="Red","红",$F181)))))*((映射装备数值!$A$10:$A$56=$E181)+(映射装备数值!$B$10:$B$56=$E181))*ROW(映射装备数值!$A$10:$A$56))),"未匹配")</f>
        <v>冷却缩减等级</v>
      </c>
      <c r="K181">
        <f>IFERROR(INDEX(映射装备数值!L:L,SUMPRODUCT((映射装备数值!$C$10:$C$56=IF($F181="Blue","蓝",IF($F181="Purple","紫",IF($F181="Orange","金",IF($F181="Red","红",$F181)))))*((映射装备数值!$A$10:$A$56=$E181)+(映射装备数值!$B$10:$B$56=$E181))*ROW(映射装备数值!$A$10:$A$56))),"未匹配")</f>
        <v>419</v>
      </c>
      <c r="L181">
        <f>IFERROR(INDEX(映射装备数值!K:K,SUMPRODUCT((映射装备数值!$C$10:$C$56=IF($F181="Blue","蓝",IF($F181="Purple","紫",IF($F181="Orange","金",IF($F181="Red","红",$F181)))))*((映射装备数值!$A$10:$A$56=$E181)+(映射装备数值!$B$10:$B$56=$E181))*ROW(映射装备数值!$A$10:$A$56))),"未匹配")</f>
        <v>55</v>
      </c>
      <c r="M181" s="93">
        <v>0.9</v>
      </c>
      <c r="N181" s="93">
        <v>1.1</v>
      </c>
      <c r="O181" t="str">
        <f t="shared" si="12"/>
        <v>攻击</v>
      </c>
      <c r="P181">
        <f t="shared" si="13"/>
        <v>580</v>
      </c>
      <c r="Q181">
        <f t="shared" si="14"/>
        <v>76</v>
      </c>
      <c r="R181" t="str">
        <f t="shared" si="15"/>
        <v>冷却缩减等级</v>
      </c>
      <c r="S181">
        <f t="shared" si="16"/>
        <v>461</v>
      </c>
      <c r="T181">
        <f t="shared" si="17"/>
        <v>61</v>
      </c>
      <c r="W181" s="7">
        <v>80179</v>
      </c>
    </row>
    <row r="182" ht="17.25" customHeight="1" spans="3:23">
      <c r="C182" s="7">
        <v>80180</v>
      </c>
      <c r="D182" s="7" t="s">
        <v>755</v>
      </c>
      <c r="E182" s="25" t="s">
        <v>422</v>
      </c>
      <c r="F182" s="92" t="s">
        <v>729</v>
      </c>
      <c r="G182" t="str">
        <f>IFERROR(INDEX(映射装备数值!D:D,SUMPRODUCT((映射装备数值!$C$10:$C$56=IF($F182="Blue","蓝",IF($F182="Purple","紫",IF($F182="Orange","金",IF($F182="Red","红",$F182)))))*((映射装备数值!$A$10:$A$56=$E182)+(映射装备数值!$B$10:$B$56=$E182))*ROW(映射装备数值!$A$10:$A$56))),"未匹配")</f>
        <v>攻击</v>
      </c>
      <c r="H182">
        <f>IFERROR(INDEX(映射装备数值!G:G,SUMPRODUCT((映射装备数值!$C$10:$C$56=IF($F182="Blue","蓝",IF($F182="Purple","紫",IF($F182="Orange","金",IF($F182="Red","红",$F182)))))*((映射装备数值!$A$10:$A$56=$E182)+(映射装备数值!$B$10:$B$56=$E182))*ROW(映射装备数值!$A$10:$A$56))),"未匹配")</f>
        <v>644</v>
      </c>
      <c r="I182">
        <f>IFERROR(INDEX(映射装备数值!F:F,SUMPRODUCT((映射装备数值!$C$10:$C$56=IF($F182="Blue","蓝",IF($F182="Purple","紫",IF($F182="Orange","金",IF($F182="Red","红",$F182)))))*((映射装备数值!$A$10:$A$56=$E182)+(映射装备数值!$B$10:$B$56=$E182))*ROW(映射装备数值!$A$10:$A$56))),"未匹配")</f>
        <v>84</v>
      </c>
      <c r="J182" t="str">
        <f>IFERROR(INDEX(映射装备数值!I:I,SUMPRODUCT((映射装备数值!$C$10:$C$56=IF($F182="Blue","蓝",IF($F182="Purple","紫",IF($F182="Orange","金",IF($F182="Red","红",$F182)))))*((映射装备数值!$A$10:$A$56=$E182)+(映射装备数值!$B$10:$B$56=$E182))*ROW(映射装备数值!$A$10:$A$56))),"未匹配")</f>
        <v>冷却缩减等级</v>
      </c>
      <c r="K182">
        <f>IFERROR(INDEX(映射装备数值!L:L,SUMPRODUCT((映射装备数值!$C$10:$C$56=IF($F182="Blue","蓝",IF($F182="Purple","紫",IF($F182="Orange","金",IF($F182="Red","红",$F182)))))*((映射装备数值!$A$10:$A$56=$E182)+(映射装备数值!$B$10:$B$56=$E182))*ROW(映射装备数值!$A$10:$A$56))),"未匹配")</f>
        <v>419</v>
      </c>
      <c r="L182">
        <f>IFERROR(INDEX(映射装备数值!K:K,SUMPRODUCT((映射装备数值!$C$10:$C$56=IF($F182="Blue","蓝",IF($F182="Purple","紫",IF($F182="Orange","金",IF($F182="Red","红",$F182)))))*((映射装备数值!$A$10:$A$56=$E182)+(映射装备数值!$B$10:$B$56=$E182))*ROW(映射装备数值!$A$10:$A$56))),"未匹配")</f>
        <v>55</v>
      </c>
      <c r="M182" s="93">
        <v>1.05</v>
      </c>
      <c r="N182" s="93">
        <v>0.95</v>
      </c>
      <c r="O182" t="str">
        <f t="shared" si="12"/>
        <v>攻击</v>
      </c>
      <c r="P182">
        <f t="shared" si="13"/>
        <v>676</v>
      </c>
      <c r="Q182">
        <f t="shared" si="14"/>
        <v>88</v>
      </c>
      <c r="R182" t="str">
        <f t="shared" si="15"/>
        <v>冷却缩减等级</v>
      </c>
      <c r="S182">
        <f t="shared" si="16"/>
        <v>398</v>
      </c>
      <c r="T182">
        <f t="shared" si="17"/>
        <v>52</v>
      </c>
      <c r="W182" s="7">
        <v>80180</v>
      </c>
    </row>
    <row r="183" ht="17.25" customHeight="1" spans="3:23">
      <c r="C183" s="7">
        <v>80181</v>
      </c>
      <c r="D183" s="7" t="s">
        <v>756</v>
      </c>
      <c r="E183" s="25" t="s">
        <v>422</v>
      </c>
      <c r="F183" s="92" t="s">
        <v>729</v>
      </c>
      <c r="G183" t="str">
        <f>IFERROR(INDEX(映射装备数值!D:D,SUMPRODUCT((映射装备数值!$C$10:$C$56=IF($F183="Blue","蓝",IF($F183="Purple","紫",IF($F183="Orange","金",IF($F183="Red","红",$F183)))))*((映射装备数值!$A$10:$A$56=$E183)+(映射装备数值!$B$10:$B$56=$E183))*ROW(映射装备数值!$A$10:$A$56))),"未匹配")</f>
        <v>攻击</v>
      </c>
      <c r="H183">
        <f>IFERROR(INDEX(映射装备数值!G:G,SUMPRODUCT((映射装备数值!$C$10:$C$56=IF($F183="Blue","蓝",IF($F183="Purple","紫",IF($F183="Orange","金",IF($F183="Red","红",$F183)))))*((映射装备数值!$A$10:$A$56=$E183)+(映射装备数值!$B$10:$B$56=$E183))*ROW(映射装备数值!$A$10:$A$56))),"未匹配")</f>
        <v>644</v>
      </c>
      <c r="I183">
        <f>IFERROR(INDEX(映射装备数值!F:F,SUMPRODUCT((映射装备数值!$C$10:$C$56=IF($F183="Blue","蓝",IF($F183="Purple","紫",IF($F183="Orange","金",IF($F183="Red","红",$F183)))))*((映射装备数值!$A$10:$A$56=$E183)+(映射装备数值!$B$10:$B$56=$E183))*ROW(映射装备数值!$A$10:$A$56))),"未匹配")</f>
        <v>84</v>
      </c>
      <c r="J183" t="str">
        <f>IFERROR(INDEX(映射装备数值!I:I,SUMPRODUCT((映射装备数值!$C$10:$C$56=IF($F183="Blue","蓝",IF($F183="Purple","紫",IF($F183="Orange","金",IF($F183="Red","红",$F183)))))*((映射装备数值!$A$10:$A$56=$E183)+(映射装备数值!$B$10:$B$56=$E183))*ROW(映射装备数值!$A$10:$A$56))),"未匹配")</f>
        <v>冷却缩减等级</v>
      </c>
      <c r="K183">
        <f>IFERROR(INDEX(映射装备数值!L:L,SUMPRODUCT((映射装备数值!$C$10:$C$56=IF($F183="Blue","蓝",IF($F183="Purple","紫",IF($F183="Orange","金",IF($F183="Red","红",$F183)))))*((映射装备数值!$A$10:$A$56=$E183)+(映射装备数值!$B$10:$B$56=$E183))*ROW(映射装备数值!$A$10:$A$56))),"未匹配")</f>
        <v>419</v>
      </c>
      <c r="L183">
        <f>IFERROR(INDEX(映射装备数值!K:K,SUMPRODUCT((映射装备数值!$C$10:$C$56=IF($F183="Blue","蓝",IF($F183="Purple","紫",IF($F183="Orange","金",IF($F183="Red","红",$F183)))))*((映射装备数值!$A$10:$A$56=$E183)+(映射装备数值!$B$10:$B$56=$E183))*ROW(映射装备数值!$A$10:$A$56))),"未匹配")</f>
        <v>55</v>
      </c>
      <c r="M183" s="93">
        <v>1.1</v>
      </c>
      <c r="N183" s="93">
        <v>0.9</v>
      </c>
      <c r="O183" t="str">
        <f t="shared" si="12"/>
        <v>攻击</v>
      </c>
      <c r="P183">
        <f t="shared" si="13"/>
        <v>708</v>
      </c>
      <c r="Q183">
        <f t="shared" si="14"/>
        <v>92</v>
      </c>
      <c r="R183" t="str">
        <f t="shared" si="15"/>
        <v>冷却缩减等级</v>
      </c>
      <c r="S183">
        <f t="shared" si="16"/>
        <v>377</v>
      </c>
      <c r="T183">
        <f t="shared" si="17"/>
        <v>50</v>
      </c>
      <c r="W183" s="7">
        <v>80181</v>
      </c>
    </row>
    <row r="184" ht="17.25" customHeight="1" spans="3:23">
      <c r="C184" s="88">
        <v>80182</v>
      </c>
      <c r="D184" s="7" t="s">
        <v>757</v>
      </c>
      <c r="E184" s="25" t="s">
        <v>422</v>
      </c>
      <c r="F184" s="94" t="s">
        <v>729</v>
      </c>
      <c r="G184" t="str">
        <f>IFERROR(INDEX(映射装备数值!D:D,SUMPRODUCT((映射装备数值!$C$10:$C$56=IF($F184="Blue","蓝",IF($F184="Purple","紫",IF($F184="Orange","金",IF($F184="Red","红",$F184)))))*((映射装备数值!$A$10:$A$56=$E184)+(映射装备数值!$B$10:$B$56=$E184))*ROW(映射装备数值!$A$10:$A$56))),"未匹配")</f>
        <v>攻击</v>
      </c>
      <c r="H184">
        <f>IFERROR(INDEX(映射装备数值!G:G,SUMPRODUCT((映射装备数值!$C$10:$C$56=IF($F184="Blue","蓝",IF($F184="Purple","紫",IF($F184="Orange","金",IF($F184="Red","红",$F184)))))*((映射装备数值!$A$10:$A$56=$E184)+(映射装备数值!$B$10:$B$56=$E184))*ROW(映射装备数值!$A$10:$A$56))),"未匹配")</f>
        <v>644</v>
      </c>
      <c r="I184">
        <f>IFERROR(INDEX(映射装备数值!F:F,SUMPRODUCT((映射装备数值!$C$10:$C$56=IF($F184="Blue","蓝",IF($F184="Purple","紫",IF($F184="Orange","金",IF($F184="Red","红",$F184)))))*((映射装备数值!$A$10:$A$56=$E184)+(映射装备数值!$B$10:$B$56=$E184))*ROW(映射装备数值!$A$10:$A$56))),"未匹配")</f>
        <v>84</v>
      </c>
      <c r="J184" t="str">
        <f>IFERROR(INDEX(映射装备数值!I:I,SUMPRODUCT((映射装备数值!$C$10:$C$56=IF($F184="Blue","蓝",IF($F184="Purple","紫",IF($F184="Orange","金",IF($F184="Red","红",$F184)))))*((映射装备数值!$A$10:$A$56=$E184)+(映射装备数值!$B$10:$B$56=$E184))*ROW(映射装备数值!$A$10:$A$56))),"未匹配")</f>
        <v>冷却缩减等级</v>
      </c>
      <c r="K184">
        <f>IFERROR(INDEX(映射装备数值!L:L,SUMPRODUCT((映射装备数值!$C$10:$C$56=IF($F184="Blue","蓝",IF($F184="Purple","紫",IF($F184="Orange","金",IF($F184="Red","红",$F184)))))*((映射装备数值!$A$10:$A$56=$E184)+(映射装备数值!$B$10:$B$56=$E184))*ROW(映射装备数值!$A$10:$A$56))),"未匹配")</f>
        <v>419</v>
      </c>
      <c r="L184">
        <f>IFERROR(INDEX(映射装备数值!K:K,SUMPRODUCT((映射装备数值!$C$10:$C$56=IF($F184="Blue","蓝",IF($F184="Purple","紫",IF($F184="Orange","金",IF($F184="Red","红",$F184)))))*((映射装备数值!$A$10:$A$56=$E184)+(映射装备数值!$B$10:$B$56=$E184))*ROW(映射装备数值!$A$10:$A$56))),"未匹配")</f>
        <v>55</v>
      </c>
      <c r="M184" s="93">
        <v>0.95</v>
      </c>
      <c r="N184" s="93">
        <v>1.05</v>
      </c>
      <c r="O184" t="str">
        <f t="shared" si="12"/>
        <v>攻击</v>
      </c>
      <c r="P184">
        <f t="shared" si="13"/>
        <v>612</v>
      </c>
      <c r="Q184">
        <f t="shared" si="14"/>
        <v>80</v>
      </c>
      <c r="R184" t="str">
        <f t="shared" si="15"/>
        <v>冷却缩减等级</v>
      </c>
      <c r="S184">
        <f t="shared" si="16"/>
        <v>440</v>
      </c>
      <c r="T184">
        <f t="shared" si="17"/>
        <v>58</v>
      </c>
      <c r="W184" s="88">
        <v>80182</v>
      </c>
    </row>
    <row r="185" ht="17.25" customHeight="1" spans="3:23">
      <c r="C185" s="7">
        <v>80183</v>
      </c>
      <c r="D185" s="7" t="s">
        <v>758</v>
      </c>
      <c r="E185" s="25" t="s">
        <v>423</v>
      </c>
      <c r="F185" s="92" t="s">
        <v>729</v>
      </c>
      <c r="G185" t="str">
        <f>IFERROR(INDEX(映射装备数值!D:D,SUMPRODUCT((映射装备数值!$C$10:$C$56=IF($F185="Blue","蓝",IF($F185="Purple","紫",IF($F185="Orange","金",IF($F185="Red","红",$F185)))))*((映射装备数值!$A$10:$A$56=$E185)+(映射装备数值!$B$10:$B$56=$E185))*ROW(映射装备数值!$A$10:$A$56))),"未匹配")</f>
        <v>攻击</v>
      </c>
      <c r="H185">
        <f>IFERROR(INDEX(映射装备数值!G:G,SUMPRODUCT((映射装备数值!$C$10:$C$56=IF($F185="Blue","蓝",IF($F185="Purple","紫",IF($F185="Orange","金",IF($F185="Red","红",$F185)))))*((映射装备数值!$A$10:$A$56=$E185)+(映射装备数值!$B$10:$B$56=$E185))*ROW(映射装备数值!$A$10:$A$56))),"未匹配")</f>
        <v>644</v>
      </c>
      <c r="I185">
        <f>IFERROR(INDEX(映射装备数值!F:F,SUMPRODUCT((映射装备数值!$C$10:$C$56=IF($F185="Blue","蓝",IF($F185="Purple","紫",IF($F185="Orange","金",IF($F185="Red","红",$F185)))))*((映射装备数值!$A$10:$A$56=$E185)+(映射装备数值!$B$10:$B$56=$E185))*ROW(映射装备数值!$A$10:$A$56))),"未匹配")</f>
        <v>84</v>
      </c>
      <c r="J185" t="str">
        <f>IFERROR(INDEX(映射装备数值!I:I,SUMPRODUCT((映射装备数值!$C$10:$C$56=IF($F185="Blue","蓝",IF($F185="Purple","紫",IF($F185="Orange","金",IF($F185="Red","红",$F185)))))*((映射装备数值!$A$10:$A$56=$E185)+(映射装备数值!$B$10:$B$56=$E185))*ROW(映射装备数值!$A$10:$A$56))),"未匹配")</f>
        <v>能量回复等级</v>
      </c>
      <c r="K185">
        <f>IFERROR(INDEX(映射装备数值!L:L,SUMPRODUCT((映射装备数值!$C$10:$C$56=IF($F185="Blue","蓝",IF($F185="Purple","紫",IF($F185="Orange","金",IF($F185="Red","红",$F185)))))*((映射装备数值!$A$10:$A$56=$E185)+(映射装备数值!$B$10:$B$56=$E185))*ROW(映射装备数值!$A$10:$A$56))),"未匹配")</f>
        <v>290</v>
      </c>
      <c r="L185">
        <f>IFERROR(INDEX(映射装备数值!K:K,SUMPRODUCT((映射装备数值!$C$10:$C$56=IF($F185="Blue","蓝",IF($F185="Purple","紫",IF($F185="Orange","金",IF($F185="Red","红",$F185)))))*((映射装备数值!$A$10:$A$56=$E185)+(映射装备数值!$B$10:$B$56=$E185))*ROW(映射装备数值!$A$10:$A$56))),"未匹配")</f>
        <v>38</v>
      </c>
      <c r="M185" s="93">
        <v>0.95</v>
      </c>
      <c r="N185" s="93">
        <v>1.05</v>
      </c>
      <c r="O185" t="str">
        <f t="shared" si="12"/>
        <v>攻击</v>
      </c>
      <c r="P185">
        <f t="shared" si="13"/>
        <v>612</v>
      </c>
      <c r="Q185">
        <f t="shared" si="14"/>
        <v>80</v>
      </c>
      <c r="R185" t="str">
        <f t="shared" si="15"/>
        <v>能量回复等级</v>
      </c>
      <c r="S185">
        <f t="shared" si="16"/>
        <v>305</v>
      </c>
      <c r="T185">
        <f t="shared" si="17"/>
        <v>40</v>
      </c>
      <c r="W185" s="7">
        <v>80183</v>
      </c>
    </row>
    <row r="186" ht="17.25" customHeight="1" spans="3:23">
      <c r="C186" s="7">
        <v>80184</v>
      </c>
      <c r="D186" s="7" t="s">
        <v>759</v>
      </c>
      <c r="E186" s="25" t="s">
        <v>423</v>
      </c>
      <c r="F186" s="92" t="s">
        <v>729</v>
      </c>
      <c r="G186" t="str">
        <f>IFERROR(INDEX(映射装备数值!D:D,SUMPRODUCT((映射装备数值!$C$10:$C$56=IF($F186="Blue","蓝",IF($F186="Purple","紫",IF($F186="Orange","金",IF($F186="Red","红",$F186)))))*((映射装备数值!$A$10:$A$56=$E186)+(映射装备数值!$B$10:$B$56=$E186))*ROW(映射装备数值!$A$10:$A$56))),"未匹配")</f>
        <v>攻击</v>
      </c>
      <c r="H186">
        <f>IFERROR(INDEX(映射装备数值!G:G,SUMPRODUCT((映射装备数值!$C$10:$C$56=IF($F186="Blue","蓝",IF($F186="Purple","紫",IF($F186="Orange","金",IF($F186="Red","红",$F186)))))*((映射装备数值!$A$10:$A$56=$E186)+(映射装备数值!$B$10:$B$56=$E186))*ROW(映射装备数值!$A$10:$A$56))),"未匹配")</f>
        <v>644</v>
      </c>
      <c r="I186">
        <f>IFERROR(INDEX(映射装备数值!F:F,SUMPRODUCT((映射装备数值!$C$10:$C$56=IF($F186="Blue","蓝",IF($F186="Purple","紫",IF($F186="Orange","金",IF($F186="Red","红",$F186)))))*((映射装备数值!$A$10:$A$56=$E186)+(映射装备数值!$B$10:$B$56=$E186))*ROW(映射装备数值!$A$10:$A$56))),"未匹配")</f>
        <v>84</v>
      </c>
      <c r="J186" t="str">
        <f>IFERROR(INDEX(映射装备数值!I:I,SUMPRODUCT((映射装备数值!$C$10:$C$56=IF($F186="Blue","蓝",IF($F186="Purple","紫",IF($F186="Orange","金",IF($F186="Red","红",$F186)))))*((映射装备数值!$A$10:$A$56=$E186)+(映射装备数值!$B$10:$B$56=$E186))*ROW(映射装备数值!$A$10:$A$56))),"未匹配")</f>
        <v>能量回复等级</v>
      </c>
      <c r="K186">
        <f>IFERROR(INDEX(映射装备数值!L:L,SUMPRODUCT((映射装备数值!$C$10:$C$56=IF($F186="Blue","蓝",IF($F186="Purple","紫",IF($F186="Orange","金",IF($F186="Red","红",$F186)))))*((映射装备数值!$A$10:$A$56=$E186)+(映射装备数值!$B$10:$B$56=$E186))*ROW(映射装备数值!$A$10:$A$56))),"未匹配")</f>
        <v>290</v>
      </c>
      <c r="L186">
        <f>IFERROR(INDEX(映射装备数值!K:K,SUMPRODUCT((映射装备数值!$C$10:$C$56=IF($F186="Blue","蓝",IF($F186="Purple","紫",IF($F186="Orange","金",IF($F186="Red","红",$F186)))))*((映射装备数值!$A$10:$A$56=$E186)+(映射装备数值!$B$10:$B$56=$E186))*ROW(映射装备数值!$A$10:$A$56))),"未匹配")</f>
        <v>38</v>
      </c>
      <c r="M186" s="93">
        <v>0.85</v>
      </c>
      <c r="N186" s="93">
        <v>1.15</v>
      </c>
      <c r="O186" t="str">
        <f t="shared" si="12"/>
        <v>攻击</v>
      </c>
      <c r="P186">
        <f t="shared" si="13"/>
        <v>547</v>
      </c>
      <c r="Q186">
        <f t="shared" si="14"/>
        <v>71</v>
      </c>
      <c r="R186" t="str">
        <f t="shared" si="15"/>
        <v>能量回复等级</v>
      </c>
      <c r="S186">
        <f t="shared" si="16"/>
        <v>334</v>
      </c>
      <c r="T186">
        <f t="shared" si="17"/>
        <v>44</v>
      </c>
      <c r="W186" s="7">
        <v>80184</v>
      </c>
    </row>
    <row r="187" ht="17.25" customHeight="1" spans="3:23">
      <c r="C187" s="7">
        <v>80185</v>
      </c>
      <c r="D187" s="7" t="s">
        <v>760</v>
      </c>
      <c r="E187" s="25" t="s">
        <v>423</v>
      </c>
      <c r="F187" s="92" t="s">
        <v>729</v>
      </c>
      <c r="G187" t="str">
        <f>IFERROR(INDEX(映射装备数值!D:D,SUMPRODUCT((映射装备数值!$C$10:$C$56=IF($F187="Blue","蓝",IF($F187="Purple","紫",IF($F187="Orange","金",IF($F187="Red","红",$F187)))))*((映射装备数值!$A$10:$A$56=$E187)+(映射装备数值!$B$10:$B$56=$E187))*ROW(映射装备数值!$A$10:$A$56))),"未匹配")</f>
        <v>攻击</v>
      </c>
      <c r="H187">
        <f>IFERROR(INDEX(映射装备数值!G:G,SUMPRODUCT((映射装备数值!$C$10:$C$56=IF($F187="Blue","蓝",IF($F187="Purple","紫",IF($F187="Orange","金",IF($F187="Red","红",$F187)))))*((映射装备数值!$A$10:$A$56=$E187)+(映射装备数值!$B$10:$B$56=$E187))*ROW(映射装备数值!$A$10:$A$56))),"未匹配")</f>
        <v>644</v>
      </c>
      <c r="I187">
        <f>IFERROR(INDEX(映射装备数值!F:F,SUMPRODUCT((映射装备数值!$C$10:$C$56=IF($F187="Blue","蓝",IF($F187="Purple","紫",IF($F187="Orange","金",IF($F187="Red","红",$F187)))))*((映射装备数值!$A$10:$A$56=$E187)+(映射装备数值!$B$10:$B$56=$E187))*ROW(映射装备数值!$A$10:$A$56))),"未匹配")</f>
        <v>84</v>
      </c>
      <c r="J187" t="str">
        <f>IFERROR(INDEX(映射装备数值!I:I,SUMPRODUCT((映射装备数值!$C$10:$C$56=IF($F187="Blue","蓝",IF($F187="Purple","紫",IF($F187="Orange","金",IF($F187="Red","红",$F187)))))*((映射装备数值!$A$10:$A$56=$E187)+(映射装备数值!$B$10:$B$56=$E187))*ROW(映射装备数值!$A$10:$A$56))),"未匹配")</f>
        <v>能量回复等级</v>
      </c>
      <c r="K187">
        <f>IFERROR(INDEX(映射装备数值!L:L,SUMPRODUCT((映射装备数值!$C$10:$C$56=IF($F187="Blue","蓝",IF($F187="Purple","紫",IF($F187="Orange","金",IF($F187="Red","红",$F187)))))*((映射装备数值!$A$10:$A$56=$E187)+(映射装备数值!$B$10:$B$56=$E187))*ROW(映射装备数值!$A$10:$A$56))),"未匹配")</f>
        <v>290</v>
      </c>
      <c r="L187">
        <f>IFERROR(INDEX(映射装备数值!K:K,SUMPRODUCT((映射装备数值!$C$10:$C$56=IF($F187="Blue","蓝",IF($F187="Purple","紫",IF($F187="Orange","金",IF($F187="Red","红",$F187)))))*((映射装备数值!$A$10:$A$56=$E187)+(映射装备数值!$B$10:$B$56=$E187))*ROW(映射装备数值!$A$10:$A$56))),"未匹配")</f>
        <v>38</v>
      </c>
      <c r="M187" s="93">
        <v>1.15</v>
      </c>
      <c r="N187" s="93">
        <v>0.85</v>
      </c>
      <c r="O187" t="str">
        <f t="shared" si="12"/>
        <v>攻击</v>
      </c>
      <c r="P187">
        <f t="shared" si="13"/>
        <v>741</v>
      </c>
      <c r="Q187">
        <f t="shared" si="14"/>
        <v>97</v>
      </c>
      <c r="R187" t="str">
        <f t="shared" si="15"/>
        <v>能量回复等级</v>
      </c>
      <c r="S187">
        <f t="shared" si="16"/>
        <v>247</v>
      </c>
      <c r="T187">
        <f t="shared" si="17"/>
        <v>32</v>
      </c>
      <c r="W187" s="7">
        <v>80185</v>
      </c>
    </row>
    <row r="188" ht="17.25" customHeight="1" spans="3:23">
      <c r="C188" s="88">
        <v>80186</v>
      </c>
      <c r="D188" s="7" t="s">
        <v>761</v>
      </c>
      <c r="E188" s="25" t="s">
        <v>423</v>
      </c>
      <c r="F188" s="94" t="s">
        <v>729</v>
      </c>
      <c r="G188" t="str">
        <f>IFERROR(INDEX(映射装备数值!D:D,SUMPRODUCT((映射装备数值!$C$10:$C$56=IF($F188="Blue","蓝",IF($F188="Purple","紫",IF($F188="Orange","金",IF($F188="Red","红",$F188)))))*((映射装备数值!$A$10:$A$56=$E188)+(映射装备数值!$B$10:$B$56=$E188))*ROW(映射装备数值!$A$10:$A$56))),"未匹配")</f>
        <v>攻击</v>
      </c>
      <c r="H188">
        <f>IFERROR(INDEX(映射装备数值!G:G,SUMPRODUCT((映射装备数值!$C$10:$C$56=IF($F188="Blue","蓝",IF($F188="Purple","紫",IF($F188="Orange","金",IF($F188="Red","红",$F188)))))*((映射装备数值!$A$10:$A$56=$E188)+(映射装备数值!$B$10:$B$56=$E188))*ROW(映射装备数值!$A$10:$A$56))),"未匹配")</f>
        <v>644</v>
      </c>
      <c r="I188">
        <f>IFERROR(INDEX(映射装备数值!F:F,SUMPRODUCT((映射装备数值!$C$10:$C$56=IF($F188="Blue","蓝",IF($F188="Purple","紫",IF($F188="Orange","金",IF($F188="Red","红",$F188)))))*((映射装备数值!$A$10:$A$56=$E188)+(映射装备数值!$B$10:$B$56=$E188))*ROW(映射装备数值!$A$10:$A$56))),"未匹配")</f>
        <v>84</v>
      </c>
      <c r="J188" t="str">
        <f>IFERROR(INDEX(映射装备数值!I:I,SUMPRODUCT((映射装备数值!$C$10:$C$56=IF($F188="Blue","蓝",IF($F188="Purple","紫",IF($F188="Orange","金",IF($F188="Red","红",$F188)))))*((映射装备数值!$A$10:$A$56=$E188)+(映射装备数值!$B$10:$B$56=$E188))*ROW(映射装备数值!$A$10:$A$56))),"未匹配")</f>
        <v>能量回复等级</v>
      </c>
      <c r="K188">
        <f>IFERROR(INDEX(映射装备数值!L:L,SUMPRODUCT((映射装备数值!$C$10:$C$56=IF($F188="Blue","蓝",IF($F188="Purple","紫",IF($F188="Orange","金",IF($F188="Red","红",$F188)))))*((映射装备数值!$A$10:$A$56=$E188)+(映射装备数值!$B$10:$B$56=$E188))*ROW(映射装备数值!$A$10:$A$56))),"未匹配")</f>
        <v>290</v>
      </c>
      <c r="L188">
        <f>IFERROR(INDEX(映射装备数值!K:K,SUMPRODUCT((映射装备数值!$C$10:$C$56=IF($F188="Blue","蓝",IF($F188="Purple","紫",IF($F188="Orange","金",IF($F188="Red","红",$F188)))))*((映射装备数值!$A$10:$A$56=$E188)+(映射装备数值!$B$10:$B$56=$E188))*ROW(映射装备数值!$A$10:$A$56))),"未匹配")</f>
        <v>38</v>
      </c>
      <c r="M188" s="93">
        <v>1.1</v>
      </c>
      <c r="N188" s="93">
        <v>0.9</v>
      </c>
      <c r="O188" t="str">
        <f t="shared" si="12"/>
        <v>攻击</v>
      </c>
      <c r="P188">
        <f t="shared" si="13"/>
        <v>708</v>
      </c>
      <c r="Q188">
        <f t="shared" si="14"/>
        <v>92</v>
      </c>
      <c r="R188" t="str">
        <f t="shared" si="15"/>
        <v>能量回复等级</v>
      </c>
      <c r="S188">
        <f t="shared" si="16"/>
        <v>261</v>
      </c>
      <c r="T188">
        <f t="shared" si="17"/>
        <v>34</v>
      </c>
      <c r="W188" s="88">
        <v>80186</v>
      </c>
    </row>
    <row r="189" ht="17.25" customHeight="1" spans="3:23">
      <c r="C189" s="7">
        <v>80187</v>
      </c>
      <c r="D189" s="7" t="s">
        <v>762</v>
      </c>
      <c r="E189" s="25" t="s">
        <v>425</v>
      </c>
      <c r="F189" s="92" t="s">
        <v>729</v>
      </c>
      <c r="G189" t="str">
        <f>IFERROR(INDEX(映射装备数值!D:D,SUMPRODUCT((映射装备数值!$C$10:$C$56=IF($F189="Blue","蓝",IF($F189="Purple","紫",IF($F189="Orange","金",IF($F189="Red","红",$F189)))))*((映射装备数值!$A$10:$A$56=$E189)+(映射装备数值!$B$10:$B$56=$E189))*ROW(映射装备数值!$A$10:$A$56))),"未匹配")</f>
        <v>暴击等级</v>
      </c>
      <c r="H189">
        <f>IFERROR(INDEX(映射装备数值!G:G,SUMPRODUCT((映射装备数值!$C$10:$C$56=IF($F189="Blue","蓝",IF($F189="Purple","紫",IF($F189="Orange","金",IF($F189="Red","红",$F189)))))*((映射装备数值!$A$10:$A$56=$E189)+(映射装备数值!$B$10:$B$56=$E189))*ROW(映射装备数值!$A$10:$A$56))),"未匹配")</f>
        <v>334</v>
      </c>
      <c r="I189">
        <f>IFERROR(INDEX(映射装备数值!F:F,SUMPRODUCT((映射装备数值!$C$10:$C$56=IF($F189="Blue","蓝",IF($F189="Purple","紫",IF($F189="Orange","金",IF($F189="Red","红",$F189)))))*((映射装备数值!$A$10:$A$56=$E189)+(映射装备数值!$B$10:$B$56=$E189))*ROW(映射装备数值!$A$10:$A$56))),"未匹配")</f>
        <v>44</v>
      </c>
      <c r="J189" t="str">
        <f>IFERROR(INDEX(映射装备数值!I:I,SUMPRODUCT((映射装备数值!$C$10:$C$56=IF($F189="Blue","蓝",IF($F189="Purple","紫",IF($F189="Orange","金",IF($F189="Red","红",$F189)))))*((映射装备数值!$A$10:$A$56=$E189)+(映射装备数值!$B$10:$B$56=$E189))*ROW(映射装备数值!$A$10:$A$56))),"未匹配")</f>
        <v>暴击伤害等级</v>
      </c>
      <c r="K189">
        <f>IFERROR(INDEX(映射装备数值!L:L,SUMPRODUCT((映射装备数值!$C$10:$C$56=IF($F189="Blue","蓝",IF($F189="Purple","紫",IF($F189="Orange","金",IF($F189="Red","红",$F189)))))*((映射装备数值!$A$10:$A$56=$E189)+(映射装备数值!$B$10:$B$56=$E189))*ROW(映射装备数值!$A$10:$A$56))),"未匹配")</f>
        <v>506</v>
      </c>
      <c r="L189">
        <f>IFERROR(INDEX(映射装备数值!K:K,SUMPRODUCT((映射装备数值!$C$10:$C$56=IF($F189="Blue","蓝",IF($F189="Purple","紫",IF($F189="Orange","金",IF($F189="Red","红",$F189)))))*((映射装备数值!$A$10:$A$56=$E189)+(映射装备数值!$B$10:$B$56=$E189))*ROW(映射装备数值!$A$10:$A$56))),"未匹配")</f>
        <v>66</v>
      </c>
      <c r="M189" s="93">
        <v>1.2</v>
      </c>
      <c r="N189" s="93">
        <v>0.8</v>
      </c>
      <c r="O189" t="str">
        <f t="shared" si="12"/>
        <v>暴击等级</v>
      </c>
      <c r="P189">
        <f t="shared" si="13"/>
        <v>401</v>
      </c>
      <c r="Q189">
        <f t="shared" si="14"/>
        <v>53</v>
      </c>
      <c r="R189" t="str">
        <f t="shared" si="15"/>
        <v>暴击伤害等级</v>
      </c>
      <c r="S189">
        <f t="shared" si="16"/>
        <v>405</v>
      </c>
      <c r="T189">
        <f t="shared" si="17"/>
        <v>53</v>
      </c>
      <c r="W189" s="7">
        <v>80187</v>
      </c>
    </row>
    <row r="190" ht="17.25" customHeight="1" spans="3:23">
      <c r="C190" s="7">
        <v>80188</v>
      </c>
      <c r="D190" s="7" t="s">
        <v>763</v>
      </c>
      <c r="E190" s="25" t="s">
        <v>425</v>
      </c>
      <c r="F190" s="92" t="s">
        <v>729</v>
      </c>
      <c r="G190" t="str">
        <f>IFERROR(INDEX(映射装备数值!D:D,SUMPRODUCT((映射装备数值!$C$10:$C$56=IF($F190="Blue","蓝",IF($F190="Purple","紫",IF($F190="Orange","金",IF($F190="Red","红",$F190)))))*((映射装备数值!$A$10:$A$56=$E190)+(映射装备数值!$B$10:$B$56=$E190))*ROW(映射装备数值!$A$10:$A$56))),"未匹配")</f>
        <v>暴击等级</v>
      </c>
      <c r="H190">
        <f>IFERROR(INDEX(映射装备数值!G:G,SUMPRODUCT((映射装备数值!$C$10:$C$56=IF($F190="Blue","蓝",IF($F190="Purple","紫",IF($F190="Orange","金",IF($F190="Red","红",$F190)))))*((映射装备数值!$A$10:$A$56=$E190)+(映射装备数值!$B$10:$B$56=$E190))*ROW(映射装备数值!$A$10:$A$56))),"未匹配")</f>
        <v>334</v>
      </c>
      <c r="I190">
        <f>IFERROR(INDEX(映射装备数值!F:F,SUMPRODUCT((映射装备数值!$C$10:$C$56=IF($F190="Blue","蓝",IF($F190="Purple","紫",IF($F190="Orange","金",IF($F190="Red","红",$F190)))))*((映射装备数值!$A$10:$A$56=$E190)+(映射装备数值!$B$10:$B$56=$E190))*ROW(映射装备数值!$A$10:$A$56))),"未匹配")</f>
        <v>44</v>
      </c>
      <c r="J190" t="str">
        <f>IFERROR(INDEX(映射装备数值!I:I,SUMPRODUCT((映射装备数值!$C$10:$C$56=IF($F190="Blue","蓝",IF($F190="Purple","紫",IF($F190="Orange","金",IF($F190="Red","红",$F190)))))*((映射装备数值!$A$10:$A$56=$E190)+(映射装备数值!$B$10:$B$56=$E190))*ROW(映射装备数值!$A$10:$A$56))),"未匹配")</f>
        <v>暴击伤害等级</v>
      </c>
      <c r="K190">
        <f>IFERROR(INDEX(映射装备数值!L:L,SUMPRODUCT((映射装备数值!$C$10:$C$56=IF($F190="Blue","蓝",IF($F190="Purple","紫",IF($F190="Orange","金",IF($F190="Red","红",$F190)))))*((映射装备数值!$A$10:$A$56=$E190)+(映射装备数值!$B$10:$B$56=$E190))*ROW(映射装备数值!$A$10:$A$56))),"未匹配")</f>
        <v>506</v>
      </c>
      <c r="L190">
        <f>IFERROR(INDEX(映射装备数值!K:K,SUMPRODUCT((映射装备数值!$C$10:$C$56=IF($F190="Blue","蓝",IF($F190="Purple","紫",IF($F190="Orange","金",IF($F190="Red","红",$F190)))))*((映射装备数值!$A$10:$A$56=$E190)+(映射装备数值!$B$10:$B$56=$E190))*ROW(映射装备数值!$A$10:$A$56))),"未匹配")</f>
        <v>66</v>
      </c>
      <c r="M190" s="93">
        <v>0.8</v>
      </c>
      <c r="N190" s="93">
        <v>1.2</v>
      </c>
      <c r="O190" t="str">
        <f t="shared" si="12"/>
        <v>暴击等级</v>
      </c>
      <c r="P190">
        <f t="shared" si="13"/>
        <v>267</v>
      </c>
      <c r="Q190">
        <f t="shared" si="14"/>
        <v>35</v>
      </c>
      <c r="R190" t="str">
        <f t="shared" si="15"/>
        <v>暴击伤害等级</v>
      </c>
      <c r="S190">
        <f t="shared" si="16"/>
        <v>607</v>
      </c>
      <c r="T190">
        <f t="shared" si="17"/>
        <v>79</v>
      </c>
      <c r="W190" s="7">
        <v>80188</v>
      </c>
    </row>
    <row r="191" ht="17.25" customHeight="1" spans="3:23">
      <c r="C191" s="7">
        <v>80189</v>
      </c>
      <c r="D191" s="7" t="s">
        <v>764</v>
      </c>
      <c r="E191" s="25" t="s">
        <v>425</v>
      </c>
      <c r="F191" s="92" t="s">
        <v>729</v>
      </c>
      <c r="G191" t="str">
        <f>IFERROR(INDEX(映射装备数值!D:D,SUMPRODUCT((映射装备数值!$C$10:$C$56=IF($F191="Blue","蓝",IF($F191="Purple","紫",IF($F191="Orange","金",IF($F191="Red","红",$F191)))))*((映射装备数值!$A$10:$A$56=$E191)+(映射装备数值!$B$10:$B$56=$E191))*ROW(映射装备数值!$A$10:$A$56))),"未匹配")</f>
        <v>暴击等级</v>
      </c>
      <c r="H191">
        <f>IFERROR(INDEX(映射装备数值!G:G,SUMPRODUCT((映射装备数值!$C$10:$C$56=IF($F191="Blue","蓝",IF($F191="Purple","紫",IF($F191="Orange","金",IF($F191="Red","红",$F191)))))*((映射装备数值!$A$10:$A$56=$E191)+(映射装备数值!$B$10:$B$56=$E191))*ROW(映射装备数值!$A$10:$A$56))),"未匹配")</f>
        <v>334</v>
      </c>
      <c r="I191">
        <f>IFERROR(INDEX(映射装备数值!F:F,SUMPRODUCT((映射装备数值!$C$10:$C$56=IF($F191="Blue","蓝",IF($F191="Purple","紫",IF($F191="Orange","金",IF($F191="Red","红",$F191)))))*((映射装备数值!$A$10:$A$56=$E191)+(映射装备数值!$B$10:$B$56=$E191))*ROW(映射装备数值!$A$10:$A$56))),"未匹配")</f>
        <v>44</v>
      </c>
      <c r="J191" t="str">
        <f>IFERROR(INDEX(映射装备数值!I:I,SUMPRODUCT((映射装备数值!$C$10:$C$56=IF($F191="Blue","蓝",IF($F191="Purple","紫",IF($F191="Orange","金",IF($F191="Red","红",$F191)))))*((映射装备数值!$A$10:$A$56=$E191)+(映射装备数值!$B$10:$B$56=$E191))*ROW(映射装备数值!$A$10:$A$56))),"未匹配")</f>
        <v>暴击伤害等级</v>
      </c>
      <c r="K191">
        <f>IFERROR(INDEX(映射装备数值!L:L,SUMPRODUCT((映射装备数值!$C$10:$C$56=IF($F191="Blue","蓝",IF($F191="Purple","紫",IF($F191="Orange","金",IF($F191="Red","红",$F191)))))*((映射装备数值!$A$10:$A$56=$E191)+(映射装备数值!$B$10:$B$56=$E191))*ROW(映射装备数值!$A$10:$A$56))),"未匹配")</f>
        <v>506</v>
      </c>
      <c r="L191">
        <f>IFERROR(INDEX(映射装备数值!K:K,SUMPRODUCT((映射装备数值!$C$10:$C$56=IF($F191="Blue","蓝",IF($F191="Purple","紫",IF($F191="Orange","金",IF($F191="Red","红",$F191)))))*((映射装备数值!$A$10:$A$56=$E191)+(映射装备数值!$B$10:$B$56=$E191))*ROW(映射装备数值!$A$10:$A$56))),"未匹配")</f>
        <v>66</v>
      </c>
      <c r="M191" s="93">
        <v>0.95</v>
      </c>
      <c r="N191" s="93">
        <v>1.05</v>
      </c>
      <c r="O191" t="str">
        <f t="shared" si="12"/>
        <v>暴击等级</v>
      </c>
      <c r="P191">
        <f t="shared" si="13"/>
        <v>317</v>
      </c>
      <c r="Q191">
        <f t="shared" si="14"/>
        <v>42</v>
      </c>
      <c r="R191" t="str">
        <f t="shared" si="15"/>
        <v>暴击伤害等级</v>
      </c>
      <c r="S191">
        <f t="shared" si="16"/>
        <v>531</v>
      </c>
      <c r="T191">
        <f t="shared" si="17"/>
        <v>69</v>
      </c>
      <c r="W191" s="7">
        <v>80189</v>
      </c>
    </row>
    <row r="192" ht="17.25" customHeight="1" spans="3:23">
      <c r="C192" s="7">
        <v>80190</v>
      </c>
      <c r="D192" s="7" t="s">
        <v>765</v>
      </c>
      <c r="E192" s="25" t="s">
        <v>425</v>
      </c>
      <c r="F192" s="92" t="s">
        <v>729</v>
      </c>
      <c r="G192" t="str">
        <f>IFERROR(INDEX(映射装备数值!D:D,SUMPRODUCT((映射装备数值!$C$10:$C$56=IF($F192="Blue","蓝",IF($F192="Purple","紫",IF($F192="Orange","金",IF($F192="Red","红",$F192)))))*((映射装备数值!$A$10:$A$56=$E192)+(映射装备数值!$B$10:$B$56=$E192))*ROW(映射装备数值!$A$10:$A$56))),"未匹配")</f>
        <v>暴击等级</v>
      </c>
      <c r="H192">
        <f>IFERROR(INDEX(映射装备数值!G:G,SUMPRODUCT((映射装备数值!$C$10:$C$56=IF($F192="Blue","蓝",IF($F192="Purple","紫",IF($F192="Orange","金",IF($F192="Red","红",$F192)))))*((映射装备数值!$A$10:$A$56=$E192)+(映射装备数值!$B$10:$B$56=$E192))*ROW(映射装备数值!$A$10:$A$56))),"未匹配")</f>
        <v>334</v>
      </c>
      <c r="I192">
        <f>IFERROR(INDEX(映射装备数值!F:F,SUMPRODUCT((映射装备数值!$C$10:$C$56=IF($F192="Blue","蓝",IF($F192="Purple","紫",IF($F192="Orange","金",IF($F192="Red","红",$F192)))))*((映射装备数值!$A$10:$A$56=$E192)+(映射装备数值!$B$10:$B$56=$E192))*ROW(映射装备数值!$A$10:$A$56))),"未匹配")</f>
        <v>44</v>
      </c>
      <c r="J192" t="str">
        <f>IFERROR(INDEX(映射装备数值!I:I,SUMPRODUCT((映射装备数值!$C$10:$C$56=IF($F192="Blue","蓝",IF($F192="Purple","紫",IF($F192="Orange","金",IF($F192="Red","红",$F192)))))*((映射装备数值!$A$10:$A$56=$E192)+(映射装备数值!$B$10:$B$56=$E192))*ROW(映射装备数值!$A$10:$A$56))),"未匹配")</f>
        <v>暴击伤害等级</v>
      </c>
      <c r="K192">
        <f>IFERROR(INDEX(映射装备数值!L:L,SUMPRODUCT((映射装备数值!$C$10:$C$56=IF($F192="Blue","蓝",IF($F192="Purple","紫",IF($F192="Orange","金",IF($F192="Red","红",$F192)))))*((映射装备数值!$A$10:$A$56=$E192)+(映射装备数值!$B$10:$B$56=$E192))*ROW(映射装备数值!$A$10:$A$56))),"未匹配")</f>
        <v>506</v>
      </c>
      <c r="L192">
        <f>IFERROR(INDEX(映射装备数值!K:K,SUMPRODUCT((映射装备数值!$C$10:$C$56=IF($F192="Blue","蓝",IF($F192="Purple","紫",IF($F192="Orange","金",IF($F192="Red","红",$F192)))))*((映射装备数值!$A$10:$A$56=$E192)+(映射装备数值!$B$10:$B$56=$E192))*ROW(映射装备数值!$A$10:$A$56))),"未匹配")</f>
        <v>66</v>
      </c>
      <c r="M192" s="93">
        <v>1</v>
      </c>
      <c r="N192" s="93">
        <v>1</v>
      </c>
      <c r="O192" t="str">
        <f t="shared" si="12"/>
        <v>暴击等级</v>
      </c>
      <c r="P192">
        <f t="shared" si="13"/>
        <v>334</v>
      </c>
      <c r="Q192">
        <f t="shared" si="14"/>
        <v>44</v>
      </c>
      <c r="R192" t="str">
        <f t="shared" si="15"/>
        <v>暴击伤害等级</v>
      </c>
      <c r="S192">
        <f t="shared" si="16"/>
        <v>506</v>
      </c>
      <c r="T192">
        <f t="shared" si="17"/>
        <v>66</v>
      </c>
      <c r="W192" s="7">
        <v>80190</v>
      </c>
    </row>
  </sheetData>
  <autoFilter xmlns:etc="http://www.wps.cn/officeDocument/2017/etCustomData" ref="C2:X192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93"/>
  <sheetViews>
    <sheetView workbookViewId="0">
      <selection activeCell="P14" sqref="P14"/>
    </sheetView>
  </sheetViews>
  <sheetFormatPr defaultColWidth="9" defaultRowHeight="13.5"/>
  <cols>
    <col min="3" max="3" width="20.25" style="8" customWidth="1"/>
    <col min="4" max="4" width="22.625" style="8" customWidth="1"/>
    <col min="6" max="6" width="19.75" style="8" customWidth="1"/>
    <col min="7" max="7" width="8.125" style="8" customWidth="1"/>
    <col min="8" max="8" width="12.875" style="8" customWidth="1"/>
    <col min="9" max="9" width="11.625" style="8" customWidth="1"/>
    <col min="11" max="11" width="13" style="8" customWidth="1"/>
  </cols>
  <sheetData>
    <row r="3" ht="16.5" customHeight="1" spans="3:11">
      <c r="F3" s="86" t="s">
        <v>405</v>
      </c>
      <c r="G3" s="86" t="s">
        <v>525</v>
      </c>
      <c r="H3" s="86" t="s">
        <v>524</v>
      </c>
      <c r="I3" s="86" t="s">
        <v>407</v>
      </c>
      <c r="J3" s="86" t="s">
        <v>525</v>
      </c>
      <c r="K3" s="86" t="s">
        <v>524</v>
      </c>
    </row>
    <row r="4" ht="17.25" customHeight="1" spans="3:11">
      <c r="C4" s="1" t="s">
        <v>80</v>
      </c>
      <c r="D4" s="1" t="s">
        <v>766</v>
      </c>
      <c r="E4" s="7">
        <v>80001</v>
      </c>
      <c r="F4" t="str">
        <f>VLOOKUP(普通映射装备数值!O3,$C$4:$D$15,2,0)</f>
        <v>PhysicsAttack</v>
      </c>
      <c r="G4">
        <f>普通映射装备数值!P3</f>
        <v>213</v>
      </c>
      <c r="H4">
        <f>普通映射装备数值!Q3</f>
        <v>28</v>
      </c>
      <c r="I4" t="str">
        <f>VLOOKUP(普通映射装备数值!R3,$C$4:$D$15,2,0)</f>
        <v>CritLevel</v>
      </c>
      <c r="J4">
        <f>普通映射装备数值!S3</f>
        <v>90</v>
      </c>
      <c r="K4">
        <f>普通映射装备数值!T3</f>
        <v>12</v>
      </c>
    </row>
    <row r="5" ht="17.25" customHeight="1" spans="3:11">
      <c r="C5" s="1" t="s">
        <v>80</v>
      </c>
      <c r="D5" s="1" t="s">
        <v>767</v>
      </c>
      <c r="E5" s="7">
        <v>80002</v>
      </c>
      <c r="F5" t="str">
        <f>VLOOKUP(普通映射装备数值!O4,$C$4:$D$15,2,0)</f>
        <v>PhysicsAttack</v>
      </c>
      <c r="G5">
        <f>普通映射装备数值!P4</f>
        <v>354</v>
      </c>
      <c r="H5">
        <f>普通映射装备数值!Q4</f>
        <v>46</v>
      </c>
      <c r="I5" t="str">
        <f>VLOOKUP(普通映射装备数值!R4,$C$4:$D$15,2,0)</f>
        <v>CritLevel</v>
      </c>
      <c r="J5">
        <f>普通映射装备数值!S4</f>
        <v>150</v>
      </c>
      <c r="K5">
        <f>普通映射装备数值!T4</f>
        <v>20</v>
      </c>
    </row>
    <row r="6" ht="21" customHeight="1" spans="3:11">
      <c r="C6" s="75" t="s">
        <v>79</v>
      </c>
      <c r="D6" s="1" t="s">
        <v>768</v>
      </c>
      <c r="E6" s="7">
        <v>80003</v>
      </c>
      <c r="F6" t="str">
        <f>VLOOKUP(普通映射装备数值!O5,$C$4:$D$15,2,0)</f>
        <v>PhysicsAttack</v>
      </c>
      <c r="G6">
        <f>普通映射装备数值!P5</f>
        <v>531</v>
      </c>
      <c r="H6">
        <f>普通映射装备数值!Q5</f>
        <v>69</v>
      </c>
      <c r="I6" t="str">
        <f>VLOOKUP(普通映射装备数值!R5,$C$4:$D$15,2,0)</f>
        <v>CritLevel</v>
      </c>
      <c r="J6">
        <f>普通映射装备数值!S5</f>
        <v>225</v>
      </c>
      <c r="K6">
        <f>普通映射装备数值!T5</f>
        <v>30</v>
      </c>
    </row>
    <row r="7" ht="21" customHeight="1" spans="3:11">
      <c r="C7" s="75" t="s">
        <v>544</v>
      </c>
      <c r="D7" s="1" t="s">
        <v>769</v>
      </c>
      <c r="E7" s="7">
        <v>80004</v>
      </c>
      <c r="F7" t="str">
        <f>VLOOKUP(普通映射装备数值!O6,$C$4:$D$15,2,0)</f>
        <v>PhysicsAttack</v>
      </c>
      <c r="G7">
        <f>普通映射装备数值!P6</f>
        <v>184</v>
      </c>
      <c r="H7">
        <f>普通映射装备数值!Q6</f>
        <v>24</v>
      </c>
      <c r="I7" t="str">
        <f>VLOOKUP(普通映射装备数值!R6,$C$4:$D$15,2,0)</f>
        <v>CritLevel</v>
      </c>
      <c r="J7">
        <f>普通映射装备数值!S6</f>
        <v>105</v>
      </c>
      <c r="K7">
        <f>普通映射装备数值!T6</f>
        <v>14</v>
      </c>
    </row>
    <row r="8" ht="21" customHeight="1" spans="3:11">
      <c r="C8" s="75" t="s">
        <v>537</v>
      </c>
      <c r="D8" s="1" t="s">
        <v>770</v>
      </c>
      <c r="E8" s="7">
        <v>80005</v>
      </c>
      <c r="F8" t="str">
        <f>VLOOKUP(普通映射装备数值!O7,$C$4:$D$15,2,0)</f>
        <v>PhysicsAttack</v>
      </c>
      <c r="G8">
        <f>普通映射装备数值!P7</f>
        <v>306</v>
      </c>
      <c r="H8">
        <f>普通映射装备数值!Q7</f>
        <v>40</v>
      </c>
      <c r="I8" t="str">
        <f>VLOOKUP(普通映射装备数值!R7,$C$4:$D$15,2,0)</f>
        <v>CritLevel</v>
      </c>
      <c r="J8">
        <f>普通映射装备数值!S7</f>
        <v>175</v>
      </c>
      <c r="K8">
        <f>普通映射装备数值!T7</f>
        <v>23</v>
      </c>
    </row>
    <row r="9" ht="17.25" customHeight="1" spans="3:11">
      <c r="C9" s="87" t="s">
        <v>545</v>
      </c>
      <c r="D9" s="1" t="s">
        <v>771</v>
      </c>
      <c r="E9" s="7">
        <v>80006</v>
      </c>
      <c r="F9" t="str">
        <f>VLOOKUP(普通映射装备数值!O8,$C$4:$D$15,2,0)</f>
        <v>PhysicsAttack</v>
      </c>
      <c r="G9">
        <f>普通映射装备数值!P8</f>
        <v>459</v>
      </c>
      <c r="H9">
        <f>普通映射装备数值!Q8</f>
        <v>60</v>
      </c>
      <c r="I9" t="str">
        <f>VLOOKUP(普通映射装备数值!R8,$C$4:$D$15,2,0)</f>
        <v>CritLevel</v>
      </c>
      <c r="J9">
        <f>普通映射装备数值!S8</f>
        <v>263</v>
      </c>
      <c r="K9">
        <f>普通映射装备数值!T8</f>
        <v>35</v>
      </c>
    </row>
    <row r="10" ht="17.25" customHeight="1" spans="3:11">
      <c r="C10" s="87" t="s">
        <v>537</v>
      </c>
      <c r="D10" s="1" t="s">
        <v>772</v>
      </c>
      <c r="E10" s="7">
        <v>80007</v>
      </c>
      <c r="F10" t="str">
        <f>VLOOKUP(普通映射装备数值!O9,$C$4:$D$15,2,0)</f>
        <v>PhysicsAttack</v>
      </c>
      <c r="G10">
        <f>普通映射装备数值!P9</f>
        <v>193</v>
      </c>
      <c r="H10">
        <f>普通映射装备数值!Q9</f>
        <v>25</v>
      </c>
      <c r="I10" t="str">
        <f>VLOOKUP(普通映射装备数值!R9,$C$4:$D$15,2,0)</f>
        <v>CritLevel</v>
      </c>
      <c r="J10">
        <f>普通映射装备数值!S9</f>
        <v>100</v>
      </c>
      <c r="K10">
        <f>普通映射装备数值!T9</f>
        <v>13</v>
      </c>
    </row>
    <row r="11" ht="17.25" customHeight="1" spans="3:11">
      <c r="C11" s="87" t="s">
        <v>546</v>
      </c>
      <c r="D11" s="1" t="s">
        <v>773</v>
      </c>
      <c r="E11" s="7">
        <v>80008</v>
      </c>
      <c r="F11" t="str">
        <f>VLOOKUP(普通映射装备数值!O10,$C$4:$D$15,2,0)</f>
        <v>PhysicsAttack</v>
      </c>
      <c r="G11">
        <f>普通映射装备数值!P10</f>
        <v>322</v>
      </c>
      <c r="H11">
        <f>普通映射装备数值!Q10</f>
        <v>42</v>
      </c>
      <c r="I11" t="str">
        <f>VLOOKUP(普通映射装备数值!R10,$C$4:$D$15,2,0)</f>
        <v>CritLevel</v>
      </c>
      <c r="J11">
        <f>普通映射装备数值!S10</f>
        <v>167</v>
      </c>
      <c r="K11">
        <f>普通映射装备数值!T10</f>
        <v>22</v>
      </c>
    </row>
    <row r="12" ht="17.25" customHeight="1" spans="3:11">
      <c r="C12" s="1" t="s">
        <v>430</v>
      </c>
      <c r="D12" s="1" t="s">
        <v>774</v>
      </c>
      <c r="E12" s="88">
        <v>80009</v>
      </c>
      <c r="F12" t="str">
        <f>VLOOKUP(普通映射装备数值!O11,$C$4:$D$15,2,0)</f>
        <v>PhysicsAttack</v>
      </c>
      <c r="G12">
        <f>普通映射装备数值!P11</f>
        <v>483</v>
      </c>
      <c r="H12">
        <f>普通映射装备数值!Q11</f>
        <v>63</v>
      </c>
      <c r="I12" t="str">
        <f>VLOOKUP(普通映射装备数值!R11,$C$4:$D$15,2,0)</f>
        <v>CritLevel</v>
      </c>
      <c r="J12">
        <f>普通映射装备数值!S11</f>
        <v>251</v>
      </c>
      <c r="K12">
        <f>普通映射装备数值!T11</f>
        <v>33</v>
      </c>
    </row>
    <row r="13" ht="17.25" customHeight="1" spans="3:11">
      <c r="C13" s="1" t="s">
        <v>145</v>
      </c>
      <c r="D13" s="1" t="s">
        <v>775</v>
      </c>
      <c r="E13" s="7">
        <v>80010</v>
      </c>
      <c r="F13" t="str">
        <f>VLOOKUP(普通映射装备数值!O12,$C$4:$D$15,2,0)</f>
        <v>PhysicsAttack</v>
      </c>
      <c r="G13">
        <f>普通映射装备数值!P12</f>
        <v>222</v>
      </c>
      <c r="H13">
        <f>普通映射装备数值!Q12</f>
        <v>29</v>
      </c>
      <c r="I13" t="str">
        <f>VLOOKUP(普通映射装备数值!R12,$C$4:$D$15,2,0)</f>
        <v>PhysicsAttack</v>
      </c>
      <c r="J13">
        <f>普通映射装备数值!S12</f>
        <v>164</v>
      </c>
      <c r="K13">
        <f>普通映射装备数值!T12</f>
        <v>21</v>
      </c>
    </row>
    <row r="14" ht="17.25" customHeight="1" spans="3:11">
      <c r="C14" s="89" t="s">
        <v>143</v>
      </c>
      <c r="D14" s="1" t="s">
        <v>776</v>
      </c>
      <c r="E14" s="7">
        <v>80011</v>
      </c>
      <c r="F14" t="str">
        <f>VLOOKUP(普通映射装备数值!O13,$C$4:$D$15,2,0)</f>
        <v>PhysicsAttack</v>
      </c>
      <c r="G14">
        <f>普通映射装备数值!P13</f>
        <v>370</v>
      </c>
      <c r="H14">
        <f>普通映射装备数值!Q13</f>
        <v>48</v>
      </c>
      <c r="I14" t="str">
        <f>VLOOKUP(普通映射装备数值!R13,$C$4:$D$15,2,0)</f>
        <v>PhysicsAttack</v>
      </c>
      <c r="J14">
        <f>普通映射装备数值!S13</f>
        <v>274</v>
      </c>
      <c r="K14">
        <f>普通映射装备数值!T13</f>
        <v>36</v>
      </c>
    </row>
    <row r="15" ht="17.25" customHeight="1" spans="3:11">
      <c r="C15" s="89" t="s">
        <v>144</v>
      </c>
      <c r="D15" s="1" t="s">
        <v>777</v>
      </c>
      <c r="E15" s="7">
        <v>80012</v>
      </c>
      <c r="F15" t="str">
        <f>VLOOKUP(普通映射装备数值!O14,$C$4:$D$15,2,0)</f>
        <v>PhysicsAttack</v>
      </c>
      <c r="G15">
        <f>普通映射装备数值!P14</f>
        <v>555</v>
      </c>
      <c r="H15">
        <f>普通映射装备数值!Q14</f>
        <v>72</v>
      </c>
      <c r="I15" t="str">
        <f>VLOOKUP(普通映射装备数值!R14,$C$4:$D$15,2,0)</f>
        <v>PhysicsAttack</v>
      </c>
      <c r="J15">
        <f>普通映射装备数值!S14</f>
        <v>411</v>
      </c>
      <c r="K15">
        <f>普通映射装备数值!T14</f>
        <v>54</v>
      </c>
    </row>
    <row r="16" ht="17.25" customHeight="1" spans="3:11">
      <c r="E16" s="7">
        <v>80013</v>
      </c>
      <c r="F16" t="str">
        <f>VLOOKUP(普通映射装备数值!O15,$C$4:$D$15,2,0)</f>
        <v>PhysicsAttack</v>
      </c>
      <c r="G16">
        <f>普通映射装备数值!P15</f>
        <v>174</v>
      </c>
      <c r="H16">
        <f>普通映射装备数值!Q15</f>
        <v>23</v>
      </c>
      <c r="I16" t="str">
        <f>VLOOKUP(普通映射装备数值!R15,$C$4:$D$15,2,0)</f>
        <v>PhysicsAttack</v>
      </c>
      <c r="J16">
        <f>普通映射装备数值!S15</f>
        <v>213</v>
      </c>
      <c r="K16">
        <f>普通映射装备数值!T15</f>
        <v>28</v>
      </c>
    </row>
    <row r="17" ht="17.25" customHeight="1" spans="5:11">
      <c r="E17" s="7">
        <v>80014</v>
      </c>
      <c r="F17" t="str">
        <f>VLOOKUP(普通映射装备数值!O16,$C$4:$D$15,2,0)</f>
        <v>PhysicsAttack</v>
      </c>
      <c r="G17">
        <f>普通映射装备数值!P16</f>
        <v>290</v>
      </c>
      <c r="H17">
        <f>普通映射装备数值!Q16</f>
        <v>38</v>
      </c>
      <c r="I17" t="str">
        <f>VLOOKUP(普通映射装备数值!R16,$C$4:$D$15,2,0)</f>
        <v>PhysicsAttack</v>
      </c>
      <c r="J17">
        <f>普通映射装备数值!S16</f>
        <v>354</v>
      </c>
      <c r="K17">
        <f>普通映射装备数值!T16</f>
        <v>46</v>
      </c>
    </row>
    <row r="18" ht="17.25" customHeight="1" spans="5:11">
      <c r="E18" s="7">
        <v>80015</v>
      </c>
      <c r="F18" t="str">
        <f>VLOOKUP(普通映射装备数值!O17,$C$4:$D$15,2,0)</f>
        <v>PhysicsAttack</v>
      </c>
      <c r="G18">
        <f>普通映射装备数值!P17</f>
        <v>435</v>
      </c>
      <c r="H18">
        <f>普通映射装备数值!Q17</f>
        <v>57</v>
      </c>
      <c r="I18" t="str">
        <f>VLOOKUP(普通映射装备数值!R17,$C$4:$D$15,2,0)</f>
        <v>PhysicsAttack</v>
      </c>
      <c r="J18">
        <f>普通映射装备数值!S17</f>
        <v>531</v>
      </c>
      <c r="K18">
        <f>普通映射装备数值!T17</f>
        <v>69</v>
      </c>
    </row>
    <row r="19" ht="17.25" customHeight="1" spans="5:11">
      <c r="E19" s="7">
        <v>80016</v>
      </c>
      <c r="F19" t="str">
        <f>VLOOKUP(普通映射装备数值!O18,$C$4:$D$15,2,0)</f>
        <v>PhysicsAttack</v>
      </c>
      <c r="G19">
        <f>普通映射装备数值!P18</f>
        <v>193</v>
      </c>
      <c r="H19">
        <f>普通映射装备数值!Q18</f>
        <v>25</v>
      </c>
      <c r="I19" t="str">
        <f>VLOOKUP(普通映射装备数值!R18,$C$4:$D$15,2,0)</f>
        <v>PhysicsAttack</v>
      </c>
      <c r="J19">
        <f>普通映射装备数值!S18</f>
        <v>193</v>
      </c>
      <c r="K19">
        <f>普通映射装备数值!T18</f>
        <v>25</v>
      </c>
    </row>
    <row r="20" ht="17.25" customHeight="1" spans="5:11">
      <c r="E20" s="7">
        <v>80017</v>
      </c>
      <c r="F20" t="str">
        <f>VLOOKUP(普通映射装备数值!O19,$C$4:$D$15,2,0)</f>
        <v>PhysicsAttack</v>
      </c>
      <c r="G20">
        <f>普通映射装备数值!P19</f>
        <v>322</v>
      </c>
      <c r="H20">
        <f>普通映射装备数值!Q19</f>
        <v>42</v>
      </c>
      <c r="I20" t="str">
        <f>VLOOKUP(普通映射装备数值!R19,$C$4:$D$15,2,0)</f>
        <v>PhysicsAttack</v>
      </c>
      <c r="J20">
        <f>普通映射装备数值!S19</f>
        <v>322</v>
      </c>
      <c r="K20">
        <f>普通映射装备数值!T19</f>
        <v>42</v>
      </c>
    </row>
    <row r="21" ht="17.25" customHeight="1" spans="5:11">
      <c r="E21" s="88">
        <v>80018</v>
      </c>
      <c r="F21" t="str">
        <f>VLOOKUP(普通映射装备数值!O20,$C$4:$D$15,2,0)</f>
        <v>PhysicsAttack</v>
      </c>
      <c r="G21">
        <f>普通映射装备数值!P20</f>
        <v>483</v>
      </c>
      <c r="H21">
        <f>普通映射装备数值!Q20</f>
        <v>63</v>
      </c>
      <c r="I21" t="str">
        <f>VLOOKUP(普通映射装备数值!R20,$C$4:$D$15,2,0)</f>
        <v>PhysicsAttack</v>
      </c>
      <c r="J21">
        <f>普通映射装备数值!S20</f>
        <v>483</v>
      </c>
      <c r="K21">
        <f>普通映射装备数值!T20</f>
        <v>63</v>
      </c>
    </row>
    <row r="22" ht="17.25" customHeight="1" spans="5:11">
      <c r="E22" s="7">
        <v>80019</v>
      </c>
      <c r="F22" t="str">
        <f>VLOOKUP(普通映射装备数值!O21,$C$4:$D$15,2,0)</f>
        <v>PhysicsAttack</v>
      </c>
      <c r="G22">
        <f>普通映射装备数值!P21</f>
        <v>193</v>
      </c>
      <c r="H22">
        <f>普通映射装备数值!Q21</f>
        <v>25</v>
      </c>
      <c r="I22" t="str">
        <f>VLOOKUP(普通映射装备数值!R21,$C$4:$D$15,2,0)</f>
        <v>CritLevel</v>
      </c>
      <c r="J22">
        <f>普通映射装备数值!S21</f>
        <v>100</v>
      </c>
      <c r="K22">
        <f>普通映射装备数值!T21</f>
        <v>13</v>
      </c>
    </row>
    <row r="23" ht="17.25" customHeight="1" spans="5:11">
      <c r="E23" s="7">
        <v>80020</v>
      </c>
      <c r="F23" t="str">
        <f>VLOOKUP(普通映射装备数值!O22,$C$4:$D$15,2,0)</f>
        <v>PhysicsAttack</v>
      </c>
      <c r="G23">
        <f>普通映射装备数值!P22</f>
        <v>322</v>
      </c>
      <c r="H23">
        <f>普通映射装备数值!Q22</f>
        <v>42</v>
      </c>
      <c r="I23" t="str">
        <f>VLOOKUP(普通映射装备数值!R22,$C$4:$D$15,2,0)</f>
        <v>CritLevel</v>
      </c>
      <c r="J23">
        <f>普通映射装备数值!S22</f>
        <v>167</v>
      </c>
      <c r="K23">
        <f>普通映射装备数值!T22</f>
        <v>22</v>
      </c>
    </row>
    <row r="24" ht="17.25" customHeight="1" spans="5:11">
      <c r="E24" s="7">
        <v>80021</v>
      </c>
      <c r="F24" t="str">
        <f>VLOOKUP(普通映射装备数值!O23,$C$4:$D$15,2,0)</f>
        <v>PhysicsAttack</v>
      </c>
      <c r="G24">
        <f>普通映射装备数值!P23</f>
        <v>483</v>
      </c>
      <c r="H24">
        <f>普通映射装备数值!Q23</f>
        <v>63</v>
      </c>
      <c r="I24" t="str">
        <f>VLOOKUP(普通映射装备数值!R23,$C$4:$D$15,2,0)</f>
        <v>CritLevel</v>
      </c>
      <c r="J24">
        <f>普通映射装备数值!S23</f>
        <v>251</v>
      </c>
      <c r="K24">
        <f>普通映射装备数值!T23</f>
        <v>33</v>
      </c>
    </row>
    <row r="25" ht="17.25" customHeight="1" spans="5:11">
      <c r="E25" s="7">
        <v>80022</v>
      </c>
      <c r="F25" t="str">
        <f>VLOOKUP(普通映射装备数值!O24,$C$4:$D$15,2,0)</f>
        <v>PhysicsAttack</v>
      </c>
      <c r="G25">
        <f>普通映射装备数值!P24</f>
        <v>222</v>
      </c>
      <c r="H25">
        <f>普通映射装备数值!Q24</f>
        <v>29</v>
      </c>
      <c r="I25" t="str">
        <f>VLOOKUP(普通映射装备数值!R24,$C$4:$D$15,2,0)</f>
        <v>CritLevel</v>
      </c>
      <c r="J25">
        <f>普通映射装备数值!S24</f>
        <v>85</v>
      </c>
      <c r="K25">
        <f>普通映射装备数值!T24</f>
        <v>11</v>
      </c>
    </row>
    <row r="26" ht="17.25" customHeight="1" spans="5:11">
      <c r="E26" s="7">
        <v>80023</v>
      </c>
      <c r="F26" t="str">
        <f>VLOOKUP(普通映射装备数值!O25,$C$4:$D$15,2,0)</f>
        <v>PhysicsAttack</v>
      </c>
      <c r="G26">
        <f>普通映射装备数值!P25</f>
        <v>370</v>
      </c>
      <c r="H26">
        <f>普通映射装备数值!Q25</f>
        <v>48</v>
      </c>
      <c r="I26" t="str">
        <f>VLOOKUP(普通映射装备数值!R25,$C$4:$D$15,2,0)</f>
        <v>CritLevel</v>
      </c>
      <c r="J26">
        <f>普通映射装备数值!S25</f>
        <v>142</v>
      </c>
      <c r="K26">
        <f>普通映射装备数值!T25</f>
        <v>19</v>
      </c>
    </row>
    <row r="27" ht="17.25" customHeight="1" spans="5:11">
      <c r="E27" s="7">
        <v>80024</v>
      </c>
      <c r="F27" t="str">
        <f>VLOOKUP(普通映射装备数值!O26,$C$4:$D$15,2,0)</f>
        <v>PhysicsAttack</v>
      </c>
      <c r="G27">
        <f>普通映射装备数值!P26</f>
        <v>555</v>
      </c>
      <c r="H27">
        <f>普通映射装备数值!Q26</f>
        <v>72</v>
      </c>
      <c r="I27" t="str">
        <f>VLOOKUP(普通映射装备数值!R26,$C$4:$D$15,2,0)</f>
        <v>CritLevel</v>
      </c>
      <c r="J27">
        <f>普通映射装备数值!S26</f>
        <v>213</v>
      </c>
      <c r="K27">
        <f>普通映射装备数值!T26</f>
        <v>28</v>
      </c>
    </row>
    <row r="28" ht="17.25" customHeight="1" spans="5:11">
      <c r="E28" s="7">
        <v>80025</v>
      </c>
      <c r="F28" t="str">
        <f>VLOOKUP(普通映射装备数值!O27,$C$4:$D$15,2,0)</f>
        <v>PhysicsAttack</v>
      </c>
      <c r="G28">
        <f>普通映射装备数值!P27</f>
        <v>184</v>
      </c>
      <c r="H28">
        <f>普通映射装备数值!Q27</f>
        <v>24</v>
      </c>
      <c r="I28" t="str">
        <f>VLOOKUP(普通映射装备数值!R27,$C$4:$D$15,2,0)</f>
        <v>CritLevel</v>
      </c>
      <c r="J28">
        <f>普通映射装备数值!S27</f>
        <v>105</v>
      </c>
      <c r="K28">
        <f>普通映射装备数值!T27</f>
        <v>14</v>
      </c>
    </row>
    <row r="29" ht="17.25" customHeight="1" spans="5:11">
      <c r="E29" s="7">
        <v>80026</v>
      </c>
      <c r="F29" t="str">
        <f>VLOOKUP(普通映射装备数值!O28,$C$4:$D$15,2,0)</f>
        <v>PhysicsAttack</v>
      </c>
      <c r="G29">
        <f>普通映射装备数值!P28</f>
        <v>306</v>
      </c>
      <c r="H29">
        <f>普通映射装备数值!Q28</f>
        <v>40</v>
      </c>
      <c r="I29" t="str">
        <f>VLOOKUP(普通映射装备数值!R28,$C$4:$D$15,2,0)</f>
        <v>CritLevel</v>
      </c>
      <c r="J29">
        <f>普通映射装备数值!S28</f>
        <v>175</v>
      </c>
      <c r="K29">
        <f>普通映射装备数值!T28</f>
        <v>23</v>
      </c>
    </row>
    <row r="30" ht="17.25" customHeight="1" spans="5:11">
      <c r="E30" s="88">
        <v>80027</v>
      </c>
      <c r="F30" t="str">
        <f>VLOOKUP(普通映射装备数值!O29,$C$4:$D$15,2,0)</f>
        <v>PhysicsAttack</v>
      </c>
      <c r="G30">
        <f>普通映射装备数值!P29</f>
        <v>459</v>
      </c>
      <c r="H30">
        <f>普通映射装备数值!Q29</f>
        <v>60</v>
      </c>
      <c r="I30" t="str">
        <f>VLOOKUP(普通映射装备数值!R29,$C$4:$D$15,2,0)</f>
        <v>CritLevel</v>
      </c>
      <c r="J30">
        <f>普通映射装备数值!S29</f>
        <v>263</v>
      </c>
      <c r="K30">
        <f>普通映射装备数值!T29</f>
        <v>35</v>
      </c>
    </row>
    <row r="31" ht="17.25" customHeight="1" spans="5:11">
      <c r="E31" s="7">
        <v>80028</v>
      </c>
      <c r="F31" t="str">
        <f>VLOOKUP(普通映射装备数值!O30,$C$4:$D$15,2,0)</f>
        <v>Hp</v>
      </c>
      <c r="G31">
        <f>普通映射装备数值!P30</f>
        <v>744</v>
      </c>
      <c r="H31">
        <f>普通映射装备数值!Q30</f>
        <v>97</v>
      </c>
      <c r="I31" t="str">
        <f>VLOOKUP(普通映射装备数值!R30,$C$4:$D$15,2,0)</f>
        <v>PhysicsAttackBonus</v>
      </c>
      <c r="J31">
        <f>普通映射装备数值!S30</f>
        <v>0.012</v>
      </c>
      <c r="K31">
        <f>普通映射装备数值!T30</f>
        <v>0.0015</v>
      </c>
    </row>
    <row r="32" ht="17.25" customHeight="1" spans="5:11">
      <c r="E32" s="7">
        <v>80029</v>
      </c>
      <c r="F32" t="str">
        <f>VLOOKUP(普通映射装备数值!O31,$C$4:$D$15,2,0)</f>
        <v>Hp</v>
      </c>
      <c r="G32">
        <f>普通映射装备数值!P31</f>
        <v>1240</v>
      </c>
      <c r="H32">
        <f>普通映射装备数值!Q31</f>
        <v>162</v>
      </c>
      <c r="I32" t="str">
        <f>VLOOKUP(普通映射装备数值!R31,$C$4:$D$15,2,0)</f>
        <v>PhysicsAttackBonus</v>
      </c>
      <c r="J32">
        <f>普通映射装备数值!S31</f>
        <v>0.02</v>
      </c>
      <c r="K32">
        <f>普通映射装备数值!T31</f>
        <v>0.0026</v>
      </c>
    </row>
    <row r="33" ht="17.25" customHeight="1" spans="5:11">
      <c r="E33" s="7">
        <v>80030</v>
      </c>
      <c r="F33" t="str">
        <f>VLOOKUP(普通映射装备数值!O32,$C$4:$D$15,2,0)</f>
        <v>Hp</v>
      </c>
      <c r="G33">
        <f>普通映射装备数值!P32</f>
        <v>1860</v>
      </c>
      <c r="H33">
        <f>普通映射装备数值!Q32</f>
        <v>243</v>
      </c>
      <c r="I33" t="str">
        <f>VLOOKUP(普通映射装备数值!R32,$C$4:$D$15,2,0)</f>
        <v>PhysicsAttackBonus</v>
      </c>
      <c r="J33">
        <f>普通映射装备数值!S32</f>
        <v>0.029</v>
      </c>
      <c r="K33">
        <f>普通映射装备数值!T32</f>
        <v>0.0038</v>
      </c>
    </row>
    <row r="34" ht="17.25" customHeight="1" spans="5:11">
      <c r="E34" s="7">
        <v>80031</v>
      </c>
      <c r="F34" t="str">
        <f>VLOOKUP(普通映射装备数值!O33,$C$4:$D$15,2,0)</f>
        <v>Hp</v>
      </c>
      <c r="G34">
        <f>普通映射装备数值!P33</f>
        <v>712</v>
      </c>
      <c r="H34">
        <f>普通映射装备数值!Q33</f>
        <v>93</v>
      </c>
      <c r="I34" t="str">
        <f>VLOOKUP(普通映射装备数值!R33,$C$4:$D$15,2,0)</f>
        <v>PhysicsAttackBonus</v>
      </c>
      <c r="J34">
        <f>普通映射装备数值!S33</f>
        <v>0.012</v>
      </c>
      <c r="K34">
        <f>普通映射装备数值!T33</f>
        <v>0.0016</v>
      </c>
    </row>
    <row r="35" ht="17.25" customHeight="1" spans="5:11">
      <c r="E35" s="7">
        <v>80032</v>
      </c>
      <c r="F35" t="str">
        <f>VLOOKUP(普通映射装备数值!O34,$C$4:$D$15,2,0)</f>
        <v>Hp</v>
      </c>
      <c r="G35">
        <f>普通映射装备数值!P34</f>
        <v>1186</v>
      </c>
      <c r="H35">
        <f>普通映射装备数值!Q34</f>
        <v>155</v>
      </c>
      <c r="I35" t="str">
        <f>VLOOKUP(普通映射装备数值!R34,$C$4:$D$15,2,0)</f>
        <v>PhysicsAttackBonus</v>
      </c>
      <c r="J35">
        <f>普通映射装备数值!S34</f>
        <v>0.021</v>
      </c>
      <c r="K35">
        <f>普通映射装备数值!T34</f>
        <v>0.0027</v>
      </c>
    </row>
    <row r="36" ht="17.25" customHeight="1" spans="5:11">
      <c r="E36" s="7">
        <v>80033</v>
      </c>
      <c r="F36" t="str">
        <f>VLOOKUP(普通映射装备数值!O35,$C$4:$D$15,2,0)</f>
        <v>Hp</v>
      </c>
      <c r="G36">
        <f>普通映射装备数值!P35</f>
        <v>1779</v>
      </c>
      <c r="H36">
        <f>普通映射装备数值!Q35</f>
        <v>232</v>
      </c>
      <c r="I36" t="str">
        <f>VLOOKUP(普通映射装备数值!R35,$C$4:$D$15,2,0)</f>
        <v>PhysicsAttackBonus</v>
      </c>
      <c r="J36">
        <f>普通映射装备数值!S35</f>
        <v>0.031</v>
      </c>
      <c r="K36">
        <f>普通映射装备数值!T35</f>
        <v>0.0041</v>
      </c>
    </row>
    <row r="37" ht="17.25" customHeight="1" spans="5:11">
      <c r="E37" s="7">
        <v>80034</v>
      </c>
      <c r="F37" t="str">
        <f>VLOOKUP(普通映射装备数值!O36,$C$4:$D$15,2,0)</f>
        <v>Hp</v>
      </c>
      <c r="G37">
        <f>普通映射装备数值!P36</f>
        <v>776</v>
      </c>
      <c r="H37">
        <f>普通映射装备数值!Q36</f>
        <v>101</v>
      </c>
      <c r="I37" t="str">
        <f>VLOOKUP(普通映射装备数值!R36,$C$4:$D$15,2,0)</f>
        <v>PhysicsAttackBonus</v>
      </c>
      <c r="J37">
        <f>普通映射装备数值!S36</f>
        <v>0.011</v>
      </c>
      <c r="K37">
        <f>普通映射装备数值!T36</f>
        <v>0.0014</v>
      </c>
    </row>
    <row r="38" ht="17.25" customHeight="1" spans="5:11">
      <c r="E38" s="7">
        <v>80035</v>
      </c>
      <c r="F38" t="str">
        <f>VLOOKUP(普通映射装备数值!O37,$C$4:$D$15,2,0)</f>
        <v>Hp</v>
      </c>
      <c r="G38">
        <f>普通映射装备数值!P37</f>
        <v>1294</v>
      </c>
      <c r="H38">
        <f>普通映射装备数值!Q37</f>
        <v>169</v>
      </c>
      <c r="I38" t="str">
        <f>VLOOKUP(普通映射装备数值!R37,$C$4:$D$15,2,0)</f>
        <v>PhysicsAttackBonus</v>
      </c>
      <c r="J38">
        <f>普通映射装备数值!S37</f>
        <v>0.018</v>
      </c>
      <c r="K38">
        <f>普通映射装备数值!T37</f>
        <v>0.0024</v>
      </c>
    </row>
    <row r="39" ht="17.25" customHeight="1" spans="5:11">
      <c r="E39" s="7">
        <v>80036</v>
      </c>
      <c r="F39" t="str">
        <f>VLOOKUP(普通映射装备数值!O38,$C$4:$D$15,2,0)</f>
        <v>Hp</v>
      </c>
      <c r="G39">
        <f>普通映射装备数值!P38</f>
        <v>1941</v>
      </c>
      <c r="H39">
        <f>普通映射装备数值!Q38</f>
        <v>253</v>
      </c>
      <c r="I39" t="str">
        <f>VLOOKUP(普通映射装备数值!R38,$C$4:$D$15,2,0)</f>
        <v>PhysicsAttackBonus</v>
      </c>
      <c r="J39">
        <f>普通映射装备数值!S38</f>
        <v>0.028</v>
      </c>
      <c r="K39">
        <f>普通映射装备数值!T38</f>
        <v>0.0036</v>
      </c>
    </row>
    <row r="40" ht="17.25" customHeight="1" spans="5:11">
      <c r="E40" s="7">
        <v>80037</v>
      </c>
      <c r="F40" t="str">
        <f>VLOOKUP(普通映射装备数值!O39,$C$4:$D$15,2,0)</f>
        <v>Hp</v>
      </c>
      <c r="G40">
        <f>普通映射装备数值!P39</f>
        <v>647</v>
      </c>
      <c r="H40">
        <f>普通映射装备数值!Q39</f>
        <v>84</v>
      </c>
      <c r="I40" t="str">
        <f>VLOOKUP(普通映射装备数值!R39,$C$4:$D$15,2,0)</f>
        <v>PhysicsAttackBonus</v>
      </c>
      <c r="J40">
        <f>普通映射装备数值!S39</f>
        <v>0.014</v>
      </c>
      <c r="K40">
        <f>普通映射装备数值!T39</f>
        <v>0.0018</v>
      </c>
    </row>
    <row r="41" ht="17.25" customHeight="1" spans="5:11">
      <c r="E41" s="7">
        <v>80038</v>
      </c>
      <c r="F41" t="str">
        <f>VLOOKUP(普通映射装备数值!O40,$C$4:$D$15,2,0)</f>
        <v>Hp</v>
      </c>
      <c r="G41">
        <f>普通映射装备数值!P40</f>
        <v>1078</v>
      </c>
      <c r="H41">
        <f>普通映射装备数值!Q40</f>
        <v>141</v>
      </c>
      <c r="I41" t="str">
        <f>VLOOKUP(普通映射装备数值!R40,$C$4:$D$15,2,0)</f>
        <v>PhysicsAttackBonus</v>
      </c>
      <c r="J41">
        <f>普通映射装备数值!S40</f>
        <v>0.023</v>
      </c>
      <c r="K41">
        <f>普通映射装备数值!T40</f>
        <v>0.003</v>
      </c>
    </row>
    <row r="42" ht="17.25" customHeight="1" spans="5:11">
      <c r="E42" s="7">
        <v>80039</v>
      </c>
      <c r="F42" t="str">
        <f>VLOOKUP(普通映射装备数值!O41,$C$4:$D$15,2,0)</f>
        <v>Hp</v>
      </c>
      <c r="G42">
        <f>普通映射装备数值!P41</f>
        <v>1617</v>
      </c>
      <c r="H42">
        <f>普通映射装备数值!Q41</f>
        <v>211</v>
      </c>
      <c r="I42" t="str">
        <f>VLOOKUP(普通映射装备数值!R41,$C$4:$D$15,2,0)</f>
        <v>PhysicsAttackBonus</v>
      </c>
      <c r="J42">
        <f>普通映射装备数值!S41</f>
        <v>0.035</v>
      </c>
      <c r="K42">
        <f>普通映射装备数值!T41</f>
        <v>0.0045</v>
      </c>
    </row>
    <row r="43" ht="17.25" customHeight="1" spans="5:11">
      <c r="E43" s="7">
        <v>80040</v>
      </c>
      <c r="F43" t="str">
        <f>VLOOKUP(普通映射装备数值!O42,$C$4:$D$15,2,0)</f>
        <v>Hp</v>
      </c>
      <c r="G43">
        <f>普通映射装备数值!P42</f>
        <v>615</v>
      </c>
      <c r="H43">
        <f>普通映射装备数值!Q42</f>
        <v>80</v>
      </c>
      <c r="I43" t="str">
        <f>VLOOKUP(普通映射装备数值!R42,$C$4:$D$15,2,0)</f>
        <v>PhysicsAttackBonus</v>
      </c>
      <c r="J43">
        <f>普通映射装备数值!S42</f>
        <v>0.014</v>
      </c>
      <c r="K43">
        <f>普通映射装备数值!T42</f>
        <v>0.0019</v>
      </c>
    </row>
    <row r="44" ht="17.25" customHeight="1" spans="5:11">
      <c r="E44" s="7">
        <v>80041</v>
      </c>
      <c r="F44" t="str">
        <f>VLOOKUP(普通映射装备数值!O43,$C$4:$D$15,2,0)</f>
        <v>Hp</v>
      </c>
      <c r="G44">
        <f>普通映射装备数值!P43</f>
        <v>1024</v>
      </c>
      <c r="H44">
        <f>普通映射装备数值!Q43</f>
        <v>134</v>
      </c>
      <c r="I44" t="str">
        <f>VLOOKUP(普通映射装备数值!R43,$C$4:$D$15,2,0)</f>
        <v>PhysicsAttackBonus</v>
      </c>
      <c r="J44">
        <f>普通映射装备数值!S43</f>
        <v>0.024</v>
      </c>
      <c r="K44">
        <f>普通映射装备数值!T43</f>
        <v>0.0032</v>
      </c>
    </row>
    <row r="45" ht="17.25" customHeight="1" spans="5:11">
      <c r="E45" s="7">
        <v>80042</v>
      </c>
      <c r="F45" t="str">
        <f>VLOOKUP(普通映射装备数值!O44,$C$4:$D$15,2,0)</f>
        <v>Hp</v>
      </c>
      <c r="G45">
        <f>普通映射装备数值!P44</f>
        <v>1536</v>
      </c>
      <c r="H45">
        <f>普通映射装备数值!Q44</f>
        <v>200</v>
      </c>
      <c r="I45" t="str">
        <f>VLOOKUP(普通映射装备数值!R44,$C$4:$D$15,2,0)</f>
        <v>PhysicsAttackBonus</v>
      </c>
      <c r="J45">
        <f>普通映射装备数值!S44</f>
        <v>0.036</v>
      </c>
      <c r="K45">
        <f>普通映射装备数值!T44</f>
        <v>0.0047</v>
      </c>
    </row>
    <row r="46" ht="17.25" customHeight="1" spans="5:11">
      <c r="E46" s="7">
        <v>80043</v>
      </c>
      <c r="F46" t="str">
        <f>VLOOKUP(普通映射装备数值!O45,$C$4:$D$15,2,0)</f>
        <v>Hp</v>
      </c>
      <c r="G46">
        <f>普通映射装备数值!P45</f>
        <v>679</v>
      </c>
      <c r="H46">
        <f>普通映射装备数值!Q45</f>
        <v>89</v>
      </c>
      <c r="I46" t="str">
        <f>VLOOKUP(普通映射装备数值!R45,$C$4:$D$15,2,0)</f>
        <v>PhysicsAttackBonus</v>
      </c>
      <c r="J46">
        <f>普通映射装备数值!S45</f>
        <v>0.013</v>
      </c>
      <c r="K46">
        <f>普通映射装备数值!T45</f>
        <v>0.0017</v>
      </c>
    </row>
    <row r="47" ht="17.25" customHeight="1" spans="5:11">
      <c r="E47" s="7">
        <v>80044</v>
      </c>
      <c r="F47" t="str">
        <f>VLOOKUP(普通映射装备数值!O46,$C$4:$D$15,2,0)</f>
        <v>Hp</v>
      </c>
      <c r="G47">
        <f>普通映射装备数值!P46</f>
        <v>1132</v>
      </c>
      <c r="H47">
        <f>普通映射装备数值!Q46</f>
        <v>148</v>
      </c>
      <c r="I47" t="str">
        <f>VLOOKUP(普通映射装备数值!R46,$C$4:$D$15,2,0)</f>
        <v>PhysicsAttackBonus</v>
      </c>
      <c r="J47">
        <f>普通映射装备数值!S46</f>
        <v>0.022</v>
      </c>
      <c r="K47">
        <f>普通映射装备数值!T46</f>
        <v>0.0029</v>
      </c>
    </row>
    <row r="48" ht="17.25" customHeight="1" spans="5:11">
      <c r="E48" s="88">
        <v>80045</v>
      </c>
      <c r="F48" t="str">
        <f>VLOOKUP(普通映射装备数值!O47,$C$4:$D$15,2,0)</f>
        <v>Hp</v>
      </c>
      <c r="G48">
        <f>普通映射装备数值!P47</f>
        <v>1698</v>
      </c>
      <c r="H48">
        <f>普通映射装备数值!Q47</f>
        <v>221</v>
      </c>
      <c r="I48" t="str">
        <f>VLOOKUP(普通映射装备数值!R47,$C$4:$D$15,2,0)</f>
        <v>PhysicsAttackBonus</v>
      </c>
      <c r="J48">
        <f>普通映射装备数值!S47</f>
        <v>0.033</v>
      </c>
      <c r="K48">
        <f>普通映射装备数值!T47</f>
        <v>0.0043</v>
      </c>
    </row>
    <row r="49" ht="17.25" customHeight="1" spans="5:11">
      <c r="E49" s="7">
        <v>80046</v>
      </c>
      <c r="F49" t="str">
        <f>VLOOKUP(普通映射装备数值!O48,$C$4:$D$15,2,0)</f>
        <v>Armor</v>
      </c>
      <c r="G49">
        <f>普通映射装备数值!P48</f>
        <v>149</v>
      </c>
      <c r="H49">
        <f>普通映射装备数值!Q48</f>
        <v>19</v>
      </c>
      <c r="I49" t="str">
        <f>VLOOKUP(普通映射装备数值!R48,$C$4:$D$15,2,0)</f>
        <v>ArmorBonus</v>
      </c>
      <c r="J49">
        <f>普通映射装备数值!S48</f>
        <v>0.012</v>
      </c>
      <c r="K49">
        <f>普通映射装备数值!T48</f>
        <v>0.0015</v>
      </c>
    </row>
    <row r="50" ht="17.25" customHeight="1" spans="5:11">
      <c r="E50" s="7">
        <v>80047</v>
      </c>
      <c r="F50" t="str">
        <f>VLOOKUP(普通映射装备数值!O49,$C$4:$D$15,2,0)</f>
        <v>Armor</v>
      </c>
      <c r="G50">
        <f>普通映射装备数值!P49</f>
        <v>248</v>
      </c>
      <c r="H50">
        <f>普通映射装备数值!Q49</f>
        <v>32</v>
      </c>
      <c r="I50" t="str">
        <f>VLOOKUP(普通映射装备数值!R49,$C$4:$D$15,2,0)</f>
        <v>ArmorBonus</v>
      </c>
      <c r="J50">
        <f>普通映射装备数值!S49</f>
        <v>0.02</v>
      </c>
      <c r="K50">
        <f>普通映射装备数值!T49</f>
        <v>0.0026</v>
      </c>
    </row>
    <row r="51" ht="17.25" customHeight="1" spans="5:11">
      <c r="E51" s="7">
        <v>80048</v>
      </c>
      <c r="F51" t="str">
        <f>VLOOKUP(普通映射装备数值!O50,$C$4:$D$15,2,0)</f>
        <v>Armor</v>
      </c>
      <c r="G51">
        <f>普通映射装备数值!P50</f>
        <v>372</v>
      </c>
      <c r="H51">
        <f>普通映射装备数值!Q50</f>
        <v>49</v>
      </c>
      <c r="I51" t="str">
        <f>VLOOKUP(普通映射装备数值!R50,$C$4:$D$15,2,0)</f>
        <v>ArmorBonus</v>
      </c>
      <c r="J51">
        <f>普通映射装备数值!S50</f>
        <v>0.029</v>
      </c>
      <c r="K51">
        <f>普通映射装备数值!T50</f>
        <v>0.0038</v>
      </c>
    </row>
    <row r="52" ht="17.25" customHeight="1" spans="5:11">
      <c r="E52" s="7">
        <v>80049</v>
      </c>
      <c r="F52" t="str">
        <f>VLOOKUP(普通映射装备数值!O51,$C$4:$D$15,2,0)</f>
        <v>Armor</v>
      </c>
      <c r="G52">
        <f>普通映射装备数值!P51</f>
        <v>136</v>
      </c>
      <c r="H52">
        <f>普通映射装备数值!Q51</f>
        <v>18</v>
      </c>
      <c r="I52" t="str">
        <f>VLOOKUP(普通映射装备数值!R51,$C$4:$D$15,2,0)</f>
        <v>ArmorBonus</v>
      </c>
      <c r="J52">
        <f>普通映射装备数值!S51</f>
        <v>0.013</v>
      </c>
      <c r="K52">
        <f>普通映射装备数值!T51</f>
        <v>0.0017</v>
      </c>
    </row>
    <row r="53" ht="17.25" customHeight="1" spans="5:11">
      <c r="E53" s="7">
        <v>80050</v>
      </c>
      <c r="F53" t="str">
        <f>VLOOKUP(普通映射装备数值!O52,$C$4:$D$15,2,0)</f>
        <v>Armor</v>
      </c>
      <c r="G53">
        <f>普通映射装备数值!P52</f>
        <v>226</v>
      </c>
      <c r="H53">
        <f>普通映射装备数值!Q52</f>
        <v>30</v>
      </c>
      <c r="I53" t="str">
        <f>VLOOKUP(普通映射装备数值!R52,$C$4:$D$15,2,0)</f>
        <v>ArmorBonus</v>
      </c>
      <c r="J53">
        <f>普通映射装备数值!S52</f>
        <v>0.022</v>
      </c>
      <c r="K53">
        <f>普通映射装备数值!T52</f>
        <v>0.0029</v>
      </c>
    </row>
    <row r="54" ht="17.25" customHeight="1" spans="5:11">
      <c r="E54" s="7">
        <v>80051</v>
      </c>
      <c r="F54" t="str">
        <f>VLOOKUP(普通映射装备数值!O53,$C$4:$D$15,2,0)</f>
        <v>Armor</v>
      </c>
      <c r="G54">
        <f>普通映射装备数值!P53</f>
        <v>340</v>
      </c>
      <c r="H54">
        <f>普通映射装备数值!Q53</f>
        <v>44</v>
      </c>
      <c r="I54" t="str">
        <f>VLOOKUP(普通映射装备数值!R53,$C$4:$D$15,2,0)</f>
        <v>ArmorBonus</v>
      </c>
      <c r="J54">
        <f>普通映射装备数值!S53</f>
        <v>0.033</v>
      </c>
      <c r="K54">
        <f>普通映射装备数值!T53</f>
        <v>0.0043</v>
      </c>
    </row>
    <row r="55" ht="17.25" customHeight="1" spans="5:11">
      <c r="E55" s="7">
        <v>80052</v>
      </c>
      <c r="F55" t="str">
        <f>VLOOKUP(普通映射装备数值!O54,$C$4:$D$15,2,0)</f>
        <v>Armor</v>
      </c>
      <c r="G55">
        <f>普通映射装备数值!P54</f>
        <v>129</v>
      </c>
      <c r="H55">
        <f>普通映射装备数值!Q54</f>
        <v>17</v>
      </c>
      <c r="I55" t="str">
        <f>VLOOKUP(普通映射装备数值!R54,$C$4:$D$15,2,0)</f>
        <v>ArmorBonus</v>
      </c>
      <c r="J55">
        <f>普通映射装备数值!S54</f>
        <v>0.014</v>
      </c>
      <c r="K55">
        <f>普通映射装备数值!T54</f>
        <v>0.0018</v>
      </c>
    </row>
    <row r="56" ht="17.25" customHeight="1" spans="5:11">
      <c r="E56" s="7">
        <v>80053</v>
      </c>
      <c r="F56" t="str">
        <f>VLOOKUP(普通映射装备数值!O55,$C$4:$D$15,2,0)</f>
        <v>Armor</v>
      </c>
      <c r="G56">
        <f>普通映射装备数值!P55</f>
        <v>216</v>
      </c>
      <c r="H56">
        <f>普通映射装备数值!Q55</f>
        <v>28</v>
      </c>
      <c r="I56" t="str">
        <f>VLOOKUP(普通映射装备数值!R55,$C$4:$D$15,2,0)</f>
        <v>ArmorBonus</v>
      </c>
      <c r="J56">
        <f>普通映射装备数值!S55</f>
        <v>0.023</v>
      </c>
      <c r="K56">
        <f>普通映射装备数值!T55</f>
        <v>0.003</v>
      </c>
    </row>
    <row r="57" ht="17.25" customHeight="1" spans="5:11">
      <c r="E57" s="7">
        <v>80054</v>
      </c>
      <c r="F57" t="str">
        <f>VLOOKUP(普通映射装备数值!O56,$C$4:$D$15,2,0)</f>
        <v>Armor</v>
      </c>
      <c r="G57">
        <f>普通映射装备数值!P56</f>
        <v>323</v>
      </c>
      <c r="H57">
        <f>普通映射装备数值!Q56</f>
        <v>42</v>
      </c>
      <c r="I57" t="str">
        <f>VLOOKUP(普通映射装备数值!R56,$C$4:$D$15,2,0)</f>
        <v>ArmorBonus</v>
      </c>
      <c r="J57">
        <f>普通映射装备数值!S56</f>
        <v>0.035</v>
      </c>
      <c r="K57">
        <f>普通映射装备数值!T56</f>
        <v>0.0045</v>
      </c>
    </row>
    <row r="58" ht="17.25" customHeight="1" spans="5:11">
      <c r="E58" s="7">
        <v>80055</v>
      </c>
      <c r="F58" t="str">
        <f>VLOOKUP(普通映射装备数值!O57,$C$4:$D$15,2,0)</f>
        <v>Armor</v>
      </c>
      <c r="G58">
        <f>普通映射装备数值!P57</f>
        <v>142</v>
      </c>
      <c r="H58">
        <f>普通映射装备数值!Q57</f>
        <v>19</v>
      </c>
      <c r="I58" t="str">
        <f>VLOOKUP(普通映射装备数值!R57,$C$4:$D$15,2,0)</f>
        <v>ArmorBonus</v>
      </c>
      <c r="J58">
        <f>普通映射装备数值!S57</f>
        <v>0.012</v>
      </c>
      <c r="K58">
        <f>普通映射装备数值!T57</f>
        <v>0.0016</v>
      </c>
    </row>
    <row r="59" ht="17.25" customHeight="1" spans="5:11">
      <c r="E59" s="7">
        <v>80056</v>
      </c>
      <c r="F59" t="str">
        <f>VLOOKUP(普通映射装备数值!O58,$C$4:$D$15,2,0)</f>
        <v>Armor</v>
      </c>
      <c r="G59">
        <f>普通映射装备数值!P58</f>
        <v>237</v>
      </c>
      <c r="H59">
        <f>普通映射装备数值!Q58</f>
        <v>31</v>
      </c>
      <c r="I59" t="str">
        <f>VLOOKUP(普通映射装备数值!R58,$C$4:$D$15,2,0)</f>
        <v>ArmorBonus</v>
      </c>
      <c r="J59">
        <f>普通映射装备数值!S58</f>
        <v>0.021</v>
      </c>
      <c r="K59">
        <f>普通映射装备数值!T58</f>
        <v>0.0027</v>
      </c>
    </row>
    <row r="60" ht="17.25" customHeight="1" spans="5:11">
      <c r="E60" s="7">
        <v>80057</v>
      </c>
      <c r="F60" t="str">
        <f>VLOOKUP(普通映射装备数值!O59,$C$4:$D$15,2,0)</f>
        <v>Armor</v>
      </c>
      <c r="G60">
        <f>普通映射装备数值!P59</f>
        <v>356</v>
      </c>
      <c r="H60">
        <f>普通映射装备数值!Q59</f>
        <v>46</v>
      </c>
      <c r="I60" t="str">
        <f>VLOOKUP(普通映射装备数值!R59,$C$4:$D$15,2,0)</f>
        <v>ArmorBonus</v>
      </c>
      <c r="J60">
        <f>普通映射装备数值!S59</f>
        <v>0.031</v>
      </c>
      <c r="K60">
        <f>普通映射装备数值!T59</f>
        <v>0.0041</v>
      </c>
    </row>
    <row r="61" ht="17.25" customHeight="1" spans="5:11">
      <c r="E61" s="7">
        <v>80058</v>
      </c>
      <c r="F61" t="str">
        <f>VLOOKUP(普通映射装备数值!O60,$C$4:$D$15,2,0)</f>
        <v>Armor</v>
      </c>
      <c r="G61">
        <f>普通映射装备数值!P60</f>
        <v>116</v>
      </c>
      <c r="H61">
        <f>普通映射装备数值!Q60</f>
        <v>15</v>
      </c>
      <c r="I61" t="str">
        <f>VLOOKUP(普通映射装备数值!R60,$C$4:$D$15,2,0)</f>
        <v>ArmorBonus</v>
      </c>
      <c r="J61">
        <f>普通映射装备数值!S60</f>
        <v>0.015</v>
      </c>
      <c r="K61">
        <f>普通映射装备数值!T60</f>
        <v>0.002</v>
      </c>
    </row>
    <row r="62" ht="17.25" customHeight="1" spans="5:11">
      <c r="E62" s="7">
        <v>80059</v>
      </c>
      <c r="F62" t="str">
        <f>VLOOKUP(普通映射装备数值!O61,$C$4:$D$15,2,0)</f>
        <v>Armor</v>
      </c>
      <c r="G62">
        <f>普通映射装备数值!P61</f>
        <v>194</v>
      </c>
      <c r="H62">
        <f>普通映射装备数值!Q61</f>
        <v>25</v>
      </c>
      <c r="I62" t="str">
        <f>VLOOKUP(普通映射装备数值!R61,$C$4:$D$15,2,0)</f>
        <v>ArmorBonus</v>
      </c>
      <c r="J62">
        <f>普通映射装备数值!S61</f>
        <v>0.025</v>
      </c>
      <c r="K62">
        <f>普通映射装备数值!T61</f>
        <v>0.0033</v>
      </c>
    </row>
    <row r="63" ht="17.25" customHeight="1" spans="5:11">
      <c r="E63" s="7">
        <v>80060</v>
      </c>
      <c r="F63" t="str">
        <f>VLOOKUP(普通映射装备数值!O62,$C$4:$D$15,2,0)</f>
        <v>Armor</v>
      </c>
      <c r="G63">
        <f>普通映射装备数值!P62</f>
        <v>291</v>
      </c>
      <c r="H63">
        <f>普通映射装备数值!Q62</f>
        <v>38</v>
      </c>
      <c r="I63" t="str">
        <f>VLOOKUP(普通映射装备数值!R62,$C$4:$D$15,2,0)</f>
        <v>ArmorBonus</v>
      </c>
      <c r="J63">
        <f>普通映射装备数值!S62</f>
        <v>0.038</v>
      </c>
      <c r="K63">
        <f>普通映射装备数值!T62</f>
        <v>0.005</v>
      </c>
    </row>
    <row r="64" ht="17.25" customHeight="1" spans="5:11">
      <c r="E64" s="7">
        <v>80061</v>
      </c>
      <c r="F64" t="str">
        <f>VLOOKUP(普通映射装备数值!O63,$C$4:$D$15,2,0)</f>
        <v>Armor</v>
      </c>
      <c r="G64">
        <f>普通映射装备数值!P63</f>
        <v>123</v>
      </c>
      <c r="H64">
        <f>普通映射装备数值!Q63</f>
        <v>16</v>
      </c>
      <c r="I64" t="str">
        <f>VLOOKUP(普通映射装备数值!R63,$C$4:$D$15,2,0)</f>
        <v>ArmorBonus</v>
      </c>
      <c r="J64">
        <f>普通映射装备数值!S63</f>
        <v>0.014</v>
      </c>
      <c r="K64">
        <f>普通映射装备数值!T63</f>
        <v>0.0019</v>
      </c>
    </row>
    <row r="65" ht="17.25" customHeight="1" spans="5:11">
      <c r="E65" s="7">
        <v>80062</v>
      </c>
      <c r="F65" t="str">
        <f>VLOOKUP(普通映射装备数值!O64,$C$4:$D$15,2,0)</f>
        <v>Armor</v>
      </c>
      <c r="G65">
        <f>普通映射装备数值!P64</f>
        <v>205</v>
      </c>
      <c r="H65">
        <f>普通映射装备数值!Q64</f>
        <v>27</v>
      </c>
      <c r="I65" t="str">
        <f>VLOOKUP(普通映射装备数值!R64,$C$4:$D$15,2,0)</f>
        <v>ArmorBonus</v>
      </c>
      <c r="J65">
        <f>普通映射装备数值!S64</f>
        <v>0.024</v>
      </c>
      <c r="K65">
        <f>普通映射装备数值!T64</f>
        <v>0.0032</v>
      </c>
    </row>
    <row r="66" ht="17.25" customHeight="1" spans="5:11">
      <c r="E66" s="88">
        <v>80063</v>
      </c>
      <c r="F66" t="str">
        <f>VLOOKUP(普通映射装备数值!O65,$C$4:$D$15,2,0)</f>
        <v>Armor</v>
      </c>
      <c r="G66">
        <f>普通映射装备数值!P65</f>
        <v>307</v>
      </c>
      <c r="H66">
        <f>普通映射装备数值!Q65</f>
        <v>40</v>
      </c>
      <c r="I66" t="str">
        <f>VLOOKUP(普通映射装备数值!R65,$C$4:$D$15,2,0)</f>
        <v>ArmorBonus</v>
      </c>
      <c r="J66">
        <f>普通映射装备数值!S65</f>
        <v>0.036</v>
      </c>
      <c r="K66">
        <f>普通映射装备数值!T65</f>
        <v>0.0047</v>
      </c>
    </row>
    <row r="67" ht="17.25" customHeight="1" spans="5:11">
      <c r="E67" s="7">
        <v>80064</v>
      </c>
      <c r="F67" t="str">
        <f>VLOOKUP(普通映射装备数值!O66,$C$4:$D$15,2,0)</f>
        <v>Armor</v>
      </c>
      <c r="G67">
        <f>普通映射装备数值!P66</f>
        <v>116</v>
      </c>
      <c r="H67">
        <f>普通映射装备数值!Q66</f>
        <v>15</v>
      </c>
      <c r="I67" t="str">
        <f>VLOOKUP(普通映射装备数值!R66,$C$4:$D$15,2,0)</f>
        <v>PhysicsAttackBonus</v>
      </c>
      <c r="J67">
        <f>普通映射装备数值!S66</f>
        <v>0.015</v>
      </c>
      <c r="K67">
        <f>普通映射装备数值!T66</f>
        <v>0.002</v>
      </c>
    </row>
    <row r="68" ht="17.25" customHeight="1" spans="5:11">
      <c r="E68" s="7">
        <v>80065</v>
      </c>
      <c r="F68" t="str">
        <f>VLOOKUP(普通映射装备数值!O67,$C$4:$D$15,2,0)</f>
        <v>Armor</v>
      </c>
      <c r="G68">
        <f>普通映射装备数值!P67</f>
        <v>194</v>
      </c>
      <c r="H68">
        <f>普通映射装备数值!Q67</f>
        <v>25</v>
      </c>
      <c r="I68" t="str">
        <f>VLOOKUP(普通映射装备数值!R67,$C$4:$D$15,2,0)</f>
        <v>PhysicsAttackBonus</v>
      </c>
      <c r="J68">
        <f>普通映射装备数值!S67</f>
        <v>0.025</v>
      </c>
      <c r="K68">
        <f>普通映射装备数值!T67</f>
        <v>0.0033</v>
      </c>
    </row>
    <row r="69" ht="17.25" customHeight="1" spans="5:11">
      <c r="E69" s="7">
        <v>80066</v>
      </c>
      <c r="F69" t="str">
        <f>VLOOKUP(普通映射装备数值!O68,$C$4:$D$15,2,0)</f>
        <v>Armor</v>
      </c>
      <c r="G69">
        <f>普通映射装备数值!P68</f>
        <v>291</v>
      </c>
      <c r="H69">
        <f>普通映射装备数值!Q68</f>
        <v>38</v>
      </c>
      <c r="I69" t="str">
        <f>VLOOKUP(普通映射装备数值!R68,$C$4:$D$15,2,0)</f>
        <v>PhysicsAttackBonus</v>
      </c>
      <c r="J69">
        <f>普通映射装备数值!S68</f>
        <v>0.038</v>
      </c>
      <c r="K69">
        <f>普通映射装备数值!T68</f>
        <v>0.005</v>
      </c>
    </row>
    <row r="70" ht="17.25" customHeight="1" spans="5:11">
      <c r="E70" s="7">
        <v>80067</v>
      </c>
      <c r="F70" t="str">
        <f>VLOOKUP(普通映射装备数值!O69,$C$4:$D$15,2,0)</f>
        <v>Armor</v>
      </c>
      <c r="G70">
        <f>普通映射装备数值!P69</f>
        <v>123</v>
      </c>
      <c r="H70">
        <f>普通映射装备数值!Q69</f>
        <v>16</v>
      </c>
      <c r="I70" t="str">
        <f>VLOOKUP(普通映射装备数值!R69,$C$4:$D$15,2,0)</f>
        <v>PhysicsAttackBonus</v>
      </c>
      <c r="J70">
        <f>普通映射装备数值!S69</f>
        <v>0.014</v>
      </c>
      <c r="K70">
        <f>普通映射装备数值!T69</f>
        <v>0.0019</v>
      </c>
    </row>
    <row r="71" ht="17.25" customHeight="1" spans="5:11">
      <c r="E71" s="7">
        <v>80068</v>
      </c>
      <c r="F71" t="str">
        <f>VLOOKUP(普通映射装备数值!O70,$C$4:$D$15,2,0)</f>
        <v>Armor</v>
      </c>
      <c r="G71">
        <f>普通映射装备数值!P70</f>
        <v>205</v>
      </c>
      <c r="H71">
        <f>普通映射装备数值!Q70</f>
        <v>27</v>
      </c>
      <c r="I71" t="str">
        <f>VLOOKUP(普通映射装备数值!R70,$C$4:$D$15,2,0)</f>
        <v>PhysicsAttackBonus</v>
      </c>
      <c r="J71">
        <f>普通映射装备数值!S70</f>
        <v>0.024</v>
      </c>
      <c r="K71">
        <f>普通映射装备数值!T70</f>
        <v>0.0032</v>
      </c>
    </row>
    <row r="72" ht="17.25" customHeight="1" spans="5:11">
      <c r="E72" s="7">
        <v>80069</v>
      </c>
      <c r="F72" t="str">
        <f>VLOOKUP(普通映射装备数值!O71,$C$4:$D$15,2,0)</f>
        <v>Armor</v>
      </c>
      <c r="G72">
        <f>普通映射装备数值!P71</f>
        <v>307</v>
      </c>
      <c r="H72">
        <f>普通映射装备数值!Q71</f>
        <v>40</v>
      </c>
      <c r="I72" t="str">
        <f>VLOOKUP(普通映射装备数值!R71,$C$4:$D$15,2,0)</f>
        <v>PhysicsAttackBonus</v>
      </c>
      <c r="J72">
        <f>普通映射装备数值!S71</f>
        <v>0.036</v>
      </c>
      <c r="K72">
        <f>普通映射装备数值!T71</f>
        <v>0.0047</v>
      </c>
    </row>
    <row r="73" ht="17.25" customHeight="1" spans="5:11">
      <c r="E73" s="7">
        <v>80070</v>
      </c>
      <c r="F73" t="str">
        <f>VLOOKUP(普通映射装备数值!O72,$C$4:$D$15,2,0)</f>
        <v>Armor</v>
      </c>
      <c r="G73">
        <f>普通映射装备数值!P72</f>
        <v>129</v>
      </c>
      <c r="H73">
        <f>普通映射装备数值!Q72</f>
        <v>17</v>
      </c>
      <c r="I73" t="str">
        <f>VLOOKUP(普通映射装备数值!R72,$C$4:$D$15,2,0)</f>
        <v>PhysicsAttackBonus</v>
      </c>
      <c r="J73">
        <f>普通映射装备数值!S72</f>
        <v>0.014</v>
      </c>
      <c r="K73">
        <f>普通映射装备数值!T72</f>
        <v>0.0018</v>
      </c>
    </row>
    <row r="74" ht="17.25" customHeight="1" spans="5:11">
      <c r="E74" s="7">
        <v>80071</v>
      </c>
      <c r="F74" t="str">
        <f>VLOOKUP(普通映射装备数值!O73,$C$4:$D$15,2,0)</f>
        <v>Armor</v>
      </c>
      <c r="G74">
        <f>普通映射装备数值!P73</f>
        <v>216</v>
      </c>
      <c r="H74">
        <f>普通映射装备数值!Q73</f>
        <v>28</v>
      </c>
      <c r="I74" t="str">
        <f>VLOOKUP(普通映射装备数值!R73,$C$4:$D$15,2,0)</f>
        <v>PhysicsAttackBonus</v>
      </c>
      <c r="J74">
        <f>普通映射装备数值!S73</f>
        <v>0.023</v>
      </c>
      <c r="K74">
        <f>普通映射装备数值!T73</f>
        <v>0.003</v>
      </c>
    </row>
    <row r="75" ht="17.25" customHeight="1" spans="5:11">
      <c r="E75" s="7">
        <v>80072</v>
      </c>
      <c r="F75" t="str">
        <f>VLOOKUP(普通映射装备数值!O74,$C$4:$D$15,2,0)</f>
        <v>Armor</v>
      </c>
      <c r="G75">
        <f>普通映射装备数值!P74</f>
        <v>323</v>
      </c>
      <c r="H75">
        <f>普通映射装备数值!Q74</f>
        <v>42</v>
      </c>
      <c r="I75" t="str">
        <f>VLOOKUP(普通映射装备数值!R74,$C$4:$D$15,2,0)</f>
        <v>PhysicsAttackBonus</v>
      </c>
      <c r="J75">
        <f>普通映射装备数值!S74</f>
        <v>0.035</v>
      </c>
      <c r="K75">
        <f>普通映射装备数值!T74</f>
        <v>0.0045</v>
      </c>
    </row>
    <row r="76" ht="17.25" customHeight="1" spans="5:11">
      <c r="E76" s="7">
        <v>80073</v>
      </c>
      <c r="F76" t="str">
        <f>VLOOKUP(普通映射装备数值!O75,$C$4:$D$15,2,0)</f>
        <v>Armor</v>
      </c>
      <c r="G76">
        <f>普通映射装备数值!P75</f>
        <v>142</v>
      </c>
      <c r="H76">
        <f>普通映射装备数值!Q75</f>
        <v>19</v>
      </c>
      <c r="I76" t="str">
        <f>VLOOKUP(普通映射装备数值!R75,$C$4:$D$15,2,0)</f>
        <v>PhysicsAttackBonus</v>
      </c>
      <c r="J76">
        <f>普通映射装备数值!S75</f>
        <v>0.012</v>
      </c>
      <c r="K76">
        <f>普通映射装备数值!T75</f>
        <v>0.0016</v>
      </c>
    </row>
    <row r="77" ht="17.25" customHeight="1" spans="5:11">
      <c r="E77" s="7">
        <v>80074</v>
      </c>
      <c r="F77" t="str">
        <f>VLOOKUP(普通映射装备数值!O76,$C$4:$D$15,2,0)</f>
        <v>Armor</v>
      </c>
      <c r="G77">
        <f>普通映射装备数值!P76</f>
        <v>237</v>
      </c>
      <c r="H77">
        <f>普通映射装备数值!Q76</f>
        <v>31</v>
      </c>
      <c r="I77" t="str">
        <f>VLOOKUP(普通映射装备数值!R76,$C$4:$D$15,2,0)</f>
        <v>PhysicsAttackBonus</v>
      </c>
      <c r="J77">
        <f>普通映射装备数值!S76</f>
        <v>0.021</v>
      </c>
      <c r="K77">
        <f>普通映射装备数值!T76</f>
        <v>0.0027</v>
      </c>
    </row>
    <row r="78" ht="17.25" customHeight="1" spans="5:11">
      <c r="E78" s="7">
        <v>80075</v>
      </c>
      <c r="F78" t="str">
        <f>VLOOKUP(普通映射装备数值!O77,$C$4:$D$15,2,0)</f>
        <v>Armor</v>
      </c>
      <c r="G78">
        <f>普通映射装备数值!P77</f>
        <v>356</v>
      </c>
      <c r="H78">
        <f>普通映射装备数值!Q77</f>
        <v>46</v>
      </c>
      <c r="I78" t="str">
        <f>VLOOKUP(普通映射装备数值!R77,$C$4:$D$15,2,0)</f>
        <v>PhysicsAttackBonus</v>
      </c>
      <c r="J78">
        <f>普通映射装备数值!S77</f>
        <v>0.031</v>
      </c>
      <c r="K78">
        <f>普通映射装备数值!T77</f>
        <v>0.0041</v>
      </c>
    </row>
    <row r="79" ht="17.25" customHeight="1" spans="5:11">
      <c r="E79" s="7">
        <v>80076</v>
      </c>
      <c r="F79" t="str">
        <f>VLOOKUP(普通映射装备数值!O78,$C$4:$D$15,2,0)</f>
        <v>Armor</v>
      </c>
      <c r="G79">
        <f>普通映射装备数值!P78</f>
        <v>136</v>
      </c>
      <c r="H79">
        <f>普通映射装备数值!Q78</f>
        <v>18</v>
      </c>
      <c r="I79" t="str">
        <f>VLOOKUP(普通映射装备数值!R78,$C$4:$D$15,2,0)</f>
        <v>PhysicsAttackBonus</v>
      </c>
      <c r="J79">
        <f>普通映射装备数值!S78</f>
        <v>0.013</v>
      </c>
      <c r="K79">
        <f>普通映射装备数值!T78</f>
        <v>0.0017</v>
      </c>
    </row>
    <row r="80" ht="17.25" customHeight="1" spans="5:11">
      <c r="E80" s="7">
        <v>80077</v>
      </c>
      <c r="F80" t="str">
        <f>VLOOKUP(普通映射装备数值!O79,$C$4:$D$15,2,0)</f>
        <v>Armor</v>
      </c>
      <c r="G80">
        <f>普通映射装备数值!P79</f>
        <v>226</v>
      </c>
      <c r="H80">
        <f>普通映射装备数值!Q79</f>
        <v>30</v>
      </c>
      <c r="I80" t="str">
        <f>VLOOKUP(普通映射装备数值!R79,$C$4:$D$15,2,0)</f>
        <v>PhysicsAttackBonus</v>
      </c>
      <c r="J80">
        <f>普通映射装备数值!S79</f>
        <v>0.022</v>
      </c>
      <c r="K80">
        <f>普通映射装备数值!T79</f>
        <v>0.0029</v>
      </c>
    </row>
    <row r="81" ht="17.25" customHeight="1" spans="5:11">
      <c r="E81" s="7">
        <v>80078</v>
      </c>
      <c r="F81" t="str">
        <f>VLOOKUP(普通映射装备数值!O80,$C$4:$D$15,2,0)</f>
        <v>Armor</v>
      </c>
      <c r="G81">
        <f>普通映射装备数值!P80</f>
        <v>340</v>
      </c>
      <c r="H81">
        <f>普通映射装备数值!Q80</f>
        <v>44</v>
      </c>
      <c r="I81" t="str">
        <f>VLOOKUP(普通映射装备数值!R80,$C$4:$D$15,2,0)</f>
        <v>PhysicsAttackBonus</v>
      </c>
      <c r="J81">
        <f>普通映射装备数值!S80</f>
        <v>0.033</v>
      </c>
      <c r="K81">
        <f>普通映射装备数值!T80</f>
        <v>0.0043</v>
      </c>
    </row>
    <row r="82" ht="17.25" customHeight="1" spans="5:11">
      <c r="E82" s="7">
        <v>80079</v>
      </c>
      <c r="F82" t="str">
        <f>VLOOKUP(普通映射装备数值!O81,$C$4:$D$15,2,0)</f>
        <v>Armor</v>
      </c>
      <c r="G82">
        <f>普通映射装备数值!P81</f>
        <v>129</v>
      </c>
      <c r="H82">
        <f>普通映射装备数值!Q81</f>
        <v>17</v>
      </c>
      <c r="I82" t="str">
        <f>VLOOKUP(普通映射装备数值!R81,$C$4:$D$15,2,0)</f>
        <v>PhysicsAttackBonus</v>
      </c>
      <c r="J82">
        <f>普通映射装备数值!S81</f>
        <v>0.014</v>
      </c>
      <c r="K82">
        <f>普通映射装备数值!T81</f>
        <v>0.0018</v>
      </c>
    </row>
    <row r="83" ht="17.25" customHeight="1" spans="5:11">
      <c r="E83" s="7">
        <v>80080</v>
      </c>
      <c r="F83" t="str">
        <f>VLOOKUP(普通映射装备数值!O82,$C$4:$D$15,2,0)</f>
        <v>Armor</v>
      </c>
      <c r="G83">
        <f>普通映射装备数值!P82</f>
        <v>216</v>
      </c>
      <c r="H83">
        <f>普通映射装备数值!Q82</f>
        <v>28</v>
      </c>
      <c r="I83" t="str">
        <f>VLOOKUP(普通映射装备数值!R82,$C$4:$D$15,2,0)</f>
        <v>PhysicsAttackBonus</v>
      </c>
      <c r="J83">
        <f>普通映射装备数值!S82</f>
        <v>0.023</v>
      </c>
      <c r="K83">
        <f>普通映射装备数值!T82</f>
        <v>0.003</v>
      </c>
    </row>
    <row r="84" ht="17.25" customHeight="1" spans="5:11">
      <c r="E84" s="88">
        <v>80081</v>
      </c>
      <c r="F84" t="str">
        <f>VLOOKUP(普通映射装备数值!O83,$C$4:$D$15,2,0)</f>
        <v>Armor</v>
      </c>
      <c r="G84">
        <f>普通映射装备数值!P83</f>
        <v>323</v>
      </c>
      <c r="H84">
        <f>普通映射装备数值!Q83</f>
        <v>42</v>
      </c>
      <c r="I84" t="str">
        <f>VLOOKUP(普通映射装备数值!R83,$C$4:$D$15,2,0)</f>
        <v>PhysicsAttackBonus</v>
      </c>
      <c r="J84">
        <f>普通映射装备数值!S83</f>
        <v>0.035</v>
      </c>
      <c r="K84">
        <f>普通映射装备数值!T83</f>
        <v>0.0045</v>
      </c>
    </row>
    <row r="85" ht="17.25" customHeight="1" spans="5:11">
      <c r="E85" s="7">
        <v>80082</v>
      </c>
      <c r="F85" t="str">
        <f>VLOOKUP(普通映射装备数值!O84,$C$4:$D$15,2,0)</f>
        <v>Hp</v>
      </c>
      <c r="G85">
        <f>普通映射装备数值!P84</f>
        <v>615</v>
      </c>
      <c r="H85">
        <f>普通映射装备数值!Q84</f>
        <v>80</v>
      </c>
      <c r="I85" t="str">
        <f>VLOOKUP(普通映射装备数值!R84,$C$4:$D$15,2,0)</f>
        <v>HpBonus</v>
      </c>
      <c r="J85">
        <f>普通映射装备数值!S84</f>
        <v>0.014</v>
      </c>
      <c r="K85">
        <f>普通映射装备数值!T84</f>
        <v>0.0019</v>
      </c>
    </row>
    <row r="86" ht="17.25" customHeight="1" spans="5:11">
      <c r="E86" s="7">
        <v>80083</v>
      </c>
      <c r="F86" t="str">
        <f>VLOOKUP(普通映射装备数值!O85,$C$4:$D$15,2,0)</f>
        <v>Hp</v>
      </c>
      <c r="G86">
        <f>普通映射装备数值!P85</f>
        <v>1024</v>
      </c>
      <c r="H86">
        <f>普通映射装备数值!Q85</f>
        <v>134</v>
      </c>
      <c r="I86" t="str">
        <f>VLOOKUP(普通映射装备数值!R85,$C$4:$D$15,2,0)</f>
        <v>HpBonus</v>
      </c>
      <c r="J86">
        <f>普通映射装备数值!S85</f>
        <v>0.024</v>
      </c>
      <c r="K86">
        <f>普通映射装备数值!T85</f>
        <v>0.0032</v>
      </c>
    </row>
    <row r="87" ht="17.25" customHeight="1" spans="5:11">
      <c r="E87" s="7">
        <v>80084</v>
      </c>
      <c r="F87" t="str">
        <f>VLOOKUP(普通映射装备数值!O86,$C$4:$D$15,2,0)</f>
        <v>Hp</v>
      </c>
      <c r="G87">
        <f>普通映射装备数值!P86</f>
        <v>1536</v>
      </c>
      <c r="H87">
        <f>普通映射装备数值!Q86</f>
        <v>200</v>
      </c>
      <c r="I87" t="str">
        <f>VLOOKUP(普通映射装备数值!R86,$C$4:$D$15,2,0)</f>
        <v>HpBonus</v>
      </c>
      <c r="J87">
        <f>普通映射装备数值!S86</f>
        <v>0.036</v>
      </c>
      <c r="K87">
        <f>普通映射装备数值!T86</f>
        <v>0.0047</v>
      </c>
    </row>
    <row r="88" ht="17.25" customHeight="1" spans="5:11">
      <c r="E88" s="7">
        <v>80085</v>
      </c>
      <c r="F88" t="str">
        <f>VLOOKUP(普通映射装备数值!O87,$C$4:$D$15,2,0)</f>
        <v>Hp</v>
      </c>
      <c r="G88">
        <f>普通映射装备数值!P87</f>
        <v>712</v>
      </c>
      <c r="H88">
        <f>普通映射装备数值!Q87</f>
        <v>93</v>
      </c>
      <c r="I88" t="str">
        <f>VLOOKUP(普通映射装备数值!R87,$C$4:$D$15,2,0)</f>
        <v>HpBonus</v>
      </c>
      <c r="J88">
        <f>普通映射装备数值!S87</f>
        <v>0.012</v>
      </c>
      <c r="K88">
        <f>普通映射装备数值!T87</f>
        <v>0.0016</v>
      </c>
    </row>
    <row r="89" ht="17.25" customHeight="1" spans="5:11">
      <c r="E89" s="7">
        <v>80086</v>
      </c>
      <c r="F89" t="str">
        <f>VLOOKUP(普通映射装备数值!O88,$C$4:$D$15,2,0)</f>
        <v>Hp</v>
      </c>
      <c r="G89">
        <f>普通映射装备数值!P88</f>
        <v>1186</v>
      </c>
      <c r="H89">
        <f>普通映射装备数值!Q88</f>
        <v>155</v>
      </c>
      <c r="I89" t="str">
        <f>VLOOKUP(普通映射装备数值!R88,$C$4:$D$15,2,0)</f>
        <v>HpBonus</v>
      </c>
      <c r="J89">
        <f>普通映射装备数值!S88</f>
        <v>0.021</v>
      </c>
      <c r="K89">
        <f>普通映射装备数值!T88</f>
        <v>0.0027</v>
      </c>
    </row>
    <row r="90" ht="17.25" customHeight="1" spans="5:11">
      <c r="E90" s="7">
        <v>80087</v>
      </c>
      <c r="F90" t="str">
        <f>VLOOKUP(普通映射装备数值!O89,$C$4:$D$15,2,0)</f>
        <v>Hp</v>
      </c>
      <c r="G90">
        <f>普通映射装备数值!P89</f>
        <v>1779</v>
      </c>
      <c r="H90">
        <f>普通映射装备数值!Q89</f>
        <v>232</v>
      </c>
      <c r="I90" t="str">
        <f>VLOOKUP(普通映射装备数值!R89,$C$4:$D$15,2,0)</f>
        <v>HpBonus</v>
      </c>
      <c r="J90">
        <f>普通映射装备数值!S89</f>
        <v>0.031</v>
      </c>
      <c r="K90">
        <f>普通映射装备数值!T89</f>
        <v>0.0041</v>
      </c>
    </row>
    <row r="91" ht="17.25" customHeight="1" spans="5:11">
      <c r="E91" s="7">
        <v>80088</v>
      </c>
      <c r="F91" t="str">
        <f>VLOOKUP(普通映射装备数值!O90,$C$4:$D$15,2,0)</f>
        <v>Hp</v>
      </c>
      <c r="G91">
        <f>普通映射装备数值!P90</f>
        <v>647</v>
      </c>
      <c r="H91">
        <f>普通映射装备数值!Q90</f>
        <v>84</v>
      </c>
      <c r="I91" t="str">
        <f>VLOOKUP(普通映射装备数值!R90,$C$4:$D$15,2,0)</f>
        <v>HpBonus</v>
      </c>
      <c r="J91">
        <f>普通映射装备数值!S90</f>
        <v>0.014</v>
      </c>
      <c r="K91">
        <f>普通映射装备数值!T90</f>
        <v>0.0018</v>
      </c>
    </row>
    <row r="92" ht="17.25" customHeight="1" spans="5:11">
      <c r="E92" s="7">
        <v>80089</v>
      </c>
      <c r="F92" t="str">
        <f>VLOOKUP(普通映射装备数值!O91,$C$4:$D$15,2,0)</f>
        <v>Hp</v>
      </c>
      <c r="G92">
        <f>普通映射装备数值!P91</f>
        <v>1078</v>
      </c>
      <c r="H92">
        <f>普通映射装备数值!Q91</f>
        <v>141</v>
      </c>
      <c r="I92" t="str">
        <f>VLOOKUP(普通映射装备数值!R91,$C$4:$D$15,2,0)</f>
        <v>HpBonus</v>
      </c>
      <c r="J92">
        <f>普通映射装备数值!S91</f>
        <v>0.023</v>
      </c>
      <c r="K92">
        <f>普通映射装备数值!T91</f>
        <v>0.003</v>
      </c>
    </row>
    <row r="93" ht="17.25" customHeight="1" spans="5:11">
      <c r="E93" s="7">
        <v>80090</v>
      </c>
      <c r="F93" t="str">
        <f>VLOOKUP(普通映射装备数值!O92,$C$4:$D$15,2,0)</f>
        <v>Hp</v>
      </c>
      <c r="G93">
        <f>普通映射装备数值!P92</f>
        <v>1617</v>
      </c>
      <c r="H93">
        <f>普通映射装备数值!Q92</f>
        <v>211</v>
      </c>
      <c r="I93" t="str">
        <f>VLOOKUP(普通映射装备数值!R92,$C$4:$D$15,2,0)</f>
        <v>HpBonus</v>
      </c>
      <c r="J93">
        <f>普通映射装备数值!S92</f>
        <v>0.035</v>
      </c>
      <c r="K93">
        <f>普通映射装备数值!T92</f>
        <v>0.0045</v>
      </c>
    </row>
    <row r="94" ht="17.25" customHeight="1" spans="5:11">
      <c r="E94" s="7">
        <v>80091</v>
      </c>
      <c r="F94" t="str">
        <f>VLOOKUP(普通映射装备数值!O93,$C$4:$D$15,2,0)</f>
        <v>Hp</v>
      </c>
      <c r="G94">
        <f>普通映射装备数值!P93</f>
        <v>679</v>
      </c>
      <c r="H94">
        <f>普通映射装备数值!Q93</f>
        <v>89</v>
      </c>
      <c r="I94" t="str">
        <f>VLOOKUP(普通映射装备数值!R93,$C$4:$D$15,2,0)</f>
        <v>HpBonus</v>
      </c>
      <c r="J94">
        <f>普通映射装备数值!S93</f>
        <v>0.013</v>
      </c>
      <c r="K94">
        <f>普通映射装备数值!T93</f>
        <v>0.0017</v>
      </c>
    </row>
    <row r="95" ht="17.25" customHeight="1" spans="5:11">
      <c r="E95" s="7">
        <v>80092</v>
      </c>
      <c r="F95" t="str">
        <f>VLOOKUP(普通映射装备数值!O94,$C$4:$D$15,2,0)</f>
        <v>Hp</v>
      </c>
      <c r="G95">
        <f>普通映射装备数值!P94</f>
        <v>1132</v>
      </c>
      <c r="H95">
        <f>普通映射装备数值!Q94</f>
        <v>148</v>
      </c>
      <c r="I95" t="str">
        <f>VLOOKUP(普通映射装备数值!R94,$C$4:$D$15,2,0)</f>
        <v>HpBonus</v>
      </c>
      <c r="J95">
        <f>普通映射装备数值!S94</f>
        <v>0.022</v>
      </c>
      <c r="K95">
        <f>普通映射装备数值!T94</f>
        <v>0.0029</v>
      </c>
    </row>
    <row r="96" ht="17.25" customHeight="1" spans="5:11">
      <c r="E96" s="7">
        <v>80093</v>
      </c>
      <c r="F96" t="str">
        <f>VLOOKUP(普通映射装备数值!O95,$C$4:$D$15,2,0)</f>
        <v>Hp</v>
      </c>
      <c r="G96">
        <f>普通映射装备数值!P95</f>
        <v>1698</v>
      </c>
      <c r="H96">
        <f>普通映射装备数值!Q95</f>
        <v>221</v>
      </c>
      <c r="I96" t="str">
        <f>VLOOKUP(普通映射装备数值!R95,$C$4:$D$15,2,0)</f>
        <v>HpBonus</v>
      </c>
      <c r="J96">
        <f>普通映射装备数值!S95</f>
        <v>0.033</v>
      </c>
      <c r="K96">
        <f>普通映射装备数值!T95</f>
        <v>0.0043</v>
      </c>
    </row>
    <row r="97" ht="17.25" customHeight="1" spans="5:11">
      <c r="E97" s="7">
        <v>80094</v>
      </c>
      <c r="F97" t="str">
        <f>VLOOKUP(普通映射装备数值!O96,$C$4:$D$15,2,0)</f>
        <v>Hp</v>
      </c>
      <c r="G97">
        <f>普通映射装备数值!P96</f>
        <v>582</v>
      </c>
      <c r="H97">
        <f>普通映射装备数值!Q96</f>
        <v>76</v>
      </c>
      <c r="I97" t="str">
        <f>VLOOKUP(普通映射装备数值!R96,$C$4:$D$15,2,0)</f>
        <v>HpBonus</v>
      </c>
      <c r="J97">
        <f>普通映射装备数值!S96</f>
        <v>0.015</v>
      </c>
      <c r="K97">
        <f>普通映射装备数值!T96</f>
        <v>0.002</v>
      </c>
    </row>
    <row r="98" ht="17.25" customHeight="1" spans="5:11">
      <c r="E98" s="7">
        <v>80095</v>
      </c>
      <c r="F98" t="str">
        <f>VLOOKUP(普通映射装备数值!O97,$C$4:$D$15,2,0)</f>
        <v>Hp</v>
      </c>
      <c r="G98">
        <f>普通映射装备数值!P97</f>
        <v>970</v>
      </c>
      <c r="H98">
        <f>普通映射装备数值!Q97</f>
        <v>127</v>
      </c>
      <c r="I98" t="str">
        <f>VLOOKUP(普通映射装备数值!R97,$C$4:$D$15,2,0)</f>
        <v>HpBonus</v>
      </c>
      <c r="J98">
        <f>普通映射装备数值!S97</f>
        <v>0.025</v>
      </c>
      <c r="K98">
        <f>普通映射装备数值!T97</f>
        <v>0.0033</v>
      </c>
    </row>
    <row r="99" ht="17.25" customHeight="1" spans="5:11">
      <c r="E99" s="7">
        <v>80096</v>
      </c>
      <c r="F99" t="str">
        <f>VLOOKUP(普通映射装备数值!O98,$C$4:$D$15,2,0)</f>
        <v>Hp</v>
      </c>
      <c r="G99">
        <f>普通映射装备数值!P98</f>
        <v>1455</v>
      </c>
      <c r="H99">
        <f>普通映射装备数值!Q98</f>
        <v>190</v>
      </c>
      <c r="I99" t="str">
        <f>VLOOKUP(普通映射装备数值!R98,$C$4:$D$15,2,0)</f>
        <v>HpBonus</v>
      </c>
      <c r="J99">
        <f>普通映射装备数值!S98</f>
        <v>0.038</v>
      </c>
      <c r="K99">
        <f>普通映射装备数值!T98</f>
        <v>0.005</v>
      </c>
    </row>
    <row r="100" ht="17.25" customHeight="1" spans="5:11">
      <c r="E100" s="7">
        <v>80097</v>
      </c>
      <c r="F100" t="str">
        <f>VLOOKUP(普通映射装备数值!O99,$C$4:$D$15,2,0)</f>
        <v>Hp</v>
      </c>
      <c r="G100">
        <f>普通映射装备数值!P99</f>
        <v>615</v>
      </c>
      <c r="H100">
        <f>普通映射装备数值!Q99</f>
        <v>80</v>
      </c>
      <c r="I100" t="str">
        <f>VLOOKUP(普通映射装备数值!R99,$C$4:$D$15,2,0)</f>
        <v>HpBonus</v>
      </c>
      <c r="J100">
        <f>普通映射装备数值!S99</f>
        <v>0.014</v>
      </c>
      <c r="K100">
        <f>普通映射装备数值!T99</f>
        <v>0.0019</v>
      </c>
    </row>
    <row r="101" ht="17.25" customHeight="1" spans="5:11">
      <c r="E101" s="7">
        <v>80098</v>
      </c>
      <c r="F101" t="str">
        <f>VLOOKUP(普通映射装备数值!O100,$C$4:$D$15,2,0)</f>
        <v>Hp</v>
      </c>
      <c r="G101">
        <f>普通映射装备数值!P100</f>
        <v>1024</v>
      </c>
      <c r="H101">
        <f>普通映射装备数值!Q100</f>
        <v>134</v>
      </c>
      <c r="I101" t="str">
        <f>VLOOKUP(普通映射装备数值!R100,$C$4:$D$15,2,0)</f>
        <v>HpBonus</v>
      </c>
      <c r="J101">
        <f>普通映射装备数值!S100</f>
        <v>0.024</v>
      </c>
      <c r="K101">
        <f>普通映射装备数值!T100</f>
        <v>0.0032</v>
      </c>
    </row>
    <row r="102" ht="17.25" customHeight="1" spans="5:11">
      <c r="E102" s="88">
        <v>80099</v>
      </c>
      <c r="F102" t="str">
        <f>VLOOKUP(普通映射装备数值!O101,$C$4:$D$15,2,0)</f>
        <v>Hp</v>
      </c>
      <c r="G102">
        <f>普通映射装备数值!P101</f>
        <v>1536</v>
      </c>
      <c r="H102">
        <f>普通映射装备数值!Q101</f>
        <v>200</v>
      </c>
      <c r="I102" t="str">
        <f>VLOOKUP(普通映射装备数值!R101,$C$4:$D$15,2,0)</f>
        <v>HpBonus</v>
      </c>
      <c r="J102">
        <f>普通映射装备数值!S101</f>
        <v>0.036</v>
      </c>
      <c r="K102">
        <f>普通映射装备数值!T101</f>
        <v>0.0047</v>
      </c>
    </row>
    <row r="103" ht="17.25" customHeight="1" spans="5:11">
      <c r="E103" s="7">
        <v>80100</v>
      </c>
      <c r="F103" t="str">
        <f>VLOOKUP(普通映射装备数值!O102,$C$4:$D$15,2,0)</f>
        <v>PhysicsAttack</v>
      </c>
      <c r="G103">
        <f>普通映射装备数值!P102</f>
        <v>203</v>
      </c>
      <c r="H103">
        <f>普通映射装备数值!Q102</f>
        <v>26</v>
      </c>
      <c r="I103" t="str">
        <f>VLOOKUP(普通映射装备数值!R102,$C$4:$D$15,2,0)</f>
        <v>CoolDownReduceLevel</v>
      </c>
      <c r="J103">
        <f>普通映射装备数值!S102</f>
        <v>119</v>
      </c>
      <c r="K103">
        <f>普通映射装备数值!T102</f>
        <v>16</v>
      </c>
    </row>
    <row r="104" ht="17.25" customHeight="1" spans="5:11">
      <c r="E104" s="7">
        <v>80101</v>
      </c>
      <c r="F104" t="str">
        <f>VLOOKUP(普通映射装备数值!O103,$C$4:$D$15,2,0)</f>
        <v>PhysicsAttack</v>
      </c>
      <c r="G104">
        <f>普通映射装备数值!P103</f>
        <v>338</v>
      </c>
      <c r="H104">
        <f>普通映射装备数值!Q103</f>
        <v>44</v>
      </c>
      <c r="I104" t="str">
        <f>VLOOKUP(普通映射装备数值!R103,$C$4:$D$15,2,0)</f>
        <v>CoolDownReduceLevel</v>
      </c>
      <c r="J104">
        <f>普通映射装备数值!S103</f>
        <v>199</v>
      </c>
      <c r="K104">
        <f>普通映射装备数值!T103</f>
        <v>26</v>
      </c>
    </row>
    <row r="105" ht="17.25" customHeight="1" spans="5:11">
      <c r="E105" s="7">
        <v>80102</v>
      </c>
      <c r="F105" t="str">
        <f>VLOOKUP(普通映射装备数值!O104,$C$4:$D$15,2,0)</f>
        <v>PhysicsAttack</v>
      </c>
      <c r="G105">
        <f>普通映射装备数值!P104</f>
        <v>507</v>
      </c>
      <c r="H105">
        <f>普通映射装备数值!Q104</f>
        <v>66</v>
      </c>
      <c r="I105" t="str">
        <f>VLOOKUP(普通映射装备数值!R104,$C$4:$D$15,2,0)</f>
        <v>CoolDownReduceLevel</v>
      </c>
      <c r="J105">
        <f>普通映射装备数值!S104</f>
        <v>299</v>
      </c>
      <c r="K105">
        <f>普通映射装备数值!T104</f>
        <v>39</v>
      </c>
    </row>
    <row r="106" ht="17.25" customHeight="1" spans="5:11">
      <c r="E106" s="7">
        <v>80103</v>
      </c>
      <c r="F106" t="str">
        <f>VLOOKUP(普通映射装备数值!O105,$C$4:$D$15,2,0)</f>
        <v>PhysicsAttack</v>
      </c>
      <c r="G106">
        <f>普通映射装备数值!P105</f>
        <v>184</v>
      </c>
      <c r="H106">
        <f>普通映射装备数值!Q105</f>
        <v>24</v>
      </c>
      <c r="I106" t="str">
        <f>VLOOKUP(普通映射装备数值!R105,$C$4:$D$15,2,0)</f>
        <v>CoolDownReduceLevel</v>
      </c>
      <c r="J106">
        <f>普通映射装备数值!S105</f>
        <v>132</v>
      </c>
      <c r="K106">
        <f>普通映射装备数值!T105</f>
        <v>17</v>
      </c>
    </row>
    <row r="107" ht="17.25" customHeight="1" spans="5:11">
      <c r="E107" s="7">
        <v>80104</v>
      </c>
      <c r="F107" t="str">
        <f>VLOOKUP(普通映射装备数值!O106,$C$4:$D$15,2,0)</f>
        <v>PhysicsAttack</v>
      </c>
      <c r="G107">
        <f>普通映射装备数值!P106</f>
        <v>306</v>
      </c>
      <c r="H107">
        <f>普通映射装备数值!Q106</f>
        <v>40</v>
      </c>
      <c r="I107" t="str">
        <f>VLOOKUP(普通映射装备数值!R106,$C$4:$D$15,2,0)</f>
        <v>CoolDownReduceLevel</v>
      </c>
      <c r="J107">
        <f>普通映射装备数值!S106</f>
        <v>220</v>
      </c>
      <c r="K107">
        <f>普通映射装备数值!T106</f>
        <v>29</v>
      </c>
    </row>
    <row r="108" ht="17.25" customHeight="1" spans="5:11">
      <c r="E108" s="7">
        <v>80105</v>
      </c>
      <c r="F108" t="str">
        <f>VLOOKUP(普通映射装备数值!O107,$C$4:$D$15,2,0)</f>
        <v>PhysicsAttack</v>
      </c>
      <c r="G108">
        <f>普通映射装备数值!P107</f>
        <v>459</v>
      </c>
      <c r="H108">
        <f>普通映射装备数值!Q107</f>
        <v>60</v>
      </c>
      <c r="I108" t="str">
        <f>VLOOKUP(普通映射装备数值!R107,$C$4:$D$15,2,0)</f>
        <v>CoolDownReduceLevel</v>
      </c>
      <c r="J108">
        <f>普通映射装备数值!S107</f>
        <v>330</v>
      </c>
      <c r="K108">
        <f>普通映射装备数值!T107</f>
        <v>43</v>
      </c>
    </row>
    <row r="109" ht="17.25" customHeight="1" spans="5:11">
      <c r="E109" s="7">
        <v>80106</v>
      </c>
      <c r="F109" t="str">
        <f>VLOOKUP(普通映射装备数值!O108,$C$4:$D$15,2,0)</f>
        <v>PhysicsAttack</v>
      </c>
      <c r="G109">
        <f>普通映射装备数值!P108</f>
        <v>222</v>
      </c>
      <c r="H109">
        <f>普通映射装备数值!Q108</f>
        <v>29</v>
      </c>
      <c r="I109" t="str">
        <f>VLOOKUP(普通映射装备数值!R108,$C$4:$D$15,2,0)</f>
        <v>CoolDownReduceLevel</v>
      </c>
      <c r="J109">
        <f>普通映射装备数值!S108</f>
        <v>107</v>
      </c>
      <c r="K109">
        <f>普通映射装备数值!T108</f>
        <v>14</v>
      </c>
    </row>
    <row r="110" ht="17.25" customHeight="1" spans="5:11">
      <c r="E110" s="7">
        <v>80107</v>
      </c>
      <c r="F110" t="str">
        <f>VLOOKUP(普通映射装备数值!O109,$C$4:$D$15,2,0)</f>
        <v>PhysicsAttack</v>
      </c>
      <c r="G110">
        <f>普通映射装备数值!P109</f>
        <v>370</v>
      </c>
      <c r="H110">
        <f>普通映射装备数值!Q109</f>
        <v>48</v>
      </c>
      <c r="I110" t="str">
        <f>VLOOKUP(普通映射装备数值!R109,$C$4:$D$15,2,0)</f>
        <v>CoolDownReduceLevel</v>
      </c>
      <c r="J110">
        <f>普通映射装备数值!S109</f>
        <v>178</v>
      </c>
      <c r="K110">
        <f>普通映射装备数值!T109</f>
        <v>23</v>
      </c>
    </row>
    <row r="111" ht="17.25" customHeight="1" spans="5:11">
      <c r="E111" s="7">
        <v>80108</v>
      </c>
      <c r="F111" t="str">
        <f>VLOOKUP(普通映射装备数值!O110,$C$4:$D$15,2,0)</f>
        <v>PhysicsAttack</v>
      </c>
      <c r="G111">
        <f>普通映射装备数值!P110</f>
        <v>555</v>
      </c>
      <c r="H111">
        <f>普通映射装备数值!Q110</f>
        <v>72</v>
      </c>
      <c r="I111" t="str">
        <f>VLOOKUP(普通映射装备数值!R110,$C$4:$D$15,2,0)</f>
        <v>CoolDownReduceLevel</v>
      </c>
      <c r="J111">
        <f>普通映射装备数值!S110</f>
        <v>267</v>
      </c>
      <c r="K111">
        <f>普通映射装备数值!T110</f>
        <v>35</v>
      </c>
    </row>
    <row r="112" ht="17.25" customHeight="1" spans="5:11">
      <c r="E112" s="7">
        <v>80109</v>
      </c>
      <c r="F112" t="str">
        <f>VLOOKUP(普通映射装备数值!O111,$C$4:$D$15,2,0)</f>
        <v>PhysicsAttack</v>
      </c>
      <c r="G112">
        <f>普通映射装备数值!P111</f>
        <v>193</v>
      </c>
      <c r="H112">
        <f>普通映射装备数值!Q111</f>
        <v>25</v>
      </c>
      <c r="I112" t="str">
        <f>VLOOKUP(普通映射装备数值!R111,$C$4:$D$15,2,0)</f>
        <v>CoolDownReduceLevel</v>
      </c>
      <c r="J112">
        <f>普通映射装备数值!S111</f>
        <v>126</v>
      </c>
      <c r="K112">
        <f>普通映射装备数值!T111</f>
        <v>17</v>
      </c>
    </row>
    <row r="113" ht="17.25" customHeight="1" spans="5:11">
      <c r="E113" s="7">
        <v>80110</v>
      </c>
      <c r="F113" t="str">
        <f>VLOOKUP(普通映射装备数值!O112,$C$4:$D$15,2,0)</f>
        <v>PhysicsAttack</v>
      </c>
      <c r="G113">
        <f>普通映射装备数值!P112</f>
        <v>322</v>
      </c>
      <c r="H113">
        <f>普通映射装备数值!Q112</f>
        <v>42</v>
      </c>
      <c r="I113" t="str">
        <f>VLOOKUP(普通映射装备数值!R112,$C$4:$D$15,2,0)</f>
        <v>CoolDownReduceLevel</v>
      </c>
      <c r="J113">
        <f>普通映射装备数值!S112</f>
        <v>210</v>
      </c>
      <c r="K113">
        <f>普通映射装备数值!T112</f>
        <v>28</v>
      </c>
    </row>
    <row r="114" ht="17.25" customHeight="1" spans="5:11">
      <c r="E114" s="7">
        <v>80111</v>
      </c>
      <c r="F114" t="str">
        <f>VLOOKUP(普通映射装备数值!O113,$C$4:$D$15,2,0)</f>
        <v>PhysicsAttack</v>
      </c>
      <c r="G114">
        <f>普通映射装备数值!P113</f>
        <v>483</v>
      </c>
      <c r="H114">
        <f>普通映射装备数值!Q113</f>
        <v>63</v>
      </c>
      <c r="I114" t="str">
        <f>VLOOKUP(普通映射装备数值!R113,$C$4:$D$15,2,0)</f>
        <v>CoolDownReduceLevel</v>
      </c>
      <c r="J114">
        <f>普通映射装备数值!S113</f>
        <v>314</v>
      </c>
      <c r="K114">
        <f>普通映射装备数值!T113</f>
        <v>41</v>
      </c>
    </row>
    <row r="115" ht="17.25" customHeight="1" spans="5:11">
      <c r="E115" s="7">
        <v>80112</v>
      </c>
      <c r="F115" t="str">
        <f>VLOOKUP(普通映射装备数值!O114,$C$4:$D$15,2,0)</f>
        <v>PhysicsAttack</v>
      </c>
      <c r="G115">
        <f>普通映射装备数值!P114</f>
        <v>174</v>
      </c>
      <c r="H115">
        <f>普通映射装备数值!Q114</f>
        <v>23</v>
      </c>
      <c r="I115" t="str">
        <f>VLOOKUP(普通映射装备数值!R114,$C$4:$D$15,2,0)</f>
        <v>CoolDownReduceLevel</v>
      </c>
      <c r="J115">
        <f>普通映射装备数值!S114</f>
        <v>138</v>
      </c>
      <c r="K115">
        <f>普通映射装备数值!T114</f>
        <v>18</v>
      </c>
    </row>
    <row r="116" ht="17.25" customHeight="1" spans="5:11">
      <c r="E116" s="7">
        <v>80113</v>
      </c>
      <c r="F116" t="str">
        <f>VLOOKUP(普通映射装备数值!O115,$C$4:$D$15,2,0)</f>
        <v>PhysicsAttack</v>
      </c>
      <c r="G116">
        <f>普通映射装备数值!P115</f>
        <v>290</v>
      </c>
      <c r="H116">
        <f>普通映射装备数值!Q115</f>
        <v>38</v>
      </c>
      <c r="I116" t="str">
        <f>VLOOKUP(普通映射装备数值!R115,$C$4:$D$15,2,0)</f>
        <v>CoolDownReduceLevel</v>
      </c>
      <c r="J116">
        <f>普通映射装备数值!S115</f>
        <v>230</v>
      </c>
      <c r="K116">
        <f>普通映射装备数值!T115</f>
        <v>30</v>
      </c>
    </row>
    <row r="117" ht="17.25" customHeight="1" spans="5:11">
      <c r="E117" s="7">
        <v>80114</v>
      </c>
      <c r="F117" t="str">
        <f>VLOOKUP(普通映射装备数值!O116,$C$4:$D$15,2,0)</f>
        <v>PhysicsAttack</v>
      </c>
      <c r="G117">
        <f>普通映射装备数值!P116</f>
        <v>435</v>
      </c>
      <c r="H117">
        <f>普通映射装备数值!Q116</f>
        <v>57</v>
      </c>
      <c r="I117" t="str">
        <f>VLOOKUP(普通映射装备数值!R116,$C$4:$D$15,2,0)</f>
        <v>CoolDownReduceLevel</v>
      </c>
      <c r="J117">
        <f>普通映射装备数值!S116</f>
        <v>346</v>
      </c>
      <c r="K117">
        <f>普通映射装备数值!T116</f>
        <v>45</v>
      </c>
    </row>
    <row r="118" ht="17.25" customHeight="1" spans="5:11">
      <c r="E118" s="7">
        <v>80115</v>
      </c>
      <c r="F118" t="str">
        <f>VLOOKUP(普通映射装备数值!O117,$C$4:$D$15,2,0)</f>
        <v>PhysicsAttack</v>
      </c>
      <c r="G118">
        <f>普通映射装备数值!P117</f>
        <v>184</v>
      </c>
      <c r="H118">
        <f>普通映射装备数值!Q117</f>
        <v>24</v>
      </c>
      <c r="I118" t="str">
        <f>VLOOKUP(普通映射装备数值!R117,$C$4:$D$15,2,0)</f>
        <v>CoolDownReduceLevel</v>
      </c>
      <c r="J118">
        <f>普通映射装备数值!S117</f>
        <v>132</v>
      </c>
      <c r="K118">
        <f>普通映射装备数值!T117</f>
        <v>17</v>
      </c>
    </row>
    <row r="119" ht="17.25" customHeight="1" spans="5:11">
      <c r="E119" s="7">
        <v>80116</v>
      </c>
      <c r="F119" t="str">
        <f>VLOOKUP(普通映射装备数值!O118,$C$4:$D$15,2,0)</f>
        <v>PhysicsAttack</v>
      </c>
      <c r="G119">
        <f>普通映射装备数值!P118</f>
        <v>306</v>
      </c>
      <c r="H119">
        <f>普通映射装备数值!Q118</f>
        <v>40</v>
      </c>
      <c r="I119" t="str">
        <f>VLOOKUP(普通映射装备数值!R118,$C$4:$D$15,2,0)</f>
        <v>CoolDownReduceLevel</v>
      </c>
      <c r="J119">
        <f>普通映射装备数值!S118</f>
        <v>220</v>
      </c>
      <c r="K119">
        <f>普通映射装备数值!T118</f>
        <v>29</v>
      </c>
    </row>
    <row r="120" ht="17.25" customHeight="1" spans="5:11">
      <c r="E120" s="88">
        <v>80117</v>
      </c>
      <c r="F120" t="str">
        <f>VLOOKUP(普通映射装备数值!O119,$C$4:$D$15,2,0)</f>
        <v>PhysicsAttack</v>
      </c>
      <c r="G120">
        <f>普通映射装备数值!P119</f>
        <v>459</v>
      </c>
      <c r="H120">
        <f>普通映射装备数值!Q119</f>
        <v>60</v>
      </c>
      <c r="I120" t="str">
        <f>VLOOKUP(普通映射装备数值!R119,$C$4:$D$15,2,0)</f>
        <v>CoolDownReduceLevel</v>
      </c>
      <c r="J120">
        <f>普通映射装备数值!S119</f>
        <v>330</v>
      </c>
      <c r="K120">
        <f>普通映射装备数值!T119</f>
        <v>43</v>
      </c>
    </row>
    <row r="121" ht="17.25" customHeight="1" spans="5:11">
      <c r="E121" s="7">
        <v>80118</v>
      </c>
      <c r="F121" t="str">
        <f>VLOOKUP(普通映射装备数值!O120,$C$4:$D$15,2,0)</f>
        <v>PhysicsAttack</v>
      </c>
      <c r="G121">
        <f>普通映射装备数值!P120</f>
        <v>203</v>
      </c>
      <c r="H121">
        <f>普通映射装备数值!Q120</f>
        <v>26</v>
      </c>
      <c r="I121" t="str">
        <f>VLOOKUP(普通映射装备数值!R120,$C$4:$D$15,2,0)</f>
        <v>EnergyPreAddBonusLevel</v>
      </c>
      <c r="J121">
        <f>普通映射装备数值!S120</f>
        <v>83</v>
      </c>
      <c r="K121">
        <f>普通映射装备数值!T120</f>
        <v>11</v>
      </c>
    </row>
    <row r="122" ht="17.25" customHeight="1" spans="5:11">
      <c r="E122" s="7">
        <v>80119</v>
      </c>
      <c r="F122" t="str">
        <f>VLOOKUP(普通映射装备数值!O121,$C$4:$D$15,2,0)</f>
        <v>PhysicsAttack</v>
      </c>
      <c r="G122">
        <f>普通映射装备数值!P121</f>
        <v>338</v>
      </c>
      <c r="H122">
        <f>普通映射装备数值!Q121</f>
        <v>44</v>
      </c>
      <c r="I122" t="str">
        <f>VLOOKUP(普通映射装备数值!R121,$C$4:$D$15,2,0)</f>
        <v>EnergyPreAddBonusLevel</v>
      </c>
      <c r="J122">
        <f>普通映射装备数值!S121</f>
        <v>138</v>
      </c>
      <c r="K122">
        <f>普通映射装备数值!T121</f>
        <v>18</v>
      </c>
    </row>
    <row r="123" ht="17.25" customHeight="1" spans="5:11">
      <c r="E123" s="7">
        <v>80120</v>
      </c>
      <c r="F123" t="str">
        <f>VLOOKUP(普通映射装备数值!O122,$C$4:$D$15,2,0)</f>
        <v>PhysicsAttack</v>
      </c>
      <c r="G123">
        <f>普通映射装备数值!P122</f>
        <v>507</v>
      </c>
      <c r="H123">
        <f>普通映射装备数值!Q122</f>
        <v>66</v>
      </c>
      <c r="I123" t="str">
        <f>VLOOKUP(普通映射装备数值!R122,$C$4:$D$15,2,0)</f>
        <v>EnergyPreAddBonusLevel</v>
      </c>
      <c r="J123">
        <f>普通映射装备数值!S122</f>
        <v>207</v>
      </c>
      <c r="K123">
        <f>普通映射装备数值!T122</f>
        <v>27</v>
      </c>
    </row>
    <row r="124" ht="17.25" customHeight="1" spans="5:11">
      <c r="E124" s="7">
        <v>80121</v>
      </c>
      <c r="F124" t="str">
        <f>VLOOKUP(普通映射装备数值!O123,$C$4:$D$15,2,0)</f>
        <v>PhysicsAttack</v>
      </c>
      <c r="G124">
        <f>普通映射装备数值!P123</f>
        <v>184</v>
      </c>
      <c r="H124">
        <f>普通映射装备数值!Q123</f>
        <v>24</v>
      </c>
      <c r="I124" t="str">
        <f>VLOOKUP(普通映射装备数值!R123,$C$4:$D$15,2,0)</f>
        <v>EnergyPreAddBonusLevel</v>
      </c>
      <c r="J124">
        <f>普通映射装备数值!S123</f>
        <v>91</v>
      </c>
      <c r="K124">
        <f>普通映射装备数值!T123</f>
        <v>12</v>
      </c>
    </row>
    <row r="125" ht="17.25" customHeight="1" spans="5:11">
      <c r="E125" s="7">
        <v>80122</v>
      </c>
      <c r="F125" t="str">
        <f>VLOOKUP(普通映射装备数值!O124,$C$4:$D$15,2,0)</f>
        <v>PhysicsAttack</v>
      </c>
      <c r="G125">
        <f>普通映射装备数值!P124</f>
        <v>306</v>
      </c>
      <c r="H125">
        <f>普通映射装备数值!Q124</f>
        <v>40</v>
      </c>
      <c r="I125" t="str">
        <f>VLOOKUP(普通映射装备数值!R124,$C$4:$D$15,2,0)</f>
        <v>EnergyPreAddBonusLevel</v>
      </c>
      <c r="J125">
        <f>普通映射装备数值!S124</f>
        <v>152</v>
      </c>
      <c r="K125">
        <f>普通映射装备数值!T124</f>
        <v>20</v>
      </c>
    </row>
    <row r="126" ht="17.25" customHeight="1" spans="5:11">
      <c r="E126" s="7">
        <v>80123</v>
      </c>
      <c r="F126" t="str">
        <f>VLOOKUP(普通映射装备数值!O125,$C$4:$D$15,2,0)</f>
        <v>PhysicsAttack</v>
      </c>
      <c r="G126">
        <f>普通映射装备数值!P125</f>
        <v>459</v>
      </c>
      <c r="H126">
        <f>普通映射装备数值!Q125</f>
        <v>60</v>
      </c>
      <c r="I126" t="str">
        <f>VLOOKUP(普通映射装备数值!R125,$C$4:$D$15,2,0)</f>
        <v>EnergyPreAddBonusLevel</v>
      </c>
      <c r="J126">
        <f>普通映射装备数值!S125</f>
        <v>228</v>
      </c>
      <c r="K126">
        <f>普通映射装备数值!T125</f>
        <v>30</v>
      </c>
    </row>
    <row r="127" ht="17.25" customHeight="1" spans="5:11">
      <c r="E127" s="7">
        <v>80124</v>
      </c>
      <c r="F127" t="str">
        <f>VLOOKUP(普通映射装备数值!O126,$C$4:$D$15,2,0)</f>
        <v>PhysicsAttack</v>
      </c>
      <c r="G127">
        <f>普通映射装备数值!P126</f>
        <v>213</v>
      </c>
      <c r="H127">
        <f>普通映射装备数值!Q126</f>
        <v>28</v>
      </c>
      <c r="I127" t="str">
        <f>VLOOKUP(普通映射装备数值!R126,$C$4:$D$15,2,0)</f>
        <v>EnergyPreAddBonusLevel</v>
      </c>
      <c r="J127">
        <f>普通映射装备数值!S126</f>
        <v>78</v>
      </c>
      <c r="K127">
        <f>普通映射装备数值!T126</f>
        <v>10</v>
      </c>
    </row>
    <row r="128" ht="17.25" customHeight="1" spans="5:11">
      <c r="E128" s="7">
        <v>80125</v>
      </c>
      <c r="F128" t="str">
        <f>VLOOKUP(普通映射装备数值!O127,$C$4:$D$15,2,0)</f>
        <v>PhysicsAttack</v>
      </c>
      <c r="G128">
        <f>普通映射装备数值!P127</f>
        <v>354</v>
      </c>
      <c r="H128">
        <f>普通映射装备数值!Q127</f>
        <v>46</v>
      </c>
      <c r="I128" t="str">
        <f>VLOOKUP(普通映射装备数值!R127,$C$4:$D$15,2,0)</f>
        <v>EnergyPreAddBonusLevel</v>
      </c>
      <c r="J128">
        <f>普通映射装备数值!S127</f>
        <v>131</v>
      </c>
      <c r="K128">
        <f>普通映射装备数值!T127</f>
        <v>17</v>
      </c>
    </row>
    <row r="129" ht="17.25" customHeight="1" spans="5:11">
      <c r="E129" s="7">
        <v>80126</v>
      </c>
      <c r="F129" t="str">
        <f>VLOOKUP(普通映射装备数值!O128,$C$4:$D$15,2,0)</f>
        <v>PhysicsAttack</v>
      </c>
      <c r="G129">
        <f>普通映射装备数值!P128</f>
        <v>531</v>
      </c>
      <c r="H129">
        <f>普通映射装备数值!Q128</f>
        <v>69</v>
      </c>
      <c r="I129" t="str">
        <f>VLOOKUP(普通映射装备数值!R128,$C$4:$D$15,2,0)</f>
        <v>EnergyPreAddBonusLevel</v>
      </c>
      <c r="J129">
        <f>普通映射装备数值!S128</f>
        <v>196</v>
      </c>
      <c r="K129">
        <f>普通映射装备数值!T128</f>
        <v>26</v>
      </c>
    </row>
    <row r="130" ht="17.25" customHeight="1" spans="5:11">
      <c r="E130" s="7">
        <v>80127</v>
      </c>
      <c r="F130" t="str">
        <f>VLOOKUP(普通映射装备数值!O129,$C$4:$D$15,2,0)</f>
        <v>PhysicsAttack</v>
      </c>
      <c r="G130">
        <f>普通映射装备数值!P129</f>
        <v>193</v>
      </c>
      <c r="H130">
        <f>普通映射装备数值!Q129</f>
        <v>25</v>
      </c>
      <c r="I130" t="str">
        <f>VLOOKUP(普通映射装备数值!R129,$C$4:$D$15,2,0)</f>
        <v>EnergyPreAddBonusLevel</v>
      </c>
      <c r="J130">
        <f>普通映射装备数值!S129</f>
        <v>87</v>
      </c>
      <c r="K130">
        <f>普通映射装备数值!T129</f>
        <v>11</v>
      </c>
    </row>
    <row r="131" ht="17.25" customHeight="1" spans="5:11">
      <c r="E131" s="7">
        <v>80128</v>
      </c>
      <c r="F131" t="str">
        <f>VLOOKUP(普通映射装备数值!O130,$C$4:$D$15,2,0)</f>
        <v>PhysicsAttack</v>
      </c>
      <c r="G131">
        <f>普通映射装备数值!P130</f>
        <v>322</v>
      </c>
      <c r="H131">
        <f>普通映射装备数值!Q130</f>
        <v>42</v>
      </c>
      <c r="I131" t="str">
        <f>VLOOKUP(普通映射装备数值!R130,$C$4:$D$15,2,0)</f>
        <v>EnergyPreAddBonusLevel</v>
      </c>
      <c r="J131">
        <f>普通映射装备数值!S130</f>
        <v>145</v>
      </c>
      <c r="K131">
        <f>普通映射装备数值!T130</f>
        <v>19</v>
      </c>
    </row>
    <row r="132" ht="17.25" customHeight="1" spans="5:11">
      <c r="E132" s="7">
        <v>80129</v>
      </c>
      <c r="F132" t="str">
        <f>VLOOKUP(普通映射装备数值!O131,$C$4:$D$15,2,0)</f>
        <v>PhysicsAttack</v>
      </c>
      <c r="G132">
        <f>普通映射装备数值!P131</f>
        <v>483</v>
      </c>
      <c r="H132">
        <f>普通映射装备数值!Q131</f>
        <v>63</v>
      </c>
      <c r="I132" t="str">
        <f>VLOOKUP(普通映射装备数值!R131,$C$4:$D$15,2,0)</f>
        <v>EnergyPreAddBonusLevel</v>
      </c>
      <c r="J132">
        <f>普通映射装备数值!S131</f>
        <v>218</v>
      </c>
      <c r="K132">
        <f>普通映射装备数值!T131</f>
        <v>29</v>
      </c>
    </row>
    <row r="133" ht="17.25" customHeight="1" spans="5:11">
      <c r="E133" s="7">
        <v>80130</v>
      </c>
      <c r="F133" t="str">
        <f>VLOOKUP(普通映射装备数值!O132,$C$4:$D$15,2,0)</f>
        <v>PhysicsAttack</v>
      </c>
      <c r="G133">
        <f>普通映射装备数值!P132</f>
        <v>174</v>
      </c>
      <c r="H133">
        <f>普通映射装备数值!Q132</f>
        <v>23</v>
      </c>
      <c r="I133" t="str">
        <f>VLOOKUP(普通映射装备数值!R132,$C$4:$D$15,2,0)</f>
        <v>EnergyPreAddBonusLevel</v>
      </c>
      <c r="J133">
        <f>普通映射装备数值!S132</f>
        <v>96</v>
      </c>
      <c r="K133">
        <f>普通映射装备数值!T132</f>
        <v>13</v>
      </c>
    </row>
    <row r="134" ht="17.25" customHeight="1" spans="5:11">
      <c r="E134" s="7">
        <v>80131</v>
      </c>
      <c r="F134" t="str">
        <f>VLOOKUP(普通映射装备数值!O133,$C$4:$D$15,2,0)</f>
        <v>PhysicsAttack</v>
      </c>
      <c r="G134">
        <f>普通映射装备数值!P133</f>
        <v>290</v>
      </c>
      <c r="H134">
        <f>普通映射装备数值!Q133</f>
        <v>38</v>
      </c>
      <c r="I134" t="str">
        <f>VLOOKUP(普通映射装备数值!R133,$C$4:$D$15,2,0)</f>
        <v>EnergyPreAddBonusLevel</v>
      </c>
      <c r="J134">
        <f>普通映射装备数值!S133</f>
        <v>160</v>
      </c>
      <c r="K134">
        <f>普通映射装备数值!T133</f>
        <v>21</v>
      </c>
    </row>
    <row r="135" ht="17.25" customHeight="1" spans="5:11">
      <c r="E135" s="7">
        <v>80132</v>
      </c>
      <c r="F135" t="str">
        <f>VLOOKUP(普通映射装备数值!O134,$C$4:$D$15,2,0)</f>
        <v>PhysicsAttack</v>
      </c>
      <c r="G135">
        <f>普通映射装备数值!P134</f>
        <v>435</v>
      </c>
      <c r="H135">
        <f>普通映射装备数值!Q134</f>
        <v>57</v>
      </c>
      <c r="I135" t="str">
        <f>VLOOKUP(普通映射装备数值!R134,$C$4:$D$15,2,0)</f>
        <v>EnergyPreAddBonusLevel</v>
      </c>
      <c r="J135">
        <f>普通映射装备数值!S134</f>
        <v>239</v>
      </c>
      <c r="K135">
        <f>普通映射装备数值!T134</f>
        <v>31</v>
      </c>
    </row>
    <row r="136" ht="17.25" customHeight="1" spans="5:11">
      <c r="E136" s="7">
        <v>80133</v>
      </c>
      <c r="F136" t="str">
        <f>VLOOKUP(普通映射装备数值!O135,$C$4:$D$15,2,0)</f>
        <v>PhysicsAttack</v>
      </c>
      <c r="G136">
        <f>普通映射装备数值!P135</f>
        <v>222</v>
      </c>
      <c r="H136">
        <f>普通映射装备数值!Q135</f>
        <v>29</v>
      </c>
      <c r="I136" t="str">
        <f>VLOOKUP(普通映射装备数值!R135,$C$4:$D$15,2,0)</f>
        <v>EnergyPreAddBonusLevel</v>
      </c>
      <c r="J136">
        <f>普通映射装备数值!S135</f>
        <v>74</v>
      </c>
      <c r="K136">
        <f>普通映射装备数值!T135</f>
        <v>10</v>
      </c>
    </row>
    <row r="137" ht="17.25" customHeight="1" spans="5:11">
      <c r="E137" s="7">
        <v>80134</v>
      </c>
      <c r="F137" t="str">
        <f>VLOOKUP(普通映射装备数值!O136,$C$4:$D$15,2,0)</f>
        <v>PhysicsAttack</v>
      </c>
      <c r="G137">
        <f>普通映射装备数值!P136</f>
        <v>370</v>
      </c>
      <c r="H137">
        <f>普通映射装备数值!Q136</f>
        <v>48</v>
      </c>
      <c r="I137" t="str">
        <f>VLOOKUP(普通映射装备数值!R136,$C$4:$D$15,2,0)</f>
        <v>EnergyPreAddBonusLevel</v>
      </c>
      <c r="J137">
        <f>普通映射装备数值!S136</f>
        <v>123</v>
      </c>
      <c r="K137">
        <f>普通映射装备数值!T136</f>
        <v>16</v>
      </c>
    </row>
    <row r="138" ht="17.25" customHeight="1" spans="5:11">
      <c r="E138" s="88">
        <v>80135</v>
      </c>
      <c r="F138" t="str">
        <f>VLOOKUP(普通映射装备数值!O137,$C$4:$D$15,2,0)</f>
        <v>PhysicsAttack</v>
      </c>
      <c r="G138">
        <f>普通映射装备数值!P137</f>
        <v>555</v>
      </c>
      <c r="H138">
        <f>普通映射装备数值!Q137</f>
        <v>72</v>
      </c>
      <c r="I138" t="str">
        <f>VLOOKUP(普通映射装备数值!R137,$C$4:$D$15,2,0)</f>
        <v>EnergyPreAddBonusLevel</v>
      </c>
      <c r="J138">
        <f>普通映射装备数值!S137</f>
        <v>185</v>
      </c>
      <c r="K138">
        <f>普通映射装备数值!T137</f>
        <v>24</v>
      </c>
    </row>
    <row r="139" ht="17.25" customHeight="1" spans="5:11">
      <c r="E139" s="7">
        <v>80136</v>
      </c>
      <c r="F139" t="str">
        <f>VLOOKUP(普通映射装备数值!O138,$C$4:$D$15,2,0)</f>
        <v>CritLevel</v>
      </c>
      <c r="G139">
        <f>普通映射装备数值!P138</f>
        <v>100</v>
      </c>
      <c r="H139">
        <f>普通映射装备数值!Q138</f>
        <v>13</v>
      </c>
      <c r="I139" t="str">
        <f>VLOOKUP(普通映射装备数值!R138,$C$4:$D$15,2,0)</f>
        <v>CritDmgBonusLevel</v>
      </c>
      <c r="J139">
        <f>普通映射装备数值!S138</f>
        <v>152</v>
      </c>
      <c r="K139">
        <f>普通映射装备数值!T138</f>
        <v>20</v>
      </c>
    </row>
    <row r="140" ht="17.25" customHeight="1" spans="5:11">
      <c r="E140" s="7">
        <v>80137</v>
      </c>
      <c r="F140" t="str">
        <f>VLOOKUP(普通映射装备数值!O139,$C$4:$D$15,2,0)</f>
        <v>CritLevel</v>
      </c>
      <c r="G140">
        <f>普通映射装备数值!P139</f>
        <v>167</v>
      </c>
      <c r="H140">
        <f>普通映射装备数值!Q139</f>
        <v>22</v>
      </c>
      <c r="I140" t="str">
        <f>VLOOKUP(普通映射装备数值!R139,$C$4:$D$15,2,0)</f>
        <v>CritDmgBonusLevel</v>
      </c>
      <c r="J140">
        <f>普通映射装备数值!S139</f>
        <v>253</v>
      </c>
      <c r="K140">
        <f>普通映射装备数值!T139</f>
        <v>33</v>
      </c>
    </row>
    <row r="141" ht="17.25" customHeight="1" spans="5:11">
      <c r="E141" s="7">
        <v>80138</v>
      </c>
      <c r="F141" t="str">
        <f>VLOOKUP(普通映射装备数值!O140,$C$4:$D$15,2,0)</f>
        <v>CritLevel</v>
      </c>
      <c r="G141">
        <f>普通映射装备数值!P140</f>
        <v>251</v>
      </c>
      <c r="H141">
        <f>普通映射装备数值!Q140</f>
        <v>33</v>
      </c>
      <c r="I141" t="str">
        <f>VLOOKUP(普通映射装备数值!R140,$C$4:$D$15,2,0)</f>
        <v>CritDmgBonusLevel</v>
      </c>
      <c r="J141">
        <f>普通映射装备数值!S140</f>
        <v>380</v>
      </c>
      <c r="K141">
        <f>普通映射装备数值!T140</f>
        <v>50</v>
      </c>
    </row>
    <row r="142" ht="17.25" customHeight="1" spans="5:11">
      <c r="E142" s="7">
        <v>80139</v>
      </c>
      <c r="F142" t="str">
        <f>VLOOKUP(普通映射装备数值!O141,$C$4:$D$15,2,0)</f>
        <v>CritLevel</v>
      </c>
      <c r="G142">
        <f>普通映射装备数值!P141</f>
        <v>95</v>
      </c>
      <c r="H142">
        <f>普通映射装备数值!Q141</f>
        <v>13</v>
      </c>
      <c r="I142" t="str">
        <f>VLOOKUP(普通映射装备数值!R141,$C$4:$D$15,2,0)</f>
        <v>CritDmgBonusLevel</v>
      </c>
      <c r="J142">
        <f>普通映射装备数值!S141</f>
        <v>159</v>
      </c>
      <c r="K142">
        <f>普通映射装备数值!T141</f>
        <v>21</v>
      </c>
    </row>
    <row r="143" ht="17.25" customHeight="1" spans="5:11">
      <c r="E143" s="7">
        <v>80140</v>
      </c>
      <c r="F143" t="str">
        <f>VLOOKUP(普通映射装备数值!O142,$C$4:$D$15,2,0)</f>
        <v>CritLevel</v>
      </c>
      <c r="G143">
        <f>普通映射装备数值!P142</f>
        <v>159</v>
      </c>
      <c r="H143">
        <f>普通映射装备数值!Q142</f>
        <v>21</v>
      </c>
      <c r="I143" t="str">
        <f>VLOOKUP(普通映射装备数值!R142,$C$4:$D$15,2,0)</f>
        <v>CritDmgBonusLevel</v>
      </c>
      <c r="J143">
        <f>普通映射装备数值!S142</f>
        <v>266</v>
      </c>
      <c r="K143">
        <f>普通映射装备数值!T142</f>
        <v>35</v>
      </c>
    </row>
    <row r="144" ht="17.25" customHeight="1" spans="5:11">
      <c r="E144" s="7">
        <v>80141</v>
      </c>
      <c r="F144" t="str">
        <f>VLOOKUP(普通映射装备数值!O143,$C$4:$D$15,2,0)</f>
        <v>CritLevel</v>
      </c>
      <c r="G144">
        <f>普通映射装备数值!P143</f>
        <v>238</v>
      </c>
      <c r="H144">
        <f>普通映射装备数值!Q143</f>
        <v>31</v>
      </c>
      <c r="I144" t="str">
        <f>VLOOKUP(普通映射装备数值!R143,$C$4:$D$15,2,0)</f>
        <v>CritDmgBonusLevel</v>
      </c>
      <c r="J144">
        <f>普通映射装备数值!S143</f>
        <v>398</v>
      </c>
      <c r="K144">
        <f>普通映射装备数值!T143</f>
        <v>52</v>
      </c>
    </row>
    <row r="145" ht="17.25" customHeight="1" spans="5:11">
      <c r="E145" s="7">
        <v>80142</v>
      </c>
      <c r="F145" t="str">
        <f>VLOOKUP(普通映射装备数值!O144,$C$4:$D$15,2,0)</f>
        <v>CritLevel</v>
      </c>
      <c r="G145">
        <f>普通映射装备数值!P144</f>
        <v>90</v>
      </c>
      <c r="H145">
        <f>普通映射装备数值!Q144</f>
        <v>12</v>
      </c>
      <c r="I145" t="str">
        <f>VLOOKUP(普通映射装备数值!R144,$C$4:$D$15,2,0)</f>
        <v>CritDmgBonusLevel</v>
      </c>
      <c r="J145">
        <f>普通映射装备数值!S144</f>
        <v>167</v>
      </c>
      <c r="K145">
        <f>普通映射装备数值!T144</f>
        <v>22</v>
      </c>
    </row>
    <row r="146" ht="17.25" customHeight="1" spans="5:11">
      <c r="E146" s="7">
        <v>80143</v>
      </c>
      <c r="F146" t="str">
        <f>VLOOKUP(普通映射装备数值!O145,$C$4:$D$15,2,0)</f>
        <v>CritLevel</v>
      </c>
      <c r="G146">
        <f>普通映射装备数值!P145</f>
        <v>150</v>
      </c>
      <c r="H146">
        <f>普通映射装备数值!Q145</f>
        <v>20</v>
      </c>
      <c r="I146" t="str">
        <f>VLOOKUP(普通映射装备数值!R145,$C$4:$D$15,2,0)</f>
        <v>CritDmgBonusLevel</v>
      </c>
      <c r="J146">
        <f>普通映射装备数值!S145</f>
        <v>278</v>
      </c>
      <c r="K146">
        <f>普通映射装备数值!T145</f>
        <v>36</v>
      </c>
    </row>
    <row r="147" ht="17.25" customHeight="1" spans="5:11">
      <c r="E147" s="7">
        <v>80144</v>
      </c>
      <c r="F147" t="str">
        <f>VLOOKUP(普通映射装备数值!O146,$C$4:$D$15,2,0)</f>
        <v>CritLevel</v>
      </c>
      <c r="G147">
        <f>普通映射装备数值!P146</f>
        <v>225</v>
      </c>
      <c r="H147">
        <f>普通映射装备数值!Q146</f>
        <v>30</v>
      </c>
      <c r="I147" t="str">
        <f>VLOOKUP(普通映射装备数值!R146,$C$4:$D$15,2,0)</f>
        <v>CritDmgBonusLevel</v>
      </c>
      <c r="J147">
        <f>普通映射装备数值!S146</f>
        <v>417</v>
      </c>
      <c r="K147">
        <f>普通映射装备数值!T146</f>
        <v>54</v>
      </c>
    </row>
    <row r="148" ht="17.25" customHeight="1" spans="5:11">
      <c r="E148" s="7">
        <v>80145</v>
      </c>
      <c r="F148" t="str">
        <f>VLOOKUP(普通映射装备数值!O147,$C$4:$D$15,2,0)</f>
        <v>CritLevel</v>
      </c>
      <c r="G148">
        <f>普通映射装备数值!P147</f>
        <v>105</v>
      </c>
      <c r="H148">
        <f>普通映射装备数值!Q147</f>
        <v>14</v>
      </c>
      <c r="I148" t="str">
        <f>VLOOKUP(普通映射装备数值!R147,$C$4:$D$15,2,0)</f>
        <v>CritDmgBonusLevel</v>
      </c>
      <c r="J148">
        <f>普通映射装备数值!S147</f>
        <v>144</v>
      </c>
      <c r="K148">
        <f>普通映射装备数值!T147</f>
        <v>19</v>
      </c>
    </row>
    <row r="149" ht="17.25" customHeight="1" spans="5:11">
      <c r="E149" s="7">
        <v>80146</v>
      </c>
      <c r="F149" t="str">
        <f>VLOOKUP(普通映射装备数值!O148,$C$4:$D$15,2,0)</f>
        <v>CritLevel</v>
      </c>
      <c r="G149">
        <f>普通映射装备数值!P148</f>
        <v>175</v>
      </c>
      <c r="H149">
        <f>普通映射装备数值!Q148</f>
        <v>23</v>
      </c>
      <c r="I149" t="str">
        <f>VLOOKUP(普通映射装备数值!R148,$C$4:$D$15,2,0)</f>
        <v>CritDmgBonusLevel</v>
      </c>
      <c r="J149">
        <f>普通映射装备数值!S148</f>
        <v>240</v>
      </c>
      <c r="K149">
        <f>普通映射装备数值!T148</f>
        <v>31</v>
      </c>
    </row>
    <row r="150" ht="17.25" customHeight="1" spans="5:11">
      <c r="E150" s="7">
        <v>80147</v>
      </c>
      <c r="F150" t="str">
        <f>VLOOKUP(普通映射装备数值!O149,$C$4:$D$15,2,0)</f>
        <v>CritLevel</v>
      </c>
      <c r="G150">
        <f>普通映射装备数值!P149</f>
        <v>263</v>
      </c>
      <c r="H150">
        <f>普通映射装备数值!Q149</f>
        <v>35</v>
      </c>
      <c r="I150" t="str">
        <f>VLOOKUP(普通映射装备数值!R149,$C$4:$D$15,2,0)</f>
        <v>CritDmgBonusLevel</v>
      </c>
      <c r="J150">
        <f>普通映射装备数值!S149</f>
        <v>361</v>
      </c>
      <c r="K150">
        <f>普通映射装备数值!T149</f>
        <v>47</v>
      </c>
    </row>
    <row r="151" ht="17.25" customHeight="1" spans="5:11">
      <c r="E151" s="7">
        <v>80148</v>
      </c>
      <c r="F151" t="str">
        <f>VLOOKUP(普通映射装备数值!O150,$C$4:$D$15,2,0)</f>
        <v>CritLevel</v>
      </c>
      <c r="G151">
        <f>普通映射装备数值!P150</f>
        <v>95</v>
      </c>
      <c r="H151">
        <f>普通映射装备数值!Q150</f>
        <v>13</v>
      </c>
      <c r="I151" t="str">
        <f>VLOOKUP(普通映射装备数值!R150,$C$4:$D$15,2,0)</f>
        <v>CritDmgBonusLevel</v>
      </c>
      <c r="J151">
        <f>普通映射装备数值!S150</f>
        <v>159</v>
      </c>
      <c r="K151">
        <f>普通映射装备数值!T150</f>
        <v>21</v>
      </c>
    </row>
    <row r="152" ht="17.25" customHeight="1" spans="5:11">
      <c r="E152" s="7">
        <v>80149</v>
      </c>
      <c r="F152" t="str">
        <f>VLOOKUP(普通映射装备数值!O151,$C$4:$D$15,2,0)</f>
        <v>CritLevel</v>
      </c>
      <c r="G152">
        <f>普通映射装备数值!P151</f>
        <v>159</v>
      </c>
      <c r="H152">
        <f>普通映射装备数值!Q151</f>
        <v>21</v>
      </c>
      <c r="I152" t="str">
        <f>VLOOKUP(普通映射装备数值!R151,$C$4:$D$15,2,0)</f>
        <v>CritDmgBonusLevel</v>
      </c>
      <c r="J152">
        <f>普通映射装备数值!S151</f>
        <v>266</v>
      </c>
      <c r="K152">
        <f>普通映射装备数值!T151</f>
        <v>35</v>
      </c>
    </row>
    <row r="153" ht="17.25" customHeight="1" spans="5:11">
      <c r="E153" s="7">
        <v>80150</v>
      </c>
      <c r="F153" t="str">
        <f>VLOOKUP(普通映射装备数值!O152,$C$4:$D$15,2,0)</f>
        <v>CritLevel</v>
      </c>
      <c r="G153">
        <f>普通映射装备数值!P152</f>
        <v>238</v>
      </c>
      <c r="H153">
        <f>普通映射装备数值!Q152</f>
        <v>31</v>
      </c>
      <c r="I153" t="str">
        <f>VLOOKUP(普通映射装备数值!R152,$C$4:$D$15,2,0)</f>
        <v>CritDmgBonusLevel</v>
      </c>
      <c r="J153">
        <f>普通映射装备数值!S152</f>
        <v>398</v>
      </c>
      <c r="K153">
        <f>普通映射装备数值!T152</f>
        <v>52</v>
      </c>
    </row>
    <row r="154" ht="17.25" customHeight="1" spans="5:11">
      <c r="E154" s="7">
        <v>80151</v>
      </c>
      <c r="F154" t="str">
        <f>VLOOKUP(普通映射装备数值!O153,$C$4:$D$15,2,0)</f>
        <v>CritLevel</v>
      </c>
      <c r="G154">
        <f>普通映射装备数值!P153</f>
        <v>110</v>
      </c>
      <c r="H154">
        <f>普通映射装备数值!Q153</f>
        <v>15</v>
      </c>
      <c r="I154" t="str">
        <f>VLOOKUP(普通映射装备数值!R153,$C$4:$D$15,2,0)</f>
        <v>CritDmgBonusLevel</v>
      </c>
      <c r="J154">
        <f>普通映射装备数值!S153</f>
        <v>137</v>
      </c>
      <c r="K154">
        <f>普通映射装备数值!T153</f>
        <v>18</v>
      </c>
    </row>
    <row r="155" ht="17.25" customHeight="1" spans="5:11">
      <c r="E155" s="7">
        <v>80152</v>
      </c>
      <c r="F155" t="str">
        <f>VLOOKUP(普通映射装备数值!O154,$C$4:$D$15,2,0)</f>
        <v>CritLevel</v>
      </c>
      <c r="G155">
        <f>普通映射装备数值!P154</f>
        <v>184</v>
      </c>
      <c r="H155">
        <f>普通映射装备数值!Q154</f>
        <v>24</v>
      </c>
      <c r="I155" t="str">
        <f>VLOOKUP(普通映射装备数值!R154,$C$4:$D$15,2,0)</f>
        <v>CritDmgBonusLevel</v>
      </c>
      <c r="J155">
        <f>普通映射装备数值!S154</f>
        <v>228</v>
      </c>
      <c r="K155">
        <f>普通映射装备数值!T154</f>
        <v>30</v>
      </c>
    </row>
    <row r="156" ht="17.25" customHeight="1" spans="5:11">
      <c r="E156" s="88">
        <v>80153</v>
      </c>
      <c r="F156" t="str">
        <f>VLOOKUP(普通映射装备数值!O155,$C$4:$D$15,2,0)</f>
        <v>CritLevel</v>
      </c>
      <c r="G156">
        <f>普通映射装备数值!P155</f>
        <v>276</v>
      </c>
      <c r="H156">
        <f>普通映射装备数值!Q155</f>
        <v>36</v>
      </c>
      <c r="I156" t="str">
        <f>VLOOKUP(普通映射装备数值!R155,$C$4:$D$15,2,0)</f>
        <v>CritDmgBonusLevel</v>
      </c>
      <c r="J156">
        <f>普通映射装备数值!S155</f>
        <v>342</v>
      </c>
      <c r="K156">
        <f>普通映射装备数值!T155</f>
        <v>45</v>
      </c>
    </row>
    <row r="157" ht="17.25" customHeight="1" spans="5:11">
      <c r="E157" s="7">
        <v>80154</v>
      </c>
      <c r="F157" t="str">
        <f>VLOOKUP(普通映射装备数值!O156,$C$4:$D$15,2,0)</f>
        <v>PhysicsAttack</v>
      </c>
      <c r="G157">
        <f>普通映射装备数值!P156</f>
        <v>696</v>
      </c>
      <c r="H157">
        <f>普通映射装备数值!Q156</f>
        <v>91</v>
      </c>
      <c r="I157" t="str">
        <f>VLOOKUP(普通映射装备数值!R156,$C$4:$D$15,2,0)</f>
        <v>CritLevel</v>
      </c>
      <c r="J157">
        <f>普通映射装备数值!S156</f>
        <v>307</v>
      </c>
      <c r="K157">
        <f>普通映射装备数值!T156</f>
        <v>40</v>
      </c>
    </row>
    <row r="158" ht="17.25" customHeight="1" spans="5:11">
      <c r="E158" s="7">
        <v>80155</v>
      </c>
      <c r="F158" t="str">
        <f>VLOOKUP(普通映射装备数值!O157,$C$4:$D$15,2,0)</f>
        <v>PhysicsAttack</v>
      </c>
      <c r="G158">
        <f>普通映射装备数值!P157</f>
        <v>618</v>
      </c>
      <c r="H158">
        <f>普通映射装备数值!Q157</f>
        <v>81</v>
      </c>
      <c r="I158" t="str">
        <f>VLOOKUP(普通映射装备数值!R157,$C$4:$D$15,2,0)</f>
        <v>CritLevel</v>
      </c>
      <c r="J158">
        <f>普通映射装备数值!S157</f>
        <v>347</v>
      </c>
      <c r="K158">
        <f>普通映射装备数值!T157</f>
        <v>46</v>
      </c>
    </row>
    <row r="159" ht="17.25" customHeight="1" spans="5:11">
      <c r="E159" s="88">
        <v>80156</v>
      </c>
      <c r="F159" t="str">
        <f>VLOOKUP(普通映射装备数值!O158,$C$4:$D$15,2,0)</f>
        <v>PhysicsAttack</v>
      </c>
      <c r="G159">
        <f>普通映射装备数值!P158</f>
        <v>721</v>
      </c>
      <c r="H159">
        <f>普通映射装备数值!Q158</f>
        <v>94</v>
      </c>
      <c r="I159" t="str">
        <f>VLOOKUP(普通映射装备数值!R158,$C$4:$D$15,2,0)</f>
        <v>CritLevel</v>
      </c>
      <c r="J159">
        <f>普通映射装备数值!S158</f>
        <v>294</v>
      </c>
      <c r="K159">
        <f>普通映射装备数值!T158</f>
        <v>39</v>
      </c>
    </row>
    <row r="160" ht="17.25" customHeight="1" spans="5:11">
      <c r="E160" s="7">
        <v>80157</v>
      </c>
      <c r="F160" t="str">
        <f>VLOOKUP(普通映射装备数值!O159,$C$4:$D$15,2,0)</f>
        <v>PhysicsAttack</v>
      </c>
      <c r="G160">
        <f>普通映射装备数值!P159</f>
        <v>696</v>
      </c>
      <c r="H160">
        <f>普通映射装备数值!Q159</f>
        <v>91</v>
      </c>
      <c r="I160" t="str">
        <f>VLOOKUP(普通映射装备数值!R159,$C$4:$D$15,2,0)</f>
        <v>PhysicsAttack</v>
      </c>
      <c r="J160">
        <f>普通映射装备数值!S159</f>
        <v>592</v>
      </c>
      <c r="K160">
        <f>普通映射装备数值!T159</f>
        <v>77</v>
      </c>
    </row>
    <row r="161" ht="17.25" customHeight="1" spans="5:11">
      <c r="E161" s="7">
        <v>80158</v>
      </c>
      <c r="F161" t="str">
        <f>VLOOKUP(普通映射装备数值!O160,$C$4:$D$15,2,0)</f>
        <v>PhysicsAttack</v>
      </c>
      <c r="G161">
        <f>普通映射装备数值!P160</f>
        <v>760</v>
      </c>
      <c r="H161">
        <f>普通映射装备数值!Q160</f>
        <v>99</v>
      </c>
      <c r="I161" t="str">
        <f>VLOOKUP(普通映射装备数值!R160,$C$4:$D$15,2,0)</f>
        <v>PhysicsAttack</v>
      </c>
      <c r="J161">
        <f>普通映射装备数值!S160</f>
        <v>528</v>
      </c>
      <c r="K161">
        <f>普通映射装备数值!T160</f>
        <v>69</v>
      </c>
    </row>
    <row r="162" ht="17.25" customHeight="1" spans="5:11">
      <c r="E162" s="88">
        <v>80159</v>
      </c>
      <c r="F162" t="str">
        <f>VLOOKUP(普通映射装备数值!O161,$C$4:$D$15,2,0)</f>
        <v>PhysicsAttack</v>
      </c>
      <c r="G162">
        <f>普通映射装备数值!P161</f>
        <v>741</v>
      </c>
      <c r="H162">
        <f>普通映射装备数值!Q161</f>
        <v>97</v>
      </c>
      <c r="I162" t="str">
        <f>VLOOKUP(普通映射装备数值!R161,$C$4:$D$15,2,0)</f>
        <v>PhysicsAttack</v>
      </c>
      <c r="J162">
        <f>普通映射装备数值!S161</f>
        <v>547</v>
      </c>
      <c r="K162">
        <f>普通映射装备数值!T161</f>
        <v>71</v>
      </c>
    </row>
    <row r="163" ht="17.25" customHeight="1" spans="5:11">
      <c r="E163" s="7">
        <v>80160</v>
      </c>
      <c r="F163" t="str">
        <f>VLOOKUP(普通映射装备数值!O162,$C$4:$D$15,2,0)</f>
        <v>PhysicsAttack</v>
      </c>
      <c r="G163">
        <f>普通映射装备数值!P162</f>
        <v>747</v>
      </c>
      <c r="H163">
        <f>普通映射装备数值!Q162</f>
        <v>97</v>
      </c>
      <c r="I163" t="str">
        <f>VLOOKUP(普通映射装备数值!R162,$C$4:$D$15,2,0)</f>
        <v>CritLevel</v>
      </c>
      <c r="J163">
        <f>普通映射装备数值!S162</f>
        <v>281</v>
      </c>
      <c r="K163">
        <f>普通映射装备数值!T162</f>
        <v>37</v>
      </c>
    </row>
    <row r="164" ht="17.25" customHeight="1" spans="5:11">
      <c r="E164" s="7">
        <v>80161</v>
      </c>
      <c r="F164" t="str">
        <f>VLOOKUP(普通映射装备数值!O163,$C$4:$D$15,2,0)</f>
        <v>PhysicsAttack</v>
      </c>
      <c r="G164">
        <f>普通映射装备数值!P163</f>
        <v>708</v>
      </c>
      <c r="H164">
        <f>普通映射装备数值!Q163</f>
        <v>92</v>
      </c>
      <c r="I164" t="str">
        <f>VLOOKUP(普通映射装备数值!R163,$C$4:$D$15,2,0)</f>
        <v>CritLevel</v>
      </c>
      <c r="J164">
        <f>普通映射装备数值!S163</f>
        <v>301</v>
      </c>
      <c r="K164">
        <f>普通映射装备数值!T163</f>
        <v>40</v>
      </c>
    </row>
    <row r="165" ht="17.25" customHeight="1" spans="5:11">
      <c r="E165" s="88">
        <v>80162</v>
      </c>
      <c r="F165" t="str">
        <f>VLOOKUP(普通映射装备数值!O164,$C$4:$D$15,2,0)</f>
        <v>PhysicsAttack</v>
      </c>
      <c r="G165">
        <f>普通映射装备数值!P164</f>
        <v>721</v>
      </c>
      <c r="H165">
        <f>普通映射装备数值!Q164</f>
        <v>94</v>
      </c>
      <c r="I165" t="str">
        <f>VLOOKUP(普通映射装备数值!R164,$C$4:$D$15,2,0)</f>
        <v>CritLevel</v>
      </c>
      <c r="J165">
        <f>普通映射装备数值!S164</f>
        <v>294</v>
      </c>
      <c r="K165">
        <f>普通映射装备数值!T164</f>
        <v>39</v>
      </c>
    </row>
    <row r="166" ht="17.25" customHeight="1" spans="5:11">
      <c r="E166" s="7">
        <v>80163</v>
      </c>
      <c r="F166" t="str">
        <f>VLOOKUP(普通映射装备数值!O165,$C$4:$D$15,2,0)</f>
        <v>Hp</v>
      </c>
      <c r="G166">
        <f>普通映射装备数值!P165</f>
        <v>2588</v>
      </c>
      <c r="H166">
        <f>普通映射装备数值!Q165</f>
        <v>338</v>
      </c>
      <c r="I166" t="str">
        <f>VLOOKUP(普通映射装备数值!R165,$C$4:$D$15,2,0)</f>
        <v>PhysicsAttackBonus</v>
      </c>
      <c r="J166">
        <f>普通映射装备数值!S165</f>
        <v>0.037</v>
      </c>
      <c r="K166">
        <f>普通映射装备数值!T165</f>
        <v>0.0048</v>
      </c>
    </row>
    <row r="167" ht="17.25" customHeight="1" spans="5:11">
      <c r="E167" s="7">
        <v>80164</v>
      </c>
      <c r="F167" t="str">
        <f>VLOOKUP(普通映射装备数值!O166,$C$4:$D$15,2,0)</f>
        <v>Hp</v>
      </c>
      <c r="G167">
        <f>普通映射装备数值!P166</f>
        <v>2695</v>
      </c>
      <c r="H167">
        <f>普通映射装备数值!Q166</f>
        <v>352</v>
      </c>
      <c r="I167" t="str">
        <f>VLOOKUP(普通映射装备数值!R166,$C$4:$D$15,2,0)</f>
        <v>PhysicsAttackBonus</v>
      </c>
      <c r="J167">
        <f>普通映射装备数值!S166</f>
        <v>0.035</v>
      </c>
      <c r="K167">
        <f>普通映射装备数值!T166</f>
        <v>0.0045</v>
      </c>
    </row>
    <row r="168" ht="17.25" customHeight="1" spans="5:11">
      <c r="E168" s="7">
        <v>80165</v>
      </c>
      <c r="F168" t="str">
        <f>VLOOKUP(普通映射装备数值!O167,$C$4:$D$15,2,0)</f>
        <v>Hp</v>
      </c>
      <c r="G168">
        <f>普通映射装备数值!P167</f>
        <v>2156</v>
      </c>
      <c r="H168">
        <f>普通映射装备数值!Q167</f>
        <v>281</v>
      </c>
      <c r="I168" t="str">
        <f>VLOOKUP(普通映射装备数值!R167,$C$4:$D$15,2,0)</f>
        <v>PhysicsAttackBonus</v>
      </c>
      <c r="J168">
        <f>普通映射装备数值!S167</f>
        <v>0.046</v>
      </c>
      <c r="K168">
        <f>普通映射装备数值!T167</f>
        <v>0.006</v>
      </c>
    </row>
    <row r="169" ht="17.25" customHeight="1" spans="5:11">
      <c r="E169" s="88">
        <v>80166</v>
      </c>
      <c r="F169" t="str">
        <f>VLOOKUP(普通映射装备数值!O168,$C$4:$D$15,2,0)</f>
        <v>Hp</v>
      </c>
      <c r="G169">
        <f>普通映射装备数值!P168</f>
        <v>1941</v>
      </c>
      <c r="H169">
        <f>普通映射装备数值!Q168</f>
        <v>253</v>
      </c>
      <c r="I169" t="str">
        <f>VLOOKUP(普通映射装备数值!R168,$C$4:$D$15,2,0)</f>
        <v>PhysicsAttackBonus</v>
      </c>
      <c r="J169">
        <f>普通映射装备数值!S168</f>
        <v>0.051</v>
      </c>
      <c r="K169">
        <f>普通映射装备数值!T168</f>
        <v>0.0066</v>
      </c>
    </row>
    <row r="170" ht="17.25" customHeight="1" spans="5:11">
      <c r="E170" s="7">
        <v>80167</v>
      </c>
      <c r="F170" t="str">
        <f>VLOOKUP(普通映射装备数值!O169,$C$4:$D$15,2,0)</f>
        <v>Armor</v>
      </c>
      <c r="G170">
        <f>普通映射装备数值!P169</f>
        <v>453</v>
      </c>
      <c r="H170">
        <f>普通映射装备数值!Q169</f>
        <v>59</v>
      </c>
      <c r="I170" t="str">
        <f>VLOOKUP(普通映射装备数值!R169,$C$4:$D$15,2,0)</f>
        <v>ArmorBonus</v>
      </c>
      <c r="J170">
        <f>普通映射装备数值!S169</f>
        <v>0.044</v>
      </c>
      <c r="K170">
        <f>普通映射装备数值!T169</f>
        <v>0.0057</v>
      </c>
    </row>
    <row r="171" ht="17.25" customHeight="1" spans="5:11">
      <c r="E171" s="7">
        <v>80168</v>
      </c>
      <c r="F171" t="str">
        <f>VLOOKUP(普通映射装备数值!O170,$C$4:$D$15,2,0)</f>
        <v>Armor</v>
      </c>
      <c r="G171">
        <f>普通映射装备数值!P170</f>
        <v>496</v>
      </c>
      <c r="H171">
        <f>普通映射装备数值!Q170</f>
        <v>65</v>
      </c>
      <c r="I171" t="str">
        <f>VLOOKUP(普通映射装备数值!R170,$C$4:$D$15,2,0)</f>
        <v>ArmorBonus</v>
      </c>
      <c r="J171">
        <f>普通映射装备数值!S170</f>
        <v>0.039</v>
      </c>
      <c r="K171">
        <f>普通映射装备数值!T170</f>
        <v>0.0051</v>
      </c>
    </row>
    <row r="172" ht="17.25" customHeight="1" spans="5:11">
      <c r="E172" s="7">
        <v>80169</v>
      </c>
      <c r="F172" t="str">
        <f>VLOOKUP(普通映射装备数值!O171,$C$4:$D$15,2,0)</f>
        <v>Armor</v>
      </c>
      <c r="G172">
        <f>普通映射装备数值!P171</f>
        <v>483</v>
      </c>
      <c r="H172">
        <f>普通映射装备数值!Q171</f>
        <v>63</v>
      </c>
      <c r="I172" t="str">
        <f>VLOOKUP(普通映射装备数值!R171,$C$4:$D$15,2,0)</f>
        <v>ArmorBonus</v>
      </c>
      <c r="J172">
        <f>普通映射装备数值!S171</f>
        <v>0.04</v>
      </c>
      <c r="K172">
        <f>普通映射装备数值!T171</f>
        <v>0.0053</v>
      </c>
    </row>
    <row r="173" ht="17.25" customHeight="1" spans="5:11">
      <c r="E173" s="88">
        <v>80170</v>
      </c>
      <c r="F173" t="str">
        <f>VLOOKUP(普通映射装备数值!O172,$C$4:$D$15,2,0)</f>
        <v>Armor</v>
      </c>
      <c r="G173">
        <f>普通映射装备数值!P172</f>
        <v>410</v>
      </c>
      <c r="H173">
        <f>普通映射装备数值!Q172</f>
        <v>53</v>
      </c>
      <c r="I173" t="str">
        <f>VLOOKUP(普通映射装备数值!R172,$C$4:$D$15,2,0)</f>
        <v>ArmorBonus</v>
      </c>
      <c r="J173">
        <f>普通映射装备数值!S172</f>
        <v>0.048</v>
      </c>
      <c r="K173">
        <f>普通映射装备数值!T172</f>
        <v>0.0063</v>
      </c>
    </row>
    <row r="174" ht="17.25" customHeight="1" spans="5:11">
      <c r="E174" s="7">
        <v>80171</v>
      </c>
      <c r="F174" t="str">
        <f>VLOOKUP(普通映射装备数值!O173,$C$4:$D$15,2,0)</f>
        <v>Armor</v>
      </c>
      <c r="G174">
        <f>普通映射装备数值!P173</f>
        <v>367</v>
      </c>
      <c r="H174">
        <f>普通映射装备数值!Q173</f>
        <v>48</v>
      </c>
      <c r="I174" t="str">
        <f>VLOOKUP(普通映射装备数值!R173,$C$4:$D$15,2,0)</f>
        <v>PhysicsAttackBonus</v>
      </c>
      <c r="J174">
        <f>普通映射装备数值!S173</f>
        <v>0.053</v>
      </c>
      <c r="K174">
        <f>普通映射装备数值!T173</f>
        <v>0.0069</v>
      </c>
    </row>
    <row r="175" ht="17.25" customHeight="1" spans="5:11">
      <c r="E175" s="7">
        <v>80172</v>
      </c>
      <c r="F175" t="str">
        <f>VLOOKUP(普通映射装备数值!O174,$C$4:$D$15,2,0)</f>
        <v>Armor</v>
      </c>
      <c r="G175">
        <f>普通映射装备数值!P174</f>
        <v>388</v>
      </c>
      <c r="H175">
        <f>普通映射装备数值!Q174</f>
        <v>51</v>
      </c>
      <c r="I175" t="str">
        <f>VLOOKUP(普通映射装备数值!R174,$C$4:$D$15,2,0)</f>
        <v>PhysicsAttackBonus</v>
      </c>
      <c r="J175">
        <f>普通映射装备数值!S174</f>
        <v>0.051</v>
      </c>
      <c r="K175">
        <f>普通映射装备数值!T174</f>
        <v>0.0066</v>
      </c>
    </row>
    <row r="176" ht="17.25" customHeight="1" spans="5:11">
      <c r="E176" s="7">
        <v>80173</v>
      </c>
      <c r="F176" t="str">
        <f>VLOOKUP(普通映射装备数值!O175,$C$4:$D$15,2,0)</f>
        <v>Armor</v>
      </c>
      <c r="G176">
        <f>普通映射装备数值!P175</f>
        <v>397</v>
      </c>
      <c r="H176">
        <f>普通映射装备数值!Q175</f>
        <v>52</v>
      </c>
      <c r="I176" t="str">
        <f>VLOOKUP(普通映射装备数值!R175,$C$4:$D$15,2,0)</f>
        <v>PhysicsAttackBonus</v>
      </c>
      <c r="J176">
        <f>普通映射装备数值!S175</f>
        <v>0.05</v>
      </c>
      <c r="K176">
        <f>普通映射装备数值!T175</f>
        <v>0.0065</v>
      </c>
    </row>
    <row r="177" ht="17.25" customHeight="1" spans="5:11">
      <c r="E177" s="88">
        <v>80174</v>
      </c>
      <c r="F177" t="str">
        <f>VLOOKUP(普通映射装备数值!O176,$C$4:$D$15,2,0)</f>
        <v>Armor</v>
      </c>
      <c r="G177">
        <f>普通映射装备数值!P176</f>
        <v>453</v>
      </c>
      <c r="H177">
        <f>普通映射装备数值!Q176</f>
        <v>59</v>
      </c>
      <c r="I177" t="str">
        <f>VLOOKUP(普通映射装备数值!R176,$C$4:$D$15,2,0)</f>
        <v>PhysicsAttackBonus</v>
      </c>
      <c r="J177">
        <f>普通映射装备数值!S176</f>
        <v>0.044</v>
      </c>
      <c r="K177">
        <f>普通映射装备数值!T176</f>
        <v>0.0057</v>
      </c>
    </row>
    <row r="178" ht="17.25" customHeight="1" spans="5:11">
      <c r="E178" s="7">
        <v>80175</v>
      </c>
      <c r="F178" t="str">
        <f>VLOOKUP(普通映射装备数值!O177,$C$4:$D$15,2,0)</f>
        <v>Hp</v>
      </c>
      <c r="G178">
        <f>普通映射装备数值!P177</f>
        <v>2156</v>
      </c>
      <c r="H178">
        <f>普通映射装备数值!Q177</f>
        <v>281</v>
      </c>
      <c r="I178" t="str">
        <f>VLOOKUP(普通映射装备数值!R177,$C$4:$D$15,2,0)</f>
        <v>HpBonus</v>
      </c>
      <c r="J178">
        <f>普通映射装备数值!S177</f>
        <v>0.046</v>
      </c>
      <c r="K178">
        <f>普通映射装备数值!T177</f>
        <v>0.006</v>
      </c>
    </row>
    <row r="179" ht="17.25" customHeight="1" spans="5:11">
      <c r="E179" s="7">
        <v>80176</v>
      </c>
      <c r="F179" t="str">
        <f>VLOOKUP(普通映射装备数值!O178,$C$4:$D$15,2,0)</f>
        <v>Hp</v>
      </c>
      <c r="G179">
        <f>普通映射装备数值!P178</f>
        <v>1941</v>
      </c>
      <c r="H179">
        <f>普通映射装备数值!Q178</f>
        <v>253</v>
      </c>
      <c r="I179" t="str">
        <f>VLOOKUP(普通映射装备数值!R178,$C$4:$D$15,2,0)</f>
        <v>HpBonus</v>
      </c>
      <c r="J179">
        <f>普通映射装备数值!S178</f>
        <v>0.051</v>
      </c>
      <c r="K179">
        <f>普通映射装备数值!T178</f>
        <v>0.0066</v>
      </c>
    </row>
    <row r="180" ht="17.25" customHeight="1" spans="5:11">
      <c r="E180" s="7">
        <v>80177</v>
      </c>
      <c r="F180" t="str">
        <f>VLOOKUP(普通映射装备数值!O179,$C$4:$D$15,2,0)</f>
        <v>Hp</v>
      </c>
      <c r="G180">
        <f>普通映射装备数值!P179</f>
        <v>2480</v>
      </c>
      <c r="H180">
        <f>普通映射装备数值!Q179</f>
        <v>323</v>
      </c>
      <c r="I180" t="str">
        <f>VLOOKUP(普通映射装备数值!R179,$C$4:$D$15,2,0)</f>
        <v>HpBonus</v>
      </c>
      <c r="J180">
        <f>普通映射装备数值!S179</f>
        <v>0.039</v>
      </c>
      <c r="K180">
        <f>普通映射装备数值!T179</f>
        <v>0.0051</v>
      </c>
    </row>
    <row r="181" ht="17.25" customHeight="1" spans="5:11">
      <c r="E181" s="88">
        <v>80178</v>
      </c>
      <c r="F181" t="str">
        <f>VLOOKUP(普通映射装备数值!O180,$C$4:$D$15,2,0)</f>
        <v>Hp</v>
      </c>
      <c r="G181">
        <f>普通映射装备数值!P180</f>
        <v>2048</v>
      </c>
      <c r="H181">
        <f>普通映射装备数值!Q180</f>
        <v>267</v>
      </c>
      <c r="I181" t="str">
        <f>VLOOKUP(普通映射装备数值!R180,$C$4:$D$15,2,0)</f>
        <v>HpBonus</v>
      </c>
      <c r="J181">
        <f>普通映射装备数值!S180</f>
        <v>0.048</v>
      </c>
      <c r="K181">
        <f>普通映射装备数值!T180</f>
        <v>0.0063</v>
      </c>
    </row>
    <row r="182" ht="17.25" customHeight="1" spans="5:11">
      <c r="E182" s="7">
        <v>80179</v>
      </c>
      <c r="F182" t="str">
        <f>VLOOKUP(普通映射装备数值!O181,$C$4:$D$15,2,0)</f>
        <v>PhysicsAttack</v>
      </c>
      <c r="G182">
        <f>普通映射装备数值!P181</f>
        <v>580</v>
      </c>
      <c r="H182">
        <f>普通映射装备数值!Q181</f>
        <v>76</v>
      </c>
      <c r="I182" t="str">
        <f>VLOOKUP(普通映射装备数值!R181,$C$4:$D$15,2,0)</f>
        <v>CoolDownReduceLevel</v>
      </c>
      <c r="J182">
        <f>普通映射装备数值!S181</f>
        <v>461</v>
      </c>
      <c r="K182">
        <f>普通映射装备数值!T181</f>
        <v>61</v>
      </c>
    </row>
    <row r="183" ht="17.25" customHeight="1" spans="5:11">
      <c r="E183" s="7">
        <v>80180</v>
      </c>
      <c r="F183" t="str">
        <f>VLOOKUP(普通映射装备数值!O182,$C$4:$D$15,2,0)</f>
        <v>PhysicsAttack</v>
      </c>
      <c r="G183">
        <f>普通映射装备数值!P182</f>
        <v>676</v>
      </c>
      <c r="H183">
        <f>普通映射装备数值!Q182</f>
        <v>88</v>
      </c>
      <c r="I183" t="str">
        <f>VLOOKUP(普通映射装备数值!R182,$C$4:$D$15,2,0)</f>
        <v>CoolDownReduceLevel</v>
      </c>
      <c r="J183">
        <f>普通映射装备数值!S182</f>
        <v>398</v>
      </c>
      <c r="K183">
        <f>普通映射装备数值!T182</f>
        <v>52</v>
      </c>
    </row>
    <row r="184" ht="17.25" customHeight="1" spans="5:11">
      <c r="E184" s="7">
        <v>80181</v>
      </c>
      <c r="F184" t="str">
        <f>VLOOKUP(普通映射装备数值!O183,$C$4:$D$15,2,0)</f>
        <v>PhysicsAttack</v>
      </c>
      <c r="G184">
        <f>普通映射装备数值!P183</f>
        <v>708</v>
      </c>
      <c r="H184">
        <f>普通映射装备数值!Q183</f>
        <v>92</v>
      </c>
      <c r="I184" t="str">
        <f>VLOOKUP(普通映射装备数值!R183,$C$4:$D$15,2,0)</f>
        <v>CoolDownReduceLevel</v>
      </c>
      <c r="J184">
        <f>普通映射装备数值!S183</f>
        <v>377</v>
      </c>
      <c r="K184">
        <f>普通映射装备数值!T183</f>
        <v>50</v>
      </c>
    </row>
    <row r="185" ht="17.25" customHeight="1" spans="5:11">
      <c r="E185" s="88">
        <v>80182</v>
      </c>
      <c r="F185" t="str">
        <f>VLOOKUP(普通映射装备数值!O184,$C$4:$D$15,2,0)</f>
        <v>PhysicsAttack</v>
      </c>
      <c r="G185">
        <f>普通映射装备数值!P184</f>
        <v>612</v>
      </c>
      <c r="H185">
        <f>普通映射装备数值!Q184</f>
        <v>80</v>
      </c>
      <c r="I185" t="str">
        <f>VLOOKUP(普通映射装备数值!R184,$C$4:$D$15,2,0)</f>
        <v>CoolDownReduceLevel</v>
      </c>
      <c r="J185">
        <f>普通映射装备数值!S184</f>
        <v>440</v>
      </c>
      <c r="K185">
        <f>普通映射装备数值!T184</f>
        <v>58</v>
      </c>
    </row>
    <row r="186" ht="17.25" customHeight="1" spans="5:11">
      <c r="E186" s="7">
        <v>80183</v>
      </c>
      <c r="F186" t="str">
        <f>VLOOKUP(普通映射装备数值!O185,$C$4:$D$15,2,0)</f>
        <v>PhysicsAttack</v>
      </c>
      <c r="G186">
        <f>普通映射装备数值!P185</f>
        <v>612</v>
      </c>
      <c r="H186">
        <f>普通映射装备数值!Q185</f>
        <v>80</v>
      </c>
      <c r="I186" t="str">
        <f>VLOOKUP(普通映射装备数值!R185,$C$4:$D$15,2,0)</f>
        <v>EnergyPreAddBonusLevel</v>
      </c>
      <c r="J186">
        <f>普通映射装备数值!S185</f>
        <v>305</v>
      </c>
      <c r="K186">
        <f>普通映射装备数值!T185</f>
        <v>40</v>
      </c>
    </row>
    <row r="187" ht="17.25" customHeight="1" spans="5:11">
      <c r="E187" s="7">
        <v>80184</v>
      </c>
      <c r="F187" t="str">
        <f>VLOOKUP(普通映射装备数值!O186,$C$4:$D$15,2,0)</f>
        <v>PhysicsAttack</v>
      </c>
      <c r="G187">
        <f>普通映射装备数值!P186</f>
        <v>547</v>
      </c>
      <c r="H187">
        <f>普通映射装备数值!Q186</f>
        <v>71</v>
      </c>
      <c r="I187" t="str">
        <f>VLOOKUP(普通映射装备数值!R186,$C$4:$D$15,2,0)</f>
        <v>EnergyPreAddBonusLevel</v>
      </c>
      <c r="J187">
        <f>普通映射装备数值!S186</f>
        <v>334</v>
      </c>
      <c r="K187">
        <f>普通映射装备数值!T186</f>
        <v>44</v>
      </c>
    </row>
    <row r="188" ht="17.25" customHeight="1" spans="5:11">
      <c r="E188" s="7">
        <v>80185</v>
      </c>
      <c r="F188" t="str">
        <f>VLOOKUP(普通映射装备数值!O187,$C$4:$D$15,2,0)</f>
        <v>PhysicsAttack</v>
      </c>
      <c r="G188">
        <f>普通映射装备数值!P187</f>
        <v>741</v>
      </c>
      <c r="H188">
        <f>普通映射装备数值!Q187</f>
        <v>97</v>
      </c>
      <c r="I188" t="str">
        <f>VLOOKUP(普通映射装备数值!R187,$C$4:$D$15,2,0)</f>
        <v>EnergyPreAddBonusLevel</v>
      </c>
      <c r="J188">
        <f>普通映射装备数值!S187</f>
        <v>247</v>
      </c>
      <c r="K188">
        <f>普通映射装备数值!T187</f>
        <v>32</v>
      </c>
    </row>
    <row r="189" ht="17.25" customHeight="1" spans="5:11">
      <c r="E189" s="88">
        <v>80186</v>
      </c>
      <c r="F189" t="str">
        <f>VLOOKUP(普通映射装备数值!O188,$C$4:$D$15,2,0)</f>
        <v>PhysicsAttack</v>
      </c>
      <c r="G189">
        <f>普通映射装备数值!P188</f>
        <v>708</v>
      </c>
      <c r="H189">
        <f>普通映射装备数值!Q188</f>
        <v>92</v>
      </c>
      <c r="I189" t="str">
        <f>VLOOKUP(普通映射装备数值!R188,$C$4:$D$15,2,0)</f>
        <v>EnergyPreAddBonusLevel</v>
      </c>
      <c r="J189">
        <f>普通映射装备数值!S188</f>
        <v>261</v>
      </c>
      <c r="K189">
        <f>普通映射装备数值!T188</f>
        <v>34</v>
      </c>
    </row>
    <row r="190" ht="17.25" customHeight="1" spans="5:11">
      <c r="E190" s="7">
        <v>80187</v>
      </c>
      <c r="F190" t="str">
        <f>VLOOKUP(普通映射装备数值!O189,$C$4:$D$15,2,0)</f>
        <v>CritLevel</v>
      </c>
      <c r="G190">
        <f>普通映射装备数值!P189</f>
        <v>401</v>
      </c>
      <c r="H190">
        <f>普通映射装备数值!Q189</f>
        <v>53</v>
      </c>
      <c r="I190" t="str">
        <f>VLOOKUP(普通映射装备数值!R189,$C$4:$D$15,2,0)</f>
        <v>CritDmgBonusLevel</v>
      </c>
      <c r="J190">
        <f>普通映射装备数值!S189</f>
        <v>405</v>
      </c>
      <c r="K190">
        <f>普通映射装备数值!T189</f>
        <v>53</v>
      </c>
    </row>
    <row r="191" ht="17.25" customHeight="1" spans="5:11">
      <c r="E191" s="7">
        <v>80188</v>
      </c>
      <c r="F191" t="str">
        <f>VLOOKUP(普通映射装备数值!O190,$C$4:$D$15,2,0)</f>
        <v>CritLevel</v>
      </c>
      <c r="G191">
        <f>普通映射装备数值!P190</f>
        <v>267</v>
      </c>
      <c r="H191">
        <f>普通映射装备数值!Q190</f>
        <v>35</v>
      </c>
      <c r="I191" t="str">
        <f>VLOOKUP(普通映射装备数值!R190,$C$4:$D$15,2,0)</f>
        <v>CritDmgBonusLevel</v>
      </c>
      <c r="J191">
        <f>普通映射装备数值!S190</f>
        <v>607</v>
      </c>
      <c r="K191">
        <f>普通映射装备数值!T190</f>
        <v>79</v>
      </c>
    </row>
    <row r="192" ht="17.25" customHeight="1" spans="5:11">
      <c r="E192" s="7">
        <v>80189</v>
      </c>
      <c r="F192" t="str">
        <f>VLOOKUP(普通映射装备数值!O191,$C$4:$D$15,2,0)</f>
        <v>CritLevel</v>
      </c>
      <c r="G192">
        <f>普通映射装备数值!P191</f>
        <v>317</v>
      </c>
      <c r="H192">
        <f>普通映射装备数值!Q191</f>
        <v>42</v>
      </c>
      <c r="I192" t="str">
        <f>VLOOKUP(普通映射装备数值!R191,$C$4:$D$15,2,0)</f>
        <v>CritDmgBonusLevel</v>
      </c>
      <c r="J192">
        <f>普通映射装备数值!S191</f>
        <v>531</v>
      </c>
      <c r="K192">
        <f>普通映射装备数值!T191</f>
        <v>69</v>
      </c>
    </row>
    <row r="193" ht="17.25" customHeight="1" spans="5:11">
      <c r="E193" s="7">
        <v>80190</v>
      </c>
      <c r="F193" t="str">
        <f>VLOOKUP(普通映射装备数值!O192,$C$4:$D$15,2,0)</f>
        <v>CritLevel</v>
      </c>
      <c r="G193">
        <f>普通映射装备数值!P192</f>
        <v>334</v>
      </c>
      <c r="H193">
        <f>普通映射装备数值!Q192</f>
        <v>44</v>
      </c>
      <c r="I193" t="str">
        <f>VLOOKUP(普通映射装备数值!R192,$C$4:$D$15,2,0)</f>
        <v>CritDmgBonusLevel</v>
      </c>
      <c r="J193">
        <f>普通映射装备数值!S192</f>
        <v>506</v>
      </c>
      <c r="K193">
        <f>普通映射装备数值!T192</f>
        <v>66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74"/>
  <sheetViews>
    <sheetView topLeftCell="L16" workbookViewId="0">
      <selection activeCell="AA79" sqref="AA79"/>
    </sheetView>
  </sheetViews>
  <sheetFormatPr defaultColWidth="9" defaultRowHeight="13.5"/>
  <cols>
    <col min="2" max="2" width="15" style="8" customWidth="1"/>
    <col min="11" max="11" width="21.25" style="8" customWidth="1"/>
    <col min="12" max="12" width="17" style="8" customWidth="1"/>
    <col min="19" max="19" width="27.375" style="8" customWidth="1"/>
    <col min="20" max="20" width="13.75" style="8" customWidth="1"/>
  </cols>
  <sheetData>
    <row r="2" ht="16.5" customHeight="1" spans="2:11">
      <c r="B2" s="25" t="s">
        <v>128</v>
      </c>
      <c r="C2" s="25">
        <v>301</v>
      </c>
      <c r="D2" s="25">
        <v>100</v>
      </c>
      <c r="F2">
        <f t="shared" ref="F2:F15" si="0">C2</f>
        <v>301</v>
      </c>
      <c r="G2" t="s">
        <v>778</v>
      </c>
      <c r="H2">
        <f t="shared" ref="H2:H15" si="1">D2</f>
        <v>100</v>
      </c>
      <c r="I2" t="s">
        <v>779</v>
      </c>
      <c r="J2" t="str">
        <f t="shared" ref="J2:J15" si="2">_xlfn.CONCAT(F2,G2,H2,I2)</f>
        <v>301,100;</v>
      </c>
      <c r="K2" t="str">
        <f>_xlfn.CONCAT(J2:J15)</f>
        <v>301,100;302,100;303,100;304,100;305,100;306,100;307,100;308,100;309,100;310,100;311,100;312,100;313,100;314,100</v>
      </c>
    </row>
    <row r="3" ht="16.5" customHeight="1" spans="2:11">
      <c r="B3" s="25" t="s">
        <v>128</v>
      </c>
      <c r="C3" s="25">
        <f t="shared" ref="C3:C15" si="3">C2+1</f>
        <v>302</v>
      </c>
      <c r="D3" s="25">
        <v>100</v>
      </c>
      <c r="F3">
        <f t="shared" si="0"/>
        <v>302</v>
      </c>
      <c r="G3" t="s">
        <v>778</v>
      </c>
      <c r="H3">
        <f t="shared" si="1"/>
        <v>100</v>
      </c>
      <c r="I3" t="s">
        <v>779</v>
      </c>
      <c r="J3" t="str">
        <f t="shared" si="2"/>
        <v>302,100;</v>
      </c>
    </row>
    <row r="4" ht="16.5" customHeight="1" spans="2:11">
      <c r="B4" s="25" t="s">
        <v>129</v>
      </c>
      <c r="C4" s="25">
        <f t="shared" si="3"/>
        <v>303</v>
      </c>
      <c r="D4" s="25">
        <v>100</v>
      </c>
      <c r="F4">
        <f t="shared" si="0"/>
        <v>303</v>
      </c>
      <c r="G4" t="s">
        <v>778</v>
      </c>
      <c r="H4">
        <f t="shared" si="1"/>
        <v>100</v>
      </c>
      <c r="I4" t="s">
        <v>779</v>
      </c>
      <c r="J4" t="str">
        <f t="shared" si="2"/>
        <v>303,100;</v>
      </c>
    </row>
    <row r="5" ht="16.5" customHeight="1" spans="2:11">
      <c r="B5" s="25" t="s">
        <v>130</v>
      </c>
      <c r="C5" s="25">
        <f t="shared" si="3"/>
        <v>304</v>
      </c>
      <c r="D5" s="25">
        <v>100</v>
      </c>
      <c r="F5">
        <f t="shared" si="0"/>
        <v>304</v>
      </c>
      <c r="G5" t="s">
        <v>778</v>
      </c>
      <c r="H5">
        <f t="shared" si="1"/>
        <v>100</v>
      </c>
      <c r="I5" t="s">
        <v>779</v>
      </c>
      <c r="J5" t="str">
        <f t="shared" si="2"/>
        <v>304,100;</v>
      </c>
    </row>
    <row r="6" ht="16.5" customHeight="1" spans="2:11">
      <c r="B6" s="25" t="s">
        <v>249</v>
      </c>
      <c r="C6" s="25">
        <f t="shared" si="3"/>
        <v>305</v>
      </c>
      <c r="D6" s="25">
        <v>100</v>
      </c>
      <c r="F6">
        <f t="shared" si="0"/>
        <v>305</v>
      </c>
      <c r="G6" t="s">
        <v>778</v>
      </c>
      <c r="H6">
        <f t="shared" si="1"/>
        <v>100</v>
      </c>
      <c r="I6" t="s">
        <v>779</v>
      </c>
      <c r="J6" t="str">
        <f t="shared" si="2"/>
        <v>305,100;</v>
      </c>
    </row>
    <row r="7" ht="16.5" customHeight="1" spans="2:11">
      <c r="B7" s="25" t="s">
        <v>249</v>
      </c>
      <c r="C7" s="25">
        <f t="shared" si="3"/>
        <v>306</v>
      </c>
      <c r="D7" s="25">
        <v>100</v>
      </c>
      <c r="F7">
        <f t="shared" si="0"/>
        <v>306</v>
      </c>
      <c r="G7" t="s">
        <v>778</v>
      </c>
      <c r="H7">
        <f t="shared" si="1"/>
        <v>100</v>
      </c>
      <c r="I7" t="s">
        <v>779</v>
      </c>
      <c r="J7" t="str">
        <f t="shared" si="2"/>
        <v>306,100;</v>
      </c>
    </row>
    <row r="8" ht="16.5" customHeight="1" spans="2:11">
      <c r="B8" s="25" t="s">
        <v>81</v>
      </c>
      <c r="C8" s="25">
        <f t="shared" si="3"/>
        <v>307</v>
      </c>
      <c r="D8" s="25">
        <v>100</v>
      </c>
      <c r="F8">
        <f t="shared" si="0"/>
        <v>307</v>
      </c>
      <c r="G8" t="s">
        <v>778</v>
      </c>
      <c r="H8">
        <f t="shared" si="1"/>
        <v>100</v>
      </c>
      <c r="I8" t="s">
        <v>779</v>
      </c>
      <c r="J8" t="str">
        <f t="shared" si="2"/>
        <v>307,100;</v>
      </c>
    </row>
    <row r="9" ht="16.5" customHeight="1" spans="2:11">
      <c r="B9" s="25" t="s">
        <v>79</v>
      </c>
      <c r="C9" s="25">
        <f t="shared" si="3"/>
        <v>308</v>
      </c>
      <c r="D9" s="25">
        <v>100</v>
      </c>
      <c r="F9">
        <f t="shared" si="0"/>
        <v>308</v>
      </c>
      <c r="G9" t="s">
        <v>778</v>
      </c>
      <c r="H9">
        <f t="shared" si="1"/>
        <v>100</v>
      </c>
      <c r="I9" t="s">
        <v>779</v>
      </c>
      <c r="J9" t="str">
        <f t="shared" si="2"/>
        <v>308,100;</v>
      </c>
    </row>
    <row r="10" ht="16.5" customHeight="1" spans="2:11">
      <c r="C10" s="25">
        <f t="shared" si="3"/>
        <v>309</v>
      </c>
      <c r="D10" s="25">
        <v>100</v>
      </c>
      <c r="F10">
        <f t="shared" si="0"/>
        <v>309</v>
      </c>
      <c r="G10" t="s">
        <v>778</v>
      </c>
      <c r="H10">
        <f t="shared" si="1"/>
        <v>100</v>
      </c>
      <c r="I10" t="s">
        <v>779</v>
      </c>
      <c r="J10" t="str">
        <f t="shared" si="2"/>
        <v>309,100;</v>
      </c>
    </row>
    <row r="11" ht="16.5" customHeight="1" spans="2:11">
      <c r="C11" s="25">
        <f t="shared" si="3"/>
        <v>310</v>
      </c>
      <c r="D11" s="25">
        <v>100</v>
      </c>
      <c r="F11">
        <f t="shared" si="0"/>
        <v>310</v>
      </c>
      <c r="G11" t="s">
        <v>778</v>
      </c>
      <c r="H11">
        <f t="shared" si="1"/>
        <v>100</v>
      </c>
      <c r="I11" t="s">
        <v>779</v>
      </c>
      <c r="J11" t="str">
        <f t="shared" si="2"/>
        <v>310,100;</v>
      </c>
    </row>
    <row r="12" ht="16.5" customHeight="1" spans="2:11">
      <c r="C12" s="25">
        <f t="shared" si="3"/>
        <v>311</v>
      </c>
      <c r="D12" s="25">
        <v>100</v>
      </c>
      <c r="F12">
        <f t="shared" si="0"/>
        <v>311</v>
      </c>
      <c r="G12" t="s">
        <v>778</v>
      </c>
      <c r="H12">
        <f t="shared" si="1"/>
        <v>100</v>
      </c>
      <c r="I12" t="s">
        <v>779</v>
      </c>
      <c r="J12" t="str">
        <f t="shared" si="2"/>
        <v>311,100;</v>
      </c>
    </row>
    <row r="13" ht="16.5" customHeight="1" spans="2:11">
      <c r="C13" s="25">
        <f t="shared" si="3"/>
        <v>312</v>
      </c>
      <c r="D13" s="25">
        <v>100</v>
      </c>
      <c r="F13">
        <f t="shared" si="0"/>
        <v>312</v>
      </c>
      <c r="G13" t="s">
        <v>778</v>
      </c>
      <c r="H13">
        <f t="shared" si="1"/>
        <v>100</v>
      </c>
      <c r="I13" t="s">
        <v>779</v>
      </c>
      <c r="J13" t="str">
        <f t="shared" si="2"/>
        <v>312,100;</v>
      </c>
    </row>
    <row r="14" ht="16.5" customHeight="1" spans="2:11">
      <c r="C14" s="25">
        <f t="shared" si="3"/>
        <v>313</v>
      </c>
      <c r="D14" s="25">
        <v>100</v>
      </c>
      <c r="F14">
        <f t="shared" si="0"/>
        <v>313</v>
      </c>
      <c r="G14" t="s">
        <v>778</v>
      </c>
      <c r="H14">
        <f t="shared" si="1"/>
        <v>100</v>
      </c>
      <c r="I14" t="s">
        <v>779</v>
      </c>
      <c r="J14" t="str">
        <f t="shared" si="2"/>
        <v>313,100;</v>
      </c>
    </row>
    <row r="15" ht="16.5" customHeight="1" spans="2:11">
      <c r="C15" s="25">
        <f t="shared" si="3"/>
        <v>314</v>
      </c>
      <c r="D15" s="25">
        <v>100</v>
      </c>
      <c r="F15">
        <f t="shared" si="0"/>
        <v>314</v>
      </c>
      <c r="G15" t="s">
        <v>778</v>
      </c>
      <c r="H15">
        <f t="shared" si="1"/>
        <v>100</v>
      </c>
      <c r="J15" t="str">
        <f t="shared" si="2"/>
        <v>314,100</v>
      </c>
    </row>
    <row r="18" ht="16.5" customHeight="1" spans="2:23">
      <c r="B18" s="77" t="s">
        <v>389</v>
      </c>
      <c r="G18" s="77" t="s">
        <v>780</v>
      </c>
      <c r="K18" s="77" t="s">
        <v>781</v>
      </c>
      <c r="R18" s="77" t="s">
        <v>782</v>
      </c>
      <c r="V18" s="78" t="s">
        <v>549</v>
      </c>
      <c r="W18" s="79" t="s">
        <v>550</v>
      </c>
    </row>
    <row r="19" ht="16.5" customHeight="1" spans="2:23">
      <c r="B19" s="25" t="s">
        <v>128</v>
      </c>
      <c r="G19" s="25" t="s">
        <v>136</v>
      </c>
      <c r="K19" s="78" t="s">
        <v>542</v>
      </c>
      <c r="M19" s="78" t="s">
        <v>280</v>
      </c>
      <c r="N19" s="79" t="s">
        <v>524</v>
      </c>
      <c r="O19" s="78" t="s">
        <v>525</v>
      </c>
      <c r="P19" s="79" t="s">
        <v>524</v>
      </c>
      <c r="R19" s="75">
        <v>1</v>
      </c>
      <c r="S19" s="75" t="s">
        <v>770</v>
      </c>
      <c r="T19" s="75" t="s">
        <v>537</v>
      </c>
      <c r="U19" s="80" t="s">
        <v>783</v>
      </c>
      <c r="V19">
        <f>映射装备数值!E108</f>
        <v>0.18</v>
      </c>
      <c r="W19">
        <f>映射装备数值!F108</f>
        <v>0.054</v>
      </c>
    </row>
    <row r="20" ht="16.5" customHeight="1" spans="2:23">
      <c r="B20" s="25" t="s">
        <v>128</v>
      </c>
      <c r="G20" s="25" t="s">
        <v>137</v>
      </c>
      <c r="K20" s="1" t="s">
        <v>766</v>
      </c>
      <c r="L20" s="1" t="s">
        <v>80</v>
      </c>
      <c r="M20">
        <f>映射装备数值!E13</f>
        <v>560</v>
      </c>
      <c r="N20">
        <f>映射装备数值!F13</f>
        <v>84</v>
      </c>
      <c r="O20" s="81">
        <f t="shared" ref="O20:O39" si="4">M20+N20</f>
        <v>644</v>
      </c>
      <c r="P20" s="81">
        <f t="shared" ref="P20:P39" si="5">N20</f>
        <v>84</v>
      </c>
      <c r="R20" s="75">
        <v>2</v>
      </c>
      <c r="S20" s="75" t="s">
        <v>772</v>
      </c>
      <c r="T20" s="75" t="s">
        <v>537</v>
      </c>
      <c r="U20" s="1"/>
      <c r="V20">
        <f>映射装备数值!E109</f>
        <v>0.18</v>
      </c>
      <c r="W20">
        <f>映射装备数值!F109</f>
        <v>0.054</v>
      </c>
    </row>
    <row r="21" ht="16.5" customHeight="1" spans="2:23">
      <c r="B21" s="25" t="s">
        <v>129</v>
      </c>
      <c r="G21" s="25" t="s">
        <v>138</v>
      </c>
      <c r="K21" s="1" t="s">
        <v>776</v>
      </c>
      <c r="L21" s="1" t="s">
        <v>143</v>
      </c>
      <c r="M21">
        <f>映射装备数值!J13</f>
        <v>290</v>
      </c>
      <c r="N21">
        <f>映射装备数值!K13</f>
        <v>44</v>
      </c>
      <c r="O21" s="81">
        <f t="shared" si="4"/>
        <v>334</v>
      </c>
      <c r="P21" s="81">
        <f t="shared" si="5"/>
        <v>44</v>
      </c>
      <c r="R21" s="75">
        <v>3</v>
      </c>
      <c r="S21" s="75" t="s">
        <v>771</v>
      </c>
      <c r="T21" s="75" t="s">
        <v>784</v>
      </c>
      <c r="U21" s="1"/>
      <c r="V21">
        <f>映射装备数值!E110</f>
        <v>0.18</v>
      </c>
      <c r="W21">
        <f>映射装备数值!F110</f>
        <v>0.054</v>
      </c>
    </row>
    <row r="22" ht="16.5" customHeight="1" spans="2:23">
      <c r="B22" s="25" t="s">
        <v>130</v>
      </c>
      <c r="G22" s="25" t="s">
        <v>785</v>
      </c>
      <c r="K22" s="1" t="s">
        <v>766</v>
      </c>
      <c r="L22" s="1" t="s">
        <v>80</v>
      </c>
      <c r="M22">
        <f>映射装备数值!E17</f>
        <v>560</v>
      </c>
      <c r="N22">
        <f>映射装备数值!F17</f>
        <v>84</v>
      </c>
      <c r="O22" s="81">
        <f t="shared" si="4"/>
        <v>644</v>
      </c>
      <c r="P22" s="81">
        <f t="shared" si="5"/>
        <v>84</v>
      </c>
      <c r="R22" s="75">
        <v>4</v>
      </c>
      <c r="S22" s="75" t="s">
        <v>773</v>
      </c>
      <c r="T22" s="75" t="s">
        <v>546</v>
      </c>
      <c r="U22" s="1"/>
      <c r="V22">
        <f>映射装备数值!E111</f>
        <v>0.18</v>
      </c>
      <c r="W22">
        <f>映射装备数值!F111</f>
        <v>0.054</v>
      </c>
    </row>
    <row r="23" ht="16.5" customHeight="1" spans="2:23">
      <c r="B23" s="25" t="s">
        <v>131</v>
      </c>
      <c r="G23" s="25" t="s">
        <v>573</v>
      </c>
      <c r="K23" s="1" t="s">
        <v>767</v>
      </c>
      <c r="L23" s="1" t="s">
        <v>80</v>
      </c>
      <c r="M23">
        <f>映射装备数值!J17</f>
        <v>560</v>
      </c>
      <c r="N23">
        <f>映射装备数值!K17</f>
        <v>84</v>
      </c>
      <c r="O23" s="81">
        <f t="shared" si="4"/>
        <v>644</v>
      </c>
      <c r="P23" s="81">
        <f t="shared" si="5"/>
        <v>84</v>
      </c>
      <c r="R23" s="75">
        <v>5</v>
      </c>
      <c r="S23" s="75" t="s">
        <v>774</v>
      </c>
      <c r="T23" s="75" t="s">
        <v>146</v>
      </c>
      <c r="U23" s="1"/>
      <c r="V23">
        <f>映射装备数值!E112</f>
        <v>2275</v>
      </c>
      <c r="W23">
        <f>映射装备数值!F112</f>
        <v>683</v>
      </c>
    </row>
    <row r="24" ht="16.5" customHeight="1" spans="2:23">
      <c r="B24" s="25" t="s">
        <v>132</v>
      </c>
      <c r="G24" s="25" t="s">
        <v>698</v>
      </c>
      <c r="K24" s="1" t="s">
        <v>767</v>
      </c>
      <c r="L24" s="1" t="s">
        <v>80</v>
      </c>
      <c r="M24">
        <f>映射装备数值!E21</f>
        <v>560</v>
      </c>
      <c r="N24">
        <f>映射装备数值!F21</f>
        <v>84</v>
      </c>
      <c r="O24" s="81">
        <f t="shared" si="4"/>
        <v>644</v>
      </c>
      <c r="P24" s="81">
        <f t="shared" si="5"/>
        <v>84</v>
      </c>
      <c r="R24" s="75">
        <v>6</v>
      </c>
      <c r="S24" s="75" t="s">
        <v>775</v>
      </c>
      <c r="T24" s="75" t="s">
        <v>786</v>
      </c>
      <c r="U24" s="1"/>
      <c r="V24">
        <f>映射装备数值!E113</f>
        <v>1575</v>
      </c>
      <c r="W24">
        <f>映射装备数值!F113</f>
        <v>473</v>
      </c>
    </row>
    <row r="25" ht="16.5" customHeight="1" spans="2:23">
      <c r="B25" s="25" t="s">
        <v>133</v>
      </c>
      <c r="G25" s="25" t="s">
        <v>589</v>
      </c>
      <c r="K25" s="1" t="s">
        <v>776</v>
      </c>
      <c r="L25" s="1" t="s">
        <v>219</v>
      </c>
      <c r="M25">
        <f>映射装备数值!J21</f>
        <v>290</v>
      </c>
      <c r="N25">
        <f>映射装备数值!K21</f>
        <v>44</v>
      </c>
      <c r="O25" s="81">
        <f t="shared" si="4"/>
        <v>334</v>
      </c>
      <c r="P25" s="81">
        <f t="shared" si="5"/>
        <v>44</v>
      </c>
      <c r="R25" s="75">
        <v>7</v>
      </c>
      <c r="S25" s="75" t="s">
        <v>776</v>
      </c>
      <c r="T25" s="75" t="s">
        <v>219</v>
      </c>
      <c r="U25" s="1"/>
      <c r="V25">
        <f>映射装备数值!E114</f>
        <v>1575</v>
      </c>
      <c r="W25">
        <f>映射装备数值!F114</f>
        <v>473</v>
      </c>
    </row>
    <row r="26" ht="16.5" customHeight="1" spans="2:23">
      <c r="B26" s="25" t="s">
        <v>134</v>
      </c>
      <c r="G26" s="25" t="s">
        <v>249</v>
      </c>
      <c r="K26" s="1" t="s">
        <v>768</v>
      </c>
      <c r="L26" s="1" t="s">
        <v>79</v>
      </c>
      <c r="M26">
        <f>映射装备数值!E26</f>
        <v>1875</v>
      </c>
      <c r="N26">
        <f>映射装备数值!F26</f>
        <v>281.25</v>
      </c>
      <c r="O26" s="81">
        <f t="shared" si="4"/>
        <v>2156.25</v>
      </c>
      <c r="P26" s="81">
        <f t="shared" si="5"/>
        <v>281.25</v>
      </c>
      <c r="R26" s="75">
        <v>8</v>
      </c>
      <c r="S26" s="75" t="s">
        <v>777</v>
      </c>
      <c r="T26" s="75" t="s">
        <v>134</v>
      </c>
      <c r="U26" s="25"/>
      <c r="V26">
        <f>映射装备数值!E115</f>
        <v>1925</v>
      </c>
      <c r="W26">
        <f>映射装备数值!F115</f>
        <v>578</v>
      </c>
    </row>
    <row r="27" ht="16.5" customHeight="1" spans="2:23">
      <c r="B27" s="80" t="s">
        <v>141</v>
      </c>
      <c r="G27" s="25" t="s">
        <v>249</v>
      </c>
      <c r="K27" s="1" t="s">
        <v>770</v>
      </c>
      <c r="L27" s="1" t="s">
        <v>537</v>
      </c>
      <c r="M27">
        <f>映射装备数值!J26</f>
        <v>0.04</v>
      </c>
      <c r="N27">
        <f>映射装备数值!K26</f>
        <v>0.006</v>
      </c>
      <c r="O27" s="81">
        <f t="shared" si="4"/>
        <v>0.046</v>
      </c>
      <c r="P27" s="81">
        <f t="shared" si="5"/>
        <v>0.006</v>
      </c>
      <c r="R27" s="75">
        <v>9</v>
      </c>
      <c r="S27" s="75" t="s">
        <v>766</v>
      </c>
      <c r="T27" s="75" t="s">
        <v>80</v>
      </c>
      <c r="U27" s="1"/>
      <c r="V27">
        <f>映射装备数值!E116</f>
        <v>3000</v>
      </c>
      <c r="W27">
        <f>映射装备数值!F116</f>
        <v>900</v>
      </c>
    </row>
    <row r="28" ht="16.5" customHeight="1" spans="2:23">
      <c r="B28" s="80" t="s">
        <v>142</v>
      </c>
      <c r="G28" s="25" t="s">
        <v>81</v>
      </c>
      <c r="K28" s="1" t="s">
        <v>769</v>
      </c>
      <c r="L28" s="1" t="s">
        <v>544</v>
      </c>
      <c r="M28">
        <f>映射装备数值!E31</f>
        <v>375</v>
      </c>
      <c r="N28">
        <f>映射装备数值!F31</f>
        <v>56.25</v>
      </c>
      <c r="O28" s="81">
        <f t="shared" si="4"/>
        <v>431.25</v>
      </c>
      <c r="P28" s="81">
        <f t="shared" si="5"/>
        <v>56.25</v>
      </c>
      <c r="R28" s="75">
        <v>10</v>
      </c>
      <c r="S28" s="75" t="s">
        <v>767</v>
      </c>
      <c r="T28" s="75" t="s">
        <v>80</v>
      </c>
      <c r="U28" s="1"/>
      <c r="V28">
        <f>映射装备数值!E117</f>
        <v>3000</v>
      </c>
      <c r="W28">
        <f>映射装备数值!F117</f>
        <v>900</v>
      </c>
    </row>
    <row r="29" ht="16.5" customHeight="1" spans="2:23">
      <c r="B29" s="25" t="s">
        <v>249</v>
      </c>
      <c r="G29" s="25" t="s">
        <v>79</v>
      </c>
      <c r="K29" s="1" t="s">
        <v>771</v>
      </c>
      <c r="L29" s="1" t="s">
        <v>784</v>
      </c>
      <c r="M29">
        <f>映射装备数值!J31</f>
        <v>0.04</v>
      </c>
      <c r="N29">
        <f>映射装备数值!K31</f>
        <v>0.006</v>
      </c>
      <c r="O29" s="81">
        <f t="shared" si="4"/>
        <v>0.046</v>
      </c>
      <c r="P29" s="81">
        <f t="shared" si="5"/>
        <v>0.006</v>
      </c>
      <c r="R29" s="75">
        <v>11</v>
      </c>
      <c r="S29" s="75" t="s">
        <v>769</v>
      </c>
      <c r="T29" s="75" t="s">
        <v>544</v>
      </c>
      <c r="U29" s="1"/>
      <c r="V29">
        <f>映射装备数值!E118</f>
        <v>2000</v>
      </c>
      <c r="W29">
        <f>映射装备数值!F118</f>
        <v>600</v>
      </c>
    </row>
    <row r="30" ht="16.5" customHeight="1" spans="2:23">
      <c r="B30" s="25" t="s">
        <v>249</v>
      </c>
      <c r="G30" s="80" t="s">
        <v>139</v>
      </c>
      <c r="K30" s="1" t="s">
        <v>769</v>
      </c>
      <c r="L30" s="1" t="s">
        <v>544</v>
      </c>
      <c r="M30">
        <f>映射装备数值!E31</f>
        <v>375</v>
      </c>
      <c r="N30">
        <f>映射装备数值!F31</f>
        <v>56.25</v>
      </c>
      <c r="O30" s="81">
        <f t="shared" si="4"/>
        <v>431.25</v>
      </c>
      <c r="P30" s="81">
        <f t="shared" si="5"/>
        <v>56.25</v>
      </c>
      <c r="R30" s="75">
        <v>12</v>
      </c>
      <c r="S30" s="75" t="s">
        <v>768</v>
      </c>
      <c r="T30" s="75" t="s">
        <v>79</v>
      </c>
      <c r="U30" s="1"/>
      <c r="V30">
        <f>映射装备数值!E119</f>
        <v>10000</v>
      </c>
      <c r="W30">
        <f>映射装备数值!F119</f>
        <v>3000</v>
      </c>
    </row>
    <row r="31" ht="16.5" customHeight="1" spans="2:23">
      <c r="B31" s="25" t="s">
        <v>81</v>
      </c>
      <c r="G31" s="80" t="s">
        <v>605</v>
      </c>
      <c r="K31" s="1" t="s">
        <v>772</v>
      </c>
      <c r="L31" s="1" t="s">
        <v>537</v>
      </c>
      <c r="M31">
        <f>映射装备数值!J36</f>
        <v>0.04</v>
      </c>
      <c r="N31">
        <f>映射装备数值!K36</f>
        <v>0.006</v>
      </c>
      <c r="O31" s="81">
        <f t="shared" si="4"/>
        <v>0.046</v>
      </c>
      <c r="P31" s="81">
        <f t="shared" si="5"/>
        <v>0.006</v>
      </c>
      <c r="R31" s="75">
        <v>13</v>
      </c>
      <c r="S31" s="75" t="s">
        <v>787</v>
      </c>
      <c r="T31" s="25" t="s">
        <v>136</v>
      </c>
      <c r="U31" s="1"/>
      <c r="V31">
        <f>映射装备数值!E120</f>
        <v>0.0735</v>
      </c>
      <c r="W31">
        <f>映射装备数值!F120</f>
        <v>0.02205</v>
      </c>
    </row>
    <row r="32" ht="16.5" customHeight="1" spans="2:23">
      <c r="B32" s="25" t="s">
        <v>79</v>
      </c>
      <c r="G32" s="82" t="s">
        <v>140</v>
      </c>
      <c r="K32" s="1" t="s">
        <v>768</v>
      </c>
      <c r="L32" s="1" t="s">
        <v>79</v>
      </c>
      <c r="M32">
        <f>映射装备数值!E41</f>
        <v>1875</v>
      </c>
      <c r="N32">
        <f>映射装备数值!F41</f>
        <v>281.25</v>
      </c>
      <c r="O32" s="81">
        <f t="shared" si="4"/>
        <v>2156.25</v>
      </c>
      <c r="P32" s="81">
        <f t="shared" si="5"/>
        <v>281.25</v>
      </c>
      <c r="R32" s="76">
        <v>14</v>
      </c>
      <c r="S32" s="76" t="s">
        <v>788</v>
      </c>
      <c r="T32" s="83" t="s">
        <v>137</v>
      </c>
      <c r="U32" s="84"/>
      <c r="V32">
        <f>映射装备数值!E121</f>
        <v>0.0735</v>
      </c>
      <c r="W32">
        <f>映射装备数值!F121</f>
        <v>0.02205</v>
      </c>
    </row>
    <row r="33" ht="16.5" customHeight="1" spans="7:23">
      <c r="G33" s="85" t="s">
        <v>133</v>
      </c>
      <c r="K33" s="1" t="s">
        <v>773</v>
      </c>
      <c r="L33" s="1" t="s">
        <v>546</v>
      </c>
      <c r="M33">
        <f>映射装备数值!J41</f>
        <v>0.04</v>
      </c>
      <c r="N33">
        <f>映射装备数值!K41</f>
        <v>0.006</v>
      </c>
      <c r="O33" s="81">
        <f t="shared" si="4"/>
        <v>0.046</v>
      </c>
      <c r="P33" s="81">
        <f t="shared" si="5"/>
        <v>0.006</v>
      </c>
      <c r="R33" s="75">
        <v>101</v>
      </c>
      <c r="S33" s="75" t="s">
        <v>770</v>
      </c>
      <c r="T33" s="75" t="s">
        <v>537</v>
      </c>
      <c r="U33" s="80" t="s">
        <v>789</v>
      </c>
      <c r="V33">
        <f>映射装备数值!E92</f>
        <v>0.135</v>
      </c>
      <c r="W33">
        <f>映射装备数值!F92</f>
        <v>0.041</v>
      </c>
    </row>
    <row r="34" ht="16.5" customHeight="1" spans="7:23">
      <c r="G34" s="85" t="s">
        <v>134</v>
      </c>
      <c r="K34" s="1" t="s">
        <v>766</v>
      </c>
      <c r="L34" s="1" t="s">
        <v>80</v>
      </c>
      <c r="M34">
        <f>映射装备数值!E46</f>
        <v>560</v>
      </c>
      <c r="N34">
        <f>映射装备数值!F46</f>
        <v>84</v>
      </c>
      <c r="O34" s="81">
        <f t="shared" si="4"/>
        <v>644</v>
      </c>
      <c r="P34" s="81">
        <f t="shared" si="5"/>
        <v>84</v>
      </c>
      <c r="R34" s="75">
        <v>102</v>
      </c>
      <c r="S34" s="75" t="s">
        <v>772</v>
      </c>
      <c r="T34" s="75" t="s">
        <v>537</v>
      </c>
      <c r="U34" s="1"/>
      <c r="V34">
        <f>映射装备数值!E93</f>
        <v>0.135</v>
      </c>
      <c r="W34">
        <f>映射装备数值!F93</f>
        <v>0.041</v>
      </c>
    </row>
    <row r="35" ht="16.5" customHeight="1" spans="7:23">
      <c r="G35" s="85" t="s">
        <v>131</v>
      </c>
      <c r="K35" s="1" t="s">
        <v>774</v>
      </c>
      <c r="L35" s="1" t="s">
        <v>790</v>
      </c>
      <c r="M35">
        <f>映射装备数值!J46</f>
        <v>364</v>
      </c>
      <c r="N35">
        <f>映射装备数值!K46</f>
        <v>55</v>
      </c>
      <c r="O35" s="81">
        <f t="shared" si="4"/>
        <v>419</v>
      </c>
      <c r="P35" s="81">
        <f t="shared" si="5"/>
        <v>55</v>
      </c>
      <c r="R35" s="75">
        <v>103</v>
      </c>
      <c r="S35" s="75" t="s">
        <v>771</v>
      </c>
      <c r="T35" s="75" t="s">
        <v>784</v>
      </c>
      <c r="U35" s="1"/>
      <c r="V35">
        <f>映射装备数值!E94</f>
        <v>0.135</v>
      </c>
      <c r="W35">
        <f>映射装备数值!F94</f>
        <v>0.041</v>
      </c>
    </row>
    <row r="36" ht="16.5" customHeight="1" spans="7:23">
      <c r="G36" s="85" t="s">
        <v>132</v>
      </c>
      <c r="K36" s="1" t="s">
        <v>767</v>
      </c>
      <c r="L36" s="1" t="s">
        <v>80</v>
      </c>
      <c r="M36">
        <f>映射装备数值!E51</f>
        <v>560</v>
      </c>
      <c r="N36">
        <f>映射装备数值!F51</f>
        <v>84</v>
      </c>
      <c r="O36" s="81">
        <f t="shared" si="4"/>
        <v>644</v>
      </c>
      <c r="P36" s="81">
        <f t="shared" si="5"/>
        <v>84</v>
      </c>
      <c r="R36" s="75">
        <v>104</v>
      </c>
      <c r="S36" s="75" t="s">
        <v>773</v>
      </c>
      <c r="T36" s="75" t="s">
        <v>546</v>
      </c>
      <c r="U36" s="1"/>
      <c r="V36">
        <f>映射装备数值!E95</f>
        <v>0.135</v>
      </c>
      <c r="W36">
        <f>映射装备数值!F95</f>
        <v>0.041</v>
      </c>
    </row>
    <row r="37" ht="16.5" customHeight="1" spans="7:23">
      <c r="G37" s="85" t="s">
        <v>128</v>
      </c>
      <c r="K37" s="1" t="s">
        <v>775</v>
      </c>
      <c r="L37" s="1" t="s">
        <v>145</v>
      </c>
      <c r="M37">
        <f>映射装备数值!J51</f>
        <v>252</v>
      </c>
      <c r="N37">
        <f>映射装备数值!K51</f>
        <v>38</v>
      </c>
      <c r="O37" s="81">
        <f t="shared" si="4"/>
        <v>290</v>
      </c>
      <c r="P37" s="81">
        <f t="shared" si="5"/>
        <v>38</v>
      </c>
      <c r="R37" s="75">
        <v>105</v>
      </c>
      <c r="S37" s="75" t="s">
        <v>774</v>
      </c>
      <c r="T37" s="75" t="s">
        <v>146</v>
      </c>
      <c r="U37" s="1"/>
      <c r="V37">
        <f>映射装备数值!E96</f>
        <v>1706.25</v>
      </c>
      <c r="W37">
        <f>映射装备数值!F96</f>
        <v>512</v>
      </c>
    </row>
    <row r="38" ht="16.5" customHeight="1" spans="7:23">
      <c r="G38" s="85" t="s">
        <v>128</v>
      </c>
      <c r="K38" s="1" t="s">
        <v>776</v>
      </c>
      <c r="L38" s="1" t="s">
        <v>219</v>
      </c>
      <c r="M38">
        <f>映射装备数值!E56</f>
        <v>290</v>
      </c>
      <c r="N38">
        <f>映射装备数值!F56</f>
        <v>44</v>
      </c>
      <c r="O38" s="81">
        <f t="shared" si="4"/>
        <v>334</v>
      </c>
      <c r="P38" s="81">
        <f t="shared" si="5"/>
        <v>44</v>
      </c>
      <c r="R38" s="75">
        <v>106</v>
      </c>
      <c r="S38" s="75" t="s">
        <v>775</v>
      </c>
      <c r="T38" s="75" t="s">
        <v>786</v>
      </c>
      <c r="U38" s="1"/>
      <c r="V38">
        <f>映射装备数值!E97</f>
        <v>1181.25</v>
      </c>
      <c r="W38">
        <f>映射装备数值!F97</f>
        <v>355</v>
      </c>
    </row>
    <row r="39" ht="21" customHeight="1" spans="7:23">
      <c r="K39" s="1" t="s">
        <v>777</v>
      </c>
      <c r="L39" s="1" t="s">
        <v>134</v>
      </c>
      <c r="M39">
        <f>映射装备数值!J56</f>
        <v>440</v>
      </c>
      <c r="N39">
        <f>映射装备数值!K56</f>
        <v>66</v>
      </c>
      <c r="O39" s="81">
        <f t="shared" si="4"/>
        <v>506</v>
      </c>
      <c r="P39" s="81">
        <f t="shared" si="5"/>
        <v>66</v>
      </c>
      <c r="R39" s="75">
        <v>107</v>
      </c>
      <c r="S39" s="75" t="s">
        <v>776</v>
      </c>
      <c r="T39" s="75" t="s">
        <v>219</v>
      </c>
      <c r="U39" s="1"/>
      <c r="V39">
        <f>映射装备数值!E98</f>
        <v>1181.25</v>
      </c>
      <c r="W39">
        <f>映射装备数值!F98</f>
        <v>355</v>
      </c>
    </row>
    <row r="40" ht="21" customHeight="1" spans="7:23">
      <c r="R40" s="75">
        <v>108</v>
      </c>
      <c r="S40" s="75" t="s">
        <v>777</v>
      </c>
      <c r="T40" s="75" t="s">
        <v>134</v>
      </c>
      <c r="U40" s="25"/>
      <c r="V40">
        <f>映射装备数值!E99</f>
        <v>1443.75</v>
      </c>
      <c r="W40">
        <f>映射装备数值!F99</f>
        <v>434</v>
      </c>
    </row>
    <row r="41" ht="21" customHeight="1" spans="7:23">
      <c r="R41" s="75">
        <v>109</v>
      </c>
      <c r="S41" s="75" t="s">
        <v>766</v>
      </c>
      <c r="T41" s="75" t="s">
        <v>80</v>
      </c>
      <c r="U41" s="1"/>
      <c r="V41">
        <f>映射装备数值!E100</f>
        <v>2250</v>
      </c>
      <c r="W41">
        <f>映射装备数值!F100</f>
        <v>675</v>
      </c>
    </row>
    <row r="42" ht="21" customHeight="1" spans="7:23">
      <c r="R42" s="75">
        <v>110</v>
      </c>
      <c r="S42" s="75" t="s">
        <v>767</v>
      </c>
      <c r="T42" s="75" t="s">
        <v>80</v>
      </c>
      <c r="U42" s="1"/>
      <c r="V42">
        <f>映射装备数值!E101</f>
        <v>2250</v>
      </c>
      <c r="W42">
        <f>映射装备数值!F101</f>
        <v>675</v>
      </c>
    </row>
    <row r="43" ht="21" customHeight="1" spans="7:23">
      <c r="R43" s="75">
        <v>111</v>
      </c>
      <c r="S43" s="75" t="s">
        <v>769</v>
      </c>
      <c r="T43" s="75" t="s">
        <v>544</v>
      </c>
      <c r="U43" s="1"/>
      <c r="V43">
        <f>映射装备数值!E102</f>
        <v>1500</v>
      </c>
      <c r="W43">
        <f>映射装备数值!F102</f>
        <v>450</v>
      </c>
    </row>
    <row r="44" ht="21" customHeight="1" spans="7:23">
      <c r="R44" s="75">
        <v>112</v>
      </c>
      <c r="S44" s="75" t="s">
        <v>768</v>
      </c>
      <c r="T44" s="75" t="s">
        <v>79</v>
      </c>
      <c r="U44" s="1"/>
      <c r="V44">
        <f>映射装备数值!E103</f>
        <v>7500</v>
      </c>
      <c r="W44">
        <f>映射装备数值!F103</f>
        <v>2250</v>
      </c>
    </row>
    <row r="45" ht="21" customHeight="1" spans="7:23">
      <c r="R45" s="75">
        <v>113</v>
      </c>
      <c r="S45" s="75" t="s">
        <v>787</v>
      </c>
      <c r="T45" s="25" t="s">
        <v>136</v>
      </c>
      <c r="U45" s="1"/>
      <c r="V45">
        <f>映射装备数值!E104</f>
        <v>0.055</v>
      </c>
      <c r="W45">
        <f>映射装备数值!F104</f>
        <v>0.017</v>
      </c>
    </row>
    <row r="46" ht="21" customHeight="1" spans="7:23">
      <c r="R46" s="75">
        <v>114</v>
      </c>
      <c r="S46" s="76" t="s">
        <v>788</v>
      </c>
      <c r="T46" s="83" t="s">
        <v>137</v>
      </c>
      <c r="U46" s="84"/>
      <c r="V46">
        <f>映射装备数值!E105</f>
        <v>0.055</v>
      </c>
      <c r="W46">
        <f>映射装备数值!F105</f>
        <v>0.017</v>
      </c>
    </row>
    <row r="47" ht="21" customHeight="1" spans="7:23">
      <c r="R47" s="75">
        <v>201</v>
      </c>
      <c r="S47" s="75" t="s">
        <v>770</v>
      </c>
      <c r="T47" s="75" t="s">
        <v>537</v>
      </c>
      <c r="U47" s="80" t="s">
        <v>791</v>
      </c>
      <c r="V47">
        <f>映射装备数值!E76</f>
        <v>0.09</v>
      </c>
      <c r="W47">
        <f>映射装备数值!F76</f>
        <v>0.027</v>
      </c>
    </row>
    <row r="48" ht="21" customHeight="1" spans="7:23">
      <c r="R48" s="75">
        <v>202</v>
      </c>
      <c r="S48" s="75" t="s">
        <v>772</v>
      </c>
      <c r="T48" s="75" t="s">
        <v>537</v>
      </c>
      <c r="U48" s="1"/>
      <c r="V48">
        <f>映射装备数值!E77</f>
        <v>0.09</v>
      </c>
      <c r="W48">
        <f>映射装备数值!F77</f>
        <v>0.027</v>
      </c>
    </row>
    <row r="49" ht="21" customHeight="1" spans="18:23">
      <c r="R49" s="75">
        <v>203</v>
      </c>
      <c r="S49" s="75" t="s">
        <v>771</v>
      </c>
      <c r="T49" s="75" t="s">
        <v>784</v>
      </c>
      <c r="U49" s="1"/>
      <c r="V49">
        <f>映射装备数值!E78</f>
        <v>0.09</v>
      </c>
      <c r="W49">
        <f>映射装备数值!F78</f>
        <v>0.027</v>
      </c>
    </row>
    <row r="50" ht="21" customHeight="1" spans="18:23">
      <c r="R50" s="75">
        <v>204</v>
      </c>
      <c r="S50" s="75" t="s">
        <v>773</v>
      </c>
      <c r="T50" s="75" t="s">
        <v>546</v>
      </c>
      <c r="U50" s="1"/>
      <c r="V50">
        <f>映射装备数值!E79</f>
        <v>0.09</v>
      </c>
      <c r="W50">
        <f>映射装备数值!F79</f>
        <v>0.027</v>
      </c>
    </row>
    <row r="51" ht="21" customHeight="1" spans="18:23">
      <c r="R51" s="75">
        <v>205</v>
      </c>
      <c r="S51" s="75" t="s">
        <v>774</v>
      </c>
      <c r="T51" s="75" t="s">
        <v>146</v>
      </c>
      <c r="U51" s="1"/>
      <c r="V51">
        <f>映射装备数值!E80</f>
        <v>1137.5</v>
      </c>
      <c r="W51">
        <f>映射装备数值!F80</f>
        <v>342</v>
      </c>
    </row>
    <row r="52" ht="21" customHeight="1" spans="18:23">
      <c r="R52" s="75">
        <v>206</v>
      </c>
      <c r="S52" s="75" t="s">
        <v>775</v>
      </c>
      <c r="T52" s="75" t="s">
        <v>786</v>
      </c>
      <c r="U52" s="1"/>
      <c r="V52">
        <f>映射装备数值!E81</f>
        <v>787.5</v>
      </c>
      <c r="W52">
        <f>映射装备数值!F81</f>
        <v>237</v>
      </c>
    </row>
    <row r="53" ht="21" customHeight="1" spans="18:23">
      <c r="R53" s="75">
        <v>207</v>
      </c>
      <c r="S53" s="75" t="s">
        <v>776</v>
      </c>
      <c r="T53" s="75" t="s">
        <v>219</v>
      </c>
      <c r="U53" s="1"/>
      <c r="V53">
        <f>映射装备数值!E82</f>
        <v>787.5</v>
      </c>
      <c r="W53">
        <f>映射装备数值!F82</f>
        <v>237</v>
      </c>
    </row>
    <row r="54" ht="21" customHeight="1" spans="18:23">
      <c r="R54" s="75">
        <v>208</v>
      </c>
      <c r="S54" s="75" t="s">
        <v>777</v>
      </c>
      <c r="T54" s="75" t="s">
        <v>134</v>
      </c>
      <c r="U54" s="25"/>
      <c r="V54">
        <f>映射装备数值!E83</f>
        <v>962.5</v>
      </c>
      <c r="W54">
        <f>映射装备数值!F83</f>
        <v>289</v>
      </c>
    </row>
    <row r="55" ht="21" customHeight="1" spans="18:23">
      <c r="R55" s="75">
        <v>209</v>
      </c>
      <c r="S55" s="75" t="s">
        <v>766</v>
      </c>
      <c r="T55" s="75" t="s">
        <v>80</v>
      </c>
      <c r="U55" s="1"/>
      <c r="V55">
        <f>映射装备数值!E84</f>
        <v>1500</v>
      </c>
      <c r="W55">
        <f>映射装备数值!F84</f>
        <v>450</v>
      </c>
    </row>
    <row r="56" ht="21" customHeight="1" spans="18:23">
      <c r="R56" s="75">
        <v>210</v>
      </c>
      <c r="S56" s="75" t="s">
        <v>767</v>
      </c>
      <c r="T56" s="75" t="s">
        <v>80</v>
      </c>
      <c r="U56" s="1"/>
      <c r="V56">
        <f>映射装备数值!E85</f>
        <v>1500</v>
      </c>
      <c r="W56">
        <f>映射装备数值!F85</f>
        <v>450</v>
      </c>
    </row>
    <row r="57" ht="21" customHeight="1" spans="18:23">
      <c r="R57" s="75">
        <v>211</v>
      </c>
      <c r="S57" s="75" t="s">
        <v>769</v>
      </c>
      <c r="T57" s="75" t="s">
        <v>544</v>
      </c>
      <c r="U57" s="1"/>
      <c r="V57">
        <f>映射装备数值!E86</f>
        <v>1000</v>
      </c>
      <c r="W57">
        <f>映射装备数值!F86</f>
        <v>300</v>
      </c>
    </row>
    <row r="58" ht="21" customHeight="1" spans="18:23">
      <c r="R58" s="75">
        <v>212</v>
      </c>
      <c r="S58" s="75" t="s">
        <v>768</v>
      </c>
      <c r="T58" s="75" t="s">
        <v>79</v>
      </c>
      <c r="U58" s="1"/>
      <c r="V58">
        <f>映射装备数值!E87</f>
        <v>5000</v>
      </c>
      <c r="W58">
        <f>映射装备数值!F87</f>
        <v>1500</v>
      </c>
    </row>
    <row r="59" ht="21" customHeight="1" spans="18:23">
      <c r="R59" s="75">
        <v>213</v>
      </c>
      <c r="S59" s="75" t="s">
        <v>787</v>
      </c>
      <c r="T59" s="25" t="s">
        <v>136</v>
      </c>
      <c r="U59" s="1"/>
      <c r="V59">
        <f>映射装备数值!E88</f>
        <v>0.037</v>
      </c>
      <c r="W59">
        <f>映射装备数值!F88</f>
        <v>0.011</v>
      </c>
    </row>
    <row r="60" ht="21" customHeight="1" spans="18:23">
      <c r="R60" s="75">
        <v>214</v>
      </c>
      <c r="S60" s="76" t="s">
        <v>788</v>
      </c>
      <c r="T60" s="83" t="s">
        <v>137</v>
      </c>
      <c r="U60" s="84"/>
      <c r="V60">
        <f>映射装备数值!E89</f>
        <v>0.037</v>
      </c>
      <c r="W60">
        <f>映射装备数值!F89</f>
        <v>0.011</v>
      </c>
    </row>
    <row r="61" ht="21" customHeight="1" spans="18:23">
      <c r="R61" s="75">
        <v>301</v>
      </c>
      <c r="S61" s="75" t="s">
        <v>770</v>
      </c>
      <c r="T61" s="75" t="s">
        <v>537</v>
      </c>
      <c r="U61" s="80" t="s">
        <v>792</v>
      </c>
      <c r="V61">
        <f>映射装备数值!E60</f>
        <v>0.054</v>
      </c>
      <c r="W61">
        <f>映射装备数值!F60</f>
        <v>0.016</v>
      </c>
    </row>
    <row r="62" ht="21" customHeight="1" spans="18:23">
      <c r="R62" s="75">
        <v>302</v>
      </c>
      <c r="S62" s="75" t="s">
        <v>772</v>
      </c>
      <c r="T62" s="75" t="s">
        <v>537</v>
      </c>
      <c r="U62" s="1"/>
      <c r="V62">
        <f>映射装备数值!E61</f>
        <v>0.054</v>
      </c>
      <c r="W62">
        <f>映射装备数值!F61</f>
        <v>0.016</v>
      </c>
    </row>
    <row r="63" ht="21" customHeight="1" spans="18:23">
      <c r="R63" s="75">
        <v>303</v>
      </c>
      <c r="S63" s="75" t="s">
        <v>771</v>
      </c>
      <c r="T63" s="75" t="s">
        <v>784</v>
      </c>
      <c r="U63" s="1"/>
      <c r="V63">
        <f>映射装备数值!E62</f>
        <v>0.054</v>
      </c>
      <c r="W63">
        <f>映射装备数值!F62</f>
        <v>0.016</v>
      </c>
    </row>
    <row r="64" ht="21" customHeight="1" spans="18:23">
      <c r="R64" s="75">
        <v>304</v>
      </c>
      <c r="S64" s="75" t="s">
        <v>773</v>
      </c>
      <c r="T64" s="75" t="s">
        <v>546</v>
      </c>
      <c r="U64" s="1"/>
      <c r="V64">
        <f>映射装备数值!E63</f>
        <v>0.054</v>
      </c>
      <c r="W64">
        <f>映射装备数值!F63</f>
        <v>0.016</v>
      </c>
    </row>
    <row r="65" ht="21" customHeight="1" spans="18:23">
      <c r="R65" s="75">
        <v>305</v>
      </c>
      <c r="S65" s="75" t="s">
        <v>774</v>
      </c>
      <c r="T65" s="75" t="s">
        <v>146</v>
      </c>
      <c r="U65" s="1"/>
      <c r="V65">
        <f>映射装备数值!E64</f>
        <v>682.5</v>
      </c>
      <c r="W65">
        <f>映射装备数值!F64</f>
        <v>205</v>
      </c>
    </row>
    <row r="66" ht="21" customHeight="1" spans="18:23">
      <c r="R66" s="75">
        <v>306</v>
      </c>
      <c r="S66" s="75" t="s">
        <v>775</v>
      </c>
      <c r="T66" s="75" t="s">
        <v>786</v>
      </c>
      <c r="U66" s="1"/>
      <c r="V66">
        <f>映射装备数值!E65</f>
        <v>472.5</v>
      </c>
      <c r="W66">
        <f>映射装备数值!F65</f>
        <v>142</v>
      </c>
    </row>
    <row r="67" ht="21" customHeight="1" spans="18:23">
      <c r="R67" s="75">
        <v>307</v>
      </c>
      <c r="S67" s="75" t="s">
        <v>776</v>
      </c>
      <c r="T67" s="75" t="s">
        <v>219</v>
      </c>
      <c r="U67" s="1"/>
      <c r="V67">
        <f>映射装备数值!E66</f>
        <v>472.5</v>
      </c>
      <c r="W67">
        <f>映射装备数值!F66</f>
        <v>142</v>
      </c>
    </row>
    <row r="68" ht="21" customHeight="1" spans="18:23">
      <c r="R68" s="75">
        <v>308</v>
      </c>
      <c r="S68" s="75" t="s">
        <v>777</v>
      </c>
      <c r="T68" s="75" t="s">
        <v>134</v>
      </c>
      <c r="U68" s="25"/>
      <c r="V68">
        <f>映射装备数值!E67</f>
        <v>577.5</v>
      </c>
      <c r="W68">
        <f>映射装备数值!F67</f>
        <v>173</v>
      </c>
    </row>
    <row r="69" ht="21" customHeight="1" spans="18:23">
      <c r="R69" s="75">
        <v>309</v>
      </c>
      <c r="S69" s="75" t="s">
        <v>766</v>
      </c>
      <c r="T69" s="75" t="s">
        <v>80</v>
      </c>
      <c r="U69" s="1"/>
      <c r="V69">
        <f>映射装备数值!E68</f>
        <v>900</v>
      </c>
      <c r="W69">
        <f>映射装备数值!F68</f>
        <v>270</v>
      </c>
    </row>
    <row r="70" ht="21" customHeight="1" spans="18:23">
      <c r="R70" s="75">
        <v>310</v>
      </c>
      <c r="S70" s="75" t="s">
        <v>767</v>
      </c>
      <c r="T70" s="75" t="s">
        <v>80</v>
      </c>
      <c r="U70" s="1"/>
      <c r="V70">
        <f>映射装备数值!E69</f>
        <v>900</v>
      </c>
      <c r="W70">
        <f>映射装备数值!F69</f>
        <v>270</v>
      </c>
    </row>
    <row r="71" ht="21" customHeight="1" spans="18:23">
      <c r="R71" s="75">
        <v>311</v>
      </c>
      <c r="S71" s="75" t="s">
        <v>769</v>
      </c>
      <c r="T71" s="75" t="s">
        <v>544</v>
      </c>
      <c r="U71" s="1"/>
      <c r="V71">
        <f>映射装备数值!E70</f>
        <v>600</v>
      </c>
      <c r="W71">
        <f>映射装备数值!F70</f>
        <v>180</v>
      </c>
    </row>
    <row r="72" ht="21" customHeight="1" spans="18:23">
      <c r="R72" s="75">
        <v>312</v>
      </c>
      <c r="S72" s="75" t="s">
        <v>768</v>
      </c>
      <c r="T72" s="75" t="s">
        <v>79</v>
      </c>
      <c r="U72" s="1"/>
      <c r="V72">
        <f>映射装备数值!E71</f>
        <v>3000</v>
      </c>
      <c r="W72">
        <f>映射装备数值!F71</f>
        <v>900</v>
      </c>
    </row>
    <row r="73" ht="21" customHeight="1" spans="18:23">
      <c r="R73" s="75">
        <v>313</v>
      </c>
      <c r="S73" s="75" t="s">
        <v>787</v>
      </c>
      <c r="T73" s="25" t="s">
        <v>136</v>
      </c>
      <c r="U73" s="1"/>
      <c r="V73">
        <f>映射装备数值!E72</f>
        <v>0.022</v>
      </c>
      <c r="W73">
        <f>映射装备数值!F72</f>
        <v>0.007</v>
      </c>
    </row>
    <row r="74" ht="21" customHeight="1" spans="18:23">
      <c r="R74" s="75">
        <v>314</v>
      </c>
      <c r="S74" s="76" t="s">
        <v>788</v>
      </c>
      <c r="T74" s="83" t="s">
        <v>137</v>
      </c>
      <c r="U74" s="84"/>
      <c r="V74">
        <f>映射装备数值!E73</f>
        <v>0.022</v>
      </c>
      <c r="W74">
        <f>映射装备数值!F73</f>
        <v>0.007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54"/>
  <sheetViews>
    <sheetView workbookViewId="0">
      <selection activeCell="F35" sqref="F35"/>
    </sheetView>
  </sheetViews>
  <sheetFormatPr defaultColWidth="9" defaultRowHeight="13.5"/>
  <cols>
    <col min="2" max="2" width="5.125" style="8" customWidth="1"/>
    <col min="3" max="3" width="7.125" style="8" customWidth="1"/>
    <col min="4" max="4" width="15" style="8" customWidth="1"/>
    <col min="5" max="5" width="19.375" style="8" customWidth="1"/>
    <col min="6" max="6" width="45.875" style="8" customWidth="1"/>
    <col min="7" max="7" width="15.625" style="8" customWidth="1"/>
    <col min="8" max="8" width="12.875" style="8" customWidth="1"/>
    <col min="9" max="10" width="15" style="8" customWidth="1"/>
    <col min="11" max="11" width="17.5" style="8" customWidth="1"/>
    <col min="12" max="12" width="15" style="8" customWidth="1"/>
    <col min="13" max="13" width="14.125" style="8" customWidth="1"/>
  </cols>
  <sheetData>
    <row r="2" ht="16.5" customHeight="1" spans="2:20">
      <c r="B2" t="s">
        <v>204</v>
      </c>
      <c r="C2" t="s">
        <v>793</v>
      </c>
      <c r="D2" s="67" t="s">
        <v>794</v>
      </c>
      <c r="E2" s="68" t="s">
        <v>522</v>
      </c>
      <c r="F2" s="68" t="s">
        <v>795</v>
      </c>
      <c r="G2" s="69" t="s">
        <v>405</v>
      </c>
      <c r="H2" s="69" t="s">
        <v>407</v>
      </c>
      <c r="I2" s="69" t="s">
        <v>796</v>
      </c>
      <c r="J2" s="69" t="s">
        <v>797</v>
      </c>
      <c r="K2" s="69" t="s">
        <v>798</v>
      </c>
      <c r="L2" s="69" t="s">
        <v>799</v>
      </c>
    </row>
    <row r="3" ht="16.5" customHeight="1" spans="2:20">
      <c r="B3">
        <v>1</v>
      </c>
      <c r="C3">
        <v>3101</v>
      </c>
      <c r="D3" s="29" t="s">
        <v>728</v>
      </c>
      <c r="E3" t="s">
        <v>800</v>
      </c>
      <c r="F3" s="70" t="s">
        <v>801</v>
      </c>
      <c r="G3" s="69" t="s">
        <v>80</v>
      </c>
      <c r="H3" s="69" t="s">
        <v>143</v>
      </c>
      <c r="I3" s="69" t="s">
        <v>141</v>
      </c>
      <c r="J3" s="69" t="s">
        <v>128</v>
      </c>
      <c r="K3" s="69" t="s">
        <v>144</v>
      </c>
      <c r="L3" s="69" t="s">
        <v>146</v>
      </c>
      <c r="M3">
        <f t="shared" ref="M3:M39" si="0">VLOOKUP(I3,$M$41:$O$54,3,0)</f>
        <v>13</v>
      </c>
      <c r="N3">
        <f t="shared" ref="N3:N39" si="1">VLOOKUP(J3,$M$41:$O$54,3,0)</f>
        <v>1</v>
      </c>
      <c r="O3">
        <f t="shared" ref="O3:O39" si="2">VLOOKUP(K3,$M$41:$O$54,3,0)</f>
        <v>8</v>
      </c>
      <c r="P3">
        <f t="shared" ref="P3:P39" si="3">VLOOKUP(L3,$M$41:$O$54,3,0)</f>
        <v>5</v>
      </c>
      <c r="Q3">
        <v>3101</v>
      </c>
      <c r="R3" t="s">
        <v>802</v>
      </c>
      <c r="S3" t="s">
        <v>803</v>
      </c>
      <c r="T3" t="str">
        <f t="shared" ref="T3:T39" si="4">_xlfn.CONCAT(M3,$R3,N3,$R3,O3,$R3,P3,$R3,Q3,$S3)</f>
        <v>13,100;1,100;8,100;5,100;3101,100</v>
      </c>
    </row>
    <row r="4" ht="16.5" customHeight="1" spans="2:20">
      <c r="B4">
        <v>2</v>
      </c>
      <c r="C4">
        <v>3102</v>
      </c>
      <c r="D4" s="29" t="s">
        <v>730</v>
      </c>
      <c r="E4" t="s">
        <v>800</v>
      </c>
      <c r="F4" s="71" t="s">
        <v>804</v>
      </c>
      <c r="G4" s="69" t="s">
        <v>80</v>
      </c>
      <c r="H4" s="69" t="s">
        <v>143</v>
      </c>
      <c r="I4" s="69" t="s">
        <v>128</v>
      </c>
      <c r="J4" s="69" t="s">
        <v>143</v>
      </c>
      <c r="K4" s="69" t="s">
        <v>144</v>
      </c>
      <c r="L4" s="69" t="s">
        <v>249</v>
      </c>
      <c r="M4">
        <f t="shared" si="0"/>
        <v>1</v>
      </c>
      <c r="N4">
        <f t="shared" si="1"/>
        <v>7</v>
      </c>
      <c r="O4">
        <f t="shared" si="2"/>
        <v>8</v>
      </c>
      <c r="P4">
        <f t="shared" si="3"/>
        <v>9</v>
      </c>
      <c r="Q4">
        <v>3102</v>
      </c>
      <c r="R4" t="s">
        <v>802</v>
      </c>
      <c r="S4" t="s">
        <v>803</v>
      </c>
      <c r="T4" t="str">
        <f t="shared" si="4"/>
        <v>1,100;7,100;8,100;9,100;3102,100</v>
      </c>
    </row>
    <row r="5" ht="16.5" customHeight="1" spans="2:20">
      <c r="B5">
        <v>3</v>
      </c>
      <c r="C5">
        <v>3103</v>
      </c>
      <c r="D5" s="72" t="s">
        <v>731</v>
      </c>
      <c r="E5" s="73" t="s">
        <v>800</v>
      </c>
      <c r="F5" s="70" t="s">
        <v>805</v>
      </c>
      <c r="G5" s="69" t="s">
        <v>80</v>
      </c>
      <c r="H5" s="69" t="s">
        <v>143</v>
      </c>
      <c r="I5" s="69" t="s">
        <v>141</v>
      </c>
      <c r="J5" s="69" t="s">
        <v>128</v>
      </c>
      <c r="K5" s="69" t="s">
        <v>144</v>
      </c>
      <c r="L5" s="69" t="s">
        <v>249</v>
      </c>
      <c r="M5">
        <f t="shared" si="0"/>
        <v>13</v>
      </c>
      <c r="N5">
        <f t="shared" si="1"/>
        <v>1</v>
      </c>
      <c r="O5">
        <f t="shared" si="2"/>
        <v>8</v>
      </c>
      <c r="P5">
        <f t="shared" si="3"/>
        <v>9</v>
      </c>
      <c r="Q5">
        <v>3103</v>
      </c>
      <c r="R5" t="s">
        <v>802</v>
      </c>
      <c r="S5" t="s">
        <v>803</v>
      </c>
      <c r="T5" t="str">
        <f t="shared" si="4"/>
        <v>13,100;1,100;8,100;9,100;3103,100</v>
      </c>
    </row>
    <row r="6" ht="16.5" customHeight="1" spans="2:20">
      <c r="B6">
        <v>4</v>
      </c>
      <c r="C6">
        <v>3104</v>
      </c>
      <c r="D6" s="29" t="s">
        <v>732</v>
      </c>
      <c r="E6" t="s">
        <v>800</v>
      </c>
      <c r="F6" s="70" t="s">
        <v>806</v>
      </c>
      <c r="G6" s="69" t="s">
        <v>80</v>
      </c>
      <c r="H6" s="69" t="s">
        <v>80</v>
      </c>
      <c r="I6" s="69" t="s">
        <v>128</v>
      </c>
      <c r="J6" s="69" t="s">
        <v>128</v>
      </c>
      <c r="K6" s="69" t="s">
        <v>143</v>
      </c>
      <c r="L6" s="69" t="s">
        <v>144</v>
      </c>
      <c r="M6">
        <f t="shared" si="0"/>
        <v>1</v>
      </c>
      <c r="N6">
        <f t="shared" si="1"/>
        <v>1</v>
      </c>
      <c r="O6">
        <f t="shared" si="2"/>
        <v>7</v>
      </c>
      <c r="P6">
        <f t="shared" si="3"/>
        <v>8</v>
      </c>
      <c r="Q6">
        <v>3104</v>
      </c>
      <c r="R6" t="s">
        <v>802</v>
      </c>
      <c r="S6" t="s">
        <v>803</v>
      </c>
      <c r="T6" t="str">
        <f t="shared" si="4"/>
        <v>1,100;1,100;7,100;8,100;3104,100</v>
      </c>
    </row>
    <row r="7" ht="16.5" customHeight="1" spans="2:20">
      <c r="B7">
        <v>5</v>
      </c>
      <c r="C7">
        <v>3105</v>
      </c>
      <c r="D7" s="29" t="s">
        <v>733</v>
      </c>
      <c r="E7" t="s">
        <v>800</v>
      </c>
      <c r="F7" s="71" t="s">
        <v>807</v>
      </c>
      <c r="G7" s="69" t="s">
        <v>80</v>
      </c>
      <c r="H7" s="69" t="s">
        <v>80</v>
      </c>
      <c r="I7" s="69" t="s">
        <v>141</v>
      </c>
      <c r="J7" s="69" t="s">
        <v>128</v>
      </c>
      <c r="K7" s="69" t="s">
        <v>143</v>
      </c>
      <c r="L7" s="69" t="s">
        <v>249</v>
      </c>
      <c r="M7">
        <f t="shared" si="0"/>
        <v>13</v>
      </c>
      <c r="N7">
        <f t="shared" si="1"/>
        <v>1</v>
      </c>
      <c r="O7">
        <f t="shared" si="2"/>
        <v>7</v>
      </c>
      <c r="P7">
        <f t="shared" si="3"/>
        <v>9</v>
      </c>
      <c r="Q7">
        <v>3105</v>
      </c>
      <c r="R7" t="s">
        <v>802</v>
      </c>
      <c r="S7" t="s">
        <v>803</v>
      </c>
      <c r="T7" t="str">
        <f t="shared" si="4"/>
        <v>13,100;1,100;7,100;9,100;3105,100</v>
      </c>
    </row>
    <row r="8" ht="16.5" customHeight="1" spans="2:20">
      <c r="B8">
        <v>6</v>
      </c>
      <c r="C8">
        <v>3106</v>
      </c>
      <c r="D8" s="72" t="s">
        <v>734</v>
      </c>
      <c r="E8" s="73" t="s">
        <v>800</v>
      </c>
      <c r="F8" s="70" t="s">
        <v>808</v>
      </c>
      <c r="G8" s="69" t="s">
        <v>80</v>
      </c>
      <c r="H8" s="69" t="s">
        <v>80</v>
      </c>
      <c r="I8" s="69" t="s">
        <v>141</v>
      </c>
      <c r="J8" s="69" t="s">
        <v>128</v>
      </c>
      <c r="K8" s="69" t="s">
        <v>143</v>
      </c>
      <c r="L8" s="69" t="s">
        <v>144</v>
      </c>
      <c r="M8">
        <f t="shared" si="0"/>
        <v>13</v>
      </c>
      <c r="N8">
        <f t="shared" si="1"/>
        <v>1</v>
      </c>
      <c r="O8">
        <f t="shared" si="2"/>
        <v>7</v>
      </c>
      <c r="P8">
        <f t="shared" si="3"/>
        <v>8</v>
      </c>
      <c r="Q8">
        <v>3106</v>
      </c>
      <c r="R8" t="s">
        <v>802</v>
      </c>
      <c r="S8" t="s">
        <v>803</v>
      </c>
      <c r="T8" t="str">
        <f t="shared" si="4"/>
        <v>13,100;1,100;7,100;8,100;3106,100</v>
      </c>
    </row>
    <row r="9" ht="16.5" customHeight="1" spans="2:20">
      <c r="B9">
        <v>7</v>
      </c>
      <c r="C9">
        <v>3107</v>
      </c>
      <c r="D9" s="29" t="s">
        <v>735</v>
      </c>
      <c r="E9" t="s">
        <v>800</v>
      </c>
      <c r="F9" s="70" t="s">
        <v>809</v>
      </c>
      <c r="G9" s="69" t="s">
        <v>80</v>
      </c>
      <c r="H9" s="69" t="s">
        <v>143</v>
      </c>
      <c r="I9" s="69" t="s">
        <v>142</v>
      </c>
      <c r="J9" s="69" t="s">
        <v>128</v>
      </c>
      <c r="K9" s="69" t="s">
        <v>143</v>
      </c>
      <c r="L9" s="69" t="s">
        <v>146</v>
      </c>
      <c r="M9">
        <f t="shared" si="0"/>
        <v>14</v>
      </c>
      <c r="N9">
        <f t="shared" si="1"/>
        <v>1</v>
      </c>
      <c r="O9">
        <f t="shared" si="2"/>
        <v>7</v>
      </c>
      <c r="P9">
        <f t="shared" si="3"/>
        <v>5</v>
      </c>
      <c r="Q9">
        <v>3107</v>
      </c>
      <c r="R9" t="s">
        <v>802</v>
      </c>
      <c r="S9" t="s">
        <v>803</v>
      </c>
      <c r="T9" t="str">
        <f t="shared" si="4"/>
        <v>14,100;1,100;7,100;5,100;3107,100</v>
      </c>
    </row>
    <row r="10" ht="16.5" customHeight="1" spans="2:20">
      <c r="B10">
        <v>8</v>
      </c>
      <c r="C10">
        <v>3108</v>
      </c>
      <c r="D10" s="29" t="s">
        <v>736</v>
      </c>
      <c r="E10" t="s">
        <v>800</v>
      </c>
      <c r="F10" s="70" t="s">
        <v>810</v>
      </c>
      <c r="G10" s="69" t="s">
        <v>80</v>
      </c>
      <c r="H10" s="69" t="s">
        <v>143</v>
      </c>
      <c r="I10" s="69" t="s">
        <v>142</v>
      </c>
      <c r="J10" s="69" t="s">
        <v>128</v>
      </c>
      <c r="K10" s="69" t="s">
        <v>145</v>
      </c>
      <c r="L10" s="69" t="s">
        <v>144</v>
      </c>
      <c r="M10">
        <f t="shared" si="0"/>
        <v>14</v>
      </c>
      <c r="N10">
        <f t="shared" si="1"/>
        <v>1</v>
      </c>
      <c r="O10">
        <f t="shared" si="2"/>
        <v>6</v>
      </c>
      <c r="P10">
        <f t="shared" si="3"/>
        <v>8</v>
      </c>
      <c r="Q10">
        <v>3108</v>
      </c>
      <c r="R10" t="s">
        <v>802</v>
      </c>
      <c r="S10" t="s">
        <v>803</v>
      </c>
      <c r="T10" t="str">
        <f t="shared" si="4"/>
        <v>14,100;1,100;6,100;8,100;3108,100</v>
      </c>
    </row>
    <row r="11" ht="16.5" customHeight="1" spans="2:20">
      <c r="B11">
        <v>9</v>
      </c>
      <c r="C11">
        <v>3109</v>
      </c>
      <c r="D11" s="72" t="s">
        <v>737</v>
      </c>
      <c r="E11" s="73" t="s">
        <v>800</v>
      </c>
      <c r="F11" s="70" t="s">
        <v>811</v>
      </c>
      <c r="G11" s="69" t="s">
        <v>80</v>
      </c>
      <c r="H11" s="69" t="s">
        <v>143</v>
      </c>
      <c r="I11" s="69" t="s">
        <v>142</v>
      </c>
      <c r="J11" s="69" t="s">
        <v>128</v>
      </c>
      <c r="K11" s="69" t="s">
        <v>143</v>
      </c>
      <c r="L11" s="69" t="s">
        <v>144</v>
      </c>
      <c r="M11">
        <f t="shared" si="0"/>
        <v>14</v>
      </c>
      <c r="N11">
        <f t="shared" si="1"/>
        <v>1</v>
      </c>
      <c r="O11">
        <f t="shared" si="2"/>
        <v>7</v>
      </c>
      <c r="P11">
        <f t="shared" si="3"/>
        <v>8</v>
      </c>
      <c r="Q11">
        <v>3109</v>
      </c>
      <c r="R11" t="s">
        <v>802</v>
      </c>
      <c r="S11" t="s">
        <v>803</v>
      </c>
      <c r="T11" t="str">
        <f t="shared" si="4"/>
        <v>14,100;1,100;7,100;8,100;3109,100</v>
      </c>
    </row>
    <row r="12" ht="16.5" customHeight="1" spans="2:20">
      <c r="B12">
        <v>10</v>
      </c>
      <c r="C12">
        <v>3201</v>
      </c>
      <c r="D12" s="29" t="s">
        <v>738</v>
      </c>
      <c r="E12" t="s">
        <v>812</v>
      </c>
      <c r="F12" s="71" t="s">
        <v>813</v>
      </c>
      <c r="G12" s="69" t="s">
        <v>79</v>
      </c>
      <c r="H12" s="69" t="s">
        <v>415</v>
      </c>
      <c r="I12" s="69" t="s">
        <v>130</v>
      </c>
      <c r="J12" s="69" t="s">
        <v>128</v>
      </c>
      <c r="K12" s="69" t="s">
        <v>143</v>
      </c>
      <c r="L12" s="69" t="s">
        <v>146</v>
      </c>
      <c r="M12">
        <f t="shared" si="0"/>
        <v>4</v>
      </c>
      <c r="N12">
        <f t="shared" si="1"/>
        <v>1</v>
      </c>
      <c r="O12">
        <f t="shared" si="2"/>
        <v>7</v>
      </c>
      <c r="P12">
        <f t="shared" si="3"/>
        <v>5</v>
      </c>
      <c r="Q12">
        <v>3201</v>
      </c>
      <c r="R12" t="s">
        <v>802</v>
      </c>
      <c r="S12" t="s">
        <v>803</v>
      </c>
      <c r="T12" t="str">
        <f t="shared" si="4"/>
        <v>4,100;1,100;7,100;5,100;3201,100</v>
      </c>
    </row>
    <row r="13" ht="16.5" customHeight="1" spans="2:20">
      <c r="B13">
        <v>11</v>
      </c>
      <c r="C13">
        <v>3202</v>
      </c>
      <c r="D13" s="29" t="s">
        <v>739</v>
      </c>
      <c r="E13" t="s">
        <v>812</v>
      </c>
      <c r="F13" s="74" t="s">
        <v>814</v>
      </c>
      <c r="G13" s="69" t="s">
        <v>79</v>
      </c>
      <c r="H13" s="69" t="s">
        <v>415</v>
      </c>
      <c r="I13" s="69" t="s">
        <v>130</v>
      </c>
      <c r="J13" s="69" t="s">
        <v>79</v>
      </c>
      <c r="K13" s="69" t="s">
        <v>128</v>
      </c>
      <c r="L13" s="69" t="s">
        <v>144</v>
      </c>
      <c r="M13">
        <f t="shared" si="0"/>
        <v>4</v>
      </c>
      <c r="N13">
        <f t="shared" si="1"/>
        <v>12</v>
      </c>
      <c r="O13">
        <f t="shared" si="2"/>
        <v>1</v>
      </c>
      <c r="P13">
        <f t="shared" si="3"/>
        <v>8</v>
      </c>
      <c r="Q13">
        <v>3202</v>
      </c>
      <c r="R13" t="s">
        <v>802</v>
      </c>
      <c r="S13" t="s">
        <v>803</v>
      </c>
      <c r="T13" t="str">
        <f t="shared" si="4"/>
        <v>4,100;12,100;1,100;8,100;3202,100</v>
      </c>
    </row>
    <row r="14" ht="16.5" customHeight="1" spans="2:20">
      <c r="B14">
        <v>12</v>
      </c>
      <c r="C14">
        <v>3203</v>
      </c>
      <c r="D14" s="29" t="s">
        <v>740</v>
      </c>
      <c r="E14" t="s">
        <v>812</v>
      </c>
      <c r="F14" s="74" t="s">
        <v>815</v>
      </c>
      <c r="G14" s="69" t="s">
        <v>79</v>
      </c>
      <c r="H14" s="69" t="s">
        <v>415</v>
      </c>
      <c r="I14" s="69" t="s">
        <v>146</v>
      </c>
      <c r="J14" s="69" t="s">
        <v>145</v>
      </c>
      <c r="K14" s="69" t="s">
        <v>128</v>
      </c>
      <c r="L14" s="69" t="s">
        <v>143</v>
      </c>
      <c r="M14">
        <f t="shared" si="0"/>
        <v>5</v>
      </c>
      <c r="N14">
        <f t="shared" si="1"/>
        <v>6</v>
      </c>
      <c r="O14">
        <f t="shared" si="2"/>
        <v>1</v>
      </c>
      <c r="P14">
        <f t="shared" si="3"/>
        <v>7</v>
      </c>
      <c r="Q14">
        <v>3203</v>
      </c>
      <c r="R14" t="s">
        <v>802</v>
      </c>
      <c r="S14" t="s">
        <v>803</v>
      </c>
      <c r="T14" t="str">
        <f t="shared" si="4"/>
        <v>5,100;6,100;1,100;7,100;3203,100</v>
      </c>
    </row>
    <row r="15" ht="16.5" customHeight="1" spans="2:20">
      <c r="B15">
        <v>13</v>
      </c>
      <c r="C15">
        <v>3204</v>
      </c>
      <c r="D15" s="72" t="s">
        <v>741</v>
      </c>
      <c r="E15" s="73" t="s">
        <v>812</v>
      </c>
      <c r="F15" s="71" t="s">
        <v>816</v>
      </c>
      <c r="G15" s="69" t="s">
        <v>79</v>
      </c>
      <c r="H15" s="69" t="s">
        <v>415</v>
      </c>
      <c r="I15" s="69" t="s">
        <v>142</v>
      </c>
      <c r="J15" s="69" t="s">
        <v>128</v>
      </c>
      <c r="K15" s="69" t="s">
        <v>144</v>
      </c>
      <c r="L15" s="69" t="s">
        <v>130</v>
      </c>
      <c r="M15">
        <f t="shared" si="0"/>
        <v>14</v>
      </c>
      <c r="N15">
        <f t="shared" si="1"/>
        <v>1</v>
      </c>
      <c r="O15">
        <f t="shared" si="2"/>
        <v>8</v>
      </c>
      <c r="P15">
        <f t="shared" si="3"/>
        <v>4</v>
      </c>
      <c r="Q15">
        <v>3204</v>
      </c>
      <c r="R15" t="s">
        <v>802</v>
      </c>
      <c r="S15" t="s">
        <v>803</v>
      </c>
      <c r="T15" t="str">
        <f t="shared" si="4"/>
        <v>14,100;1,100;8,100;4,100;3204,100</v>
      </c>
    </row>
    <row r="16" ht="16.5" customHeight="1" spans="2:20">
      <c r="B16">
        <v>14</v>
      </c>
      <c r="C16">
        <v>3301</v>
      </c>
      <c r="D16" s="29" t="s">
        <v>742</v>
      </c>
      <c r="E16" t="s">
        <v>817</v>
      </c>
      <c r="F16" s="71" t="s">
        <v>818</v>
      </c>
      <c r="G16" s="69" t="s">
        <v>81</v>
      </c>
      <c r="H16" s="69" t="s">
        <v>417</v>
      </c>
      <c r="I16" s="69" t="s">
        <v>130</v>
      </c>
      <c r="J16" s="69" t="s">
        <v>128</v>
      </c>
      <c r="K16" s="69" t="s">
        <v>128</v>
      </c>
      <c r="L16" s="69" t="s">
        <v>145</v>
      </c>
      <c r="M16">
        <f t="shared" si="0"/>
        <v>4</v>
      </c>
      <c r="N16">
        <f t="shared" si="1"/>
        <v>1</v>
      </c>
      <c r="O16">
        <f t="shared" si="2"/>
        <v>1</v>
      </c>
      <c r="P16">
        <f t="shared" si="3"/>
        <v>6</v>
      </c>
      <c r="Q16">
        <v>3301</v>
      </c>
      <c r="R16" t="s">
        <v>802</v>
      </c>
      <c r="S16" t="s">
        <v>803</v>
      </c>
      <c r="T16" t="str">
        <f t="shared" si="4"/>
        <v>4,100;1,100;1,100;6,100;3301,100</v>
      </c>
    </row>
    <row r="17" ht="16.5" customHeight="1" spans="2:20">
      <c r="B17">
        <v>15</v>
      </c>
      <c r="C17">
        <v>3302</v>
      </c>
      <c r="D17" s="29" t="s">
        <v>743</v>
      </c>
      <c r="E17" t="s">
        <v>817</v>
      </c>
      <c r="F17" s="74" t="s">
        <v>819</v>
      </c>
      <c r="G17" s="69" t="s">
        <v>81</v>
      </c>
      <c r="H17" s="69" t="s">
        <v>417</v>
      </c>
      <c r="I17" s="69" t="s">
        <v>129</v>
      </c>
      <c r="J17" s="69" t="s">
        <v>141</v>
      </c>
      <c r="K17" s="69" t="s">
        <v>128</v>
      </c>
      <c r="L17" s="69" t="s">
        <v>143</v>
      </c>
      <c r="M17">
        <f t="shared" si="0"/>
        <v>3</v>
      </c>
      <c r="N17">
        <f t="shared" si="1"/>
        <v>13</v>
      </c>
      <c r="O17">
        <f t="shared" si="2"/>
        <v>1</v>
      </c>
      <c r="P17">
        <f t="shared" si="3"/>
        <v>7</v>
      </c>
      <c r="Q17">
        <v>3302</v>
      </c>
      <c r="R17" t="s">
        <v>802</v>
      </c>
      <c r="S17" t="s">
        <v>803</v>
      </c>
      <c r="T17" t="str">
        <f t="shared" si="4"/>
        <v>3,100;13,100;1,100;7,100;3302,100</v>
      </c>
    </row>
    <row r="18" ht="16.5" customHeight="1" spans="2:20">
      <c r="B18">
        <v>16</v>
      </c>
      <c r="C18">
        <v>3303</v>
      </c>
      <c r="D18" s="29" t="s">
        <v>744</v>
      </c>
      <c r="E18" t="s">
        <v>817</v>
      </c>
      <c r="F18" s="74" t="s">
        <v>820</v>
      </c>
      <c r="G18" s="69" t="s">
        <v>81</v>
      </c>
      <c r="H18" s="69" t="s">
        <v>417</v>
      </c>
      <c r="I18" s="69" t="s">
        <v>129</v>
      </c>
      <c r="J18" s="69" t="s">
        <v>142</v>
      </c>
      <c r="K18" s="69" t="s">
        <v>128</v>
      </c>
      <c r="L18" s="69" t="s">
        <v>144</v>
      </c>
      <c r="M18">
        <f t="shared" si="0"/>
        <v>3</v>
      </c>
      <c r="N18">
        <f t="shared" si="1"/>
        <v>14</v>
      </c>
      <c r="O18">
        <f t="shared" si="2"/>
        <v>1</v>
      </c>
      <c r="P18">
        <f t="shared" si="3"/>
        <v>8</v>
      </c>
      <c r="Q18">
        <v>3303</v>
      </c>
      <c r="R18" t="s">
        <v>802</v>
      </c>
      <c r="S18" t="s">
        <v>803</v>
      </c>
      <c r="T18" t="str">
        <f t="shared" si="4"/>
        <v>3,100;14,100;1,100;8,100;3303,100</v>
      </c>
    </row>
    <row r="19" ht="16.5" customHeight="1" spans="2:20">
      <c r="B19">
        <v>17</v>
      </c>
      <c r="C19">
        <v>3304</v>
      </c>
      <c r="D19" s="72" t="s">
        <v>745</v>
      </c>
      <c r="E19" s="73" t="s">
        <v>817</v>
      </c>
      <c r="F19" s="71" t="s">
        <v>821</v>
      </c>
      <c r="G19" s="69" t="s">
        <v>81</v>
      </c>
      <c r="H19" s="69" t="s">
        <v>417</v>
      </c>
      <c r="I19" s="69" t="s">
        <v>146</v>
      </c>
      <c r="J19" s="69" t="s">
        <v>145</v>
      </c>
      <c r="K19" s="69" t="s">
        <v>142</v>
      </c>
      <c r="L19" s="69" t="s">
        <v>143</v>
      </c>
      <c r="M19">
        <f t="shared" si="0"/>
        <v>5</v>
      </c>
      <c r="N19">
        <f t="shared" si="1"/>
        <v>6</v>
      </c>
      <c r="O19">
        <f t="shared" si="2"/>
        <v>14</v>
      </c>
      <c r="P19">
        <f t="shared" si="3"/>
        <v>7</v>
      </c>
      <c r="Q19">
        <v>3304</v>
      </c>
      <c r="R19" t="s">
        <v>802</v>
      </c>
      <c r="S19" t="s">
        <v>803</v>
      </c>
      <c r="T19" t="str">
        <f t="shared" si="4"/>
        <v>5,100;6,100;14,100;7,100;3304,100</v>
      </c>
    </row>
    <row r="20" ht="16.5" customHeight="1" spans="2:20">
      <c r="B20">
        <v>18</v>
      </c>
      <c r="C20">
        <v>3401</v>
      </c>
      <c r="D20" s="29" t="s">
        <v>746</v>
      </c>
      <c r="E20" t="s">
        <v>822</v>
      </c>
      <c r="F20" s="74" t="s">
        <v>823</v>
      </c>
      <c r="G20" s="69" t="s">
        <v>81</v>
      </c>
      <c r="H20" s="69" t="s">
        <v>415</v>
      </c>
      <c r="I20" s="69" t="s">
        <v>146</v>
      </c>
      <c r="J20" s="69" t="s">
        <v>142</v>
      </c>
      <c r="K20" s="69" t="s">
        <v>128</v>
      </c>
      <c r="L20" s="69" t="s">
        <v>249</v>
      </c>
      <c r="M20">
        <f t="shared" si="0"/>
        <v>5</v>
      </c>
      <c r="N20">
        <f t="shared" si="1"/>
        <v>14</v>
      </c>
      <c r="O20">
        <f t="shared" si="2"/>
        <v>1</v>
      </c>
      <c r="P20">
        <f t="shared" si="3"/>
        <v>9</v>
      </c>
      <c r="Q20">
        <v>3401</v>
      </c>
      <c r="R20" t="s">
        <v>802</v>
      </c>
      <c r="S20" t="s">
        <v>803</v>
      </c>
      <c r="T20" t="str">
        <f t="shared" si="4"/>
        <v>5,100;14,100;1,100;9,100;3401,100</v>
      </c>
    </row>
    <row r="21" ht="16.5" customHeight="1" spans="2:20">
      <c r="B21">
        <v>19</v>
      </c>
      <c r="C21">
        <v>3402</v>
      </c>
      <c r="D21" s="29" t="s">
        <v>747</v>
      </c>
      <c r="E21" t="s">
        <v>822</v>
      </c>
      <c r="F21" s="74" t="s">
        <v>824</v>
      </c>
      <c r="G21" s="69" t="s">
        <v>81</v>
      </c>
      <c r="H21" s="69" t="s">
        <v>415</v>
      </c>
      <c r="I21" s="69" t="s">
        <v>141</v>
      </c>
      <c r="J21" s="69" t="s">
        <v>128</v>
      </c>
      <c r="K21" s="69" t="s">
        <v>128</v>
      </c>
      <c r="L21" s="69" t="s">
        <v>143</v>
      </c>
      <c r="M21">
        <f t="shared" si="0"/>
        <v>13</v>
      </c>
      <c r="N21">
        <f t="shared" si="1"/>
        <v>1</v>
      </c>
      <c r="O21">
        <f t="shared" si="2"/>
        <v>1</v>
      </c>
      <c r="P21">
        <f t="shared" si="3"/>
        <v>7</v>
      </c>
      <c r="Q21">
        <v>3402</v>
      </c>
      <c r="R21" t="s">
        <v>802</v>
      </c>
      <c r="S21" t="s">
        <v>803</v>
      </c>
      <c r="T21" t="str">
        <f t="shared" si="4"/>
        <v>13,100;1,100;1,100;7,100;3402,100</v>
      </c>
    </row>
    <row r="22" ht="16.5" customHeight="1" spans="2:20">
      <c r="B22">
        <v>20</v>
      </c>
      <c r="C22">
        <v>3403</v>
      </c>
      <c r="D22" s="29" t="s">
        <v>748</v>
      </c>
      <c r="E22" t="s">
        <v>822</v>
      </c>
      <c r="F22" s="71" t="s">
        <v>825</v>
      </c>
      <c r="G22" s="69" t="s">
        <v>81</v>
      </c>
      <c r="H22" s="69" t="s">
        <v>415</v>
      </c>
      <c r="I22" s="69" t="s">
        <v>141</v>
      </c>
      <c r="J22" s="69" t="s">
        <v>142</v>
      </c>
      <c r="K22" s="69" t="s">
        <v>143</v>
      </c>
      <c r="L22" s="69" t="s">
        <v>144</v>
      </c>
      <c r="M22">
        <f t="shared" si="0"/>
        <v>13</v>
      </c>
      <c r="N22">
        <f t="shared" si="1"/>
        <v>14</v>
      </c>
      <c r="O22">
        <f t="shared" si="2"/>
        <v>7</v>
      </c>
      <c r="P22">
        <f t="shared" si="3"/>
        <v>8</v>
      </c>
      <c r="Q22">
        <v>3403</v>
      </c>
      <c r="R22" t="s">
        <v>802</v>
      </c>
      <c r="S22" t="s">
        <v>803</v>
      </c>
      <c r="T22" t="str">
        <f t="shared" si="4"/>
        <v>13,100;14,100;7,100;8,100;3403,100</v>
      </c>
    </row>
    <row r="23" ht="16.5" customHeight="1" spans="2:20">
      <c r="B23">
        <v>21</v>
      </c>
      <c r="C23">
        <v>3404</v>
      </c>
      <c r="D23" s="72" t="s">
        <v>749</v>
      </c>
      <c r="E23" s="73" t="s">
        <v>822</v>
      </c>
      <c r="F23" s="71" t="s">
        <v>826</v>
      </c>
      <c r="G23" s="69" t="s">
        <v>81</v>
      </c>
      <c r="H23" s="69" t="s">
        <v>415</v>
      </c>
      <c r="I23" s="69" t="s">
        <v>146</v>
      </c>
      <c r="J23" s="69" t="s">
        <v>145</v>
      </c>
      <c r="K23" s="69" t="s">
        <v>128</v>
      </c>
      <c r="L23" s="69" t="s">
        <v>143</v>
      </c>
      <c r="M23">
        <f t="shared" si="0"/>
        <v>5</v>
      </c>
      <c r="N23">
        <f t="shared" si="1"/>
        <v>6</v>
      </c>
      <c r="O23">
        <f t="shared" si="2"/>
        <v>1</v>
      </c>
      <c r="P23">
        <f t="shared" si="3"/>
        <v>7</v>
      </c>
      <c r="Q23">
        <v>3404</v>
      </c>
      <c r="R23" t="s">
        <v>802</v>
      </c>
      <c r="S23" t="s">
        <v>803</v>
      </c>
      <c r="T23" t="str">
        <f t="shared" si="4"/>
        <v>5,100;6,100;1,100;7,100;3404,100</v>
      </c>
    </row>
    <row r="24" ht="16.5" customHeight="1" spans="2:20">
      <c r="B24">
        <v>22</v>
      </c>
      <c r="C24">
        <v>3501</v>
      </c>
      <c r="D24" s="29" t="s">
        <v>750</v>
      </c>
      <c r="E24" t="s">
        <v>827</v>
      </c>
      <c r="F24" s="71" t="s">
        <v>828</v>
      </c>
      <c r="G24" s="69" t="s">
        <v>79</v>
      </c>
      <c r="H24" s="69" t="s">
        <v>421</v>
      </c>
      <c r="I24" s="69" t="s">
        <v>145</v>
      </c>
      <c r="J24" s="69" t="s">
        <v>146</v>
      </c>
      <c r="K24" s="69" t="s">
        <v>128</v>
      </c>
      <c r="L24" s="69" t="s">
        <v>249</v>
      </c>
      <c r="M24">
        <f t="shared" si="0"/>
        <v>6</v>
      </c>
      <c r="N24">
        <f t="shared" si="1"/>
        <v>5</v>
      </c>
      <c r="O24">
        <f t="shared" si="2"/>
        <v>1</v>
      </c>
      <c r="P24">
        <f t="shared" si="3"/>
        <v>9</v>
      </c>
      <c r="Q24">
        <v>3501</v>
      </c>
      <c r="R24" t="s">
        <v>802</v>
      </c>
      <c r="S24" t="s">
        <v>803</v>
      </c>
      <c r="T24" t="str">
        <f t="shared" si="4"/>
        <v>6,100;5,100;1,100;9,100;3501,100</v>
      </c>
    </row>
    <row r="25" ht="16.5" customHeight="1" spans="2:20">
      <c r="B25">
        <v>23</v>
      </c>
      <c r="C25">
        <v>3502</v>
      </c>
      <c r="D25" s="29" t="s">
        <v>751</v>
      </c>
      <c r="E25" t="s">
        <v>827</v>
      </c>
      <c r="F25" s="74" t="s">
        <v>829</v>
      </c>
      <c r="G25" s="69" t="s">
        <v>79</v>
      </c>
      <c r="H25" s="69" t="s">
        <v>421</v>
      </c>
      <c r="I25" s="69" t="s">
        <v>130</v>
      </c>
      <c r="J25" s="69" t="s">
        <v>128</v>
      </c>
      <c r="K25" s="69" t="s">
        <v>128</v>
      </c>
      <c r="L25" s="69" t="s">
        <v>143</v>
      </c>
      <c r="M25">
        <f t="shared" si="0"/>
        <v>4</v>
      </c>
      <c r="N25">
        <f t="shared" si="1"/>
        <v>1</v>
      </c>
      <c r="O25">
        <f t="shared" si="2"/>
        <v>1</v>
      </c>
      <c r="P25">
        <f t="shared" si="3"/>
        <v>7</v>
      </c>
      <c r="Q25">
        <v>3502</v>
      </c>
      <c r="R25" t="s">
        <v>802</v>
      </c>
      <c r="S25" t="s">
        <v>803</v>
      </c>
      <c r="T25" t="str">
        <f t="shared" si="4"/>
        <v>4,100;1,100;1,100;7,100;3502,100</v>
      </c>
    </row>
    <row r="26" ht="16.5" customHeight="1" spans="2:20">
      <c r="B26">
        <v>24</v>
      </c>
      <c r="C26">
        <v>3503</v>
      </c>
      <c r="D26" s="29" t="s">
        <v>752</v>
      </c>
      <c r="E26" t="s">
        <v>827</v>
      </c>
      <c r="F26" s="74" t="s">
        <v>830</v>
      </c>
      <c r="G26" s="69" t="s">
        <v>79</v>
      </c>
      <c r="H26" s="69" t="s">
        <v>421</v>
      </c>
      <c r="I26" s="69" t="s">
        <v>141</v>
      </c>
      <c r="J26" s="69" t="s">
        <v>142</v>
      </c>
      <c r="K26" s="69" t="s">
        <v>144</v>
      </c>
      <c r="L26" s="69" t="s">
        <v>145</v>
      </c>
      <c r="M26">
        <f t="shared" si="0"/>
        <v>13</v>
      </c>
      <c r="N26">
        <f t="shared" si="1"/>
        <v>14</v>
      </c>
      <c r="O26">
        <f t="shared" si="2"/>
        <v>8</v>
      </c>
      <c r="P26">
        <f t="shared" si="3"/>
        <v>6</v>
      </c>
      <c r="Q26">
        <v>3503</v>
      </c>
      <c r="R26" t="s">
        <v>802</v>
      </c>
      <c r="S26" t="s">
        <v>803</v>
      </c>
      <c r="T26" t="str">
        <f t="shared" si="4"/>
        <v>13,100;14,100;8,100;6,100;3503,100</v>
      </c>
    </row>
    <row r="27" ht="16.5" customHeight="1" spans="2:20">
      <c r="B27">
        <v>25</v>
      </c>
      <c r="C27">
        <v>3504</v>
      </c>
      <c r="D27" s="72" t="s">
        <v>753</v>
      </c>
      <c r="E27" s="73" t="s">
        <v>827</v>
      </c>
      <c r="F27" s="71" t="s">
        <v>831</v>
      </c>
      <c r="G27" s="69" t="s">
        <v>79</v>
      </c>
      <c r="H27" s="69" t="s">
        <v>421</v>
      </c>
      <c r="I27" s="69" t="s">
        <v>145</v>
      </c>
      <c r="J27" s="69" t="s">
        <v>146</v>
      </c>
      <c r="K27" s="69" t="s">
        <v>128</v>
      </c>
      <c r="L27" s="69" t="s">
        <v>128</v>
      </c>
      <c r="M27">
        <f t="shared" si="0"/>
        <v>6</v>
      </c>
      <c r="N27">
        <f t="shared" si="1"/>
        <v>5</v>
      </c>
      <c r="O27">
        <f t="shared" si="2"/>
        <v>1</v>
      </c>
      <c r="P27">
        <f t="shared" si="3"/>
        <v>1</v>
      </c>
      <c r="Q27">
        <v>3504</v>
      </c>
      <c r="R27" t="s">
        <v>802</v>
      </c>
      <c r="S27" t="s">
        <v>803</v>
      </c>
      <c r="T27" t="str">
        <f t="shared" si="4"/>
        <v>6,100;5,100;1,100;1,100;3504,100</v>
      </c>
    </row>
    <row r="28" ht="27" customHeight="1" spans="2:20">
      <c r="B28">
        <v>26</v>
      </c>
      <c r="C28">
        <v>3601</v>
      </c>
      <c r="D28" s="29" t="s">
        <v>754</v>
      </c>
      <c r="E28" t="s">
        <v>832</v>
      </c>
      <c r="F28" s="71" t="s">
        <v>833</v>
      </c>
      <c r="G28" s="69" t="s">
        <v>80</v>
      </c>
      <c r="H28" s="69" t="s">
        <v>430</v>
      </c>
      <c r="I28" s="69" t="s">
        <v>146</v>
      </c>
      <c r="J28" s="69" t="s">
        <v>145</v>
      </c>
      <c r="K28" s="69" t="s">
        <v>128</v>
      </c>
      <c r="L28" s="69" t="s">
        <v>130</v>
      </c>
      <c r="M28">
        <f t="shared" si="0"/>
        <v>5</v>
      </c>
      <c r="N28">
        <f t="shared" si="1"/>
        <v>6</v>
      </c>
      <c r="O28">
        <f t="shared" si="2"/>
        <v>1</v>
      </c>
      <c r="P28">
        <f t="shared" si="3"/>
        <v>4</v>
      </c>
      <c r="Q28">
        <v>3601</v>
      </c>
      <c r="R28" t="s">
        <v>802</v>
      </c>
      <c r="S28" t="s">
        <v>803</v>
      </c>
      <c r="T28" t="str">
        <f t="shared" si="4"/>
        <v>5,100;6,100;1,100;4,100;3601,100</v>
      </c>
    </row>
    <row r="29" ht="16.5" customHeight="1" spans="2:20">
      <c r="B29">
        <v>27</v>
      </c>
      <c r="C29">
        <v>3602</v>
      </c>
      <c r="D29" s="29" t="s">
        <v>755</v>
      </c>
      <c r="E29" t="s">
        <v>832</v>
      </c>
      <c r="F29" s="74" t="s">
        <v>834</v>
      </c>
      <c r="G29" s="69" t="s">
        <v>80</v>
      </c>
      <c r="H29" s="69" t="s">
        <v>430</v>
      </c>
      <c r="I29" s="69" t="s">
        <v>145</v>
      </c>
      <c r="J29" s="69" t="s">
        <v>128</v>
      </c>
      <c r="K29" s="69" t="s">
        <v>143</v>
      </c>
      <c r="L29" s="69" t="s">
        <v>249</v>
      </c>
      <c r="M29">
        <f t="shared" si="0"/>
        <v>6</v>
      </c>
      <c r="N29">
        <f t="shared" si="1"/>
        <v>1</v>
      </c>
      <c r="O29">
        <f t="shared" si="2"/>
        <v>7</v>
      </c>
      <c r="P29">
        <f t="shared" si="3"/>
        <v>9</v>
      </c>
      <c r="Q29">
        <v>3602</v>
      </c>
      <c r="R29" t="s">
        <v>802</v>
      </c>
      <c r="S29" t="s">
        <v>803</v>
      </c>
      <c r="T29" t="str">
        <f t="shared" si="4"/>
        <v>6,100;1,100;7,100;9,100;3602,100</v>
      </c>
    </row>
    <row r="30" ht="16.5" customHeight="1" spans="2:20">
      <c r="B30">
        <v>28</v>
      </c>
      <c r="C30">
        <v>3603</v>
      </c>
      <c r="D30" s="29" t="s">
        <v>756</v>
      </c>
      <c r="E30" t="s">
        <v>832</v>
      </c>
      <c r="F30" s="74" t="s">
        <v>835</v>
      </c>
      <c r="G30" s="69" t="s">
        <v>80</v>
      </c>
      <c r="H30" s="69" t="s">
        <v>430</v>
      </c>
      <c r="I30" s="69" t="s">
        <v>145</v>
      </c>
      <c r="J30" s="69" t="s">
        <v>141</v>
      </c>
      <c r="K30" s="69" t="s">
        <v>143</v>
      </c>
      <c r="L30" s="69" t="s">
        <v>128</v>
      </c>
      <c r="M30">
        <f t="shared" si="0"/>
        <v>6</v>
      </c>
      <c r="N30">
        <f t="shared" si="1"/>
        <v>13</v>
      </c>
      <c r="O30">
        <f t="shared" si="2"/>
        <v>7</v>
      </c>
      <c r="P30">
        <f t="shared" si="3"/>
        <v>1</v>
      </c>
      <c r="Q30">
        <v>3603</v>
      </c>
      <c r="R30" t="s">
        <v>802</v>
      </c>
      <c r="S30" t="s">
        <v>803</v>
      </c>
      <c r="T30" t="str">
        <f t="shared" si="4"/>
        <v>6,100;13,100;7,100;1,100;3603,100</v>
      </c>
    </row>
    <row r="31" ht="16.5" customHeight="1" spans="2:20">
      <c r="B31">
        <v>29</v>
      </c>
      <c r="C31">
        <v>3604</v>
      </c>
      <c r="D31" s="72" t="s">
        <v>757</v>
      </c>
      <c r="E31" s="73" t="s">
        <v>832</v>
      </c>
      <c r="F31" s="71" t="s">
        <v>836</v>
      </c>
      <c r="G31" s="69" t="s">
        <v>80</v>
      </c>
      <c r="H31" s="69" t="s">
        <v>430</v>
      </c>
      <c r="I31" s="69" t="s">
        <v>145</v>
      </c>
      <c r="J31" s="69" t="s">
        <v>128</v>
      </c>
      <c r="K31" s="69" t="s">
        <v>144</v>
      </c>
      <c r="L31" s="69" t="s">
        <v>146</v>
      </c>
      <c r="M31">
        <f t="shared" si="0"/>
        <v>6</v>
      </c>
      <c r="N31">
        <f t="shared" si="1"/>
        <v>1</v>
      </c>
      <c r="O31">
        <f t="shared" si="2"/>
        <v>8</v>
      </c>
      <c r="P31">
        <f t="shared" si="3"/>
        <v>5</v>
      </c>
      <c r="Q31">
        <v>3604</v>
      </c>
      <c r="R31" t="s">
        <v>802</v>
      </c>
      <c r="S31" t="s">
        <v>803</v>
      </c>
      <c r="T31" t="str">
        <f t="shared" si="4"/>
        <v>6,100;1,100;8,100;5,100;3604,100</v>
      </c>
    </row>
    <row r="32" ht="16.5" customHeight="1" spans="2:20">
      <c r="B32">
        <v>30</v>
      </c>
      <c r="C32">
        <v>3701</v>
      </c>
      <c r="D32" s="29" t="s">
        <v>758</v>
      </c>
      <c r="E32" t="s">
        <v>837</v>
      </c>
      <c r="F32" s="71" t="s">
        <v>838</v>
      </c>
      <c r="G32" s="69" t="s">
        <v>80</v>
      </c>
      <c r="H32" s="69" t="s">
        <v>145</v>
      </c>
      <c r="I32" s="69" t="s">
        <v>145</v>
      </c>
      <c r="J32" s="69" t="s">
        <v>130</v>
      </c>
      <c r="K32" s="69" t="s">
        <v>128</v>
      </c>
      <c r="L32" s="69" t="s">
        <v>143</v>
      </c>
      <c r="M32">
        <f t="shared" si="0"/>
        <v>6</v>
      </c>
      <c r="N32">
        <f t="shared" si="1"/>
        <v>4</v>
      </c>
      <c r="O32">
        <f t="shared" si="2"/>
        <v>1</v>
      </c>
      <c r="P32">
        <f t="shared" si="3"/>
        <v>7</v>
      </c>
      <c r="Q32">
        <v>3701</v>
      </c>
      <c r="R32" t="s">
        <v>802</v>
      </c>
      <c r="S32" t="s">
        <v>803</v>
      </c>
      <c r="T32" t="str">
        <f t="shared" si="4"/>
        <v>6,100;4,100;1,100;7,100;3701,100</v>
      </c>
    </row>
    <row r="33" ht="16.5" customHeight="1" spans="2:20">
      <c r="B33">
        <v>31</v>
      </c>
      <c r="C33">
        <v>3702</v>
      </c>
      <c r="D33" s="29" t="s">
        <v>759</v>
      </c>
      <c r="E33" t="s">
        <v>837</v>
      </c>
      <c r="F33" s="71" t="s">
        <v>839</v>
      </c>
      <c r="G33" s="69" t="s">
        <v>80</v>
      </c>
      <c r="H33" s="69" t="s">
        <v>145</v>
      </c>
      <c r="I33" s="69" t="s">
        <v>145</v>
      </c>
      <c r="J33" s="69" t="s">
        <v>146</v>
      </c>
      <c r="K33" s="69" t="s">
        <v>128</v>
      </c>
      <c r="L33" s="69" t="s">
        <v>249</v>
      </c>
      <c r="M33">
        <f t="shared" si="0"/>
        <v>6</v>
      </c>
      <c r="N33">
        <f t="shared" si="1"/>
        <v>5</v>
      </c>
      <c r="O33">
        <f t="shared" si="2"/>
        <v>1</v>
      </c>
      <c r="P33">
        <f t="shared" si="3"/>
        <v>9</v>
      </c>
      <c r="Q33">
        <v>3702</v>
      </c>
      <c r="R33" t="s">
        <v>802</v>
      </c>
      <c r="S33" t="s">
        <v>803</v>
      </c>
      <c r="T33" t="str">
        <f t="shared" si="4"/>
        <v>6,100;5,100;1,100;9,100;3702,100</v>
      </c>
    </row>
    <row r="34" ht="16.5" customHeight="1" spans="2:20">
      <c r="B34">
        <v>32</v>
      </c>
      <c r="C34">
        <v>3703</v>
      </c>
      <c r="D34" s="29" t="s">
        <v>760</v>
      </c>
      <c r="E34" t="s">
        <v>837</v>
      </c>
      <c r="F34" s="74" t="s">
        <v>840</v>
      </c>
      <c r="G34" s="69" t="s">
        <v>80</v>
      </c>
      <c r="H34" s="69" t="s">
        <v>145</v>
      </c>
      <c r="I34" s="69" t="s">
        <v>142</v>
      </c>
      <c r="J34" s="69" t="s">
        <v>128</v>
      </c>
      <c r="K34" s="69" t="s">
        <v>144</v>
      </c>
      <c r="L34" s="69" t="s">
        <v>146</v>
      </c>
      <c r="M34">
        <f t="shared" si="0"/>
        <v>14</v>
      </c>
      <c r="N34">
        <f t="shared" si="1"/>
        <v>1</v>
      </c>
      <c r="O34">
        <f t="shared" si="2"/>
        <v>8</v>
      </c>
      <c r="P34">
        <f t="shared" si="3"/>
        <v>5</v>
      </c>
      <c r="Q34">
        <v>3703</v>
      </c>
      <c r="R34" t="s">
        <v>802</v>
      </c>
      <c r="S34" t="s">
        <v>803</v>
      </c>
      <c r="T34" t="str">
        <f t="shared" si="4"/>
        <v>14,100;1,100;8,100;5,100;3703,100</v>
      </c>
    </row>
    <row r="35" ht="16.5" customHeight="1" spans="2:20">
      <c r="B35">
        <v>33</v>
      </c>
      <c r="C35">
        <v>3704</v>
      </c>
      <c r="D35" s="72" t="s">
        <v>761</v>
      </c>
      <c r="E35" s="73" t="s">
        <v>837</v>
      </c>
      <c r="F35" s="74" t="s">
        <v>841</v>
      </c>
      <c r="G35" s="69" t="s">
        <v>80</v>
      </c>
      <c r="H35" s="69" t="s">
        <v>145</v>
      </c>
      <c r="I35" s="69" t="s">
        <v>142</v>
      </c>
      <c r="J35" s="69" t="s">
        <v>128</v>
      </c>
      <c r="K35" s="69" t="s">
        <v>145</v>
      </c>
      <c r="L35" s="69" t="s">
        <v>143</v>
      </c>
      <c r="M35">
        <f t="shared" si="0"/>
        <v>14</v>
      </c>
      <c r="N35">
        <f t="shared" si="1"/>
        <v>1</v>
      </c>
      <c r="O35">
        <f t="shared" si="2"/>
        <v>6</v>
      </c>
      <c r="P35">
        <f t="shared" si="3"/>
        <v>7</v>
      </c>
      <c r="Q35">
        <v>3704</v>
      </c>
      <c r="R35" t="s">
        <v>802</v>
      </c>
      <c r="S35" t="s">
        <v>803</v>
      </c>
      <c r="T35" t="str">
        <f t="shared" si="4"/>
        <v>14,100;1,100;6,100;7,100;3704,100</v>
      </c>
    </row>
    <row r="36" ht="16.5" customHeight="1" spans="2:20">
      <c r="B36">
        <v>34</v>
      </c>
      <c r="C36">
        <v>3801</v>
      </c>
      <c r="D36" s="29" t="s">
        <v>762</v>
      </c>
      <c r="E36" t="s">
        <v>842</v>
      </c>
      <c r="F36" s="74" t="s">
        <v>843</v>
      </c>
      <c r="G36" s="69" t="s">
        <v>143</v>
      </c>
      <c r="H36" s="69" t="s">
        <v>144</v>
      </c>
      <c r="I36" s="69" t="s">
        <v>145</v>
      </c>
      <c r="J36" s="69" t="s">
        <v>143</v>
      </c>
      <c r="K36" s="69" t="s">
        <v>144</v>
      </c>
      <c r="L36" s="69" t="s">
        <v>128</v>
      </c>
      <c r="M36">
        <f t="shared" si="0"/>
        <v>6</v>
      </c>
      <c r="N36">
        <f t="shared" si="1"/>
        <v>7</v>
      </c>
      <c r="O36">
        <f t="shared" si="2"/>
        <v>8</v>
      </c>
      <c r="P36">
        <f t="shared" si="3"/>
        <v>1</v>
      </c>
      <c r="Q36">
        <v>3801</v>
      </c>
      <c r="R36" t="s">
        <v>802</v>
      </c>
      <c r="S36" t="s">
        <v>803</v>
      </c>
      <c r="T36" t="str">
        <f t="shared" si="4"/>
        <v>6,100;7,100;8,100;1,100;3801,100</v>
      </c>
    </row>
    <row r="37" ht="16.5" customHeight="1" spans="2:20">
      <c r="B37">
        <v>35</v>
      </c>
      <c r="C37">
        <v>3802</v>
      </c>
      <c r="D37" s="29" t="s">
        <v>763</v>
      </c>
      <c r="E37" t="s">
        <v>842</v>
      </c>
      <c r="F37" s="71" t="s">
        <v>844</v>
      </c>
      <c r="G37" s="69" t="s">
        <v>143</v>
      </c>
      <c r="H37" s="69" t="s">
        <v>144</v>
      </c>
      <c r="I37" s="69" t="s">
        <v>141</v>
      </c>
      <c r="J37" s="69" t="s">
        <v>143</v>
      </c>
      <c r="K37" s="69" t="s">
        <v>144</v>
      </c>
      <c r="L37" s="69" t="s">
        <v>249</v>
      </c>
      <c r="M37">
        <f t="shared" si="0"/>
        <v>13</v>
      </c>
      <c r="N37">
        <f t="shared" si="1"/>
        <v>7</v>
      </c>
      <c r="O37">
        <f t="shared" si="2"/>
        <v>8</v>
      </c>
      <c r="P37">
        <f t="shared" si="3"/>
        <v>9</v>
      </c>
      <c r="Q37">
        <v>3802</v>
      </c>
      <c r="R37" t="s">
        <v>802</v>
      </c>
      <c r="S37" t="s">
        <v>803</v>
      </c>
      <c r="T37" t="str">
        <f t="shared" si="4"/>
        <v>13,100;7,100;8,100;9,100;3802,100</v>
      </c>
    </row>
    <row r="38" ht="16.5" customHeight="1" spans="2:20">
      <c r="B38">
        <v>36</v>
      </c>
      <c r="C38">
        <v>3803</v>
      </c>
      <c r="D38" s="29" t="s">
        <v>764</v>
      </c>
      <c r="E38" t="s">
        <v>842</v>
      </c>
      <c r="F38" s="71" t="s">
        <v>845</v>
      </c>
      <c r="G38" s="69" t="s">
        <v>143</v>
      </c>
      <c r="H38" s="69" t="s">
        <v>144</v>
      </c>
      <c r="I38" s="69" t="s">
        <v>141</v>
      </c>
      <c r="J38" s="69" t="s">
        <v>142</v>
      </c>
      <c r="K38" s="69" t="s">
        <v>143</v>
      </c>
      <c r="L38" s="69" t="s">
        <v>130</v>
      </c>
      <c r="M38">
        <f t="shared" si="0"/>
        <v>13</v>
      </c>
      <c r="N38">
        <f t="shared" si="1"/>
        <v>14</v>
      </c>
      <c r="O38">
        <f t="shared" si="2"/>
        <v>7</v>
      </c>
      <c r="P38">
        <f t="shared" si="3"/>
        <v>4</v>
      </c>
      <c r="Q38">
        <v>3803</v>
      </c>
      <c r="R38" t="s">
        <v>802</v>
      </c>
      <c r="S38" t="s">
        <v>803</v>
      </c>
      <c r="T38" t="str">
        <f t="shared" si="4"/>
        <v>13,100;14,100;7,100;4,100;3803,100</v>
      </c>
    </row>
    <row r="39" ht="27" customHeight="1" spans="2:20">
      <c r="B39">
        <v>37</v>
      </c>
      <c r="C39">
        <v>3804</v>
      </c>
      <c r="D39" s="29" t="s">
        <v>765</v>
      </c>
      <c r="E39" t="s">
        <v>842</v>
      </c>
      <c r="F39" s="74" t="s">
        <v>846</v>
      </c>
      <c r="G39" s="69" t="s">
        <v>143</v>
      </c>
      <c r="H39" s="69" t="s">
        <v>144</v>
      </c>
      <c r="I39" s="69" t="s">
        <v>130</v>
      </c>
      <c r="J39" s="69" t="s">
        <v>81</v>
      </c>
      <c r="K39" s="69" t="s">
        <v>143</v>
      </c>
      <c r="L39" s="69" t="s">
        <v>144</v>
      </c>
      <c r="M39">
        <f t="shared" si="0"/>
        <v>4</v>
      </c>
      <c r="N39">
        <f t="shared" si="1"/>
        <v>11</v>
      </c>
      <c r="O39">
        <f t="shared" si="2"/>
        <v>7</v>
      </c>
      <c r="P39">
        <f t="shared" si="3"/>
        <v>8</v>
      </c>
      <c r="Q39">
        <v>3804</v>
      </c>
      <c r="R39" t="s">
        <v>802</v>
      </c>
      <c r="S39" t="s">
        <v>803</v>
      </c>
      <c r="T39" t="str">
        <f t="shared" si="4"/>
        <v>4,100;11,100;7,100;8,100;3804,100</v>
      </c>
    </row>
    <row r="41" ht="21" customHeight="1" spans="2:20">
      <c r="M41" s="29" t="s">
        <v>128</v>
      </c>
      <c r="N41" s="75" t="s">
        <v>770</v>
      </c>
      <c r="O41" s="75">
        <v>1</v>
      </c>
    </row>
    <row r="42" ht="21" customHeight="1" spans="2:20">
      <c r="M42" s="29" t="s">
        <v>128</v>
      </c>
      <c r="N42" s="75" t="s">
        <v>772</v>
      </c>
      <c r="O42" s="75">
        <v>2</v>
      </c>
    </row>
    <row r="43" ht="21" customHeight="1" spans="2:20">
      <c r="M43" s="29" t="s">
        <v>129</v>
      </c>
      <c r="N43" s="75" t="s">
        <v>771</v>
      </c>
      <c r="O43" s="75">
        <v>3</v>
      </c>
    </row>
    <row r="44" ht="21" customHeight="1" spans="2:20">
      <c r="M44" s="29" t="s">
        <v>130</v>
      </c>
      <c r="N44" s="75" t="s">
        <v>773</v>
      </c>
      <c r="O44" s="75">
        <v>4</v>
      </c>
    </row>
    <row r="45" ht="21" customHeight="1" spans="2:20">
      <c r="M45" s="29" t="s">
        <v>146</v>
      </c>
      <c r="N45" s="75" t="s">
        <v>774</v>
      </c>
      <c r="O45" s="75">
        <v>5</v>
      </c>
    </row>
    <row r="46" ht="21" customHeight="1" spans="2:20">
      <c r="M46" s="29" t="s">
        <v>145</v>
      </c>
      <c r="N46" s="75" t="s">
        <v>775</v>
      </c>
      <c r="O46" s="75">
        <v>6</v>
      </c>
    </row>
    <row r="47" ht="21" customHeight="1" spans="2:20">
      <c r="M47" s="29" t="s">
        <v>143</v>
      </c>
      <c r="N47" s="75" t="s">
        <v>776</v>
      </c>
      <c r="O47" s="75">
        <v>7</v>
      </c>
    </row>
    <row r="48" ht="21" customHeight="1" spans="2:20">
      <c r="M48" s="29" t="s">
        <v>144</v>
      </c>
      <c r="N48" s="75" t="s">
        <v>777</v>
      </c>
      <c r="O48" s="75">
        <v>8</v>
      </c>
    </row>
    <row r="49" ht="21" customHeight="1" spans="13:15">
      <c r="M49" s="29" t="s">
        <v>249</v>
      </c>
      <c r="N49" s="75" t="s">
        <v>766</v>
      </c>
      <c r="O49" s="75">
        <v>9</v>
      </c>
    </row>
    <row r="50" ht="21" customHeight="1" spans="13:15">
      <c r="M50" s="29" t="s">
        <v>249</v>
      </c>
      <c r="N50" s="75" t="s">
        <v>767</v>
      </c>
      <c r="O50" s="75">
        <v>10</v>
      </c>
    </row>
    <row r="51" ht="21" customHeight="1" spans="13:15">
      <c r="M51" s="29" t="s">
        <v>81</v>
      </c>
      <c r="N51" s="75" t="s">
        <v>769</v>
      </c>
      <c r="O51" s="75">
        <v>11</v>
      </c>
    </row>
    <row r="52" ht="21" customHeight="1" spans="13:15">
      <c r="M52" s="29" t="s">
        <v>79</v>
      </c>
      <c r="N52" s="75" t="s">
        <v>768</v>
      </c>
      <c r="O52" s="75">
        <v>12</v>
      </c>
    </row>
    <row r="53" ht="21" customHeight="1" spans="13:15">
      <c r="M53" s="29" t="s">
        <v>141</v>
      </c>
      <c r="N53" s="75" t="s">
        <v>787</v>
      </c>
      <c r="O53" s="75">
        <v>13</v>
      </c>
    </row>
    <row r="54" ht="21" customHeight="1" spans="13:15">
      <c r="M54" s="29" t="s">
        <v>142</v>
      </c>
      <c r="N54" s="76" t="s">
        <v>788</v>
      </c>
      <c r="O54" s="76">
        <v>14</v>
      </c>
    </row>
  </sheetData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A116"/>
  <sheetViews>
    <sheetView topLeftCell="A24" workbookViewId="0">
      <pane xSplit="3" topLeftCell="D1" activePane="topRight" state="frozen"/>
      <selection/>
      <selection pane="topRight" activeCell="A24" sqref="$A1:$XFD1048576"/>
    </sheetView>
  </sheetViews>
  <sheetFormatPr defaultColWidth="9" defaultRowHeight="16.5"/>
  <cols>
    <col min="1" max="1" width="9" style="25" customWidth="1"/>
    <col min="2" max="2" width="16.125" style="25" customWidth="1"/>
    <col min="3" max="3" width="10.875" style="25" customWidth="1"/>
    <col min="4" max="7" width="13.5" style="25" customWidth="1"/>
    <col min="8" max="8" width="13.125" style="25" customWidth="1"/>
    <col min="9" max="11" width="15" style="25" customWidth="1"/>
    <col min="12" max="15" width="10.875" style="25" customWidth="1"/>
    <col min="16" max="17" width="15" style="25" customWidth="1"/>
    <col min="18" max="20" width="10.875" style="25" customWidth="1"/>
    <col min="21" max="24" width="12.875" style="25" customWidth="1"/>
    <col min="25" max="25" width="10.875" style="25" customWidth="1"/>
    <col min="26" max="26" width="8.875" style="25" customWidth="1"/>
    <col min="27" max="30" width="11" style="25" customWidth="1"/>
    <col min="31" max="31" width="15" style="25" customWidth="1"/>
    <col min="32" max="32" width="14.875" style="25" customWidth="1"/>
    <col min="33" max="33" width="15" style="25" customWidth="1"/>
    <col min="34" max="34" width="12.875" style="25" customWidth="1"/>
    <col min="35" max="36" width="15" style="25" customWidth="1"/>
    <col min="37" max="38" width="10.875" style="25" customWidth="1"/>
    <col min="39" max="39" width="15" style="25" customWidth="1"/>
    <col min="40" max="41" width="19.125" style="25" customWidth="1"/>
    <col min="42" max="42" width="15" style="25" customWidth="1"/>
    <col min="43" max="44" width="10.875" style="25" customWidth="1"/>
    <col min="45" max="48" width="12.875" style="25" customWidth="1"/>
    <col min="49" max="49" width="8.875" style="25" customWidth="1"/>
    <col min="50" max="50" width="9" style="25" customWidth="1"/>
    <col min="51" max="51" width="15.625" style="25" customWidth="1"/>
    <col min="52" max="53" width="15" style="25" customWidth="1"/>
    <col min="54" max="16384" width="9" style="25" customWidth="1"/>
  </cols>
  <sheetData>
    <row r="2" spans="2:9">
      <c r="B2" s="56" t="s">
        <v>847</v>
      </c>
      <c r="C2" s="56" t="s">
        <v>79</v>
      </c>
      <c r="D2" s="56" t="s">
        <v>80</v>
      </c>
      <c r="E2" s="56" t="s">
        <v>81</v>
      </c>
      <c r="I2" s="56" t="s">
        <v>848</v>
      </c>
    </row>
    <row r="3" spans="2:9">
      <c r="B3" s="29" t="s">
        <v>849</v>
      </c>
      <c r="C3" s="57">
        <v>1.2</v>
      </c>
      <c r="D3" s="57">
        <v>0.7</v>
      </c>
      <c r="E3" s="57">
        <v>1.1</v>
      </c>
      <c r="I3" s="25">
        <f t="shared" ref="I3:I11" si="0">SUM(C3:E3)</f>
        <v>3</v>
      </c>
    </row>
    <row r="4" spans="2:9">
      <c r="B4" s="29" t="s">
        <v>850</v>
      </c>
      <c r="C4" s="57">
        <v>1.4</v>
      </c>
      <c r="D4" s="57">
        <v>0.6</v>
      </c>
      <c r="E4" s="57">
        <v>1</v>
      </c>
      <c r="I4" s="25">
        <f t="shared" si="0"/>
        <v>3</v>
      </c>
    </row>
    <row r="5" spans="2:9">
      <c r="B5" s="29" t="s">
        <v>851</v>
      </c>
      <c r="C5" s="57">
        <v>1.2</v>
      </c>
      <c r="D5" s="57">
        <v>0.6</v>
      </c>
      <c r="E5" s="57">
        <v>1.2</v>
      </c>
      <c r="I5" s="25">
        <f t="shared" si="0"/>
        <v>3</v>
      </c>
    </row>
    <row r="6" spans="2:9">
      <c r="B6" s="29" t="s">
        <v>852</v>
      </c>
      <c r="C6" s="57">
        <v>0.9</v>
      </c>
      <c r="D6" s="57">
        <v>1.1</v>
      </c>
      <c r="E6" s="57">
        <v>1</v>
      </c>
      <c r="I6" s="25">
        <f t="shared" si="0"/>
        <v>3</v>
      </c>
    </row>
    <row r="7" spans="2:9">
      <c r="B7" s="29" t="s">
        <v>853</v>
      </c>
      <c r="C7" s="57">
        <v>1.05</v>
      </c>
      <c r="D7" s="57">
        <v>0.95</v>
      </c>
      <c r="E7" s="57">
        <v>1</v>
      </c>
      <c r="I7" s="25">
        <f t="shared" si="0"/>
        <v>3</v>
      </c>
    </row>
    <row r="8" spans="2:9">
      <c r="B8" s="29" t="s">
        <v>854</v>
      </c>
      <c r="C8" s="57">
        <v>0.8</v>
      </c>
      <c r="D8" s="57">
        <v>1.2</v>
      </c>
      <c r="E8" s="57">
        <v>1</v>
      </c>
      <c r="I8" s="25">
        <f t="shared" si="0"/>
        <v>3</v>
      </c>
    </row>
    <row r="9" spans="2:9">
      <c r="B9" s="29" t="s">
        <v>855</v>
      </c>
      <c r="C9" s="57">
        <v>1.1</v>
      </c>
      <c r="D9" s="57">
        <v>0.85</v>
      </c>
      <c r="E9" s="57">
        <v>1.05</v>
      </c>
      <c r="I9" s="25">
        <f t="shared" si="0"/>
        <v>3</v>
      </c>
    </row>
    <row r="10" spans="2:9">
      <c r="B10" s="29" t="s">
        <v>856</v>
      </c>
      <c r="C10" s="57">
        <v>1</v>
      </c>
      <c r="D10" s="57">
        <v>0.9</v>
      </c>
      <c r="E10" s="57">
        <v>1.1</v>
      </c>
      <c r="I10" s="25">
        <f t="shared" si="0"/>
        <v>3</v>
      </c>
    </row>
    <row r="11" spans="2:9">
      <c r="B11" s="29" t="s">
        <v>857</v>
      </c>
      <c r="C11" s="57">
        <v>1.2</v>
      </c>
      <c r="D11" s="57">
        <v>0.85</v>
      </c>
      <c r="E11" s="57">
        <v>0.95</v>
      </c>
      <c r="I11" s="25">
        <f t="shared" si="0"/>
        <v>3</v>
      </c>
    </row>
    <row r="12" spans="2:9">
      <c r="B12" s="29"/>
      <c r="C12" s="29"/>
      <c r="D12" s="29"/>
      <c r="E12" s="29"/>
    </row>
    <row r="13" spans="2:9">
      <c r="B13" s="56" t="s">
        <v>858</v>
      </c>
      <c r="C13" s="56" t="s">
        <v>859</v>
      </c>
      <c r="E13" s="29"/>
    </row>
    <row r="14" spans="2:9">
      <c r="B14" s="58" t="s">
        <v>159</v>
      </c>
      <c r="C14" s="59">
        <v>1</v>
      </c>
    </row>
    <row r="15" spans="2:9">
      <c r="B15" s="60" t="s">
        <v>158</v>
      </c>
      <c r="C15" s="59">
        <v>0.8</v>
      </c>
      <c r="E15" s="29"/>
    </row>
    <row r="16" spans="2:9">
      <c r="B16" s="61" t="s">
        <v>157</v>
      </c>
      <c r="C16" s="59">
        <v>0.7</v>
      </c>
      <c r="E16" s="29"/>
    </row>
    <row r="17" spans="2:53">
      <c r="B17" s="56" t="s">
        <v>858</v>
      </c>
      <c r="C17" s="56" t="s">
        <v>860</v>
      </c>
      <c r="D17" s="56" t="s">
        <v>860</v>
      </c>
      <c r="E17" s="29"/>
    </row>
    <row r="18" spans="2:53">
      <c r="B18" s="29" t="s">
        <v>861</v>
      </c>
      <c r="C18" s="59">
        <v>1</v>
      </c>
      <c r="D18" s="59">
        <v>0.8</v>
      </c>
      <c r="E18" s="29"/>
    </row>
    <row r="19" spans="2:53">
      <c r="B19" s="29" t="s">
        <v>862</v>
      </c>
      <c r="C19" s="59">
        <v>0.8</v>
      </c>
      <c r="D19" s="59">
        <v>1</v>
      </c>
      <c r="E19" s="29"/>
    </row>
    <row r="20" spans="2:53">
      <c r="B20" s="29" t="s">
        <v>863</v>
      </c>
      <c r="C20" s="59">
        <v>0.95</v>
      </c>
      <c r="D20" s="59">
        <v>0.95</v>
      </c>
      <c r="E20" s="29"/>
    </row>
    <row r="21" spans="2:53">
      <c r="B21" s="29"/>
      <c r="C21" s="29"/>
      <c r="D21" s="29"/>
      <c r="E21" s="29"/>
    </row>
    <row r="22" spans="2:53">
      <c r="B22" s="29"/>
      <c r="C22" s="29"/>
      <c r="D22" s="29"/>
      <c r="E22" s="29"/>
    </row>
    <row r="23" spans="2:53">
      <c r="B23" s="29"/>
      <c r="C23" s="29"/>
      <c r="D23" s="29"/>
      <c r="E23" s="29"/>
      <c r="I23" s="62" t="s">
        <v>864</v>
      </c>
    </row>
    <row r="24" spans="2:53">
      <c r="I24" s="25" t="s">
        <v>865</v>
      </c>
    </row>
    <row r="25" spans="2:53">
      <c r="I25" s="25" t="s">
        <v>866</v>
      </c>
      <c r="S25" s="62" t="s">
        <v>867</v>
      </c>
      <c r="AA25" s="62" t="s">
        <v>868</v>
      </c>
      <c r="AB25" s="25" t="s">
        <v>869</v>
      </c>
      <c r="AH25" s="62" t="s">
        <v>870</v>
      </c>
      <c r="AQ25" s="62" t="s">
        <v>871</v>
      </c>
      <c r="AZ25" s="62" t="s">
        <v>32</v>
      </c>
    </row>
    <row r="26" spans="2:53">
      <c r="B26" s="27" t="s">
        <v>872</v>
      </c>
      <c r="C26" s="27" t="s">
        <v>523</v>
      </c>
      <c r="D26" s="27" t="s">
        <v>873</v>
      </c>
      <c r="E26" s="27" t="s">
        <v>858</v>
      </c>
      <c r="F26" s="27" t="s">
        <v>874</v>
      </c>
      <c r="G26" s="27" t="s">
        <v>875</v>
      </c>
      <c r="H26" s="27" t="s">
        <v>876</v>
      </c>
      <c r="I26" s="27" t="s">
        <v>877</v>
      </c>
      <c r="J26" s="27" t="s">
        <v>878</v>
      </c>
      <c r="K26" s="27" t="s">
        <v>878</v>
      </c>
      <c r="L26" s="27" t="s">
        <v>879</v>
      </c>
      <c r="M26" s="27" t="s">
        <v>880</v>
      </c>
      <c r="N26" s="27" t="s">
        <v>859</v>
      </c>
      <c r="O26" s="27" t="s">
        <v>881</v>
      </c>
      <c r="P26" s="27" t="s">
        <v>882</v>
      </c>
      <c r="Q26" s="27" t="s">
        <v>882</v>
      </c>
      <c r="R26" s="27" t="s">
        <v>883</v>
      </c>
      <c r="S26" s="27" t="s">
        <v>884</v>
      </c>
      <c r="T26" s="27" t="s">
        <v>885</v>
      </c>
      <c r="U26" s="27" t="s">
        <v>886</v>
      </c>
      <c r="V26" s="27" t="s">
        <v>887</v>
      </c>
      <c r="W26" s="27" t="s">
        <v>886</v>
      </c>
      <c r="X26" s="27" t="s">
        <v>887</v>
      </c>
      <c r="Y26" s="27" t="s">
        <v>888</v>
      </c>
      <c r="Z26" s="27" t="s">
        <v>889</v>
      </c>
      <c r="AA26" s="27" t="s">
        <v>890</v>
      </c>
      <c r="AB26" s="27" t="s">
        <v>80</v>
      </c>
      <c r="AC26" s="27" t="s">
        <v>80</v>
      </c>
      <c r="AD26" s="27" t="s">
        <v>81</v>
      </c>
      <c r="AE26" s="27" t="s">
        <v>891</v>
      </c>
      <c r="AF26" s="27" t="s">
        <v>892</v>
      </c>
      <c r="AG26" s="27" t="s">
        <v>893</v>
      </c>
      <c r="AH26" s="27" t="s">
        <v>894</v>
      </c>
      <c r="AI26" s="27" t="s">
        <v>895</v>
      </c>
      <c r="AJ26" s="27" t="s">
        <v>895</v>
      </c>
      <c r="AK26" s="27" t="s">
        <v>896</v>
      </c>
      <c r="AL26" s="27" t="s">
        <v>897</v>
      </c>
      <c r="AM26" s="27" t="s">
        <v>898</v>
      </c>
      <c r="AN26" s="27" t="s">
        <v>899</v>
      </c>
      <c r="AO26" s="27" t="s">
        <v>899</v>
      </c>
      <c r="AP26" s="27" t="s">
        <v>900</v>
      </c>
      <c r="AQ26" s="27" t="s">
        <v>884</v>
      </c>
      <c r="AR26" s="27" t="s">
        <v>885</v>
      </c>
      <c r="AS26" s="27" t="s">
        <v>886</v>
      </c>
      <c r="AT26" s="27" t="s">
        <v>887</v>
      </c>
      <c r="AU26" s="27" t="s">
        <v>886</v>
      </c>
      <c r="AV26" s="27" t="s">
        <v>887</v>
      </c>
      <c r="AW26" s="27" t="s">
        <v>888</v>
      </c>
      <c r="AX26" s="27" t="s">
        <v>889</v>
      </c>
      <c r="AY26" s="27" t="s">
        <v>901</v>
      </c>
      <c r="AZ26" s="27" t="s">
        <v>902</v>
      </c>
      <c r="BA26" s="27" t="s">
        <v>903</v>
      </c>
    </row>
    <row r="27" spans="2:53">
      <c r="B27" s="28" t="s">
        <v>321</v>
      </c>
      <c r="C27" s="58" t="s">
        <v>159</v>
      </c>
      <c r="D27" s="29" t="s">
        <v>850</v>
      </c>
      <c r="E27" s="25" t="s">
        <v>862</v>
      </c>
      <c r="F27" s="25">
        <f t="shared" ref="F27:F64" si="1">VLOOKUP($D27,$B$3:$E$14,COLUMN(E$26)-COLUMN($C$26),0)</f>
        <v>1.4</v>
      </c>
      <c r="G27" s="25">
        <f t="shared" ref="G27:G64" si="2">VLOOKUP($D27,$B$3:$E$14,COLUMN(F$26)-COLUMN($C$26),0)</f>
        <v>0.6</v>
      </c>
      <c r="H27" s="25">
        <f t="shared" ref="H27:H64" si="3">VLOOKUP($D27,$B$3:$E$14,COLUMN(G$26)-COLUMN($C$26),0)</f>
        <v>1</v>
      </c>
      <c r="I27" s="59">
        <v>1.1</v>
      </c>
      <c r="J27" s="59">
        <v>1.02</v>
      </c>
      <c r="K27" s="59">
        <v>1.02</v>
      </c>
      <c r="L27" s="59">
        <v>0.9</v>
      </c>
      <c r="M27" s="59">
        <f t="shared" ref="M27:M64" si="4">SUM(I27:L27)</f>
        <v>4.04</v>
      </c>
      <c r="N27" s="25">
        <f t="shared" ref="N27:N64" si="5">VLOOKUP(C27,$B$14:$C$16,2,0)</f>
        <v>1</v>
      </c>
      <c r="O27" s="25">
        <f t="shared" ref="O27:O64" si="6">I27*F27*$N27</f>
        <v>1.54</v>
      </c>
      <c r="P27" s="25">
        <f t="shared" ref="P27:P64" si="7">J27*G27*$N27*VLOOKUP($E27,$B$18:$D$20,2,0)</f>
        <v>0.4896</v>
      </c>
      <c r="Q27" s="25">
        <f t="shared" ref="Q27:Q64" si="8">K27*G27*$N27*VLOOKUP($E27,$B$18:$D$20,3,0)</f>
        <v>0.612</v>
      </c>
      <c r="R27" s="25">
        <f t="shared" ref="R27:R64" si="9">L27*H27*$N27</f>
        <v>0.9</v>
      </c>
      <c r="S27" s="62">
        <f>ROUND(O27*养成属性规划!$D$36,0)</f>
        <v>7700</v>
      </c>
      <c r="T27" s="62">
        <f>S27*角色升级升阶!$C$5</f>
        <v>616</v>
      </c>
      <c r="U27" s="62">
        <f>ROUND(P27*养成属性规划!$E$36,0)</f>
        <v>734</v>
      </c>
      <c r="V27" s="62">
        <f>U27*角色升级升阶!$C$5</f>
        <v>58.72</v>
      </c>
      <c r="W27" s="62">
        <f>ROUND(Q27*养成属性规划!$E$36,0)</f>
        <v>918</v>
      </c>
      <c r="X27" s="62">
        <f>W27*角色升级升阶!$C$5</f>
        <v>73.44</v>
      </c>
      <c r="Y27" s="62">
        <f>ROUND(R27*养成属性规划!$F$36,0)</f>
        <v>900</v>
      </c>
      <c r="Z27" s="62">
        <f>Y27*角色升级升阶!$C$5</f>
        <v>72</v>
      </c>
      <c r="AA27" s="25">
        <f>ROUND(角色星盘!C$23*O27,2)</f>
        <v>656.04</v>
      </c>
      <c r="AB27" s="25">
        <f>ROUND(角色星盘!D$23*P27,2)</f>
        <v>62.67</v>
      </c>
      <c r="AC27" s="25">
        <f>ROUND(角色星盘!D$23*Q27,2)</f>
        <v>78.34</v>
      </c>
      <c r="AD27" s="25">
        <f>ROUND(角色星盘!E$23*R27,2)</f>
        <v>76.5</v>
      </c>
      <c r="AE27" s="59" t="s">
        <v>904</v>
      </c>
      <c r="AF27" s="59" t="s">
        <v>128</v>
      </c>
      <c r="AG27" s="59" t="s">
        <v>146</v>
      </c>
      <c r="AH27" s="59">
        <f t="shared" ref="AH27:AH37" si="10">I27</f>
        <v>1.1</v>
      </c>
      <c r="AI27" s="59">
        <f t="shared" ref="AI27:AI37" si="11">J27</f>
        <v>1.02</v>
      </c>
      <c r="AJ27" s="59">
        <f t="shared" ref="AJ27:AJ37" si="12">K27</f>
        <v>1.02</v>
      </c>
      <c r="AK27" s="59">
        <f t="shared" ref="AK27:AK37" si="13">L27</f>
        <v>0.9</v>
      </c>
      <c r="AL27" s="25">
        <f>VLOOKUP(C27,专武!$M$45:$N$47,2,0)</f>
        <v>1</v>
      </c>
      <c r="AM27" s="25">
        <f t="shared" ref="AM27:AM64" si="14">F27*AH27*$AL27</f>
        <v>1.54</v>
      </c>
      <c r="AN27" s="25">
        <f t="shared" ref="AN27:AN64" si="15">G27*AI27*$AL27*VLOOKUP($E27,$B$18:$D$20,2,0)</f>
        <v>0.4896</v>
      </c>
      <c r="AO27" s="25">
        <f t="shared" ref="AO27:AO64" si="16">G27*AJ27*$AL27*VLOOKUP($E27,$B$18:$D$20,3,0)</f>
        <v>0.612</v>
      </c>
      <c r="AP27" s="25">
        <f t="shared" ref="AP27:AP64" si="17">H27*AK27*$AL27</f>
        <v>0.9</v>
      </c>
      <c r="AQ27" s="25">
        <f>AM27*专武!B$27</f>
        <v>4620</v>
      </c>
      <c r="AR27" s="25">
        <f>ROUND(AQ27/专武!$C$19*专武!$C$20,2)</f>
        <v>436.33</v>
      </c>
      <c r="AS27" s="25">
        <f>AN27*专武!C$27</f>
        <v>440.64</v>
      </c>
      <c r="AT27" s="25">
        <f>ROUND(AS27/专武!$C$19*专武!$C$20,2)</f>
        <v>41.62</v>
      </c>
      <c r="AU27" s="25">
        <f>AO27*专武!C$27</f>
        <v>550.8</v>
      </c>
      <c r="AV27" s="25">
        <f>ROUND(AU27/专武!$C$19*专武!$C$20,2)</f>
        <v>52.02</v>
      </c>
      <c r="AW27" s="25">
        <f>AP27*专武!D$27</f>
        <v>540</v>
      </c>
      <c r="AX27" s="25">
        <f>ROUND(AW27/专武!$C$19*专武!$C$20,2)</f>
        <v>51</v>
      </c>
      <c r="AY27" s="59" t="s">
        <v>904</v>
      </c>
      <c r="AZ27" s="59" t="s">
        <v>142</v>
      </c>
      <c r="BA27" s="59" t="s">
        <v>143</v>
      </c>
    </row>
    <row r="28" spans="2:53">
      <c r="B28" s="29" t="s">
        <v>327</v>
      </c>
      <c r="C28" s="58" t="s">
        <v>159</v>
      </c>
      <c r="D28" s="29" t="s">
        <v>852</v>
      </c>
      <c r="E28" s="25" t="s">
        <v>861</v>
      </c>
      <c r="F28" s="25">
        <f t="shared" si="1"/>
        <v>0.9</v>
      </c>
      <c r="G28" s="25">
        <f t="shared" si="2"/>
        <v>1.1</v>
      </c>
      <c r="H28" s="25">
        <f t="shared" si="3"/>
        <v>1</v>
      </c>
      <c r="I28" s="59">
        <v>1.05</v>
      </c>
      <c r="J28" s="59">
        <v>1</v>
      </c>
      <c r="K28" s="59">
        <v>0.9</v>
      </c>
      <c r="L28" s="59">
        <v>1</v>
      </c>
      <c r="M28" s="59">
        <f t="shared" si="4"/>
        <v>3.95</v>
      </c>
      <c r="N28" s="25">
        <f t="shared" si="5"/>
        <v>1</v>
      </c>
      <c r="O28" s="25">
        <f t="shared" si="6"/>
        <v>0.945</v>
      </c>
      <c r="P28" s="25">
        <f t="shared" si="7"/>
        <v>1.1</v>
      </c>
      <c r="Q28" s="25">
        <f t="shared" si="8"/>
        <v>0.792</v>
      </c>
      <c r="R28" s="25">
        <f t="shared" si="9"/>
        <v>1</v>
      </c>
      <c r="S28" s="62">
        <f>ROUND(O28*养成属性规划!$D$36,0)</f>
        <v>4725</v>
      </c>
      <c r="T28" s="62">
        <f>S28*角色升级升阶!$C$5</f>
        <v>378</v>
      </c>
      <c r="U28" s="62">
        <f>ROUND(P28*养成属性规划!$E$36,0)</f>
        <v>1650</v>
      </c>
      <c r="V28" s="62">
        <f>U28*角色升级升阶!$C$5</f>
        <v>132</v>
      </c>
      <c r="W28" s="62">
        <f>ROUND(Q28*养成属性规划!$E$36,0)</f>
        <v>1188</v>
      </c>
      <c r="X28" s="62">
        <f>W28*角色升级升阶!$C$5</f>
        <v>95.04</v>
      </c>
      <c r="Y28" s="62">
        <f>ROUND(R28*养成属性规划!$F$36,0)</f>
        <v>1000</v>
      </c>
      <c r="Z28" s="62">
        <f>Y28*角色升级升阶!$C$5</f>
        <v>80</v>
      </c>
      <c r="AA28" s="25">
        <f>ROUND(角色星盘!C$23*O28,2)</f>
        <v>402.57</v>
      </c>
      <c r="AB28" s="25">
        <f>ROUND(角色星盘!D$23*P28,2)</f>
        <v>140.8</v>
      </c>
      <c r="AC28" s="25">
        <f>ROUND(角色星盘!D$23*Q28,2)</f>
        <v>101.38</v>
      </c>
      <c r="AD28" s="25">
        <f>ROUND(角色星盘!E$23*R28,2)</f>
        <v>85</v>
      </c>
      <c r="AE28" s="59" t="s">
        <v>128</v>
      </c>
      <c r="AF28" s="59" t="s">
        <v>143</v>
      </c>
      <c r="AG28" s="59" t="s">
        <v>144</v>
      </c>
      <c r="AH28" s="59">
        <f t="shared" si="10"/>
        <v>1.05</v>
      </c>
      <c r="AI28" s="59">
        <f t="shared" si="11"/>
        <v>1</v>
      </c>
      <c r="AJ28" s="59">
        <f t="shared" si="12"/>
        <v>0.9</v>
      </c>
      <c r="AK28" s="59">
        <f t="shared" si="13"/>
        <v>1</v>
      </c>
      <c r="AL28" s="25">
        <f>VLOOKUP(C28,专武!$M$45:$N$47,2,0)</f>
        <v>1</v>
      </c>
      <c r="AM28" s="25">
        <f t="shared" si="14"/>
        <v>0.945</v>
      </c>
      <c r="AN28" s="25">
        <f t="shared" si="15"/>
        <v>1.1</v>
      </c>
      <c r="AO28" s="25">
        <f t="shared" si="16"/>
        <v>0.792</v>
      </c>
      <c r="AP28" s="25">
        <f t="shared" si="17"/>
        <v>1</v>
      </c>
      <c r="AQ28" s="25">
        <f>AM28*专武!B$27</f>
        <v>2835</v>
      </c>
      <c r="AR28" s="25">
        <f>ROUND(AQ28/专武!$C$19*专武!$C$20,2)</f>
        <v>267.75</v>
      </c>
      <c r="AS28" s="25">
        <f>AN28*专武!C$27</f>
        <v>990</v>
      </c>
      <c r="AT28" s="25">
        <f>ROUND(AS28/专武!$C$19*专武!$C$20,2)</f>
        <v>93.5</v>
      </c>
      <c r="AU28" s="25">
        <f>AO28*专武!C$27</f>
        <v>712.8</v>
      </c>
      <c r="AV28" s="25">
        <f>ROUND(AU28/专武!$C$19*专武!$C$20,2)</f>
        <v>67.32</v>
      </c>
      <c r="AW28" s="25">
        <f>AP28*专武!D$27</f>
        <v>600</v>
      </c>
      <c r="AX28" s="25">
        <f>ROUND(AW28/专武!$C$19*专武!$C$20,2)</f>
        <v>56.67</v>
      </c>
      <c r="AY28" s="59" t="s">
        <v>137</v>
      </c>
      <c r="AZ28" s="59" t="s">
        <v>141</v>
      </c>
      <c r="BA28" s="59" t="s">
        <v>138</v>
      </c>
    </row>
    <row r="29" spans="2:53">
      <c r="B29" s="29" t="s">
        <v>328</v>
      </c>
      <c r="C29" s="58" t="s">
        <v>159</v>
      </c>
      <c r="D29" s="29" t="s">
        <v>854</v>
      </c>
      <c r="E29" s="25" t="s">
        <v>861</v>
      </c>
      <c r="F29" s="25">
        <f t="shared" si="1"/>
        <v>0.8</v>
      </c>
      <c r="G29" s="25">
        <f t="shared" si="2"/>
        <v>1.2</v>
      </c>
      <c r="H29" s="25">
        <f t="shared" si="3"/>
        <v>1</v>
      </c>
      <c r="I29" s="59">
        <v>1</v>
      </c>
      <c r="J29" s="59">
        <v>1.02</v>
      </c>
      <c r="K29" s="59">
        <v>1</v>
      </c>
      <c r="L29" s="59">
        <v>0.98</v>
      </c>
      <c r="M29" s="59">
        <f t="shared" si="4"/>
        <v>4</v>
      </c>
      <c r="N29" s="25">
        <f t="shared" si="5"/>
        <v>1</v>
      </c>
      <c r="O29" s="25">
        <f t="shared" si="6"/>
        <v>0.8</v>
      </c>
      <c r="P29" s="25">
        <f t="shared" si="7"/>
        <v>1.224</v>
      </c>
      <c r="Q29" s="25">
        <f t="shared" si="8"/>
        <v>0.96</v>
      </c>
      <c r="R29" s="25">
        <f t="shared" si="9"/>
        <v>0.98</v>
      </c>
      <c r="S29" s="62">
        <f>ROUND(O29*养成属性规划!$D$36,0)</f>
        <v>4000</v>
      </c>
      <c r="T29" s="62">
        <f>S29*角色升级升阶!$C$5</f>
        <v>320</v>
      </c>
      <c r="U29" s="62">
        <f>ROUND(P29*养成属性规划!$E$36,0)</f>
        <v>1836</v>
      </c>
      <c r="V29" s="62">
        <f>U29*角色升级升阶!$C$5</f>
        <v>146.88</v>
      </c>
      <c r="W29" s="62">
        <f>ROUND(Q29*养成属性规划!$E$36,0)</f>
        <v>1440</v>
      </c>
      <c r="X29" s="62">
        <f>W29*角色升级升阶!$C$5</f>
        <v>115.2</v>
      </c>
      <c r="Y29" s="62">
        <f>ROUND(R29*养成属性规划!$F$36,0)</f>
        <v>980</v>
      </c>
      <c r="Z29" s="62">
        <f>Y29*角色升级升阶!$C$5</f>
        <v>78.4</v>
      </c>
      <c r="AA29" s="25">
        <f>ROUND(角色星盘!C$23*O29,2)</f>
        <v>340.8</v>
      </c>
      <c r="AB29" s="25">
        <f>ROUND(角色星盘!D$23*P29,2)</f>
        <v>156.67</v>
      </c>
      <c r="AC29" s="25">
        <f>ROUND(角色星盘!D$23*Q29,2)</f>
        <v>122.88</v>
      </c>
      <c r="AD29" s="25">
        <f>ROUND(角色星盘!E$23*R29,2)</f>
        <v>83.3</v>
      </c>
      <c r="AE29" s="59" t="s">
        <v>128</v>
      </c>
      <c r="AF29" s="59" t="s">
        <v>137</v>
      </c>
      <c r="AG29" s="59" t="s">
        <v>146</v>
      </c>
      <c r="AH29" s="59">
        <f t="shared" si="10"/>
        <v>1</v>
      </c>
      <c r="AI29" s="59">
        <f t="shared" si="11"/>
        <v>1.02</v>
      </c>
      <c r="AJ29" s="59">
        <f t="shared" si="12"/>
        <v>1</v>
      </c>
      <c r="AK29" s="59">
        <f t="shared" si="13"/>
        <v>0.98</v>
      </c>
      <c r="AL29" s="25">
        <f>VLOOKUP(C29,专武!$M$45:$N$47,2,0)</f>
        <v>1</v>
      </c>
      <c r="AM29" s="25">
        <f t="shared" si="14"/>
        <v>0.8</v>
      </c>
      <c r="AN29" s="25">
        <f t="shared" si="15"/>
        <v>1.224</v>
      </c>
      <c r="AO29" s="25">
        <f t="shared" si="16"/>
        <v>0.96</v>
      </c>
      <c r="AP29" s="25">
        <f t="shared" si="17"/>
        <v>0.98</v>
      </c>
      <c r="AQ29" s="25">
        <f>AM29*专武!B$27</f>
        <v>2400</v>
      </c>
      <c r="AR29" s="25">
        <f>ROUND(AQ29/专武!$C$19*专武!$C$20,2)</f>
        <v>226.67</v>
      </c>
      <c r="AS29" s="25">
        <f>AN29*专武!C$27</f>
        <v>1101.6</v>
      </c>
      <c r="AT29" s="25">
        <f>ROUND(AS29/专武!$C$19*专武!$C$20,2)</f>
        <v>104.04</v>
      </c>
      <c r="AU29" s="25">
        <f>AO29*专武!C$27</f>
        <v>864</v>
      </c>
      <c r="AV29" s="25">
        <f>ROUND(AU29/专武!$C$19*专武!$C$20,2)</f>
        <v>81.6</v>
      </c>
      <c r="AW29" s="25">
        <f>AP29*专武!D$27</f>
        <v>588</v>
      </c>
      <c r="AX29" s="25">
        <f>ROUND(AW29/专武!$C$19*专武!$C$20,2)</f>
        <v>55.53</v>
      </c>
      <c r="AY29" s="59" t="s">
        <v>138</v>
      </c>
      <c r="AZ29" s="59" t="s">
        <v>141</v>
      </c>
      <c r="BA29" s="59" t="s">
        <v>137</v>
      </c>
    </row>
    <row r="30" spans="2:53">
      <c r="B30" s="29" t="s">
        <v>329</v>
      </c>
      <c r="C30" s="58" t="s">
        <v>159</v>
      </c>
      <c r="D30" s="29" t="s">
        <v>856</v>
      </c>
      <c r="E30" s="25" t="s">
        <v>862</v>
      </c>
      <c r="F30" s="25">
        <f t="shared" si="1"/>
        <v>1</v>
      </c>
      <c r="G30" s="25">
        <f t="shared" si="2"/>
        <v>0.9</v>
      </c>
      <c r="H30" s="25">
        <f t="shared" si="3"/>
        <v>1.1</v>
      </c>
      <c r="I30" s="59">
        <v>0.9</v>
      </c>
      <c r="J30" s="59">
        <v>1</v>
      </c>
      <c r="K30" s="59">
        <v>1.1</v>
      </c>
      <c r="L30" s="59">
        <v>1</v>
      </c>
      <c r="M30" s="59">
        <f t="shared" si="4"/>
        <v>4</v>
      </c>
      <c r="N30" s="25">
        <f t="shared" si="5"/>
        <v>1</v>
      </c>
      <c r="O30" s="25">
        <f t="shared" si="6"/>
        <v>0.9</v>
      </c>
      <c r="P30" s="25">
        <f t="shared" si="7"/>
        <v>0.72</v>
      </c>
      <c r="Q30" s="25">
        <f t="shared" si="8"/>
        <v>0.99</v>
      </c>
      <c r="R30" s="25">
        <f t="shared" si="9"/>
        <v>1.1</v>
      </c>
      <c r="S30" s="62">
        <f>ROUND(O30*养成属性规划!$D$36,0)</f>
        <v>4500</v>
      </c>
      <c r="T30" s="62">
        <f>S30*角色升级升阶!$C$5</f>
        <v>360</v>
      </c>
      <c r="U30" s="62">
        <f>ROUND(P30*养成属性规划!$E$36,0)</f>
        <v>1080</v>
      </c>
      <c r="V30" s="62">
        <f>U30*角色升级升阶!$C$5</f>
        <v>86.4</v>
      </c>
      <c r="W30" s="62">
        <f>ROUND(Q30*养成属性规划!$E$36,0)</f>
        <v>1485</v>
      </c>
      <c r="X30" s="62">
        <f>W30*角色升级升阶!$C$5</f>
        <v>118.8</v>
      </c>
      <c r="Y30" s="62">
        <f>ROUND(R30*养成属性规划!$F$36,0)</f>
        <v>1100</v>
      </c>
      <c r="Z30" s="62">
        <f>Y30*角色升级升阶!$C$5</f>
        <v>88</v>
      </c>
      <c r="AA30" s="25">
        <f>ROUND(角色星盘!C$23*O30,2)</f>
        <v>383.4</v>
      </c>
      <c r="AB30" s="25">
        <f>ROUND(角色星盘!D$23*P30,2)</f>
        <v>92.16</v>
      </c>
      <c r="AC30" s="25">
        <f>ROUND(角色星盘!D$23*Q30,2)</f>
        <v>126.72</v>
      </c>
      <c r="AD30" s="25">
        <f>ROUND(角色星盘!E$23*R30,2)</f>
        <v>93.5</v>
      </c>
      <c r="AE30" s="59" t="s">
        <v>128</v>
      </c>
      <c r="AF30" s="59" t="s">
        <v>144</v>
      </c>
      <c r="AG30" s="59" t="s">
        <v>145</v>
      </c>
      <c r="AH30" s="59">
        <f t="shared" si="10"/>
        <v>0.9</v>
      </c>
      <c r="AI30" s="59">
        <f t="shared" si="11"/>
        <v>1</v>
      </c>
      <c r="AJ30" s="59">
        <f t="shared" si="12"/>
        <v>1.1</v>
      </c>
      <c r="AK30" s="59">
        <f t="shared" si="13"/>
        <v>1</v>
      </c>
      <c r="AL30" s="25">
        <f>VLOOKUP(C30,专武!$M$45:$N$47,2,0)</f>
        <v>1</v>
      </c>
      <c r="AM30" s="25">
        <f t="shared" si="14"/>
        <v>0.9</v>
      </c>
      <c r="AN30" s="25">
        <f t="shared" si="15"/>
        <v>0.72</v>
      </c>
      <c r="AO30" s="25">
        <f t="shared" si="16"/>
        <v>0.99</v>
      </c>
      <c r="AP30" s="25">
        <f t="shared" si="17"/>
        <v>1.1</v>
      </c>
      <c r="AQ30" s="25">
        <f>AM30*专武!B$27</f>
        <v>2700</v>
      </c>
      <c r="AR30" s="25">
        <f>ROUND(AQ30/专武!$C$19*专武!$C$20,2)</f>
        <v>255</v>
      </c>
      <c r="AS30" s="25">
        <f>AN30*专武!C$27</f>
        <v>648</v>
      </c>
      <c r="AT30" s="25">
        <f>ROUND(AS30/专武!$C$19*专武!$C$20,2)</f>
        <v>61.2</v>
      </c>
      <c r="AU30" s="25">
        <f>AO30*专武!C$27</f>
        <v>891</v>
      </c>
      <c r="AV30" s="25">
        <f>ROUND(AU30/专武!$C$19*专武!$C$20,2)</f>
        <v>84.15</v>
      </c>
      <c r="AW30" s="25">
        <f>AP30*专武!D$27</f>
        <v>660</v>
      </c>
      <c r="AX30" s="25">
        <f>ROUND(AW30/专武!$C$19*专武!$C$20,2)</f>
        <v>62.33</v>
      </c>
      <c r="AY30" s="59" t="s">
        <v>128</v>
      </c>
      <c r="AZ30" s="59" t="s">
        <v>142</v>
      </c>
      <c r="BA30" s="59" t="s">
        <v>144</v>
      </c>
    </row>
    <row r="31" spans="2:53">
      <c r="B31" s="29" t="s">
        <v>345</v>
      </c>
      <c r="C31" s="58" t="s">
        <v>159</v>
      </c>
      <c r="D31" s="29" t="s">
        <v>852</v>
      </c>
      <c r="E31" s="25" t="s">
        <v>862</v>
      </c>
      <c r="F31" s="25">
        <f t="shared" si="1"/>
        <v>0.9</v>
      </c>
      <c r="G31" s="25">
        <f t="shared" si="2"/>
        <v>1.1</v>
      </c>
      <c r="H31" s="25">
        <f t="shared" si="3"/>
        <v>1</v>
      </c>
      <c r="I31" s="59">
        <v>1.15</v>
      </c>
      <c r="J31" s="59">
        <v>0.9</v>
      </c>
      <c r="K31" s="59">
        <v>1</v>
      </c>
      <c r="L31" s="59">
        <v>1</v>
      </c>
      <c r="M31" s="59">
        <f t="shared" si="4"/>
        <v>4.05</v>
      </c>
      <c r="N31" s="25">
        <f t="shared" si="5"/>
        <v>1</v>
      </c>
      <c r="O31" s="25">
        <f t="shared" si="6"/>
        <v>1.035</v>
      </c>
      <c r="P31" s="25">
        <f t="shared" si="7"/>
        <v>0.792</v>
      </c>
      <c r="Q31" s="25">
        <f t="shared" si="8"/>
        <v>1.1</v>
      </c>
      <c r="R31" s="25">
        <f t="shared" si="9"/>
        <v>1</v>
      </c>
      <c r="S31" s="62">
        <f>ROUND(O31*养成属性规划!$D$36,0)</f>
        <v>5175</v>
      </c>
      <c r="T31" s="62">
        <f>S31*角色升级升阶!$C$5</f>
        <v>414</v>
      </c>
      <c r="U31" s="62">
        <f>ROUND(P31*养成属性规划!$E$36,0)</f>
        <v>1188</v>
      </c>
      <c r="V31" s="62">
        <f>U31*角色升级升阶!$C$5</f>
        <v>95.04</v>
      </c>
      <c r="W31" s="62">
        <f>ROUND(Q31*养成属性规划!$E$36,0)</f>
        <v>1650</v>
      </c>
      <c r="X31" s="62">
        <f>W31*角色升级升阶!$C$5</f>
        <v>132</v>
      </c>
      <c r="Y31" s="62">
        <f>ROUND(R31*养成属性规划!$F$36,0)</f>
        <v>1000</v>
      </c>
      <c r="Z31" s="62">
        <f>Y31*角色升级升阶!$C$5</f>
        <v>80</v>
      </c>
      <c r="AA31" s="25">
        <f>ROUND(角色星盘!C$23*O31,2)</f>
        <v>440.91</v>
      </c>
      <c r="AB31" s="25">
        <f>ROUND(角色星盘!D$23*P31,2)</f>
        <v>101.38</v>
      </c>
      <c r="AC31" s="25">
        <f>ROUND(角色星盘!D$23*Q31,2)</f>
        <v>140.8</v>
      </c>
      <c r="AD31" s="25">
        <f>ROUND(角色星盘!E$23*R31,2)</f>
        <v>85</v>
      </c>
      <c r="AE31" s="59" t="s">
        <v>128</v>
      </c>
      <c r="AF31" s="59" t="s">
        <v>137</v>
      </c>
      <c r="AG31" s="59" t="s">
        <v>146</v>
      </c>
      <c r="AH31" s="59">
        <f t="shared" si="10"/>
        <v>1.15</v>
      </c>
      <c r="AI31" s="59">
        <f t="shared" si="11"/>
        <v>0.9</v>
      </c>
      <c r="AJ31" s="59">
        <f t="shared" si="12"/>
        <v>1</v>
      </c>
      <c r="AK31" s="59">
        <f t="shared" si="13"/>
        <v>1</v>
      </c>
      <c r="AL31" s="25">
        <f>VLOOKUP(C31,专武!$M$45:$N$47,2,0)</f>
        <v>1</v>
      </c>
      <c r="AM31" s="25">
        <f t="shared" si="14"/>
        <v>1.035</v>
      </c>
      <c r="AN31" s="25">
        <f t="shared" si="15"/>
        <v>0.792</v>
      </c>
      <c r="AO31" s="25">
        <f t="shared" si="16"/>
        <v>1.1</v>
      </c>
      <c r="AP31" s="25">
        <f t="shared" si="17"/>
        <v>1</v>
      </c>
      <c r="AQ31" s="25">
        <f>AM31*专武!B$27</f>
        <v>3105</v>
      </c>
      <c r="AR31" s="25">
        <f>ROUND(AQ31/专武!$C$19*专武!$C$20,2)</f>
        <v>293.25</v>
      </c>
      <c r="AS31" s="25">
        <f>AN31*专武!C$27</f>
        <v>712.8</v>
      </c>
      <c r="AT31" s="25">
        <f>ROUND(AS31/专武!$C$19*专武!$C$20,2)</f>
        <v>67.32</v>
      </c>
      <c r="AU31" s="25">
        <f>AO31*专武!C$27</f>
        <v>990</v>
      </c>
      <c r="AV31" s="25">
        <f>ROUND(AU31/专武!$C$19*专武!$C$20,2)</f>
        <v>93.5</v>
      </c>
      <c r="AW31" s="25">
        <f>AP31*专武!D$27</f>
        <v>600</v>
      </c>
      <c r="AX31" s="25">
        <f>ROUND(AW31/专武!$C$19*专武!$C$20,2)</f>
        <v>56.67</v>
      </c>
      <c r="AY31" s="59" t="s">
        <v>128</v>
      </c>
      <c r="AZ31" s="59" t="s">
        <v>142</v>
      </c>
      <c r="BA31" s="59" t="s">
        <v>138</v>
      </c>
    </row>
    <row r="32" spans="2:53">
      <c r="B32" s="29" t="s">
        <v>905</v>
      </c>
      <c r="C32" s="58" t="s">
        <v>159</v>
      </c>
      <c r="D32" s="29" t="s">
        <v>854</v>
      </c>
      <c r="E32" s="25" t="s">
        <v>862</v>
      </c>
      <c r="F32" s="25">
        <f t="shared" si="1"/>
        <v>0.8</v>
      </c>
      <c r="G32" s="25">
        <f t="shared" si="2"/>
        <v>1.2</v>
      </c>
      <c r="H32" s="25">
        <f t="shared" si="3"/>
        <v>1</v>
      </c>
      <c r="I32" s="59">
        <v>1.05</v>
      </c>
      <c r="J32" s="59">
        <v>1</v>
      </c>
      <c r="K32" s="59">
        <v>1.01</v>
      </c>
      <c r="L32" s="59">
        <v>0.99</v>
      </c>
      <c r="M32" s="59">
        <f t="shared" si="4"/>
        <v>4.05</v>
      </c>
      <c r="N32" s="25">
        <f t="shared" si="5"/>
        <v>1</v>
      </c>
      <c r="O32" s="25">
        <f t="shared" si="6"/>
        <v>0.84</v>
      </c>
      <c r="P32" s="25">
        <f t="shared" si="7"/>
        <v>0.96</v>
      </c>
      <c r="Q32" s="25">
        <f t="shared" si="8"/>
        <v>1.212</v>
      </c>
      <c r="R32" s="25">
        <f t="shared" si="9"/>
        <v>0.99</v>
      </c>
      <c r="S32" s="62">
        <f>ROUND(O32*养成属性规划!$D$36,0)</f>
        <v>4200</v>
      </c>
      <c r="T32" s="62">
        <f>S32*角色升级升阶!$C$5</f>
        <v>336</v>
      </c>
      <c r="U32" s="62">
        <f>ROUND(P32*养成属性规划!$E$36,0)</f>
        <v>1440</v>
      </c>
      <c r="V32" s="62">
        <f>U32*角色升级升阶!$C$5</f>
        <v>115.2</v>
      </c>
      <c r="W32" s="62">
        <f>ROUND(Q32*养成属性规划!$E$36,0)</f>
        <v>1818</v>
      </c>
      <c r="X32" s="62">
        <f>W32*角色升级升阶!$C$5</f>
        <v>145.44</v>
      </c>
      <c r="Y32" s="62">
        <f>ROUND(R32*养成属性规划!$F$36,0)</f>
        <v>990</v>
      </c>
      <c r="Z32" s="62">
        <f>Y32*角色升级升阶!$C$5</f>
        <v>79.2</v>
      </c>
      <c r="AA32" s="25">
        <f>ROUND(角色星盘!C$23*O32,2)</f>
        <v>357.84</v>
      </c>
      <c r="AB32" s="25">
        <f>ROUND(角色星盘!D$23*P32,2)</f>
        <v>122.88</v>
      </c>
      <c r="AC32" s="25">
        <f>ROUND(角色星盘!D$23*Q32,2)</f>
        <v>155.14</v>
      </c>
      <c r="AD32" s="25">
        <f>ROUND(角色星盘!E$23*R32,2)</f>
        <v>84.15</v>
      </c>
      <c r="AE32" s="59" t="s">
        <v>128</v>
      </c>
      <c r="AF32" s="59" t="s">
        <v>137</v>
      </c>
      <c r="AG32" s="59" t="s">
        <v>146</v>
      </c>
      <c r="AH32" s="59">
        <f t="shared" si="10"/>
        <v>1.05</v>
      </c>
      <c r="AI32" s="59">
        <f t="shared" si="11"/>
        <v>1</v>
      </c>
      <c r="AJ32" s="59">
        <f t="shared" si="12"/>
        <v>1.01</v>
      </c>
      <c r="AK32" s="59">
        <f t="shared" si="13"/>
        <v>0.99</v>
      </c>
      <c r="AL32" s="25">
        <f>VLOOKUP(C32,专武!$M$45:$N$47,2,0)</f>
        <v>1</v>
      </c>
      <c r="AM32" s="25">
        <f t="shared" si="14"/>
        <v>0.84</v>
      </c>
      <c r="AN32" s="25">
        <f t="shared" si="15"/>
        <v>0.96</v>
      </c>
      <c r="AO32" s="25">
        <f t="shared" si="16"/>
        <v>1.212</v>
      </c>
      <c r="AP32" s="25">
        <f t="shared" si="17"/>
        <v>0.99</v>
      </c>
      <c r="AQ32" s="25">
        <f>AM32*专武!B$27</f>
        <v>2520</v>
      </c>
      <c r="AR32" s="25">
        <f>ROUND(AQ32/专武!$C$19*专武!$C$20,2)</f>
        <v>238</v>
      </c>
      <c r="AS32" s="25">
        <f>AN32*专武!C$27</f>
        <v>864</v>
      </c>
      <c r="AT32" s="25">
        <f>ROUND(AS32/专武!$C$19*专武!$C$20,2)</f>
        <v>81.6</v>
      </c>
      <c r="AU32" s="25">
        <f>AO32*专武!C$27</f>
        <v>1090.8</v>
      </c>
      <c r="AV32" s="25">
        <f>ROUND(AU32/专武!$C$19*专武!$C$20,2)</f>
        <v>103.02</v>
      </c>
      <c r="AW32" s="25">
        <f>AP32*专武!D$27</f>
        <v>594</v>
      </c>
      <c r="AX32" s="25">
        <f>ROUND(AW32/专武!$C$19*专武!$C$20,2)</f>
        <v>56.1</v>
      </c>
      <c r="AY32" s="59" t="s">
        <v>137</v>
      </c>
      <c r="AZ32" s="59" t="s">
        <v>142</v>
      </c>
      <c r="BA32" s="59" t="s">
        <v>146</v>
      </c>
    </row>
    <row r="33" spans="2:53">
      <c r="B33" s="29" t="s">
        <v>339</v>
      </c>
      <c r="C33" s="58" t="s">
        <v>159</v>
      </c>
      <c r="D33" s="29" t="s">
        <v>853</v>
      </c>
      <c r="E33" s="25" t="s">
        <v>862</v>
      </c>
      <c r="F33" s="25">
        <f t="shared" si="1"/>
        <v>1.05</v>
      </c>
      <c r="G33" s="25">
        <f t="shared" si="2"/>
        <v>0.95</v>
      </c>
      <c r="H33" s="25">
        <f t="shared" si="3"/>
        <v>1</v>
      </c>
      <c r="I33" s="59">
        <v>1.3</v>
      </c>
      <c r="J33" s="59">
        <v>1</v>
      </c>
      <c r="K33" s="59">
        <v>1</v>
      </c>
      <c r="L33" s="59">
        <v>0.8</v>
      </c>
      <c r="M33" s="59">
        <f t="shared" si="4"/>
        <v>4.1</v>
      </c>
      <c r="N33" s="25">
        <f t="shared" si="5"/>
        <v>1</v>
      </c>
      <c r="O33" s="25">
        <f t="shared" si="6"/>
        <v>1.365</v>
      </c>
      <c r="P33" s="25">
        <f t="shared" si="7"/>
        <v>0.76</v>
      </c>
      <c r="Q33" s="25">
        <f t="shared" si="8"/>
        <v>0.95</v>
      </c>
      <c r="R33" s="25">
        <f t="shared" si="9"/>
        <v>0.8</v>
      </c>
      <c r="S33" s="62">
        <f>ROUND(O33*养成属性规划!$D$36,0)</f>
        <v>6825</v>
      </c>
      <c r="T33" s="62">
        <f>S33*角色升级升阶!$C$5</f>
        <v>546</v>
      </c>
      <c r="U33" s="62">
        <f>ROUND(P33*养成属性规划!$E$36,0)</f>
        <v>1140</v>
      </c>
      <c r="V33" s="62">
        <f>U33*角色升级升阶!$C$5</f>
        <v>91.2</v>
      </c>
      <c r="W33" s="62">
        <f>ROUND(Q33*养成属性规划!$E$36,0)</f>
        <v>1425</v>
      </c>
      <c r="X33" s="62">
        <f>W33*角色升级升阶!$C$5</f>
        <v>114</v>
      </c>
      <c r="Y33" s="62">
        <f>ROUND(R33*养成属性规划!$F$36,0)</f>
        <v>800</v>
      </c>
      <c r="Z33" s="62">
        <f>Y33*角色升级升阶!$C$5</f>
        <v>64</v>
      </c>
      <c r="AA33" s="25">
        <f>ROUND(角色星盘!C$23*O33,2)</f>
        <v>581.49</v>
      </c>
      <c r="AB33" s="25">
        <f>ROUND(角色星盘!D$23*P33,2)</f>
        <v>97.28</v>
      </c>
      <c r="AC33" s="25">
        <f>ROUND(角色星盘!D$23*Q33,2)</f>
        <v>121.6</v>
      </c>
      <c r="AD33" s="25">
        <f>ROUND(角色星盘!E$23*R33,2)</f>
        <v>68</v>
      </c>
      <c r="AE33" s="59" t="s">
        <v>128</v>
      </c>
      <c r="AF33" s="59" t="s">
        <v>143</v>
      </c>
      <c r="AG33" s="59" t="s">
        <v>904</v>
      </c>
      <c r="AH33" s="59">
        <f t="shared" si="10"/>
        <v>1.3</v>
      </c>
      <c r="AI33" s="59">
        <f t="shared" si="11"/>
        <v>1</v>
      </c>
      <c r="AJ33" s="59">
        <f t="shared" si="12"/>
        <v>1</v>
      </c>
      <c r="AK33" s="59">
        <f t="shared" si="13"/>
        <v>0.8</v>
      </c>
      <c r="AL33" s="25">
        <f>VLOOKUP(C33,专武!$M$45:$N$47,2,0)</f>
        <v>1</v>
      </c>
      <c r="AM33" s="25">
        <f t="shared" si="14"/>
        <v>1.365</v>
      </c>
      <c r="AN33" s="25">
        <f t="shared" si="15"/>
        <v>0.76</v>
      </c>
      <c r="AO33" s="25">
        <f t="shared" si="16"/>
        <v>0.95</v>
      </c>
      <c r="AP33" s="25">
        <f t="shared" si="17"/>
        <v>0.8</v>
      </c>
      <c r="AQ33" s="25">
        <f>AM33*专武!B$27</f>
        <v>4095</v>
      </c>
      <c r="AR33" s="25">
        <f>ROUND(AQ33/专武!$C$19*专武!$C$20,2)</f>
        <v>386.75</v>
      </c>
      <c r="AS33" s="25">
        <f>AN33*专武!C$27</f>
        <v>684</v>
      </c>
      <c r="AT33" s="25">
        <f>ROUND(AS33/专武!$C$19*专武!$C$20,2)</f>
        <v>64.6</v>
      </c>
      <c r="AU33" s="25">
        <f>AO33*专武!C$27</f>
        <v>855</v>
      </c>
      <c r="AV33" s="25">
        <f>ROUND(AU33/专武!$C$19*专武!$C$20,2)</f>
        <v>80.75</v>
      </c>
      <c r="AW33" s="25">
        <f>AP33*专武!D$27</f>
        <v>480</v>
      </c>
      <c r="AX33" s="25">
        <f>ROUND(AW33/专武!$C$19*专武!$C$20,2)</f>
        <v>45.33</v>
      </c>
      <c r="AY33" s="59" t="s">
        <v>128</v>
      </c>
      <c r="AZ33" s="59" t="s">
        <v>142</v>
      </c>
      <c r="BA33" s="59" t="s">
        <v>144</v>
      </c>
    </row>
    <row r="34" spans="2:53">
      <c r="B34" s="29" t="s">
        <v>906</v>
      </c>
      <c r="C34" s="58" t="s">
        <v>159</v>
      </c>
      <c r="D34" s="29" t="s">
        <v>850</v>
      </c>
      <c r="E34" s="25" t="s">
        <v>861</v>
      </c>
      <c r="F34" s="25">
        <f t="shared" si="1"/>
        <v>1.4</v>
      </c>
      <c r="G34" s="25">
        <f t="shared" si="2"/>
        <v>0.6</v>
      </c>
      <c r="H34" s="25">
        <f t="shared" si="3"/>
        <v>1</v>
      </c>
      <c r="I34" s="59">
        <v>1</v>
      </c>
      <c r="J34" s="59">
        <v>1</v>
      </c>
      <c r="K34" s="59">
        <v>1</v>
      </c>
      <c r="L34" s="59">
        <v>1.05</v>
      </c>
      <c r="M34" s="59">
        <f t="shared" si="4"/>
        <v>4.05</v>
      </c>
      <c r="N34" s="25">
        <f t="shared" si="5"/>
        <v>1</v>
      </c>
      <c r="O34" s="25">
        <f t="shared" si="6"/>
        <v>1.4</v>
      </c>
      <c r="P34" s="25">
        <f t="shared" si="7"/>
        <v>0.6</v>
      </c>
      <c r="Q34" s="25">
        <f t="shared" si="8"/>
        <v>0.48</v>
      </c>
      <c r="R34" s="25">
        <f t="shared" si="9"/>
        <v>1.05</v>
      </c>
      <c r="S34" s="62">
        <f>ROUND(O34*养成属性规划!$D$36,0)</f>
        <v>7000</v>
      </c>
      <c r="T34" s="62">
        <f>S34*角色升级升阶!$C$5</f>
        <v>560</v>
      </c>
      <c r="U34" s="62">
        <f>ROUND(P34*养成属性规划!$E$36,0)</f>
        <v>900</v>
      </c>
      <c r="V34" s="62">
        <f>U34*角色升级升阶!$C$5</f>
        <v>72</v>
      </c>
      <c r="W34" s="62">
        <f>ROUND(Q34*养成属性规划!$E$36,0)</f>
        <v>720</v>
      </c>
      <c r="X34" s="62">
        <f>W34*角色升级升阶!$C$5</f>
        <v>57.6</v>
      </c>
      <c r="Y34" s="62">
        <f>ROUND(R34*养成属性规划!$F$36,0)</f>
        <v>1050</v>
      </c>
      <c r="Z34" s="62">
        <f>Y34*角色升级升阶!$C$5</f>
        <v>84</v>
      </c>
      <c r="AA34" s="25">
        <f>ROUND(角色星盘!C$23*O34,2)</f>
        <v>596.4</v>
      </c>
      <c r="AB34" s="25">
        <f>ROUND(角色星盘!D$23*P34,2)</f>
        <v>76.8</v>
      </c>
      <c r="AC34" s="25">
        <f>ROUND(角色星盘!D$23*Q34,2)</f>
        <v>61.44</v>
      </c>
      <c r="AD34" s="25">
        <f>ROUND(角色星盘!E$23*R34,2)</f>
        <v>89.25</v>
      </c>
      <c r="AE34" s="59" t="s">
        <v>904</v>
      </c>
      <c r="AF34" s="59" t="s">
        <v>129</v>
      </c>
      <c r="AG34" s="59" t="s">
        <v>145</v>
      </c>
      <c r="AH34" s="59">
        <f t="shared" si="10"/>
        <v>1</v>
      </c>
      <c r="AI34" s="59">
        <f t="shared" si="11"/>
        <v>1</v>
      </c>
      <c r="AJ34" s="59">
        <f t="shared" si="12"/>
        <v>1</v>
      </c>
      <c r="AK34" s="59">
        <f t="shared" si="13"/>
        <v>1.05</v>
      </c>
      <c r="AL34" s="25">
        <f>VLOOKUP(C34,专武!$M$45:$N$47,2,0)</f>
        <v>1</v>
      </c>
      <c r="AM34" s="25">
        <f t="shared" si="14"/>
        <v>1.4</v>
      </c>
      <c r="AN34" s="25">
        <f t="shared" si="15"/>
        <v>0.6</v>
      </c>
      <c r="AO34" s="25">
        <f t="shared" si="16"/>
        <v>0.48</v>
      </c>
      <c r="AP34" s="25">
        <f t="shared" si="17"/>
        <v>1.05</v>
      </c>
      <c r="AQ34" s="25">
        <f>AM34*专武!B$27</f>
        <v>4200</v>
      </c>
      <c r="AR34" s="25">
        <f>ROUND(AQ34/专武!$C$19*专武!$C$20,2)</f>
        <v>396.67</v>
      </c>
      <c r="AS34" s="25">
        <f>AN34*专武!C$27</f>
        <v>540</v>
      </c>
      <c r="AT34" s="25">
        <f>ROUND(AS34/专武!$C$19*专武!$C$20,2)</f>
        <v>51</v>
      </c>
      <c r="AU34" s="25">
        <f>AO34*专武!C$27</f>
        <v>432</v>
      </c>
      <c r="AV34" s="25">
        <f>ROUND(AU34/专武!$C$19*专武!$C$20,2)</f>
        <v>40.8</v>
      </c>
      <c r="AW34" s="25">
        <f>AP34*专武!D$27</f>
        <v>630</v>
      </c>
      <c r="AX34" s="25">
        <f>ROUND(AW34/专武!$C$19*专武!$C$20,2)</f>
        <v>59.5</v>
      </c>
      <c r="AY34" s="59" t="s">
        <v>904</v>
      </c>
      <c r="AZ34" s="59" t="s">
        <v>145</v>
      </c>
      <c r="BA34" s="59" t="s">
        <v>141</v>
      </c>
    </row>
    <row r="35" spans="2:53">
      <c r="B35" s="29" t="s">
        <v>907</v>
      </c>
      <c r="C35" s="58" t="s">
        <v>159</v>
      </c>
      <c r="D35" s="29" t="s">
        <v>853</v>
      </c>
      <c r="E35" s="25" t="s">
        <v>861</v>
      </c>
      <c r="F35" s="25">
        <f t="shared" si="1"/>
        <v>1.05</v>
      </c>
      <c r="G35" s="25">
        <f t="shared" si="2"/>
        <v>0.95</v>
      </c>
      <c r="H35" s="25">
        <f t="shared" si="3"/>
        <v>1</v>
      </c>
      <c r="I35" s="59">
        <v>0.95</v>
      </c>
      <c r="J35" s="59">
        <v>1.05</v>
      </c>
      <c r="K35" s="59">
        <v>1</v>
      </c>
      <c r="L35" s="59">
        <v>0.95</v>
      </c>
      <c r="M35" s="59">
        <f t="shared" si="4"/>
        <v>3.95</v>
      </c>
      <c r="N35" s="25">
        <f t="shared" si="5"/>
        <v>1</v>
      </c>
      <c r="O35" s="25">
        <f t="shared" si="6"/>
        <v>0.9975</v>
      </c>
      <c r="P35" s="25">
        <f t="shared" si="7"/>
        <v>0.9975</v>
      </c>
      <c r="Q35" s="25">
        <f t="shared" si="8"/>
        <v>0.76</v>
      </c>
      <c r="R35" s="25">
        <f t="shared" si="9"/>
        <v>0.95</v>
      </c>
      <c r="S35" s="62">
        <f>ROUND(O35*养成属性规划!$D$36,0)</f>
        <v>4988</v>
      </c>
      <c r="T35" s="62">
        <f>S35*角色升级升阶!$C$5</f>
        <v>399.04</v>
      </c>
      <c r="U35" s="62">
        <f>ROUND(P35*养成属性规划!$E$36,0)</f>
        <v>1496</v>
      </c>
      <c r="V35" s="62">
        <f>U35*角色升级升阶!$C$5</f>
        <v>119.68</v>
      </c>
      <c r="W35" s="62">
        <f>ROUND(Q35*养成属性规划!$E$36,0)</f>
        <v>1140</v>
      </c>
      <c r="X35" s="62">
        <f>W35*角色升级升阶!$C$5</f>
        <v>91.2</v>
      </c>
      <c r="Y35" s="62">
        <f>ROUND(R35*养成属性规划!$F$36,0)</f>
        <v>950</v>
      </c>
      <c r="Z35" s="62">
        <f>Y35*角色升级升阶!$C$5</f>
        <v>76</v>
      </c>
      <c r="AA35" s="25">
        <f>ROUND(角色星盘!C$23*O35,2)</f>
        <v>424.94</v>
      </c>
      <c r="AB35" s="25">
        <f>ROUND(角色星盘!D$23*P35,2)</f>
        <v>127.68</v>
      </c>
      <c r="AC35" s="25">
        <f>ROUND(角色星盘!D$23*Q35,2)</f>
        <v>97.28</v>
      </c>
      <c r="AD35" s="25">
        <f>ROUND(角色星盘!E$23*R35,2)</f>
        <v>80.75</v>
      </c>
      <c r="AE35" s="59" t="s">
        <v>128</v>
      </c>
      <c r="AF35" s="59" t="s">
        <v>137</v>
      </c>
      <c r="AG35" s="59" t="s">
        <v>145</v>
      </c>
      <c r="AH35" s="59">
        <f t="shared" si="10"/>
        <v>0.95</v>
      </c>
      <c r="AI35" s="59">
        <f t="shared" si="11"/>
        <v>1.05</v>
      </c>
      <c r="AJ35" s="59">
        <f t="shared" si="12"/>
        <v>1</v>
      </c>
      <c r="AK35" s="59">
        <f t="shared" si="13"/>
        <v>0.95</v>
      </c>
      <c r="AL35" s="25">
        <f>VLOOKUP(C35,专武!$M$45:$N$47,2,0)</f>
        <v>1</v>
      </c>
      <c r="AM35" s="25">
        <f t="shared" si="14"/>
        <v>0.9975</v>
      </c>
      <c r="AN35" s="25">
        <f t="shared" si="15"/>
        <v>0.9975</v>
      </c>
      <c r="AO35" s="25">
        <f t="shared" si="16"/>
        <v>0.76</v>
      </c>
      <c r="AP35" s="25">
        <f t="shared" si="17"/>
        <v>0.95</v>
      </c>
      <c r="AQ35" s="25">
        <f>AM35*专武!B$27</f>
        <v>2992.5</v>
      </c>
      <c r="AR35" s="25">
        <f>ROUND(AQ35/专武!$C$19*专武!$C$20,2)</f>
        <v>282.63</v>
      </c>
      <c r="AS35" s="25">
        <f>AN35*专武!C$27</f>
        <v>897.75</v>
      </c>
      <c r="AT35" s="25">
        <f>ROUND(AS35/专武!$C$19*专武!$C$20,2)</f>
        <v>84.79</v>
      </c>
      <c r="AU35" s="25">
        <f>AO35*专武!C$27</f>
        <v>684</v>
      </c>
      <c r="AV35" s="25">
        <f>ROUND(AU35/专武!$C$19*专武!$C$20,2)</f>
        <v>64.6</v>
      </c>
      <c r="AW35" s="25">
        <f>AP35*专武!D$27</f>
        <v>570</v>
      </c>
      <c r="AX35" s="25">
        <f>ROUND(AW35/专武!$C$19*专武!$C$20,2)</f>
        <v>53.83</v>
      </c>
      <c r="AY35" s="59" t="s">
        <v>128</v>
      </c>
      <c r="AZ35" s="59" t="s">
        <v>141</v>
      </c>
      <c r="BA35" s="59" t="s">
        <v>137</v>
      </c>
    </row>
    <row r="36" spans="2:53">
      <c r="B36" s="29" t="s">
        <v>908</v>
      </c>
      <c r="C36" s="58" t="s">
        <v>159</v>
      </c>
      <c r="D36" s="29" t="s">
        <v>856</v>
      </c>
      <c r="E36" s="25" t="s">
        <v>862</v>
      </c>
      <c r="F36" s="25">
        <f t="shared" si="1"/>
        <v>1</v>
      </c>
      <c r="G36" s="25">
        <f t="shared" si="2"/>
        <v>0.9</v>
      </c>
      <c r="H36" s="25">
        <f t="shared" si="3"/>
        <v>1.1</v>
      </c>
      <c r="I36" s="59">
        <v>1.1</v>
      </c>
      <c r="J36" s="59">
        <v>0.95</v>
      </c>
      <c r="K36" s="59">
        <v>0.95</v>
      </c>
      <c r="L36" s="59">
        <v>1</v>
      </c>
      <c r="M36" s="59">
        <f t="shared" si="4"/>
        <v>4</v>
      </c>
      <c r="N36" s="25">
        <f t="shared" si="5"/>
        <v>1</v>
      </c>
      <c r="O36" s="25">
        <f t="shared" si="6"/>
        <v>1.1</v>
      </c>
      <c r="P36" s="25">
        <f t="shared" si="7"/>
        <v>0.684</v>
      </c>
      <c r="Q36" s="25">
        <f t="shared" si="8"/>
        <v>0.855</v>
      </c>
      <c r="R36" s="25">
        <f t="shared" si="9"/>
        <v>1.1</v>
      </c>
      <c r="S36" s="62">
        <f>ROUND(O36*养成属性规划!$D$36,0)</f>
        <v>5500</v>
      </c>
      <c r="T36" s="62">
        <f>S36*角色升级升阶!$C$5</f>
        <v>440</v>
      </c>
      <c r="U36" s="62">
        <f>ROUND(P36*养成属性规划!$E$36,0)</f>
        <v>1026</v>
      </c>
      <c r="V36" s="62">
        <f>U36*角色升级升阶!$C$5</f>
        <v>82.08</v>
      </c>
      <c r="W36" s="62">
        <f>ROUND(Q36*养成属性规划!$E$36,0)</f>
        <v>1283</v>
      </c>
      <c r="X36" s="62">
        <f>W36*角色升级升阶!$C$5</f>
        <v>102.64</v>
      </c>
      <c r="Y36" s="62">
        <f>ROUND(R36*养成属性规划!$F$36,0)</f>
        <v>1100</v>
      </c>
      <c r="Z36" s="62">
        <f>Y36*角色升级升阶!$C$5</f>
        <v>88</v>
      </c>
      <c r="AA36" s="25">
        <f>ROUND(角色星盘!C$23*O36,2)</f>
        <v>468.6</v>
      </c>
      <c r="AB36" s="25">
        <f>ROUND(角色星盘!D$23*P36,2)</f>
        <v>87.55</v>
      </c>
      <c r="AC36" s="25">
        <f>ROUND(角色星盘!D$23*Q36,2)</f>
        <v>109.44</v>
      </c>
      <c r="AD36" s="25">
        <f>ROUND(角色星盘!E$23*R36,2)</f>
        <v>93.5</v>
      </c>
      <c r="AE36" s="59" t="s">
        <v>128</v>
      </c>
      <c r="AF36" s="59" t="s">
        <v>139</v>
      </c>
      <c r="AG36" s="59" t="s">
        <v>146</v>
      </c>
      <c r="AH36" s="59">
        <f t="shared" si="10"/>
        <v>1.1</v>
      </c>
      <c r="AI36" s="59">
        <f t="shared" si="11"/>
        <v>0.95</v>
      </c>
      <c r="AJ36" s="59">
        <f t="shared" si="12"/>
        <v>0.95</v>
      </c>
      <c r="AK36" s="59">
        <f t="shared" si="13"/>
        <v>1</v>
      </c>
      <c r="AL36" s="25">
        <f>VLOOKUP(C36,专武!$M$45:$N$47,2,0)</f>
        <v>1</v>
      </c>
      <c r="AM36" s="25">
        <f t="shared" si="14"/>
        <v>1.1</v>
      </c>
      <c r="AN36" s="25">
        <f t="shared" si="15"/>
        <v>0.684</v>
      </c>
      <c r="AO36" s="25">
        <f t="shared" si="16"/>
        <v>0.855</v>
      </c>
      <c r="AP36" s="25">
        <f t="shared" si="17"/>
        <v>1.1</v>
      </c>
      <c r="AQ36" s="25">
        <f>AM36*专武!B$27</f>
        <v>3300</v>
      </c>
      <c r="AR36" s="25">
        <f>ROUND(AQ36/专武!$C$19*专武!$C$20,2)</f>
        <v>311.67</v>
      </c>
      <c r="AS36" s="25">
        <f>AN36*专武!C$27</f>
        <v>615.6</v>
      </c>
      <c r="AT36" s="25">
        <f>ROUND(AS36/专武!$C$19*专武!$C$20,2)</f>
        <v>58.14</v>
      </c>
      <c r="AU36" s="25">
        <f>AO36*专武!C$27</f>
        <v>769.5</v>
      </c>
      <c r="AV36" s="25">
        <f>ROUND(AU36/专武!$C$19*专武!$C$20,2)</f>
        <v>72.68</v>
      </c>
      <c r="AW36" s="25">
        <f>AP36*专武!D$27</f>
        <v>660</v>
      </c>
      <c r="AX36" s="25">
        <f>ROUND(AW36/专武!$C$19*专武!$C$20,2)</f>
        <v>62.33</v>
      </c>
      <c r="AY36" s="59" t="s">
        <v>139</v>
      </c>
      <c r="AZ36" s="59" t="s">
        <v>142</v>
      </c>
      <c r="BA36" s="63" t="s">
        <v>139</v>
      </c>
    </row>
    <row r="37" spans="2:53">
      <c r="B37" s="29" t="s">
        <v>909</v>
      </c>
      <c r="C37" s="58" t="s">
        <v>159</v>
      </c>
      <c r="D37" s="29" t="s">
        <v>849</v>
      </c>
      <c r="E37" s="25" t="s">
        <v>861</v>
      </c>
      <c r="F37" s="25">
        <f t="shared" si="1"/>
        <v>1.2</v>
      </c>
      <c r="G37" s="25">
        <f t="shared" si="2"/>
        <v>0.7</v>
      </c>
      <c r="H37" s="25">
        <f t="shared" si="3"/>
        <v>1.1</v>
      </c>
      <c r="I37" s="59">
        <v>0.85</v>
      </c>
      <c r="J37" s="59">
        <v>1.15</v>
      </c>
      <c r="K37" s="59">
        <v>1</v>
      </c>
      <c r="L37" s="59">
        <v>1</v>
      </c>
      <c r="M37" s="59">
        <f t="shared" si="4"/>
        <v>4</v>
      </c>
      <c r="N37" s="25">
        <f t="shared" si="5"/>
        <v>1</v>
      </c>
      <c r="O37" s="25">
        <f t="shared" si="6"/>
        <v>1.02</v>
      </c>
      <c r="P37" s="25">
        <f t="shared" si="7"/>
        <v>0.805</v>
      </c>
      <c r="Q37" s="25">
        <f t="shared" si="8"/>
        <v>0.56</v>
      </c>
      <c r="R37" s="25">
        <f t="shared" si="9"/>
        <v>1.1</v>
      </c>
      <c r="S37" s="62">
        <f>ROUND(O37*养成属性规划!$D$36,0)</f>
        <v>5100</v>
      </c>
      <c r="T37" s="62">
        <f>S37*角色升级升阶!$C$5</f>
        <v>408</v>
      </c>
      <c r="U37" s="62">
        <f>ROUND(P37*养成属性规划!$E$36,0)</f>
        <v>1208</v>
      </c>
      <c r="V37" s="62">
        <f>U37*角色升级升阶!$C$5</f>
        <v>96.64</v>
      </c>
      <c r="W37" s="62">
        <f>ROUND(Q37*养成属性规划!$E$36,0)</f>
        <v>840</v>
      </c>
      <c r="X37" s="62">
        <f>W37*角色升级升阶!$C$5</f>
        <v>67.2</v>
      </c>
      <c r="Y37" s="62">
        <f>ROUND(R37*养成属性规划!$F$36,0)</f>
        <v>1100</v>
      </c>
      <c r="Z37" s="62">
        <f>Y37*角色升级升阶!$C$5</f>
        <v>88</v>
      </c>
      <c r="AA37" s="25">
        <f>ROUND(角色星盘!C$23*O37,2)</f>
        <v>434.52</v>
      </c>
      <c r="AB37" s="25">
        <f>ROUND(角色星盘!D$23*P37,2)</f>
        <v>103.04</v>
      </c>
      <c r="AC37" s="25">
        <f>ROUND(角色星盘!D$23*Q37,2)</f>
        <v>71.68</v>
      </c>
      <c r="AD37" s="25">
        <f>ROUND(角色星盘!E$23*R37,2)</f>
        <v>93.5</v>
      </c>
      <c r="AE37" s="59" t="s">
        <v>128</v>
      </c>
      <c r="AF37" s="59" t="s">
        <v>137</v>
      </c>
      <c r="AG37" s="59" t="s">
        <v>143</v>
      </c>
      <c r="AH37" s="59">
        <f t="shared" si="10"/>
        <v>0.85</v>
      </c>
      <c r="AI37" s="59">
        <f t="shared" si="11"/>
        <v>1.15</v>
      </c>
      <c r="AJ37" s="59">
        <f t="shared" si="12"/>
        <v>1</v>
      </c>
      <c r="AK37" s="59">
        <f t="shared" si="13"/>
        <v>1</v>
      </c>
      <c r="AL37" s="25">
        <f>VLOOKUP(C37,专武!$M$45:$N$47,2,0)</f>
        <v>1</v>
      </c>
      <c r="AM37" s="25">
        <f t="shared" si="14"/>
        <v>1.02</v>
      </c>
      <c r="AN37" s="25">
        <f t="shared" si="15"/>
        <v>0.805</v>
      </c>
      <c r="AO37" s="25">
        <f t="shared" si="16"/>
        <v>0.56</v>
      </c>
      <c r="AP37" s="25">
        <f t="shared" si="17"/>
        <v>1.1</v>
      </c>
      <c r="AQ37" s="25">
        <f>AM37*专武!B$27</f>
        <v>3060</v>
      </c>
      <c r="AR37" s="25">
        <f>ROUND(AQ37/专武!$C$19*专武!$C$20,2)</f>
        <v>289</v>
      </c>
      <c r="AS37" s="25">
        <f>AN37*专武!C$27</f>
        <v>724.5</v>
      </c>
      <c r="AT37" s="25">
        <f>ROUND(AS37/专武!$C$19*专武!$C$20,2)</f>
        <v>68.43</v>
      </c>
      <c r="AU37" s="25">
        <f>AO37*专武!C$27</f>
        <v>504</v>
      </c>
      <c r="AV37" s="25">
        <f>ROUND(AU37/专武!$C$19*专武!$C$20,2)</f>
        <v>47.6</v>
      </c>
      <c r="AW37" s="25">
        <f>AP37*专武!D$27</f>
        <v>660</v>
      </c>
      <c r="AX37" s="25">
        <f>ROUND(AW37/专武!$C$19*专武!$C$20,2)</f>
        <v>62.33</v>
      </c>
      <c r="AY37" s="59" t="s">
        <v>137</v>
      </c>
      <c r="AZ37" s="59" t="s">
        <v>141</v>
      </c>
      <c r="BA37" s="59" t="s">
        <v>143</v>
      </c>
    </row>
    <row r="38" spans="2:53">
      <c r="B38" s="29" t="s">
        <v>910</v>
      </c>
      <c r="C38" s="60" t="s">
        <v>158</v>
      </c>
      <c r="D38" s="29" t="s">
        <v>852</v>
      </c>
      <c r="E38" s="25" t="s">
        <v>861</v>
      </c>
      <c r="F38" s="25">
        <f t="shared" si="1"/>
        <v>0.9</v>
      </c>
      <c r="G38" s="25">
        <f t="shared" si="2"/>
        <v>1.1</v>
      </c>
      <c r="H38" s="25">
        <f t="shared" si="3"/>
        <v>1</v>
      </c>
      <c r="I38" s="59">
        <v>1</v>
      </c>
      <c r="J38" s="59">
        <v>1</v>
      </c>
      <c r="K38" s="59">
        <v>1</v>
      </c>
      <c r="L38" s="59">
        <v>1</v>
      </c>
      <c r="M38" s="59">
        <f t="shared" si="4"/>
        <v>4</v>
      </c>
      <c r="N38" s="25">
        <f t="shared" si="5"/>
        <v>0.8</v>
      </c>
      <c r="O38" s="25">
        <f t="shared" si="6"/>
        <v>0.72</v>
      </c>
      <c r="P38" s="25">
        <f t="shared" si="7"/>
        <v>0.88</v>
      </c>
      <c r="Q38" s="25">
        <f t="shared" si="8"/>
        <v>0.704</v>
      </c>
      <c r="R38" s="25">
        <f t="shared" si="9"/>
        <v>0.8</v>
      </c>
      <c r="S38" s="62">
        <f>ROUND(O38*养成属性规划!$D$36,0)</f>
        <v>3600</v>
      </c>
      <c r="T38" s="62">
        <f>S38*角色升级升阶!$C$5</f>
        <v>288</v>
      </c>
      <c r="U38" s="62">
        <f>ROUND(P38*养成属性规划!$E$36,0)</f>
        <v>1320</v>
      </c>
      <c r="V38" s="62">
        <f>U38*角色升级升阶!$C$5</f>
        <v>105.6</v>
      </c>
      <c r="W38" s="62">
        <f>ROUND(Q38*养成属性规划!$E$36,0)</f>
        <v>1056</v>
      </c>
      <c r="X38" s="62">
        <f>W38*角色升级升阶!$C$5</f>
        <v>84.48</v>
      </c>
      <c r="Y38" s="62">
        <f>ROUND(R38*养成属性规划!$F$36,0)</f>
        <v>800</v>
      </c>
      <c r="Z38" s="62">
        <f>Y38*角色升级升阶!$C$5</f>
        <v>64</v>
      </c>
      <c r="AA38" s="25">
        <f>ROUND(角色星盘!C$23*O38,2)</f>
        <v>306.72</v>
      </c>
      <c r="AB38" s="25">
        <f>ROUND(角色星盘!D$23*P38,2)</f>
        <v>112.64</v>
      </c>
      <c r="AC38" s="25">
        <f>ROUND(角色星盘!D$23*Q38,2)</f>
        <v>90.11</v>
      </c>
      <c r="AD38" s="25">
        <f>ROUND(角色星盘!E$23*R38,2)</f>
        <v>68</v>
      </c>
      <c r="AE38" s="59" t="s">
        <v>128</v>
      </c>
      <c r="AF38" s="59" t="s">
        <v>143</v>
      </c>
      <c r="AG38" s="59" t="s">
        <v>144</v>
      </c>
      <c r="AH38" s="59">
        <v>1</v>
      </c>
      <c r="AI38" s="59">
        <v>1</v>
      </c>
      <c r="AJ38" s="59">
        <v>1</v>
      </c>
      <c r="AK38" s="59">
        <v>1</v>
      </c>
      <c r="AL38" s="25">
        <f>VLOOKUP(C38,专武!$M$45:$N$47,2,0)</f>
        <v>0.9</v>
      </c>
      <c r="AM38" s="25">
        <f t="shared" si="14"/>
        <v>0.81</v>
      </c>
      <c r="AN38" s="25">
        <f t="shared" si="15"/>
        <v>0.99</v>
      </c>
      <c r="AO38" s="25">
        <f t="shared" si="16"/>
        <v>0.792</v>
      </c>
      <c r="AP38" s="25">
        <f t="shared" si="17"/>
        <v>0.9</v>
      </c>
      <c r="AQ38" s="25">
        <f>AM38*专武!B$27</f>
        <v>2430</v>
      </c>
      <c r="AR38" s="25">
        <f>ROUND(AQ38/专武!$C$19*专武!$C$20,2)</f>
        <v>229.5</v>
      </c>
      <c r="AS38" s="25">
        <f>AN38*专武!C$27</f>
        <v>891</v>
      </c>
      <c r="AT38" s="25">
        <f>ROUND(AS38/专武!$C$19*专武!$C$20,2)</f>
        <v>84.15</v>
      </c>
      <c r="AU38" s="25">
        <f>AO38*专武!C$27</f>
        <v>712.8</v>
      </c>
      <c r="AV38" s="25">
        <f>ROUND(AU38/专武!$C$19*专武!$C$20,2)</f>
        <v>67.32</v>
      </c>
      <c r="AW38" s="25">
        <f>AP38*专武!D$27</f>
        <v>540</v>
      </c>
      <c r="AX38" s="25">
        <f>ROUND(AW38/专武!$C$19*专武!$C$20,2)</f>
        <v>51</v>
      </c>
      <c r="AY38" s="59" t="s">
        <v>136</v>
      </c>
      <c r="AZ38" s="59" t="s">
        <v>141</v>
      </c>
      <c r="BA38" s="59" t="s">
        <v>144</v>
      </c>
    </row>
    <row r="39" spans="2:53">
      <c r="B39" s="29" t="s">
        <v>318</v>
      </c>
      <c r="C39" s="60" t="s">
        <v>158</v>
      </c>
      <c r="D39" s="29" t="s">
        <v>850</v>
      </c>
      <c r="E39" s="25" t="s">
        <v>861</v>
      </c>
      <c r="F39" s="25">
        <f t="shared" si="1"/>
        <v>1.4</v>
      </c>
      <c r="G39" s="25">
        <f t="shared" si="2"/>
        <v>0.6</v>
      </c>
      <c r="H39" s="25">
        <f t="shared" si="3"/>
        <v>1</v>
      </c>
      <c r="I39" s="59">
        <v>1</v>
      </c>
      <c r="J39" s="59">
        <v>1</v>
      </c>
      <c r="K39" s="59">
        <v>1</v>
      </c>
      <c r="L39" s="59">
        <v>1</v>
      </c>
      <c r="M39" s="59">
        <f t="shared" si="4"/>
        <v>4</v>
      </c>
      <c r="N39" s="25">
        <f t="shared" si="5"/>
        <v>0.8</v>
      </c>
      <c r="O39" s="25">
        <f t="shared" si="6"/>
        <v>1.12</v>
      </c>
      <c r="P39" s="25">
        <f t="shared" si="7"/>
        <v>0.48</v>
      </c>
      <c r="Q39" s="25">
        <f t="shared" si="8"/>
        <v>0.384</v>
      </c>
      <c r="R39" s="25">
        <f t="shared" si="9"/>
        <v>0.8</v>
      </c>
      <c r="S39" s="62">
        <f>ROUND(O39*养成属性规划!$D$36,0)</f>
        <v>5600</v>
      </c>
      <c r="T39" s="62">
        <f>S39*角色升级升阶!$C$5</f>
        <v>448</v>
      </c>
      <c r="U39" s="62">
        <f>ROUND(P39*养成属性规划!$E$36,0)</f>
        <v>720</v>
      </c>
      <c r="V39" s="62">
        <f>U39*角色升级升阶!$C$5</f>
        <v>57.6</v>
      </c>
      <c r="W39" s="62">
        <f>ROUND(Q39*养成属性规划!$E$36,0)</f>
        <v>576</v>
      </c>
      <c r="X39" s="62">
        <f>W39*角色升级升阶!$C$5</f>
        <v>46.08</v>
      </c>
      <c r="Y39" s="62">
        <f>ROUND(R39*养成属性规划!$F$36,0)</f>
        <v>800</v>
      </c>
      <c r="Z39" s="62">
        <f>Y39*角色升级升阶!$C$5</f>
        <v>64</v>
      </c>
      <c r="AA39" s="25">
        <f>ROUND(角色星盘!C$23*O39,2)</f>
        <v>477.12</v>
      </c>
      <c r="AB39" s="25">
        <f>ROUND(角色星盘!D$23*P39,2)</f>
        <v>61.44</v>
      </c>
      <c r="AC39" s="25">
        <f>ROUND(角色星盘!D$23*Q39,2)</f>
        <v>49.15</v>
      </c>
      <c r="AD39" s="25">
        <f>ROUND(角色星盘!E$23*R39,2)</f>
        <v>68</v>
      </c>
      <c r="AE39" s="59" t="s">
        <v>129</v>
      </c>
      <c r="AF39" s="59" t="s">
        <v>904</v>
      </c>
      <c r="AG39" s="59" t="s">
        <v>146</v>
      </c>
      <c r="AH39" s="59">
        <v>1</v>
      </c>
      <c r="AI39" s="59">
        <v>1</v>
      </c>
      <c r="AJ39" s="59">
        <v>1</v>
      </c>
      <c r="AK39" s="59">
        <v>1</v>
      </c>
      <c r="AL39" s="25">
        <f>VLOOKUP(C39,专武!$M$45:$N$47,2,0)</f>
        <v>0.9</v>
      </c>
      <c r="AM39" s="25">
        <f t="shared" si="14"/>
        <v>1.26</v>
      </c>
      <c r="AN39" s="25">
        <f t="shared" si="15"/>
        <v>0.54</v>
      </c>
      <c r="AO39" s="25">
        <f t="shared" si="16"/>
        <v>0.432</v>
      </c>
      <c r="AP39" s="25">
        <f t="shared" si="17"/>
        <v>0.9</v>
      </c>
      <c r="AQ39" s="25">
        <f>AM39*专武!B$27</f>
        <v>3780</v>
      </c>
      <c r="AR39" s="25">
        <f>ROUND(AQ39/专武!$C$19*专武!$C$20,2)</f>
        <v>357</v>
      </c>
      <c r="AS39" s="25">
        <f>AN39*专武!C$27</f>
        <v>486</v>
      </c>
      <c r="AT39" s="25">
        <f>ROUND(AS39/专武!$C$19*专武!$C$20,2)</f>
        <v>45.9</v>
      </c>
      <c r="AU39" s="25">
        <f>AO39*专武!C$27</f>
        <v>388.8</v>
      </c>
      <c r="AV39" s="25">
        <f>ROUND(AU39/专武!$C$19*专武!$C$20,2)</f>
        <v>36.72</v>
      </c>
      <c r="AW39" s="25">
        <f>AP39*专武!D$27</f>
        <v>540</v>
      </c>
      <c r="AX39" s="25">
        <f>ROUND(AW39/专武!$C$19*专武!$C$20,2)</f>
        <v>51</v>
      </c>
      <c r="AY39" s="59" t="s">
        <v>129</v>
      </c>
      <c r="AZ39" s="59" t="s">
        <v>145</v>
      </c>
      <c r="BA39" s="59" t="s">
        <v>146</v>
      </c>
    </row>
    <row r="40" spans="2:53">
      <c r="B40" s="29" t="s">
        <v>324</v>
      </c>
      <c r="C40" s="58" t="s">
        <v>159</v>
      </c>
      <c r="D40" s="29" t="s">
        <v>849</v>
      </c>
      <c r="E40" s="25" t="s">
        <v>862</v>
      </c>
      <c r="F40" s="25">
        <f t="shared" si="1"/>
        <v>1.2</v>
      </c>
      <c r="G40" s="25">
        <f t="shared" si="2"/>
        <v>0.7</v>
      </c>
      <c r="H40" s="25">
        <f t="shared" si="3"/>
        <v>1.1</v>
      </c>
      <c r="I40" s="59">
        <v>0.99</v>
      </c>
      <c r="J40" s="59">
        <v>1.01</v>
      </c>
      <c r="K40" s="59">
        <v>1.05</v>
      </c>
      <c r="L40" s="59">
        <v>0.95</v>
      </c>
      <c r="M40" s="59">
        <f t="shared" si="4"/>
        <v>4</v>
      </c>
      <c r="N40" s="25">
        <f t="shared" si="5"/>
        <v>1</v>
      </c>
      <c r="O40" s="25">
        <f t="shared" si="6"/>
        <v>1.188</v>
      </c>
      <c r="P40" s="25">
        <f t="shared" si="7"/>
        <v>0.5656</v>
      </c>
      <c r="Q40" s="25">
        <f t="shared" si="8"/>
        <v>0.735</v>
      </c>
      <c r="R40" s="25">
        <f t="shared" si="9"/>
        <v>1.045</v>
      </c>
      <c r="S40" s="62">
        <f>ROUND(O40*养成属性规划!$D$36,0)</f>
        <v>5940</v>
      </c>
      <c r="T40" s="62">
        <f>S40*角色升级升阶!$C$5</f>
        <v>475.2</v>
      </c>
      <c r="U40" s="62">
        <f>ROUND(P40*养成属性规划!$E$36,0)</f>
        <v>848</v>
      </c>
      <c r="V40" s="62">
        <f>U40*角色升级升阶!$C$5</f>
        <v>67.84</v>
      </c>
      <c r="W40" s="62">
        <f>ROUND(Q40*养成属性规划!$E$36,0)</f>
        <v>1103</v>
      </c>
      <c r="X40" s="62">
        <f>W40*角色升级升阶!$C$5</f>
        <v>88.24</v>
      </c>
      <c r="Y40" s="62">
        <f>ROUND(R40*养成属性规划!$F$36,0)</f>
        <v>1045</v>
      </c>
      <c r="Z40" s="62">
        <f>Y40*角色升级升阶!$C$5</f>
        <v>83.6</v>
      </c>
      <c r="AA40" s="25">
        <f>ROUND(角色星盘!C$23*O40,2)</f>
        <v>506.09</v>
      </c>
      <c r="AB40" s="25">
        <f>ROUND(角色星盘!D$23*P40,2)</f>
        <v>72.4</v>
      </c>
      <c r="AC40" s="25">
        <f>ROUND(角色星盘!D$23*Q40,2)</f>
        <v>94.08</v>
      </c>
      <c r="AD40" s="25">
        <f>ROUND(角色星盘!E$23*R40,2)</f>
        <v>88.83</v>
      </c>
      <c r="AE40" s="59" t="s">
        <v>128</v>
      </c>
      <c r="AF40" s="59" t="s">
        <v>138</v>
      </c>
      <c r="AG40" s="59" t="s">
        <v>143</v>
      </c>
      <c r="AH40" s="59">
        <f>I40</f>
        <v>0.99</v>
      </c>
      <c r="AI40" s="59">
        <f>J40</f>
        <v>1.01</v>
      </c>
      <c r="AJ40" s="59">
        <f>K40</f>
        <v>1.05</v>
      </c>
      <c r="AK40" s="59">
        <f>L40</f>
        <v>0.95</v>
      </c>
      <c r="AL40" s="25">
        <f>VLOOKUP(C40,专武!$M$45:$N$47,2,0)</f>
        <v>1</v>
      </c>
      <c r="AM40" s="25">
        <f t="shared" si="14"/>
        <v>1.188</v>
      </c>
      <c r="AN40" s="25">
        <f t="shared" si="15"/>
        <v>0.5656</v>
      </c>
      <c r="AO40" s="25">
        <f t="shared" si="16"/>
        <v>0.735</v>
      </c>
      <c r="AP40" s="25">
        <f t="shared" si="17"/>
        <v>1.045</v>
      </c>
      <c r="AQ40" s="25">
        <f>AM40*专武!B$27</f>
        <v>3564</v>
      </c>
      <c r="AR40" s="25">
        <f>ROUND(AQ40/专武!$C$19*专武!$C$20,2)</f>
        <v>336.6</v>
      </c>
      <c r="AS40" s="25">
        <f>AN40*专武!C$27</f>
        <v>509.04</v>
      </c>
      <c r="AT40" s="25">
        <f>ROUND(AS40/专武!$C$19*专武!$C$20,2)</f>
        <v>48.08</v>
      </c>
      <c r="AU40" s="25">
        <f>AO40*专武!C$27</f>
        <v>661.5</v>
      </c>
      <c r="AV40" s="25">
        <f>ROUND(AU40/专武!$C$19*专武!$C$20,2)</f>
        <v>62.48</v>
      </c>
      <c r="AW40" s="25">
        <f>AP40*专武!D$27</f>
        <v>627</v>
      </c>
      <c r="AX40" s="25">
        <f>ROUND(AW40/专武!$C$19*专武!$C$20,2)</f>
        <v>59.22</v>
      </c>
      <c r="AY40" s="59" t="s">
        <v>128</v>
      </c>
      <c r="AZ40" s="59" t="s">
        <v>142</v>
      </c>
      <c r="BA40" s="59" t="s">
        <v>138</v>
      </c>
    </row>
    <row r="41" spans="2:53">
      <c r="B41" s="29" t="s">
        <v>335</v>
      </c>
      <c r="C41" s="60" t="s">
        <v>158</v>
      </c>
      <c r="D41" s="29" t="s">
        <v>856</v>
      </c>
      <c r="E41" s="25" t="s">
        <v>862</v>
      </c>
      <c r="F41" s="25">
        <f t="shared" si="1"/>
        <v>1</v>
      </c>
      <c r="G41" s="25">
        <f t="shared" si="2"/>
        <v>0.9</v>
      </c>
      <c r="H41" s="25">
        <f t="shared" si="3"/>
        <v>1.1</v>
      </c>
      <c r="I41" s="59">
        <v>1.02</v>
      </c>
      <c r="J41" s="59">
        <v>1.01</v>
      </c>
      <c r="K41" s="59">
        <v>1.05</v>
      </c>
      <c r="L41" s="59">
        <v>0.95</v>
      </c>
      <c r="M41" s="59">
        <f t="shared" si="4"/>
        <v>4.03</v>
      </c>
      <c r="N41" s="25">
        <f t="shared" si="5"/>
        <v>0.8</v>
      </c>
      <c r="O41" s="25">
        <f t="shared" si="6"/>
        <v>0.816</v>
      </c>
      <c r="P41" s="25">
        <f t="shared" si="7"/>
        <v>0.58176</v>
      </c>
      <c r="Q41" s="25">
        <f t="shared" si="8"/>
        <v>0.756</v>
      </c>
      <c r="R41" s="25">
        <f t="shared" si="9"/>
        <v>0.836</v>
      </c>
      <c r="S41" s="62">
        <f>ROUND(O41*养成属性规划!$D$36,0)</f>
        <v>4080</v>
      </c>
      <c r="T41" s="62">
        <f>S41*角色升级升阶!$C$5</f>
        <v>326.4</v>
      </c>
      <c r="U41" s="62">
        <f>ROUND(P41*养成属性规划!$E$36,0)</f>
        <v>873</v>
      </c>
      <c r="V41" s="62">
        <f>U41*角色升级升阶!$C$5</f>
        <v>69.84</v>
      </c>
      <c r="W41" s="62">
        <f>ROUND(Q41*养成属性规划!$E$36,0)</f>
        <v>1134</v>
      </c>
      <c r="X41" s="62">
        <f>W41*角色升级升阶!$C$5</f>
        <v>90.72</v>
      </c>
      <c r="Y41" s="62">
        <f>ROUND(R41*养成属性规划!$F$36,0)</f>
        <v>836</v>
      </c>
      <c r="Z41" s="62">
        <f>Y41*角色升级升阶!$C$5</f>
        <v>66.88</v>
      </c>
      <c r="AA41" s="25">
        <f>ROUND(角色星盘!C$23*O41,2)</f>
        <v>347.62</v>
      </c>
      <c r="AB41" s="25">
        <f>ROUND(角色星盘!D$23*P41,2)</f>
        <v>74.47</v>
      </c>
      <c r="AC41" s="25">
        <f>ROUND(角色星盘!D$23*Q41,2)</f>
        <v>96.77</v>
      </c>
      <c r="AD41" s="25">
        <f>ROUND(角色星盘!E$23*R41,2)</f>
        <v>71.06</v>
      </c>
      <c r="AE41" s="59" t="s">
        <v>128</v>
      </c>
      <c r="AF41" s="59" t="s">
        <v>139</v>
      </c>
      <c r="AG41" s="59" t="s">
        <v>145</v>
      </c>
      <c r="AH41" s="59">
        <v>1</v>
      </c>
      <c r="AI41" s="59">
        <v>1</v>
      </c>
      <c r="AJ41" s="59">
        <v>1</v>
      </c>
      <c r="AK41" s="59">
        <v>1</v>
      </c>
      <c r="AL41" s="25">
        <f>VLOOKUP(C41,专武!$M$45:$N$47,2,0)</f>
        <v>0.9</v>
      </c>
      <c r="AM41" s="25">
        <f t="shared" si="14"/>
        <v>0.9</v>
      </c>
      <c r="AN41" s="25">
        <f t="shared" si="15"/>
        <v>0.648</v>
      </c>
      <c r="AO41" s="25">
        <f t="shared" si="16"/>
        <v>0.81</v>
      </c>
      <c r="AP41" s="25">
        <f t="shared" si="17"/>
        <v>0.99</v>
      </c>
      <c r="AQ41" s="25">
        <f>AM41*专武!B$27</f>
        <v>2700</v>
      </c>
      <c r="AR41" s="25">
        <f>ROUND(AQ41/专武!$C$19*专武!$C$20,2)</f>
        <v>255</v>
      </c>
      <c r="AS41" s="25">
        <f>AN41*专武!C$27</f>
        <v>583.2</v>
      </c>
      <c r="AT41" s="25">
        <f>ROUND(AS41/专武!$C$19*专武!$C$20,2)</f>
        <v>55.08</v>
      </c>
      <c r="AU41" s="25">
        <f>AO41*专武!C$27</f>
        <v>729</v>
      </c>
      <c r="AV41" s="25">
        <f>ROUND(AU41/专武!$C$19*专武!$C$20,2)</f>
        <v>68.85</v>
      </c>
      <c r="AW41" s="25">
        <f>AP41*专武!D$27</f>
        <v>594</v>
      </c>
      <c r="AX41" s="25">
        <f>ROUND(AW41/专武!$C$19*专武!$C$20,2)</f>
        <v>56.1</v>
      </c>
      <c r="AY41" s="59" t="s">
        <v>139</v>
      </c>
      <c r="AZ41" s="59" t="s">
        <v>142</v>
      </c>
      <c r="BA41" s="59" t="s">
        <v>139</v>
      </c>
    </row>
    <row r="42" spans="2:53">
      <c r="B42" s="29" t="s">
        <v>341</v>
      </c>
      <c r="C42" s="60" t="s">
        <v>158</v>
      </c>
      <c r="D42" s="29" t="s">
        <v>853</v>
      </c>
      <c r="E42" s="25" t="s">
        <v>861</v>
      </c>
      <c r="F42" s="25">
        <f t="shared" si="1"/>
        <v>1.05</v>
      </c>
      <c r="G42" s="25">
        <f t="shared" si="2"/>
        <v>0.95</v>
      </c>
      <c r="H42" s="25">
        <f t="shared" si="3"/>
        <v>1</v>
      </c>
      <c r="I42" s="59">
        <v>1</v>
      </c>
      <c r="J42" s="59">
        <v>1.02</v>
      </c>
      <c r="K42" s="59">
        <v>1</v>
      </c>
      <c r="L42" s="59">
        <v>0.98</v>
      </c>
      <c r="M42" s="59">
        <f t="shared" si="4"/>
        <v>4</v>
      </c>
      <c r="N42" s="25">
        <f t="shared" si="5"/>
        <v>0.8</v>
      </c>
      <c r="O42" s="25">
        <f t="shared" si="6"/>
        <v>0.84</v>
      </c>
      <c r="P42" s="25">
        <f t="shared" si="7"/>
        <v>0.7752</v>
      </c>
      <c r="Q42" s="25">
        <f t="shared" si="8"/>
        <v>0.608</v>
      </c>
      <c r="R42" s="25">
        <f t="shared" si="9"/>
        <v>0.784</v>
      </c>
      <c r="S42" s="62">
        <f>ROUND(O42*养成属性规划!$D$36,0)</f>
        <v>4200</v>
      </c>
      <c r="T42" s="62">
        <f>S42*角色升级升阶!$C$5</f>
        <v>336</v>
      </c>
      <c r="U42" s="62">
        <f>ROUND(P42*养成属性规划!$E$36,0)</f>
        <v>1163</v>
      </c>
      <c r="V42" s="62">
        <f>U42*角色升级升阶!$C$5</f>
        <v>93.04</v>
      </c>
      <c r="W42" s="62">
        <f>ROUND(Q42*养成属性规划!$E$36,0)</f>
        <v>912</v>
      </c>
      <c r="X42" s="62">
        <f>W42*角色升级升阶!$C$5</f>
        <v>72.96</v>
      </c>
      <c r="Y42" s="62">
        <f>ROUND(R42*养成属性规划!$F$36,0)</f>
        <v>784</v>
      </c>
      <c r="Z42" s="62">
        <f>Y42*角色升级升阶!$C$5</f>
        <v>62.72</v>
      </c>
      <c r="AA42" s="25">
        <f>ROUND(角色星盘!C$23*O42,2)</f>
        <v>357.84</v>
      </c>
      <c r="AB42" s="25">
        <f>ROUND(角色星盘!D$23*P42,2)</f>
        <v>99.23</v>
      </c>
      <c r="AC42" s="25">
        <f>ROUND(角色星盘!D$23*Q42,2)</f>
        <v>77.82</v>
      </c>
      <c r="AD42" s="25">
        <f>ROUND(角色星盘!E$23*R42,2)</f>
        <v>66.64</v>
      </c>
      <c r="AE42" s="59" t="s">
        <v>128</v>
      </c>
      <c r="AF42" s="59" t="s">
        <v>138</v>
      </c>
      <c r="AG42" s="59" t="s">
        <v>137</v>
      </c>
      <c r="AH42" s="59">
        <v>1</v>
      </c>
      <c r="AI42" s="59">
        <v>1</v>
      </c>
      <c r="AJ42" s="59">
        <v>1</v>
      </c>
      <c r="AK42" s="59">
        <v>1</v>
      </c>
      <c r="AL42" s="25">
        <f>VLOOKUP(C42,专武!$M$45:$N$47,2,0)</f>
        <v>0.9</v>
      </c>
      <c r="AM42" s="25">
        <f t="shared" si="14"/>
        <v>0.945</v>
      </c>
      <c r="AN42" s="25">
        <f t="shared" si="15"/>
        <v>0.855</v>
      </c>
      <c r="AO42" s="25">
        <f t="shared" si="16"/>
        <v>0.684</v>
      </c>
      <c r="AP42" s="25">
        <f t="shared" si="17"/>
        <v>0.9</v>
      </c>
      <c r="AQ42" s="25">
        <f>AM42*专武!B$27</f>
        <v>2835</v>
      </c>
      <c r="AR42" s="25">
        <f>ROUND(AQ42/专武!$C$19*专武!$C$20,2)</f>
        <v>267.75</v>
      </c>
      <c r="AS42" s="25">
        <f>AN42*专武!C$27</f>
        <v>769.5</v>
      </c>
      <c r="AT42" s="25">
        <f>ROUND(AS42/专武!$C$19*专武!$C$20,2)</f>
        <v>72.68</v>
      </c>
      <c r="AU42" s="25">
        <f>AO42*专武!C$27</f>
        <v>615.6</v>
      </c>
      <c r="AV42" s="25">
        <f>ROUND(AU42/专武!$C$19*专武!$C$20,2)</f>
        <v>58.14</v>
      </c>
      <c r="AW42" s="25">
        <f>AP42*专武!D$27</f>
        <v>540</v>
      </c>
      <c r="AX42" s="25">
        <f>ROUND(AW42/专武!$C$19*专武!$C$20,2)</f>
        <v>51</v>
      </c>
      <c r="AY42" s="59" t="s">
        <v>128</v>
      </c>
      <c r="AZ42" s="59" t="s">
        <v>141</v>
      </c>
      <c r="BA42" s="59" t="s">
        <v>138</v>
      </c>
    </row>
    <row r="43" spans="2:53">
      <c r="B43" s="29" t="s">
        <v>342</v>
      </c>
      <c r="C43" s="60" t="s">
        <v>158</v>
      </c>
      <c r="D43" s="29" t="s">
        <v>857</v>
      </c>
      <c r="E43" s="25" t="s">
        <v>862</v>
      </c>
      <c r="F43" s="25">
        <f t="shared" si="1"/>
        <v>1.2</v>
      </c>
      <c r="G43" s="25">
        <f t="shared" si="2"/>
        <v>0.85</v>
      </c>
      <c r="H43" s="25">
        <f t="shared" si="3"/>
        <v>0.95</v>
      </c>
      <c r="I43" s="59">
        <v>1.15</v>
      </c>
      <c r="J43" s="59">
        <v>0.95</v>
      </c>
      <c r="K43" s="59">
        <v>0.95</v>
      </c>
      <c r="L43" s="59">
        <v>1</v>
      </c>
      <c r="M43" s="59">
        <f t="shared" si="4"/>
        <v>4.05</v>
      </c>
      <c r="N43" s="25">
        <f t="shared" si="5"/>
        <v>0.8</v>
      </c>
      <c r="O43" s="25">
        <f t="shared" si="6"/>
        <v>1.104</v>
      </c>
      <c r="P43" s="25">
        <f t="shared" si="7"/>
        <v>0.5168</v>
      </c>
      <c r="Q43" s="25">
        <f t="shared" si="8"/>
        <v>0.646</v>
      </c>
      <c r="R43" s="25">
        <f t="shared" si="9"/>
        <v>0.76</v>
      </c>
      <c r="S43" s="62">
        <f>ROUND(O43*养成属性规划!$D$36,0)</f>
        <v>5520</v>
      </c>
      <c r="T43" s="62">
        <f>S43*角色升级升阶!$C$5</f>
        <v>441.6</v>
      </c>
      <c r="U43" s="62">
        <f>ROUND(P43*养成属性规划!$E$36,0)</f>
        <v>775</v>
      </c>
      <c r="V43" s="62">
        <f>U43*角色升级升阶!$C$5</f>
        <v>62</v>
      </c>
      <c r="W43" s="62">
        <f>ROUND(Q43*养成属性规划!$E$36,0)</f>
        <v>969</v>
      </c>
      <c r="X43" s="62">
        <f>W43*角色升级升阶!$C$5</f>
        <v>77.52</v>
      </c>
      <c r="Y43" s="62">
        <f>ROUND(R43*养成属性规划!$F$36,0)</f>
        <v>760</v>
      </c>
      <c r="Z43" s="62">
        <f>Y43*角色升级升阶!$C$5</f>
        <v>60.8</v>
      </c>
      <c r="AA43" s="25">
        <f>ROUND(角色星盘!C$23*O43,2)</f>
        <v>470.3</v>
      </c>
      <c r="AB43" s="25">
        <f>ROUND(角色星盘!D$23*P43,2)</f>
        <v>66.15</v>
      </c>
      <c r="AC43" s="25">
        <f>ROUND(角色星盘!D$23*Q43,2)</f>
        <v>82.69</v>
      </c>
      <c r="AD43" s="25">
        <f>ROUND(角色星盘!E$23*R43,2)</f>
        <v>64.6</v>
      </c>
      <c r="AE43" s="59" t="s">
        <v>904</v>
      </c>
      <c r="AF43" s="59" t="s">
        <v>139</v>
      </c>
      <c r="AG43" s="59" t="s">
        <v>146</v>
      </c>
      <c r="AH43" s="59">
        <v>1</v>
      </c>
      <c r="AI43" s="59">
        <v>1</v>
      </c>
      <c r="AJ43" s="59">
        <v>1</v>
      </c>
      <c r="AK43" s="59">
        <v>1</v>
      </c>
      <c r="AL43" s="25">
        <f>VLOOKUP(C43,专武!$M$45:$N$47,2,0)</f>
        <v>0.9</v>
      </c>
      <c r="AM43" s="25">
        <f t="shared" si="14"/>
        <v>1.08</v>
      </c>
      <c r="AN43" s="25">
        <f t="shared" si="15"/>
        <v>0.612</v>
      </c>
      <c r="AO43" s="25">
        <f t="shared" si="16"/>
        <v>0.765</v>
      </c>
      <c r="AP43" s="25">
        <f t="shared" si="17"/>
        <v>0.855</v>
      </c>
      <c r="AQ43" s="25">
        <f>AM43*专武!B$27</f>
        <v>3240</v>
      </c>
      <c r="AR43" s="25">
        <f>ROUND(AQ43/专武!$C$19*专武!$C$20,2)</f>
        <v>306</v>
      </c>
      <c r="AS43" s="25">
        <f>AN43*专武!C$27</f>
        <v>550.8</v>
      </c>
      <c r="AT43" s="25">
        <f>ROUND(AS43/专武!$C$19*专武!$C$20,2)</f>
        <v>52.02</v>
      </c>
      <c r="AU43" s="25">
        <f>AO43*专武!C$27</f>
        <v>688.5</v>
      </c>
      <c r="AV43" s="25">
        <f>ROUND(AU43/专武!$C$19*专武!$C$20,2)</f>
        <v>65.03</v>
      </c>
      <c r="AW43" s="25">
        <f>AP43*专武!D$27</f>
        <v>513</v>
      </c>
      <c r="AX43" s="25">
        <f>ROUND(AW43/专武!$C$19*专武!$C$20,2)</f>
        <v>48.45</v>
      </c>
      <c r="AY43" s="59" t="s">
        <v>904</v>
      </c>
      <c r="AZ43" s="59" t="s">
        <v>142</v>
      </c>
      <c r="BA43" s="59" t="s">
        <v>139</v>
      </c>
    </row>
    <row r="44" spans="2:53">
      <c r="B44" s="29" t="s">
        <v>338</v>
      </c>
      <c r="C44" s="60" t="s">
        <v>158</v>
      </c>
      <c r="D44" s="29" t="s">
        <v>855</v>
      </c>
      <c r="E44" s="25" t="s">
        <v>862</v>
      </c>
      <c r="F44" s="25">
        <f t="shared" si="1"/>
        <v>1.1</v>
      </c>
      <c r="G44" s="25">
        <f t="shared" si="2"/>
        <v>0.85</v>
      </c>
      <c r="H44" s="25">
        <f t="shared" si="3"/>
        <v>1.05</v>
      </c>
      <c r="I44" s="59">
        <v>0.9</v>
      </c>
      <c r="J44" s="59">
        <v>0.9</v>
      </c>
      <c r="K44" s="59">
        <v>0.9</v>
      </c>
      <c r="L44" s="59">
        <v>1.1</v>
      </c>
      <c r="M44" s="59">
        <f t="shared" si="4"/>
        <v>3.8</v>
      </c>
      <c r="N44" s="25">
        <f t="shared" si="5"/>
        <v>0.8</v>
      </c>
      <c r="O44" s="25">
        <f t="shared" si="6"/>
        <v>0.792</v>
      </c>
      <c r="P44" s="25">
        <f t="shared" si="7"/>
        <v>0.4896</v>
      </c>
      <c r="Q44" s="25">
        <f t="shared" si="8"/>
        <v>0.612</v>
      </c>
      <c r="R44" s="25">
        <f t="shared" si="9"/>
        <v>0.924</v>
      </c>
      <c r="S44" s="62">
        <f>ROUND(O44*养成属性规划!$D$36,0)</f>
        <v>3960</v>
      </c>
      <c r="T44" s="62">
        <f>S44*角色升级升阶!$C$5</f>
        <v>316.8</v>
      </c>
      <c r="U44" s="62">
        <f>ROUND(P44*养成属性规划!$E$36,0)</f>
        <v>734</v>
      </c>
      <c r="V44" s="62">
        <f>U44*角色升级升阶!$C$5</f>
        <v>58.72</v>
      </c>
      <c r="W44" s="62">
        <f>ROUND(Q44*养成属性规划!$E$36,0)</f>
        <v>918</v>
      </c>
      <c r="X44" s="62">
        <f>W44*角色升级升阶!$C$5</f>
        <v>73.44</v>
      </c>
      <c r="Y44" s="62">
        <f>ROUND(R44*养成属性规划!$F$36,0)</f>
        <v>924</v>
      </c>
      <c r="Z44" s="62">
        <f>Y44*角色升级升阶!$C$5</f>
        <v>73.92</v>
      </c>
      <c r="AA44" s="25">
        <f>ROUND(角色星盘!C$23*O44,2)</f>
        <v>337.39</v>
      </c>
      <c r="AB44" s="25">
        <f>ROUND(角色星盘!D$23*P44,2)</f>
        <v>62.67</v>
      </c>
      <c r="AC44" s="25">
        <f>ROUND(角色星盘!D$23*Q44,2)</f>
        <v>78.34</v>
      </c>
      <c r="AD44" s="25">
        <f>ROUND(角色星盘!E$23*R44,2)</f>
        <v>78.54</v>
      </c>
      <c r="AE44" s="59" t="s">
        <v>128</v>
      </c>
      <c r="AF44" s="59" t="s">
        <v>145</v>
      </c>
      <c r="AG44" s="59" t="s">
        <v>146</v>
      </c>
      <c r="AH44" s="59">
        <v>1</v>
      </c>
      <c r="AI44" s="59">
        <v>1</v>
      </c>
      <c r="AJ44" s="59">
        <v>1</v>
      </c>
      <c r="AK44" s="59">
        <v>1</v>
      </c>
      <c r="AL44" s="25">
        <f>VLOOKUP(C44,专武!$M$45:$N$47,2,0)</f>
        <v>0.9</v>
      </c>
      <c r="AM44" s="25">
        <f t="shared" si="14"/>
        <v>0.99</v>
      </c>
      <c r="AN44" s="25">
        <f t="shared" si="15"/>
        <v>0.612</v>
      </c>
      <c r="AO44" s="25">
        <f t="shared" si="16"/>
        <v>0.765</v>
      </c>
      <c r="AP44" s="25">
        <f t="shared" si="17"/>
        <v>0.945</v>
      </c>
      <c r="AQ44" s="25">
        <f>AM44*专武!B$27</f>
        <v>2970</v>
      </c>
      <c r="AR44" s="25">
        <f>ROUND(AQ44/专武!$C$19*专武!$C$20,2)</f>
        <v>280.5</v>
      </c>
      <c r="AS44" s="25">
        <f>AN44*专武!C$27</f>
        <v>550.8</v>
      </c>
      <c r="AT44" s="25">
        <f>ROUND(AS44/专武!$C$19*专武!$C$20,2)</f>
        <v>52.02</v>
      </c>
      <c r="AU44" s="25">
        <f>AO44*专武!C$27</f>
        <v>688.5</v>
      </c>
      <c r="AV44" s="25">
        <f>ROUND(AU44/专武!$C$19*专武!$C$20,2)</f>
        <v>65.03</v>
      </c>
      <c r="AW44" s="25">
        <f>AP44*专武!D$27</f>
        <v>567</v>
      </c>
      <c r="AX44" s="25">
        <f>ROUND(AW44/专武!$C$19*专武!$C$20,2)</f>
        <v>53.55</v>
      </c>
      <c r="AY44" s="59" t="s">
        <v>138</v>
      </c>
      <c r="AZ44" s="59" t="s">
        <v>142</v>
      </c>
      <c r="BA44" s="59" t="s">
        <v>145</v>
      </c>
    </row>
    <row r="45" spans="2:53">
      <c r="B45" s="29" t="s">
        <v>332</v>
      </c>
      <c r="C45" s="58" t="s">
        <v>159</v>
      </c>
      <c r="D45" s="29" t="s">
        <v>852</v>
      </c>
      <c r="E45" s="25" t="s">
        <v>863</v>
      </c>
      <c r="F45" s="25">
        <f t="shared" si="1"/>
        <v>0.9</v>
      </c>
      <c r="G45" s="25">
        <f t="shared" si="2"/>
        <v>1.1</v>
      </c>
      <c r="H45" s="25">
        <f t="shared" si="3"/>
        <v>1</v>
      </c>
      <c r="I45" s="59">
        <v>1</v>
      </c>
      <c r="J45" s="59">
        <v>1.05</v>
      </c>
      <c r="K45" s="59">
        <v>1.05</v>
      </c>
      <c r="L45" s="59">
        <v>1</v>
      </c>
      <c r="M45" s="59">
        <f t="shared" si="4"/>
        <v>4.1</v>
      </c>
      <c r="N45" s="25">
        <f t="shared" si="5"/>
        <v>1</v>
      </c>
      <c r="O45" s="25">
        <f t="shared" si="6"/>
        <v>0.9</v>
      </c>
      <c r="P45" s="25">
        <f t="shared" si="7"/>
        <v>1.09725</v>
      </c>
      <c r="Q45" s="25">
        <f t="shared" si="8"/>
        <v>1.09725</v>
      </c>
      <c r="R45" s="25">
        <f t="shared" si="9"/>
        <v>1</v>
      </c>
      <c r="S45" s="62">
        <f>ROUND(O45*养成属性规划!$D$36,0)</f>
        <v>4500</v>
      </c>
      <c r="T45" s="62">
        <f>S45*角色升级升阶!$C$5</f>
        <v>360</v>
      </c>
      <c r="U45" s="62">
        <f>ROUND(P45*养成属性规划!$E$36,0)</f>
        <v>1646</v>
      </c>
      <c r="V45" s="62">
        <f>U45*角色升级升阶!$C$5</f>
        <v>131.68</v>
      </c>
      <c r="W45" s="62">
        <f>ROUND(Q45*养成属性规划!$E$36,0)</f>
        <v>1646</v>
      </c>
      <c r="X45" s="62">
        <f>W45*角色升级升阶!$C$5</f>
        <v>131.68</v>
      </c>
      <c r="Y45" s="62">
        <f>ROUND(R45*养成属性规划!$F$36,0)</f>
        <v>1000</v>
      </c>
      <c r="Z45" s="62">
        <f>Y45*角色升级升阶!$C$5</f>
        <v>80</v>
      </c>
      <c r="AA45" s="25">
        <f>ROUND(角色星盘!C$23*O45,2)</f>
        <v>383.4</v>
      </c>
      <c r="AB45" s="25">
        <f>ROUND(角色星盘!D$23*P45,2)</f>
        <v>140.45</v>
      </c>
      <c r="AC45" s="25">
        <f>ROUND(角色星盘!D$23*Q45,2)</f>
        <v>140.45</v>
      </c>
      <c r="AD45" s="25">
        <f>ROUND(角色星盘!E$23*R45,2)</f>
        <v>85</v>
      </c>
      <c r="AE45" s="59" t="s">
        <v>146</v>
      </c>
      <c r="AF45" s="59" t="s">
        <v>128</v>
      </c>
      <c r="AG45" s="59" t="s">
        <v>128</v>
      </c>
      <c r="AH45" s="59">
        <f>I45</f>
        <v>1</v>
      </c>
      <c r="AI45" s="59">
        <f>J45</f>
        <v>1.05</v>
      </c>
      <c r="AJ45" s="59">
        <f>K45</f>
        <v>1.05</v>
      </c>
      <c r="AK45" s="59">
        <f>L45</f>
        <v>1</v>
      </c>
      <c r="AL45" s="25">
        <f>VLOOKUP(C45,专武!$M$45:$N$47,2,0)</f>
        <v>1</v>
      </c>
      <c r="AM45" s="25">
        <f t="shared" si="14"/>
        <v>0.9</v>
      </c>
      <c r="AN45" s="25">
        <f t="shared" si="15"/>
        <v>1.09725</v>
      </c>
      <c r="AO45" s="25">
        <f t="shared" si="16"/>
        <v>1.09725</v>
      </c>
      <c r="AP45" s="25">
        <f t="shared" si="17"/>
        <v>1</v>
      </c>
      <c r="AQ45" s="25">
        <f>AM45*专武!B$27</f>
        <v>2700</v>
      </c>
      <c r="AR45" s="25">
        <f>ROUND(AQ45/专武!$C$19*专武!$C$20,2)</f>
        <v>255</v>
      </c>
      <c r="AS45" s="25">
        <f>AN45*专武!C$27</f>
        <v>987.525</v>
      </c>
      <c r="AT45" s="25">
        <f>ROUND(AS45/专武!$C$19*专武!$C$20,2)</f>
        <v>93.27</v>
      </c>
      <c r="AU45" s="25">
        <f>AO45*专武!C$27</f>
        <v>987.525</v>
      </c>
      <c r="AV45" s="25">
        <f>ROUND(AU45/专武!$C$19*专武!$C$20,2)</f>
        <v>93.27</v>
      </c>
      <c r="AW45" s="25">
        <f>AP45*专武!D$27</f>
        <v>600</v>
      </c>
      <c r="AX45" s="25">
        <f>ROUND(AW45/专武!$C$19*专武!$C$20,2)</f>
        <v>56.67</v>
      </c>
      <c r="AY45" s="59" t="s">
        <v>136</v>
      </c>
      <c r="AZ45" s="59" t="s">
        <v>141</v>
      </c>
      <c r="BA45" s="59" t="s">
        <v>143</v>
      </c>
    </row>
    <row r="46" spans="2:53">
      <c r="B46" s="29" t="s">
        <v>347</v>
      </c>
      <c r="C46" s="60" t="s">
        <v>158</v>
      </c>
      <c r="D46" s="29" t="s">
        <v>857</v>
      </c>
      <c r="E46" s="25" t="s">
        <v>862</v>
      </c>
      <c r="F46" s="25">
        <f t="shared" si="1"/>
        <v>1.2</v>
      </c>
      <c r="G46" s="25">
        <f t="shared" si="2"/>
        <v>0.85</v>
      </c>
      <c r="H46" s="25">
        <f t="shared" si="3"/>
        <v>0.95</v>
      </c>
      <c r="I46" s="59">
        <v>1.1</v>
      </c>
      <c r="J46" s="59">
        <v>0.95</v>
      </c>
      <c r="K46" s="59">
        <v>0.95</v>
      </c>
      <c r="L46" s="59">
        <v>1.05</v>
      </c>
      <c r="M46" s="59">
        <f t="shared" si="4"/>
        <v>4.05</v>
      </c>
      <c r="N46" s="25">
        <f t="shared" si="5"/>
        <v>0.8</v>
      </c>
      <c r="O46" s="25">
        <f t="shared" si="6"/>
        <v>1.056</v>
      </c>
      <c r="P46" s="25">
        <f t="shared" si="7"/>
        <v>0.5168</v>
      </c>
      <c r="Q46" s="25">
        <f t="shared" si="8"/>
        <v>0.646</v>
      </c>
      <c r="R46" s="25">
        <f t="shared" si="9"/>
        <v>0.798</v>
      </c>
      <c r="S46" s="62">
        <f>ROUND(O46*养成属性规划!$D$36,0)</f>
        <v>5280</v>
      </c>
      <c r="T46" s="62">
        <f>S46*角色升级升阶!$C$5</f>
        <v>422.4</v>
      </c>
      <c r="U46" s="62">
        <f>ROUND(P46*养成属性规划!$E$36,0)</f>
        <v>775</v>
      </c>
      <c r="V46" s="62">
        <f>U46*角色升级升阶!$C$5</f>
        <v>62</v>
      </c>
      <c r="W46" s="62">
        <f>ROUND(Q46*养成属性规划!$E$36,0)</f>
        <v>969</v>
      </c>
      <c r="X46" s="62">
        <f>W46*角色升级升阶!$C$5</f>
        <v>77.52</v>
      </c>
      <c r="Y46" s="62">
        <f>ROUND(R46*养成属性规划!$F$36,0)</f>
        <v>798</v>
      </c>
      <c r="Z46" s="62">
        <f>Y46*角色升级升阶!$C$5</f>
        <v>63.84</v>
      </c>
      <c r="AA46" s="25">
        <f>ROUND(角色星盘!C$23*O46,2)</f>
        <v>449.86</v>
      </c>
      <c r="AB46" s="25">
        <f>ROUND(角色星盘!D$23*P46,2)</f>
        <v>66.15</v>
      </c>
      <c r="AC46" s="25">
        <f>ROUND(角色星盘!D$23*Q46,2)</f>
        <v>82.69</v>
      </c>
      <c r="AD46" s="25">
        <f>ROUND(角色星盘!E$23*R46,2)</f>
        <v>67.83</v>
      </c>
      <c r="AE46" s="59" t="s">
        <v>904</v>
      </c>
      <c r="AF46" s="59" t="s">
        <v>145</v>
      </c>
      <c r="AG46" s="59" t="s">
        <v>146</v>
      </c>
      <c r="AH46" s="59">
        <v>1</v>
      </c>
      <c r="AI46" s="59">
        <v>1</v>
      </c>
      <c r="AJ46" s="59">
        <v>1</v>
      </c>
      <c r="AK46" s="59">
        <v>1</v>
      </c>
      <c r="AL46" s="25">
        <f>VLOOKUP(C46,专武!$M$45:$N$47,2,0)</f>
        <v>0.9</v>
      </c>
      <c r="AM46" s="25">
        <f t="shared" si="14"/>
        <v>1.08</v>
      </c>
      <c r="AN46" s="25">
        <f t="shared" si="15"/>
        <v>0.612</v>
      </c>
      <c r="AO46" s="25">
        <f t="shared" si="16"/>
        <v>0.765</v>
      </c>
      <c r="AP46" s="25">
        <f t="shared" si="17"/>
        <v>0.855</v>
      </c>
      <c r="AQ46" s="25">
        <f>AM46*专武!B$27</f>
        <v>3240</v>
      </c>
      <c r="AR46" s="25">
        <f>ROUND(AQ46/专武!$C$19*专武!$C$20,2)</f>
        <v>306</v>
      </c>
      <c r="AS46" s="25">
        <f>AN46*专武!C$27</f>
        <v>550.8</v>
      </c>
      <c r="AT46" s="25">
        <f>ROUND(AS46/专武!$C$19*专武!$C$20,2)</f>
        <v>52.02</v>
      </c>
      <c r="AU46" s="25">
        <f>AO46*专武!C$27</f>
        <v>688.5</v>
      </c>
      <c r="AV46" s="25">
        <f>ROUND(AU46/专武!$C$19*专武!$C$20,2)</f>
        <v>65.03</v>
      </c>
      <c r="AW46" s="25">
        <f>AP46*专武!D$27</f>
        <v>513</v>
      </c>
      <c r="AX46" s="25">
        <f>ROUND(AW46/专武!$C$19*专武!$C$20,2)</f>
        <v>48.45</v>
      </c>
      <c r="AY46" s="59" t="s">
        <v>904</v>
      </c>
      <c r="AZ46" s="59" t="s">
        <v>145</v>
      </c>
      <c r="BA46" s="59" t="s">
        <v>143</v>
      </c>
    </row>
    <row r="47" spans="2:53">
      <c r="B47" s="29" t="s">
        <v>356</v>
      </c>
      <c r="C47" s="60" t="s">
        <v>158</v>
      </c>
      <c r="D47" s="29" t="s">
        <v>854</v>
      </c>
      <c r="E47" s="25" t="s">
        <v>861</v>
      </c>
      <c r="F47" s="25">
        <f t="shared" si="1"/>
        <v>0.8</v>
      </c>
      <c r="G47" s="25">
        <f t="shared" si="2"/>
        <v>1.2</v>
      </c>
      <c r="H47" s="25">
        <f t="shared" si="3"/>
        <v>1</v>
      </c>
      <c r="I47" s="59">
        <v>0.96</v>
      </c>
      <c r="J47" s="59">
        <v>1.03</v>
      </c>
      <c r="K47" s="59">
        <v>1</v>
      </c>
      <c r="L47" s="59">
        <v>0.98</v>
      </c>
      <c r="M47" s="59">
        <f t="shared" si="4"/>
        <v>3.97</v>
      </c>
      <c r="N47" s="25">
        <f t="shared" si="5"/>
        <v>0.8</v>
      </c>
      <c r="O47" s="25">
        <f t="shared" si="6"/>
        <v>0.6144</v>
      </c>
      <c r="P47" s="25">
        <f t="shared" si="7"/>
        <v>0.9888</v>
      </c>
      <c r="Q47" s="25">
        <f t="shared" si="8"/>
        <v>0.768</v>
      </c>
      <c r="R47" s="25">
        <f t="shared" si="9"/>
        <v>0.784</v>
      </c>
      <c r="S47" s="62">
        <f>ROUND(O47*养成属性规划!$D$36,0)</f>
        <v>3072</v>
      </c>
      <c r="T47" s="62">
        <f>S47*角色升级升阶!$C$5</f>
        <v>245.76</v>
      </c>
      <c r="U47" s="62">
        <f>ROUND(P47*养成属性规划!$E$36,0)</f>
        <v>1483</v>
      </c>
      <c r="V47" s="62">
        <f>U47*角色升级升阶!$C$5</f>
        <v>118.64</v>
      </c>
      <c r="W47" s="62">
        <f>ROUND(Q47*养成属性规划!$E$36,0)</f>
        <v>1152</v>
      </c>
      <c r="X47" s="62">
        <f>W47*角色升级升阶!$C$5</f>
        <v>92.16</v>
      </c>
      <c r="Y47" s="62">
        <f>ROUND(R47*养成属性规划!$F$36,0)</f>
        <v>784</v>
      </c>
      <c r="Z47" s="62">
        <f>Y47*角色升级升阶!$C$5</f>
        <v>62.72</v>
      </c>
      <c r="AA47" s="25">
        <f>ROUND(角色星盘!C$23*O47,2)</f>
        <v>261.73</v>
      </c>
      <c r="AB47" s="25">
        <f>ROUND(角色星盘!D$23*P47,2)</f>
        <v>126.57</v>
      </c>
      <c r="AC47" s="25">
        <f>ROUND(角色星盘!D$23*Q47,2)</f>
        <v>98.3</v>
      </c>
      <c r="AD47" s="25">
        <f>ROUND(角色星盘!E$23*R47,2)</f>
        <v>66.64</v>
      </c>
      <c r="AE47" s="59" t="s">
        <v>128</v>
      </c>
      <c r="AF47" s="59" t="s">
        <v>138</v>
      </c>
      <c r="AG47" s="59" t="s">
        <v>143</v>
      </c>
      <c r="AH47" s="59">
        <v>1</v>
      </c>
      <c r="AI47" s="59">
        <v>1</v>
      </c>
      <c r="AJ47" s="59">
        <v>1</v>
      </c>
      <c r="AK47" s="59">
        <v>1</v>
      </c>
      <c r="AL47" s="25">
        <f>VLOOKUP(C47,专武!$M$45:$N$47,2,0)</f>
        <v>0.9</v>
      </c>
      <c r="AM47" s="25">
        <f t="shared" si="14"/>
        <v>0.72</v>
      </c>
      <c r="AN47" s="25">
        <f t="shared" si="15"/>
        <v>1.08</v>
      </c>
      <c r="AO47" s="25">
        <f t="shared" si="16"/>
        <v>0.864</v>
      </c>
      <c r="AP47" s="25">
        <f t="shared" si="17"/>
        <v>0.9</v>
      </c>
      <c r="AQ47" s="25">
        <f>AM47*专武!B$27</f>
        <v>2160</v>
      </c>
      <c r="AR47" s="25">
        <f>ROUND(AQ47/专武!$C$19*专武!$C$20,2)</f>
        <v>204</v>
      </c>
      <c r="AS47" s="25">
        <f>AN47*专武!C$27</f>
        <v>972</v>
      </c>
      <c r="AT47" s="25">
        <f>ROUND(AS47/专武!$C$19*专武!$C$20,2)</f>
        <v>91.8</v>
      </c>
      <c r="AU47" s="25">
        <f>AO47*专武!C$27</f>
        <v>777.6</v>
      </c>
      <c r="AV47" s="25">
        <f>ROUND(AU47/专武!$C$19*专武!$C$20,2)</f>
        <v>73.44</v>
      </c>
      <c r="AW47" s="25">
        <f>AP47*专武!D$27</f>
        <v>540</v>
      </c>
      <c r="AX47" s="25">
        <f>ROUND(AW47/专武!$C$19*专武!$C$20,2)</f>
        <v>51</v>
      </c>
      <c r="AY47" s="59" t="s">
        <v>128</v>
      </c>
      <c r="AZ47" s="59" t="s">
        <v>141</v>
      </c>
      <c r="BA47" s="59" t="s">
        <v>138</v>
      </c>
    </row>
    <row r="48" spans="2:53">
      <c r="B48" s="29" t="s">
        <v>911</v>
      </c>
      <c r="C48" s="60" t="s">
        <v>158</v>
      </c>
      <c r="D48" s="29" t="s">
        <v>852</v>
      </c>
      <c r="E48" s="25" t="s">
        <v>861</v>
      </c>
      <c r="F48" s="25">
        <f t="shared" si="1"/>
        <v>0.9</v>
      </c>
      <c r="G48" s="25">
        <f t="shared" si="2"/>
        <v>1.1</v>
      </c>
      <c r="H48" s="25">
        <f t="shared" si="3"/>
        <v>1</v>
      </c>
      <c r="I48" s="59">
        <v>0.97</v>
      </c>
      <c r="J48" s="59">
        <v>1.05</v>
      </c>
      <c r="K48" s="59">
        <v>1</v>
      </c>
      <c r="L48" s="59">
        <v>1.05</v>
      </c>
      <c r="M48" s="59">
        <f t="shared" si="4"/>
        <v>4.07</v>
      </c>
      <c r="N48" s="25">
        <f t="shared" si="5"/>
        <v>0.8</v>
      </c>
      <c r="O48" s="25">
        <f t="shared" si="6"/>
        <v>0.6984</v>
      </c>
      <c r="P48" s="25">
        <f t="shared" si="7"/>
        <v>0.924</v>
      </c>
      <c r="Q48" s="25">
        <f t="shared" si="8"/>
        <v>0.704</v>
      </c>
      <c r="R48" s="25">
        <f t="shared" si="9"/>
        <v>0.84</v>
      </c>
      <c r="S48" s="62">
        <f>ROUND(O48*养成属性规划!$D$36,0)</f>
        <v>3492</v>
      </c>
      <c r="T48" s="62">
        <f>S48*角色升级升阶!$C$5</f>
        <v>279.36</v>
      </c>
      <c r="U48" s="62">
        <f>ROUND(P48*养成属性规划!$E$36,0)</f>
        <v>1386</v>
      </c>
      <c r="V48" s="62">
        <f>U48*角色升级升阶!$C$5</f>
        <v>110.88</v>
      </c>
      <c r="W48" s="62">
        <f>ROUND(Q48*养成属性规划!$E$36,0)</f>
        <v>1056</v>
      </c>
      <c r="X48" s="62">
        <f>W48*角色升级升阶!$C$5</f>
        <v>84.48</v>
      </c>
      <c r="Y48" s="62">
        <f>ROUND(R48*养成属性规划!$F$36,0)</f>
        <v>840</v>
      </c>
      <c r="Z48" s="62">
        <f>Y48*角色升级升阶!$C$5</f>
        <v>67.2</v>
      </c>
      <c r="AA48" s="25">
        <f>ROUND(角色星盘!C$23*O48,2)</f>
        <v>297.52</v>
      </c>
      <c r="AB48" s="25">
        <f>ROUND(角色星盘!D$23*P48,2)</f>
        <v>118.27</v>
      </c>
      <c r="AC48" s="25">
        <f>ROUND(角色星盘!D$23*Q48,2)</f>
        <v>90.11</v>
      </c>
      <c r="AD48" s="25">
        <f>ROUND(角色星盘!E$23*R48,2)</f>
        <v>71.4</v>
      </c>
      <c r="AE48" s="59" t="s">
        <v>128</v>
      </c>
      <c r="AF48" s="59" t="s">
        <v>136</v>
      </c>
      <c r="AG48" s="59" t="s">
        <v>143</v>
      </c>
      <c r="AH48" s="59">
        <v>1</v>
      </c>
      <c r="AI48" s="59">
        <v>1</v>
      </c>
      <c r="AJ48" s="59">
        <v>1</v>
      </c>
      <c r="AK48" s="59">
        <v>1</v>
      </c>
      <c r="AL48" s="25">
        <f>VLOOKUP(C48,专武!$M$45:$N$47,2,0)</f>
        <v>0.9</v>
      </c>
      <c r="AM48" s="25">
        <f t="shared" si="14"/>
        <v>0.81</v>
      </c>
      <c r="AN48" s="25">
        <f t="shared" si="15"/>
        <v>0.99</v>
      </c>
      <c r="AO48" s="25">
        <f t="shared" si="16"/>
        <v>0.792</v>
      </c>
      <c r="AP48" s="25">
        <f t="shared" si="17"/>
        <v>0.9</v>
      </c>
      <c r="AQ48" s="25">
        <f>AM48*专武!B$27</f>
        <v>2430</v>
      </c>
      <c r="AR48" s="25">
        <f>ROUND(AQ48/专武!$C$19*专武!$C$20,2)</f>
        <v>229.5</v>
      </c>
      <c r="AS48" s="25">
        <f>AN48*专武!C$27</f>
        <v>891</v>
      </c>
      <c r="AT48" s="25">
        <f>ROUND(AS48/专武!$C$19*专武!$C$20,2)</f>
        <v>84.15</v>
      </c>
      <c r="AU48" s="25">
        <f>AO48*专武!C$27</f>
        <v>712.8</v>
      </c>
      <c r="AV48" s="25">
        <f>ROUND(AU48/专武!$C$19*专武!$C$20,2)</f>
        <v>67.32</v>
      </c>
      <c r="AW48" s="25">
        <f>AP48*专武!D$27</f>
        <v>540</v>
      </c>
      <c r="AX48" s="25">
        <f>ROUND(AW48/专武!$C$19*专武!$C$20,2)</f>
        <v>51</v>
      </c>
      <c r="AY48" s="59" t="s">
        <v>144</v>
      </c>
      <c r="AZ48" s="59" t="s">
        <v>141</v>
      </c>
      <c r="BA48" s="59" t="s">
        <v>143</v>
      </c>
    </row>
    <row r="49" spans="2:53">
      <c r="B49" s="29" t="s">
        <v>912</v>
      </c>
      <c r="C49" s="60" t="s">
        <v>158</v>
      </c>
      <c r="D49" s="29" t="s">
        <v>853</v>
      </c>
      <c r="E49" s="25" t="s">
        <v>861</v>
      </c>
      <c r="F49" s="25">
        <f t="shared" si="1"/>
        <v>1.05</v>
      </c>
      <c r="G49" s="25">
        <f t="shared" si="2"/>
        <v>0.95</v>
      </c>
      <c r="H49" s="25">
        <f t="shared" si="3"/>
        <v>1</v>
      </c>
      <c r="I49" s="59">
        <v>0.98</v>
      </c>
      <c r="J49" s="59">
        <v>0.98</v>
      </c>
      <c r="K49" s="59">
        <v>1.02</v>
      </c>
      <c r="L49" s="59">
        <v>1.04</v>
      </c>
      <c r="M49" s="59">
        <f t="shared" si="4"/>
        <v>4.02</v>
      </c>
      <c r="N49" s="25">
        <f t="shared" si="5"/>
        <v>0.8</v>
      </c>
      <c r="O49" s="25">
        <f t="shared" si="6"/>
        <v>0.8232</v>
      </c>
      <c r="P49" s="25">
        <f t="shared" si="7"/>
        <v>0.7448</v>
      </c>
      <c r="Q49" s="25">
        <f t="shared" si="8"/>
        <v>0.62016</v>
      </c>
      <c r="R49" s="25">
        <f t="shared" si="9"/>
        <v>0.832</v>
      </c>
      <c r="S49" s="62">
        <f>ROUND(O49*养成属性规划!$D$36,0)</f>
        <v>4116</v>
      </c>
      <c r="T49" s="62">
        <f>S49*角色升级升阶!$C$5</f>
        <v>329.28</v>
      </c>
      <c r="U49" s="62">
        <f>ROUND(P49*养成属性规划!$E$36,0)</f>
        <v>1117</v>
      </c>
      <c r="V49" s="62">
        <f>U49*角色升级升阶!$C$5</f>
        <v>89.36</v>
      </c>
      <c r="W49" s="62">
        <f>ROUND(Q49*养成属性规划!$E$36,0)</f>
        <v>930</v>
      </c>
      <c r="X49" s="62">
        <f>W49*角色升级升阶!$C$5</f>
        <v>74.4</v>
      </c>
      <c r="Y49" s="62">
        <f>ROUND(R49*养成属性规划!$F$36,0)</f>
        <v>832</v>
      </c>
      <c r="Z49" s="62">
        <f>Y49*角色升级升阶!$C$5</f>
        <v>66.56</v>
      </c>
      <c r="AA49" s="25">
        <f>ROUND(角色星盘!C$23*O49,2)</f>
        <v>350.68</v>
      </c>
      <c r="AB49" s="25">
        <f>ROUND(角色星盘!D$23*P49,2)</f>
        <v>95.33</v>
      </c>
      <c r="AC49" s="25">
        <f>ROUND(角色星盘!D$23*Q49,2)</f>
        <v>79.38</v>
      </c>
      <c r="AD49" s="25">
        <f>ROUND(角色星盘!E$23*R49,2)</f>
        <v>70.72</v>
      </c>
      <c r="AE49" s="59" t="s">
        <v>128</v>
      </c>
      <c r="AF49" s="59" t="s">
        <v>143</v>
      </c>
      <c r="AG49" s="59" t="s">
        <v>136</v>
      </c>
      <c r="AH49" s="59">
        <v>1</v>
      </c>
      <c r="AI49" s="59">
        <v>1</v>
      </c>
      <c r="AJ49" s="59">
        <v>1</v>
      </c>
      <c r="AK49" s="59">
        <v>1</v>
      </c>
      <c r="AL49" s="25">
        <f>VLOOKUP(C49,专武!$M$45:$N$47,2,0)</f>
        <v>0.9</v>
      </c>
      <c r="AM49" s="25">
        <f t="shared" si="14"/>
        <v>0.945</v>
      </c>
      <c r="AN49" s="25">
        <f t="shared" si="15"/>
        <v>0.855</v>
      </c>
      <c r="AO49" s="25">
        <f t="shared" si="16"/>
        <v>0.684</v>
      </c>
      <c r="AP49" s="25">
        <f t="shared" si="17"/>
        <v>0.9</v>
      </c>
      <c r="AQ49" s="25">
        <f>AM49*专武!B$27</f>
        <v>2835</v>
      </c>
      <c r="AR49" s="25">
        <f>ROUND(AQ49/专武!$C$19*专武!$C$20,2)</f>
        <v>267.75</v>
      </c>
      <c r="AS49" s="25">
        <f>AN49*专武!C$27</f>
        <v>769.5</v>
      </c>
      <c r="AT49" s="25">
        <f>ROUND(AS49/专武!$C$19*专武!$C$20,2)</f>
        <v>72.68</v>
      </c>
      <c r="AU49" s="25">
        <f>AO49*专武!C$27</f>
        <v>615.6</v>
      </c>
      <c r="AV49" s="25">
        <f>ROUND(AU49/专武!$C$19*专武!$C$20,2)</f>
        <v>58.14</v>
      </c>
      <c r="AW49" s="25">
        <f>AP49*专武!D$27</f>
        <v>540</v>
      </c>
      <c r="AX49" s="25">
        <f>ROUND(AW49/专武!$C$19*专武!$C$20,2)</f>
        <v>51</v>
      </c>
      <c r="AY49" s="59" t="s">
        <v>128</v>
      </c>
      <c r="AZ49" s="59" t="s">
        <v>141</v>
      </c>
      <c r="BA49" s="59" t="s">
        <v>144</v>
      </c>
    </row>
    <row r="50" spans="2:53">
      <c r="B50" s="29" t="s">
        <v>350</v>
      </c>
      <c r="C50" s="60" t="s">
        <v>158</v>
      </c>
      <c r="D50" s="29" t="s">
        <v>855</v>
      </c>
      <c r="E50" s="25" t="s">
        <v>861</v>
      </c>
      <c r="F50" s="25">
        <f t="shared" si="1"/>
        <v>1.1</v>
      </c>
      <c r="G50" s="25">
        <f t="shared" si="2"/>
        <v>0.85</v>
      </c>
      <c r="H50" s="25">
        <f t="shared" si="3"/>
        <v>1.05</v>
      </c>
      <c r="I50" s="59">
        <v>1</v>
      </c>
      <c r="J50" s="59">
        <v>1.05</v>
      </c>
      <c r="K50" s="59">
        <v>0.97</v>
      </c>
      <c r="L50" s="59">
        <v>0.98</v>
      </c>
      <c r="M50" s="59">
        <f t="shared" si="4"/>
        <v>4</v>
      </c>
      <c r="N50" s="25">
        <f t="shared" si="5"/>
        <v>0.8</v>
      </c>
      <c r="O50" s="25">
        <f t="shared" si="6"/>
        <v>0.88</v>
      </c>
      <c r="P50" s="25">
        <f t="shared" si="7"/>
        <v>0.714</v>
      </c>
      <c r="Q50" s="25">
        <f t="shared" si="8"/>
        <v>0.52768</v>
      </c>
      <c r="R50" s="25">
        <f t="shared" si="9"/>
        <v>0.8232</v>
      </c>
      <c r="S50" s="62">
        <f>ROUND(O50*养成属性规划!$D$36,0)</f>
        <v>4400</v>
      </c>
      <c r="T50" s="62">
        <f>S50*角色升级升阶!$C$5</f>
        <v>352</v>
      </c>
      <c r="U50" s="62">
        <f>ROUND(P50*养成属性规划!$E$36,0)</f>
        <v>1071</v>
      </c>
      <c r="V50" s="62">
        <f>U50*角色升级升阶!$C$5</f>
        <v>85.68</v>
      </c>
      <c r="W50" s="62">
        <f>ROUND(Q50*养成属性规划!$E$36,0)</f>
        <v>792</v>
      </c>
      <c r="X50" s="62">
        <f>W50*角色升级升阶!$C$5</f>
        <v>63.36</v>
      </c>
      <c r="Y50" s="62">
        <f>ROUND(R50*养成属性规划!$F$36,0)</f>
        <v>823</v>
      </c>
      <c r="Z50" s="62">
        <f>Y50*角色升级升阶!$C$5</f>
        <v>65.84</v>
      </c>
      <c r="AA50" s="25">
        <f>ROUND(角色星盘!C$23*O50,2)</f>
        <v>374.88</v>
      </c>
      <c r="AB50" s="25">
        <f>ROUND(角色星盘!D$23*P50,2)</f>
        <v>91.39</v>
      </c>
      <c r="AC50" s="25">
        <f>ROUND(角色星盘!D$23*Q50,2)</f>
        <v>67.54</v>
      </c>
      <c r="AD50" s="25">
        <f>ROUND(角色星盘!E$23*R50,2)</f>
        <v>69.97</v>
      </c>
      <c r="AE50" s="59" t="s">
        <v>128</v>
      </c>
      <c r="AF50" s="59" t="s">
        <v>146</v>
      </c>
      <c r="AG50" s="59" t="s">
        <v>145</v>
      </c>
      <c r="AH50" s="59">
        <v>1</v>
      </c>
      <c r="AI50" s="59">
        <v>1</v>
      </c>
      <c r="AJ50" s="59">
        <v>1</v>
      </c>
      <c r="AK50" s="59">
        <v>1</v>
      </c>
      <c r="AL50" s="25">
        <f>VLOOKUP(C50,专武!$M$45:$N$47,2,0)</f>
        <v>0.9</v>
      </c>
      <c r="AM50" s="25">
        <f t="shared" si="14"/>
        <v>0.99</v>
      </c>
      <c r="AN50" s="25">
        <f t="shared" si="15"/>
        <v>0.765</v>
      </c>
      <c r="AO50" s="25">
        <f t="shared" si="16"/>
        <v>0.612</v>
      </c>
      <c r="AP50" s="25">
        <f t="shared" si="17"/>
        <v>0.945</v>
      </c>
      <c r="AQ50" s="25">
        <f>AM50*专武!B$27</f>
        <v>2970</v>
      </c>
      <c r="AR50" s="25">
        <f>ROUND(AQ50/专武!$C$19*专武!$C$20,2)</f>
        <v>280.5</v>
      </c>
      <c r="AS50" s="25">
        <f>AN50*专武!C$27</f>
        <v>688.5</v>
      </c>
      <c r="AT50" s="25">
        <f>ROUND(AS50/专武!$C$19*专武!$C$20,2)</f>
        <v>65.03</v>
      </c>
      <c r="AU50" s="25">
        <f>AO50*专武!C$27</f>
        <v>550.8</v>
      </c>
      <c r="AV50" s="25">
        <f>ROUND(AU50/专武!$C$19*专武!$C$20,2)</f>
        <v>52.02</v>
      </c>
      <c r="AW50" s="25">
        <f>AP50*专武!D$27</f>
        <v>567</v>
      </c>
      <c r="AX50" s="25">
        <f>ROUND(AW50/专武!$C$19*专武!$C$20,2)</f>
        <v>53.55</v>
      </c>
      <c r="AY50" s="64" t="s">
        <v>128</v>
      </c>
      <c r="AZ50" s="59" t="s">
        <v>141</v>
      </c>
      <c r="BA50" s="59" t="s">
        <v>146</v>
      </c>
    </row>
    <row r="51" spans="2:53">
      <c r="B51" s="29" t="s">
        <v>353</v>
      </c>
      <c r="C51" s="60" t="s">
        <v>158</v>
      </c>
      <c r="D51" s="29" t="s">
        <v>853</v>
      </c>
      <c r="E51" s="25" t="s">
        <v>861</v>
      </c>
      <c r="F51" s="25">
        <f t="shared" si="1"/>
        <v>1.05</v>
      </c>
      <c r="G51" s="25">
        <f t="shared" si="2"/>
        <v>0.95</v>
      </c>
      <c r="H51" s="25">
        <f t="shared" si="3"/>
        <v>1</v>
      </c>
      <c r="I51" s="59">
        <v>1.05</v>
      </c>
      <c r="J51" s="59">
        <v>1.01</v>
      </c>
      <c r="K51" s="59">
        <v>0.98</v>
      </c>
      <c r="L51" s="59">
        <v>0.95</v>
      </c>
      <c r="M51" s="59">
        <f t="shared" si="4"/>
        <v>3.99</v>
      </c>
      <c r="N51" s="25">
        <f t="shared" si="5"/>
        <v>0.8</v>
      </c>
      <c r="O51" s="25">
        <f t="shared" si="6"/>
        <v>0.882</v>
      </c>
      <c r="P51" s="25">
        <f t="shared" si="7"/>
        <v>0.7676</v>
      </c>
      <c r="Q51" s="25">
        <f t="shared" si="8"/>
        <v>0.59584</v>
      </c>
      <c r="R51" s="25">
        <f t="shared" si="9"/>
        <v>0.76</v>
      </c>
      <c r="S51" s="62">
        <f>ROUND(O51*养成属性规划!$D$36,0)</f>
        <v>4410</v>
      </c>
      <c r="T51" s="62">
        <f>S51*角色升级升阶!$C$5</f>
        <v>352.8</v>
      </c>
      <c r="U51" s="62">
        <f>ROUND(P51*养成属性规划!$E$36,0)</f>
        <v>1151</v>
      </c>
      <c r="V51" s="62">
        <f>U51*角色升级升阶!$C$5</f>
        <v>92.08</v>
      </c>
      <c r="W51" s="62">
        <f>ROUND(Q51*养成属性规划!$E$36,0)</f>
        <v>894</v>
      </c>
      <c r="X51" s="62">
        <f>W51*角色升级升阶!$C$5</f>
        <v>71.52</v>
      </c>
      <c r="Y51" s="62">
        <f>ROUND(R51*养成属性规划!$F$36,0)</f>
        <v>760</v>
      </c>
      <c r="Z51" s="62">
        <f>Y51*角色升级升阶!$C$5</f>
        <v>60.8</v>
      </c>
      <c r="AA51" s="25">
        <f>ROUND(角色星盘!C$23*O51,2)</f>
        <v>375.73</v>
      </c>
      <c r="AB51" s="25">
        <f>ROUND(角色星盘!D$23*P51,2)</f>
        <v>98.25</v>
      </c>
      <c r="AC51" s="25">
        <f>ROUND(角色星盘!D$23*Q51,2)</f>
        <v>76.27</v>
      </c>
      <c r="AD51" s="25">
        <f>ROUND(角色星盘!E$23*R51,2)</f>
        <v>64.6</v>
      </c>
      <c r="AE51" s="59" t="s">
        <v>128</v>
      </c>
      <c r="AF51" s="59" t="s">
        <v>136</v>
      </c>
      <c r="AG51" s="59" t="s">
        <v>143</v>
      </c>
      <c r="AH51" s="59">
        <v>1</v>
      </c>
      <c r="AI51" s="59">
        <v>1</v>
      </c>
      <c r="AJ51" s="59">
        <v>1</v>
      </c>
      <c r="AK51" s="59">
        <v>1</v>
      </c>
      <c r="AL51" s="25">
        <f>VLOOKUP(C51,专武!$M$45:$N$47,2,0)</f>
        <v>0.9</v>
      </c>
      <c r="AM51" s="25">
        <f t="shared" si="14"/>
        <v>0.945</v>
      </c>
      <c r="AN51" s="25">
        <f t="shared" si="15"/>
        <v>0.855</v>
      </c>
      <c r="AO51" s="25">
        <f t="shared" si="16"/>
        <v>0.684</v>
      </c>
      <c r="AP51" s="25">
        <f t="shared" si="17"/>
        <v>0.9</v>
      </c>
      <c r="AQ51" s="25">
        <f>AM51*专武!B$27</f>
        <v>2835</v>
      </c>
      <c r="AR51" s="25">
        <f>ROUND(AQ51/专武!$C$19*专武!$C$20,2)</f>
        <v>267.75</v>
      </c>
      <c r="AS51" s="25">
        <f>AN51*专武!C$27</f>
        <v>769.5</v>
      </c>
      <c r="AT51" s="25">
        <f>ROUND(AS51/专武!$C$19*专武!$C$20,2)</f>
        <v>72.68</v>
      </c>
      <c r="AU51" s="25">
        <f>AO51*专武!C$27</f>
        <v>615.6</v>
      </c>
      <c r="AV51" s="25">
        <f>ROUND(AU51/专武!$C$19*专武!$C$20,2)</f>
        <v>58.14</v>
      </c>
      <c r="AW51" s="25">
        <f>AP51*专武!D$27</f>
        <v>540</v>
      </c>
      <c r="AX51" s="25">
        <f>ROUND(AW51/专武!$C$19*专武!$C$20,2)</f>
        <v>51</v>
      </c>
      <c r="AY51" s="64" t="s">
        <v>136</v>
      </c>
      <c r="AZ51" s="59" t="s">
        <v>141</v>
      </c>
      <c r="BA51" s="59" t="s">
        <v>143</v>
      </c>
    </row>
    <row r="52" spans="2:53">
      <c r="B52" s="29" t="s">
        <v>354</v>
      </c>
      <c r="C52" s="60" t="s">
        <v>158</v>
      </c>
      <c r="D52" s="29" t="s">
        <v>856</v>
      </c>
      <c r="E52" s="25" t="s">
        <v>861</v>
      </c>
      <c r="F52" s="25">
        <f t="shared" si="1"/>
        <v>1</v>
      </c>
      <c r="G52" s="25">
        <f t="shared" si="2"/>
        <v>0.9</v>
      </c>
      <c r="H52" s="25">
        <f t="shared" si="3"/>
        <v>1.1</v>
      </c>
      <c r="I52" s="59">
        <v>1.1</v>
      </c>
      <c r="J52" s="59">
        <v>0.9</v>
      </c>
      <c r="K52" s="59">
        <v>0.9</v>
      </c>
      <c r="L52" s="59">
        <v>1.05</v>
      </c>
      <c r="M52" s="59">
        <f t="shared" si="4"/>
        <v>3.95</v>
      </c>
      <c r="N52" s="25">
        <f t="shared" si="5"/>
        <v>0.8</v>
      </c>
      <c r="O52" s="25">
        <f t="shared" si="6"/>
        <v>0.88</v>
      </c>
      <c r="P52" s="25">
        <f t="shared" si="7"/>
        <v>0.648</v>
      </c>
      <c r="Q52" s="25">
        <f t="shared" si="8"/>
        <v>0.5184</v>
      </c>
      <c r="R52" s="25">
        <f t="shared" si="9"/>
        <v>0.924</v>
      </c>
      <c r="S52" s="62">
        <f>ROUND(O52*养成属性规划!$D$36,0)</f>
        <v>4400</v>
      </c>
      <c r="T52" s="62">
        <f>S52*角色升级升阶!$C$5</f>
        <v>352</v>
      </c>
      <c r="U52" s="62">
        <f>ROUND(P52*养成属性规划!$E$36,0)</f>
        <v>972</v>
      </c>
      <c r="V52" s="62">
        <f>U52*角色升级升阶!$C$5</f>
        <v>77.76</v>
      </c>
      <c r="W52" s="62">
        <f>ROUND(Q52*养成属性规划!$E$36,0)</f>
        <v>778</v>
      </c>
      <c r="X52" s="62">
        <f>W52*角色升级升阶!$C$5</f>
        <v>62.24</v>
      </c>
      <c r="Y52" s="62">
        <f>ROUND(R52*养成属性规划!$F$36,0)</f>
        <v>924</v>
      </c>
      <c r="Z52" s="62">
        <f>Y52*角色升级升阶!$C$5</f>
        <v>73.92</v>
      </c>
      <c r="AA52" s="25">
        <f>ROUND(角色星盘!C$23*O52,2)</f>
        <v>374.88</v>
      </c>
      <c r="AB52" s="25">
        <f>ROUND(角色星盘!D$23*P52,2)</f>
        <v>82.94</v>
      </c>
      <c r="AC52" s="25">
        <f>ROUND(角色星盘!D$23*Q52,2)</f>
        <v>66.36</v>
      </c>
      <c r="AD52" s="25">
        <f>ROUND(角色星盘!E$23*R52,2)</f>
        <v>78.54</v>
      </c>
      <c r="AE52" s="59" t="s">
        <v>128</v>
      </c>
      <c r="AF52" s="59" t="s">
        <v>138</v>
      </c>
      <c r="AG52" s="59" t="s">
        <v>145</v>
      </c>
      <c r="AH52" s="59">
        <v>1</v>
      </c>
      <c r="AI52" s="59">
        <v>1</v>
      </c>
      <c r="AJ52" s="59">
        <v>1</v>
      </c>
      <c r="AK52" s="59">
        <v>1</v>
      </c>
      <c r="AL52" s="25">
        <f>VLOOKUP(C52,专武!$M$45:$N$47,2,0)</f>
        <v>0.9</v>
      </c>
      <c r="AM52" s="25">
        <f t="shared" si="14"/>
        <v>0.9</v>
      </c>
      <c r="AN52" s="25">
        <f t="shared" si="15"/>
        <v>0.81</v>
      </c>
      <c r="AO52" s="25">
        <f t="shared" si="16"/>
        <v>0.648</v>
      </c>
      <c r="AP52" s="25">
        <f t="shared" si="17"/>
        <v>0.99</v>
      </c>
      <c r="AQ52" s="25">
        <f>AM52*专武!B$27</f>
        <v>2700</v>
      </c>
      <c r="AR52" s="25">
        <f>ROUND(AQ52/专武!$C$19*专武!$C$20,2)</f>
        <v>255</v>
      </c>
      <c r="AS52" s="25">
        <f>AN52*专武!C$27</f>
        <v>729</v>
      </c>
      <c r="AT52" s="25">
        <f>ROUND(AS52/专武!$C$19*专武!$C$20,2)</f>
        <v>68.85</v>
      </c>
      <c r="AU52" s="25">
        <f>AO52*专武!C$27</f>
        <v>583.2</v>
      </c>
      <c r="AV52" s="25">
        <f>ROUND(AU52/专武!$C$19*专武!$C$20,2)</f>
        <v>55.08</v>
      </c>
      <c r="AW52" s="25">
        <f>AP52*专武!D$27</f>
        <v>594</v>
      </c>
      <c r="AX52" s="25">
        <f>ROUND(AW52/专武!$C$19*专武!$C$20,2)</f>
        <v>56.1</v>
      </c>
      <c r="AY52" s="64" t="s">
        <v>138</v>
      </c>
      <c r="AZ52" s="59" t="s">
        <v>141</v>
      </c>
      <c r="BA52" s="59" t="s">
        <v>137</v>
      </c>
    </row>
    <row r="53" spans="2:53">
      <c r="B53" s="29" t="s">
        <v>355</v>
      </c>
      <c r="C53" s="60" t="s">
        <v>158</v>
      </c>
      <c r="D53" s="29" t="s">
        <v>854</v>
      </c>
      <c r="E53" s="25" t="s">
        <v>862</v>
      </c>
      <c r="F53" s="25">
        <f t="shared" si="1"/>
        <v>0.8</v>
      </c>
      <c r="G53" s="25">
        <f t="shared" si="2"/>
        <v>1.2</v>
      </c>
      <c r="H53" s="25">
        <f t="shared" si="3"/>
        <v>1</v>
      </c>
      <c r="I53" s="59">
        <v>0.99</v>
      </c>
      <c r="J53" s="59">
        <v>1</v>
      </c>
      <c r="K53" s="59">
        <v>1</v>
      </c>
      <c r="L53" s="59">
        <v>1</v>
      </c>
      <c r="M53" s="59">
        <f t="shared" si="4"/>
        <v>3.99</v>
      </c>
      <c r="N53" s="25">
        <f t="shared" si="5"/>
        <v>0.8</v>
      </c>
      <c r="O53" s="25">
        <f t="shared" si="6"/>
        <v>0.6336</v>
      </c>
      <c r="P53" s="25">
        <f t="shared" si="7"/>
        <v>0.768</v>
      </c>
      <c r="Q53" s="25">
        <f t="shared" si="8"/>
        <v>0.96</v>
      </c>
      <c r="R53" s="25">
        <f t="shared" si="9"/>
        <v>0.8</v>
      </c>
      <c r="S53" s="62">
        <f>ROUND(O53*养成属性规划!$D$36,0)</f>
        <v>3168</v>
      </c>
      <c r="T53" s="62">
        <f>S53*角色升级升阶!$C$5</f>
        <v>253.44</v>
      </c>
      <c r="U53" s="62">
        <f>ROUND(P53*养成属性规划!$E$36,0)</f>
        <v>1152</v>
      </c>
      <c r="V53" s="62">
        <f>U53*角色升级升阶!$C$5</f>
        <v>92.16</v>
      </c>
      <c r="W53" s="62">
        <f>ROUND(Q53*养成属性规划!$E$36,0)</f>
        <v>1440</v>
      </c>
      <c r="X53" s="62">
        <f>W53*角色升级升阶!$C$5</f>
        <v>115.2</v>
      </c>
      <c r="Y53" s="62">
        <f>ROUND(R53*养成属性规划!$F$36,0)</f>
        <v>800</v>
      </c>
      <c r="Z53" s="62">
        <f>Y53*角色升级升阶!$C$5</f>
        <v>64</v>
      </c>
      <c r="AA53" s="25">
        <f>ROUND(角色星盘!C$23*O53,2)</f>
        <v>269.91</v>
      </c>
      <c r="AB53" s="25">
        <f>ROUND(角色星盘!D$23*P53,2)</f>
        <v>98.3</v>
      </c>
      <c r="AC53" s="25">
        <f>ROUND(角色星盘!D$23*Q53,2)</f>
        <v>122.88</v>
      </c>
      <c r="AD53" s="25">
        <f>ROUND(角色星盘!E$23*R53,2)</f>
        <v>68</v>
      </c>
      <c r="AE53" s="59" t="s">
        <v>128</v>
      </c>
      <c r="AF53" s="59" t="s">
        <v>138</v>
      </c>
      <c r="AG53" s="59" t="s">
        <v>137</v>
      </c>
      <c r="AH53" s="59">
        <v>1</v>
      </c>
      <c r="AI53" s="59">
        <v>1</v>
      </c>
      <c r="AJ53" s="59">
        <v>1</v>
      </c>
      <c r="AK53" s="59">
        <v>1</v>
      </c>
      <c r="AL53" s="25">
        <f>VLOOKUP(C53,专武!$M$45:$N$47,2,0)</f>
        <v>0.9</v>
      </c>
      <c r="AM53" s="25">
        <f t="shared" si="14"/>
        <v>0.72</v>
      </c>
      <c r="AN53" s="25">
        <f t="shared" si="15"/>
        <v>0.864</v>
      </c>
      <c r="AO53" s="25">
        <f t="shared" si="16"/>
        <v>1.08</v>
      </c>
      <c r="AP53" s="25">
        <f t="shared" si="17"/>
        <v>0.9</v>
      </c>
      <c r="AQ53" s="25">
        <f>AM53*专武!B$27</f>
        <v>2160</v>
      </c>
      <c r="AR53" s="25">
        <f>ROUND(AQ53/专武!$C$19*专武!$C$20,2)</f>
        <v>204</v>
      </c>
      <c r="AS53" s="25">
        <f>AN53*专武!C$27</f>
        <v>777.6</v>
      </c>
      <c r="AT53" s="25">
        <f>ROUND(AS53/专武!$C$19*专武!$C$20,2)</f>
        <v>73.44</v>
      </c>
      <c r="AU53" s="25">
        <f>AO53*专武!C$27</f>
        <v>972</v>
      </c>
      <c r="AV53" s="25">
        <f>ROUND(AU53/专武!$C$19*专武!$C$20,2)</f>
        <v>91.8</v>
      </c>
      <c r="AW53" s="25">
        <f>AP53*专武!D$27</f>
        <v>540</v>
      </c>
      <c r="AX53" s="25">
        <f>ROUND(AW53/专武!$C$19*专武!$C$20,2)</f>
        <v>51</v>
      </c>
      <c r="AY53" s="64" t="s">
        <v>128</v>
      </c>
      <c r="AZ53" s="59" t="s">
        <v>142</v>
      </c>
      <c r="BA53" s="59" t="s">
        <v>138</v>
      </c>
    </row>
    <row r="54" spans="2:53">
      <c r="B54" s="29" t="s">
        <v>357</v>
      </c>
      <c r="C54" s="60" t="s">
        <v>158</v>
      </c>
      <c r="D54" s="29" t="s">
        <v>855</v>
      </c>
      <c r="E54" s="25" t="s">
        <v>862</v>
      </c>
      <c r="F54" s="25">
        <f t="shared" si="1"/>
        <v>1.1</v>
      </c>
      <c r="G54" s="25">
        <f t="shared" si="2"/>
        <v>0.85</v>
      </c>
      <c r="H54" s="25">
        <f t="shared" si="3"/>
        <v>1.05</v>
      </c>
      <c r="I54" s="59">
        <v>1.05</v>
      </c>
      <c r="J54" s="59">
        <v>0.95</v>
      </c>
      <c r="K54" s="59">
        <v>0.95</v>
      </c>
      <c r="L54" s="59">
        <v>0.95</v>
      </c>
      <c r="M54" s="59">
        <f t="shared" si="4"/>
        <v>3.9</v>
      </c>
      <c r="N54" s="25">
        <f t="shared" si="5"/>
        <v>0.8</v>
      </c>
      <c r="O54" s="25">
        <f t="shared" si="6"/>
        <v>0.924</v>
      </c>
      <c r="P54" s="25">
        <f t="shared" si="7"/>
        <v>0.5168</v>
      </c>
      <c r="Q54" s="25">
        <f t="shared" si="8"/>
        <v>0.646</v>
      </c>
      <c r="R54" s="25">
        <f t="shared" si="9"/>
        <v>0.798</v>
      </c>
      <c r="S54" s="62">
        <f>ROUND(O54*养成属性规划!$D$36,0)</f>
        <v>4620</v>
      </c>
      <c r="T54" s="62">
        <f>S54*角色升级升阶!$C$5</f>
        <v>369.6</v>
      </c>
      <c r="U54" s="62">
        <f>ROUND(P54*养成属性规划!$E$36,0)</f>
        <v>775</v>
      </c>
      <c r="V54" s="62">
        <f>U54*角色升级升阶!$C$5</f>
        <v>62</v>
      </c>
      <c r="W54" s="62">
        <f>ROUND(Q54*养成属性规划!$E$36,0)</f>
        <v>969</v>
      </c>
      <c r="X54" s="62">
        <f>W54*角色升级升阶!$C$5</f>
        <v>77.52</v>
      </c>
      <c r="Y54" s="62">
        <f>ROUND(R54*养成属性规划!$F$36,0)</f>
        <v>798</v>
      </c>
      <c r="Z54" s="62">
        <f>Y54*角色升级升阶!$C$5</f>
        <v>63.84</v>
      </c>
      <c r="AA54" s="25">
        <f>ROUND(角色星盘!C$23*O54,2)</f>
        <v>393.62</v>
      </c>
      <c r="AB54" s="25">
        <f>ROUND(角色星盘!D$23*P54,2)</f>
        <v>66.15</v>
      </c>
      <c r="AC54" s="25">
        <f>ROUND(角色星盘!D$23*Q54,2)</f>
        <v>82.69</v>
      </c>
      <c r="AD54" s="25">
        <f>ROUND(角色星盘!E$23*R54,2)</f>
        <v>67.83</v>
      </c>
      <c r="AE54" s="59" t="s">
        <v>143</v>
      </c>
      <c r="AF54" s="59" t="s">
        <v>145</v>
      </c>
      <c r="AG54" s="59" t="s">
        <v>146</v>
      </c>
      <c r="AH54" s="59">
        <v>1</v>
      </c>
      <c r="AI54" s="59">
        <v>1</v>
      </c>
      <c r="AJ54" s="59">
        <v>1</v>
      </c>
      <c r="AK54" s="59">
        <v>1</v>
      </c>
      <c r="AL54" s="25">
        <f>VLOOKUP(C54,专武!$M$45:$N$47,2,0)</f>
        <v>0.9</v>
      </c>
      <c r="AM54" s="25">
        <f t="shared" si="14"/>
        <v>0.99</v>
      </c>
      <c r="AN54" s="25">
        <f t="shared" si="15"/>
        <v>0.612</v>
      </c>
      <c r="AO54" s="25">
        <f t="shared" si="16"/>
        <v>0.765</v>
      </c>
      <c r="AP54" s="25">
        <f t="shared" si="17"/>
        <v>0.945</v>
      </c>
      <c r="AQ54" s="25">
        <f>AM54*专武!B$27</f>
        <v>2970</v>
      </c>
      <c r="AR54" s="25">
        <f>ROUND(AQ54/专武!$C$19*专武!$C$20,2)</f>
        <v>280.5</v>
      </c>
      <c r="AS54" s="25">
        <f>AN54*专武!C$27</f>
        <v>550.8</v>
      </c>
      <c r="AT54" s="25">
        <f>ROUND(AS54/专武!$C$19*专武!$C$20,2)</f>
        <v>52.02</v>
      </c>
      <c r="AU54" s="25">
        <f>AO54*专武!C$27</f>
        <v>688.5</v>
      </c>
      <c r="AV54" s="25">
        <f>ROUND(AU54/专武!$C$19*专武!$C$20,2)</f>
        <v>65.03</v>
      </c>
      <c r="AW54" s="25">
        <f>AP54*专武!D$27</f>
        <v>567</v>
      </c>
      <c r="AX54" s="25">
        <f>ROUND(AW54/专武!$C$19*专武!$C$20,2)</f>
        <v>53.55</v>
      </c>
      <c r="AY54" s="64" t="s">
        <v>143</v>
      </c>
      <c r="AZ54" s="59" t="s">
        <v>142</v>
      </c>
      <c r="BA54" s="59" t="s">
        <v>145</v>
      </c>
    </row>
    <row r="55" spans="2:53">
      <c r="B55" s="29" t="s">
        <v>360</v>
      </c>
      <c r="C55" s="60" t="s">
        <v>158</v>
      </c>
      <c r="D55" s="29" t="s">
        <v>850</v>
      </c>
      <c r="E55" s="25" t="s">
        <v>862</v>
      </c>
      <c r="F55" s="25">
        <f t="shared" si="1"/>
        <v>1.4</v>
      </c>
      <c r="G55" s="25">
        <f t="shared" si="2"/>
        <v>0.6</v>
      </c>
      <c r="H55" s="25">
        <f t="shared" si="3"/>
        <v>1</v>
      </c>
      <c r="I55" s="59">
        <v>1</v>
      </c>
      <c r="J55" s="59">
        <v>1</v>
      </c>
      <c r="K55" s="59">
        <v>1</v>
      </c>
      <c r="L55" s="59">
        <v>1.1</v>
      </c>
      <c r="M55" s="59">
        <f t="shared" si="4"/>
        <v>4.1</v>
      </c>
      <c r="N55" s="25">
        <f t="shared" si="5"/>
        <v>0.8</v>
      </c>
      <c r="O55" s="25">
        <f t="shared" si="6"/>
        <v>1.12</v>
      </c>
      <c r="P55" s="25">
        <f t="shared" si="7"/>
        <v>0.384</v>
      </c>
      <c r="Q55" s="25">
        <f t="shared" si="8"/>
        <v>0.48</v>
      </c>
      <c r="R55" s="25">
        <f t="shared" si="9"/>
        <v>0.88</v>
      </c>
      <c r="S55" s="62">
        <f>ROUND(O55*养成属性规划!$D$36,0)</f>
        <v>5600</v>
      </c>
      <c r="T55" s="62">
        <f>S55*角色升级升阶!$C$5</f>
        <v>448</v>
      </c>
      <c r="U55" s="62">
        <f>ROUND(P55*养成属性规划!$E$36,0)</f>
        <v>576</v>
      </c>
      <c r="V55" s="62">
        <f>U55*角色升级升阶!$C$5</f>
        <v>46.08</v>
      </c>
      <c r="W55" s="62">
        <f>ROUND(Q55*养成属性规划!$E$36,0)</f>
        <v>720</v>
      </c>
      <c r="X55" s="62">
        <f>W55*角色升级升阶!$C$5</f>
        <v>57.6</v>
      </c>
      <c r="Y55" s="62">
        <f>ROUND(R55*养成属性规划!$F$36,0)</f>
        <v>880</v>
      </c>
      <c r="Z55" s="62">
        <f>Y55*角色升级升阶!$C$5</f>
        <v>70.4</v>
      </c>
      <c r="AA55" s="25">
        <f>ROUND(角色星盘!C$23*O55,2)</f>
        <v>477.12</v>
      </c>
      <c r="AB55" s="25">
        <f>ROUND(角色星盘!D$23*P55,2)</f>
        <v>49.15</v>
      </c>
      <c r="AC55" s="25">
        <f>ROUND(角色星盘!D$23*Q55,2)</f>
        <v>61.44</v>
      </c>
      <c r="AD55" s="25">
        <f>ROUND(角色星盘!E$23*R55,2)</f>
        <v>74.8</v>
      </c>
      <c r="AE55" s="59" t="s">
        <v>904</v>
      </c>
      <c r="AF55" s="59" t="s">
        <v>128</v>
      </c>
      <c r="AG55" s="59" t="s">
        <v>146</v>
      </c>
      <c r="AH55" s="59">
        <v>1</v>
      </c>
      <c r="AI55" s="59">
        <v>1</v>
      </c>
      <c r="AJ55" s="59">
        <v>1</v>
      </c>
      <c r="AK55" s="59">
        <v>1</v>
      </c>
      <c r="AL55" s="25">
        <f>VLOOKUP(C55,专武!$M$45:$N$47,2,0)</f>
        <v>0.9</v>
      </c>
      <c r="AM55" s="25">
        <f t="shared" si="14"/>
        <v>1.26</v>
      </c>
      <c r="AN55" s="25">
        <f t="shared" si="15"/>
        <v>0.432</v>
      </c>
      <c r="AO55" s="25">
        <f t="shared" si="16"/>
        <v>0.54</v>
      </c>
      <c r="AP55" s="25">
        <f t="shared" si="17"/>
        <v>0.9</v>
      </c>
      <c r="AQ55" s="25">
        <f>AM55*专武!B$27</f>
        <v>3780</v>
      </c>
      <c r="AR55" s="25">
        <f>ROUND(AQ55/专武!$C$19*专武!$C$20,2)</f>
        <v>357</v>
      </c>
      <c r="AS55" s="25">
        <f>AN55*专武!C$27</f>
        <v>388.8</v>
      </c>
      <c r="AT55" s="25">
        <f>ROUND(AS55/专武!$C$19*专武!$C$20,2)</f>
        <v>36.72</v>
      </c>
      <c r="AU55" s="25">
        <f>AO55*专武!C$27</f>
        <v>486</v>
      </c>
      <c r="AV55" s="25">
        <f>ROUND(AU55/专武!$C$19*专武!$C$20,2)</f>
        <v>45.9</v>
      </c>
      <c r="AW55" s="25">
        <f>AP55*专武!D$27</f>
        <v>540</v>
      </c>
      <c r="AX55" s="25">
        <f>ROUND(AW55/专武!$C$19*专武!$C$20,2)</f>
        <v>51</v>
      </c>
      <c r="AY55" s="64" t="s">
        <v>904</v>
      </c>
      <c r="AZ55" s="59" t="s">
        <v>141</v>
      </c>
      <c r="BA55" s="59" t="s">
        <v>138</v>
      </c>
    </row>
    <row r="56" spans="2:53">
      <c r="B56" s="29" t="s">
        <v>913</v>
      </c>
      <c r="C56" s="60" t="s">
        <v>158</v>
      </c>
      <c r="D56" s="29" t="s">
        <v>850</v>
      </c>
      <c r="E56" s="25" t="s">
        <v>861</v>
      </c>
      <c r="F56" s="25">
        <f t="shared" si="1"/>
        <v>1.4</v>
      </c>
      <c r="G56" s="25">
        <f t="shared" si="2"/>
        <v>0.6</v>
      </c>
      <c r="H56" s="25">
        <f t="shared" si="3"/>
        <v>1</v>
      </c>
      <c r="I56" s="59">
        <v>1.03</v>
      </c>
      <c r="J56" s="59">
        <v>0.97</v>
      </c>
      <c r="K56" s="59">
        <v>0.97</v>
      </c>
      <c r="L56" s="59">
        <v>1.01</v>
      </c>
      <c r="M56" s="59">
        <f t="shared" si="4"/>
        <v>3.98</v>
      </c>
      <c r="N56" s="25">
        <f t="shared" si="5"/>
        <v>0.8</v>
      </c>
      <c r="O56" s="25">
        <f t="shared" si="6"/>
        <v>1.1536</v>
      </c>
      <c r="P56" s="25">
        <f t="shared" si="7"/>
        <v>0.4656</v>
      </c>
      <c r="Q56" s="25">
        <f t="shared" si="8"/>
        <v>0.37248</v>
      </c>
      <c r="R56" s="25">
        <f t="shared" si="9"/>
        <v>0.808</v>
      </c>
      <c r="S56" s="62">
        <f>ROUND(O56*养成属性规划!$D$36,0)</f>
        <v>5768</v>
      </c>
      <c r="T56" s="62">
        <f>S56*角色升级升阶!$C$5</f>
        <v>461.44</v>
      </c>
      <c r="U56" s="62">
        <f>ROUND(P56*养成属性规划!$E$36,0)</f>
        <v>698</v>
      </c>
      <c r="V56" s="62">
        <f>U56*角色升级升阶!$C$5</f>
        <v>55.84</v>
      </c>
      <c r="W56" s="62">
        <f>ROUND(Q56*养成属性规划!$E$36,0)</f>
        <v>559</v>
      </c>
      <c r="X56" s="62">
        <f>W56*角色升级升阶!$C$5</f>
        <v>44.72</v>
      </c>
      <c r="Y56" s="62">
        <f>ROUND(R56*养成属性规划!$F$36,0)</f>
        <v>808</v>
      </c>
      <c r="Z56" s="62">
        <f>Y56*角色升级升阶!$C$5</f>
        <v>64.64</v>
      </c>
      <c r="AA56" s="25">
        <f>ROUND(角色星盘!C$23*O56,2)</f>
        <v>491.43</v>
      </c>
      <c r="AB56" s="25">
        <f>ROUND(角色星盘!D$23*P56,2)</f>
        <v>59.6</v>
      </c>
      <c r="AC56" s="25">
        <f>ROUND(角色星盘!D$23*Q56,2)</f>
        <v>47.68</v>
      </c>
      <c r="AD56" s="25">
        <f>ROUND(角色星盘!E$23*R56,2)</f>
        <v>68.68</v>
      </c>
      <c r="AE56" s="59" t="s">
        <v>904</v>
      </c>
      <c r="AF56" s="59" t="s">
        <v>129</v>
      </c>
      <c r="AG56" s="59" t="s">
        <v>146</v>
      </c>
      <c r="AH56" s="59">
        <v>1</v>
      </c>
      <c r="AI56" s="59">
        <v>1</v>
      </c>
      <c r="AJ56" s="59">
        <v>1</v>
      </c>
      <c r="AK56" s="59">
        <v>1</v>
      </c>
      <c r="AL56" s="25">
        <f>VLOOKUP(C56,专武!$M$45:$N$47,2,0)</f>
        <v>0.9</v>
      </c>
      <c r="AM56" s="25">
        <f t="shared" si="14"/>
        <v>1.26</v>
      </c>
      <c r="AN56" s="25">
        <f t="shared" si="15"/>
        <v>0.54</v>
      </c>
      <c r="AO56" s="25">
        <f t="shared" si="16"/>
        <v>0.432</v>
      </c>
      <c r="AP56" s="25">
        <f t="shared" si="17"/>
        <v>0.9</v>
      </c>
      <c r="AQ56" s="25">
        <f>AM56*专武!B$27</f>
        <v>3780</v>
      </c>
      <c r="AR56" s="25">
        <f>ROUND(AQ56/专武!$C$19*专武!$C$20,2)</f>
        <v>357</v>
      </c>
      <c r="AS56" s="25">
        <f>AN56*专武!C$27</f>
        <v>486</v>
      </c>
      <c r="AT56" s="25">
        <f>ROUND(AS56/专武!$C$19*专武!$C$20,2)</f>
        <v>45.9</v>
      </c>
      <c r="AU56" s="25">
        <f>AO56*专武!C$27</f>
        <v>388.8</v>
      </c>
      <c r="AV56" s="25">
        <f>ROUND(AU56/专武!$C$19*专武!$C$20,2)</f>
        <v>36.72</v>
      </c>
      <c r="AW56" s="25">
        <f>AP56*专武!D$27</f>
        <v>540</v>
      </c>
      <c r="AX56" s="25">
        <f>ROUND(AW56/专武!$C$19*专武!$C$20,2)</f>
        <v>51</v>
      </c>
      <c r="AY56" s="64" t="s">
        <v>904</v>
      </c>
      <c r="AZ56" s="59" t="s">
        <v>141</v>
      </c>
      <c r="BA56" s="59" t="s">
        <v>145</v>
      </c>
    </row>
    <row r="57" spans="2:53">
      <c r="B57" s="29" t="s">
        <v>914</v>
      </c>
      <c r="C57" s="60" t="s">
        <v>158</v>
      </c>
      <c r="D57" s="29" t="s">
        <v>850</v>
      </c>
      <c r="E57" s="25" t="s">
        <v>861</v>
      </c>
      <c r="F57" s="25">
        <f t="shared" si="1"/>
        <v>1.4</v>
      </c>
      <c r="G57" s="25">
        <f t="shared" si="2"/>
        <v>0.6</v>
      </c>
      <c r="H57" s="25">
        <f t="shared" si="3"/>
        <v>1</v>
      </c>
      <c r="I57" s="59">
        <v>1.1</v>
      </c>
      <c r="J57" s="59">
        <v>0.94</v>
      </c>
      <c r="K57" s="59">
        <v>0.94</v>
      </c>
      <c r="L57" s="59">
        <v>1</v>
      </c>
      <c r="M57" s="59">
        <f t="shared" si="4"/>
        <v>3.98</v>
      </c>
      <c r="N57" s="25">
        <f t="shared" si="5"/>
        <v>0.8</v>
      </c>
      <c r="O57" s="25">
        <f t="shared" si="6"/>
        <v>1.232</v>
      </c>
      <c r="P57" s="25">
        <f t="shared" si="7"/>
        <v>0.4512</v>
      </c>
      <c r="Q57" s="25">
        <f t="shared" si="8"/>
        <v>0.36096</v>
      </c>
      <c r="R57" s="25">
        <f t="shared" si="9"/>
        <v>0.8</v>
      </c>
      <c r="S57" s="62">
        <f>ROUND(O57*养成属性规划!$D$36,0)</f>
        <v>6160</v>
      </c>
      <c r="T57" s="62">
        <f>S57*角色升级升阶!$C$5</f>
        <v>492.8</v>
      </c>
      <c r="U57" s="62">
        <f>ROUND(P57*养成属性规划!$E$36,0)</f>
        <v>677</v>
      </c>
      <c r="V57" s="62">
        <f>U57*角色升级升阶!$C$5</f>
        <v>54.16</v>
      </c>
      <c r="W57" s="62">
        <f>ROUND(Q57*养成属性规划!$E$36,0)</f>
        <v>541</v>
      </c>
      <c r="X57" s="62">
        <f>W57*角色升级升阶!$C$5</f>
        <v>43.28</v>
      </c>
      <c r="Y57" s="62">
        <f>ROUND(R57*养成属性规划!$F$36,0)</f>
        <v>800</v>
      </c>
      <c r="Z57" s="62">
        <f>Y57*角色升级升阶!$C$5</f>
        <v>64</v>
      </c>
      <c r="AA57" s="25">
        <f>ROUND(角色星盘!C$23*O57,2)</f>
        <v>524.83</v>
      </c>
      <c r="AB57" s="25">
        <f>ROUND(角色星盘!D$23*P57,2)</f>
        <v>57.75</v>
      </c>
      <c r="AC57" s="25">
        <f>ROUND(角色星盘!D$23*Q57,2)</f>
        <v>46.2</v>
      </c>
      <c r="AD57" s="25">
        <f>ROUND(角色星盘!E$23*R57,2)</f>
        <v>68</v>
      </c>
      <c r="AE57" s="59" t="s">
        <v>904</v>
      </c>
      <c r="AF57" s="59" t="s">
        <v>129</v>
      </c>
      <c r="AG57" s="59" t="s">
        <v>146</v>
      </c>
      <c r="AH57" s="59">
        <v>1</v>
      </c>
      <c r="AI57" s="59">
        <v>1</v>
      </c>
      <c r="AJ57" s="59">
        <v>1</v>
      </c>
      <c r="AK57" s="59">
        <v>1</v>
      </c>
      <c r="AL57" s="25">
        <f>VLOOKUP(C57,专武!$M$45:$N$47,2,0)</f>
        <v>0.9</v>
      </c>
      <c r="AM57" s="25">
        <f t="shared" si="14"/>
        <v>1.26</v>
      </c>
      <c r="AN57" s="25">
        <f t="shared" si="15"/>
        <v>0.54</v>
      </c>
      <c r="AO57" s="25">
        <f t="shared" si="16"/>
        <v>0.432</v>
      </c>
      <c r="AP57" s="25">
        <f t="shared" si="17"/>
        <v>0.9</v>
      </c>
      <c r="AQ57" s="25">
        <f>AM57*专武!B$27</f>
        <v>3780</v>
      </c>
      <c r="AR57" s="25">
        <f>ROUND(AQ57/专武!$C$19*专武!$C$20,2)</f>
        <v>357</v>
      </c>
      <c r="AS57" s="25">
        <f>AN57*专武!C$27</f>
        <v>486</v>
      </c>
      <c r="AT57" s="25">
        <f>ROUND(AS57/专武!$C$19*专武!$C$20,2)</f>
        <v>45.9</v>
      </c>
      <c r="AU57" s="25">
        <f>AO57*专武!C$27</f>
        <v>388.8</v>
      </c>
      <c r="AV57" s="25">
        <f>ROUND(AU57/专武!$C$19*专武!$C$20,2)</f>
        <v>36.72</v>
      </c>
      <c r="AW57" s="25">
        <f>AP57*专武!D$27</f>
        <v>540</v>
      </c>
      <c r="AX57" s="25">
        <f>ROUND(AW57/专武!$C$19*专武!$C$20,2)</f>
        <v>51</v>
      </c>
      <c r="AY57" s="64" t="s">
        <v>904</v>
      </c>
      <c r="AZ57" s="59" t="s">
        <v>141</v>
      </c>
      <c r="BA57" s="59" t="s">
        <v>146</v>
      </c>
    </row>
    <row r="58" spans="2:53">
      <c r="B58" s="29" t="s">
        <v>915</v>
      </c>
      <c r="C58" s="60" t="s">
        <v>158</v>
      </c>
      <c r="D58" s="29" t="s">
        <v>851</v>
      </c>
      <c r="E58" s="25" t="s">
        <v>861</v>
      </c>
      <c r="F58" s="25">
        <f t="shared" si="1"/>
        <v>1.2</v>
      </c>
      <c r="G58" s="25">
        <f t="shared" si="2"/>
        <v>0.6</v>
      </c>
      <c r="H58" s="25">
        <f t="shared" si="3"/>
        <v>1.2</v>
      </c>
      <c r="I58" s="59">
        <v>1.1</v>
      </c>
      <c r="J58" s="59">
        <v>0.94</v>
      </c>
      <c r="K58" s="59">
        <v>0.94</v>
      </c>
      <c r="L58" s="59">
        <v>1</v>
      </c>
      <c r="M58" s="59">
        <f t="shared" si="4"/>
        <v>3.98</v>
      </c>
      <c r="N58" s="25">
        <f t="shared" si="5"/>
        <v>0.8</v>
      </c>
      <c r="O58" s="25">
        <f t="shared" si="6"/>
        <v>1.056</v>
      </c>
      <c r="P58" s="25">
        <f t="shared" si="7"/>
        <v>0.4512</v>
      </c>
      <c r="Q58" s="25">
        <f t="shared" si="8"/>
        <v>0.36096</v>
      </c>
      <c r="R58" s="25">
        <f t="shared" si="9"/>
        <v>0.96</v>
      </c>
      <c r="S58" s="62">
        <f>ROUND(O58*养成属性规划!$D$36,0)</f>
        <v>5280</v>
      </c>
      <c r="T58" s="62">
        <f>S58*角色升级升阶!$C$5</f>
        <v>422.4</v>
      </c>
      <c r="U58" s="62">
        <f>ROUND(P58*养成属性规划!$E$36,0)</f>
        <v>677</v>
      </c>
      <c r="V58" s="62">
        <f>U58*角色升级升阶!$C$5</f>
        <v>54.16</v>
      </c>
      <c r="W58" s="62">
        <f>ROUND(Q58*养成属性规划!$E$36,0)</f>
        <v>541</v>
      </c>
      <c r="X58" s="62">
        <f>W58*角色升级升阶!$C$5</f>
        <v>43.28</v>
      </c>
      <c r="Y58" s="62">
        <f>ROUND(R58*养成属性规划!$F$36,0)</f>
        <v>960</v>
      </c>
      <c r="Z58" s="62">
        <f>Y58*角色升级升阶!$C$5</f>
        <v>76.8</v>
      </c>
      <c r="AA58" s="25">
        <f>ROUND(角色星盘!C$23*O58,2)</f>
        <v>449.86</v>
      </c>
      <c r="AB58" s="25">
        <f>ROUND(角色星盘!D$23*P58,2)</f>
        <v>57.75</v>
      </c>
      <c r="AC58" s="25">
        <f>ROUND(角色星盘!D$23*Q58,2)</f>
        <v>46.2</v>
      </c>
      <c r="AD58" s="25">
        <f>ROUND(角色星盘!E$23*R58,2)</f>
        <v>81.6</v>
      </c>
      <c r="AE58" s="59" t="s">
        <v>129</v>
      </c>
      <c r="AF58" s="59" t="s">
        <v>904</v>
      </c>
      <c r="AG58" s="59" t="s">
        <v>146</v>
      </c>
      <c r="AH58" s="59">
        <v>1</v>
      </c>
      <c r="AI58" s="59">
        <v>1</v>
      </c>
      <c r="AJ58" s="59">
        <v>1</v>
      </c>
      <c r="AK58" s="59">
        <v>1</v>
      </c>
      <c r="AL58" s="25">
        <f>VLOOKUP(C58,专武!$M$45:$N$47,2,0)</f>
        <v>0.9</v>
      </c>
      <c r="AM58" s="25">
        <f t="shared" si="14"/>
        <v>1.08</v>
      </c>
      <c r="AN58" s="25">
        <f t="shared" si="15"/>
        <v>0.54</v>
      </c>
      <c r="AO58" s="25">
        <f t="shared" si="16"/>
        <v>0.432</v>
      </c>
      <c r="AP58" s="25">
        <f t="shared" si="17"/>
        <v>1.08</v>
      </c>
      <c r="AQ58" s="25">
        <f>AM58*专武!B$27</f>
        <v>3240</v>
      </c>
      <c r="AR58" s="25">
        <f>ROUND(AQ58/专武!$C$19*专武!$C$20,2)</f>
        <v>306</v>
      </c>
      <c r="AS58" s="25">
        <f>AN58*专武!C$27</f>
        <v>486</v>
      </c>
      <c r="AT58" s="25">
        <f>ROUND(AS58/专武!$C$19*专武!$C$20,2)</f>
        <v>45.9</v>
      </c>
      <c r="AU58" s="25">
        <f>AO58*专武!C$27</f>
        <v>388.8</v>
      </c>
      <c r="AV58" s="25">
        <f>ROUND(AU58/专武!$C$19*专武!$C$20,2)</f>
        <v>36.72</v>
      </c>
      <c r="AW58" s="25">
        <f>AP58*专武!D$27</f>
        <v>648</v>
      </c>
      <c r="AX58" s="25">
        <f>ROUND(AW58/专武!$C$19*专武!$C$20,2)</f>
        <v>61.2</v>
      </c>
      <c r="AY58" s="64" t="s">
        <v>129</v>
      </c>
      <c r="AZ58" s="59" t="s">
        <v>141</v>
      </c>
      <c r="BA58" s="59" t="s">
        <v>146</v>
      </c>
    </row>
    <row r="59" spans="2:53">
      <c r="B59" s="29" t="s">
        <v>368</v>
      </c>
      <c r="C59" s="60" t="s">
        <v>158</v>
      </c>
      <c r="D59" s="29" t="s">
        <v>856</v>
      </c>
      <c r="E59" s="25" t="s">
        <v>862</v>
      </c>
      <c r="F59" s="25">
        <f t="shared" si="1"/>
        <v>1</v>
      </c>
      <c r="G59" s="25">
        <f t="shared" si="2"/>
        <v>0.9</v>
      </c>
      <c r="H59" s="25">
        <f t="shared" si="3"/>
        <v>1.1</v>
      </c>
      <c r="I59" s="59">
        <v>1</v>
      </c>
      <c r="J59" s="59">
        <v>1.02</v>
      </c>
      <c r="K59" s="59">
        <v>0.98</v>
      </c>
      <c r="L59" s="59">
        <v>1</v>
      </c>
      <c r="M59" s="59">
        <f t="shared" si="4"/>
        <v>4</v>
      </c>
      <c r="N59" s="25">
        <f t="shared" si="5"/>
        <v>0.8</v>
      </c>
      <c r="O59" s="25">
        <f t="shared" si="6"/>
        <v>0.8</v>
      </c>
      <c r="P59" s="25">
        <f t="shared" si="7"/>
        <v>0.58752</v>
      </c>
      <c r="Q59" s="25">
        <f t="shared" si="8"/>
        <v>0.7056</v>
      </c>
      <c r="R59" s="25">
        <f t="shared" si="9"/>
        <v>0.88</v>
      </c>
      <c r="S59" s="62">
        <f>ROUND(O59*养成属性规划!$D$36,0)</f>
        <v>4000</v>
      </c>
      <c r="T59" s="62">
        <f>S59*角色升级升阶!$C$5</f>
        <v>320</v>
      </c>
      <c r="U59" s="62">
        <f>ROUND(P59*养成属性规划!$E$36,0)</f>
        <v>881</v>
      </c>
      <c r="V59" s="62">
        <f>U59*角色升级升阶!$C$5</f>
        <v>70.48</v>
      </c>
      <c r="W59" s="62">
        <f>ROUND(Q59*养成属性规划!$E$36,0)</f>
        <v>1058</v>
      </c>
      <c r="X59" s="62">
        <f>W59*角色升级升阶!$C$5</f>
        <v>84.64</v>
      </c>
      <c r="Y59" s="62">
        <f>ROUND(R59*养成属性规划!$F$36,0)</f>
        <v>880</v>
      </c>
      <c r="Z59" s="62">
        <f>Y59*角色升级升阶!$C$5</f>
        <v>70.4</v>
      </c>
      <c r="AA59" s="25">
        <f>ROUND(角色星盘!C$23*O59,2)</f>
        <v>340.8</v>
      </c>
      <c r="AB59" s="25">
        <f>ROUND(角色星盘!D$23*P59,2)</f>
        <v>75.2</v>
      </c>
      <c r="AC59" s="25">
        <f>ROUND(角色星盘!D$23*Q59,2)</f>
        <v>90.32</v>
      </c>
      <c r="AD59" s="25">
        <f>ROUND(角色星盘!E$23*R59,2)</f>
        <v>74.8</v>
      </c>
      <c r="AE59" s="59" t="s">
        <v>128</v>
      </c>
      <c r="AF59" s="59" t="s">
        <v>139</v>
      </c>
      <c r="AG59" s="59" t="s">
        <v>145</v>
      </c>
      <c r="AH59" s="59">
        <v>1</v>
      </c>
      <c r="AI59" s="59">
        <v>1</v>
      </c>
      <c r="AJ59" s="59">
        <v>1</v>
      </c>
      <c r="AK59" s="59">
        <v>1</v>
      </c>
      <c r="AL59" s="25">
        <f>VLOOKUP(C59,专武!$M$45:$N$47,2,0)</f>
        <v>0.9</v>
      </c>
      <c r="AM59" s="25">
        <f t="shared" si="14"/>
        <v>0.9</v>
      </c>
      <c r="AN59" s="25">
        <f t="shared" si="15"/>
        <v>0.648</v>
      </c>
      <c r="AO59" s="25">
        <f t="shared" si="16"/>
        <v>0.81</v>
      </c>
      <c r="AP59" s="25">
        <f t="shared" si="17"/>
        <v>0.99</v>
      </c>
      <c r="AQ59" s="25">
        <f>AM59*专武!B$27</f>
        <v>2700</v>
      </c>
      <c r="AR59" s="25">
        <f>ROUND(AQ59/专武!$C$19*专武!$C$20,2)</f>
        <v>255</v>
      </c>
      <c r="AS59" s="25">
        <f>AN59*专武!C$27</f>
        <v>583.2</v>
      </c>
      <c r="AT59" s="25">
        <f>ROUND(AS59/专武!$C$19*专武!$C$20,2)</f>
        <v>55.08</v>
      </c>
      <c r="AU59" s="25">
        <f>AO59*专武!C$27</f>
        <v>729</v>
      </c>
      <c r="AV59" s="25">
        <f>ROUND(AU59/专武!$C$19*专武!$C$20,2)</f>
        <v>68.85</v>
      </c>
      <c r="AW59" s="25">
        <f>AP59*专武!D$27</f>
        <v>594</v>
      </c>
      <c r="AX59" s="25">
        <f>ROUND(AW59/专武!$C$19*专武!$C$20,2)</f>
        <v>56.1</v>
      </c>
      <c r="AY59" s="64" t="s">
        <v>129</v>
      </c>
      <c r="AZ59" s="59" t="s">
        <v>142</v>
      </c>
      <c r="BA59" s="59" t="s">
        <v>139</v>
      </c>
    </row>
    <row r="60" ht="17.25" customHeight="1" spans="2:53">
      <c r="B60" s="7" t="s">
        <v>363</v>
      </c>
      <c r="C60" s="61" t="s">
        <v>157</v>
      </c>
      <c r="D60" s="29" t="s">
        <v>853</v>
      </c>
      <c r="E60" s="25" t="s">
        <v>862</v>
      </c>
      <c r="F60" s="25">
        <f t="shared" si="1"/>
        <v>1.05</v>
      </c>
      <c r="G60" s="25">
        <f t="shared" si="2"/>
        <v>0.95</v>
      </c>
      <c r="H60" s="25">
        <f t="shared" si="3"/>
        <v>1</v>
      </c>
      <c r="I60" s="59">
        <v>1</v>
      </c>
      <c r="J60" s="59">
        <v>1</v>
      </c>
      <c r="K60" s="59">
        <v>1</v>
      </c>
      <c r="L60" s="59">
        <v>1</v>
      </c>
      <c r="M60" s="59">
        <f t="shared" si="4"/>
        <v>4</v>
      </c>
      <c r="N60" s="25">
        <f t="shared" si="5"/>
        <v>0.7</v>
      </c>
      <c r="O60" s="25">
        <f t="shared" si="6"/>
        <v>0.735</v>
      </c>
      <c r="P60" s="25">
        <f t="shared" si="7"/>
        <v>0.532</v>
      </c>
      <c r="Q60" s="25">
        <f t="shared" si="8"/>
        <v>0.665</v>
      </c>
      <c r="R60" s="25">
        <f t="shared" si="9"/>
        <v>0.7</v>
      </c>
      <c r="S60" s="62">
        <f>ROUND(O60*养成属性规划!$D$36,0)</f>
        <v>3675</v>
      </c>
      <c r="T60" s="62">
        <f>S60*角色升级升阶!$C$5</f>
        <v>294</v>
      </c>
      <c r="U60" s="62">
        <f>ROUND(P60*养成属性规划!$E$36,0)</f>
        <v>798</v>
      </c>
      <c r="V60" s="62">
        <f>U60*角色升级升阶!$C$5</f>
        <v>63.84</v>
      </c>
      <c r="W60" s="62">
        <f>ROUND(Q60*养成属性规划!$E$36,0)</f>
        <v>998</v>
      </c>
      <c r="X60" s="62">
        <f>W60*角色升级升阶!$C$5</f>
        <v>79.84</v>
      </c>
      <c r="Y60" s="62">
        <f>ROUND(R60*养成属性规划!$F$36,0)</f>
        <v>700</v>
      </c>
      <c r="Z60" s="62">
        <f>Y60*角色升级升阶!$C$5</f>
        <v>56</v>
      </c>
      <c r="AA60" s="25">
        <f>ROUND(角色星盘!C$23*O60,2)</f>
        <v>313.11</v>
      </c>
      <c r="AB60" s="25">
        <f>ROUND(角色星盘!D$23*P60,2)</f>
        <v>68.1</v>
      </c>
      <c r="AC60" s="25">
        <f>ROUND(角色星盘!D$23*Q60,2)</f>
        <v>85.12</v>
      </c>
      <c r="AD60" s="25">
        <f>ROUND(角色星盘!E$23*R60,2)</f>
        <v>59.5</v>
      </c>
      <c r="AE60" s="59" t="s">
        <v>128</v>
      </c>
      <c r="AF60" s="59" t="s">
        <v>143</v>
      </c>
      <c r="AG60" s="59" t="s">
        <v>138</v>
      </c>
      <c r="AH60" s="59">
        <v>1</v>
      </c>
      <c r="AI60" s="59">
        <v>1</v>
      </c>
      <c r="AJ60" s="59">
        <v>1</v>
      </c>
      <c r="AK60" s="59">
        <v>1</v>
      </c>
      <c r="AL60" s="25">
        <f>VLOOKUP(C60,专武!$M$45:$N$47,2,0)</f>
        <v>0.8</v>
      </c>
      <c r="AM60" s="25">
        <f t="shared" si="14"/>
        <v>0.84</v>
      </c>
      <c r="AN60" s="25">
        <f t="shared" si="15"/>
        <v>0.608</v>
      </c>
      <c r="AO60" s="25">
        <f t="shared" si="16"/>
        <v>0.76</v>
      </c>
      <c r="AP60" s="25">
        <f t="shared" si="17"/>
        <v>0.8</v>
      </c>
      <c r="AQ60" s="25">
        <f>AM60*专武!B$27</f>
        <v>2520</v>
      </c>
      <c r="AR60" s="25">
        <f>ROUND(AQ60/专武!$C$19*专武!$C$20,2)</f>
        <v>238</v>
      </c>
      <c r="AS60" s="25">
        <f>AN60*专武!C$27</f>
        <v>547.2</v>
      </c>
      <c r="AT60" s="25">
        <f>ROUND(AS60/专武!$C$19*专武!$C$20,2)</f>
        <v>51.68</v>
      </c>
      <c r="AU60" s="25">
        <f>AO60*专武!C$27</f>
        <v>684</v>
      </c>
      <c r="AV60" s="25">
        <f>ROUND(AU60/专武!$C$19*专武!$C$20,2)</f>
        <v>64.6</v>
      </c>
      <c r="AW60" s="25">
        <f>AP60*专武!D$27</f>
        <v>480</v>
      </c>
      <c r="AX60" s="25">
        <f>ROUND(AW60/专武!$C$19*专武!$C$20,2)</f>
        <v>45.33</v>
      </c>
      <c r="AY60" s="64" t="s">
        <v>129</v>
      </c>
      <c r="AZ60" s="59" t="s">
        <v>142</v>
      </c>
      <c r="BA60" s="59" t="s">
        <v>144</v>
      </c>
    </row>
    <row r="61" ht="17.25" customHeight="1" spans="2:53">
      <c r="B61" s="7" t="s">
        <v>364</v>
      </c>
      <c r="C61" s="61" t="s">
        <v>157</v>
      </c>
      <c r="D61" s="29" t="s">
        <v>854</v>
      </c>
      <c r="E61" s="25" t="s">
        <v>862</v>
      </c>
      <c r="F61" s="25">
        <f t="shared" si="1"/>
        <v>0.8</v>
      </c>
      <c r="G61" s="25">
        <f t="shared" si="2"/>
        <v>1.2</v>
      </c>
      <c r="H61" s="25">
        <f t="shared" si="3"/>
        <v>1</v>
      </c>
      <c r="I61" s="59">
        <v>0.95</v>
      </c>
      <c r="J61" s="59">
        <v>1</v>
      </c>
      <c r="K61" s="59">
        <v>1</v>
      </c>
      <c r="L61" s="59">
        <v>1</v>
      </c>
      <c r="M61" s="59">
        <f t="shared" si="4"/>
        <v>3.95</v>
      </c>
      <c r="N61" s="25">
        <f t="shared" si="5"/>
        <v>0.7</v>
      </c>
      <c r="O61" s="25">
        <f t="shared" si="6"/>
        <v>0.532</v>
      </c>
      <c r="P61" s="25">
        <f t="shared" si="7"/>
        <v>0.672</v>
      </c>
      <c r="Q61" s="25">
        <f t="shared" si="8"/>
        <v>0.84</v>
      </c>
      <c r="R61" s="25">
        <f t="shared" si="9"/>
        <v>0.7</v>
      </c>
      <c r="S61" s="62">
        <f>ROUND(O61*养成属性规划!$D$36,0)</f>
        <v>2660</v>
      </c>
      <c r="T61" s="62">
        <f>S61*角色升级升阶!$C$5</f>
        <v>212.8</v>
      </c>
      <c r="U61" s="62">
        <f>ROUND(P61*养成属性规划!$E$36,0)</f>
        <v>1008</v>
      </c>
      <c r="V61" s="62">
        <f>U61*角色升级升阶!$C$5</f>
        <v>80.64</v>
      </c>
      <c r="W61" s="62">
        <f>ROUND(Q61*养成属性规划!$E$36,0)</f>
        <v>1260</v>
      </c>
      <c r="X61" s="62">
        <f>W61*角色升级升阶!$C$5</f>
        <v>100.8</v>
      </c>
      <c r="Y61" s="62">
        <f>ROUND(R61*养成属性规划!$F$36,0)</f>
        <v>700</v>
      </c>
      <c r="Z61" s="62">
        <f>Y61*角色升级升阶!$C$5</f>
        <v>56</v>
      </c>
      <c r="AA61" s="25">
        <f>ROUND(角色星盘!C$23*O61,2)</f>
        <v>226.63</v>
      </c>
      <c r="AB61" s="25">
        <f>ROUND(角色星盘!D$23*P61,2)</f>
        <v>86.02</v>
      </c>
      <c r="AC61" s="25">
        <f>ROUND(角色星盘!D$23*Q61,2)</f>
        <v>107.52</v>
      </c>
      <c r="AD61" s="25">
        <f>ROUND(角色星盘!E$23*R61,2)</f>
        <v>59.5</v>
      </c>
      <c r="AE61" s="59" t="s">
        <v>128</v>
      </c>
      <c r="AF61" s="59" t="s">
        <v>137</v>
      </c>
      <c r="AG61" s="59" t="s">
        <v>146</v>
      </c>
      <c r="AH61" s="59">
        <v>1</v>
      </c>
      <c r="AI61" s="59">
        <v>1</v>
      </c>
      <c r="AJ61" s="59">
        <v>1</v>
      </c>
      <c r="AK61" s="59">
        <v>1</v>
      </c>
      <c r="AL61" s="25">
        <f>VLOOKUP(C61,专武!$M$45:$N$47,2,0)</f>
        <v>0.8</v>
      </c>
      <c r="AM61" s="25">
        <f t="shared" si="14"/>
        <v>0.64</v>
      </c>
      <c r="AN61" s="25">
        <f t="shared" si="15"/>
        <v>0.768</v>
      </c>
      <c r="AO61" s="25">
        <f t="shared" si="16"/>
        <v>0.96</v>
      </c>
      <c r="AP61" s="25">
        <f t="shared" si="17"/>
        <v>0.8</v>
      </c>
      <c r="AQ61" s="25">
        <f>AM61*专武!B$27</f>
        <v>1920</v>
      </c>
      <c r="AR61" s="25">
        <f>ROUND(AQ61/专武!$C$19*专武!$C$20,2)</f>
        <v>181.33</v>
      </c>
      <c r="AS61" s="25">
        <f>AN61*专武!C$27</f>
        <v>691.2</v>
      </c>
      <c r="AT61" s="25">
        <f>ROUND(AS61/专武!$C$19*专武!$C$20,2)</f>
        <v>65.28</v>
      </c>
      <c r="AU61" s="25">
        <f>AO61*专武!C$27</f>
        <v>864</v>
      </c>
      <c r="AV61" s="25">
        <f>ROUND(AU61/专武!$C$19*专武!$C$20,2)</f>
        <v>81.6</v>
      </c>
      <c r="AW61" s="25">
        <f>AP61*专武!D$27</f>
        <v>480</v>
      </c>
      <c r="AX61" s="25">
        <f>ROUND(AW61/专武!$C$19*专武!$C$20,2)</f>
        <v>45.33</v>
      </c>
      <c r="AY61" s="64" t="s">
        <v>129</v>
      </c>
      <c r="AZ61" s="59" t="s">
        <v>142</v>
      </c>
      <c r="BA61" s="59" t="s">
        <v>146</v>
      </c>
    </row>
    <row r="62" ht="17.25" customHeight="1" spans="2:53">
      <c r="B62" s="7" t="s">
        <v>365</v>
      </c>
      <c r="C62" s="61" t="s">
        <v>157</v>
      </c>
      <c r="D62" s="29" t="s">
        <v>853</v>
      </c>
      <c r="E62" s="25" t="s">
        <v>861</v>
      </c>
      <c r="F62" s="25">
        <f t="shared" si="1"/>
        <v>1.05</v>
      </c>
      <c r="G62" s="25">
        <f t="shared" si="2"/>
        <v>0.95</v>
      </c>
      <c r="H62" s="25">
        <f t="shared" si="3"/>
        <v>1</v>
      </c>
      <c r="I62" s="59">
        <v>1.05</v>
      </c>
      <c r="J62" s="59">
        <v>1.05</v>
      </c>
      <c r="K62" s="59">
        <v>0.95</v>
      </c>
      <c r="L62" s="59">
        <v>0.95</v>
      </c>
      <c r="M62" s="59">
        <f t="shared" si="4"/>
        <v>4</v>
      </c>
      <c r="N62" s="25">
        <f t="shared" si="5"/>
        <v>0.7</v>
      </c>
      <c r="O62" s="25">
        <f t="shared" si="6"/>
        <v>0.77175</v>
      </c>
      <c r="P62" s="25">
        <f t="shared" si="7"/>
        <v>0.69825</v>
      </c>
      <c r="Q62" s="25">
        <f t="shared" si="8"/>
        <v>0.5054</v>
      </c>
      <c r="R62" s="25">
        <f t="shared" si="9"/>
        <v>0.665</v>
      </c>
      <c r="S62" s="62">
        <f>ROUND(O62*养成属性规划!$D$36,0)</f>
        <v>3859</v>
      </c>
      <c r="T62" s="62">
        <f>S62*角色升级升阶!$C$5</f>
        <v>308.72</v>
      </c>
      <c r="U62" s="62">
        <f>ROUND(P62*养成属性规划!$E$36,0)</f>
        <v>1047</v>
      </c>
      <c r="V62" s="62">
        <f>U62*角色升级升阶!$C$5</f>
        <v>83.76</v>
      </c>
      <c r="W62" s="62">
        <f>ROUND(Q62*养成属性规划!$E$36,0)</f>
        <v>758</v>
      </c>
      <c r="X62" s="62">
        <f>W62*角色升级升阶!$C$5</f>
        <v>60.64</v>
      </c>
      <c r="Y62" s="62">
        <f>ROUND(R62*养成属性规划!$F$36,0)</f>
        <v>665</v>
      </c>
      <c r="Z62" s="62">
        <f>Y62*角色升级升阶!$C$5</f>
        <v>53.2</v>
      </c>
      <c r="AA62" s="25">
        <f>ROUND(角色星盘!C$23*O62,2)</f>
        <v>328.77</v>
      </c>
      <c r="AB62" s="25">
        <f>ROUND(角色星盘!D$23*P62,2)</f>
        <v>89.38</v>
      </c>
      <c r="AC62" s="25">
        <f>ROUND(角色星盘!D$23*Q62,2)</f>
        <v>64.69</v>
      </c>
      <c r="AD62" s="25">
        <f>ROUND(角色星盘!E$23*R62,2)</f>
        <v>56.53</v>
      </c>
      <c r="AE62" s="59" t="s">
        <v>128</v>
      </c>
      <c r="AF62" s="59" t="s">
        <v>143</v>
      </c>
      <c r="AG62" s="59" t="s">
        <v>136</v>
      </c>
      <c r="AH62" s="59">
        <v>1</v>
      </c>
      <c r="AI62" s="59">
        <v>1</v>
      </c>
      <c r="AJ62" s="59">
        <v>1</v>
      </c>
      <c r="AK62" s="59">
        <v>1</v>
      </c>
      <c r="AL62" s="25">
        <f>VLOOKUP(C62,专武!$M$45:$N$47,2,0)</f>
        <v>0.8</v>
      </c>
      <c r="AM62" s="25">
        <f t="shared" si="14"/>
        <v>0.84</v>
      </c>
      <c r="AN62" s="25">
        <f t="shared" si="15"/>
        <v>0.76</v>
      </c>
      <c r="AO62" s="25">
        <f t="shared" si="16"/>
        <v>0.608</v>
      </c>
      <c r="AP62" s="25">
        <f t="shared" si="17"/>
        <v>0.8</v>
      </c>
      <c r="AQ62" s="25">
        <f>AM62*专武!B$27</f>
        <v>2520</v>
      </c>
      <c r="AR62" s="25">
        <f>ROUND(AQ62/专武!$C$19*专武!$C$20,2)</f>
        <v>238</v>
      </c>
      <c r="AS62" s="25">
        <f>AN62*专武!C$27</f>
        <v>684</v>
      </c>
      <c r="AT62" s="25">
        <f>ROUND(AS62/专武!$C$19*专武!$C$20,2)</f>
        <v>64.6</v>
      </c>
      <c r="AU62" s="25">
        <f>AO62*专武!C$27</f>
        <v>547.2</v>
      </c>
      <c r="AV62" s="25">
        <f>ROUND(AU62/专武!$C$19*专武!$C$20,2)</f>
        <v>51.68</v>
      </c>
      <c r="AW62" s="25">
        <f>AP62*专武!D$27</f>
        <v>480</v>
      </c>
      <c r="AX62" s="25">
        <f>ROUND(AW62/专武!$C$19*专武!$C$20,2)</f>
        <v>45.33</v>
      </c>
      <c r="AY62" s="64" t="s">
        <v>129</v>
      </c>
      <c r="AZ62" s="59" t="s">
        <v>141</v>
      </c>
      <c r="BA62" s="59" t="s">
        <v>144</v>
      </c>
    </row>
    <row r="63" ht="17.25" customHeight="1" spans="2:53">
      <c r="B63" s="7" t="s">
        <v>366</v>
      </c>
      <c r="C63" s="61" t="s">
        <v>157</v>
      </c>
      <c r="D63" s="29" t="s">
        <v>851</v>
      </c>
      <c r="E63" s="25" t="s">
        <v>861</v>
      </c>
      <c r="F63" s="25">
        <f t="shared" si="1"/>
        <v>1.2</v>
      </c>
      <c r="G63" s="25">
        <f t="shared" si="2"/>
        <v>0.6</v>
      </c>
      <c r="H63" s="25">
        <f t="shared" si="3"/>
        <v>1.2</v>
      </c>
      <c r="I63" s="59">
        <v>1</v>
      </c>
      <c r="J63" s="59">
        <v>1</v>
      </c>
      <c r="K63" s="59">
        <v>1</v>
      </c>
      <c r="L63" s="59">
        <v>1</v>
      </c>
      <c r="M63" s="59">
        <f t="shared" si="4"/>
        <v>4</v>
      </c>
      <c r="N63" s="25">
        <f t="shared" si="5"/>
        <v>0.7</v>
      </c>
      <c r="O63" s="25">
        <f t="shared" si="6"/>
        <v>0.84</v>
      </c>
      <c r="P63" s="25">
        <f t="shared" si="7"/>
        <v>0.42</v>
      </c>
      <c r="Q63" s="25">
        <f t="shared" si="8"/>
        <v>0.336</v>
      </c>
      <c r="R63" s="25">
        <f t="shared" si="9"/>
        <v>0.84</v>
      </c>
      <c r="S63" s="62">
        <f>ROUND(O63*养成属性规划!$D$36,0)</f>
        <v>4200</v>
      </c>
      <c r="T63" s="62">
        <f>S63*角色升级升阶!$C$5</f>
        <v>336</v>
      </c>
      <c r="U63" s="62">
        <f>ROUND(P63*养成属性规划!$E$36,0)</f>
        <v>630</v>
      </c>
      <c r="V63" s="62">
        <f>U63*角色升级升阶!$C$5</f>
        <v>50.4</v>
      </c>
      <c r="W63" s="62">
        <f>ROUND(Q63*养成属性规划!$E$36,0)</f>
        <v>504</v>
      </c>
      <c r="X63" s="62">
        <f>W63*角色升级升阶!$C$5</f>
        <v>40.32</v>
      </c>
      <c r="Y63" s="62">
        <f>ROUND(R63*养成属性规划!$F$36,0)</f>
        <v>840</v>
      </c>
      <c r="Z63" s="62">
        <f>Y63*角色升级升阶!$C$5</f>
        <v>67.2</v>
      </c>
      <c r="AA63" s="25">
        <f>ROUND(角色星盘!C$23*O63,2)</f>
        <v>357.84</v>
      </c>
      <c r="AB63" s="25">
        <f>ROUND(角色星盘!D$23*P63,2)</f>
        <v>53.76</v>
      </c>
      <c r="AC63" s="25">
        <f>ROUND(角色星盘!D$23*Q63,2)</f>
        <v>43.01</v>
      </c>
      <c r="AD63" s="25">
        <f>ROUND(角色星盘!E$23*R63,2)</f>
        <v>71.4</v>
      </c>
      <c r="AE63" s="59" t="s">
        <v>129</v>
      </c>
      <c r="AF63" s="59" t="s">
        <v>904</v>
      </c>
      <c r="AG63" s="59" t="s">
        <v>146</v>
      </c>
      <c r="AH63" s="59">
        <v>1</v>
      </c>
      <c r="AI63" s="59">
        <v>1</v>
      </c>
      <c r="AJ63" s="59">
        <v>1</v>
      </c>
      <c r="AK63" s="59">
        <v>1</v>
      </c>
      <c r="AL63" s="25">
        <f>VLOOKUP(C63,专武!$M$45:$N$47,2,0)</f>
        <v>0.8</v>
      </c>
      <c r="AM63" s="25">
        <f t="shared" si="14"/>
        <v>0.96</v>
      </c>
      <c r="AN63" s="25">
        <f t="shared" si="15"/>
        <v>0.48</v>
      </c>
      <c r="AO63" s="25">
        <f t="shared" si="16"/>
        <v>0.384</v>
      </c>
      <c r="AP63" s="25">
        <f t="shared" si="17"/>
        <v>0.96</v>
      </c>
      <c r="AQ63" s="25">
        <f>AM63*专武!B$27</f>
        <v>2880</v>
      </c>
      <c r="AR63" s="25">
        <f>ROUND(AQ63/专武!$C$19*专武!$C$20,2)</f>
        <v>272</v>
      </c>
      <c r="AS63" s="25">
        <f>AN63*专武!C$27</f>
        <v>432</v>
      </c>
      <c r="AT63" s="25">
        <f>ROUND(AS63/专武!$C$19*专武!$C$20,2)</f>
        <v>40.8</v>
      </c>
      <c r="AU63" s="25">
        <f>AO63*专武!C$27</f>
        <v>345.6</v>
      </c>
      <c r="AV63" s="25">
        <f>ROUND(AU63/专武!$C$19*专武!$C$20,2)</f>
        <v>32.64</v>
      </c>
      <c r="AW63" s="25">
        <f>AP63*专武!D$27</f>
        <v>576</v>
      </c>
      <c r="AX63" s="25">
        <f>ROUND(AW63/专武!$C$19*专武!$C$20,2)</f>
        <v>54.4</v>
      </c>
      <c r="AY63" s="64" t="s">
        <v>129</v>
      </c>
      <c r="AZ63" s="59" t="s">
        <v>145</v>
      </c>
      <c r="BA63" s="59" t="s">
        <v>146</v>
      </c>
    </row>
    <row r="64" ht="17.25" customHeight="1" spans="2:53">
      <c r="B64" s="7" t="s">
        <v>367</v>
      </c>
      <c r="C64" s="61" t="s">
        <v>157</v>
      </c>
      <c r="D64" s="29" t="s">
        <v>852</v>
      </c>
      <c r="E64" s="25" t="s">
        <v>861</v>
      </c>
      <c r="F64" s="25">
        <f t="shared" si="1"/>
        <v>0.9</v>
      </c>
      <c r="G64" s="25">
        <f t="shared" si="2"/>
        <v>1.1</v>
      </c>
      <c r="H64" s="25">
        <f t="shared" si="3"/>
        <v>1</v>
      </c>
      <c r="I64" s="59">
        <v>1</v>
      </c>
      <c r="J64" s="59">
        <v>1</v>
      </c>
      <c r="K64" s="59">
        <v>1</v>
      </c>
      <c r="L64" s="59">
        <v>1</v>
      </c>
      <c r="M64" s="59">
        <f t="shared" si="4"/>
        <v>4</v>
      </c>
      <c r="N64" s="25">
        <f t="shared" si="5"/>
        <v>0.7</v>
      </c>
      <c r="O64" s="25">
        <f t="shared" si="6"/>
        <v>0.63</v>
      </c>
      <c r="P64" s="25">
        <f t="shared" si="7"/>
        <v>0.77</v>
      </c>
      <c r="Q64" s="25">
        <f t="shared" si="8"/>
        <v>0.616</v>
      </c>
      <c r="R64" s="25">
        <f t="shared" si="9"/>
        <v>0.7</v>
      </c>
      <c r="S64" s="62">
        <f>ROUND(O64*养成属性规划!$D$36,0)</f>
        <v>3150</v>
      </c>
      <c r="T64" s="62">
        <f>S64*角色升级升阶!$C$5</f>
        <v>252</v>
      </c>
      <c r="U64" s="62">
        <f>ROUND(P64*养成属性规划!$E$36,0)</f>
        <v>1155</v>
      </c>
      <c r="V64" s="62">
        <f>U64*角色升级升阶!$C$5</f>
        <v>92.4</v>
      </c>
      <c r="W64" s="62">
        <f>ROUND(Q64*养成属性规划!$E$36,0)</f>
        <v>924</v>
      </c>
      <c r="X64" s="62">
        <f>W64*角色升级升阶!$C$5</f>
        <v>73.92</v>
      </c>
      <c r="Y64" s="62">
        <f>ROUND(R64*养成属性规划!$F$36,0)</f>
        <v>700</v>
      </c>
      <c r="Z64" s="62">
        <f>Y64*角色升级升阶!$C$5</f>
        <v>56</v>
      </c>
      <c r="AA64" s="25">
        <f>ROUND(角色星盘!C$23*O64,2)</f>
        <v>268.38</v>
      </c>
      <c r="AB64" s="25">
        <f>ROUND(角色星盘!D$23*P64,2)</f>
        <v>98.56</v>
      </c>
      <c r="AC64" s="25">
        <f>ROUND(角色星盘!D$23*Q64,2)</f>
        <v>78.85</v>
      </c>
      <c r="AD64" s="25">
        <f>ROUND(角色星盘!E$23*R64,2)</f>
        <v>59.5</v>
      </c>
      <c r="AE64" s="59" t="s">
        <v>128</v>
      </c>
      <c r="AF64" s="59" t="s">
        <v>143</v>
      </c>
      <c r="AG64" s="59" t="s">
        <v>144</v>
      </c>
      <c r="AH64" s="59">
        <v>1</v>
      </c>
      <c r="AI64" s="59">
        <v>1</v>
      </c>
      <c r="AJ64" s="59">
        <v>1</v>
      </c>
      <c r="AK64" s="59">
        <v>1</v>
      </c>
      <c r="AL64" s="25">
        <f>VLOOKUP(C64,专武!$M$45:$N$47,2,0)</f>
        <v>0.8</v>
      </c>
      <c r="AM64" s="25">
        <f t="shared" si="14"/>
        <v>0.72</v>
      </c>
      <c r="AN64" s="25">
        <f t="shared" si="15"/>
        <v>0.88</v>
      </c>
      <c r="AO64" s="25">
        <f t="shared" si="16"/>
        <v>0.704</v>
      </c>
      <c r="AP64" s="25">
        <f t="shared" si="17"/>
        <v>0.8</v>
      </c>
      <c r="AQ64" s="25">
        <f>AM64*专武!B$27</f>
        <v>2160</v>
      </c>
      <c r="AR64" s="25">
        <f>ROUND(AQ64/专武!$C$19*专武!$C$20,2)</f>
        <v>204</v>
      </c>
      <c r="AS64" s="25">
        <f>AN64*专武!C$27</f>
        <v>792</v>
      </c>
      <c r="AT64" s="25">
        <f>ROUND(AS64/专武!$C$19*专武!$C$20,2)</f>
        <v>74.8</v>
      </c>
      <c r="AU64" s="25">
        <f>AO64*专武!C$27</f>
        <v>633.6</v>
      </c>
      <c r="AV64" s="25">
        <f>ROUND(AU64/专武!$C$19*专武!$C$20,2)</f>
        <v>59.84</v>
      </c>
      <c r="AW64" s="25">
        <f>AP64*专武!D$27</f>
        <v>480</v>
      </c>
      <c r="AX64" s="25">
        <f>ROUND(AW64/专武!$C$19*专武!$C$20,2)</f>
        <v>45.33</v>
      </c>
      <c r="AY64" s="64" t="s">
        <v>129</v>
      </c>
      <c r="AZ64" s="59" t="s">
        <v>141</v>
      </c>
      <c r="BA64" s="59" t="s">
        <v>144</v>
      </c>
    </row>
    <row r="66" spans="2:53">
      <c r="B66" s="29" t="s">
        <v>916</v>
      </c>
    </row>
    <row r="67" spans="2:53">
      <c r="B67" s="27" t="s">
        <v>872</v>
      </c>
      <c r="C67" s="27" t="s">
        <v>523</v>
      </c>
      <c r="D67" s="27" t="s">
        <v>873</v>
      </c>
      <c r="E67" s="27" t="s">
        <v>858</v>
      </c>
      <c r="F67" s="27" t="s">
        <v>874</v>
      </c>
      <c r="G67" s="27" t="s">
        <v>875</v>
      </c>
      <c r="H67" s="27" t="s">
        <v>876</v>
      </c>
      <c r="I67" s="27" t="s">
        <v>877</v>
      </c>
      <c r="J67" s="27" t="s">
        <v>878</v>
      </c>
      <c r="K67" s="27" t="s">
        <v>878</v>
      </c>
      <c r="L67" s="27" t="s">
        <v>879</v>
      </c>
      <c r="M67" s="27" t="s">
        <v>880</v>
      </c>
      <c r="N67" s="27" t="s">
        <v>859</v>
      </c>
      <c r="O67" s="27" t="s">
        <v>881</v>
      </c>
      <c r="P67" s="27" t="s">
        <v>882</v>
      </c>
      <c r="Q67" s="27" t="s">
        <v>882</v>
      </c>
      <c r="R67" s="27" t="s">
        <v>883</v>
      </c>
      <c r="S67" s="27" t="s">
        <v>884</v>
      </c>
      <c r="T67" s="27" t="s">
        <v>885</v>
      </c>
      <c r="U67" s="27" t="s">
        <v>886</v>
      </c>
      <c r="V67" s="27" t="s">
        <v>887</v>
      </c>
      <c r="W67" s="27" t="s">
        <v>886</v>
      </c>
      <c r="X67" s="27" t="s">
        <v>887</v>
      </c>
      <c r="Y67" s="27" t="s">
        <v>888</v>
      </c>
      <c r="Z67" s="27" t="s">
        <v>889</v>
      </c>
      <c r="AA67" s="27" t="s">
        <v>890</v>
      </c>
      <c r="AB67" s="27" t="s">
        <v>80</v>
      </c>
      <c r="AC67" s="27" t="s">
        <v>80</v>
      </c>
      <c r="AD67" s="27" t="s">
        <v>81</v>
      </c>
      <c r="AE67" s="27" t="s">
        <v>891</v>
      </c>
      <c r="AF67" s="27" t="s">
        <v>892</v>
      </c>
      <c r="AG67" s="27" t="s">
        <v>893</v>
      </c>
      <c r="AH67" s="27" t="s">
        <v>894</v>
      </c>
      <c r="AI67" s="27" t="s">
        <v>895</v>
      </c>
      <c r="AJ67" s="27" t="s">
        <v>895</v>
      </c>
      <c r="AK67" s="27" t="s">
        <v>896</v>
      </c>
      <c r="AL67" s="27" t="s">
        <v>897</v>
      </c>
      <c r="AM67" s="27" t="s">
        <v>898</v>
      </c>
      <c r="AN67" s="27" t="s">
        <v>899</v>
      </c>
      <c r="AO67" s="27" t="s">
        <v>899</v>
      </c>
      <c r="AP67" s="27" t="s">
        <v>900</v>
      </c>
      <c r="AQ67" s="27" t="s">
        <v>884</v>
      </c>
      <c r="AR67" s="27" t="s">
        <v>885</v>
      </c>
      <c r="AS67" s="27" t="s">
        <v>886</v>
      </c>
      <c r="AT67" s="27" t="s">
        <v>887</v>
      </c>
      <c r="AU67" s="27" t="s">
        <v>886</v>
      </c>
      <c r="AV67" s="27" t="s">
        <v>887</v>
      </c>
      <c r="AW67" s="27" t="s">
        <v>888</v>
      </c>
      <c r="AX67" s="27" t="s">
        <v>889</v>
      </c>
      <c r="AY67" s="27" t="s">
        <v>901</v>
      </c>
      <c r="AZ67" s="27" t="s">
        <v>891</v>
      </c>
      <c r="BA67" s="27" t="s">
        <v>892</v>
      </c>
    </row>
    <row r="68" spans="2:53">
      <c r="B68" s="65" t="s">
        <v>917</v>
      </c>
      <c r="C68" s="60" t="s">
        <v>158</v>
      </c>
      <c r="D68" s="29" t="s">
        <v>852</v>
      </c>
      <c r="E68" s="25" t="s">
        <v>861</v>
      </c>
      <c r="F68" s="25">
        <f t="shared" ref="F68:F93" si="18">VLOOKUP($D68,$B$3:$E$14,COLUMN(E$26)-COLUMN($C$26),0)</f>
        <v>0.9</v>
      </c>
      <c r="G68" s="25">
        <f t="shared" ref="G68:G93" si="19">VLOOKUP($D68,$B$3:$E$14,COLUMN(F$26)-COLUMN($C$26),0)</f>
        <v>1.1</v>
      </c>
      <c r="H68" s="25">
        <f t="shared" ref="H68:H93" si="20">VLOOKUP($D68,$B$3:$E$14,COLUMN(G$26)-COLUMN($C$26),0)</f>
        <v>1</v>
      </c>
      <c r="I68" s="59">
        <v>1</v>
      </c>
      <c r="J68" s="59">
        <v>1</v>
      </c>
      <c r="K68" s="59">
        <v>1</v>
      </c>
      <c r="L68" s="59">
        <v>1</v>
      </c>
      <c r="M68" s="59">
        <f t="shared" ref="M68:M93" si="21">SUM(I68:L68)</f>
        <v>4</v>
      </c>
      <c r="N68" s="25">
        <f t="shared" ref="N68:N93" si="22">VLOOKUP(C68,$B$14:$C$16,2,0)</f>
        <v>0.8</v>
      </c>
      <c r="O68" s="25">
        <f t="shared" ref="O68:O93" si="23">I68*F68*$N68</f>
        <v>0.72</v>
      </c>
      <c r="P68" s="25">
        <f t="shared" ref="P68:P93" si="24">J68*G68*$N68*VLOOKUP($E68,$B$18:$D$20,2,0)</f>
        <v>0.88</v>
      </c>
      <c r="Q68" s="25">
        <f t="shared" ref="Q68:Q93" si="25">K68*G68*$N68*VLOOKUP($E68,$B$18:$D$20,3,0)</f>
        <v>0.704</v>
      </c>
      <c r="R68" s="25">
        <f t="shared" ref="R68:R93" si="26">L68*H68*$N68</f>
        <v>0.8</v>
      </c>
      <c r="S68" s="62">
        <f>ROUND(O68*养成属性规划!$D$36,0)</f>
        <v>3600</v>
      </c>
      <c r="T68" s="62">
        <f>S68*角色升级升阶!$C$5</f>
        <v>288</v>
      </c>
      <c r="U68" s="62">
        <f>ROUND(P68*养成属性规划!$E$36,0)</f>
        <v>1320</v>
      </c>
      <c r="V68" s="62">
        <f>U68*角色升级升阶!$C$5</f>
        <v>105.6</v>
      </c>
      <c r="W68" s="62">
        <f>ROUND(Q68*养成属性规划!$E$36,0)</f>
        <v>1056</v>
      </c>
      <c r="X68" s="62">
        <f>W68*角色升级升阶!$C$5</f>
        <v>84.48</v>
      </c>
      <c r="Y68" s="62">
        <f>ROUND(R68*养成属性规划!$F$36,0)</f>
        <v>800</v>
      </c>
      <c r="Z68" s="62">
        <f>Y68*角色升级升阶!$C$5</f>
        <v>64</v>
      </c>
      <c r="AA68" s="25">
        <f>ROUND(角色星盘!C$23*O68,2)</f>
        <v>306.72</v>
      </c>
      <c r="AB68" s="25">
        <f>ROUND(角色星盘!D$23*P68,2)</f>
        <v>112.64</v>
      </c>
      <c r="AC68" s="25">
        <f>ROUND(角色星盘!D$23*Q68,2)</f>
        <v>90.11</v>
      </c>
      <c r="AD68" s="25">
        <f>ROUND(角色星盘!E$23*R68,2)</f>
        <v>68</v>
      </c>
      <c r="AE68" s="59" t="s">
        <v>128</v>
      </c>
      <c r="AF68" s="59" t="s">
        <v>143</v>
      </c>
      <c r="AG68" s="59" t="s">
        <v>144</v>
      </c>
      <c r="AH68" s="59">
        <v>0.9</v>
      </c>
      <c r="AI68" s="59">
        <v>1.3</v>
      </c>
      <c r="AJ68" s="59">
        <v>0.8</v>
      </c>
      <c r="AK68" s="59">
        <v>1</v>
      </c>
      <c r="AL68" s="25">
        <f>VLOOKUP(C68,专武!$M$45:$N$47,2,0)</f>
        <v>0.9</v>
      </c>
      <c r="AM68" s="25">
        <f t="shared" ref="AM68:AM93" si="27">F68*AH68*$AL68</f>
        <v>0.729</v>
      </c>
      <c r="AN68" s="25">
        <f t="shared" ref="AN68:AN93" si="28">G68*AI68*$AL68</f>
        <v>1.287</v>
      </c>
      <c r="AO68" s="25">
        <f t="shared" ref="AO68:AO93" si="29">G68*AJ68*$AL68</f>
        <v>0.792</v>
      </c>
      <c r="AP68" s="25">
        <f t="shared" ref="AP68:AP93" si="30">H68*AK68*$AL68</f>
        <v>0.9</v>
      </c>
      <c r="AQ68" s="25">
        <f>AM68*专武!B$27</f>
        <v>2187</v>
      </c>
      <c r="AR68" s="25">
        <f>ROUND(AQ68/专武!$C$19*专武!$C$20,2)</f>
        <v>206.55</v>
      </c>
      <c r="AS68" s="25">
        <f>AN68*专武!C$27</f>
        <v>1158.3</v>
      </c>
      <c r="AT68" s="25">
        <f>ROUND(AS68/专武!$C$19*专武!$C$20,2)</f>
        <v>109.4</v>
      </c>
      <c r="AU68" s="25">
        <f>AO68*专武!C$27</f>
        <v>712.8</v>
      </c>
      <c r="AV68" s="25">
        <f>ROUND(AU68/专武!$C$19*专武!$C$20,2)</f>
        <v>67.32</v>
      </c>
      <c r="AW68" s="25">
        <f>AP68*专武!D$27</f>
        <v>540</v>
      </c>
      <c r="AX68" s="25">
        <f>ROUND(AW68/专武!$C$19*专武!$C$20,2)</f>
        <v>51</v>
      </c>
      <c r="AY68" s="59" t="s">
        <v>143</v>
      </c>
      <c r="AZ68" s="59" t="s">
        <v>141</v>
      </c>
      <c r="BA68" s="59" t="s">
        <v>144</v>
      </c>
    </row>
    <row r="69" spans="2:53">
      <c r="B69" s="65" t="s">
        <v>918</v>
      </c>
      <c r="C69" s="60" t="s">
        <v>158</v>
      </c>
      <c r="D69" s="29" t="s">
        <v>854</v>
      </c>
      <c r="E69" s="25" t="s">
        <v>862</v>
      </c>
      <c r="F69" s="25">
        <f t="shared" si="18"/>
        <v>0.8</v>
      </c>
      <c r="G69" s="25">
        <f t="shared" si="19"/>
        <v>1.2</v>
      </c>
      <c r="H69" s="25">
        <f t="shared" si="20"/>
        <v>1</v>
      </c>
      <c r="I69" s="59">
        <v>1</v>
      </c>
      <c r="J69" s="59">
        <v>1</v>
      </c>
      <c r="K69" s="59">
        <v>1</v>
      </c>
      <c r="L69" s="59">
        <v>1</v>
      </c>
      <c r="M69" s="59">
        <f t="shared" si="21"/>
        <v>4</v>
      </c>
      <c r="N69" s="25">
        <f t="shared" si="22"/>
        <v>0.8</v>
      </c>
      <c r="O69" s="25">
        <f t="shared" si="23"/>
        <v>0.64</v>
      </c>
      <c r="P69" s="25">
        <f t="shared" si="24"/>
        <v>0.768</v>
      </c>
      <c r="Q69" s="25">
        <f t="shared" si="25"/>
        <v>0.96</v>
      </c>
      <c r="R69" s="25">
        <f t="shared" si="26"/>
        <v>0.8</v>
      </c>
      <c r="S69" s="62">
        <f>ROUND(O69*养成属性规划!$D$36,0)</f>
        <v>3200</v>
      </c>
      <c r="T69" s="62">
        <f>S69*角色升级升阶!$C$5</f>
        <v>256</v>
      </c>
      <c r="U69" s="62">
        <f>ROUND(P69*养成属性规划!$E$36,0)</f>
        <v>1152</v>
      </c>
      <c r="V69" s="62">
        <f>U69*角色升级升阶!$C$5</f>
        <v>92.16</v>
      </c>
      <c r="W69" s="62">
        <f>ROUND(Q69*养成属性规划!$E$36,0)</f>
        <v>1440</v>
      </c>
      <c r="X69" s="62">
        <f>W69*角色升级升阶!$C$5</f>
        <v>115.2</v>
      </c>
      <c r="Y69" s="62">
        <f>ROUND(R69*养成属性规划!$F$36,0)</f>
        <v>800</v>
      </c>
      <c r="Z69" s="62">
        <f>Y69*角色升级升阶!$C$5</f>
        <v>64</v>
      </c>
      <c r="AA69" s="25">
        <f>ROUND(角色星盘!C$23*O69,2)</f>
        <v>272.64</v>
      </c>
      <c r="AB69" s="25">
        <f>ROUND(角色星盘!D$23*P69,2)</f>
        <v>98.3</v>
      </c>
      <c r="AC69" s="25">
        <f>ROUND(角色星盘!D$23*Q69,2)</f>
        <v>122.88</v>
      </c>
      <c r="AD69" s="25">
        <f>ROUND(角色星盘!E$23*R69,2)</f>
        <v>68</v>
      </c>
      <c r="AE69" s="59" t="s">
        <v>129</v>
      </c>
      <c r="AF69" s="59" t="s">
        <v>904</v>
      </c>
      <c r="AG69" s="59" t="s">
        <v>146</v>
      </c>
      <c r="AH69" s="59">
        <v>0.9</v>
      </c>
      <c r="AI69" s="59">
        <v>0.8</v>
      </c>
      <c r="AJ69" s="59">
        <v>1.3</v>
      </c>
      <c r="AK69" s="59">
        <v>1</v>
      </c>
      <c r="AL69" s="25">
        <f>VLOOKUP(C69,专武!$M$45:$N$47,2,0)</f>
        <v>0.9</v>
      </c>
      <c r="AM69" s="25">
        <f t="shared" si="27"/>
        <v>0.648</v>
      </c>
      <c r="AN69" s="25">
        <f t="shared" si="28"/>
        <v>0.864</v>
      </c>
      <c r="AO69" s="25">
        <f t="shared" si="29"/>
        <v>1.404</v>
      </c>
      <c r="AP69" s="25">
        <f t="shared" si="30"/>
        <v>0.9</v>
      </c>
      <c r="AQ69" s="25">
        <f>AM69*专武!B$27</f>
        <v>1944</v>
      </c>
      <c r="AR69" s="25">
        <f>ROUND(AQ69/专武!$C$19*专武!$C$20,2)</f>
        <v>183.6</v>
      </c>
      <c r="AS69" s="25">
        <f>AN69*专武!C$27</f>
        <v>777.6</v>
      </c>
      <c r="AT69" s="25">
        <f>ROUND(AS69/专武!$C$19*专武!$C$20,2)</f>
        <v>73.44</v>
      </c>
      <c r="AU69" s="25">
        <f>AO69*专武!C$27</f>
        <v>1263.6</v>
      </c>
      <c r="AV69" s="25">
        <f>ROUND(AU69/专武!$C$19*专武!$C$20,2)</f>
        <v>119.34</v>
      </c>
      <c r="AW69" s="25">
        <f>AP69*专武!D$27</f>
        <v>540</v>
      </c>
      <c r="AX69" s="25">
        <f>ROUND(AW69/专武!$C$19*专武!$C$20,2)</f>
        <v>51</v>
      </c>
      <c r="AY69" s="59" t="s">
        <v>137</v>
      </c>
      <c r="AZ69" s="59" t="s">
        <v>145</v>
      </c>
      <c r="BA69" s="59" t="s">
        <v>146</v>
      </c>
    </row>
    <row r="70" spans="2:53">
      <c r="B70" s="65" t="s">
        <v>919</v>
      </c>
      <c r="C70" s="60" t="s">
        <v>158</v>
      </c>
      <c r="D70" s="29" t="s">
        <v>851</v>
      </c>
      <c r="E70" s="25" t="s">
        <v>863</v>
      </c>
      <c r="F70" s="25">
        <f t="shared" si="18"/>
        <v>1.2</v>
      </c>
      <c r="G70" s="25">
        <f t="shared" si="19"/>
        <v>0.6</v>
      </c>
      <c r="H70" s="25">
        <f t="shared" si="20"/>
        <v>1.2</v>
      </c>
      <c r="I70" s="59">
        <v>0.99</v>
      </c>
      <c r="J70" s="59">
        <v>1.01</v>
      </c>
      <c r="K70" s="59">
        <v>1.05</v>
      </c>
      <c r="L70" s="59">
        <v>0.95</v>
      </c>
      <c r="M70" s="59">
        <f t="shared" si="21"/>
        <v>4</v>
      </c>
      <c r="N70" s="25">
        <f t="shared" si="22"/>
        <v>0.8</v>
      </c>
      <c r="O70" s="25">
        <f t="shared" si="23"/>
        <v>0.9504</v>
      </c>
      <c r="P70" s="25">
        <f t="shared" si="24"/>
        <v>0.46056</v>
      </c>
      <c r="Q70" s="25">
        <f t="shared" si="25"/>
        <v>0.4788</v>
      </c>
      <c r="R70" s="25">
        <f t="shared" si="26"/>
        <v>0.912</v>
      </c>
      <c r="S70" s="62">
        <f>ROUND(O70*养成属性规划!$D$36,0)</f>
        <v>4752</v>
      </c>
      <c r="T70" s="62">
        <f>S70*角色升级升阶!$C$5</f>
        <v>380.16</v>
      </c>
      <c r="U70" s="62">
        <f>ROUND(P70*养成属性规划!$E$36,0)</f>
        <v>691</v>
      </c>
      <c r="V70" s="62">
        <f>U70*角色升级升阶!$C$5</f>
        <v>55.28</v>
      </c>
      <c r="W70" s="62">
        <f>ROUND(Q70*养成属性规划!$E$36,0)</f>
        <v>718</v>
      </c>
      <c r="X70" s="62">
        <f>W70*角色升级升阶!$C$5</f>
        <v>57.44</v>
      </c>
      <c r="Y70" s="62">
        <f>ROUND(R70*养成属性规划!$F$36,0)</f>
        <v>912</v>
      </c>
      <c r="Z70" s="62">
        <f>Y70*角色升级升阶!$C$5</f>
        <v>72.96</v>
      </c>
      <c r="AA70" s="25">
        <f>ROUND(角色星盘!C$23*O70,2)</f>
        <v>404.87</v>
      </c>
      <c r="AB70" s="25">
        <f>ROUND(角色星盘!D$23*P70,2)</f>
        <v>58.95</v>
      </c>
      <c r="AC70" s="25">
        <f>ROUND(角色星盘!D$23*Q70,2)</f>
        <v>61.29</v>
      </c>
      <c r="AD70" s="25">
        <f>ROUND(角色星盘!E$23*R70,2)</f>
        <v>77.52</v>
      </c>
      <c r="AE70" s="59" t="s">
        <v>128</v>
      </c>
      <c r="AF70" s="59" t="s">
        <v>138</v>
      </c>
      <c r="AG70" s="59" t="s">
        <v>143</v>
      </c>
      <c r="AH70" s="59">
        <v>1.2</v>
      </c>
      <c r="AI70" s="59">
        <v>0.75</v>
      </c>
      <c r="AJ70" s="59">
        <v>0.75</v>
      </c>
      <c r="AK70" s="59">
        <v>1.3</v>
      </c>
      <c r="AL70" s="25">
        <f>VLOOKUP(C70,专武!$M$45:$N$47,2,0)</f>
        <v>0.9</v>
      </c>
      <c r="AM70" s="25">
        <f t="shared" si="27"/>
        <v>1.296</v>
      </c>
      <c r="AN70" s="25">
        <f t="shared" si="28"/>
        <v>0.405</v>
      </c>
      <c r="AO70" s="25">
        <f t="shared" si="29"/>
        <v>0.405</v>
      </c>
      <c r="AP70" s="25">
        <f t="shared" si="30"/>
        <v>1.404</v>
      </c>
      <c r="AQ70" s="25">
        <f>AM70*专武!B$27</f>
        <v>3888</v>
      </c>
      <c r="AR70" s="25">
        <f>ROUND(AQ70/专武!$C$19*专武!$C$20,2)</f>
        <v>367.2</v>
      </c>
      <c r="AS70" s="25">
        <f>AN70*专武!C$27</f>
        <v>364.5</v>
      </c>
      <c r="AT70" s="25">
        <f>ROUND(AS70/专武!$C$19*专武!$C$20,2)</f>
        <v>34.43</v>
      </c>
      <c r="AU70" s="25">
        <f>AO70*专武!C$27</f>
        <v>364.5</v>
      </c>
      <c r="AV70" s="25">
        <f>ROUND(AU70/专武!$C$19*专武!$C$20,2)</f>
        <v>34.43</v>
      </c>
      <c r="AW70" s="25">
        <f>AP70*专武!D$27</f>
        <v>842.4</v>
      </c>
      <c r="AX70" s="25">
        <f>ROUND(AW70/专武!$C$19*专武!$C$20,2)</f>
        <v>79.56</v>
      </c>
      <c r="AY70" s="59" t="s">
        <v>231</v>
      </c>
      <c r="AZ70" s="59" t="s">
        <v>142</v>
      </c>
      <c r="BA70" s="59" t="s">
        <v>138</v>
      </c>
    </row>
    <row r="71" spans="2:53">
      <c r="B71" s="65" t="s">
        <v>920</v>
      </c>
      <c r="C71" s="60" t="s">
        <v>158</v>
      </c>
      <c r="D71" s="29" t="s">
        <v>856</v>
      </c>
      <c r="E71" s="25" t="s">
        <v>863</v>
      </c>
      <c r="F71" s="25">
        <f t="shared" si="18"/>
        <v>1</v>
      </c>
      <c r="G71" s="25">
        <f t="shared" si="19"/>
        <v>0.9</v>
      </c>
      <c r="H71" s="25">
        <f t="shared" si="20"/>
        <v>1.1</v>
      </c>
      <c r="I71" s="59">
        <v>1.02</v>
      </c>
      <c r="J71" s="59">
        <v>1.01</v>
      </c>
      <c r="K71" s="59">
        <v>1.05</v>
      </c>
      <c r="L71" s="59">
        <v>0.95</v>
      </c>
      <c r="M71" s="59">
        <f t="shared" si="21"/>
        <v>4.03</v>
      </c>
      <c r="N71" s="25">
        <f t="shared" si="22"/>
        <v>0.8</v>
      </c>
      <c r="O71" s="25">
        <f t="shared" si="23"/>
        <v>0.816</v>
      </c>
      <c r="P71" s="25">
        <f t="shared" si="24"/>
        <v>0.69084</v>
      </c>
      <c r="Q71" s="25">
        <f t="shared" si="25"/>
        <v>0.7182</v>
      </c>
      <c r="R71" s="25">
        <f t="shared" si="26"/>
        <v>0.836</v>
      </c>
      <c r="S71" s="62">
        <f>ROUND(O71*养成属性规划!$D$36,0)</f>
        <v>4080</v>
      </c>
      <c r="T71" s="62">
        <f>S71*角色升级升阶!$C$5</f>
        <v>326.4</v>
      </c>
      <c r="U71" s="62">
        <f>ROUND(P71*养成属性规划!$E$36,0)</f>
        <v>1036</v>
      </c>
      <c r="V71" s="62">
        <f>U71*角色升级升阶!$C$5</f>
        <v>82.88</v>
      </c>
      <c r="W71" s="62">
        <f>ROUND(Q71*养成属性规划!$E$36,0)</f>
        <v>1077</v>
      </c>
      <c r="X71" s="62">
        <f>W71*角色升级升阶!$C$5</f>
        <v>86.16</v>
      </c>
      <c r="Y71" s="62">
        <f>ROUND(R71*养成属性规划!$F$36,0)</f>
        <v>836</v>
      </c>
      <c r="Z71" s="62">
        <f>Y71*角色升级升阶!$C$5</f>
        <v>66.88</v>
      </c>
      <c r="AA71" s="25">
        <f>ROUND(角色星盘!C$23*O71,2)</f>
        <v>347.62</v>
      </c>
      <c r="AB71" s="25">
        <f>ROUND(角色星盘!D$23*P71,2)</f>
        <v>88.43</v>
      </c>
      <c r="AC71" s="25">
        <f>ROUND(角色星盘!D$23*Q71,2)</f>
        <v>91.93</v>
      </c>
      <c r="AD71" s="25">
        <f>ROUND(角色星盘!E$23*R71,2)</f>
        <v>71.06</v>
      </c>
      <c r="AE71" s="59" t="s">
        <v>128</v>
      </c>
      <c r="AF71" s="59" t="s">
        <v>139</v>
      </c>
      <c r="AG71" s="59" t="s">
        <v>145</v>
      </c>
      <c r="AH71" s="59">
        <v>1</v>
      </c>
      <c r="AI71" s="59">
        <v>1.05</v>
      </c>
      <c r="AJ71" s="59">
        <v>1.05</v>
      </c>
      <c r="AK71" s="59">
        <v>0.9</v>
      </c>
      <c r="AL71" s="25">
        <f>VLOOKUP(C71,专武!$M$45:$N$47,2,0)</f>
        <v>0.9</v>
      </c>
      <c r="AM71" s="25">
        <f t="shared" si="27"/>
        <v>0.9</v>
      </c>
      <c r="AN71" s="25">
        <f t="shared" si="28"/>
        <v>0.8505</v>
      </c>
      <c r="AO71" s="25">
        <f t="shared" si="29"/>
        <v>0.8505</v>
      </c>
      <c r="AP71" s="25">
        <f t="shared" si="30"/>
        <v>0.891</v>
      </c>
      <c r="AQ71" s="25">
        <f>AM71*专武!B$27</f>
        <v>2700</v>
      </c>
      <c r="AR71" s="25">
        <f>ROUND(AQ71/专武!$C$19*专武!$C$20,2)</f>
        <v>255</v>
      </c>
      <c r="AS71" s="25">
        <f>AN71*专武!C$27</f>
        <v>765.45</v>
      </c>
      <c r="AT71" s="25">
        <f>ROUND(AS71/专武!$C$19*专武!$C$20,2)</f>
        <v>72.29</v>
      </c>
      <c r="AU71" s="25">
        <f>AO71*专武!C$27</f>
        <v>765.45</v>
      </c>
      <c r="AV71" s="25">
        <f>ROUND(AU71/专武!$C$19*专武!$C$20,2)</f>
        <v>72.29</v>
      </c>
      <c r="AW71" s="25">
        <f>AP71*专武!D$27</f>
        <v>534.6</v>
      </c>
      <c r="AX71" s="25">
        <f>ROUND(AW71/专武!$C$19*专武!$C$20,2)</f>
        <v>50.49</v>
      </c>
      <c r="AY71" s="59" t="s">
        <v>145</v>
      </c>
      <c r="AZ71" s="59" t="s">
        <v>142</v>
      </c>
      <c r="BA71" s="59" t="s">
        <v>139</v>
      </c>
    </row>
    <row r="72" spans="2:53">
      <c r="B72" s="65" t="s">
        <v>921</v>
      </c>
      <c r="C72" s="60" t="s">
        <v>158</v>
      </c>
      <c r="D72" s="29" t="s">
        <v>856</v>
      </c>
      <c r="E72" s="25" t="s">
        <v>861</v>
      </c>
      <c r="F72" s="25">
        <f t="shared" si="18"/>
        <v>1</v>
      </c>
      <c r="G72" s="25">
        <f t="shared" si="19"/>
        <v>0.9</v>
      </c>
      <c r="H72" s="25">
        <f t="shared" si="20"/>
        <v>1.1</v>
      </c>
      <c r="I72" s="59">
        <v>1</v>
      </c>
      <c r="J72" s="59">
        <v>1.02</v>
      </c>
      <c r="K72" s="59">
        <v>1</v>
      </c>
      <c r="L72" s="59">
        <v>0.98</v>
      </c>
      <c r="M72" s="59">
        <f t="shared" si="21"/>
        <v>4</v>
      </c>
      <c r="N72" s="25">
        <f t="shared" si="22"/>
        <v>0.8</v>
      </c>
      <c r="O72" s="25">
        <f t="shared" si="23"/>
        <v>0.8</v>
      </c>
      <c r="P72" s="25">
        <f t="shared" si="24"/>
        <v>0.7344</v>
      </c>
      <c r="Q72" s="25">
        <f t="shared" si="25"/>
        <v>0.576</v>
      </c>
      <c r="R72" s="25">
        <f t="shared" si="26"/>
        <v>0.8624</v>
      </c>
      <c r="S72" s="62">
        <f>ROUND(O72*养成属性规划!$D$36,0)</f>
        <v>4000</v>
      </c>
      <c r="T72" s="62">
        <f>S72*角色升级升阶!$C$5</f>
        <v>320</v>
      </c>
      <c r="U72" s="62">
        <f>ROUND(P72*养成属性规划!$E$36,0)</f>
        <v>1102</v>
      </c>
      <c r="V72" s="62">
        <f>U72*角色升级升阶!$C$5</f>
        <v>88.16</v>
      </c>
      <c r="W72" s="62">
        <f>ROUND(Q72*养成属性规划!$E$36,0)</f>
        <v>864</v>
      </c>
      <c r="X72" s="62">
        <f>W72*角色升级升阶!$C$5</f>
        <v>69.12</v>
      </c>
      <c r="Y72" s="62">
        <f>ROUND(R72*养成属性规划!$F$36,0)</f>
        <v>862</v>
      </c>
      <c r="Z72" s="62">
        <f>Y72*角色升级升阶!$C$5</f>
        <v>68.96</v>
      </c>
      <c r="AA72" s="25">
        <f>ROUND(角色星盘!C$23*O72,2)</f>
        <v>340.8</v>
      </c>
      <c r="AB72" s="25">
        <f>ROUND(角色星盘!D$23*P72,2)</f>
        <v>94</v>
      </c>
      <c r="AC72" s="25">
        <f>ROUND(角色星盘!D$23*Q72,2)</f>
        <v>73.73</v>
      </c>
      <c r="AD72" s="25">
        <f>ROUND(角色星盘!E$23*R72,2)</f>
        <v>73.3</v>
      </c>
      <c r="AE72" s="59" t="s">
        <v>128</v>
      </c>
      <c r="AF72" s="59" t="s">
        <v>138</v>
      </c>
      <c r="AG72" s="59" t="s">
        <v>137</v>
      </c>
      <c r="AH72" s="59">
        <v>1</v>
      </c>
      <c r="AI72" s="59">
        <v>1.15</v>
      </c>
      <c r="AJ72" s="59">
        <v>0.8</v>
      </c>
      <c r="AK72" s="59">
        <v>1.05</v>
      </c>
      <c r="AL72" s="25">
        <f>VLOOKUP(C72,专武!$M$45:$N$47,2,0)</f>
        <v>0.9</v>
      </c>
      <c r="AM72" s="25">
        <f t="shared" si="27"/>
        <v>0.9</v>
      </c>
      <c r="AN72" s="25">
        <f t="shared" si="28"/>
        <v>0.9315</v>
      </c>
      <c r="AO72" s="25">
        <f t="shared" si="29"/>
        <v>0.648</v>
      </c>
      <c r="AP72" s="25">
        <f t="shared" si="30"/>
        <v>1.0395</v>
      </c>
      <c r="AQ72" s="25">
        <f>AM72*专武!B$27</f>
        <v>2700</v>
      </c>
      <c r="AR72" s="25">
        <f>ROUND(AQ72/专武!$C$19*专武!$C$20,2)</f>
        <v>255</v>
      </c>
      <c r="AS72" s="25">
        <f>AN72*专武!C$27</f>
        <v>838.35</v>
      </c>
      <c r="AT72" s="25">
        <f>ROUND(AS72/专武!$C$19*专武!$C$20,2)</f>
        <v>79.18</v>
      </c>
      <c r="AU72" s="25">
        <f>AO72*专武!C$27</f>
        <v>583.2</v>
      </c>
      <c r="AV72" s="25">
        <f>ROUND(AU72/专武!$C$19*专武!$C$20,2)</f>
        <v>55.08</v>
      </c>
      <c r="AW72" s="25">
        <f>AP72*专武!D$27</f>
        <v>623.7</v>
      </c>
      <c r="AX72" s="25">
        <f>ROUND(AW72/专武!$C$19*专武!$C$20,2)</f>
        <v>58.91</v>
      </c>
      <c r="AY72" s="59" t="s">
        <v>128</v>
      </c>
      <c r="AZ72" s="59" t="s">
        <v>141</v>
      </c>
      <c r="BA72" s="59" t="s">
        <v>138</v>
      </c>
    </row>
    <row r="73" spans="2:53">
      <c r="B73" s="65" t="s">
        <v>922</v>
      </c>
      <c r="C73" s="60" t="s">
        <v>158</v>
      </c>
      <c r="D73" s="29" t="s">
        <v>853</v>
      </c>
      <c r="E73" s="25" t="s">
        <v>863</v>
      </c>
      <c r="F73" s="25">
        <f t="shared" si="18"/>
        <v>1.05</v>
      </c>
      <c r="G73" s="25">
        <f t="shared" si="19"/>
        <v>0.95</v>
      </c>
      <c r="H73" s="25">
        <f t="shared" si="20"/>
        <v>1</v>
      </c>
      <c r="I73" s="59">
        <v>1.15</v>
      </c>
      <c r="J73" s="59">
        <v>0.95</v>
      </c>
      <c r="K73" s="59">
        <v>0.95</v>
      </c>
      <c r="L73" s="59">
        <v>1</v>
      </c>
      <c r="M73" s="59">
        <f t="shared" si="21"/>
        <v>4.05</v>
      </c>
      <c r="N73" s="25">
        <f t="shared" si="22"/>
        <v>0.8</v>
      </c>
      <c r="O73" s="25">
        <f t="shared" si="23"/>
        <v>0.966</v>
      </c>
      <c r="P73" s="25">
        <f t="shared" si="24"/>
        <v>0.6859</v>
      </c>
      <c r="Q73" s="25">
        <f t="shared" si="25"/>
        <v>0.6859</v>
      </c>
      <c r="R73" s="25">
        <f t="shared" si="26"/>
        <v>0.8</v>
      </c>
      <c r="S73" s="62">
        <f>ROUND(O73*养成属性规划!$D$36,0)</f>
        <v>4830</v>
      </c>
      <c r="T73" s="62">
        <f>S73*角色升级升阶!$C$5</f>
        <v>386.4</v>
      </c>
      <c r="U73" s="62">
        <f>ROUND(P73*养成属性规划!$E$36,0)</f>
        <v>1029</v>
      </c>
      <c r="V73" s="62">
        <f>U73*角色升级升阶!$C$5</f>
        <v>82.32</v>
      </c>
      <c r="W73" s="62">
        <f>ROUND(Q73*养成属性规划!$E$36,0)</f>
        <v>1029</v>
      </c>
      <c r="X73" s="62">
        <f>W73*角色升级升阶!$C$5</f>
        <v>82.32</v>
      </c>
      <c r="Y73" s="62">
        <f>ROUND(R73*养成属性规划!$F$36,0)</f>
        <v>800</v>
      </c>
      <c r="Z73" s="62">
        <f>Y73*角色升级升阶!$C$5</f>
        <v>64</v>
      </c>
      <c r="AA73" s="25">
        <f>ROUND(角色星盘!C$23*O73,2)</f>
        <v>411.52</v>
      </c>
      <c r="AB73" s="25">
        <f>ROUND(角色星盘!D$23*P73,2)</f>
        <v>87.8</v>
      </c>
      <c r="AC73" s="25">
        <f>ROUND(角色星盘!D$23*Q73,2)</f>
        <v>87.8</v>
      </c>
      <c r="AD73" s="25">
        <f>ROUND(角色星盘!E$23*R73,2)</f>
        <v>68</v>
      </c>
      <c r="AE73" s="59" t="s">
        <v>904</v>
      </c>
      <c r="AF73" s="59" t="s">
        <v>139</v>
      </c>
      <c r="AG73" s="59" t="s">
        <v>146</v>
      </c>
      <c r="AH73" s="59">
        <v>0.9</v>
      </c>
      <c r="AI73" s="59">
        <v>1.15</v>
      </c>
      <c r="AJ73" s="59">
        <v>1.15</v>
      </c>
      <c r="AK73" s="59">
        <v>0.8</v>
      </c>
      <c r="AL73" s="25">
        <f>VLOOKUP(C73,专武!$M$45:$N$47,2,0)</f>
        <v>0.9</v>
      </c>
      <c r="AM73" s="25">
        <f t="shared" si="27"/>
        <v>0.8505</v>
      </c>
      <c r="AN73" s="25">
        <f t="shared" si="28"/>
        <v>0.98325</v>
      </c>
      <c r="AO73" s="25">
        <f t="shared" si="29"/>
        <v>0.98325</v>
      </c>
      <c r="AP73" s="25">
        <f t="shared" si="30"/>
        <v>0.72</v>
      </c>
      <c r="AQ73" s="25">
        <f>AM73*专武!B$27</f>
        <v>2551.5</v>
      </c>
      <c r="AR73" s="25">
        <f>ROUND(AQ73/专武!$C$19*专武!$C$20,2)</f>
        <v>240.98</v>
      </c>
      <c r="AS73" s="25">
        <f>AN73*专武!C$27</f>
        <v>884.925</v>
      </c>
      <c r="AT73" s="25">
        <f>ROUND(AS73/专武!$C$19*专武!$C$20,2)</f>
        <v>83.58</v>
      </c>
      <c r="AU73" s="25">
        <f>AO73*专武!C$27</f>
        <v>884.925</v>
      </c>
      <c r="AV73" s="25">
        <f>ROUND(AU73/专武!$C$19*专武!$C$20,2)</f>
        <v>83.58</v>
      </c>
      <c r="AW73" s="25">
        <f>AP73*专武!D$27</f>
        <v>432</v>
      </c>
      <c r="AX73" s="25">
        <f>ROUND(AW73/专武!$C$19*专武!$C$20,2)</f>
        <v>40.8</v>
      </c>
      <c r="AY73" s="59" t="s">
        <v>138</v>
      </c>
      <c r="AZ73" s="59" t="s">
        <v>142</v>
      </c>
      <c r="BA73" s="59" t="s">
        <v>139</v>
      </c>
    </row>
    <row r="74" spans="2:53">
      <c r="B74" s="65" t="s">
        <v>923</v>
      </c>
      <c r="C74" s="60" t="s">
        <v>158</v>
      </c>
      <c r="D74" s="29" t="s">
        <v>852</v>
      </c>
      <c r="E74" s="25" t="s">
        <v>861</v>
      </c>
      <c r="F74" s="25">
        <f t="shared" si="18"/>
        <v>0.9</v>
      </c>
      <c r="G74" s="25">
        <f t="shared" si="19"/>
        <v>1.1</v>
      </c>
      <c r="H74" s="25">
        <f t="shared" si="20"/>
        <v>1</v>
      </c>
      <c r="I74" s="59">
        <v>0.9</v>
      </c>
      <c r="J74" s="59">
        <v>0.9</v>
      </c>
      <c r="K74" s="59">
        <v>0.9</v>
      </c>
      <c r="L74" s="59">
        <v>1.1</v>
      </c>
      <c r="M74" s="59">
        <f t="shared" si="21"/>
        <v>3.8</v>
      </c>
      <c r="N74" s="25">
        <f t="shared" si="22"/>
        <v>0.8</v>
      </c>
      <c r="O74" s="25">
        <f t="shared" si="23"/>
        <v>0.648</v>
      </c>
      <c r="P74" s="25">
        <f t="shared" si="24"/>
        <v>0.792</v>
      </c>
      <c r="Q74" s="25">
        <f t="shared" si="25"/>
        <v>0.6336</v>
      </c>
      <c r="R74" s="25">
        <f t="shared" si="26"/>
        <v>0.88</v>
      </c>
      <c r="S74" s="62">
        <f>ROUND(O74*养成属性规划!$D$36,0)</f>
        <v>3240</v>
      </c>
      <c r="T74" s="62">
        <f>S74*角色升级升阶!$C$5</f>
        <v>259.2</v>
      </c>
      <c r="U74" s="62">
        <f>ROUND(P74*养成属性规划!$E$36,0)</f>
        <v>1188</v>
      </c>
      <c r="V74" s="62">
        <f>U74*角色升级升阶!$C$5</f>
        <v>95.04</v>
      </c>
      <c r="W74" s="62">
        <f>ROUND(Q74*养成属性规划!$E$36,0)</f>
        <v>950</v>
      </c>
      <c r="X74" s="62">
        <f>W74*角色升级升阶!$C$5</f>
        <v>76</v>
      </c>
      <c r="Y74" s="62">
        <f>ROUND(R74*养成属性规划!$F$36,0)</f>
        <v>880</v>
      </c>
      <c r="Z74" s="62">
        <f>Y74*角色升级升阶!$C$5</f>
        <v>70.4</v>
      </c>
      <c r="AA74" s="25">
        <f>ROUND(角色星盘!C$23*O74,2)</f>
        <v>276.05</v>
      </c>
      <c r="AB74" s="25">
        <f>ROUND(角色星盘!D$23*P74,2)</f>
        <v>101.38</v>
      </c>
      <c r="AC74" s="25">
        <f>ROUND(角色星盘!D$23*Q74,2)</f>
        <v>81.1</v>
      </c>
      <c r="AD74" s="25">
        <f>ROUND(角色星盘!E$23*R74,2)</f>
        <v>74.8</v>
      </c>
      <c r="AE74" s="59" t="s">
        <v>128</v>
      </c>
      <c r="AF74" s="59" t="s">
        <v>145</v>
      </c>
      <c r="AG74" s="59" t="s">
        <v>146</v>
      </c>
      <c r="AH74" s="59">
        <v>0.95</v>
      </c>
      <c r="AI74" s="59">
        <v>1.25</v>
      </c>
      <c r="AJ74" s="59">
        <v>0.8</v>
      </c>
      <c r="AK74" s="59">
        <v>1</v>
      </c>
      <c r="AL74" s="25">
        <f>VLOOKUP(C74,专武!$M$45:$N$47,2,0)</f>
        <v>0.9</v>
      </c>
      <c r="AM74" s="25">
        <f t="shared" si="27"/>
        <v>0.7695</v>
      </c>
      <c r="AN74" s="25">
        <f t="shared" si="28"/>
        <v>1.2375</v>
      </c>
      <c r="AO74" s="25">
        <f t="shared" si="29"/>
        <v>0.792</v>
      </c>
      <c r="AP74" s="25">
        <f t="shared" si="30"/>
        <v>0.9</v>
      </c>
      <c r="AQ74" s="25">
        <f>AM74*专武!B$27</f>
        <v>2308.5</v>
      </c>
      <c r="AR74" s="25">
        <f>ROUND(AQ74/专武!$C$19*专武!$C$20,2)</f>
        <v>218.03</v>
      </c>
      <c r="AS74" s="25">
        <f>AN74*专武!C$27</f>
        <v>1113.75</v>
      </c>
      <c r="AT74" s="25">
        <f>ROUND(AS74/专武!$C$19*专武!$C$20,2)</f>
        <v>105.19</v>
      </c>
      <c r="AU74" s="25">
        <f>AO74*专武!C$27</f>
        <v>712.8</v>
      </c>
      <c r="AV74" s="25">
        <f>ROUND(AU74/专武!$C$19*专武!$C$20,2)</f>
        <v>67.32</v>
      </c>
      <c r="AW74" s="25">
        <f>AP74*专武!D$27</f>
        <v>540</v>
      </c>
      <c r="AX74" s="25">
        <f>ROUND(AW74/专武!$C$19*专武!$C$20,2)</f>
        <v>51</v>
      </c>
      <c r="AY74" s="59" t="s">
        <v>136</v>
      </c>
      <c r="AZ74" s="59" t="s">
        <v>142</v>
      </c>
      <c r="BA74" s="59" t="s">
        <v>145</v>
      </c>
    </row>
    <row r="75" spans="2:53">
      <c r="B75" s="65" t="s">
        <v>924</v>
      </c>
      <c r="C75" s="60" t="s">
        <v>158</v>
      </c>
      <c r="D75" s="29" t="s">
        <v>852</v>
      </c>
      <c r="E75" s="25" t="s">
        <v>861</v>
      </c>
      <c r="F75" s="25">
        <f t="shared" si="18"/>
        <v>0.9</v>
      </c>
      <c r="G75" s="25">
        <f t="shared" si="19"/>
        <v>1.1</v>
      </c>
      <c r="H75" s="25">
        <f t="shared" si="20"/>
        <v>1</v>
      </c>
      <c r="I75" s="59">
        <v>1</v>
      </c>
      <c r="J75" s="59">
        <v>1.05</v>
      </c>
      <c r="K75" s="59">
        <v>1.05</v>
      </c>
      <c r="L75" s="59">
        <v>1</v>
      </c>
      <c r="M75" s="59">
        <f t="shared" si="21"/>
        <v>4.1</v>
      </c>
      <c r="N75" s="25">
        <f t="shared" si="22"/>
        <v>0.8</v>
      </c>
      <c r="O75" s="25">
        <f t="shared" si="23"/>
        <v>0.72</v>
      </c>
      <c r="P75" s="25">
        <f t="shared" si="24"/>
        <v>0.924</v>
      </c>
      <c r="Q75" s="25">
        <f t="shared" si="25"/>
        <v>0.7392</v>
      </c>
      <c r="R75" s="25">
        <f t="shared" si="26"/>
        <v>0.8</v>
      </c>
      <c r="S75" s="62">
        <f>ROUND(O75*养成属性规划!$D$36,0)</f>
        <v>3600</v>
      </c>
      <c r="T75" s="62">
        <f>S75*角色升级升阶!$C$5</f>
        <v>288</v>
      </c>
      <c r="U75" s="62">
        <f>ROUND(P75*养成属性规划!$E$36,0)</f>
        <v>1386</v>
      </c>
      <c r="V75" s="62">
        <f>U75*角色升级升阶!$C$5</f>
        <v>110.88</v>
      </c>
      <c r="W75" s="62">
        <f>ROUND(Q75*养成属性规划!$E$36,0)</f>
        <v>1109</v>
      </c>
      <c r="X75" s="62">
        <f>W75*角色升级升阶!$C$5</f>
        <v>88.72</v>
      </c>
      <c r="Y75" s="62">
        <f>ROUND(R75*养成属性规划!$F$36,0)</f>
        <v>800</v>
      </c>
      <c r="Z75" s="62">
        <f>Y75*角色升级升阶!$C$5</f>
        <v>64</v>
      </c>
      <c r="AA75" s="25">
        <f>ROUND(角色星盘!C$23*O75,2)</f>
        <v>306.72</v>
      </c>
      <c r="AB75" s="25">
        <f>ROUND(角色星盘!D$23*P75,2)</f>
        <v>118.27</v>
      </c>
      <c r="AC75" s="25">
        <f>ROUND(角色星盘!D$23*Q75,2)</f>
        <v>94.62</v>
      </c>
      <c r="AD75" s="25">
        <f>ROUND(角色星盘!E$23*R75,2)</f>
        <v>68</v>
      </c>
      <c r="AE75" s="59" t="s">
        <v>128</v>
      </c>
      <c r="AF75" s="59" t="s">
        <v>136</v>
      </c>
      <c r="AG75" s="59" t="s">
        <v>128</v>
      </c>
      <c r="AH75" s="59">
        <v>0.9</v>
      </c>
      <c r="AI75" s="59">
        <v>1.3</v>
      </c>
      <c r="AJ75" s="59">
        <v>0.8</v>
      </c>
      <c r="AK75" s="59">
        <v>1</v>
      </c>
      <c r="AL75" s="25">
        <f>VLOOKUP(C75,专武!$M$45:$N$47,2,0)</f>
        <v>0.9</v>
      </c>
      <c r="AM75" s="25">
        <f t="shared" si="27"/>
        <v>0.729</v>
      </c>
      <c r="AN75" s="25">
        <f t="shared" si="28"/>
        <v>1.287</v>
      </c>
      <c r="AO75" s="25">
        <f t="shared" si="29"/>
        <v>0.792</v>
      </c>
      <c r="AP75" s="25">
        <f t="shared" si="30"/>
        <v>0.9</v>
      </c>
      <c r="AQ75" s="25">
        <f>AM75*专武!B$27</f>
        <v>2187</v>
      </c>
      <c r="AR75" s="25">
        <f>ROUND(AQ75/专武!$C$19*专武!$C$20,2)</f>
        <v>206.55</v>
      </c>
      <c r="AS75" s="25">
        <f>AN75*专武!C$27</f>
        <v>1158.3</v>
      </c>
      <c r="AT75" s="25">
        <f>ROUND(AS75/专武!$C$19*专武!$C$20,2)</f>
        <v>109.4</v>
      </c>
      <c r="AU75" s="25">
        <f>AO75*专武!C$27</f>
        <v>712.8</v>
      </c>
      <c r="AV75" s="25">
        <f>ROUND(AU75/专武!$C$19*专武!$C$20,2)</f>
        <v>67.32</v>
      </c>
      <c r="AW75" s="25">
        <f>AP75*专武!D$27</f>
        <v>540</v>
      </c>
      <c r="AX75" s="25">
        <f>ROUND(AW75/专武!$C$19*专武!$C$20,2)</f>
        <v>51</v>
      </c>
      <c r="AY75" s="59" t="s">
        <v>128</v>
      </c>
      <c r="AZ75" s="59" t="s">
        <v>141</v>
      </c>
      <c r="BA75" s="59" t="s">
        <v>143</v>
      </c>
    </row>
    <row r="76" spans="2:53">
      <c r="B76" s="65" t="s">
        <v>925</v>
      </c>
      <c r="C76" s="60" t="s">
        <v>158</v>
      </c>
      <c r="D76" s="29" t="s">
        <v>850</v>
      </c>
      <c r="E76" s="25" t="s">
        <v>863</v>
      </c>
      <c r="F76" s="25">
        <f t="shared" si="18"/>
        <v>1.4</v>
      </c>
      <c r="G76" s="25">
        <f t="shared" si="19"/>
        <v>0.6</v>
      </c>
      <c r="H76" s="25">
        <f t="shared" si="20"/>
        <v>1</v>
      </c>
      <c r="I76" s="59">
        <v>1.1</v>
      </c>
      <c r="J76" s="59">
        <v>0.95</v>
      </c>
      <c r="K76" s="59">
        <v>0.95</v>
      </c>
      <c r="L76" s="59">
        <v>1.05</v>
      </c>
      <c r="M76" s="59">
        <f t="shared" si="21"/>
        <v>4.05</v>
      </c>
      <c r="N76" s="25">
        <f t="shared" si="22"/>
        <v>0.8</v>
      </c>
      <c r="O76" s="25">
        <f t="shared" si="23"/>
        <v>1.232</v>
      </c>
      <c r="P76" s="25">
        <f t="shared" si="24"/>
        <v>0.4332</v>
      </c>
      <c r="Q76" s="25">
        <f t="shared" si="25"/>
        <v>0.4332</v>
      </c>
      <c r="R76" s="25">
        <f t="shared" si="26"/>
        <v>0.84</v>
      </c>
      <c r="S76" s="62">
        <f>ROUND(O76*养成属性规划!$D$36,0)</f>
        <v>6160</v>
      </c>
      <c r="T76" s="62">
        <f>S76*角色升级升阶!$C$5</f>
        <v>492.8</v>
      </c>
      <c r="U76" s="62">
        <f>ROUND(P76*养成属性规划!$E$36,0)</f>
        <v>650</v>
      </c>
      <c r="V76" s="62">
        <f>U76*角色升级升阶!$C$5</f>
        <v>52</v>
      </c>
      <c r="W76" s="62">
        <f>ROUND(Q76*养成属性规划!$E$36,0)</f>
        <v>650</v>
      </c>
      <c r="X76" s="62">
        <f>W76*角色升级升阶!$C$5</f>
        <v>52</v>
      </c>
      <c r="Y76" s="62">
        <f>ROUND(R76*养成属性规划!$F$36,0)</f>
        <v>840</v>
      </c>
      <c r="Z76" s="62">
        <f>Y76*角色升级升阶!$C$5</f>
        <v>67.2</v>
      </c>
      <c r="AA76" s="25">
        <f>ROUND(角色星盘!C$23*O76,2)</f>
        <v>524.83</v>
      </c>
      <c r="AB76" s="25">
        <f>ROUND(角色星盘!D$23*P76,2)</f>
        <v>55.45</v>
      </c>
      <c r="AC76" s="25">
        <f>ROUND(角色星盘!D$23*Q76,2)</f>
        <v>55.45</v>
      </c>
      <c r="AD76" s="25">
        <f>ROUND(角色星盘!E$23*R76,2)</f>
        <v>71.4</v>
      </c>
      <c r="AE76" s="59" t="s">
        <v>904</v>
      </c>
      <c r="AF76" s="59" t="s">
        <v>145</v>
      </c>
      <c r="AG76" s="59" t="s">
        <v>146</v>
      </c>
      <c r="AH76" s="59">
        <v>1.35</v>
      </c>
      <c r="AI76" s="59">
        <v>0.7</v>
      </c>
      <c r="AJ76" s="59">
        <v>0.7</v>
      </c>
      <c r="AK76" s="59">
        <v>1.25</v>
      </c>
      <c r="AL76" s="25">
        <f>VLOOKUP(C76,专武!$M$45:$N$47,2,0)</f>
        <v>0.9</v>
      </c>
      <c r="AM76" s="25">
        <f t="shared" si="27"/>
        <v>1.701</v>
      </c>
      <c r="AN76" s="25">
        <f t="shared" si="28"/>
        <v>0.378</v>
      </c>
      <c r="AO76" s="25">
        <f t="shared" si="29"/>
        <v>0.378</v>
      </c>
      <c r="AP76" s="25">
        <f t="shared" si="30"/>
        <v>1.125</v>
      </c>
      <c r="AQ76" s="25">
        <f>AM76*专武!B$27</f>
        <v>5103</v>
      </c>
      <c r="AR76" s="25">
        <f>ROUND(AQ76/专武!$C$19*专武!$C$20,2)</f>
        <v>481.95</v>
      </c>
      <c r="AS76" s="25">
        <f>AN76*专武!C$27</f>
        <v>340.2</v>
      </c>
      <c r="AT76" s="25">
        <f>ROUND(AS76/专武!$C$19*专武!$C$20,2)</f>
        <v>32.13</v>
      </c>
      <c r="AU76" s="25">
        <f>AO76*专武!C$27</f>
        <v>340.2</v>
      </c>
      <c r="AV76" s="25">
        <f>ROUND(AU76/专武!$C$19*专武!$C$20,2)</f>
        <v>32.13</v>
      </c>
      <c r="AW76" s="25">
        <f>AP76*专武!D$27</f>
        <v>675</v>
      </c>
      <c r="AX76" s="25">
        <f>ROUND(AW76/专武!$C$19*专武!$C$20,2)</f>
        <v>63.75</v>
      </c>
      <c r="AY76" s="59" t="s">
        <v>130</v>
      </c>
      <c r="AZ76" s="59" t="s">
        <v>145</v>
      </c>
      <c r="BA76" s="59" t="s">
        <v>143</v>
      </c>
    </row>
    <row r="77" spans="2:53">
      <c r="B77" s="65" t="s">
        <v>926</v>
      </c>
      <c r="C77" s="60" t="s">
        <v>158</v>
      </c>
      <c r="D77" s="29" t="s">
        <v>857</v>
      </c>
      <c r="E77" s="25" t="s">
        <v>863</v>
      </c>
      <c r="F77" s="25">
        <f t="shared" si="18"/>
        <v>1.2</v>
      </c>
      <c r="G77" s="25">
        <f t="shared" si="19"/>
        <v>0.85</v>
      </c>
      <c r="H77" s="25">
        <f t="shared" si="20"/>
        <v>0.95</v>
      </c>
      <c r="I77" s="59">
        <v>0.96</v>
      </c>
      <c r="J77" s="59">
        <v>1.03</v>
      </c>
      <c r="K77" s="59">
        <v>1</v>
      </c>
      <c r="L77" s="59">
        <v>0.98</v>
      </c>
      <c r="M77" s="59">
        <f t="shared" si="21"/>
        <v>3.97</v>
      </c>
      <c r="N77" s="25">
        <f t="shared" si="22"/>
        <v>0.8</v>
      </c>
      <c r="O77" s="25">
        <f t="shared" si="23"/>
        <v>0.9216</v>
      </c>
      <c r="P77" s="25">
        <f t="shared" si="24"/>
        <v>0.66538</v>
      </c>
      <c r="Q77" s="25">
        <f t="shared" si="25"/>
        <v>0.646</v>
      </c>
      <c r="R77" s="25">
        <f t="shared" si="26"/>
        <v>0.7448</v>
      </c>
      <c r="S77" s="62">
        <f>ROUND(O77*养成属性规划!$D$36,0)</f>
        <v>4608</v>
      </c>
      <c r="T77" s="62">
        <f>S77*角色升级升阶!$C$5</f>
        <v>368.64</v>
      </c>
      <c r="U77" s="62">
        <f>ROUND(P77*养成属性规划!$E$36,0)</f>
        <v>998</v>
      </c>
      <c r="V77" s="62">
        <f>U77*角色升级升阶!$C$5</f>
        <v>79.84</v>
      </c>
      <c r="W77" s="62">
        <f>ROUND(Q77*养成属性规划!$E$36,0)</f>
        <v>969</v>
      </c>
      <c r="X77" s="62">
        <f>W77*角色升级升阶!$C$5</f>
        <v>77.52</v>
      </c>
      <c r="Y77" s="62">
        <f>ROUND(R77*养成属性规划!$F$36,0)</f>
        <v>745</v>
      </c>
      <c r="Z77" s="62">
        <f>Y77*角色升级升阶!$C$5</f>
        <v>59.6</v>
      </c>
      <c r="AA77" s="25">
        <f>ROUND(角色星盘!C$23*O77,2)</f>
        <v>392.6</v>
      </c>
      <c r="AB77" s="25">
        <f>ROUND(角色星盘!D$23*P77,2)</f>
        <v>85.17</v>
      </c>
      <c r="AC77" s="25">
        <f>ROUND(角色星盘!D$23*Q77,2)</f>
        <v>82.69</v>
      </c>
      <c r="AD77" s="25">
        <f>ROUND(角色星盘!E$23*R77,2)</f>
        <v>63.31</v>
      </c>
      <c r="AE77" s="59" t="s">
        <v>128</v>
      </c>
      <c r="AF77" s="59" t="s">
        <v>138</v>
      </c>
      <c r="AG77" s="59" t="s">
        <v>143</v>
      </c>
      <c r="AH77" s="59">
        <v>1.2</v>
      </c>
      <c r="AI77" s="59">
        <v>0.85</v>
      </c>
      <c r="AJ77" s="59">
        <v>0.85</v>
      </c>
      <c r="AK77" s="59">
        <v>1.1</v>
      </c>
      <c r="AL77" s="25">
        <f>VLOOKUP(C77,专武!$M$45:$N$47,2,0)</f>
        <v>0.9</v>
      </c>
      <c r="AM77" s="25">
        <f t="shared" si="27"/>
        <v>1.296</v>
      </c>
      <c r="AN77" s="25">
        <f t="shared" si="28"/>
        <v>0.65025</v>
      </c>
      <c r="AO77" s="25">
        <f t="shared" si="29"/>
        <v>0.65025</v>
      </c>
      <c r="AP77" s="25">
        <f t="shared" si="30"/>
        <v>0.9405</v>
      </c>
      <c r="AQ77" s="25">
        <f>AM77*专武!B$27</f>
        <v>3888</v>
      </c>
      <c r="AR77" s="25">
        <f>ROUND(AQ77/专武!$C$19*专武!$C$20,2)</f>
        <v>367.2</v>
      </c>
      <c r="AS77" s="25">
        <f>AN77*专武!C$27</f>
        <v>585.225</v>
      </c>
      <c r="AT77" s="25">
        <f>ROUND(AS77/专武!$C$19*专武!$C$20,2)</f>
        <v>55.27</v>
      </c>
      <c r="AU77" s="25">
        <f>AO77*专武!C$27</f>
        <v>585.225</v>
      </c>
      <c r="AV77" s="25">
        <f>ROUND(AU77/专武!$C$19*专武!$C$20,2)</f>
        <v>55.27</v>
      </c>
      <c r="AW77" s="25">
        <f>AP77*专武!D$27</f>
        <v>564.3</v>
      </c>
      <c r="AX77" s="25">
        <f>ROUND(AW77/专武!$C$19*专武!$C$20,2)</f>
        <v>53.3</v>
      </c>
      <c r="AY77" s="59" t="s">
        <v>145</v>
      </c>
      <c r="AZ77" s="59" t="s">
        <v>141</v>
      </c>
      <c r="BA77" s="59" t="s">
        <v>138</v>
      </c>
    </row>
    <row r="78" spans="2:53">
      <c r="B78" s="65" t="s">
        <v>927</v>
      </c>
      <c r="C78" s="60" t="s">
        <v>158</v>
      </c>
      <c r="D78" s="29" t="s">
        <v>850</v>
      </c>
      <c r="E78" s="25" t="s">
        <v>863</v>
      </c>
      <c r="F78" s="25">
        <f t="shared" si="18"/>
        <v>1.4</v>
      </c>
      <c r="G78" s="25">
        <f t="shared" si="19"/>
        <v>0.6</v>
      </c>
      <c r="H78" s="25">
        <f t="shared" si="20"/>
        <v>1</v>
      </c>
      <c r="I78" s="59">
        <v>1.05</v>
      </c>
      <c r="J78" s="59">
        <v>0.92</v>
      </c>
      <c r="K78" s="59">
        <v>0.92</v>
      </c>
      <c r="L78" s="59">
        <v>1.08</v>
      </c>
      <c r="M78" s="59">
        <f t="shared" si="21"/>
        <v>3.97</v>
      </c>
      <c r="N78" s="25">
        <f t="shared" si="22"/>
        <v>0.8</v>
      </c>
      <c r="O78" s="25">
        <f t="shared" si="23"/>
        <v>1.176</v>
      </c>
      <c r="P78" s="25">
        <f t="shared" si="24"/>
        <v>0.41952</v>
      </c>
      <c r="Q78" s="25">
        <f t="shared" si="25"/>
        <v>0.41952</v>
      </c>
      <c r="R78" s="25">
        <f t="shared" si="26"/>
        <v>0.864</v>
      </c>
      <c r="S78" s="62">
        <f>ROUND(O78*养成属性规划!$D$36,0)</f>
        <v>5880</v>
      </c>
      <c r="T78" s="62">
        <f>S78*角色升级升阶!$C$5</f>
        <v>470.4</v>
      </c>
      <c r="U78" s="62">
        <f>ROUND(P78*养成属性规划!$E$36,0)</f>
        <v>629</v>
      </c>
      <c r="V78" s="62">
        <f>U78*角色升级升阶!$C$5</f>
        <v>50.32</v>
      </c>
      <c r="W78" s="62">
        <f>ROUND(Q78*养成属性规划!$E$36,0)</f>
        <v>629</v>
      </c>
      <c r="X78" s="62">
        <f>W78*角色升级升阶!$C$5</f>
        <v>50.32</v>
      </c>
      <c r="Y78" s="62">
        <f>ROUND(R78*养成属性规划!$F$36,0)</f>
        <v>864</v>
      </c>
      <c r="Z78" s="62">
        <f>Y78*角色升级升阶!$C$5</f>
        <v>69.12</v>
      </c>
      <c r="AA78" s="25">
        <f>ROUND(角色星盘!C$23*O78,2)</f>
        <v>500.98</v>
      </c>
      <c r="AB78" s="25">
        <f>ROUND(角色星盘!D$23*P78,2)</f>
        <v>53.7</v>
      </c>
      <c r="AC78" s="25">
        <f>ROUND(角色星盘!D$23*Q78,2)</f>
        <v>53.7</v>
      </c>
      <c r="AD78" s="25">
        <f>ROUND(角色星盘!E$23*R78,2)</f>
        <v>73.44</v>
      </c>
      <c r="AE78" s="59" t="s">
        <v>130</v>
      </c>
      <c r="AF78" s="59" t="s">
        <v>231</v>
      </c>
      <c r="AG78" s="59" t="s">
        <v>145</v>
      </c>
      <c r="AH78" s="59">
        <v>1.3</v>
      </c>
      <c r="AI78" s="59">
        <v>0.75</v>
      </c>
      <c r="AJ78" s="59">
        <v>0.75</v>
      </c>
      <c r="AK78" s="59">
        <v>1.2</v>
      </c>
      <c r="AL78" s="25">
        <f>VLOOKUP(C78,专武!$M$45:$N$47,2,0)</f>
        <v>0.9</v>
      </c>
      <c r="AM78" s="25">
        <f t="shared" si="27"/>
        <v>1.638</v>
      </c>
      <c r="AN78" s="25">
        <f t="shared" si="28"/>
        <v>0.405</v>
      </c>
      <c r="AO78" s="25">
        <f t="shared" si="29"/>
        <v>0.405</v>
      </c>
      <c r="AP78" s="25">
        <f t="shared" si="30"/>
        <v>1.08</v>
      </c>
      <c r="AQ78" s="25">
        <f>AM78*专武!B$27</f>
        <v>4914</v>
      </c>
      <c r="AR78" s="25">
        <f>ROUND(AQ78/专武!$C$19*专武!$C$20,2)</f>
        <v>464.1</v>
      </c>
      <c r="AS78" s="25">
        <f>AN78*专武!C$27</f>
        <v>364.5</v>
      </c>
      <c r="AT78" s="25">
        <f>ROUND(AS78/专武!$C$19*专武!$C$20,2)</f>
        <v>34.43</v>
      </c>
      <c r="AU78" s="25">
        <f>AO78*专武!C$27</f>
        <v>364.5</v>
      </c>
      <c r="AV78" s="25">
        <f>ROUND(AU78/专武!$C$19*专武!$C$20,2)</f>
        <v>34.43</v>
      </c>
      <c r="AW78" s="25">
        <f>AP78*专武!D$27</f>
        <v>648</v>
      </c>
      <c r="AX78" s="25">
        <f>ROUND(AW78/专武!$C$19*专武!$C$20,2)</f>
        <v>61.2</v>
      </c>
      <c r="AY78" s="59" t="s">
        <v>130</v>
      </c>
      <c r="AZ78" s="59" t="s">
        <v>145</v>
      </c>
      <c r="BA78" s="59" t="s">
        <v>146</v>
      </c>
    </row>
    <row r="79" spans="2:53">
      <c r="B79" s="65" t="s">
        <v>928</v>
      </c>
      <c r="C79" s="60" t="s">
        <v>158</v>
      </c>
      <c r="D79" s="29" t="s">
        <v>856</v>
      </c>
      <c r="E79" s="25" t="s">
        <v>862</v>
      </c>
      <c r="F79" s="25">
        <f t="shared" si="18"/>
        <v>1</v>
      </c>
      <c r="G79" s="25">
        <f t="shared" si="19"/>
        <v>0.9</v>
      </c>
      <c r="H79" s="25">
        <f t="shared" si="20"/>
        <v>1.1</v>
      </c>
      <c r="I79" s="59">
        <v>0.98</v>
      </c>
      <c r="J79" s="59">
        <v>0.95</v>
      </c>
      <c r="K79" s="59">
        <v>1.08</v>
      </c>
      <c r="L79" s="59">
        <v>0.96</v>
      </c>
      <c r="M79" s="59">
        <f t="shared" si="21"/>
        <v>3.97</v>
      </c>
      <c r="N79" s="25">
        <f t="shared" si="22"/>
        <v>0.8</v>
      </c>
      <c r="O79" s="25">
        <f t="shared" si="23"/>
        <v>0.784</v>
      </c>
      <c r="P79" s="25">
        <f t="shared" si="24"/>
        <v>0.5472</v>
      </c>
      <c r="Q79" s="25">
        <f t="shared" si="25"/>
        <v>0.7776</v>
      </c>
      <c r="R79" s="25">
        <f t="shared" si="26"/>
        <v>0.8448</v>
      </c>
      <c r="S79" s="62">
        <f>ROUND(O79*养成属性规划!$D$36,0)</f>
        <v>3920</v>
      </c>
      <c r="T79" s="62">
        <f>S79*角色升级升阶!$C$5</f>
        <v>313.6</v>
      </c>
      <c r="U79" s="62">
        <f>ROUND(P79*养成属性规划!$E$36,0)</f>
        <v>821</v>
      </c>
      <c r="V79" s="62">
        <f>U79*角色升级升阶!$C$5</f>
        <v>65.68</v>
      </c>
      <c r="W79" s="62">
        <f>ROUND(Q79*养成属性规划!$E$36,0)</f>
        <v>1166</v>
      </c>
      <c r="X79" s="62">
        <f>W79*角色升级升阶!$C$5</f>
        <v>93.28</v>
      </c>
      <c r="Y79" s="62">
        <f>ROUND(R79*养成属性规划!$F$36,0)</f>
        <v>845</v>
      </c>
      <c r="Z79" s="62">
        <f>Y79*角色升级升阶!$C$5</f>
        <v>67.6</v>
      </c>
      <c r="AA79" s="25">
        <f>ROUND(角色星盘!C$23*O79,2)</f>
        <v>333.98</v>
      </c>
      <c r="AB79" s="25">
        <f>ROUND(角色星盘!D$23*P79,2)</f>
        <v>70.04</v>
      </c>
      <c r="AC79" s="25">
        <f>ROUND(角色星盘!D$23*Q79,2)</f>
        <v>99.53</v>
      </c>
      <c r="AD79" s="25">
        <f>ROUND(角色星盘!E$23*R79,2)</f>
        <v>71.81</v>
      </c>
      <c r="AE79" s="59" t="s">
        <v>139</v>
      </c>
      <c r="AF79" s="59" t="s">
        <v>143</v>
      </c>
      <c r="AG79" s="59" t="s">
        <v>145</v>
      </c>
      <c r="AH79" s="59">
        <v>1</v>
      </c>
      <c r="AI79" s="59">
        <v>0.85</v>
      </c>
      <c r="AJ79" s="59">
        <v>1.15</v>
      </c>
      <c r="AK79" s="59">
        <v>0.95</v>
      </c>
      <c r="AL79" s="25">
        <f>VLOOKUP(C79,专武!$M$45:$N$47,2,0)</f>
        <v>0.9</v>
      </c>
      <c r="AM79" s="25">
        <f t="shared" si="27"/>
        <v>0.9</v>
      </c>
      <c r="AN79" s="25">
        <f t="shared" si="28"/>
        <v>0.6885</v>
      </c>
      <c r="AO79" s="25">
        <f t="shared" si="29"/>
        <v>0.9315</v>
      </c>
      <c r="AP79" s="25">
        <f t="shared" si="30"/>
        <v>0.9405</v>
      </c>
      <c r="AQ79" s="25">
        <f>AM79*专武!B$27</f>
        <v>2700</v>
      </c>
      <c r="AR79" s="25">
        <f>ROUND(AQ79/专武!$C$19*专武!$C$20,2)</f>
        <v>255</v>
      </c>
      <c r="AS79" s="25">
        <f>AN79*专武!C$27</f>
        <v>619.65</v>
      </c>
      <c r="AT79" s="25">
        <f>ROUND(AS79/专武!$C$19*专武!$C$20,2)</f>
        <v>58.52</v>
      </c>
      <c r="AU79" s="25">
        <f>AO79*专武!C$27</f>
        <v>838.35</v>
      </c>
      <c r="AV79" s="25">
        <f>ROUND(AU79/专武!$C$19*专武!$C$20,2)</f>
        <v>79.18</v>
      </c>
      <c r="AW79" s="25">
        <f>AP79*专武!D$27</f>
        <v>564.3</v>
      </c>
      <c r="AX79" s="25">
        <f>ROUND(AW79/专武!$C$19*专武!$C$20,2)</f>
        <v>53.3</v>
      </c>
      <c r="AY79" s="59" t="s">
        <v>139</v>
      </c>
      <c r="AZ79" s="59" t="s">
        <v>143</v>
      </c>
      <c r="BA79" s="59" t="s">
        <v>145</v>
      </c>
    </row>
    <row r="80" spans="2:53">
      <c r="B80" s="65" t="s">
        <v>929</v>
      </c>
      <c r="C80" s="60" t="s">
        <v>158</v>
      </c>
      <c r="D80" s="29" t="s">
        <v>857</v>
      </c>
      <c r="E80" s="25" t="s">
        <v>863</v>
      </c>
      <c r="F80" s="25">
        <f t="shared" si="18"/>
        <v>1.2</v>
      </c>
      <c r="G80" s="25">
        <f t="shared" si="19"/>
        <v>0.85</v>
      </c>
      <c r="H80" s="25">
        <f t="shared" si="20"/>
        <v>0.95</v>
      </c>
      <c r="I80" s="59">
        <v>1.06</v>
      </c>
      <c r="J80" s="59">
        <v>0.88</v>
      </c>
      <c r="K80" s="59">
        <v>0.95</v>
      </c>
      <c r="L80" s="59">
        <v>1.06</v>
      </c>
      <c r="M80" s="59">
        <f t="shared" si="21"/>
        <v>3.95</v>
      </c>
      <c r="N80" s="25">
        <f t="shared" si="22"/>
        <v>0.8</v>
      </c>
      <c r="O80" s="25">
        <f t="shared" si="23"/>
        <v>1.0176</v>
      </c>
      <c r="P80" s="25">
        <f t="shared" si="24"/>
        <v>0.56848</v>
      </c>
      <c r="Q80" s="25">
        <f t="shared" si="25"/>
        <v>0.6137</v>
      </c>
      <c r="R80" s="25">
        <f t="shared" si="26"/>
        <v>0.8056</v>
      </c>
      <c r="S80" s="62">
        <f>ROUND(O80*养成属性规划!$D$36,0)</f>
        <v>5088</v>
      </c>
      <c r="T80" s="62">
        <f>S80*角色升级升阶!$C$5</f>
        <v>407.04</v>
      </c>
      <c r="U80" s="62">
        <f>ROUND(P80*养成属性规划!$E$36,0)</f>
        <v>853</v>
      </c>
      <c r="V80" s="62">
        <f>U80*角色升级升阶!$C$5</f>
        <v>68.24</v>
      </c>
      <c r="W80" s="62">
        <f>ROUND(Q80*养成属性规划!$E$36,0)</f>
        <v>921</v>
      </c>
      <c r="X80" s="62">
        <f>W80*角色升级升阶!$C$5</f>
        <v>73.68</v>
      </c>
      <c r="Y80" s="62">
        <f>ROUND(R80*养成属性规划!$F$36,0)</f>
        <v>806</v>
      </c>
      <c r="Z80" s="62">
        <f>Y80*角色升级升阶!$C$5</f>
        <v>64.48</v>
      </c>
      <c r="AA80" s="25">
        <f>ROUND(角色星盘!C$23*O80,2)</f>
        <v>433.5</v>
      </c>
      <c r="AB80" s="25">
        <f>ROUND(角色星盘!D$23*P80,2)</f>
        <v>72.77</v>
      </c>
      <c r="AC80" s="25">
        <f>ROUND(角色星盘!D$23*Q80,2)</f>
        <v>78.55</v>
      </c>
      <c r="AD80" s="25">
        <f>ROUND(角色星盘!E$23*R80,2)</f>
        <v>68.48</v>
      </c>
      <c r="AE80" s="59" t="s">
        <v>130</v>
      </c>
      <c r="AF80" s="59" t="s">
        <v>231</v>
      </c>
      <c r="AG80" s="59" t="s">
        <v>146</v>
      </c>
      <c r="AH80" s="59">
        <v>1.2</v>
      </c>
      <c r="AI80" s="59">
        <v>0.75</v>
      </c>
      <c r="AJ80" s="59">
        <v>0.9</v>
      </c>
      <c r="AK80" s="59">
        <v>1.2</v>
      </c>
      <c r="AL80" s="25">
        <f>VLOOKUP(C80,专武!$M$45:$N$47,2,0)</f>
        <v>0.9</v>
      </c>
      <c r="AM80" s="25">
        <f t="shared" si="27"/>
        <v>1.296</v>
      </c>
      <c r="AN80" s="25">
        <f t="shared" si="28"/>
        <v>0.57375</v>
      </c>
      <c r="AO80" s="25">
        <f t="shared" si="29"/>
        <v>0.6885</v>
      </c>
      <c r="AP80" s="25">
        <f t="shared" si="30"/>
        <v>1.026</v>
      </c>
      <c r="AQ80" s="25">
        <f>AM80*专武!B$27</f>
        <v>3888</v>
      </c>
      <c r="AR80" s="25">
        <f>ROUND(AQ80/专武!$C$19*专武!$C$20,2)</f>
        <v>367.2</v>
      </c>
      <c r="AS80" s="25">
        <f>AN80*专武!C$27</f>
        <v>516.375</v>
      </c>
      <c r="AT80" s="25">
        <f>ROUND(AS80/专武!$C$19*专武!$C$20,2)</f>
        <v>48.77</v>
      </c>
      <c r="AU80" s="25">
        <f>AO80*专武!C$27</f>
        <v>619.65</v>
      </c>
      <c r="AV80" s="25">
        <f>ROUND(AU80/专武!$C$19*专武!$C$20,2)</f>
        <v>58.52</v>
      </c>
      <c r="AW80" s="25">
        <f>AP80*专武!D$27</f>
        <v>615.6</v>
      </c>
      <c r="AX80" s="25">
        <f>ROUND(AW80/专武!$C$19*专武!$C$20,2)</f>
        <v>58.14</v>
      </c>
      <c r="AY80" s="59" t="s">
        <v>231</v>
      </c>
      <c r="AZ80" s="59" t="s">
        <v>130</v>
      </c>
      <c r="BA80" s="59" t="s">
        <v>146</v>
      </c>
    </row>
    <row r="81" spans="2:53">
      <c r="B81" s="65" t="s">
        <v>930</v>
      </c>
      <c r="C81" s="60" t="s">
        <v>158</v>
      </c>
      <c r="D81" s="29" t="s">
        <v>850</v>
      </c>
      <c r="E81" s="25" t="s">
        <v>863</v>
      </c>
      <c r="F81" s="25">
        <f t="shared" si="18"/>
        <v>1.4</v>
      </c>
      <c r="G81" s="25">
        <f t="shared" si="19"/>
        <v>0.6</v>
      </c>
      <c r="H81" s="25">
        <f t="shared" si="20"/>
        <v>1</v>
      </c>
      <c r="I81" s="59">
        <v>1.1</v>
      </c>
      <c r="J81" s="59">
        <v>0.9</v>
      </c>
      <c r="K81" s="59">
        <v>0.9</v>
      </c>
      <c r="L81" s="59">
        <v>1.05</v>
      </c>
      <c r="M81" s="59">
        <f t="shared" si="21"/>
        <v>3.95</v>
      </c>
      <c r="N81" s="25">
        <f t="shared" si="22"/>
        <v>0.8</v>
      </c>
      <c r="O81" s="25">
        <f t="shared" si="23"/>
        <v>1.232</v>
      </c>
      <c r="P81" s="25">
        <f t="shared" si="24"/>
        <v>0.4104</v>
      </c>
      <c r="Q81" s="25">
        <f t="shared" si="25"/>
        <v>0.4104</v>
      </c>
      <c r="R81" s="25">
        <f t="shared" si="26"/>
        <v>0.84</v>
      </c>
      <c r="S81" s="62">
        <f>ROUND(O81*养成属性规划!$D$36,0)</f>
        <v>6160</v>
      </c>
      <c r="T81" s="62">
        <f>S81*角色升级升阶!$C$5</f>
        <v>492.8</v>
      </c>
      <c r="U81" s="62">
        <f>ROUND(P81*养成属性规划!$E$36,0)</f>
        <v>616</v>
      </c>
      <c r="V81" s="62">
        <f>U81*角色升级升阶!$C$5</f>
        <v>49.28</v>
      </c>
      <c r="W81" s="62">
        <f>ROUND(Q81*养成属性规划!$E$36,0)</f>
        <v>616</v>
      </c>
      <c r="X81" s="62">
        <f>W81*角色升级升阶!$C$5</f>
        <v>49.28</v>
      </c>
      <c r="Y81" s="62">
        <f>ROUND(R81*养成属性规划!$F$36,0)</f>
        <v>840</v>
      </c>
      <c r="Z81" s="62">
        <f>Y81*角色升级升阶!$C$5</f>
        <v>67.2</v>
      </c>
      <c r="AA81" s="25">
        <f>ROUND(角色星盘!C$23*O81,2)</f>
        <v>524.83</v>
      </c>
      <c r="AB81" s="25">
        <f>ROUND(角色星盘!D$23*P81,2)</f>
        <v>52.53</v>
      </c>
      <c r="AC81" s="25">
        <f>ROUND(角色星盘!D$23*Q81,2)</f>
        <v>52.53</v>
      </c>
      <c r="AD81" s="25">
        <f>ROUND(角色星盘!E$23*R81,2)</f>
        <v>71.4</v>
      </c>
      <c r="AE81" s="59" t="s">
        <v>130</v>
      </c>
      <c r="AF81" s="59" t="s">
        <v>231</v>
      </c>
      <c r="AG81" s="59" t="s">
        <v>145</v>
      </c>
      <c r="AH81" s="59">
        <v>1.35</v>
      </c>
      <c r="AI81" s="59">
        <v>0.7</v>
      </c>
      <c r="AJ81" s="59">
        <v>0.7</v>
      </c>
      <c r="AK81" s="59">
        <v>1.15</v>
      </c>
      <c r="AL81" s="25">
        <f>VLOOKUP(C81,专武!$M$45:$N$47,2,0)</f>
        <v>0.9</v>
      </c>
      <c r="AM81" s="25">
        <f t="shared" si="27"/>
        <v>1.701</v>
      </c>
      <c r="AN81" s="25">
        <f t="shared" si="28"/>
        <v>0.378</v>
      </c>
      <c r="AO81" s="25">
        <f t="shared" si="29"/>
        <v>0.378</v>
      </c>
      <c r="AP81" s="25">
        <f t="shared" si="30"/>
        <v>1.035</v>
      </c>
      <c r="AQ81" s="25">
        <f>AM81*专武!B$27</f>
        <v>5103</v>
      </c>
      <c r="AR81" s="25">
        <f>ROUND(AQ81/专武!$C$19*专武!$C$20,2)</f>
        <v>481.95</v>
      </c>
      <c r="AS81" s="25">
        <f>AN81*专武!C$27</f>
        <v>340.2</v>
      </c>
      <c r="AT81" s="25">
        <f>ROUND(AS81/专武!$C$19*专武!$C$20,2)</f>
        <v>32.13</v>
      </c>
      <c r="AU81" s="25">
        <f>AO81*专武!C$27</f>
        <v>340.2</v>
      </c>
      <c r="AV81" s="25">
        <f>ROUND(AU81/专武!$C$19*专武!$C$20,2)</f>
        <v>32.13</v>
      </c>
      <c r="AW81" s="25">
        <f>AP81*专武!D$27</f>
        <v>621</v>
      </c>
      <c r="AX81" s="25">
        <f>ROUND(AW81/专武!$C$19*专武!$C$20,2)</f>
        <v>58.65</v>
      </c>
      <c r="AY81" s="59" t="s">
        <v>130</v>
      </c>
      <c r="AZ81" s="59" t="s">
        <v>145</v>
      </c>
      <c r="BA81" s="59" t="s">
        <v>231</v>
      </c>
    </row>
    <row r="82" spans="2:53">
      <c r="B82" s="65" t="s">
        <v>931</v>
      </c>
      <c r="C82" s="60" t="s">
        <v>158</v>
      </c>
      <c r="D82" s="29" t="s">
        <v>854</v>
      </c>
      <c r="E82" s="25" t="s">
        <v>862</v>
      </c>
      <c r="F82" s="25">
        <f t="shared" si="18"/>
        <v>0.8</v>
      </c>
      <c r="G82" s="25">
        <f t="shared" si="19"/>
        <v>1.2</v>
      </c>
      <c r="H82" s="25">
        <f t="shared" si="20"/>
        <v>1</v>
      </c>
      <c r="I82" s="59">
        <v>0.92</v>
      </c>
      <c r="J82" s="59">
        <v>0.82</v>
      </c>
      <c r="K82" s="59">
        <v>1.12</v>
      </c>
      <c r="L82" s="59">
        <v>0.98</v>
      </c>
      <c r="M82" s="59">
        <f t="shared" si="21"/>
        <v>3.84</v>
      </c>
      <c r="N82" s="25">
        <f t="shared" si="22"/>
        <v>0.8</v>
      </c>
      <c r="O82" s="25">
        <f t="shared" si="23"/>
        <v>0.5888</v>
      </c>
      <c r="P82" s="25">
        <f t="shared" si="24"/>
        <v>0.62976</v>
      </c>
      <c r="Q82" s="25">
        <f t="shared" si="25"/>
        <v>1.0752</v>
      </c>
      <c r="R82" s="25">
        <f t="shared" si="26"/>
        <v>0.784</v>
      </c>
      <c r="S82" s="62">
        <f>ROUND(O82*养成属性规划!$D$36,0)</f>
        <v>2944</v>
      </c>
      <c r="T82" s="62">
        <f>S82*角色升级升阶!$C$5</f>
        <v>235.52</v>
      </c>
      <c r="U82" s="62">
        <f>ROUND(P82*养成属性规划!$E$36,0)</f>
        <v>945</v>
      </c>
      <c r="V82" s="62">
        <f>U82*角色升级升阶!$C$5</f>
        <v>75.6</v>
      </c>
      <c r="W82" s="62">
        <f>ROUND(Q82*养成属性规划!$E$36,0)</f>
        <v>1613</v>
      </c>
      <c r="X82" s="62">
        <f>W82*角色升级升阶!$C$5</f>
        <v>129.04</v>
      </c>
      <c r="Y82" s="62">
        <f>ROUND(R82*养成属性规划!$F$36,0)</f>
        <v>784</v>
      </c>
      <c r="Z82" s="62">
        <f>Y82*角色升级升阶!$C$5</f>
        <v>62.72</v>
      </c>
      <c r="AA82" s="25">
        <f>ROUND(角色星盘!C$23*O82,2)</f>
        <v>250.83</v>
      </c>
      <c r="AB82" s="25">
        <f>ROUND(角色星盘!D$23*P82,2)</f>
        <v>80.61</v>
      </c>
      <c r="AC82" s="25">
        <f>ROUND(角色星盘!D$23*Q82,2)</f>
        <v>137.63</v>
      </c>
      <c r="AD82" s="25">
        <f>ROUND(角色星盘!E$23*R82,2)</f>
        <v>66.64</v>
      </c>
      <c r="AE82" s="59" t="s">
        <v>128</v>
      </c>
      <c r="AF82" s="59" t="s">
        <v>137</v>
      </c>
      <c r="AG82" s="59" t="s">
        <v>146</v>
      </c>
      <c r="AH82" s="59">
        <v>0.9</v>
      </c>
      <c r="AI82" s="59">
        <v>0.75</v>
      </c>
      <c r="AJ82" s="59">
        <v>1.35</v>
      </c>
      <c r="AK82" s="59">
        <v>0.9</v>
      </c>
      <c r="AL82" s="25">
        <f>VLOOKUP(C82,专武!$M$45:$N$47,2,0)</f>
        <v>0.9</v>
      </c>
      <c r="AM82" s="25">
        <f t="shared" si="27"/>
        <v>0.648</v>
      </c>
      <c r="AN82" s="25">
        <f t="shared" si="28"/>
        <v>0.81</v>
      </c>
      <c r="AO82" s="25">
        <f t="shared" si="29"/>
        <v>1.458</v>
      </c>
      <c r="AP82" s="25">
        <f t="shared" si="30"/>
        <v>0.81</v>
      </c>
      <c r="AQ82" s="25">
        <f>AM82*专武!B$27</f>
        <v>1944</v>
      </c>
      <c r="AR82" s="25">
        <f>ROUND(AQ82/专武!$C$19*专武!$C$20,2)</f>
        <v>183.6</v>
      </c>
      <c r="AS82" s="25">
        <f>AN82*专武!C$27</f>
        <v>729</v>
      </c>
      <c r="AT82" s="25">
        <f>ROUND(AS82/专武!$C$19*专武!$C$20,2)</f>
        <v>68.85</v>
      </c>
      <c r="AU82" s="25">
        <f>AO82*专武!C$27</f>
        <v>1312.2</v>
      </c>
      <c r="AV82" s="25">
        <f>ROUND(AU82/专武!$C$19*专武!$C$20,2)</f>
        <v>123.93</v>
      </c>
      <c r="AW82" s="25">
        <f>AP82*专武!D$27</f>
        <v>486</v>
      </c>
      <c r="AX82" s="25">
        <f>ROUND(AW82/专武!$C$19*专武!$C$20,2)</f>
        <v>45.9</v>
      </c>
      <c r="AY82" s="59" t="s">
        <v>137</v>
      </c>
      <c r="AZ82" s="59" t="s">
        <v>142</v>
      </c>
      <c r="BA82" s="59" t="s">
        <v>146</v>
      </c>
    </row>
    <row r="83" spans="2:53">
      <c r="B83" s="65" t="s">
        <v>932</v>
      </c>
      <c r="C83" s="61" t="s">
        <v>157</v>
      </c>
      <c r="D83" s="29" t="s">
        <v>851</v>
      </c>
      <c r="E83" s="25" t="s">
        <v>863</v>
      </c>
      <c r="F83" s="25">
        <f t="shared" si="18"/>
        <v>1.2</v>
      </c>
      <c r="G83" s="25">
        <f t="shared" si="19"/>
        <v>0.6</v>
      </c>
      <c r="H83" s="25">
        <f t="shared" si="20"/>
        <v>1.2</v>
      </c>
      <c r="I83" s="59">
        <v>0.97</v>
      </c>
      <c r="J83" s="59">
        <v>1.05</v>
      </c>
      <c r="K83" s="59">
        <v>1</v>
      </c>
      <c r="L83" s="59">
        <v>1.05</v>
      </c>
      <c r="M83" s="59">
        <f t="shared" si="21"/>
        <v>4.07</v>
      </c>
      <c r="N83" s="25">
        <f t="shared" si="22"/>
        <v>0.7</v>
      </c>
      <c r="O83" s="25">
        <f t="shared" si="23"/>
        <v>0.8148</v>
      </c>
      <c r="P83" s="25">
        <f t="shared" si="24"/>
        <v>0.41895</v>
      </c>
      <c r="Q83" s="25">
        <f t="shared" si="25"/>
        <v>0.399</v>
      </c>
      <c r="R83" s="25">
        <f t="shared" si="26"/>
        <v>0.882</v>
      </c>
      <c r="S83" s="62">
        <f>ROUND(O83*养成属性规划!$D$36,0)</f>
        <v>4074</v>
      </c>
      <c r="T83" s="62">
        <f>S83*角色升级升阶!$C$5</f>
        <v>325.92</v>
      </c>
      <c r="U83" s="62">
        <f>ROUND(P83*养成属性规划!$E$36,0)</f>
        <v>628</v>
      </c>
      <c r="V83" s="62">
        <f>U83*角色升级升阶!$C$5</f>
        <v>50.24</v>
      </c>
      <c r="W83" s="62">
        <f>ROUND(Q83*养成属性规划!$E$36,0)</f>
        <v>599</v>
      </c>
      <c r="X83" s="62">
        <f>W83*角色升级升阶!$C$5</f>
        <v>47.92</v>
      </c>
      <c r="Y83" s="62">
        <f>ROUND(R83*养成属性规划!$F$36,0)</f>
        <v>882</v>
      </c>
      <c r="Z83" s="62">
        <f>Y83*角色升级升阶!$C$5</f>
        <v>70.56</v>
      </c>
      <c r="AA83" s="25">
        <f>ROUND(角色星盘!C$23*O83,2)</f>
        <v>347.1</v>
      </c>
      <c r="AB83" s="25">
        <f>ROUND(角色星盘!D$23*P83,2)</f>
        <v>53.63</v>
      </c>
      <c r="AC83" s="25">
        <f>ROUND(角色星盘!D$23*Q83,2)</f>
        <v>51.07</v>
      </c>
      <c r="AD83" s="25">
        <f>ROUND(角色星盘!E$23*R83,2)</f>
        <v>74.97</v>
      </c>
      <c r="AE83" s="59" t="s">
        <v>128</v>
      </c>
      <c r="AF83" s="59" t="s">
        <v>136</v>
      </c>
      <c r="AG83" s="59" t="s">
        <v>143</v>
      </c>
      <c r="AH83" s="59">
        <v>1.2</v>
      </c>
      <c r="AI83" s="59">
        <v>0.75</v>
      </c>
      <c r="AJ83" s="59">
        <v>0.75</v>
      </c>
      <c r="AK83" s="59">
        <v>1.3</v>
      </c>
      <c r="AL83" s="25">
        <f>VLOOKUP(C83,专武!$M$45:$N$47,2,0)</f>
        <v>0.8</v>
      </c>
      <c r="AM83" s="25">
        <f t="shared" si="27"/>
        <v>1.152</v>
      </c>
      <c r="AN83" s="25">
        <f t="shared" si="28"/>
        <v>0.36</v>
      </c>
      <c r="AO83" s="25">
        <f t="shared" si="29"/>
        <v>0.36</v>
      </c>
      <c r="AP83" s="25">
        <f t="shared" si="30"/>
        <v>1.248</v>
      </c>
      <c r="AQ83" s="25">
        <f>AM83*专武!B$27</f>
        <v>3456</v>
      </c>
      <c r="AR83" s="25">
        <f>ROUND(AQ83/专武!$C$19*专武!$C$20,2)</f>
        <v>326.4</v>
      </c>
      <c r="AS83" s="25">
        <f>AN83*专武!C$27</f>
        <v>324</v>
      </c>
      <c r="AT83" s="25">
        <f>ROUND(AS83/专武!$C$19*专武!$C$20,2)</f>
        <v>30.6</v>
      </c>
      <c r="AU83" s="25">
        <f>AO83*专武!C$27</f>
        <v>324</v>
      </c>
      <c r="AV83" s="25">
        <f>ROUND(AU83/专武!$C$19*专武!$C$20,2)</f>
        <v>30.6</v>
      </c>
      <c r="AW83" s="25">
        <f>AP83*专武!D$27</f>
        <v>748.8</v>
      </c>
      <c r="AX83" s="25">
        <f>ROUND(AW83/专武!$C$19*专武!$C$20,2)</f>
        <v>70.72</v>
      </c>
      <c r="AY83" s="59" t="s">
        <v>231</v>
      </c>
      <c r="AZ83" s="59" t="s">
        <v>141</v>
      </c>
      <c r="BA83" s="59" t="s">
        <v>143</v>
      </c>
    </row>
    <row r="84" spans="2:53">
      <c r="B84" s="65" t="s">
        <v>933</v>
      </c>
      <c r="C84" s="61" t="s">
        <v>157</v>
      </c>
      <c r="D84" s="29" t="s">
        <v>854</v>
      </c>
      <c r="E84" s="25" t="s">
        <v>862</v>
      </c>
      <c r="F84" s="25">
        <f t="shared" si="18"/>
        <v>0.8</v>
      </c>
      <c r="G84" s="25">
        <f t="shared" si="19"/>
        <v>1.2</v>
      </c>
      <c r="H84" s="25">
        <f t="shared" si="20"/>
        <v>1</v>
      </c>
      <c r="I84" s="59">
        <v>0.98</v>
      </c>
      <c r="J84" s="59">
        <v>0.98</v>
      </c>
      <c r="K84" s="59">
        <v>1.02</v>
      </c>
      <c r="L84" s="59">
        <v>1.04</v>
      </c>
      <c r="M84" s="59">
        <f t="shared" si="21"/>
        <v>4.02</v>
      </c>
      <c r="N84" s="25">
        <f t="shared" si="22"/>
        <v>0.7</v>
      </c>
      <c r="O84" s="25">
        <f t="shared" si="23"/>
        <v>0.5488</v>
      </c>
      <c r="P84" s="25">
        <f t="shared" si="24"/>
        <v>0.65856</v>
      </c>
      <c r="Q84" s="25">
        <f t="shared" si="25"/>
        <v>0.8568</v>
      </c>
      <c r="R84" s="25">
        <f t="shared" si="26"/>
        <v>0.728</v>
      </c>
      <c r="S84" s="62">
        <f>ROUND(O84*养成属性规划!$D$36,0)</f>
        <v>2744</v>
      </c>
      <c r="T84" s="62">
        <f>S84*角色升级升阶!$C$5</f>
        <v>219.52</v>
      </c>
      <c r="U84" s="62">
        <f>ROUND(P84*养成属性规划!$E$36,0)</f>
        <v>988</v>
      </c>
      <c r="V84" s="62">
        <f>U84*角色升级升阶!$C$5</f>
        <v>79.04</v>
      </c>
      <c r="W84" s="62">
        <f>ROUND(Q84*养成属性规划!$E$36,0)</f>
        <v>1285</v>
      </c>
      <c r="X84" s="62">
        <f>W84*角色升级升阶!$C$5</f>
        <v>102.8</v>
      </c>
      <c r="Y84" s="62">
        <f>ROUND(R84*养成属性规划!$F$36,0)</f>
        <v>728</v>
      </c>
      <c r="Z84" s="62">
        <f>Y84*角色升级升阶!$C$5</f>
        <v>58.24</v>
      </c>
      <c r="AA84" s="25">
        <f>ROUND(角色星盘!C$23*O84,2)</f>
        <v>233.79</v>
      </c>
      <c r="AB84" s="25">
        <f>ROUND(角色星盘!D$23*P84,2)</f>
        <v>84.3</v>
      </c>
      <c r="AC84" s="25">
        <f>ROUND(角色星盘!D$23*Q84,2)</f>
        <v>109.67</v>
      </c>
      <c r="AD84" s="25">
        <f>ROUND(角色星盘!E$23*R84,2)</f>
        <v>61.88</v>
      </c>
      <c r="AE84" s="59" t="s">
        <v>128</v>
      </c>
      <c r="AF84" s="59" t="s">
        <v>143</v>
      </c>
      <c r="AG84" s="59" t="s">
        <v>136</v>
      </c>
      <c r="AH84" s="59">
        <v>0.9</v>
      </c>
      <c r="AI84" s="59">
        <v>0.8</v>
      </c>
      <c r="AJ84" s="59">
        <v>1.3</v>
      </c>
      <c r="AK84" s="59">
        <v>1</v>
      </c>
      <c r="AL84" s="25">
        <f>VLOOKUP(C84,专武!$M$45:$N$47,2,0)</f>
        <v>0.8</v>
      </c>
      <c r="AM84" s="25">
        <f t="shared" si="27"/>
        <v>0.576</v>
      </c>
      <c r="AN84" s="25">
        <f t="shared" si="28"/>
        <v>0.768</v>
      </c>
      <c r="AO84" s="25">
        <f t="shared" si="29"/>
        <v>1.248</v>
      </c>
      <c r="AP84" s="25">
        <f t="shared" si="30"/>
        <v>0.8</v>
      </c>
      <c r="AQ84" s="25">
        <f>AM84*专武!B$27</f>
        <v>1728</v>
      </c>
      <c r="AR84" s="25">
        <f>ROUND(AQ84/专武!$C$19*专武!$C$20,2)</f>
        <v>163.2</v>
      </c>
      <c r="AS84" s="25">
        <f>AN84*专武!C$27</f>
        <v>691.2</v>
      </c>
      <c r="AT84" s="25">
        <f>ROUND(AS84/专武!$C$19*专武!$C$20,2)</f>
        <v>65.28</v>
      </c>
      <c r="AU84" s="25">
        <f>AO84*专武!C$27</f>
        <v>1123.2</v>
      </c>
      <c r="AV84" s="25">
        <f>ROUND(AU84/专武!$C$19*专武!$C$20,2)</f>
        <v>106.08</v>
      </c>
      <c r="AW84" s="25">
        <f>AP84*专武!D$27</f>
        <v>480</v>
      </c>
      <c r="AX84" s="25">
        <f>ROUND(AW84/专武!$C$19*专武!$C$20,2)</f>
        <v>45.33</v>
      </c>
      <c r="AY84" s="59" t="s">
        <v>137</v>
      </c>
      <c r="AZ84" s="59" t="s">
        <v>141</v>
      </c>
      <c r="BA84" s="59" t="s">
        <v>144</v>
      </c>
    </row>
    <row r="85" spans="2:53">
      <c r="B85" s="65" t="s">
        <v>934</v>
      </c>
      <c r="C85" s="61" t="s">
        <v>157</v>
      </c>
      <c r="D85" s="29" t="s">
        <v>853</v>
      </c>
      <c r="E85" s="25" t="s">
        <v>863</v>
      </c>
      <c r="F85" s="25">
        <f t="shared" si="18"/>
        <v>1.05</v>
      </c>
      <c r="G85" s="25">
        <f t="shared" si="19"/>
        <v>0.95</v>
      </c>
      <c r="H85" s="25">
        <f t="shared" si="20"/>
        <v>1</v>
      </c>
      <c r="I85" s="59">
        <v>0.98</v>
      </c>
      <c r="J85" s="59">
        <v>0.98</v>
      </c>
      <c r="K85" s="59">
        <v>1.02</v>
      </c>
      <c r="L85" s="59">
        <v>1.04</v>
      </c>
      <c r="M85" s="59">
        <f t="shared" si="21"/>
        <v>4.02</v>
      </c>
      <c r="N85" s="25">
        <f t="shared" si="22"/>
        <v>0.7</v>
      </c>
      <c r="O85" s="25">
        <f t="shared" si="23"/>
        <v>0.7203</v>
      </c>
      <c r="P85" s="25">
        <f t="shared" si="24"/>
        <v>0.619115</v>
      </c>
      <c r="Q85" s="25">
        <f t="shared" si="25"/>
        <v>0.644385</v>
      </c>
      <c r="R85" s="25">
        <f t="shared" si="26"/>
        <v>0.728</v>
      </c>
      <c r="S85" s="62">
        <f>ROUND(O85*养成属性规划!$D$36,0)</f>
        <v>3602</v>
      </c>
      <c r="T85" s="62">
        <f>S85*角色升级升阶!$C$5</f>
        <v>288.16</v>
      </c>
      <c r="U85" s="62">
        <f>ROUND(P85*养成属性规划!$E$36,0)</f>
        <v>929</v>
      </c>
      <c r="V85" s="62">
        <f>U85*角色升级升阶!$C$5</f>
        <v>74.32</v>
      </c>
      <c r="W85" s="62">
        <f>ROUND(Q85*养成属性规划!$E$36,0)</f>
        <v>967</v>
      </c>
      <c r="X85" s="62">
        <f>W85*角色升级升阶!$C$5</f>
        <v>77.36</v>
      </c>
      <c r="Y85" s="62">
        <f>ROUND(R85*养成属性规划!$F$36,0)</f>
        <v>728</v>
      </c>
      <c r="Z85" s="62">
        <f>Y85*角色升级升阶!$C$5</f>
        <v>58.24</v>
      </c>
      <c r="AA85" s="25">
        <f>ROUND(角色星盘!C$23*O85,2)</f>
        <v>306.85</v>
      </c>
      <c r="AB85" s="25">
        <f>ROUND(角色星盘!D$23*P85,2)</f>
        <v>79.25</v>
      </c>
      <c r="AC85" s="25">
        <f>ROUND(角色星盘!D$23*Q85,2)</f>
        <v>82.48</v>
      </c>
      <c r="AD85" s="25">
        <f>ROUND(角色星盘!E$23*R85,2)</f>
        <v>61.88</v>
      </c>
      <c r="AE85" s="59" t="s">
        <v>128</v>
      </c>
      <c r="AF85" s="59" t="s">
        <v>143</v>
      </c>
      <c r="AG85" s="59" t="s">
        <v>136</v>
      </c>
      <c r="AH85" s="59">
        <v>0.9</v>
      </c>
      <c r="AI85" s="59">
        <v>1.15</v>
      </c>
      <c r="AJ85" s="59">
        <v>1.15</v>
      </c>
      <c r="AK85" s="59">
        <v>0.8</v>
      </c>
      <c r="AL85" s="25">
        <f>VLOOKUP(C85,专武!$M$45:$N$47,2,0)</f>
        <v>0.8</v>
      </c>
      <c r="AM85" s="25">
        <f t="shared" si="27"/>
        <v>0.756</v>
      </c>
      <c r="AN85" s="25">
        <f t="shared" si="28"/>
        <v>0.874</v>
      </c>
      <c r="AO85" s="25">
        <f t="shared" si="29"/>
        <v>0.874</v>
      </c>
      <c r="AP85" s="25">
        <f t="shared" si="30"/>
        <v>0.64</v>
      </c>
      <c r="AQ85" s="25">
        <f>AM85*专武!B$27</f>
        <v>2268</v>
      </c>
      <c r="AR85" s="25">
        <f>ROUND(AQ85/专武!$C$19*专武!$C$20,2)</f>
        <v>214.2</v>
      </c>
      <c r="AS85" s="25">
        <f>AN85*专武!C$27</f>
        <v>786.6</v>
      </c>
      <c r="AT85" s="25">
        <f>ROUND(AS85/专武!$C$19*专武!$C$20,2)</f>
        <v>74.29</v>
      </c>
      <c r="AU85" s="25">
        <f>AO85*专武!C$27</f>
        <v>786.6</v>
      </c>
      <c r="AV85" s="25">
        <f>ROUND(AU85/专武!$C$19*专武!$C$20,2)</f>
        <v>74.29</v>
      </c>
      <c r="AW85" s="25">
        <f>AP85*专武!D$27</f>
        <v>384</v>
      </c>
      <c r="AX85" s="25">
        <f>ROUND(AW85/专武!$C$19*专武!$C$20,2)</f>
        <v>36.27</v>
      </c>
      <c r="AY85" s="59" t="s">
        <v>128</v>
      </c>
      <c r="AZ85" s="59" t="s">
        <v>141</v>
      </c>
      <c r="BA85" s="59" t="s">
        <v>144</v>
      </c>
    </row>
    <row r="86" spans="2:53">
      <c r="B86" s="65" t="s">
        <v>935</v>
      </c>
      <c r="C86" s="61" t="s">
        <v>157</v>
      </c>
      <c r="D86" s="29" t="s">
        <v>854</v>
      </c>
      <c r="E86" s="25" t="s">
        <v>862</v>
      </c>
      <c r="F86" s="25">
        <f t="shared" si="18"/>
        <v>0.8</v>
      </c>
      <c r="G86" s="25">
        <f t="shared" si="19"/>
        <v>1.2</v>
      </c>
      <c r="H86" s="25">
        <f t="shared" si="20"/>
        <v>1</v>
      </c>
      <c r="I86" s="59">
        <v>0.98</v>
      </c>
      <c r="J86" s="59">
        <v>0.98</v>
      </c>
      <c r="K86" s="59">
        <v>1.02</v>
      </c>
      <c r="L86" s="59">
        <v>1.04</v>
      </c>
      <c r="M86" s="59">
        <f t="shared" si="21"/>
        <v>4.02</v>
      </c>
      <c r="N86" s="25">
        <f t="shared" si="22"/>
        <v>0.7</v>
      </c>
      <c r="O86" s="25">
        <f t="shared" si="23"/>
        <v>0.5488</v>
      </c>
      <c r="P86" s="25">
        <f t="shared" si="24"/>
        <v>0.65856</v>
      </c>
      <c r="Q86" s="25">
        <f t="shared" si="25"/>
        <v>0.8568</v>
      </c>
      <c r="R86" s="25">
        <f t="shared" si="26"/>
        <v>0.728</v>
      </c>
      <c r="S86" s="62">
        <f>ROUND(O86*养成属性规划!$D$36,0)</f>
        <v>2744</v>
      </c>
      <c r="T86" s="62">
        <f>S86*角色升级升阶!$C$5</f>
        <v>219.52</v>
      </c>
      <c r="U86" s="62">
        <f>ROUND(P86*养成属性规划!$E$36,0)</f>
        <v>988</v>
      </c>
      <c r="V86" s="62">
        <f>U86*角色升级升阶!$C$5</f>
        <v>79.04</v>
      </c>
      <c r="W86" s="62">
        <f>ROUND(Q86*养成属性规划!$E$36,0)</f>
        <v>1285</v>
      </c>
      <c r="X86" s="62">
        <f>W86*角色升级升阶!$C$5</f>
        <v>102.8</v>
      </c>
      <c r="Y86" s="62">
        <f>ROUND(R86*养成属性规划!$F$36,0)</f>
        <v>728</v>
      </c>
      <c r="Z86" s="62">
        <f>Y86*角色升级升阶!$C$5</f>
        <v>58.24</v>
      </c>
      <c r="AA86" s="25">
        <f>ROUND(角色星盘!C$23*O86,2)</f>
        <v>233.79</v>
      </c>
      <c r="AB86" s="25">
        <f>ROUND(角色星盘!D$23*P86,2)</f>
        <v>84.3</v>
      </c>
      <c r="AC86" s="25">
        <f>ROUND(角色星盘!D$23*Q86,2)</f>
        <v>109.67</v>
      </c>
      <c r="AD86" s="25">
        <f>ROUND(角色星盘!E$23*R86,2)</f>
        <v>61.88</v>
      </c>
      <c r="AE86" s="59" t="s">
        <v>128</v>
      </c>
      <c r="AF86" s="59" t="s">
        <v>143</v>
      </c>
      <c r="AG86" s="59" t="s">
        <v>136</v>
      </c>
      <c r="AH86" s="59">
        <v>0.9</v>
      </c>
      <c r="AI86" s="59">
        <v>0.8</v>
      </c>
      <c r="AJ86" s="59">
        <v>1.3</v>
      </c>
      <c r="AK86" s="59">
        <v>1</v>
      </c>
      <c r="AL86" s="25">
        <f>VLOOKUP(C86,专武!$M$45:$N$47,2,0)</f>
        <v>0.8</v>
      </c>
      <c r="AM86" s="25">
        <f t="shared" si="27"/>
        <v>0.576</v>
      </c>
      <c r="AN86" s="25">
        <f t="shared" si="28"/>
        <v>0.768</v>
      </c>
      <c r="AO86" s="25">
        <f t="shared" si="29"/>
        <v>1.248</v>
      </c>
      <c r="AP86" s="25">
        <f t="shared" si="30"/>
        <v>0.8</v>
      </c>
      <c r="AQ86" s="25">
        <f>AM86*专武!B$27</f>
        <v>1728</v>
      </c>
      <c r="AR86" s="25">
        <f>ROUND(AQ86/专武!$C$19*专武!$C$20,2)</f>
        <v>163.2</v>
      </c>
      <c r="AS86" s="25">
        <f>AN86*专武!C$27</f>
        <v>691.2</v>
      </c>
      <c r="AT86" s="25">
        <f>ROUND(AS86/专武!$C$19*专武!$C$20,2)</f>
        <v>65.28</v>
      </c>
      <c r="AU86" s="25">
        <f>AO86*专武!C$27</f>
        <v>1123.2</v>
      </c>
      <c r="AV86" s="25">
        <f>ROUND(AU86/专武!$C$19*专武!$C$20,2)</f>
        <v>106.08</v>
      </c>
      <c r="AW86" s="25">
        <f>AP86*专武!D$27</f>
        <v>480</v>
      </c>
      <c r="AX86" s="25">
        <f>ROUND(AW86/专武!$C$19*专武!$C$20,2)</f>
        <v>45.33</v>
      </c>
      <c r="AY86" s="59" t="s">
        <v>128</v>
      </c>
      <c r="AZ86" s="59" t="s">
        <v>141</v>
      </c>
      <c r="BA86" s="59" t="s">
        <v>144</v>
      </c>
    </row>
    <row r="87" spans="2:53">
      <c r="B87" s="65" t="s">
        <v>936</v>
      </c>
      <c r="C87" s="61" t="s">
        <v>157</v>
      </c>
      <c r="D87" s="29" t="s">
        <v>855</v>
      </c>
      <c r="E87" s="25" t="s">
        <v>863</v>
      </c>
      <c r="F87" s="25">
        <f t="shared" si="18"/>
        <v>1.1</v>
      </c>
      <c r="G87" s="25">
        <f t="shared" si="19"/>
        <v>0.85</v>
      </c>
      <c r="H87" s="25">
        <f t="shared" si="20"/>
        <v>1.05</v>
      </c>
      <c r="I87" s="59">
        <v>0.98</v>
      </c>
      <c r="J87" s="59">
        <v>0.98</v>
      </c>
      <c r="K87" s="59">
        <v>1.02</v>
      </c>
      <c r="L87" s="59">
        <v>1.04</v>
      </c>
      <c r="M87" s="59">
        <f t="shared" si="21"/>
        <v>4.02</v>
      </c>
      <c r="N87" s="25">
        <f t="shared" si="22"/>
        <v>0.7</v>
      </c>
      <c r="O87" s="25">
        <f t="shared" si="23"/>
        <v>0.7546</v>
      </c>
      <c r="P87" s="25">
        <f t="shared" si="24"/>
        <v>0.553945</v>
      </c>
      <c r="Q87" s="25">
        <f t="shared" si="25"/>
        <v>0.576555</v>
      </c>
      <c r="R87" s="25">
        <f t="shared" si="26"/>
        <v>0.7644</v>
      </c>
      <c r="S87" s="62">
        <f>ROUND(O87*养成属性规划!$D$36,0)</f>
        <v>3773</v>
      </c>
      <c r="T87" s="62">
        <f>S87*角色升级升阶!$C$5</f>
        <v>301.84</v>
      </c>
      <c r="U87" s="62">
        <f>ROUND(P87*养成属性规划!$E$36,0)</f>
        <v>831</v>
      </c>
      <c r="V87" s="62">
        <f>U87*角色升级升阶!$C$5</f>
        <v>66.48</v>
      </c>
      <c r="W87" s="62">
        <f>ROUND(Q87*养成属性规划!$E$36,0)</f>
        <v>865</v>
      </c>
      <c r="X87" s="62">
        <f>W87*角色升级升阶!$C$5</f>
        <v>69.2</v>
      </c>
      <c r="Y87" s="62">
        <f>ROUND(R87*养成属性规划!$F$36,0)</f>
        <v>764</v>
      </c>
      <c r="Z87" s="62">
        <f>Y87*角色升级升阶!$C$5</f>
        <v>61.12</v>
      </c>
      <c r="AA87" s="25">
        <f>ROUND(角色星盘!C$23*O87,2)</f>
        <v>321.46</v>
      </c>
      <c r="AB87" s="25">
        <f>ROUND(角色星盘!D$23*P87,2)</f>
        <v>70.9</v>
      </c>
      <c r="AC87" s="25">
        <f>ROUND(角色星盘!D$23*Q87,2)</f>
        <v>73.8</v>
      </c>
      <c r="AD87" s="25">
        <f>ROUND(角色星盘!E$23*R87,2)</f>
        <v>64.97</v>
      </c>
      <c r="AE87" s="59" t="s">
        <v>128</v>
      </c>
      <c r="AF87" s="59" t="s">
        <v>143</v>
      </c>
      <c r="AG87" s="59" t="s">
        <v>136</v>
      </c>
      <c r="AH87" s="59">
        <v>1.1</v>
      </c>
      <c r="AI87" s="59">
        <v>0.9</v>
      </c>
      <c r="AJ87" s="59">
        <v>0.9</v>
      </c>
      <c r="AK87" s="59">
        <v>1.1</v>
      </c>
      <c r="AL87" s="25">
        <f>VLOOKUP(C87,专武!$M$45:$N$47,2,0)</f>
        <v>0.8</v>
      </c>
      <c r="AM87" s="25">
        <f t="shared" si="27"/>
        <v>0.968</v>
      </c>
      <c r="AN87" s="25">
        <f t="shared" si="28"/>
        <v>0.612</v>
      </c>
      <c r="AO87" s="25">
        <f t="shared" si="29"/>
        <v>0.612</v>
      </c>
      <c r="AP87" s="25">
        <f t="shared" si="30"/>
        <v>0.924</v>
      </c>
      <c r="AQ87" s="25">
        <f>AM87*专武!B$27</f>
        <v>2904</v>
      </c>
      <c r="AR87" s="25">
        <f>ROUND(AQ87/专武!$C$19*专武!$C$20,2)</f>
        <v>274.27</v>
      </c>
      <c r="AS87" s="25">
        <f>AN87*专武!C$27</f>
        <v>550.8</v>
      </c>
      <c r="AT87" s="25">
        <f>ROUND(AS87/专武!$C$19*专武!$C$20,2)</f>
        <v>52.02</v>
      </c>
      <c r="AU87" s="25">
        <f>AO87*专武!C$27</f>
        <v>550.8</v>
      </c>
      <c r="AV87" s="25">
        <f>ROUND(AU87/专武!$C$19*专武!$C$20,2)</f>
        <v>52.02</v>
      </c>
      <c r="AW87" s="25">
        <f>AP87*专武!D$27</f>
        <v>554.4</v>
      </c>
      <c r="AX87" s="25">
        <f>ROUND(AW87/专武!$C$19*专武!$C$20,2)</f>
        <v>52.36</v>
      </c>
      <c r="AY87" s="59" t="s">
        <v>145</v>
      </c>
      <c r="AZ87" s="59" t="s">
        <v>141</v>
      </c>
      <c r="BA87" s="59" t="s">
        <v>144</v>
      </c>
    </row>
    <row r="88" spans="2:53">
      <c r="B88" s="65" t="s">
        <v>937</v>
      </c>
      <c r="C88" s="61" t="s">
        <v>157</v>
      </c>
      <c r="D88" s="29" t="s">
        <v>854</v>
      </c>
      <c r="E88" s="25" t="s">
        <v>863</v>
      </c>
      <c r="F88" s="25">
        <f t="shared" si="18"/>
        <v>0.8</v>
      </c>
      <c r="G88" s="25">
        <f t="shared" si="19"/>
        <v>1.2</v>
      </c>
      <c r="H88" s="25">
        <f t="shared" si="20"/>
        <v>1</v>
      </c>
      <c r="I88" s="59">
        <v>0.98</v>
      </c>
      <c r="J88" s="59">
        <v>0.98</v>
      </c>
      <c r="K88" s="59">
        <v>1.02</v>
      </c>
      <c r="L88" s="59">
        <v>1.04</v>
      </c>
      <c r="M88" s="59">
        <f t="shared" si="21"/>
        <v>4.02</v>
      </c>
      <c r="N88" s="25">
        <f t="shared" si="22"/>
        <v>0.7</v>
      </c>
      <c r="O88" s="25">
        <f t="shared" si="23"/>
        <v>0.5488</v>
      </c>
      <c r="P88" s="25">
        <f t="shared" si="24"/>
        <v>0.78204</v>
      </c>
      <c r="Q88" s="25">
        <f t="shared" si="25"/>
        <v>0.81396</v>
      </c>
      <c r="R88" s="25">
        <f t="shared" si="26"/>
        <v>0.728</v>
      </c>
      <c r="S88" s="62">
        <f>ROUND(O88*养成属性规划!$D$36,0)</f>
        <v>2744</v>
      </c>
      <c r="T88" s="62">
        <f>S88*角色升级升阶!$C$5</f>
        <v>219.52</v>
      </c>
      <c r="U88" s="62">
        <f>ROUND(P88*养成属性规划!$E$36,0)</f>
        <v>1173</v>
      </c>
      <c r="V88" s="62">
        <f>U88*角色升级升阶!$C$5</f>
        <v>93.84</v>
      </c>
      <c r="W88" s="62">
        <f>ROUND(Q88*养成属性规划!$E$36,0)</f>
        <v>1221</v>
      </c>
      <c r="X88" s="62">
        <f>W88*角色升级升阶!$C$5</f>
        <v>97.68</v>
      </c>
      <c r="Y88" s="62">
        <f>ROUND(R88*养成属性规划!$F$36,0)</f>
        <v>728</v>
      </c>
      <c r="Z88" s="62">
        <f>Y88*角色升级升阶!$C$5</f>
        <v>58.24</v>
      </c>
      <c r="AA88" s="25">
        <f>ROUND(角色星盘!C$23*O88,2)</f>
        <v>233.79</v>
      </c>
      <c r="AB88" s="25">
        <f>ROUND(角色星盘!D$23*P88,2)</f>
        <v>100.1</v>
      </c>
      <c r="AC88" s="25">
        <f>ROUND(角色星盘!D$23*Q88,2)</f>
        <v>104.19</v>
      </c>
      <c r="AD88" s="25">
        <f>ROUND(角色星盘!E$23*R88,2)</f>
        <v>61.88</v>
      </c>
      <c r="AE88" s="59" t="s">
        <v>128</v>
      </c>
      <c r="AF88" s="59" t="s">
        <v>143</v>
      </c>
      <c r="AG88" s="59" t="s">
        <v>136</v>
      </c>
      <c r="AH88" s="59">
        <v>0.9</v>
      </c>
      <c r="AI88" s="59">
        <v>1.15</v>
      </c>
      <c r="AJ88" s="59">
        <v>1.15</v>
      </c>
      <c r="AK88" s="59">
        <v>0.8</v>
      </c>
      <c r="AL88" s="25">
        <f>VLOOKUP(C88,专武!$M$45:$N$47,2,0)</f>
        <v>0.8</v>
      </c>
      <c r="AM88" s="25">
        <f t="shared" si="27"/>
        <v>0.576</v>
      </c>
      <c r="AN88" s="25">
        <f t="shared" si="28"/>
        <v>1.104</v>
      </c>
      <c r="AO88" s="25">
        <f t="shared" si="29"/>
        <v>1.104</v>
      </c>
      <c r="AP88" s="25">
        <f t="shared" si="30"/>
        <v>0.64</v>
      </c>
      <c r="AQ88" s="25">
        <f>AM88*专武!B$27</f>
        <v>1728</v>
      </c>
      <c r="AR88" s="25">
        <f>ROUND(AQ88/专武!$C$19*专武!$C$20,2)</f>
        <v>163.2</v>
      </c>
      <c r="AS88" s="25">
        <f>AN88*专武!C$27</f>
        <v>993.6</v>
      </c>
      <c r="AT88" s="25">
        <f>ROUND(AS88/专武!$C$19*专武!$C$20,2)</f>
        <v>93.84</v>
      </c>
      <c r="AU88" s="25">
        <f>AO88*专武!C$27</f>
        <v>993.6</v>
      </c>
      <c r="AV88" s="25">
        <f>ROUND(AU88/专武!$C$19*专武!$C$20,2)</f>
        <v>93.84</v>
      </c>
      <c r="AW88" s="25">
        <f>AP88*专武!D$27</f>
        <v>384</v>
      </c>
      <c r="AX88" s="25">
        <f>ROUND(AW88/专武!$C$19*专武!$C$20,2)</f>
        <v>36.27</v>
      </c>
      <c r="AY88" s="59" t="s">
        <v>138</v>
      </c>
      <c r="AZ88" s="59" t="s">
        <v>141</v>
      </c>
      <c r="BA88" s="59" t="s">
        <v>144</v>
      </c>
    </row>
    <row r="89" spans="2:53">
      <c r="B89" s="65" t="s">
        <v>938</v>
      </c>
      <c r="C89" s="61" t="s">
        <v>157</v>
      </c>
      <c r="D89" s="29" t="s">
        <v>852</v>
      </c>
      <c r="E89" s="25" t="s">
        <v>861</v>
      </c>
      <c r="F89" s="25">
        <f t="shared" si="18"/>
        <v>0.9</v>
      </c>
      <c r="G89" s="25">
        <f t="shared" si="19"/>
        <v>1.1</v>
      </c>
      <c r="H89" s="25">
        <f t="shared" si="20"/>
        <v>1</v>
      </c>
      <c r="I89" s="59">
        <v>0.98</v>
      </c>
      <c r="J89" s="59">
        <v>0.98</v>
      </c>
      <c r="K89" s="59">
        <v>1.02</v>
      </c>
      <c r="L89" s="59">
        <v>1.04</v>
      </c>
      <c r="M89" s="59">
        <f t="shared" si="21"/>
        <v>4.02</v>
      </c>
      <c r="N89" s="25">
        <f t="shared" si="22"/>
        <v>0.7</v>
      </c>
      <c r="O89" s="25">
        <f t="shared" si="23"/>
        <v>0.6174</v>
      </c>
      <c r="P89" s="25">
        <f t="shared" si="24"/>
        <v>0.7546</v>
      </c>
      <c r="Q89" s="25">
        <f t="shared" si="25"/>
        <v>0.62832</v>
      </c>
      <c r="R89" s="25">
        <f t="shared" si="26"/>
        <v>0.728</v>
      </c>
      <c r="S89" s="62">
        <f>ROUND(O89*养成属性规划!$D$36,0)</f>
        <v>3087</v>
      </c>
      <c r="T89" s="62">
        <f>S89*角色升级升阶!$C$5</f>
        <v>246.96</v>
      </c>
      <c r="U89" s="62">
        <f>ROUND(P89*养成属性规划!$E$36,0)</f>
        <v>1132</v>
      </c>
      <c r="V89" s="62">
        <f>U89*角色升级升阶!$C$5</f>
        <v>90.56</v>
      </c>
      <c r="W89" s="62">
        <f>ROUND(Q89*养成属性规划!$E$36,0)</f>
        <v>942</v>
      </c>
      <c r="X89" s="62">
        <f>W89*角色升级升阶!$C$5</f>
        <v>75.36</v>
      </c>
      <c r="Y89" s="62">
        <f>ROUND(R89*养成属性规划!$F$36,0)</f>
        <v>728</v>
      </c>
      <c r="Z89" s="62">
        <f>Y89*角色升级升阶!$C$5</f>
        <v>58.24</v>
      </c>
      <c r="AA89" s="25">
        <f>ROUND(角色星盘!C$23*O89,2)</f>
        <v>263.01</v>
      </c>
      <c r="AB89" s="25">
        <f>ROUND(角色星盘!D$23*P89,2)</f>
        <v>96.59</v>
      </c>
      <c r="AC89" s="25">
        <f>ROUND(角色星盘!D$23*Q89,2)</f>
        <v>80.42</v>
      </c>
      <c r="AD89" s="25">
        <f>ROUND(角色星盘!E$23*R89,2)</f>
        <v>61.88</v>
      </c>
      <c r="AE89" s="59" t="s">
        <v>128</v>
      </c>
      <c r="AF89" s="59" t="s">
        <v>143</v>
      </c>
      <c r="AG89" s="59" t="s">
        <v>136</v>
      </c>
      <c r="AH89" s="59">
        <v>0.95</v>
      </c>
      <c r="AI89" s="59">
        <v>1.25</v>
      </c>
      <c r="AJ89" s="59">
        <v>0.8</v>
      </c>
      <c r="AK89" s="59">
        <v>1</v>
      </c>
      <c r="AL89" s="25">
        <f>VLOOKUP(C89,专武!$M$45:$N$47,2,0)</f>
        <v>0.8</v>
      </c>
      <c r="AM89" s="25">
        <f t="shared" si="27"/>
        <v>0.684</v>
      </c>
      <c r="AN89" s="25">
        <f t="shared" si="28"/>
        <v>1.1</v>
      </c>
      <c r="AO89" s="25">
        <f t="shared" si="29"/>
        <v>0.704</v>
      </c>
      <c r="AP89" s="25">
        <f t="shared" si="30"/>
        <v>0.8</v>
      </c>
      <c r="AQ89" s="25">
        <f>AM89*专武!B$27</f>
        <v>2052</v>
      </c>
      <c r="AR89" s="25">
        <f>ROUND(AQ89/专武!$C$19*专武!$C$20,2)</f>
        <v>193.8</v>
      </c>
      <c r="AS89" s="25">
        <f>AN89*专武!C$27</f>
        <v>990</v>
      </c>
      <c r="AT89" s="25">
        <f>ROUND(AS89/专武!$C$19*专武!$C$20,2)</f>
        <v>93.5</v>
      </c>
      <c r="AU89" s="25">
        <f>AO89*专武!C$27</f>
        <v>633.6</v>
      </c>
      <c r="AV89" s="25">
        <f>ROUND(AU89/专武!$C$19*专武!$C$20,2)</f>
        <v>59.84</v>
      </c>
      <c r="AW89" s="25">
        <f>AP89*专武!D$27</f>
        <v>480</v>
      </c>
      <c r="AX89" s="25">
        <f>ROUND(AW89/专武!$C$19*专武!$C$20,2)</f>
        <v>45.33</v>
      </c>
      <c r="AY89" s="59" t="s">
        <v>136</v>
      </c>
      <c r="AZ89" s="59" t="s">
        <v>141</v>
      </c>
      <c r="BA89" s="59" t="s">
        <v>144</v>
      </c>
    </row>
    <row r="90" spans="2:53">
      <c r="B90" s="65" t="s">
        <v>939</v>
      </c>
      <c r="C90" s="61" t="s">
        <v>157</v>
      </c>
      <c r="D90" s="29" t="s">
        <v>855</v>
      </c>
      <c r="E90" s="25" t="s">
        <v>863</v>
      </c>
      <c r="F90" s="25">
        <f t="shared" si="18"/>
        <v>1.1</v>
      </c>
      <c r="G90" s="25">
        <f t="shared" si="19"/>
        <v>0.85</v>
      </c>
      <c r="H90" s="25">
        <f t="shared" si="20"/>
        <v>1.05</v>
      </c>
      <c r="I90" s="59">
        <v>1</v>
      </c>
      <c r="J90" s="59">
        <v>0.92</v>
      </c>
      <c r="K90" s="59">
        <v>0.92</v>
      </c>
      <c r="L90" s="59">
        <v>1</v>
      </c>
      <c r="M90" s="59">
        <f t="shared" si="21"/>
        <v>3.84</v>
      </c>
      <c r="N90" s="25">
        <f t="shared" si="22"/>
        <v>0.7</v>
      </c>
      <c r="O90" s="25">
        <f t="shared" si="23"/>
        <v>0.77</v>
      </c>
      <c r="P90" s="25">
        <f t="shared" si="24"/>
        <v>0.52003</v>
      </c>
      <c r="Q90" s="25">
        <f t="shared" si="25"/>
        <v>0.52003</v>
      </c>
      <c r="R90" s="25">
        <f t="shared" si="26"/>
        <v>0.735</v>
      </c>
      <c r="S90" s="62">
        <f>ROUND(O90*养成属性规划!$D$36,0)</f>
        <v>3850</v>
      </c>
      <c r="T90" s="62">
        <f>S90*角色升级升阶!$C$5</f>
        <v>308</v>
      </c>
      <c r="U90" s="62">
        <f>ROUND(P90*养成属性规划!$E$36,0)</f>
        <v>780</v>
      </c>
      <c r="V90" s="62">
        <f>U90*角色升级升阶!$C$5</f>
        <v>62.4</v>
      </c>
      <c r="W90" s="62">
        <f>ROUND(Q90*养成属性规划!$E$36,0)</f>
        <v>780</v>
      </c>
      <c r="X90" s="62">
        <f>W90*角色升级升阶!$C$5</f>
        <v>62.4</v>
      </c>
      <c r="Y90" s="62">
        <f>ROUND(R90*养成属性规划!$F$36,0)</f>
        <v>735</v>
      </c>
      <c r="Z90" s="62">
        <f>Y90*角色升级升阶!$C$5</f>
        <v>58.8</v>
      </c>
      <c r="AA90" s="25">
        <f>ROUND(角色星盘!C$23*O90,2)</f>
        <v>328.02</v>
      </c>
      <c r="AB90" s="25">
        <f>ROUND(角色星盘!D$23*P90,2)</f>
        <v>66.56</v>
      </c>
      <c r="AC90" s="25">
        <f>ROUND(角色星盘!D$23*Q90,2)</f>
        <v>66.56</v>
      </c>
      <c r="AD90" s="25">
        <f>ROUND(角色星盘!E$23*R90,2)</f>
        <v>62.48</v>
      </c>
      <c r="AE90" s="59" t="s">
        <v>146</v>
      </c>
      <c r="AF90" s="59" t="s">
        <v>145</v>
      </c>
      <c r="AG90" s="59" t="s">
        <v>130</v>
      </c>
      <c r="AH90" s="59">
        <v>1</v>
      </c>
      <c r="AI90" s="59">
        <v>0.9</v>
      </c>
      <c r="AJ90" s="59">
        <v>0.9</v>
      </c>
      <c r="AK90" s="59">
        <v>1</v>
      </c>
      <c r="AL90" s="25">
        <f>VLOOKUP(C90,专武!$M$45:$N$47,2,0)</f>
        <v>0.8</v>
      </c>
      <c r="AM90" s="25">
        <f t="shared" si="27"/>
        <v>0.88</v>
      </c>
      <c r="AN90" s="25">
        <f t="shared" si="28"/>
        <v>0.612</v>
      </c>
      <c r="AO90" s="25">
        <f t="shared" si="29"/>
        <v>0.612</v>
      </c>
      <c r="AP90" s="25">
        <f t="shared" si="30"/>
        <v>0.84</v>
      </c>
      <c r="AQ90" s="25">
        <f>AM90*专武!B$27</f>
        <v>2640</v>
      </c>
      <c r="AR90" s="25">
        <f>ROUND(AQ90/专武!$C$19*专武!$C$20,2)</f>
        <v>249.33</v>
      </c>
      <c r="AS90" s="25">
        <f>AN90*专武!C$27</f>
        <v>550.8</v>
      </c>
      <c r="AT90" s="25">
        <f>ROUND(AS90/专武!$C$19*专武!$C$20,2)</f>
        <v>52.02</v>
      </c>
      <c r="AU90" s="25">
        <f>AO90*专武!C$27</f>
        <v>550.8</v>
      </c>
      <c r="AV90" s="25">
        <f>ROUND(AU90/专武!$C$19*专武!$C$20,2)</f>
        <v>52.02</v>
      </c>
      <c r="AW90" s="25">
        <f>AP90*专武!D$27</f>
        <v>504</v>
      </c>
      <c r="AX90" s="25">
        <f>ROUND(AW90/专武!$C$19*专武!$C$20,2)</f>
        <v>47.6</v>
      </c>
      <c r="AY90" s="59" t="s">
        <v>146</v>
      </c>
      <c r="AZ90" s="59" t="s">
        <v>145</v>
      </c>
      <c r="BA90" s="59" t="s">
        <v>130</v>
      </c>
    </row>
    <row r="91" spans="2:53">
      <c r="B91" s="65" t="s">
        <v>940</v>
      </c>
      <c r="C91" s="61" t="s">
        <v>157</v>
      </c>
      <c r="D91" s="29" t="s">
        <v>857</v>
      </c>
      <c r="E91" s="25" t="s">
        <v>862</v>
      </c>
      <c r="F91" s="25">
        <f t="shared" si="18"/>
        <v>1.2</v>
      </c>
      <c r="G91" s="25">
        <f t="shared" si="19"/>
        <v>0.85</v>
      </c>
      <c r="H91" s="25">
        <f t="shared" si="20"/>
        <v>0.95</v>
      </c>
      <c r="I91" s="59">
        <v>1.05</v>
      </c>
      <c r="J91" s="59">
        <v>0.8</v>
      </c>
      <c r="K91" s="59">
        <v>1</v>
      </c>
      <c r="L91" s="59">
        <v>1.05</v>
      </c>
      <c r="M91" s="59">
        <f t="shared" si="21"/>
        <v>3.9</v>
      </c>
      <c r="N91" s="25">
        <f t="shared" si="22"/>
        <v>0.7</v>
      </c>
      <c r="O91" s="25">
        <f t="shared" si="23"/>
        <v>0.882</v>
      </c>
      <c r="P91" s="25">
        <f t="shared" si="24"/>
        <v>0.3808</v>
      </c>
      <c r="Q91" s="25">
        <f t="shared" si="25"/>
        <v>0.595</v>
      </c>
      <c r="R91" s="25">
        <f t="shared" si="26"/>
        <v>0.69825</v>
      </c>
      <c r="S91" s="62">
        <f>ROUND(O91*养成属性规划!$D$36,0)</f>
        <v>4410</v>
      </c>
      <c r="T91" s="62">
        <f>S91*角色升级升阶!$C$5</f>
        <v>352.8</v>
      </c>
      <c r="U91" s="62">
        <f>ROUND(P91*养成属性规划!$E$36,0)</f>
        <v>571</v>
      </c>
      <c r="V91" s="62">
        <f>U91*角色升级升阶!$C$5</f>
        <v>45.68</v>
      </c>
      <c r="W91" s="62">
        <f>ROUND(Q91*养成属性规划!$E$36,0)</f>
        <v>893</v>
      </c>
      <c r="X91" s="62">
        <f>W91*角色升级升阶!$C$5</f>
        <v>71.44</v>
      </c>
      <c r="Y91" s="62">
        <f>ROUND(R91*养成属性规划!$F$36,0)</f>
        <v>698</v>
      </c>
      <c r="Z91" s="62">
        <f>Y91*角色升级升阶!$C$5</f>
        <v>55.84</v>
      </c>
      <c r="AA91" s="25">
        <f>ROUND(角色星盘!C$23*O91,2)</f>
        <v>375.73</v>
      </c>
      <c r="AB91" s="25">
        <f>ROUND(角色星盘!D$23*P91,2)</f>
        <v>48.74</v>
      </c>
      <c r="AC91" s="25">
        <f>ROUND(角色星盘!D$23*Q91,2)</f>
        <v>76.16</v>
      </c>
      <c r="AD91" s="25">
        <f>ROUND(角色星盘!E$23*R91,2)</f>
        <v>59.35</v>
      </c>
      <c r="AE91" s="59" t="s">
        <v>139</v>
      </c>
      <c r="AF91" s="59" t="s">
        <v>146</v>
      </c>
      <c r="AG91" s="59" t="s">
        <v>128</v>
      </c>
      <c r="AH91" s="59">
        <v>1.05</v>
      </c>
      <c r="AI91" s="59">
        <v>0.75</v>
      </c>
      <c r="AJ91" s="59">
        <v>1</v>
      </c>
      <c r="AK91" s="59">
        <v>1.05</v>
      </c>
      <c r="AL91" s="25">
        <f>VLOOKUP(C91,专武!$M$45:$N$47,2,0)</f>
        <v>0.8</v>
      </c>
      <c r="AM91" s="25">
        <f t="shared" si="27"/>
        <v>1.008</v>
      </c>
      <c r="AN91" s="25">
        <f t="shared" si="28"/>
        <v>0.51</v>
      </c>
      <c r="AO91" s="25">
        <f t="shared" si="29"/>
        <v>0.68</v>
      </c>
      <c r="AP91" s="25">
        <f t="shared" si="30"/>
        <v>0.798</v>
      </c>
      <c r="AQ91" s="25">
        <f>AM91*专武!B$27</f>
        <v>3024</v>
      </c>
      <c r="AR91" s="25">
        <f>ROUND(AQ91/专武!$C$19*专武!$C$20,2)</f>
        <v>285.6</v>
      </c>
      <c r="AS91" s="25">
        <f>AN91*专武!C$27</f>
        <v>459</v>
      </c>
      <c r="AT91" s="25">
        <f>ROUND(AS91/专武!$C$19*专武!$C$20,2)</f>
        <v>43.35</v>
      </c>
      <c r="AU91" s="25">
        <f>AO91*专武!C$27</f>
        <v>612</v>
      </c>
      <c r="AV91" s="25">
        <f>ROUND(AU91/专武!$C$19*专武!$C$20,2)</f>
        <v>57.8</v>
      </c>
      <c r="AW91" s="25">
        <f>AP91*专武!D$27</f>
        <v>478.8</v>
      </c>
      <c r="AX91" s="25">
        <f>ROUND(AW91/专武!$C$19*专武!$C$20,2)</f>
        <v>45.22</v>
      </c>
      <c r="AY91" s="59" t="s">
        <v>139</v>
      </c>
      <c r="AZ91" s="59" t="s">
        <v>146</v>
      </c>
      <c r="BA91" s="59" t="s">
        <v>142</v>
      </c>
    </row>
    <row r="92" spans="2:53">
      <c r="B92" s="65" t="s">
        <v>941</v>
      </c>
      <c r="C92" s="61" t="s">
        <v>157</v>
      </c>
      <c r="D92" s="29" t="s">
        <v>854</v>
      </c>
      <c r="E92" s="25" t="s">
        <v>862</v>
      </c>
      <c r="F92" s="25">
        <f t="shared" si="18"/>
        <v>0.8</v>
      </c>
      <c r="G92" s="25">
        <f t="shared" si="19"/>
        <v>1.2</v>
      </c>
      <c r="H92" s="25">
        <f t="shared" si="20"/>
        <v>1</v>
      </c>
      <c r="I92" s="59">
        <v>0.9</v>
      </c>
      <c r="J92" s="59">
        <v>0.8</v>
      </c>
      <c r="K92" s="59">
        <v>1.1</v>
      </c>
      <c r="L92" s="59">
        <v>0.95</v>
      </c>
      <c r="M92" s="59">
        <f t="shared" si="21"/>
        <v>3.75</v>
      </c>
      <c r="N92" s="25">
        <f t="shared" si="22"/>
        <v>0.7</v>
      </c>
      <c r="O92" s="25">
        <f t="shared" si="23"/>
        <v>0.504</v>
      </c>
      <c r="P92" s="25">
        <f t="shared" si="24"/>
        <v>0.5376</v>
      </c>
      <c r="Q92" s="25">
        <f t="shared" si="25"/>
        <v>0.924</v>
      </c>
      <c r="R92" s="25">
        <f t="shared" si="26"/>
        <v>0.665</v>
      </c>
      <c r="S92" s="62">
        <f>ROUND(O92*养成属性规划!$D$36,0)</f>
        <v>2520</v>
      </c>
      <c r="T92" s="62">
        <f>S92*角色升级升阶!$C$5</f>
        <v>201.6</v>
      </c>
      <c r="U92" s="62">
        <f>ROUND(P92*养成属性规划!$E$36,0)</f>
        <v>806</v>
      </c>
      <c r="V92" s="62">
        <f>U92*角色升级升阶!$C$5</f>
        <v>64.48</v>
      </c>
      <c r="W92" s="62">
        <f>ROUND(Q92*养成属性规划!$E$36,0)</f>
        <v>1386</v>
      </c>
      <c r="X92" s="62">
        <f>W92*角色升级升阶!$C$5</f>
        <v>110.88</v>
      </c>
      <c r="Y92" s="62">
        <f>ROUND(R92*养成属性规划!$F$36,0)</f>
        <v>665</v>
      </c>
      <c r="Z92" s="62">
        <f>Y92*角色升级升阶!$C$5</f>
        <v>53.2</v>
      </c>
      <c r="AA92" s="25">
        <f>ROUND(角色星盘!C$23*O92,2)</f>
        <v>214.7</v>
      </c>
      <c r="AB92" s="25">
        <f>ROUND(角色星盘!D$23*P92,2)</f>
        <v>68.81</v>
      </c>
      <c r="AC92" s="25">
        <f>ROUND(角色星盘!D$23*Q92,2)</f>
        <v>118.27</v>
      </c>
      <c r="AD92" s="25">
        <f>ROUND(角色星盘!E$23*R92,2)</f>
        <v>56.53</v>
      </c>
      <c r="AE92" s="59" t="s">
        <v>128</v>
      </c>
      <c r="AF92" s="59" t="s">
        <v>137</v>
      </c>
      <c r="AG92" s="59" t="s">
        <v>143</v>
      </c>
      <c r="AH92" s="59">
        <v>0.85</v>
      </c>
      <c r="AI92" s="59">
        <v>0.75</v>
      </c>
      <c r="AJ92" s="59">
        <v>1.25</v>
      </c>
      <c r="AK92" s="59">
        <v>0.9</v>
      </c>
      <c r="AL92" s="25">
        <f>VLOOKUP(C92,专武!$M$45:$N$47,2,0)</f>
        <v>0.8</v>
      </c>
      <c r="AM92" s="25">
        <f t="shared" si="27"/>
        <v>0.544</v>
      </c>
      <c r="AN92" s="25">
        <f t="shared" si="28"/>
        <v>0.72</v>
      </c>
      <c r="AO92" s="25">
        <f t="shared" si="29"/>
        <v>1.2</v>
      </c>
      <c r="AP92" s="25">
        <f t="shared" si="30"/>
        <v>0.72</v>
      </c>
      <c r="AQ92" s="25">
        <f>AM92*专武!B$27</f>
        <v>1632</v>
      </c>
      <c r="AR92" s="25">
        <f>ROUND(AQ92/专武!$C$19*专武!$C$20,2)</f>
        <v>154.13</v>
      </c>
      <c r="AS92" s="25">
        <f>AN92*专武!C$27</f>
        <v>648</v>
      </c>
      <c r="AT92" s="25">
        <f>ROUND(AS92/专武!$C$19*专武!$C$20,2)</f>
        <v>61.2</v>
      </c>
      <c r="AU92" s="25">
        <f>AO92*专武!C$27</f>
        <v>1080</v>
      </c>
      <c r="AV92" s="25">
        <f>ROUND(AU92/专武!$C$19*专武!$C$20,2)</f>
        <v>102</v>
      </c>
      <c r="AW92" s="25">
        <f>AP92*专武!D$27</f>
        <v>432</v>
      </c>
      <c r="AX92" s="25">
        <f>ROUND(AW92/专武!$C$19*专武!$C$20,2)</f>
        <v>40.8</v>
      </c>
      <c r="AY92" s="59" t="s">
        <v>128</v>
      </c>
      <c r="AZ92" s="59" t="s">
        <v>142</v>
      </c>
      <c r="BA92" s="59" t="s">
        <v>143</v>
      </c>
    </row>
    <row r="93" spans="2:53">
      <c r="B93" s="65" t="s">
        <v>942</v>
      </c>
      <c r="C93" s="61" t="s">
        <v>157</v>
      </c>
      <c r="D93" s="29" t="s">
        <v>856</v>
      </c>
      <c r="E93" s="25" t="s">
        <v>863</v>
      </c>
      <c r="F93" s="25">
        <f t="shared" si="18"/>
        <v>1</v>
      </c>
      <c r="G93" s="25">
        <f t="shared" si="19"/>
        <v>0.9</v>
      </c>
      <c r="H93" s="25">
        <f t="shared" si="20"/>
        <v>1.1</v>
      </c>
      <c r="I93" s="59">
        <v>1</v>
      </c>
      <c r="J93" s="59">
        <v>1.02</v>
      </c>
      <c r="K93" s="59">
        <v>0.9</v>
      </c>
      <c r="L93" s="59">
        <v>0.96</v>
      </c>
      <c r="M93" s="59">
        <f t="shared" si="21"/>
        <v>3.88</v>
      </c>
      <c r="N93" s="25">
        <f t="shared" si="22"/>
        <v>0.7</v>
      </c>
      <c r="O93" s="25">
        <f t="shared" si="23"/>
        <v>0.7</v>
      </c>
      <c r="P93" s="25">
        <f t="shared" si="24"/>
        <v>0.61047</v>
      </c>
      <c r="Q93" s="25">
        <f t="shared" si="25"/>
        <v>0.53865</v>
      </c>
      <c r="R93" s="25">
        <f t="shared" si="26"/>
        <v>0.7392</v>
      </c>
      <c r="S93" s="62">
        <f>ROUND(O93*养成属性规划!$D$36,0)</f>
        <v>3500</v>
      </c>
      <c r="T93" s="62">
        <f>S93*角色升级升阶!$C$5</f>
        <v>280</v>
      </c>
      <c r="U93" s="62">
        <f>ROUND(P93*养成属性规划!$E$36,0)</f>
        <v>916</v>
      </c>
      <c r="V93" s="62">
        <f>U93*角色升级升阶!$C$5</f>
        <v>73.28</v>
      </c>
      <c r="W93" s="62">
        <f>ROUND(Q93*养成属性规划!$E$36,0)</f>
        <v>808</v>
      </c>
      <c r="X93" s="62">
        <f>W93*角色升级升阶!$C$5</f>
        <v>64.64</v>
      </c>
      <c r="Y93" s="62">
        <f>ROUND(R93*养成属性规划!$F$36,0)</f>
        <v>739</v>
      </c>
      <c r="Z93" s="62">
        <f>Y93*角色升级升阶!$C$5</f>
        <v>59.12</v>
      </c>
      <c r="AA93" s="25">
        <f>ROUND(角色星盘!C$23*O93,2)</f>
        <v>298.2</v>
      </c>
      <c r="AB93" s="25">
        <f>ROUND(角色星盘!D$23*P93,2)</f>
        <v>78.14</v>
      </c>
      <c r="AC93" s="25">
        <f>ROUND(角色星盘!D$23*Q93,2)</f>
        <v>68.95</v>
      </c>
      <c r="AD93" s="25">
        <f>ROUND(角色星盘!E$23*R93,2)</f>
        <v>62.83</v>
      </c>
      <c r="AE93" s="59" t="s">
        <v>145</v>
      </c>
      <c r="AF93" s="59" t="s">
        <v>136</v>
      </c>
      <c r="AG93" s="59" t="s">
        <v>130</v>
      </c>
      <c r="AH93" s="59">
        <v>1</v>
      </c>
      <c r="AI93" s="59">
        <v>1.05</v>
      </c>
      <c r="AJ93" s="59">
        <v>0.85</v>
      </c>
      <c r="AK93" s="59">
        <v>0.95</v>
      </c>
      <c r="AL93" s="25">
        <f>VLOOKUP(C93,专武!$M$45:$N$47,2,0)</f>
        <v>0.8</v>
      </c>
      <c r="AM93" s="25">
        <f t="shared" si="27"/>
        <v>0.8</v>
      </c>
      <c r="AN93" s="25">
        <f t="shared" si="28"/>
        <v>0.756</v>
      </c>
      <c r="AO93" s="25">
        <f t="shared" si="29"/>
        <v>0.612</v>
      </c>
      <c r="AP93" s="25">
        <f t="shared" si="30"/>
        <v>0.836</v>
      </c>
      <c r="AQ93" s="25">
        <f>AM93*专武!B$27</f>
        <v>2400</v>
      </c>
      <c r="AR93" s="25">
        <f>ROUND(AQ93/专武!$C$19*专武!$C$20,2)</f>
        <v>226.67</v>
      </c>
      <c r="AS93" s="25">
        <f>AN93*专武!C$27</f>
        <v>680.4</v>
      </c>
      <c r="AT93" s="25">
        <f>ROUND(AS93/专武!$C$19*专武!$C$20,2)</f>
        <v>64.26</v>
      </c>
      <c r="AU93" s="25">
        <f>AO93*专武!C$27</f>
        <v>550.8</v>
      </c>
      <c r="AV93" s="25">
        <f>ROUND(AU93/专武!$C$19*专武!$C$20,2)</f>
        <v>52.02</v>
      </c>
      <c r="AW93" s="25">
        <f>AP93*专武!D$27</f>
        <v>501.6</v>
      </c>
      <c r="AX93" s="25">
        <f>ROUND(AW93/专武!$C$19*专武!$C$20,2)</f>
        <v>47.37</v>
      </c>
      <c r="AY93" s="59" t="s">
        <v>145</v>
      </c>
      <c r="AZ93" s="59" t="s">
        <v>141</v>
      </c>
      <c r="BA93" s="59" t="s">
        <v>136</v>
      </c>
    </row>
    <row r="94" spans="2:53">
      <c r="C94" s="66" t="s">
        <v>943</v>
      </c>
    </row>
    <row r="95" spans="2:53">
      <c r="B95" s="65" t="s">
        <v>917</v>
      </c>
      <c r="C95" t="s">
        <v>944</v>
      </c>
    </row>
    <row r="96" spans="2:53">
      <c r="B96" s="65" t="s">
        <v>918</v>
      </c>
      <c r="C96" t="s">
        <v>945</v>
      </c>
    </row>
    <row r="97" spans="2:3">
      <c r="B97" s="65" t="s">
        <v>919</v>
      </c>
      <c r="C97" t="s">
        <v>946</v>
      </c>
    </row>
    <row r="98" spans="2:3">
      <c r="B98" s="65" t="s">
        <v>920</v>
      </c>
      <c r="C98" t="s">
        <v>947</v>
      </c>
    </row>
    <row r="99" spans="2:3">
      <c r="B99" s="65" t="s">
        <v>921</v>
      </c>
      <c r="C99" t="s">
        <v>948</v>
      </c>
    </row>
    <row r="100" spans="2:3">
      <c r="B100" s="65" t="s">
        <v>922</v>
      </c>
      <c r="C100" t="s">
        <v>949</v>
      </c>
    </row>
    <row r="101" spans="2:3">
      <c r="B101" s="65" t="s">
        <v>923</v>
      </c>
      <c r="C101" t="s">
        <v>950</v>
      </c>
    </row>
    <row r="102" spans="2:3">
      <c r="B102" s="65" t="s">
        <v>924</v>
      </c>
      <c r="C102" t="s">
        <v>951</v>
      </c>
    </row>
    <row r="103" spans="2:3">
      <c r="B103" s="65" t="s">
        <v>925</v>
      </c>
      <c r="C103" t="s">
        <v>952</v>
      </c>
    </row>
    <row r="104" spans="2:3">
      <c r="B104" s="65" t="s">
        <v>926</v>
      </c>
      <c r="C104" t="s">
        <v>953</v>
      </c>
    </row>
    <row r="105" spans="2:3">
      <c r="B105" s="65" t="s">
        <v>932</v>
      </c>
      <c r="C105" t="s">
        <v>954</v>
      </c>
    </row>
    <row r="106" spans="2:3">
      <c r="B106" s="65" t="s">
        <v>933</v>
      </c>
      <c r="C106" t="s">
        <v>955</v>
      </c>
    </row>
    <row r="107" spans="2:3">
      <c r="B107" s="65" t="s">
        <v>934</v>
      </c>
      <c r="C107" t="s">
        <v>956</v>
      </c>
    </row>
    <row r="108" spans="2:3">
      <c r="B108" s="65" t="s">
        <v>935</v>
      </c>
      <c r="C108" t="s">
        <v>956</v>
      </c>
    </row>
    <row r="109" spans="2:3">
      <c r="B109" s="65" t="s">
        <v>936</v>
      </c>
      <c r="C109" t="s">
        <v>957</v>
      </c>
    </row>
    <row r="110" spans="2:3">
      <c r="B110" s="65" t="s">
        <v>937</v>
      </c>
      <c r="C110" t="s">
        <v>958</v>
      </c>
    </row>
    <row r="111" spans="2:3">
      <c r="B111" s="65" t="s">
        <v>938</v>
      </c>
      <c r="C111" t="s">
        <v>959</v>
      </c>
    </row>
    <row r="112" spans="2:3">
      <c r="B112" s="65" t="s">
        <v>927</v>
      </c>
      <c r="C112" t="s">
        <v>960</v>
      </c>
    </row>
    <row r="113" spans="2:3">
      <c r="B113" s="65" t="s">
        <v>928</v>
      </c>
      <c r="C113" t="s">
        <v>961</v>
      </c>
    </row>
    <row r="114" spans="2:3">
      <c r="B114" s="65" t="s">
        <v>929</v>
      </c>
      <c r="C114" t="s">
        <v>962</v>
      </c>
    </row>
    <row r="115" spans="2:3">
      <c r="B115" s="65" t="s">
        <v>930</v>
      </c>
      <c r="C115" t="s">
        <v>963</v>
      </c>
    </row>
    <row r="116" spans="2:3">
      <c r="B116" s="65" t="s">
        <v>931</v>
      </c>
      <c r="C116" t="s">
        <v>964</v>
      </c>
    </row>
  </sheetData>
  <autoFilter xmlns:etc="http://www.wps.cn/officeDocument/2017/etCustomData" ref="B26:E64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E1878"/>
  <sheetViews>
    <sheetView topLeftCell="DJ217" workbookViewId="0">
      <selection activeCell="EB199" sqref="EB199"/>
    </sheetView>
  </sheetViews>
  <sheetFormatPr defaultColWidth="9" defaultRowHeight="16.5"/>
  <cols>
    <col min="1" max="1" width="11.625" style="25" customWidth="1"/>
    <col min="2" max="2" width="18.125" style="25" customWidth="1"/>
    <col min="3" max="4" width="10.875" style="25" customWidth="1"/>
    <col min="5" max="5" width="12.875" style="25" customWidth="1"/>
    <col min="6" max="6" width="15.25" style="25" customWidth="1"/>
    <col min="7" max="9" width="12.875" style="25" customWidth="1"/>
    <col min="10" max="11" width="8.875" style="25" customWidth="1"/>
    <col min="12" max="14" width="9" style="25" customWidth="1"/>
    <col min="15" max="18" width="15" style="25" customWidth="1"/>
    <col min="19" max="19" width="15.625" style="25" customWidth="1"/>
    <col min="20" max="20" width="10.625" style="25" customWidth="1"/>
    <col min="21" max="23" width="9" style="25" customWidth="1"/>
    <col min="24" max="24" width="9.25" style="25" customWidth="1"/>
    <col min="25" max="32" width="9" style="25" customWidth="1"/>
    <col min="33" max="33" width="9.25" style="25" customWidth="1"/>
    <col min="34" max="36" width="9" style="25" customWidth="1"/>
    <col min="37" max="37" width="6.75" style="25" customWidth="1"/>
    <col min="38" max="41" width="15" style="25" customWidth="1"/>
    <col min="42" max="43" width="6.75" style="25" customWidth="1"/>
    <col min="44" max="44" width="5.125" style="25" customWidth="1"/>
    <col min="45" max="45" width="12.875" style="25" customWidth="1"/>
    <col min="46" max="46" width="8.875" style="25" customWidth="1"/>
    <col min="47" max="47" width="15" style="25" customWidth="1"/>
    <col min="48" max="48" width="8.875" style="25" customWidth="1"/>
    <col min="49" max="49" width="15" style="25" customWidth="1"/>
    <col min="50" max="50" width="7" style="25" customWidth="1"/>
    <col min="51" max="51" width="10.875" style="25" customWidth="1"/>
    <col min="52" max="52" width="5.125" style="25" customWidth="1"/>
    <col min="53" max="53" width="8.875" style="25" customWidth="1"/>
    <col min="54" max="55" width="5.125" style="25" customWidth="1"/>
    <col min="56" max="57" width="8.875" style="25" customWidth="1"/>
    <col min="58" max="58" width="15" style="25" customWidth="1"/>
    <col min="59" max="59" width="17.125" style="25" customWidth="1"/>
    <col min="60" max="61" width="8.875" style="25" customWidth="1"/>
    <col min="62" max="62" width="7" style="25" customWidth="1"/>
    <col min="63" max="79" width="12.875" style="25" customWidth="1"/>
    <col min="80" max="89" width="9" style="25" customWidth="1"/>
    <col min="90" max="90" width="15" style="25" customWidth="1"/>
    <col min="91" max="93" width="9" style="25" customWidth="1"/>
    <col min="94" max="94" width="11" style="25" customWidth="1"/>
    <col min="95" max="105" width="9" style="25" customWidth="1"/>
    <col min="106" max="110" width="12.875" style="25" customWidth="1"/>
    <col min="111" max="117" width="9" style="25" customWidth="1"/>
    <col min="118" max="118" width="8.875" style="25" customWidth="1"/>
    <col min="119" max="121" width="12.875" style="25" customWidth="1"/>
    <col min="122" max="125" width="9" style="25" customWidth="1"/>
    <col min="126" max="126" width="16.25" style="25" customWidth="1"/>
    <col min="127" max="131" width="9" style="25" customWidth="1"/>
    <col min="132" max="132" width="15.625" style="25" customWidth="1"/>
    <col min="133" max="133" width="9" style="25" customWidth="1"/>
    <col min="134" max="134" width="9.125" style="25" customWidth="1"/>
    <col min="135" max="16384" width="9" style="25" customWidth="1"/>
  </cols>
  <sheetData>
    <row r="3" spans="2:26">
      <c r="C3" s="26" t="s">
        <v>965</v>
      </c>
      <c r="K3" s="26" t="s">
        <v>966</v>
      </c>
      <c r="O3" s="26" t="s">
        <v>967</v>
      </c>
      <c r="P3"/>
      <c r="Q3"/>
      <c r="R3" s="26" t="s">
        <v>237</v>
      </c>
      <c r="S3"/>
      <c r="T3"/>
      <c r="U3"/>
      <c r="V3"/>
      <c r="W3"/>
      <c r="X3"/>
      <c r="Y3"/>
      <c r="Z3"/>
    </row>
    <row r="4" spans="2:26">
      <c r="C4" s="27" t="s">
        <v>884</v>
      </c>
      <c r="D4" s="27" t="s">
        <v>885</v>
      </c>
      <c r="E4" s="27" t="s">
        <v>886</v>
      </c>
      <c r="F4" s="27" t="s">
        <v>887</v>
      </c>
      <c r="G4" s="27" t="s">
        <v>886</v>
      </c>
      <c r="H4" s="27" t="s">
        <v>887</v>
      </c>
      <c r="I4" s="27" t="s">
        <v>888</v>
      </c>
      <c r="J4" s="27" t="s">
        <v>889</v>
      </c>
      <c r="K4" s="27" t="s">
        <v>890</v>
      </c>
      <c r="L4" s="27" t="s">
        <v>80</v>
      </c>
      <c r="M4" s="27" t="s">
        <v>80</v>
      </c>
      <c r="N4" s="27" t="s">
        <v>81</v>
      </c>
      <c r="O4" s="27" t="s">
        <v>891</v>
      </c>
      <c r="P4" s="27" t="s">
        <v>892</v>
      </c>
      <c r="Q4" s="27" t="s">
        <v>893</v>
      </c>
      <c r="R4" s="27" t="s">
        <v>968</v>
      </c>
      <c r="S4" s="27" t="s">
        <v>969</v>
      </c>
      <c r="T4" s="27" t="s">
        <v>970</v>
      </c>
      <c r="U4"/>
      <c r="V4"/>
      <c r="W4"/>
      <c r="X4"/>
      <c r="Y4"/>
      <c r="Z4"/>
    </row>
    <row r="5" spans="2:26">
      <c r="B5" s="28" t="s">
        <v>321</v>
      </c>
      <c r="C5" s="25">
        <f t="array" ref="C5">INDEX('参数页-不同武将系数'!S$27:S$75,MATCH($B5,'参数页-不同武将系数'!$B$27:$B$75,0))</f>
        <v>7700</v>
      </c>
      <c r="D5" s="25">
        <f t="array" ref="D5">INDEX('参数页-不同武将系数'!T$27:T$75,MATCH($B5,'参数页-不同武将系数'!$B$27:$B$75,0))</f>
        <v>616</v>
      </c>
      <c r="E5" s="25">
        <f t="array" ref="E5">INDEX('参数页-不同武将系数'!U$27:U$75,MATCH($B5,'参数页-不同武将系数'!$B$27:$B$75,0))</f>
        <v>734</v>
      </c>
      <c r="F5" s="25">
        <f t="array" ref="F5">INDEX('参数页-不同武将系数'!V$27:V$75,MATCH($B5,'参数页-不同武将系数'!$B$27:$B$75,0))</f>
        <v>58.72</v>
      </c>
      <c r="G5" s="25">
        <f t="array" ref="G5">INDEX('参数页-不同武将系数'!W$27:W$75,MATCH($B5,'参数页-不同武将系数'!$B$27:$B$75,0))</f>
        <v>918</v>
      </c>
      <c r="H5" s="25">
        <f t="array" ref="H5">INDEX('参数页-不同武将系数'!X$27:X$75,MATCH($B5,'参数页-不同武将系数'!$B$27:$B$75,0))</f>
        <v>73.44</v>
      </c>
      <c r="I5" s="25">
        <f t="array" ref="I5">INDEX('参数页-不同武将系数'!Y$27:Y$75,MATCH($B5,'参数页-不同武将系数'!$B$27:$B$75,0))</f>
        <v>900</v>
      </c>
      <c r="J5" s="25">
        <f t="array" ref="J5">INDEX('参数页-不同武将系数'!Z$27:Z$75,MATCH($B5,'参数页-不同武将系数'!$B$27:$B$75,0))</f>
        <v>72</v>
      </c>
      <c r="K5" s="25">
        <f t="array" ref="K5">INDEX('参数页-不同武将系数'!AA$27:AA$75,MATCH($B5,'参数页-不同武将系数'!$B$27:$B$75,0))</f>
        <v>656.04</v>
      </c>
      <c r="L5" s="25">
        <f t="array" ref="L5">INDEX('参数页-不同武将系数'!AB$27:AB$75,MATCH($B5,'参数页-不同武将系数'!$B$27:$B$75,0))</f>
        <v>62.67</v>
      </c>
      <c r="M5" s="25">
        <f t="array" ref="M5">INDEX('参数页-不同武将系数'!AC$27:AC$75,MATCH($B5,'参数页-不同武将系数'!$B$27:$B$75,0))</f>
        <v>78.34</v>
      </c>
      <c r="N5" s="25">
        <f t="array" ref="N5">INDEX('参数页-不同武将系数'!AD$27:AD$75,MATCH($B5,'参数页-不同武将系数'!$B$27:$B$75,0))</f>
        <v>76.5</v>
      </c>
      <c r="O5" s="25" t="str">
        <f t="array" ref="O5">INDEX('参数页-不同武将系数'!AE$27:AE$75,MATCH($B5,'参数页-不同武将系数'!$B$27:$B$75,0))</f>
        <v>生命值百分比</v>
      </c>
      <c r="P5" s="25" t="str">
        <f t="array" ref="P5">INDEX('参数页-不同武将系数'!AF$27:AF$75,MATCH($B5,'参数页-不同武将系数'!$B$27:$B$75,0))</f>
        <v>攻击百分比</v>
      </c>
      <c r="Q5" s="25" t="str">
        <f t="array" ref="Q5">INDEX('参数页-不同武将系数'!AG$27:AG$75,MATCH($B5,'参数页-不同武将系数'!$B$27:$B$75,0))</f>
        <v>技能冷却等级</v>
      </c>
      <c r="R5" s="25" t="str">
        <f t="array" ref="R5">INDEX('参数页-不同武将系数'!AZ$27:AZ$75,MATCH($B5,'参数页-不同武将系数'!$B$27:$B$75,0))</f>
        <v>魔法伤害加成</v>
      </c>
      <c r="S5" s="25" t="str">
        <f t="array" ref="S5">INDEX('参数页-不同武将系数'!BA$27:BA$75,MATCH($B5,'参数页-不同武将系数'!$B$27:$B$75,0))</f>
        <v>暴击等级</v>
      </c>
      <c r="T5" s="25" t="str">
        <f t="array" ref="T5">INDEX('参数页-不同武将系数'!E$27:E$75,MATCH($B5,'参数页-不同武将系数'!$B$27:$B$75,0))</f>
        <v>魔法</v>
      </c>
      <c r="U5"/>
      <c r="V5"/>
      <c r="W5"/>
      <c r="X5"/>
      <c r="Y5"/>
      <c r="Z5"/>
    </row>
    <row r="6" spans="2:26">
      <c r="B6" s="29" t="s">
        <v>327</v>
      </c>
      <c r="C6" s="25">
        <f t="array" ref="C6">INDEX('参数页-不同武将系数'!S$27:S$75,MATCH($B6,'参数页-不同武将系数'!$B$27:$B$75,0))</f>
        <v>4725</v>
      </c>
      <c r="D6" s="25">
        <f t="array" ref="D6">INDEX('参数页-不同武将系数'!T$27:T$75,MATCH($B6,'参数页-不同武将系数'!$B$27:$B$75,0))</f>
        <v>378</v>
      </c>
      <c r="E6" s="25">
        <f t="array" ref="E6">INDEX('参数页-不同武将系数'!U$27:U$75,MATCH($B6,'参数页-不同武将系数'!$B$27:$B$75,0))</f>
        <v>1650</v>
      </c>
      <c r="F6" s="25">
        <f t="array" ref="F6">INDEX('参数页-不同武将系数'!V$27:V$75,MATCH($B6,'参数页-不同武将系数'!$B$27:$B$75,0))</f>
        <v>132</v>
      </c>
      <c r="G6" s="25">
        <f t="array" ref="G6">INDEX('参数页-不同武将系数'!W$27:W$75,MATCH($B6,'参数页-不同武将系数'!$B$27:$B$75,0))</f>
        <v>1188</v>
      </c>
      <c r="H6" s="25">
        <f t="array" ref="H6">INDEX('参数页-不同武将系数'!X$27:X$75,MATCH($B6,'参数页-不同武将系数'!$B$27:$B$75,0))</f>
        <v>95.04</v>
      </c>
      <c r="I6" s="25">
        <f t="array" ref="I6">INDEX('参数页-不同武将系数'!Y$27:Y$75,MATCH($B6,'参数页-不同武将系数'!$B$27:$B$75,0))</f>
        <v>1000</v>
      </c>
      <c r="J6" s="25">
        <f t="array" ref="J6">INDEX('参数页-不同武将系数'!Z$27:Z$75,MATCH($B6,'参数页-不同武将系数'!$B$27:$B$75,0))</f>
        <v>80</v>
      </c>
      <c r="K6" s="25">
        <f t="array" ref="K6">INDEX('参数页-不同武将系数'!AA$27:AA$75,MATCH($B6,'参数页-不同武将系数'!$B$27:$B$75,0))</f>
        <v>402.57</v>
      </c>
      <c r="L6" s="25">
        <f t="array" ref="L6">INDEX('参数页-不同武将系数'!AB$27:AB$75,MATCH($B6,'参数页-不同武将系数'!$B$27:$B$75,0))</f>
        <v>140.8</v>
      </c>
      <c r="M6" s="25">
        <f t="array" ref="M6">INDEX('参数页-不同武将系数'!AC$27:AC$75,MATCH($B6,'参数页-不同武将系数'!$B$27:$B$75,0))</f>
        <v>101.38</v>
      </c>
      <c r="N6" s="25">
        <f t="array" ref="N6">INDEX('参数页-不同武将系数'!AD$27:AD$75,MATCH($B6,'参数页-不同武将系数'!$B$27:$B$75,0))</f>
        <v>85</v>
      </c>
      <c r="O6" s="25" t="str">
        <f t="array" ref="O6">INDEX('参数页-不同武将系数'!AE$27:AE$75,MATCH($B6,'参数页-不同武将系数'!$B$27:$B$75,0))</f>
        <v>攻击百分比</v>
      </c>
      <c r="P6" s="25" t="str">
        <f t="array" ref="P6">INDEX('参数页-不同武将系数'!AF$27:AF$75,MATCH($B6,'参数页-不同武将系数'!$B$27:$B$75,0))</f>
        <v>暴击等级</v>
      </c>
      <c r="Q6" s="25" t="str">
        <f t="array" ref="Q6">INDEX('参数页-不同武将系数'!AG$27:AG$75,MATCH($B6,'参数页-不同武将系数'!$B$27:$B$75,0))</f>
        <v>暴击伤害等级</v>
      </c>
      <c r="R6" s="25" t="str">
        <f t="array" ref="R6">INDEX('参数页-不同武将系数'!AZ$27:AZ$75,MATCH($B6,'参数页-不同武将系数'!$B$27:$B$75,0))</f>
        <v>物理伤害加成</v>
      </c>
      <c r="S6" s="25" t="str">
        <f t="array" ref="S6">INDEX('参数页-不同武将系数'!BA$27:BA$75,MATCH($B6,'参数页-不同武将系数'!$B$27:$B$75,0))</f>
        <v>必杀伤害加成</v>
      </c>
      <c r="T6" s="25" t="str">
        <f t="array" ref="T6">INDEX('参数页-不同武将系数'!E$27:E$75,MATCH($B6,'参数页-不同武将系数'!$B$27:$B$75,0))</f>
        <v>物理</v>
      </c>
      <c r="U6"/>
      <c r="V6"/>
      <c r="W6"/>
      <c r="X6"/>
      <c r="Y6"/>
      <c r="Z6"/>
    </row>
    <row r="7" spans="2:26">
      <c r="B7" s="29" t="s">
        <v>328</v>
      </c>
      <c r="C7" s="25">
        <f t="array" ref="C7">INDEX('参数页-不同武将系数'!S$27:S$75,MATCH($B7,'参数页-不同武将系数'!$B$27:$B$75,0))</f>
        <v>4000</v>
      </c>
      <c r="D7" s="25">
        <f t="array" ref="D7">INDEX('参数页-不同武将系数'!T$27:T$75,MATCH($B7,'参数页-不同武将系数'!$B$27:$B$75,0))</f>
        <v>320</v>
      </c>
      <c r="E7" s="25">
        <f t="array" ref="E7">INDEX('参数页-不同武将系数'!U$27:U$75,MATCH($B7,'参数页-不同武将系数'!$B$27:$B$75,0))</f>
        <v>1836</v>
      </c>
      <c r="F7" s="25">
        <f t="array" ref="F7">INDEX('参数页-不同武将系数'!V$27:V$75,MATCH($B7,'参数页-不同武将系数'!$B$27:$B$75,0))</f>
        <v>146.88</v>
      </c>
      <c r="G7" s="25">
        <f t="array" ref="G7">INDEX('参数页-不同武将系数'!W$27:W$75,MATCH($B7,'参数页-不同武将系数'!$B$27:$B$75,0))</f>
        <v>1440</v>
      </c>
      <c r="H7" s="25">
        <f t="array" ref="H7">INDEX('参数页-不同武将系数'!X$27:X$75,MATCH($B7,'参数页-不同武将系数'!$B$27:$B$75,0))</f>
        <v>115.2</v>
      </c>
      <c r="I7" s="25">
        <f t="array" ref="I7">INDEX('参数页-不同武将系数'!Y$27:Y$75,MATCH($B7,'参数页-不同武将系数'!$B$27:$B$75,0))</f>
        <v>980</v>
      </c>
      <c r="J7" s="25">
        <f t="array" ref="J7">INDEX('参数页-不同武将系数'!Z$27:Z$75,MATCH($B7,'参数页-不同武将系数'!$B$27:$B$75,0))</f>
        <v>78.4</v>
      </c>
      <c r="K7" s="25">
        <f t="array" ref="K7">INDEX('参数页-不同武将系数'!AA$27:AA$75,MATCH($B7,'参数页-不同武将系数'!$B$27:$B$75,0))</f>
        <v>340.8</v>
      </c>
      <c r="L7" s="25">
        <f t="array" ref="L7">INDEX('参数页-不同武将系数'!AB$27:AB$75,MATCH($B7,'参数页-不同武将系数'!$B$27:$B$75,0))</f>
        <v>156.67</v>
      </c>
      <c r="M7" s="25">
        <f t="array" ref="M7">INDEX('参数页-不同武将系数'!AC$27:AC$75,MATCH($B7,'参数页-不同武将系数'!$B$27:$B$75,0))</f>
        <v>122.88</v>
      </c>
      <c r="N7" s="25">
        <f t="array" ref="N7">INDEX('参数页-不同武将系数'!AD$27:AD$75,MATCH($B7,'参数页-不同武将系数'!$B$27:$B$75,0))</f>
        <v>83.3</v>
      </c>
      <c r="O7" s="25" t="str">
        <f t="array" ref="O7">INDEX('参数页-不同武将系数'!AE$27:AE$75,MATCH($B7,'参数页-不同武将系数'!$B$27:$B$75,0))</f>
        <v>攻击百分比</v>
      </c>
      <c r="P7" s="25" t="str">
        <f t="array" ref="P7">INDEX('参数页-不同武将系数'!AF$27:AF$75,MATCH($B7,'参数页-不同武将系数'!$B$27:$B$75,0))</f>
        <v>技能伤害加成</v>
      </c>
      <c r="Q7" s="25" t="s">
        <v>145</v>
      </c>
      <c r="R7" s="25" t="str">
        <f t="array" ref="R7">INDEX('参数页-不同武将系数'!AZ$27:AZ$75,MATCH($B7,'参数页-不同武将系数'!$B$27:$B$75,0))</f>
        <v>物理伤害加成</v>
      </c>
      <c r="S7" s="25" t="str">
        <f t="array" ref="S7">INDEX('参数页-不同武将系数'!BA$27:BA$75,MATCH($B7,'参数页-不同武将系数'!$B$27:$B$75,0))</f>
        <v>技能伤害加成</v>
      </c>
      <c r="T7" s="25" t="str">
        <f t="array" ref="T7">INDEX('参数页-不同武将系数'!E$27:E$75,MATCH($B7,'参数页-不同武将系数'!$B$27:$B$75,0))</f>
        <v>物理</v>
      </c>
      <c r="U7"/>
      <c r="V7"/>
      <c r="W7"/>
      <c r="X7"/>
      <c r="Y7"/>
      <c r="Z7"/>
    </row>
    <row r="8" spans="2:26">
      <c r="B8" s="29" t="s">
        <v>329</v>
      </c>
      <c r="C8" s="25">
        <f t="array" ref="C8">INDEX('参数页-不同武将系数'!S$27:S$75,MATCH($B8,'参数页-不同武将系数'!$B$27:$B$75,0))</f>
        <v>4500</v>
      </c>
      <c r="D8" s="25">
        <f t="array" ref="D8">INDEX('参数页-不同武将系数'!T$27:T$75,MATCH($B8,'参数页-不同武将系数'!$B$27:$B$75,0))</f>
        <v>360</v>
      </c>
      <c r="E8" s="25">
        <f t="array" ref="E8">INDEX('参数页-不同武将系数'!U$27:U$75,MATCH($B8,'参数页-不同武将系数'!$B$27:$B$75,0))</f>
        <v>1080</v>
      </c>
      <c r="F8" s="25">
        <f t="array" ref="F8">INDEX('参数页-不同武将系数'!V$27:V$75,MATCH($B8,'参数页-不同武将系数'!$B$27:$B$75,0))</f>
        <v>86.4</v>
      </c>
      <c r="G8" s="25">
        <f t="array" ref="G8">INDEX('参数页-不同武将系数'!W$27:W$75,MATCH($B8,'参数页-不同武将系数'!$B$27:$B$75,0))</f>
        <v>1485</v>
      </c>
      <c r="H8" s="25">
        <f t="array" ref="H8">INDEX('参数页-不同武将系数'!X$27:X$75,MATCH($B8,'参数页-不同武将系数'!$B$27:$B$75,0))</f>
        <v>118.8</v>
      </c>
      <c r="I8" s="25">
        <f t="array" ref="I8">INDEX('参数页-不同武将系数'!Y$27:Y$75,MATCH($B8,'参数页-不同武将系数'!$B$27:$B$75,0))</f>
        <v>1100</v>
      </c>
      <c r="J8" s="25">
        <f t="array" ref="J8">INDEX('参数页-不同武将系数'!Z$27:Z$75,MATCH($B8,'参数页-不同武将系数'!$B$27:$B$75,0))</f>
        <v>88</v>
      </c>
      <c r="K8" s="25">
        <f t="array" ref="K8">INDEX('参数页-不同武将系数'!AA$27:AA$75,MATCH($B8,'参数页-不同武将系数'!$B$27:$B$75,0))</f>
        <v>383.4</v>
      </c>
      <c r="L8" s="25">
        <f t="array" ref="L8">INDEX('参数页-不同武将系数'!AB$27:AB$75,MATCH($B8,'参数页-不同武将系数'!$B$27:$B$75,0))</f>
        <v>92.16</v>
      </c>
      <c r="M8" s="25">
        <f t="array" ref="M8">INDEX('参数页-不同武将系数'!AC$27:AC$75,MATCH($B8,'参数页-不同武将系数'!$B$27:$B$75,0))</f>
        <v>126.72</v>
      </c>
      <c r="N8" s="25">
        <f t="array" ref="N8">INDEX('参数页-不同武将系数'!AD$27:AD$75,MATCH($B8,'参数页-不同武将系数'!$B$27:$B$75,0))</f>
        <v>93.5</v>
      </c>
      <c r="O8" s="25" t="str">
        <f t="array" ref="O8">INDEX('参数页-不同武将系数'!AE$27:AE$75,MATCH($B8,'参数页-不同武将系数'!$B$27:$B$75,0))</f>
        <v>攻击百分比</v>
      </c>
      <c r="P8" s="25" t="str">
        <f t="array" ref="P8">INDEX('参数页-不同武将系数'!AF$27:AF$75,MATCH($B8,'参数页-不同武将系数'!$B$27:$B$75,0))</f>
        <v>暴击伤害等级</v>
      </c>
      <c r="Q8" s="25" t="str">
        <f t="array" ref="Q8">INDEX('参数页-不同武将系数'!AG$27:AG$75,MATCH($B8,'参数页-不同武将系数'!$B$27:$B$75,0))</f>
        <v>能量回复等级</v>
      </c>
      <c r="R8" s="25" t="str">
        <f t="array" ref="R8">INDEX('参数页-不同武将系数'!AZ$27:AZ$75,MATCH($B8,'参数页-不同武将系数'!$B$27:$B$75,0))</f>
        <v>魔法伤害加成</v>
      </c>
      <c r="S8" s="25" t="str">
        <f t="array" ref="S8">INDEX('参数页-不同武将系数'!BA$27:BA$75,MATCH($B8,'参数页-不同武将系数'!$B$27:$B$75,0))</f>
        <v>暴击伤害等级</v>
      </c>
      <c r="T8" s="25" t="str">
        <f t="array" ref="T8">INDEX('参数页-不同武将系数'!E$27:E$75,MATCH($B8,'参数页-不同武将系数'!$B$27:$B$75,0))</f>
        <v>魔法</v>
      </c>
      <c r="U8"/>
      <c r="V8"/>
      <c r="W8"/>
      <c r="X8"/>
      <c r="Y8"/>
      <c r="Z8"/>
    </row>
    <row r="9" spans="2:26">
      <c r="B9" s="29" t="s">
        <v>345</v>
      </c>
      <c r="C9" s="25">
        <f t="array" ref="C9">INDEX('参数页-不同武将系数'!S$27:S$75,MATCH($B9,'参数页-不同武将系数'!$B$27:$B$75,0))</f>
        <v>5175</v>
      </c>
      <c r="D9" s="25">
        <f t="array" ref="D9">INDEX('参数页-不同武将系数'!T$27:T$75,MATCH($B9,'参数页-不同武将系数'!$B$27:$B$75,0))</f>
        <v>414</v>
      </c>
      <c r="E9" s="25">
        <f t="array" ref="E9">INDEX('参数页-不同武将系数'!U$27:U$75,MATCH($B9,'参数页-不同武将系数'!$B$27:$B$75,0))</f>
        <v>1188</v>
      </c>
      <c r="F9" s="25">
        <f t="array" ref="F9">INDEX('参数页-不同武将系数'!V$27:V$75,MATCH($B9,'参数页-不同武将系数'!$B$27:$B$75,0))</f>
        <v>95.04</v>
      </c>
      <c r="G9" s="25">
        <f t="array" ref="G9">INDEX('参数页-不同武将系数'!W$27:W$75,MATCH($B9,'参数页-不同武将系数'!$B$27:$B$75,0))</f>
        <v>1650</v>
      </c>
      <c r="H9" s="25">
        <f t="array" ref="H9">INDEX('参数页-不同武将系数'!X$27:X$75,MATCH($B9,'参数页-不同武将系数'!$B$27:$B$75,0))</f>
        <v>132</v>
      </c>
      <c r="I9" s="25">
        <f t="array" ref="I9">INDEX('参数页-不同武将系数'!Y$27:Y$75,MATCH($B9,'参数页-不同武将系数'!$B$27:$B$75,0))</f>
        <v>1000</v>
      </c>
      <c r="J9" s="25">
        <f t="array" ref="J9">INDEX('参数页-不同武将系数'!Z$27:Z$75,MATCH($B9,'参数页-不同武将系数'!$B$27:$B$75,0))</f>
        <v>80</v>
      </c>
      <c r="K9" s="25">
        <f t="array" ref="K9">INDEX('参数页-不同武将系数'!AA$27:AA$75,MATCH($B9,'参数页-不同武将系数'!$B$27:$B$75,0))</f>
        <v>440.91</v>
      </c>
      <c r="L9" s="25">
        <f t="array" ref="L9">INDEX('参数页-不同武将系数'!AB$27:AB$75,MATCH($B9,'参数页-不同武将系数'!$B$27:$B$75,0))</f>
        <v>101.38</v>
      </c>
      <c r="M9" s="25">
        <f t="array" ref="M9">INDEX('参数页-不同武将系数'!AC$27:AC$75,MATCH($B9,'参数页-不同武将系数'!$B$27:$B$75,0))</f>
        <v>140.8</v>
      </c>
      <c r="N9" s="25">
        <f t="array" ref="N9">INDEX('参数页-不同武将系数'!AD$27:AD$75,MATCH($B9,'参数页-不同武将系数'!$B$27:$B$75,0))</f>
        <v>85</v>
      </c>
      <c r="O9" s="25" t="str">
        <f t="array" ref="O9">INDEX('参数页-不同武将系数'!AE$27:AE$75,MATCH($B9,'参数页-不同武将系数'!$B$27:$B$75,0))</f>
        <v>攻击百分比</v>
      </c>
      <c r="P9" s="25" t="str">
        <f t="array" ref="P9">INDEX('参数页-不同武将系数'!AF$27:AF$75,MATCH($B9,'参数页-不同武将系数'!$B$27:$B$75,0))</f>
        <v>技能伤害加成</v>
      </c>
      <c r="Q9" s="25" t="str">
        <f t="array" ref="Q9">INDEX('参数页-不同武将系数'!AG$27:AG$75,MATCH($B9,'参数页-不同武将系数'!$B$27:$B$75,0))</f>
        <v>技能冷却等级</v>
      </c>
      <c r="R9" s="25" t="str">
        <f t="array" ref="R9">INDEX('参数页-不同武将系数'!AZ$27:AZ$75,MATCH($B9,'参数页-不同武将系数'!$B$27:$B$75,0))</f>
        <v>魔法伤害加成</v>
      </c>
      <c r="S9" s="25" t="str">
        <f t="array" ref="S9">INDEX('参数页-不同武将系数'!BA$27:BA$75,MATCH($B9,'参数页-不同武将系数'!$B$27:$B$75,0))</f>
        <v>必杀伤害加成</v>
      </c>
      <c r="T9" s="25" t="str">
        <f t="array" ref="T9">INDEX('参数页-不同武将系数'!E$27:E$75,MATCH($B9,'参数页-不同武将系数'!$B$27:$B$75,0))</f>
        <v>魔法</v>
      </c>
      <c r="U9"/>
      <c r="V9"/>
      <c r="W9"/>
      <c r="X9"/>
      <c r="Y9"/>
      <c r="Z9"/>
    </row>
    <row r="10" spans="2:26">
      <c r="B10" s="29" t="s">
        <v>905</v>
      </c>
      <c r="C10" s="25">
        <f t="array" ref="C10">INDEX('参数页-不同武将系数'!S$27:S$75,MATCH($B10,'参数页-不同武将系数'!$B$27:$B$75,0))</f>
        <v>4200</v>
      </c>
      <c r="D10" s="25">
        <f t="array" ref="D10">INDEX('参数页-不同武将系数'!T$27:T$75,MATCH($B10,'参数页-不同武将系数'!$B$27:$B$75,0))</f>
        <v>336</v>
      </c>
      <c r="E10" s="25">
        <f t="array" ref="E10">INDEX('参数页-不同武将系数'!U$27:U$75,MATCH($B10,'参数页-不同武将系数'!$B$27:$B$75,0))</f>
        <v>1440</v>
      </c>
      <c r="F10" s="25">
        <f t="array" ref="F10">INDEX('参数页-不同武将系数'!V$27:V$75,MATCH($B10,'参数页-不同武将系数'!$B$27:$B$75,0))</f>
        <v>115.2</v>
      </c>
      <c r="G10" s="25">
        <f t="array" ref="G10">INDEX('参数页-不同武将系数'!W$27:W$75,MATCH($B10,'参数页-不同武将系数'!$B$27:$B$75,0))</f>
        <v>1818</v>
      </c>
      <c r="H10" s="25">
        <f t="array" ref="H10">INDEX('参数页-不同武将系数'!X$27:X$75,MATCH($B10,'参数页-不同武将系数'!$B$27:$B$75,0))</f>
        <v>145.44</v>
      </c>
      <c r="I10" s="25">
        <f t="array" ref="I10">INDEX('参数页-不同武将系数'!Y$27:Y$75,MATCH($B10,'参数页-不同武将系数'!$B$27:$B$75,0))</f>
        <v>990</v>
      </c>
      <c r="J10" s="25">
        <f t="array" ref="J10">INDEX('参数页-不同武将系数'!Z$27:Z$75,MATCH($B10,'参数页-不同武将系数'!$B$27:$B$75,0))</f>
        <v>79.2</v>
      </c>
      <c r="K10" s="25">
        <f t="array" ref="K10">INDEX('参数页-不同武将系数'!AA$27:AA$75,MATCH($B10,'参数页-不同武将系数'!$B$27:$B$75,0))</f>
        <v>357.84</v>
      </c>
      <c r="L10" s="25">
        <f t="array" ref="L10">INDEX('参数页-不同武将系数'!AB$27:AB$75,MATCH($B10,'参数页-不同武将系数'!$B$27:$B$75,0))</f>
        <v>122.88</v>
      </c>
      <c r="M10" s="25">
        <f t="array" ref="M10">INDEX('参数页-不同武将系数'!AC$27:AC$75,MATCH($B10,'参数页-不同武将系数'!$B$27:$B$75,0))</f>
        <v>155.14</v>
      </c>
      <c r="N10" s="25">
        <f t="array" ref="N10">INDEX('参数页-不同武将系数'!AD$27:AD$75,MATCH($B10,'参数页-不同武将系数'!$B$27:$B$75,0))</f>
        <v>84.15</v>
      </c>
      <c r="O10" s="25" t="str">
        <f t="array" ref="O10">INDEX('参数页-不同武将系数'!AE$27:AE$75,MATCH($B10,'参数页-不同武将系数'!$B$27:$B$75,0))</f>
        <v>攻击百分比</v>
      </c>
      <c r="P10" s="25" t="str">
        <f t="array" ref="P10">INDEX('参数页-不同武将系数'!AF$27:AF$75,MATCH($B10,'参数页-不同武将系数'!$B$27:$B$75,0))</f>
        <v>技能伤害加成</v>
      </c>
      <c r="Q10" s="25" t="str">
        <f t="array" ref="Q10">INDEX('参数页-不同武将系数'!AG$27:AG$75,MATCH($B10,'参数页-不同武将系数'!$B$27:$B$75,0))</f>
        <v>技能冷却等级</v>
      </c>
      <c r="R10" s="25" t="str">
        <f t="array" ref="R10">INDEX('参数页-不同武将系数'!AZ$27:AZ$75,MATCH($B10,'参数页-不同武将系数'!$B$27:$B$75,0))</f>
        <v>魔法伤害加成</v>
      </c>
      <c r="S10" s="25" t="str">
        <f t="array" ref="S10">INDEX('参数页-不同武将系数'!BA$27:BA$75,MATCH($B10,'参数页-不同武将系数'!$B$27:$B$75,0))</f>
        <v>技能冷却等级</v>
      </c>
      <c r="T10" s="25" t="str">
        <f t="array" ref="T10">INDEX('参数页-不同武将系数'!E$27:E$75,MATCH($B10,'参数页-不同武将系数'!$B$27:$B$75,0))</f>
        <v>魔法</v>
      </c>
      <c r="U10"/>
      <c r="V10"/>
      <c r="W10"/>
      <c r="X10"/>
      <c r="Y10"/>
      <c r="Z10"/>
    </row>
    <row r="11" spans="2:26">
      <c r="B11" s="29" t="s">
        <v>339</v>
      </c>
      <c r="C11" s="25">
        <f t="array" ref="C11">INDEX('参数页-不同武将系数'!S$27:S$75,MATCH($B11,'参数页-不同武将系数'!$B$27:$B$75,0))</f>
        <v>6825</v>
      </c>
      <c r="D11" s="25">
        <f t="array" ref="D11">INDEX('参数页-不同武将系数'!T$27:T$75,MATCH($B11,'参数页-不同武将系数'!$B$27:$B$75,0))</f>
        <v>546</v>
      </c>
      <c r="E11" s="25">
        <f t="array" ref="E11">INDEX('参数页-不同武将系数'!U$27:U$75,MATCH($B11,'参数页-不同武将系数'!$B$27:$B$75,0))</f>
        <v>1140</v>
      </c>
      <c r="F11" s="25">
        <f t="array" ref="F11">INDEX('参数页-不同武将系数'!V$27:V$75,MATCH($B11,'参数页-不同武将系数'!$B$27:$B$75,0))</f>
        <v>91.2</v>
      </c>
      <c r="G11" s="25">
        <f t="array" ref="G11">INDEX('参数页-不同武将系数'!W$27:W$75,MATCH($B11,'参数页-不同武将系数'!$B$27:$B$75,0))</f>
        <v>1425</v>
      </c>
      <c r="H11" s="25">
        <f t="array" ref="H11">INDEX('参数页-不同武将系数'!X$27:X$75,MATCH($B11,'参数页-不同武将系数'!$B$27:$B$75,0))</f>
        <v>114</v>
      </c>
      <c r="I11" s="25">
        <f t="array" ref="I11">INDEX('参数页-不同武将系数'!Y$27:Y$75,MATCH($B11,'参数页-不同武将系数'!$B$27:$B$75,0))</f>
        <v>800</v>
      </c>
      <c r="J11" s="25">
        <f t="array" ref="J11">INDEX('参数页-不同武将系数'!Z$27:Z$75,MATCH($B11,'参数页-不同武将系数'!$B$27:$B$75,0))</f>
        <v>64</v>
      </c>
      <c r="K11" s="25">
        <f t="array" ref="K11">INDEX('参数页-不同武将系数'!AA$27:AA$75,MATCH($B11,'参数页-不同武将系数'!$B$27:$B$75,0))</f>
        <v>581.49</v>
      </c>
      <c r="L11" s="25">
        <f t="array" ref="L11">INDEX('参数页-不同武将系数'!AB$27:AB$75,MATCH($B11,'参数页-不同武将系数'!$B$27:$B$75,0))</f>
        <v>97.28</v>
      </c>
      <c r="M11" s="25">
        <f t="array" ref="M11">INDEX('参数页-不同武将系数'!AC$27:AC$75,MATCH($B11,'参数页-不同武将系数'!$B$27:$B$75,0))</f>
        <v>121.6</v>
      </c>
      <c r="N11" s="25">
        <f t="array" ref="N11">INDEX('参数页-不同武将系数'!AD$27:AD$75,MATCH($B11,'参数页-不同武将系数'!$B$27:$B$75,0))</f>
        <v>68</v>
      </c>
      <c r="O11" s="25" t="str">
        <f t="array" ref="O11">INDEX('参数页-不同武将系数'!AE$27:AE$75,MATCH($B11,'参数页-不同武将系数'!$B$27:$B$75,0))</f>
        <v>攻击百分比</v>
      </c>
      <c r="P11" s="25" t="str">
        <f t="array" ref="P11">INDEX('参数页-不同武将系数'!AF$27:AF$75,MATCH($B11,'参数页-不同武将系数'!$B$27:$B$75,0))</f>
        <v>暴击等级</v>
      </c>
      <c r="Q11" s="25" t="str">
        <f t="array" ref="Q11">INDEX('参数页-不同武将系数'!AG$27:AG$75,MATCH($B11,'参数页-不同武将系数'!$B$27:$B$75,0))</f>
        <v>生命值百分比</v>
      </c>
      <c r="R11" s="25" t="str">
        <f t="array" ref="R11">INDEX('参数页-不同武将系数'!AZ$27:AZ$75,MATCH($B11,'参数页-不同武将系数'!$B$27:$B$75,0))</f>
        <v>魔法伤害加成</v>
      </c>
      <c r="S11" s="25" t="str">
        <f t="array" ref="S11">INDEX('参数页-不同武将系数'!BA$27:BA$75,MATCH($B11,'参数页-不同武将系数'!$B$27:$B$75,0))</f>
        <v>暴击伤害等级</v>
      </c>
      <c r="T11" s="25" t="str">
        <f t="array" ref="T11">INDEX('参数页-不同武将系数'!E$27:E$75,MATCH($B11,'参数页-不同武将系数'!$B$27:$B$75,0))</f>
        <v>魔法</v>
      </c>
      <c r="U11"/>
      <c r="V11"/>
      <c r="W11"/>
      <c r="X11"/>
      <c r="Y11"/>
      <c r="Z11"/>
    </row>
    <row r="12" spans="2:26">
      <c r="B12" s="29" t="s">
        <v>906</v>
      </c>
      <c r="C12" s="25">
        <f t="array" ref="C12">INDEX('参数页-不同武将系数'!S$27:S$75,MATCH($B12,'参数页-不同武将系数'!$B$27:$B$75,0))</f>
        <v>7000</v>
      </c>
      <c r="D12" s="25">
        <f t="array" ref="D12">INDEX('参数页-不同武将系数'!T$27:T$75,MATCH($B12,'参数页-不同武将系数'!$B$27:$B$75,0))</f>
        <v>560</v>
      </c>
      <c r="E12" s="25">
        <f t="array" ref="E12">INDEX('参数页-不同武将系数'!U$27:U$75,MATCH($B12,'参数页-不同武将系数'!$B$27:$B$75,0))</f>
        <v>900</v>
      </c>
      <c r="F12" s="25">
        <f t="array" ref="F12">INDEX('参数页-不同武将系数'!V$27:V$75,MATCH($B12,'参数页-不同武将系数'!$B$27:$B$75,0))</f>
        <v>72</v>
      </c>
      <c r="G12" s="25">
        <f t="array" ref="G12">INDEX('参数页-不同武将系数'!W$27:W$75,MATCH($B12,'参数页-不同武将系数'!$B$27:$B$75,0))</f>
        <v>720</v>
      </c>
      <c r="H12" s="25">
        <f t="array" ref="H12">INDEX('参数页-不同武将系数'!X$27:X$75,MATCH($B12,'参数页-不同武将系数'!$B$27:$B$75,0))</f>
        <v>57.6</v>
      </c>
      <c r="I12" s="25">
        <f t="array" ref="I12">INDEX('参数页-不同武将系数'!Y$27:Y$75,MATCH($B12,'参数页-不同武将系数'!$B$27:$B$75,0))</f>
        <v>1050</v>
      </c>
      <c r="J12" s="25">
        <f t="array" ref="J12">INDEX('参数页-不同武将系数'!Z$27:Z$75,MATCH($B12,'参数页-不同武将系数'!$B$27:$B$75,0))</f>
        <v>84</v>
      </c>
      <c r="K12" s="25">
        <f t="array" ref="K12">INDEX('参数页-不同武将系数'!AA$27:AA$75,MATCH($B12,'参数页-不同武将系数'!$B$27:$B$75,0))</f>
        <v>596.4</v>
      </c>
      <c r="L12" s="25">
        <f t="array" ref="L12">INDEX('参数页-不同武将系数'!AB$27:AB$75,MATCH($B12,'参数页-不同武将系数'!$B$27:$B$75,0))</f>
        <v>76.8</v>
      </c>
      <c r="M12" s="25">
        <f t="array" ref="M12">INDEX('参数页-不同武将系数'!AC$27:AC$75,MATCH($B12,'参数页-不同武将系数'!$B$27:$B$75,0))</f>
        <v>61.44</v>
      </c>
      <c r="N12" s="25">
        <f t="array" ref="N12">INDEX('参数页-不同武将系数'!AD$27:AD$75,MATCH($B12,'参数页-不同武将系数'!$B$27:$B$75,0))</f>
        <v>89.25</v>
      </c>
      <c r="O12" s="25" t="str">
        <f t="array" ref="O12">INDEX('参数页-不同武将系数'!AE$27:AE$75,MATCH($B12,'参数页-不同武将系数'!$B$27:$B$75,0))</f>
        <v>生命值百分比</v>
      </c>
      <c r="P12" s="25" t="str">
        <f t="array" ref="P12">INDEX('参数页-不同武将系数'!AF$27:AF$75,MATCH($B12,'参数页-不同武将系数'!$B$27:$B$75,0))</f>
        <v>防御百分比</v>
      </c>
      <c r="Q12" s="25" t="str">
        <f t="array" ref="Q12">INDEX('参数页-不同武将系数'!AG$27:AG$75,MATCH($B12,'参数页-不同武将系数'!$B$27:$B$75,0))</f>
        <v>能量回复等级</v>
      </c>
      <c r="R12" s="25" t="str">
        <f t="array" ref="R12">INDEX('参数页-不同武将系数'!AZ$27:AZ$75,MATCH($B12,'参数页-不同武将系数'!$B$27:$B$75,0))</f>
        <v>能量回复等级</v>
      </c>
      <c r="S12" s="25" t="str">
        <f t="array" ref="S12">INDEX('参数页-不同武将系数'!BA$27:BA$75,MATCH($B12,'参数页-不同武将系数'!$B$27:$B$75,0))</f>
        <v>物理伤害加成</v>
      </c>
      <c r="T12" s="25" t="str">
        <f t="array" ref="T12">INDEX('参数页-不同武将系数'!E$27:E$75,MATCH($B12,'参数页-不同武将系数'!$B$27:$B$75,0))</f>
        <v>物理</v>
      </c>
      <c r="U12"/>
      <c r="V12"/>
      <c r="W12"/>
      <c r="X12"/>
      <c r="Y12"/>
      <c r="Z12"/>
    </row>
    <row r="13" spans="2:26">
      <c r="B13" s="29" t="s">
        <v>907</v>
      </c>
      <c r="C13" s="25">
        <f t="array" ref="C13">INDEX('参数页-不同武将系数'!S$27:S$75,MATCH($B13,'参数页-不同武将系数'!$B$27:$B$75,0))</f>
        <v>4988</v>
      </c>
      <c r="D13" s="25">
        <f t="array" ref="D13">INDEX('参数页-不同武将系数'!T$27:T$75,MATCH($B13,'参数页-不同武将系数'!$B$27:$B$75,0))</f>
        <v>399.04</v>
      </c>
      <c r="E13" s="25">
        <f t="array" ref="E13">INDEX('参数页-不同武将系数'!U$27:U$75,MATCH($B13,'参数页-不同武将系数'!$B$27:$B$75,0))</f>
        <v>1496</v>
      </c>
      <c r="F13" s="25">
        <f t="array" ref="F13">INDEX('参数页-不同武将系数'!V$27:V$75,MATCH($B13,'参数页-不同武将系数'!$B$27:$B$75,0))</f>
        <v>119.68</v>
      </c>
      <c r="G13" s="25">
        <f t="array" ref="G13">INDEX('参数页-不同武将系数'!W$27:W$75,MATCH($B13,'参数页-不同武将系数'!$B$27:$B$75,0))</f>
        <v>1140</v>
      </c>
      <c r="H13" s="25">
        <f t="array" ref="H13">INDEX('参数页-不同武将系数'!X$27:X$75,MATCH($B13,'参数页-不同武将系数'!$B$27:$B$75,0))</f>
        <v>91.2</v>
      </c>
      <c r="I13" s="25">
        <f t="array" ref="I13">INDEX('参数页-不同武将系数'!Y$27:Y$75,MATCH($B13,'参数页-不同武将系数'!$B$27:$B$75,0))</f>
        <v>950</v>
      </c>
      <c r="J13" s="25">
        <f t="array" ref="J13">INDEX('参数页-不同武将系数'!Z$27:Z$75,MATCH($B13,'参数页-不同武将系数'!$B$27:$B$75,0))</f>
        <v>76</v>
      </c>
      <c r="K13" s="25">
        <f t="array" ref="K13">INDEX('参数页-不同武将系数'!AA$27:AA$75,MATCH($B13,'参数页-不同武将系数'!$B$27:$B$75,0))</f>
        <v>424.94</v>
      </c>
      <c r="L13" s="25">
        <f t="array" ref="L13">INDEX('参数页-不同武将系数'!AB$27:AB$75,MATCH($B13,'参数页-不同武将系数'!$B$27:$B$75,0))</f>
        <v>127.68</v>
      </c>
      <c r="M13" s="25">
        <f t="array" ref="M13">INDEX('参数页-不同武将系数'!AC$27:AC$75,MATCH($B13,'参数页-不同武将系数'!$B$27:$B$75,0))</f>
        <v>97.28</v>
      </c>
      <c r="N13" s="25">
        <f t="array" ref="N13">INDEX('参数页-不同武将系数'!AD$27:AD$75,MATCH($B13,'参数页-不同武将系数'!$B$27:$B$75,0))</f>
        <v>80.75</v>
      </c>
      <c r="O13" s="25" t="str">
        <f t="array" ref="O13">INDEX('参数页-不同武将系数'!AE$27:AE$75,MATCH($B13,'参数页-不同武将系数'!$B$27:$B$75,0))</f>
        <v>攻击百分比</v>
      </c>
      <c r="P13" s="25" t="str">
        <f t="array" ref="P13">INDEX('参数页-不同武将系数'!AF$27:AF$75,MATCH($B13,'参数页-不同武将系数'!$B$27:$B$75,0))</f>
        <v>技能伤害加成</v>
      </c>
      <c r="Q13" s="25" t="str">
        <f t="array" ref="Q13">INDEX('参数页-不同武将系数'!AG$27:AG$75,MATCH($B13,'参数页-不同武将系数'!$B$27:$B$75,0))</f>
        <v>能量回复等级</v>
      </c>
      <c r="R13" s="25" t="str">
        <f t="array" ref="R13">INDEX('参数页-不同武将系数'!AZ$27:AZ$75,MATCH($B13,'参数页-不同武将系数'!$B$27:$B$75,0))</f>
        <v>物理伤害加成</v>
      </c>
      <c r="S13" s="25" t="str">
        <f t="array" ref="S13">INDEX('参数页-不同武将系数'!BA$27:BA$75,MATCH($B13,'参数页-不同武将系数'!$B$27:$B$75,0))</f>
        <v>技能伤害加成</v>
      </c>
      <c r="T13" s="25" t="str">
        <f t="array" ref="T13">INDEX('参数页-不同武将系数'!E$27:E$75,MATCH($B13,'参数页-不同武将系数'!$B$27:$B$75,0))</f>
        <v>物理</v>
      </c>
      <c r="U13"/>
      <c r="V13"/>
      <c r="W13"/>
      <c r="X13"/>
      <c r="Y13"/>
      <c r="Z13"/>
    </row>
    <row r="14" spans="2:26">
      <c r="B14" s="29" t="s">
        <v>908</v>
      </c>
      <c r="C14" s="25">
        <f t="array" ref="C14">INDEX('参数页-不同武将系数'!S$27:S$75,MATCH($B14,'参数页-不同武将系数'!$B$27:$B$75,0))</f>
        <v>5500</v>
      </c>
      <c r="D14" s="25">
        <f t="array" ref="D14">INDEX('参数页-不同武将系数'!T$27:T$75,MATCH($B14,'参数页-不同武将系数'!$B$27:$B$75,0))</f>
        <v>440</v>
      </c>
      <c r="E14" s="25">
        <f t="array" ref="E14">INDEX('参数页-不同武将系数'!U$27:U$75,MATCH($B14,'参数页-不同武将系数'!$B$27:$B$75,0))</f>
        <v>1026</v>
      </c>
      <c r="F14" s="25">
        <f t="array" ref="F14">INDEX('参数页-不同武将系数'!V$27:V$75,MATCH($B14,'参数页-不同武将系数'!$B$27:$B$75,0))</f>
        <v>82.08</v>
      </c>
      <c r="G14" s="25">
        <f t="array" ref="G14">INDEX('参数页-不同武将系数'!W$27:W$75,MATCH($B14,'参数页-不同武将系数'!$B$27:$B$75,0))</f>
        <v>1283</v>
      </c>
      <c r="H14" s="25">
        <f t="array" ref="H14">INDEX('参数页-不同武将系数'!X$27:X$75,MATCH($B14,'参数页-不同武将系数'!$B$27:$B$75,0))</f>
        <v>102.64</v>
      </c>
      <c r="I14" s="25">
        <f t="array" ref="I14">INDEX('参数页-不同武将系数'!Y$27:Y$75,MATCH($B14,'参数页-不同武将系数'!$B$27:$B$75,0))</f>
        <v>1100</v>
      </c>
      <c r="J14" s="25">
        <f t="array" ref="J14">INDEX('参数页-不同武将系数'!Z$27:Z$75,MATCH($B14,'参数页-不同武将系数'!$B$27:$B$75,0))</f>
        <v>88</v>
      </c>
      <c r="K14" s="25">
        <f t="array" ref="K14">INDEX('参数页-不同武将系数'!AA$27:AA$75,MATCH($B14,'参数页-不同武将系数'!$B$27:$B$75,0))</f>
        <v>468.6</v>
      </c>
      <c r="L14" s="25">
        <f t="array" ref="L14">INDEX('参数页-不同武将系数'!AB$27:AB$75,MATCH($B14,'参数页-不同武将系数'!$B$27:$B$75,0))</f>
        <v>87.55</v>
      </c>
      <c r="M14" s="25">
        <f t="array" ref="M14">INDEX('参数页-不同武将系数'!AC$27:AC$75,MATCH($B14,'参数页-不同武将系数'!$B$27:$B$75,0))</f>
        <v>109.44</v>
      </c>
      <c r="N14" s="25">
        <f t="array" ref="N14">INDEX('参数页-不同武将系数'!AD$27:AD$75,MATCH($B14,'参数页-不同武将系数'!$B$27:$B$75,0))</f>
        <v>93.5</v>
      </c>
      <c r="O14" s="25" t="str">
        <f t="array" ref="O14">INDEX('参数页-不同武将系数'!AE$27:AE$75,MATCH($B14,'参数页-不同武将系数'!$B$27:$B$75,0))</f>
        <v>攻击百分比</v>
      </c>
      <c r="P14" s="25" t="str">
        <f t="array" ref="P14">INDEX('参数页-不同武将系数'!AF$27:AF$75,MATCH($B14,'参数页-不同武将系数'!$B$27:$B$75,0))</f>
        <v>治疗率</v>
      </c>
      <c r="Q14" s="25" t="str">
        <f t="array" ref="Q14">INDEX('参数页-不同武将系数'!AG$27:AG$75,MATCH($B14,'参数页-不同武将系数'!$B$27:$B$75,0))</f>
        <v>技能冷却等级</v>
      </c>
      <c r="R14" s="25" t="str">
        <f t="array" ref="R14">INDEX('参数页-不同武将系数'!AZ$27:AZ$75,MATCH($B14,'参数页-不同武将系数'!$B$27:$B$75,0))</f>
        <v>魔法伤害加成</v>
      </c>
      <c r="S14" s="25" t="str">
        <f t="array" ref="S14">INDEX('参数页-不同武将系数'!BA$27:BA$75,MATCH($B14,'参数页-不同武将系数'!$B$27:$B$75,0))</f>
        <v>治疗率</v>
      </c>
      <c r="T14" s="25" t="str">
        <f t="array" ref="T14">INDEX('参数页-不同武将系数'!E$27:E$75,MATCH($B14,'参数页-不同武将系数'!$B$27:$B$75,0))</f>
        <v>魔法</v>
      </c>
      <c r="U14"/>
      <c r="V14"/>
      <c r="W14"/>
      <c r="X14"/>
      <c r="Y14"/>
      <c r="Z14"/>
    </row>
    <row r="15" spans="2:26">
      <c r="B15" s="29" t="s">
        <v>909</v>
      </c>
      <c r="C15" s="25">
        <f t="array" ref="C15">INDEX('参数页-不同武将系数'!S$27:S$75,MATCH($B15,'参数页-不同武将系数'!$B$27:$B$75,0))</f>
        <v>5100</v>
      </c>
      <c r="D15" s="25">
        <f t="array" ref="D15">INDEX('参数页-不同武将系数'!T$27:T$75,MATCH($B15,'参数页-不同武将系数'!$B$27:$B$75,0))</f>
        <v>408</v>
      </c>
      <c r="E15" s="25">
        <f t="array" ref="E15">INDEX('参数页-不同武将系数'!U$27:U$75,MATCH($B15,'参数页-不同武将系数'!$B$27:$B$75,0))</f>
        <v>1208</v>
      </c>
      <c r="F15" s="25">
        <f t="array" ref="F15">INDEX('参数页-不同武将系数'!V$27:V$75,MATCH($B15,'参数页-不同武将系数'!$B$27:$B$75,0))</f>
        <v>96.64</v>
      </c>
      <c r="G15" s="25">
        <f t="array" ref="G15">INDEX('参数页-不同武将系数'!W$27:W$75,MATCH($B15,'参数页-不同武将系数'!$B$27:$B$75,0))</f>
        <v>840</v>
      </c>
      <c r="H15" s="25">
        <f t="array" ref="H15">INDEX('参数页-不同武将系数'!X$27:X$75,MATCH($B15,'参数页-不同武将系数'!$B$27:$B$75,0))</f>
        <v>67.2</v>
      </c>
      <c r="I15" s="25">
        <f t="array" ref="I15">INDEX('参数页-不同武将系数'!Y$27:Y$75,MATCH($B15,'参数页-不同武将系数'!$B$27:$B$75,0))</f>
        <v>1100</v>
      </c>
      <c r="J15" s="25">
        <f t="array" ref="J15">INDEX('参数页-不同武将系数'!Z$27:Z$75,MATCH($B15,'参数页-不同武将系数'!$B$27:$B$75,0))</f>
        <v>88</v>
      </c>
      <c r="K15" s="25">
        <f t="array" ref="K15">INDEX('参数页-不同武将系数'!AA$27:AA$75,MATCH($B15,'参数页-不同武将系数'!$B$27:$B$75,0))</f>
        <v>434.52</v>
      </c>
      <c r="L15" s="25">
        <f t="array" ref="L15">INDEX('参数页-不同武将系数'!AB$27:AB$75,MATCH($B15,'参数页-不同武将系数'!$B$27:$B$75,0))</f>
        <v>103.04</v>
      </c>
      <c r="M15" s="25">
        <f t="array" ref="M15">INDEX('参数页-不同武将系数'!AC$27:AC$75,MATCH($B15,'参数页-不同武将系数'!$B$27:$B$75,0))</f>
        <v>71.68</v>
      </c>
      <c r="N15" s="25">
        <f t="array" ref="N15">INDEX('参数页-不同武将系数'!AD$27:AD$75,MATCH($B15,'参数页-不同武将系数'!$B$27:$B$75,0))</f>
        <v>93.5</v>
      </c>
      <c r="O15" s="25" t="str">
        <f t="array" ref="O15">INDEX('参数页-不同武将系数'!AE$27:AE$75,MATCH($B15,'参数页-不同武将系数'!$B$27:$B$75,0))</f>
        <v>攻击百分比</v>
      </c>
      <c r="P15" s="25" t="str">
        <f t="array" ref="P15">INDEX('参数页-不同武将系数'!AF$27:AF$75,MATCH($B15,'参数页-不同武将系数'!$B$27:$B$75,0))</f>
        <v>技能伤害加成</v>
      </c>
      <c r="Q15" s="25" t="str">
        <f t="array" ref="Q15">INDEX('参数页-不同武将系数'!AG$27:AG$75,MATCH($B15,'参数页-不同武将系数'!$B$27:$B$75,0))</f>
        <v>暴击等级</v>
      </c>
      <c r="R15" s="25" t="str">
        <f t="array" ref="R15">INDEX('参数页-不同武将系数'!AZ$27:AZ$75,MATCH($B15,'参数页-不同武将系数'!$B$27:$B$75,0))</f>
        <v>物理伤害加成</v>
      </c>
      <c r="S15" s="25" t="str">
        <f t="array" ref="S15">INDEX('参数页-不同武将系数'!BA$27:BA$75,MATCH($B15,'参数页-不同武将系数'!$B$27:$B$75,0))</f>
        <v>暴击等级</v>
      </c>
      <c r="T15" s="25" t="str">
        <f t="array" ref="T15">INDEX('参数页-不同武将系数'!E$27:E$75,MATCH($B15,'参数页-不同武将系数'!$B$27:$B$75,0))</f>
        <v>物理</v>
      </c>
      <c r="U15"/>
      <c r="V15"/>
      <c r="W15"/>
      <c r="X15"/>
      <c r="Y15"/>
      <c r="Z15"/>
    </row>
    <row r="16" spans="2:26">
      <c r="B16" s="29" t="s">
        <v>910</v>
      </c>
      <c r="C16" s="25">
        <f t="array" ref="C16">INDEX('参数页-不同武将系数'!S$27:S$75,MATCH($B16,'参数页-不同武将系数'!$B$27:$B$75,0))</f>
        <v>3600</v>
      </c>
      <c r="D16" s="25">
        <f t="array" ref="D16">INDEX('参数页-不同武将系数'!T$27:T$75,MATCH($B16,'参数页-不同武将系数'!$B$27:$B$75,0))</f>
        <v>288</v>
      </c>
      <c r="E16" s="25">
        <f t="array" ref="E16">INDEX('参数页-不同武将系数'!U$27:U$75,MATCH($B16,'参数页-不同武将系数'!$B$27:$B$75,0))</f>
        <v>1320</v>
      </c>
      <c r="F16" s="25">
        <f t="array" ref="F16">INDEX('参数页-不同武将系数'!V$27:V$75,MATCH($B16,'参数页-不同武将系数'!$B$27:$B$75,0))</f>
        <v>105.6</v>
      </c>
      <c r="G16" s="25">
        <f t="array" ref="G16">INDEX('参数页-不同武将系数'!W$27:W$75,MATCH($B16,'参数页-不同武将系数'!$B$27:$B$75,0))</f>
        <v>1056</v>
      </c>
      <c r="H16" s="25">
        <f t="array" ref="H16">INDEX('参数页-不同武将系数'!X$27:X$75,MATCH($B16,'参数页-不同武将系数'!$B$27:$B$75,0))</f>
        <v>84.48</v>
      </c>
      <c r="I16" s="25">
        <f t="array" ref="I16">INDEX('参数页-不同武将系数'!Y$27:Y$75,MATCH($B16,'参数页-不同武将系数'!$B$27:$B$75,0))</f>
        <v>800</v>
      </c>
      <c r="J16" s="25">
        <f t="array" ref="J16">INDEX('参数页-不同武将系数'!Z$27:Z$75,MATCH($B16,'参数页-不同武将系数'!$B$27:$B$75,0))</f>
        <v>64</v>
      </c>
      <c r="K16" s="25">
        <f t="array" ref="K16">INDEX('参数页-不同武将系数'!AA$27:AA$75,MATCH($B16,'参数页-不同武将系数'!$B$27:$B$75,0))</f>
        <v>306.72</v>
      </c>
      <c r="L16" s="25">
        <f t="array" ref="L16">INDEX('参数页-不同武将系数'!AB$27:AB$75,MATCH($B16,'参数页-不同武将系数'!$B$27:$B$75,0))</f>
        <v>112.64</v>
      </c>
      <c r="M16" s="25">
        <f t="array" ref="M16">INDEX('参数页-不同武将系数'!AC$27:AC$75,MATCH($B16,'参数页-不同武将系数'!$B$27:$B$75,0))</f>
        <v>90.11</v>
      </c>
      <c r="N16" s="25">
        <f t="array" ref="N16">INDEX('参数页-不同武将系数'!AD$27:AD$75,MATCH($B16,'参数页-不同武将系数'!$B$27:$B$75,0))</f>
        <v>68</v>
      </c>
      <c r="O16" s="25" t="str">
        <f t="array" ref="O16">INDEX('参数页-不同武将系数'!AE$27:AE$75,MATCH($B16,'参数页-不同武将系数'!$B$27:$B$75,0))</f>
        <v>攻击百分比</v>
      </c>
      <c r="P16" s="25" t="str">
        <f t="array" ref="P16">INDEX('参数页-不同武将系数'!AF$27:AF$75,MATCH($B16,'参数页-不同武将系数'!$B$27:$B$75,0))</f>
        <v>暴击等级</v>
      </c>
      <c r="Q16" s="25" t="str">
        <f t="array" ref="Q16">INDEX('参数页-不同武将系数'!AG$27:AG$75,MATCH($B16,'参数页-不同武将系数'!$B$27:$B$75,0))</f>
        <v>暴击伤害等级</v>
      </c>
      <c r="R16" s="25" t="str">
        <f t="array" ref="R16">INDEX('参数页-不同武将系数'!AZ$27:AZ$75,MATCH($B16,'参数页-不同武将系数'!$B$27:$B$75,0))</f>
        <v>物理伤害加成</v>
      </c>
      <c r="S16" s="25" t="str">
        <f t="array" ref="S16">INDEX('参数页-不同武将系数'!BA$27:BA$75,MATCH($B16,'参数页-不同武将系数'!$B$27:$B$75,0))</f>
        <v>暴击伤害等级</v>
      </c>
      <c r="T16" s="25" t="str">
        <f t="array" ref="T16">INDEX('参数页-不同武将系数'!E$27:E$75,MATCH($B16,'参数页-不同武将系数'!$B$27:$B$75,0))</f>
        <v>物理</v>
      </c>
      <c r="U16"/>
      <c r="V16"/>
      <c r="W16"/>
      <c r="X16"/>
      <c r="Y16"/>
      <c r="Z16"/>
    </row>
    <row r="17" spans="2:26">
      <c r="B17" s="29" t="s">
        <v>318</v>
      </c>
      <c r="C17" s="25">
        <f t="array" ref="C17">INDEX('参数页-不同武将系数'!S$27:S$75,MATCH($B17,'参数页-不同武将系数'!$B$27:$B$75,0))</f>
        <v>5600</v>
      </c>
      <c r="D17" s="25">
        <f t="array" ref="D17">INDEX('参数页-不同武将系数'!T$27:T$75,MATCH($B17,'参数页-不同武将系数'!$B$27:$B$75,0))</f>
        <v>448</v>
      </c>
      <c r="E17" s="25">
        <f t="array" ref="E17">INDEX('参数页-不同武将系数'!U$27:U$75,MATCH($B17,'参数页-不同武将系数'!$B$27:$B$75,0))</f>
        <v>720</v>
      </c>
      <c r="F17" s="25">
        <f t="array" ref="F17">INDEX('参数页-不同武将系数'!V$27:V$75,MATCH($B17,'参数页-不同武将系数'!$B$27:$B$75,0))</f>
        <v>57.6</v>
      </c>
      <c r="G17" s="25">
        <f t="array" ref="G17">INDEX('参数页-不同武将系数'!W$27:W$75,MATCH($B17,'参数页-不同武将系数'!$B$27:$B$75,0))</f>
        <v>576</v>
      </c>
      <c r="H17" s="25">
        <f t="array" ref="H17">INDEX('参数页-不同武将系数'!X$27:X$75,MATCH($B17,'参数页-不同武将系数'!$B$27:$B$75,0))</f>
        <v>46.08</v>
      </c>
      <c r="I17" s="25">
        <f t="array" ref="I17">INDEX('参数页-不同武将系数'!Y$27:Y$75,MATCH($B17,'参数页-不同武将系数'!$B$27:$B$75,0))</f>
        <v>800</v>
      </c>
      <c r="J17" s="25">
        <f t="array" ref="J17">INDEX('参数页-不同武将系数'!Z$27:Z$75,MATCH($B17,'参数页-不同武将系数'!$B$27:$B$75,0))</f>
        <v>64</v>
      </c>
      <c r="K17" s="25">
        <f t="array" ref="K17">INDEX('参数页-不同武将系数'!AA$27:AA$75,MATCH($B17,'参数页-不同武将系数'!$B$27:$B$75,0))</f>
        <v>477.12</v>
      </c>
      <c r="L17" s="25">
        <f t="array" ref="L17">INDEX('参数页-不同武将系数'!AB$27:AB$75,MATCH($B17,'参数页-不同武将系数'!$B$27:$B$75,0))</f>
        <v>61.44</v>
      </c>
      <c r="M17" s="25">
        <f t="array" ref="M17">INDEX('参数页-不同武将系数'!AC$27:AC$75,MATCH($B17,'参数页-不同武将系数'!$B$27:$B$75,0))</f>
        <v>49.15</v>
      </c>
      <c r="N17" s="25">
        <f t="array" ref="N17">INDEX('参数页-不同武将系数'!AD$27:AD$75,MATCH($B17,'参数页-不同武将系数'!$B$27:$B$75,0))</f>
        <v>68</v>
      </c>
      <c r="O17" s="25" t="str">
        <f t="array" ref="O17">INDEX('参数页-不同武将系数'!AE$27:AE$75,MATCH($B17,'参数页-不同武将系数'!$B$27:$B$75,0))</f>
        <v>防御百分比</v>
      </c>
      <c r="P17" s="25" t="str">
        <f t="array" ref="P17">INDEX('参数页-不同武将系数'!AF$27:AF$75,MATCH($B17,'参数页-不同武将系数'!$B$27:$B$75,0))</f>
        <v>生命值百分比</v>
      </c>
      <c r="Q17" s="25" t="str">
        <f t="array" ref="Q17">INDEX('参数页-不同武将系数'!AG$27:AG$75,MATCH($B17,'参数页-不同武将系数'!$B$27:$B$75,0))</f>
        <v>技能冷却等级</v>
      </c>
      <c r="R17" s="25" t="str">
        <f t="array" ref="R17">INDEX('参数页-不同武将系数'!AZ$27:AZ$75,MATCH($B17,'参数页-不同武将系数'!$B$27:$B$75,0))</f>
        <v>能量回复等级</v>
      </c>
      <c r="S17" s="25" t="str">
        <f t="array" ref="S17">INDEX('参数页-不同武将系数'!BA$27:BA$75,MATCH($B17,'参数页-不同武将系数'!$B$27:$B$75,0))</f>
        <v>技能冷却等级</v>
      </c>
      <c r="T17" s="25" t="str">
        <f t="array" ref="T17">INDEX('参数页-不同武将系数'!E$27:E$75,MATCH($B17,'参数页-不同武将系数'!$B$27:$B$75,0))</f>
        <v>物理</v>
      </c>
      <c r="U17"/>
      <c r="V17"/>
      <c r="W17"/>
      <c r="X17"/>
      <c r="Y17"/>
      <c r="Z17"/>
    </row>
    <row r="18" spans="2:26">
      <c r="B18" s="29" t="s">
        <v>324</v>
      </c>
      <c r="C18" s="25">
        <f t="array" ref="C18">INDEX('参数页-不同武将系数'!S$27:S$75,MATCH($B18,'参数页-不同武将系数'!$B$27:$B$75,0))</f>
        <v>5940</v>
      </c>
      <c r="D18" s="25">
        <f t="array" ref="D18">INDEX('参数页-不同武将系数'!T$27:T$75,MATCH($B18,'参数页-不同武将系数'!$B$27:$B$75,0))</f>
        <v>475.2</v>
      </c>
      <c r="E18" s="25">
        <f t="array" ref="E18">INDEX('参数页-不同武将系数'!U$27:U$75,MATCH($B18,'参数页-不同武将系数'!$B$27:$B$75,0))</f>
        <v>848</v>
      </c>
      <c r="F18" s="25">
        <f t="array" ref="F18">INDEX('参数页-不同武将系数'!V$27:V$75,MATCH($B18,'参数页-不同武将系数'!$B$27:$B$75,0))</f>
        <v>67.84</v>
      </c>
      <c r="G18" s="25">
        <f t="array" ref="G18">INDEX('参数页-不同武将系数'!W$27:W$75,MATCH($B18,'参数页-不同武将系数'!$B$27:$B$75,0))</f>
        <v>1103</v>
      </c>
      <c r="H18" s="25">
        <f t="array" ref="H18">INDEX('参数页-不同武将系数'!X$27:X$75,MATCH($B18,'参数页-不同武将系数'!$B$27:$B$75,0))</f>
        <v>88.24</v>
      </c>
      <c r="I18" s="25">
        <f t="array" ref="I18">INDEX('参数页-不同武将系数'!Y$27:Y$75,MATCH($B18,'参数页-不同武将系数'!$B$27:$B$75,0))</f>
        <v>1045</v>
      </c>
      <c r="J18" s="25">
        <f t="array" ref="J18">INDEX('参数页-不同武将系数'!Z$27:Z$75,MATCH($B18,'参数页-不同武将系数'!$B$27:$B$75,0))</f>
        <v>83.6</v>
      </c>
      <c r="K18" s="25">
        <f t="array" ref="K18">INDEX('参数页-不同武将系数'!AA$27:AA$75,MATCH($B18,'参数页-不同武将系数'!$B$27:$B$75,0))</f>
        <v>506.09</v>
      </c>
      <c r="L18" s="25">
        <f t="array" ref="L18">INDEX('参数页-不同武将系数'!AB$27:AB$75,MATCH($B18,'参数页-不同武将系数'!$B$27:$B$75,0))</f>
        <v>72.4</v>
      </c>
      <c r="M18" s="25">
        <f t="array" ref="M18">INDEX('参数页-不同武将系数'!AC$27:AC$75,MATCH($B18,'参数页-不同武将系数'!$B$27:$B$75,0))</f>
        <v>94.08</v>
      </c>
      <c r="N18" s="25">
        <f t="array" ref="N18">INDEX('参数页-不同武将系数'!AD$27:AD$75,MATCH($B18,'参数页-不同武将系数'!$B$27:$B$75,0))</f>
        <v>88.83</v>
      </c>
      <c r="O18" s="25" t="str">
        <f t="array" ref="O18">INDEX('参数页-不同武将系数'!AE$27:AE$75,MATCH($B18,'参数页-不同武将系数'!$B$27:$B$75,0))</f>
        <v>攻击百分比</v>
      </c>
      <c r="P18" s="25" t="str">
        <f t="array" ref="P18">INDEX('参数页-不同武将系数'!AF$27:AF$75,MATCH($B18,'参数页-不同武将系数'!$B$27:$B$75,0))</f>
        <v>必杀伤害加成</v>
      </c>
      <c r="Q18" s="25" t="str">
        <f t="array" ref="Q18">INDEX('参数页-不同武将系数'!AG$27:AG$75,MATCH($B18,'参数页-不同武将系数'!$B$27:$B$75,0))</f>
        <v>暴击等级</v>
      </c>
      <c r="R18" s="25" t="str">
        <f t="array" ref="R18">INDEX('参数页-不同武将系数'!AZ$27:AZ$75,MATCH($B18,'参数页-不同武将系数'!$B$27:$B$75,0))</f>
        <v>魔法伤害加成</v>
      </c>
      <c r="S18" s="25" t="str">
        <f t="array" ref="S18">INDEX('参数页-不同武将系数'!BA$27:BA$75,MATCH($B18,'参数页-不同武将系数'!$B$27:$B$75,0))</f>
        <v>必杀伤害加成</v>
      </c>
      <c r="T18" s="25" t="str">
        <f t="array" ref="T18">INDEX('参数页-不同武将系数'!E$27:E$75,MATCH($B18,'参数页-不同武将系数'!$B$27:$B$75,0))</f>
        <v>魔法</v>
      </c>
      <c r="U18"/>
      <c r="V18"/>
      <c r="W18"/>
      <c r="X18"/>
      <c r="Y18"/>
      <c r="Z18"/>
    </row>
    <row r="19" spans="2:26">
      <c r="B19" s="29" t="s">
        <v>335</v>
      </c>
      <c r="C19" s="25">
        <f t="array" ref="C19">INDEX('参数页-不同武将系数'!S$27:S$75,MATCH($B19,'参数页-不同武将系数'!$B$27:$B$75,0))</f>
        <v>4080</v>
      </c>
      <c r="D19" s="25">
        <f t="array" ref="D19">INDEX('参数页-不同武将系数'!T$27:T$75,MATCH($B19,'参数页-不同武将系数'!$B$27:$B$75,0))</f>
        <v>326.4</v>
      </c>
      <c r="E19" s="25">
        <f t="array" ref="E19">INDEX('参数页-不同武将系数'!U$27:U$75,MATCH($B19,'参数页-不同武将系数'!$B$27:$B$75,0))</f>
        <v>873</v>
      </c>
      <c r="F19" s="25">
        <f t="array" ref="F19">INDEX('参数页-不同武将系数'!V$27:V$75,MATCH($B19,'参数页-不同武将系数'!$B$27:$B$75,0))</f>
        <v>69.84</v>
      </c>
      <c r="G19" s="25">
        <f t="array" ref="G19">INDEX('参数页-不同武将系数'!W$27:W$75,MATCH($B19,'参数页-不同武将系数'!$B$27:$B$75,0))</f>
        <v>1134</v>
      </c>
      <c r="H19" s="25">
        <f t="array" ref="H19">INDEX('参数页-不同武将系数'!X$27:X$75,MATCH($B19,'参数页-不同武将系数'!$B$27:$B$75,0))</f>
        <v>90.72</v>
      </c>
      <c r="I19" s="25">
        <f t="array" ref="I19">INDEX('参数页-不同武将系数'!Y$27:Y$75,MATCH($B19,'参数页-不同武将系数'!$B$27:$B$75,0))</f>
        <v>836</v>
      </c>
      <c r="J19" s="25">
        <f t="array" ref="J19">INDEX('参数页-不同武将系数'!Z$27:Z$75,MATCH($B19,'参数页-不同武将系数'!$B$27:$B$75,0))</f>
        <v>66.88</v>
      </c>
      <c r="K19" s="25">
        <f t="array" ref="K19">INDEX('参数页-不同武将系数'!AA$27:AA$75,MATCH($B19,'参数页-不同武将系数'!$B$27:$B$75,0))</f>
        <v>347.62</v>
      </c>
      <c r="L19" s="25">
        <f t="array" ref="L19">INDEX('参数页-不同武将系数'!AB$27:AB$75,MATCH($B19,'参数页-不同武将系数'!$B$27:$B$75,0))</f>
        <v>74.47</v>
      </c>
      <c r="M19" s="25">
        <f t="array" ref="M19">INDEX('参数页-不同武将系数'!AC$27:AC$75,MATCH($B19,'参数页-不同武将系数'!$B$27:$B$75,0))</f>
        <v>96.77</v>
      </c>
      <c r="N19" s="25">
        <f t="array" ref="N19">INDEX('参数页-不同武将系数'!AD$27:AD$75,MATCH($B19,'参数页-不同武将系数'!$B$27:$B$75,0))</f>
        <v>71.06</v>
      </c>
      <c r="O19" s="25" t="str">
        <f t="array" ref="O19">INDEX('参数页-不同武将系数'!AE$27:AE$75,MATCH($B19,'参数页-不同武将系数'!$B$27:$B$75,0))</f>
        <v>攻击百分比</v>
      </c>
      <c r="P19" s="25" t="str">
        <f t="array" ref="P19">INDEX('参数页-不同武将系数'!AF$27:AF$75,MATCH($B19,'参数页-不同武将系数'!$B$27:$B$75,0))</f>
        <v>治疗率</v>
      </c>
      <c r="Q19" s="25" t="str">
        <f t="array" ref="Q19">INDEX('参数页-不同武将系数'!AG$27:AG$75,MATCH($B19,'参数页-不同武将系数'!$B$27:$B$75,0))</f>
        <v>能量回复等级</v>
      </c>
      <c r="R19" s="25" t="str">
        <f t="array" ref="R19">INDEX('参数页-不同武将系数'!AZ$27:AZ$75,MATCH($B19,'参数页-不同武将系数'!$B$27:$B$75,0))</f>
        <v>魔法伤害加成</v>
      </c>
      <c r="S19" s="25" t="str">
        <f t="array" ref="S19">INDEX('参数页-不同武将系数'!BA$27:BA$75,MATCH($B19,'参数页-不同武将系数'!$B$27:$B$75,0))</f>
        <v>治疗率</v>
      </c>
      <c r="T19" s="25" t="str">
        <f t="array" ref="T19">INDEX('参数页-不同武将系数'!E$27:E$75,MATCH($B19,'参数页-不同武将系数'!$B$27:$B$75,0))</f>
        <v>魔法</v>
      </c>
      <c r="U19"/>
      <c r="V19"/>
      <c r="W19"/>
      <c r="X19"/>
      <c r="Y19"/>
      <c r="Z19"/>
    </row>
    <row r="20" spans="2:26">
      <c r="B20" s="29" t="s">
        <v>341</v>
      </c>
      <c r="C20" s="25">
        <f t="array" ref="C20">INDEX('参数页-不同武将系数'!S$27:S$75,MATCH($B20,'参数页-不同武将系数'!$B$27:$B$75,0))</f>
        <v>4200</v>
      </c>
      <c r="D20" s="25">
        <f t="array" ref="D20">INDEX('参数页-不同武将系数'!T$27:T$75,MATCH($B20,'参数页-不同武将系数'!$B$27:$B$75,0))</f>
        <v>336</v>
      </c>
      <c r="E20" s="25">
        <f t="array" ref="E20">INDEX('参数页-不同武将系数'!U$27:U$75,MATCH($B20,'参数页-不同武将系数'!$B$27:$B$75,0))</f>
        <v>1163</v>
      </c>
      <c r="F20" s="25">
        <f t="array" ref="F20">INDEX('参数页-不同武将系数'!V$27:V$75,MATCH($B20,'参数页-不同武将系数'!$B$27:$B$75,0))</f>
        <v>93.04</v>
      </c>
      <c r="G20" s="25">
        <f t="array" ref="G20">INDEX('参数页-不同武将系数'!W$27:W$75,MATCH($B20,'参数页-不同武将系数'!$B$27:$B$75,0))</f>
        <v>912</v>
      </c>
      <c r="H20" s="25">
        <f t="array" ref="H20">INDEX('参数页-不同武将系数'!X$27:X$75,MATCH($B20,'参数页-不同武将系数'!$B$27:$B$75,0))</f>
        <v>72.96</v>
      </c>
      <c r="I20" s="25">
        <f t="array" ref="I20">INDEX('参数页-不同武将系数'!Y$27:Y$75,MATCH($B20,'参数页-不同武将系数'!$B$27:$B$75,0))</f>
        <v>784</v>
      </c>
      <c r="J20" s="25">
        <f t="array" ref="J20">INDEX('参数页-不同武将系数'!Z$27:Z$75,MATCH($B20,'参数页-不同武将系数'!$B$27:$B$75,0))</f>
        <v>62.72</v>
      </c>
      <c r="K20" s="25">
        <f t="array" ref="K20">INDEX('参数页-不同武将系数'!AA$27:AA$75,MATCH($B20,'参数页-不同武将系数'!$B$27:$B$75,0))</f>
        <v>357.84</v>
      </c>
      <c r="L20" s="25">
        <f t="array" ref="L20">INDEX('参数页-不同武将系数'!AB$27:AB$75,MATCH($B20,'参数页-不同武将系数'!$B$27:$B$75,0))</f>
        <v>99.23</v>
      </c>
      <c r="M20" s="25">
        <f t="array" ref="M20">INDEX('参数页-不同武将系数'!AC$27:AC$75,MATCH($B20,'参数页-不同武将系数'!$B$27:$B$75,0))</f>
        <v>77.82</v>
      </c>
      <c r="N20" s="25">
        <f t="array" ref="N20">INDEX('参数页-不同武将系数'!AD$27:AD$75,MATCH($B20,'参数页-不同武将系数'!$B$27:$B$75,0))</f>
        <v>66.64</v>
      </c>
      <c r="O20" s="25" t="str">
        <f t="array" ref="O20">INDEX('参数页-不同武将系数'!AE$27:AE$75,MATCH($B20,'参数页-不同武将系数'!$B$27:$B$75,0))</f>
        <v>攻击百分比</v>
      </c>
      <c r="P20" s="25" t="str">
        <f t="array" ref="P20">INDEX('参数页-不同武将系数'!AF$27:AF$75,MATCH($B20,'参数页-不同武将系数'!$B$27:$B$75,0))</f>
        <v>必杀伤害加成</v>
      </c>
      <c r="Q20" s="25" t="str">
        <f t="array" ref="Q20">INDEX('参数页-不同武将系数'!AG$27:AG$75,MATCH($B20,'参数页-不同武将系数'!$B$27:$B$75,0))</f>
        <v>技能伤害加成</v>
      </c>
      <c r="R20" s="25" t="str">
        <f t="array" ref="R20">INDEX('参数页-不同武将系数'!AZ$27:AZ$75,MATCH($B20,'参数页-不同武将系数'!$B$27:$B$75,0))</f>
        <v>物理伤害加成</v>
      </c>
      <c r="S20" s="25" t="str">
        <f t="array" ref="S20">INDEX('参数页-不同武将系数'!BA$27:BA$75,MATCH($B20,'参数页-不同武将系数'!$B$27:$B$75,0))</f>
        <v>必杀伤害加成</v>
      </c>
      <c r="T20" s="25" t="str">
        <f t="array" ref="T20">INDEX('参数页-不同武将系数'!E$27:E$75,MATCH($B20,'参数页-不同武将系数'!$B$27:$B$75,0))</f>
        <v>物理</v>
      </c>
      <c r="U20"/>
      <c r="V20"/>
      <c r="W20"/>
      <c r="X20"/>
      <c r="Y20"/>
      <c r="Z20"/>
    </row>
    <row r="21" spans="2:26">
      <c r="B21" s="29" t="s">
        <v>342</v>
      </c>
      <c r="C21" s="25">
        <f t="array" ref="C21">INDEX('参数页-不同武将系数'!S$27:S$75,MATCH($B21,'参数页-不同武将系数'!$B$27:$B$75,0))</f>
        <v>5520</v>
      </c>
      <c r="D21" s="25">
        <f t="array" ref="D21">INDEX('参数页-不同武将系数'!T$27:T$75,MATCH($B21,'参数页-不同武将系数'!$B$27:$B$75,0))</f>
        <v>441.6</v>
      </c>
      <c r="E21" s="25">
        <f t="array" ref="E21">INDEX('参数页-不同武将系数'!U$27:U$75,MATCH($B21,'参数页-不同武将系数'!$B$27:$B$75,0))</f>
        <v>775</v>
      </c>
      <c r="F21" s="25">
        <f t="array" ref="F21">INDEX('参数页-不同武将系数'!V$27:V$75,MATCH($B21,'参数页-不同武将系数'!$B$27:$B$75,0))</f>
        <v>62</v>
      </c>
      <c r="G21" s="25">
        <f t="array" ref="G21">INDEX('参数页-不同武将系数'!W$27:W$75,MATCH($B21,'参数页-不同武将系数'!$B$27:$B$75,0))</f>
        <v>969</v>
      </c>
      <c r="H21" s="25">
        <f t="array" ref="H21">INDEX('参数页-不同武将系数'!X$27:X$75,MATCH($B21,'参数页-不同武将系数'!$B$27:$B$75,0))</f>
        <v>77.52</v>
      </c>
      <c r="I21" s="25">
        <f t="array" ref="I21">INDEX('参数页-不同武将系数'!Y$27:Y$75,MATCH($B21,'参数页-不同武将系数'!$B$27:$B$75,0))</f>
        <v>760</v>
      </c>
      <c r="J21" s="25">
        <f t="array" ref="J21">INDEX('参数页-不同武将系数'!Z$27:Z$75,MATCH($B21,'参数页-不同武将系数'!$B$27:$B$75,0))</f>
        <v>60.8</v>
      </c>
      <c r="K21" s="25">
        <f t="array" ref="K21">INDEX('参数页-不同武将系数'!AA$27:AA$75,MATCH($B21,'参数页-不同武将系数'!$B$27:$B$75,0))</f>
        <v>470.3</v>
      </c>
      <c r="L21" s="25">
        <f t="array" ref="L21">INDEX('参数页-不同武将系数'!AB$27:AB$75,MATCH($B21,'参数页-不同武将系数'!$B$27:$B$75,0))</f>
        <v>66.15</v>
      </c>
      <c r="M21" s="25">
        <f t="array" ref="M21">INDEX('参数页-不同武将系数'!AC$27:AC$75,MATCH($B21,'参数页-不同武将系数'!$B$27:$B$75,0))</f>
        <v>82.69</v>
      </c>
      <c r="N21" s="25">
        <f t="array" ref="N21">INDEX('参数页-不同武将系数'!AD$27:AD$75,MATCH($B21,'参数页-不同武将系数'!$B$27:$B$75,0))</f>
        <v>64.6</v>
      </c>
      <c r="O21" s="25" t="str">
        <f t="array" ref="O21">INDEX('参数页-不同武将系数'!AE$27:AE$75,MATCH($B21,'参数页-不同武将系数'!$B$27:$B$75,0))</f>
        <v>生命值百分比</v>
      </c>
      <c r="P21" s="25" t="str">
        <f t="array" ref="P21">INDEX('参数页-不同武将系数'!AF$27:AF$75,MATCH($B21,'参数页-不同武将系数'!$B$27:$B$75,0))</f>
        <v>治疗率</v>
      </c>
      <c r="Q21" s="25" t="str">
        <f t="array" ref="Q21">INDEX('参数页-不同武将系数'!AG$27:AG$75,MATCH($B21,'参数页-不同武将系数'!$B$27:$B$75,0))</f>
        <v>技能冷却等级</v>
      </c>
      <c r="R21" s="25" t="str">
        <f t="array" ref="R21">INDEX('参数页-不同武将系数'!AZ$27:AZ$75,MATCH($B21,'参数页-不同武将系数'!$B$27:$B$75,0))</f>
        <v>魔法伤害加成</v>
      </c>
      <c r="S21" s="25" t="str">
        <f t="array" ref="S21">INDEX('参数页-不同武将系数'!BA$27:BA$75,MATCH($B21,'参数页-不同武将系数'!$B$27:$B$75,0))</f>
        <v>治疗率</v>
      </c>
      <c r="T21" s="25" t="str">
        <f t="array" ref="T21">INDEX('参数页-不同武将系数'!E$27:E$75,MATCH($B21,'参数页-不同武将系数'!$B$27:$B$75,0))</f>
        <v>魔法</v>
      </c>
      <c r="U21"/>
      <c r="V21"/>
      <c r="W21"/>
      <c r="X21"/>
      <c r="Y21"/>
      <c r="Z21"/>
    </row>
    <row r="22" spans="2:26">
      <c r="B22" s="29" t="s">
        <v>338</v>
      </c>
      <c r="C22" s="25">
        <f t="array" ref="C22">INDEX('参数页-不同武将系数'!S$27:S$75,MATCH($B22,'参数页-不同武将系数'!$B$27:$B$75,0))</f>
        <v>3960</v>
      </c>
      <c r="D22" s="25">
        <f t="array" ref="D22">INDEX('参数页-不同武将系数'!T$27:T$75,MATCH($B22,'参数页-不同武将系数'!$B$27:$B$75,0))</f>
        <v>316.8</v>
      </c>
      <c r="E22" s="25">
        <f t="array" ref="E22">INDEX('参数页-不同武将系数'!U$27:U$75,MATCH($B22,'参数页-不同武将系数'!$B$27:$B$75,0))</f>
        <v>734</v>
      </c>
      <c r="F22" s="25">
        <f t="array" ref="F22">INDEX('参数页-不同武将系数'!V$27:V$75,MATCH($B22,'参数页-不同武将系数'!$B$27:$B$75,0))</f>
        <v>58.72</v>
      </c>
      <c r="G22" s="25">
        <f t="array" ref="G22">INDEX('参数页-不同武将系数'!W$27:W$75,MATCH($B22,'参数页-不同武将系数'!$B$27:$B$75,0))</f>
        <v>918</v>
      </c>
      <c r="H22" s="25">
        <f t="array" ref="H22">INDEX('参数页-不同武将系数'!X$27:X$75,MATCH($B22,'参数页-不同武将系数'!$B$27:$B$75,0))</f>
        <v>73.44</v>
      </c>
      <c r="I22" s="25">
        <f t="array" ref="I22">INDEX('参数页-不同武将系数'!Y$27:Y$75,MATCH($B22,'参数页-不同武将系数'!$B$27:$B$75,0))</f>
        <v>924</v>
      </c>
      <c r="J22" s="25">
        <f t="array" ref="J22">INDEX('参数页-不同武将系数'!Z$27:Z$75,MATCH($B22,'参数页-不同武将系数'!$B$27:$B$75,0))</f>
        <v>73.92</v>
      </c>
      <c r="K22" s="25">
        <f t="array" ref="K22">INDEX('参数页-不同武将系数'!AA$27:AA$75,MATCH($B22,'参数页-不同武将系数'!$B$27:$B$75,0))</f>
        <v>337.39</v>
      </c>
      <c r="L22" s="25">
        <f t="array" ref="L22">INDEX('参数页-不同武将系数'!AB$27:AB$75,MATCH($B22,'参数页-不同武将系数'!$B$27:$B$75,0))</f>
        <v>62.67</v>
      </c>
      <c r="M22" s="25">
        <f t="array" ref="M22">INDEX('参数页-不同武将系数'!AC$27:AC$75,MATCH($B22,'参数页-不同武将系数'!$B$27:$B$75,0))</f>
        <v>78.34</v>
      </c>
      <c r="N22" s="25">
        <f t="array" ref="N22">INDEX('参数页-不同武将系数'!AD$27:AD$75,MATCH($B22,'参数页-不同武将系数'!$B$27:$B$75,0))</f>
        <v>78.54</v>
      </c>
      <c r="O22" s="25" t="str">
        <f t="array" ref="O22">INDEX('参数页-不同武将系数'!AE$27:AE$75,MATCH($B22,'参数页-不同武将系数'!$B$27:$B$75,0))</f>
        <v>攻击百分比</v>
      </c>
      <c r="P22" s="25" t="str">
        <f t="array" ref="P22">INDEX('参数页-不同武将系数'!AF$27:AF$75,MATCH($B22,'参数页-不同武将系数'!$B$27:$B$75,0))</f>
        <v>能量回复等级</v>
      </c>
      <c r="Q22" s="25" t="str">
        <f t="array" ref="Q22">INDEX('参数页-不同武将系数'!AG$27:AG$75,MATCH($B22,'参数页-不同武将系数'!$B$27:$B$75,0))</f>
        <v>技能冷却等级</v>
      </c>
      <c r="R22" s="25" t="str">
        <f t="array" ref="R22">INDEX('参数页-不同武将系数'!AZ$27:AZ$75,MATCH($B22,'参数页-不同武将系数'!$B$27:$B$75,0))</f>
        <v>魔法伤害加成</v>
      </c>
      <c r="S22" s="25" t="str">
        <f t="array" ref="S22">INDEX('参数页-不同武将系数'!BA$27:BA$75,MATCH($B22,'参数页-不同武将系数'!$B$27:$B$75,0))</f>
        <v>能量回复等级</v>
      </c>
      <c r="T22" s="25" t="str">
        <f t="array" ref="T22">INDEX('参数页-不同武将系数'!E$27:E$75,MATCH($B22,'参数页-不同武将系数'!$B$27:$B$75,0))</f>
        <v>魔法</v>
      </c>
      <c r="U22"/>
      <c r="V22"/>
      <c r="W22"/>
      <c r="X22"/>
      <c r="Y22"/>
      <c r="Z22"/>
    </row>
    <row r="23" spans="2:26">
      <c r="B23" s="29" t="s">
        <v>332</v>
      </c>
      <c r="C23" s="25">
        <f t="array" ref="C23">INDEX('参数页-不同武将系数'!S$27:S$75,MATCH($B23,'参数页-不同武将系数'!$B$27:$B$75,0))</f>
        <v>4500</v>
      </c>
      <c r="D23" s="25">
        <f t="array" ref="D23">INDEX('参数页-不同武将系数'!T$27:T$75,MATCH($B23,'参数页-不同武将系数'!$B$27:$B$75,0))</f>
        <v>360</v>
      </c>
      <c r="E23" s="25">
        <f t="array" ref="E23">INDEX('参数页-不同武将系数'!U$27:U$75,MATCH($B23,'参数页-不同武将系数'!$B$27:$B$75,0))</f>
        <v>1646</v>
      </c>
      <c r="F23" s="25">
        <f t="array" ref="F23">INDEX('参数页-不同武将系数'!V$27:V$75,MATCH($B23,'参数页-不同武将系数'!$B$27:$B$75,0))</f>
        <v>131.68</v>
      </c>
      <c r="G23" s="25">
        <f t="array" ref="G23">INDEX('参数页-不同武将系数'!W$27:W$75,MATCH($B23,'参数页-不同武将系数'!$B$27:$B$75,0))</f>
        <v>1646</v>
      </c>
      <c r="H23" s="25">
        <f t="array" ref="H23">INDEX('参数页-不同武将系数'!X$27:X$75,MATCH($B23,'参数页-不同武将系数'!$B$27:$B$75,0))</f>
        <v>131.68</v>
      </c>
      <c r="I23" s="25">
        <f t="array" ref="I23">INDEX('参数页-不同武将系数'!Y$27:Y$75,MATCH($B23,'参数页-不同武将系数'!$B$27:$B$75,0))</f>
        <v>1000</v>
      </c>
      <c r="J23" s="25">
        <f t="array" ref="J23">INDEX('参数页-不同武将系数'!Z$27:Z$75,MATCH($B23,'参数页-不同武将系数'!$B$27:$B$75,0))</f>
        <v>80</v>
      </c>
      <c r="K23" s="25">
        <f t="array" ref="K23">INDEX('参数页-不同武将系数'!AA$27:AA$75,MATCH($B23,'参数页-不同武将系数'!$B$27:$B$75,0))</f>
        <v>383.4</v>
      </c>
      <c r="L23" s="25">
        <f t="array" ref="L23">INDEX('参数页-不同武将系数'!AB$27:AB$75,MATCH($B23,'参数页-不同武将系数'!$B$27:$B$75,0))</f>
        <v>140.45</v>
      </c>
      <c r="M23" s="25">
        <f t="array" ref="M23">INDEX('参数页-不同武将系数'!AC$27:AC$75,MATCH($B23,'参数页-不同武将系数'!$B$27:$B$75,0))</f>
        <v>140.45</v>
      </c>
      <c r="N23" s="25">
        <f t="array" ref="N23">INDEX('参数页-不同武将系数'!AD$27:AD$75,MATCH($B23,'参数页-不同武将系数'!$B$27:$B$75,0))</f>
        <v>85</v>
      </c>
      <c r="O23" s="25" t="s">
        <v>145</v>
      </c>
      <c r="P23" s="25" t="str">
        <f t="array" ref="P23">INDEX('参数页-不同武将系数'!AF$27:AF$75,MATCH($B23,'参数页-不同武将系数'!$B$27:$B$75,0))</f>
        <v>攻击百分比</v>
      </c>
      <c r="Q23" s="25" t="str">
        <f t="array" ref="Q23">INDEX('参数页-不同武将系数'!AG$27:AG$75,MATCH($B23,'参数页-不同武将系数'!$B$27:$B$75,0))</f>
        <v>攻击百分比</v>
      </c>
      <c r="R23" s="25" t="str">
        <f t="array" ref="R23">INDEX('参数页-不同武将系数'!AZ$27:AZ$75,MATCH($B23,'参数页-不同武将系数'!$B$27:$B$75,0))</f>
        <v>物理伤害加成</v>
      </c>
      <c r="S23" s="25" t="str">
        <f t="array" ref="S23">INDEX('参数页-不同武将系数'!BA$27:BA$75,MATCH($B23,'参数页-不同武将系数'!$B$27:$B$75,0))</f>
        <v>暴击等级</v>
      </c>
      <c r="T23" s="25" t="str">
        <f t="array" ref="T23">INDEX('参数页-不同武将系数'!E$27:E$75,MATCH($B23,'参数页-不同武将系数'!$B$27:$B$75,0))</f>
        <v>混合</v>
      </c>
      <c r="U23"/>
      <c r="V23"/>
      <c r="W23"/>
      <c r="X23"/>
      <c r="Y23"/>
      <c r="Z23"/>
    </row>
    <row r="24" spans="2:26">
      <c r="B24" s="29" t="s">
        <v>347</v>
      </c>
      <c r="C24" s="25">
        <f t="array" ref="C24">INDEX('参数页-不同武将系数'!S$27:S$75,MATCH($B24,'参数页-不同武将系数'!$B$27:$B$75,0))</f>
        <v>5280</v>
      </c>
      <c r="D24" s="25">
        <f t="array" ref="D24">INDEX('参数页-不同武将系数'!T$27:T$75,MATCH($B24,'参数页-不同武将系数'!$B$27:$B$75,0))</f>
        <v>422.4</v>
      </c>
      <c r="E24" s="25">
        <f t="array" ref="E24">INDEX('参数页-不同武将系数'!U$27:U$75,MATCH($B24,'参数页-不同武将系数'!$B$27:$B$75,0))</f>
        <v>775</v>
      </c>
      <c r="F24" s="25">
        <f t="array" ref="F24">INDEX('参数页-不同武将系数'!V$27:V$75,MATCH($B24,'参数页-不同武将系数'!$B$27:$B$75,0))</f>
        <v>62</v>
      </c>
      <c r="G24" s="25">
        <f t="array" ref="G24">INDEX('参数页-不同武将系数'!W$27:W$75,MATCH($B24,'参数页-不同武将系数'!$B$27:$B$75,0))</f>
        <v>969</v>
      </c>
      <c r="H24" s="25">
        <f t="array" ref="H24">INDEX('参数页-不同武将系数'!X$27:X$75,MATCH($B24,'参数页-不同武将系数'!$B$27:$B$75,0))</f>
        <v>77.52</v>
      </c>
      <c r="I24" s="25">
        <f t="array" ref="I24">INDEX('参数页-不同武将系数'!Y$27:Y$75,MATCH($B24,'参数页-不同武将系数'!$B$27:$B$75,0))</f>
        <v>798</v>
      </c>
      <c r="J24" s="25">
        <f t="array" ref="J24">INDEX('参数页-不同武将系数'!Z$27:Z$75,MATCH($B24,'参数页-不同武将系数'!$B$27:$B$75,0))</f>
        <v>63.84</v>
      </c>
      <c r="K24" s="25">
        <f t="array" ref="K24">INDEX('参数页-不同武将系数'!AA$27:AA$75,MATCH($B24,'参数页-不同武将系数'!$B$27:$B$75,0))</f>
        <v>449.86</v>
      </c>
      <c r="L24" s="25">
        <f t="array" ref="L24">INDEX('参数页-不同武将系数'!AB$27:AB$75,MATCH($B24,'参数页-不同武将系数'!$B$27:$B$75,0))</f>
        <v>66.15</v>
      </c>
      <c r="M24" s="25">
        <f t="array" ref="M24">INDEX('参数页-不同武将系数'!AC$27:AC$75,MATCH($B24,'参数页-不同武将系数'!$B$27:$B$75,0))</f>
        <v>82.69</v>
      </c>
      <c r="N24" s="25">
        <f t="array" ref="N24">INDEX('参数页-不同武将系数'!AD$27:AD$75,MATCH($B24,'参数页-不同武将系数'!$B$27:$B$75,0))</f>
        <v>67.83</v>
      </c>
      <c r="O24" s="25" t="str">
        <f t="array" ref="O24">INDEX('参数页-不同武将系数'!AE$27:AE$75,MATCH($B24,'参数页-不同武将系数'!$B$27:$B$75,0))</f>
        <v>生命值百分比</v>
      </c>
      <c r="P24" s="25" t="str">
        <f t="array" ref="P24">INDEX('参数页-不同武将系数'!AF$27:AF$75,MATCH($B24,'参数页-不同武将系数'!$B$27:$B$75,0))</f>
        <v>能量回复等级</v>
      </c>
      <c r="Q24" s="25" t="str">
        <f t="array" ref="Q24">INDEX('参数页-不同武将系数'!AG$27:AG$75,MATCH($B24,'参数页-不同武将系数'!$B$27:$B$75,0))</f>
        <v>技能冷却等级</v>
      </c>
      <c r="R24" s="25" t="str">
        <f t="array" ref="R24">INDEX('参数页-不同武将系数'!AZ$27:AZ$75,MATCH($B24,'参数页-不同武将系数'!$B$27:$B$75,0))</f>
        <v>能量回复等级</v>
      </c>
      <c r="S24" s="25" t="str">
        <f t="array" ref="S24">INDEX('参数页-不同武将系数'!BA$27:BA$75,MATCH($B24,'参数页-不同武将系数'!$B$27:$B$75,0))</f>
        <v>暴击等级</v>
      </c>
      <c r="T24" s="25" t="str">
        <f t="array" ref="T24">INDEX('参数页-不同武将系数'!E$27:E$75,MATCH($B24,'参数页-不同武将系数'!$B$27:$B$75,0))</f>
        <v>魔法</v>
      </c>
      <c r="U24"/>
      <c r="V24"/>
      <c r="W24"/>
      <c r="X24"/>
      <c r="Y24"/>
      <c r="Z24"/>
    </row>
    <row r="25" spans="2:26">
      <c r="B25" s="29" t="s">
        <v>356</v>
      </c>
      <c r="C25" s="25">
        <f t="array" ref="C25">INDEX('参数页-不同武将系数'!S$27:S$75,MATCH($B25,'参数页-不同武将系数'!$B$27:$B$75,0))</f>
        <v>3072</v>
      </c>
      <c r="D25" s="25">
        <f t="array" ref="D25">INDEX('参数页-不同武将系数'!T$27:T$75,MATCH($B25,'参数页-不同武将系数'!$B$27:$B$75,0))</f>
        <v>245.76</v>
      </c>
      <c r="E25" s="25">
        <f t="array" ref="E25">INDEX('参数页-不同武将系数'!U$27:U$75,MATCH($B25,'参数页-不同武将系数'!$B$27:$B$75,0))</f>
        <v>1483</v>
      </c>
      <c r="F25" s="25">
        <f t="array" ref="F25">INDEX('参数页-不同武将系数'!V$27:V$75,MATCH($B25,'参数页-不同武将系数'!$B$27:$B$75,0))</f>
        <v>118.64</v>
      </c>
      <c r="G25" s="25">
        <f t="array" ref="G25">INDEX('参数页-不同武将系数'!W$27:W$75,MATCH($B25,'参数页-不同武将系数'!$B$27:$B$75,0))</f>
        <v>1152</v>
      </c>
      <c r="H25" s="25">
        <f t="array" ref="H25">INDEX('参数页-不同武将系数'!X$27:X$75,MATCH($B25,'参数页-不同武将系数'!$B$27:$B$75,0))</f>
        <v>92.16</v>
      </c>
      <c r="I25" s="25">
        <f t="array" ref="I25">INDEX('参数页-不同武将系数'!Y$27:Y$75,MATCH($B25,'参数页-不同武将系数'!$B$27:$B$75,0))</f>
        <v>784</v>
      </c>
      <c r="J25" s="25">
        <f t="array" ref="J25">INDEX('参数页-不同武将系数'!Z$27:Z$75,MATCH($B25,'参数页-不同武将系数'!$B$27:$B$75,0))</f>
        <v>62.72</v>
      </c>
      <c r="K25" s="25">
        <f t="array" ref="K25">INDEX('参数页-不同武将系数'!AA$27:AA$75,MATCH($B25,'参数页-不同武将系数'!$B$27:$B$75,0))</f>
        <v>261.73</v>
      </c>
      <c r="L25" s="25">
        <f t="array" ref="L25">INDEX('参数页-不同武将系数'!AB$27:AB$75,MATCH($B25,'参数页-不同武将系数'!$B$27:$B$75,0))</f>
        <v>126.57</v>
      </c>
      <c r="M25" s="25">
        <f t="array" ref="M25">INDEX('参数页-不同武将系数'!AC$27:AC$75,MATCH($B25,'参数页-不同武将系数'!$B$27:$B$75,0))</f>
        <v>98.3</v>
      </c>
      <c r="N25" s="25">
        <f t="array" ref="N25">INDEX('参数页-不同武将系数'!AD$27:AD$75,MATCH($B25,'参数页-不同武将系数'!$B$27:$B$75,0))</f>
        <v>66.64</v>
      </c>
      <c r="O25" s="25" t="str">
        <f t="array" ref="O25">INDEX('参数页-不同武将系数'!AE$27:AE$75,MATCH($B25,'参数页-不同武将系数'!$B$27:$B$75,0))</f>
        <v>攻击百分比</v>
      </c>
      <c r="P25" s="25" t="str">
        <f t="array" ref="P25">INDEX('参数页-不同武将系数'!AF$27:AF$75,MATCH($B25,'参数页-不同武将系数'!$B$27:$B$75,0))</f>
        <v>必杀伤害加成</v>
      </c>
      <c r="Q25" s="25" t="str">
        <f t="array" ref="Q25">INDEX('参数页-不同武将系数'!AG$27:AG$75,MATCH($B25,'参数页-不同武将系数'!$B$27:$B$75,0))</f>
        <v>暴击等级</v>
      </c>
      <c r="R25" s="25" t="str">
        <f t="array" ref="R25">INDEX('参数页-不同武将系数'!AZ$27:AZ$75,MATCH($B25,'参数页-不同武将系数'!$B$27:$B$75,0))</f>
        <v>物理伤害加成</v>
      </c>
      <c r="S25" s="25" t="str">
        <f t="array" ref="S25">INDEX('参数页-不同武将系数'!BA$27:BA$75,MATCH($B25,'参数页-不同武将系数'!$B$27:$B$75,0))</f>
        <v>必杀伤害加成</v>
      </c>
      <c r="T25" s="25" t="str">
        <f t="array" ref="T25">INDEX('参数页-不同武将系数'!E$27:E$75,MATCH($B25,'参数页-不同武将系数'!$B$27:$B$75,0))</f>
        <v>物理</v>
      </c>
      <c r="U25"/>
      <c r="V25"/>
      <c r="W25"/>
      <c r="X25"/>
      <c r="Y25"/>
      <c r="Z25"/>
    </row>
    <row r="26" spans="2:26">
      <c r="B26" s="29" t="s">
        <v>911</v>
      </c>
      <c r="C26" s="25">
        <f t="array" ref="C26">INDEX('参数页-不同武将系数'!S$27:S$75,MATCH($B26,'参数页-不同武将系数'!$B$27:$B$75,0))</f>
        <v>3492</v>
      </c>
      <c r="D26" s="25">
        <f t="array" ref="D26">INDEX('参数页-不同武将系数'!T$27:T$75,MATCH($B26,'参数页-不同武将系数'!$B$27:$B$75,0))</f>
        <v>279.36</v>
      </c>
      <c r="E26" s="25">
        <f t="array" ref="E26">INDEX('参数页-不同武将系数'!U$27:U$75,MATCH($B26,'参数页-不同武将系数'!$B$27:$B$75,0))</f>
        <v>1386</v>
      </c>
      <c r="F26" s="25">
        <f t="array" ref="F26">INDEX('参数页-不同武将系数'!V$27:V$75,MATCH($B26,'参数页-不同武将系数'!$B$27:$B$75,0))</f>
        <v>110.88</v>
      </c>
      <c r="G26" s="25">
        <f t="array" ref="G26">INDEX('参数页-不同武将系数'!W$27:W$75,MATCH($B26,'参数页-不同武将系数'!$B$27:$B$75,0))</f>
        <v>1056</v>
      </c>
      <c r="H26" s="25">
        <f t="array" ref="H26">INDEX('参数页-不同武将系数'!X$27:X$75,MATCH($B26,'参数页-不同武将系数'!$B$27:$B$75,0))</f>
        <v>84.48</v>
      </c>
      <c r="I26" s="25">
        <f t="array" ref="I26">INDEX('参数页-不同武将系数'!Y$27:Y$75,MATCH($B26,'参数页-不同武将系数'!$B$27:$B$75,0))</f>
        <v>840</v>
      </c>
      <c r="J26" s="25">
        <f t="array" ref="J26">INDEX('参数页-不同武将系数'!Z$27:Z$75,MATCH($B26,'参数页-不同武将系数'!$B$27:$B$75,0))</f>
        <v>67.2</v>
      </c>
      <c r="K26" s="25">
        <f t="array" ref="K26">INDEX('参数页-不同武将系数'!AA$27:AA$75,MATCH($B26,'参数页-不同武将系数'!$B$27:$B$75,0))</f>
        <v>297.52</v>
      </c>
      <c r="L26" s="25">
        <f t="array" ref="L26">INDEX('参数页-不同武将系数'!AB$27:AB$75,MATCH($B26,'参数页-不同武将系数'!$B$27:$B$75,0))</f>
        <v>118.27</v>
      </c>
      <c r="M26" s="25">
        <f t="array" ref="M26">INDEX('参数页-不同武将系数'!AC$27:AC$75,MATCH($B26,'参数页-不同武将系数'!$B$27:$B$75,0))</f>
        <v>90.11</v>
      </c>
      <c r="N26" s="25">
        <f t="array" ref="N26">INDEX('参数页-不同武将系数'!AD$27:AD$75,MATCH($B26,'参数页-不同武将系数'!$B$27:$B$75,0))</f>
        <v>71.4</v>
      </c>
      <c r="O26" s="25" t="str">
        <f t="array" ref="O26">INDEX('参数页-不同武将系数'!AE$27:AE$75,MATCH($B26,'参数页-不同武将系数'!$B$27:$B$75,0))</f>
        <v>攻击百分比</v>
      </c>
      <c r="P26" s="25" t="str">
        <f t="array" ref="P26">INDEX('参数页-不同武将系数'!AF$27:AF$75,MATCH($B26,'参数页-不同武将系数'!$B$27:$B$75,0))</f>
        <v>普攻伤害加成</v>
      </c>
      <c r="Q26" s="25" t="str">
        <f t="array" ref="Q26">INDEX('参数页-不同武将系数'!AG$27:AG$75,MATCH($B26,'参数页-不同武将系数'!$B$27:$B$75,0))</f>
        <v>暴击等级</v>
      </c>
      <c r="R26" s="25" t="str">
        <f t="array" ref="R26">INDEX('参数页-不同武将系数'!AZ$27:AZ$75,MATCH($B26,'参数页-不同武将系数'!$B$27:$B$75,0))</f>
        <v>物理伤害加成</v>
      </c>
      <c r="S26" s="25" t="str">
        <f t="array" ref="S26">INDEX('参数页-不同武将系数'!BA$27:BA$75,MATCH($B26,'参数页-不同武将系数'!$B$27:$B$75,0))</f>
        <v>暴击等级</v>
      </c>
      <c r="T26" s="25" t="str">
        <f t="array" ref="T26">INDEX('参数页-不同武将系数'!E$27:E$75,MATCH($B26,'参数页-不同武将系数'!$B$27:$B$75,0))</f>
        <v>物理</v>
      </c>
      <c r="U26"/>
      <c r="V26"/>
      <c r="W26"/>
      <c r="X26"/>
      <c r="Y26"/>
      <c r="Z26"/>
    </row>
    <row r="27" spans="2:26">
      <c r="B27" s="29" t="s">
        <v>912</v>
      </c>
      <c r="C27" s="25">
        <f t="array" ref="C27">INDEX('参数页-不同武将系数'!S$27:S$75,MATCH($B27,'参数页-不同武将系数'!$B$27:$B$75,0))</f>
        <v>4116</v>
      </c>
      <c r="D27" s="25">
        <f t="array" ref="D27">INDEX('参数页-不同武将系数'!T$27:T$75,MATCH($B27,'参数页-不同武将系数'!$B$27:$B$75,0))</f>
        <v>329.28</v>
      </c>
      <c r="E27" s="25">
        <f t="array" ref="E27">INDEX('参数页-不同武将系数'!U$27:U$75,MATCH($B27,'参数页-不同武将系数'!$B$27:$B$75,0))</f>
        <v>1117</v>
      </c>
      <c r="F27" s="25">
        <f t="array" ref="F27">INDEX('参数页-不同武将系数'!V$27:V$75,MATCH($B27,'参数页-不同武将系数'!$B$27:$B$75,0))</f>
        <v>89.36</v>
      </c>
      <c r="G27" s="25">
        <f t="array" ref="G27">INDEX('参数页-不同武将系数'!W$27:W$75,MATCH($B27,'参数页-不同武将系数'!$B$27:$B$75,0))</f>
        <v>930</v>
      </c>
      <c r="H27" s="25">
        <f t="array" ref="H27">INDEX('参数页-不同武将系数'!X$27:X$75,MATCH($B27,'参数页-不同武将系数'!$B$27:$B$75,0))</f>
        <v>74.4</v>
      </c>
      <c r="I27" s="25">
        <f t="array" ref="I27">INDEX('参数页-不同武将系数'!Y$27:Y$75,MATCH($B27,'参数页-不同武将系数'!$B$27:$B$75,0))</f>
        <v>832</v>
      </c>
      <c r="J27" s="25">
        <f t="array" ref="J27">INDEX('参数页-不同武将系数'!Z$27:Z$75,MATCH($B27,'参数页-不同武将系数'!$B$27:$B$75,0))</f>
        <v>66.56</v>
      </c>
      <c r="K27" s="25">
        <f t="array" ref="K27">INDEX('参数页-不同武将系数'!AA$27:AA$75,MATCH($B27,'参数页-不同武将系数'!$B$27:$B$75,0))</f>
        <v>350.68</v>
      </c>
      <c r="L27" s="25">
        <f t="array" ref="L27">INDEX('参数页-不同武将系数'!AB$27:AB$75,MATCH($B27,'参数页-不同武将系数'!$B$27:$B$75,0))</f>
        <v>95.33</v>
      </c>
      <c r="M27" s="25">
        <f t="array" ref="M27">INDEX('参数页-不同武将系数'!AC$27:AC$75,MATCH($B27,'参数页-不同武将系数'!$B$27:$B$75,0))</f>
        <v>79.38</v>
      </c>
      <c r="N27" s="25">
        <f t="array" ref="N27">INDEX('参数页-不同武将系数'!AD$27:AD$75,MATCH($B27,'参数页-不同武将系数'!$B$27:$B$75,0))</f>
        <v>70.72</v>
      </c>
      <c r="O27" s="25" t="str">
        <f t="array" ref="O27">INDEX('参数页-不同武将系数'!AE$27:AE$75,MATCH($B27,'参数页-不同武将系数'!$B$27:$B$75,0))</f>
        <v>攻击百分比</v>
      </c>
      <c r="P27" s="25" t="str">
        <f t="array" ref="P27">INDEX('参数页-不同武将系数'!AF$27:AF$75,MATCH($B27,'参数页-不同武将系数'!$B$27:$B$75,0))</f>
        <v>暴击等级</v>
      </c>
      <c r="Q27" s="25" t="str">
        <f t="array" ref="Q27">INDEX('参数页-不同武将系数'!AG$27:AG$75,MATCH($B27,'参数页-不同武将系数'!$B$27:$B$75,0))</f>
        <v>普攻伤害加成</v>
      </c>
      <c r="R27" s="25" t="str">
        <f t="array" ref="R27">INDEX('参数页-不同武将系数'!AZ$27:AZ$75,MATCH($B27,'参数页-不同武将系数'!$B$27:$B$75,0))</f>
        <v>物理伤害加成</v>
      </c>
      <c r="S27" s="25" t="str">
        <f t="array" ref="S27">INDEX('参数页-不同武将系数'!BA$27:BA$75,MATCH($B27,'参数页-不同武将系数'!$B$27:$B$75,0))</f>
        <v>暴击伤害等级</v>
      </c>
      <c r="T27" s="25" t="str">
        <f t="array" ref="T27">INDEX('参数页-不同武将系数'!E$27:E$75,MATCH($B27,'参数页-不同武将系数'!$B$27:$B$75,0))</f>
        <v>物理</v>
      </c>
      <c r="U27"/>
      <c r="V27"/>
      <c r="W27"/>
      <c r="X27"/>
      <c r="Y27"/>
      <c r="Z27"/>
    </row>
    <row r="28" spans="2:26">
      <c r="B28" s="29" t="s">
        <v>350</v>
      </c>
      <c r="C28" s="25">
        <f t="array" ref="C28">INDEX('参数页-不同武将系数'!S$27:S$75,MATCH($B28,'参数页-不同武将系数'!$B$27:$B$75,0))</f>
        <v>4400</v>
      </c>
      <c r="D28" s="25">
        <f t="array" ref="D28">INDEX('参数页-不同武将系数'!T$27:T$75,MATCH($B28,'参数页-不同武将系数'!$B$27:$B$75,0))</f>
        <v>352</v>
      </c>
      <c r="E28" s="25">
        <f t="array" ref="E28">INDEX('参数页-不同武将系数'!U$27:U$75,MATCH($B28,'参数页-不同武将系数'!$B$27:$B$75,0))</f>
        <v>1071</v>
      </c>
      <c r="F28" s="25">
        <f t="array" ref="F28">INDEX('参数页-不同武将系数'!V$27:V$75,MATCH($B28,'参数页-不同武将系数'!$B$27:$B$75,0))</f>
        <v>85.68</v>
      </c>
      <c r="G28" s="25">
        <f t="array" ref="G28">INDEX('参数页-不同武将系数'!W$27:W$75,MATCH($B28,'参数页-不同武将系数'!$B$27:$B$75,0))</f>
        <v>792</v>
      </c>
      <c r="H28" s="25">
        <f t="array" ref="H28">INDEX('参数页-不同武将系数'!X$27:X$75,MATCH($B28,'参数页-不同武将系数'!$B$27:$B$75,0))</f>
        <v>63.36</v>
      </c>
      <c r="I28" s="25">
        <f t="array" ref="I28">INDEX('参数页-不同武将系数'!Y$27:Y$75,MATCH($B28,'参数页-不同武将系数'!$B$27:$B$75,0))</f>
        <v>823</v>
      </c>
      <c r="J28" s="25">
        <f t="array" ref="J28">INDEX('参数页-不同武将系数'!Z$27:Z$75,MATCH($B28,'参数页-不同武将系数'!$B$27:$B$75,0))</f>
        <v>65.84</v>
      </c>
      <c r="K28" s="25">
        <f t="array" ref="K28">INDEX('参数页-不同武将系数'!AA$27:AA$75,MATCH($B28,'参数页-不同武将系数'!$B$27:$B$75,0))</f>
        <v>374.88</v>
      </c>
      <c r="L28" s="25">
        <f t="array" ref="L28">INDEX('参数页-不同武将系数'!AB$27:AB$75,MATCH($B28,'参数页-不同武将系数'!$B$27:$B$75,0))</f>
        <v>91.39</v>
      </c>
      <c r="M28" s="25">
        <f t="array" ref="M28">INDEX('参数页-不同武将系数'!AC$27:AC$75,MATCH($B28,'参数页-不同武将系数'!$B$27:$B$75,0))</f>
        <v>67.54</v>
      </c>
      <c r="N28" s="25">
        <f t="array" ref="N28">INDEX('参数页-不同武将系数'!AD$27:AD$75,MATCH($B28,'参数页-不同武将系数'!$B$27:$B$75,0))</f>
        <v>69.97</v>
      </c>
      <c r="O28" s="25" t="str">
        <f t="array" ref="O28">INDEX('参数页-不同武将系数'!AE$27:AE$75,MATCH($B28,'参数页-不同武将系数'!$B$27:$B$75,0))</f>
        <v>攻击百分比</v>
      </c>
      <c r="P28" s="25" t="str">
        <f t="array" ref="P28">INDEX('参数页-不同武将系数'!AF$27:AF$75,MATCH($B28,'参数页-不同武将系数'!$B$27:$B$75,0))</f>
        <v>技能冷却等级</v>
      </c>
      <c r="Q28" s="25" t="str">
        <f t="array" ref="Q28">INDEX('参数页-不同武将系数'!AG$27:AG$75,MATCH($B28,'参数页-不同武将系数'!$B$27:$B$75,0))</f>
        <v>能量回复等级</v>
      </c>
      <c r="R28" s="25" t="str">
        <f t="array" ref="R28">INDEX('参数页-不同武将系数'!AZ$27:AZ$75,MATCH($B28,'参数页-不同武将系数'!$B$27:$B$75,0))</f>
        <v>物理伤害加成</v>
      </c>
      <c r="S28" s="25" t="str">
        <f t="array" ref="S28">INDEX('参数页-不同武将系数'!BA$27:BA$75,MATCH($B28,'参数页-不同武将系数'!$B$27:$B$75,0))</f>
        <v>技能冷却等级</v>
      </c>
      <c r="T28" s="25" t="str">
        <f t="array" ref="T28">INDEX('参数页-不同武将系数'!E$27:E$75,MATCH($B28,'参数页-不同武将系数'!$B$27:$B$75,0))</f>
        <v>物理</v>
      </c>
    </row>
    <row r="29" spans="2:26">
      <c r="B29" s="29" t="s">
        <v>353</v>
      </c>
      <c r="C29" s="25">
        <f t="array" ref="C29">INDEX('参数页-不同武将系数'!S$27:S$75,MATCH($B29,'参数页-不同武将系数'!$B$27:$B$75,0))</f>
        <v>4410</v>
      </c>
      <c r="D29" s="25">
        <f t="array" ref="D29">INDEX('参数页-不同武将系数'!T$27:T$75,MATCH($B29,'参数页-不同武将系数'!$B$27:$B$75,0))</f>
        <v>352.8</v>
      </c>
      <c r="E29" s="25">
        <f t="array" ref="E29">INDEX('参数页-不同武将系数'!U$27:U$75,MATCH($B29,'参数页-不同武将系数'!$B$27:$B$75,0))</f>
        <v>1151</v>
      </c>
      <c r="F29" s="25">
        <f t="array" ref="F29">INDEX('参数页-不同武将系数'!V$27:V$75,MATCH($B29,'参数页-不同武将系数'!$B$27:$B$75,0))</f>
        <v>92.08</v>
      </c>
      <c r="G29" s="25">
        <f t="array" ref="G29">INDEX('参数页-不同武将系数'!W$27:W$75,MATCH($B29,'参数页-不同武将系数'!$B$27:$B$75,0))</f>
        <v>894</v>
      </c>
      <c r="H29" s="25">
        <f t="array" ref="H29">INDEX('参数页-不同武将系数'!X$27:X$75,MATCH($B29,'参数页-不同武将系数'!$B$27:$B$75,0))</f>
        <v>71.52</v>
      </c>
      <c r="I29" s="25">
        <f t="array" ref="I29">INDEX('参数页-不同武将系数'!Y$27:Y$75,MATCH($B29,'参数页-不同武将系数'!$B$27:$B$75,0))</f>
        <v>760</v>
      </c>
      <c r="J29" s="25">
        <f t="array" ref="J29">INDEX('参数页-不同武将系数'!Z$27:Z$75,MATCH($B29,'参数页-不同武将系数'!$B$27:$B$75,0))</f>
        <v>60.8</v>
      </c>
      <c r="K29" s="25">
        <f t="array" ref="K29">INDEX('参数页-不同武将系数'!AA$27:AA$75,MATCH($B29,'参数页-不同武将系数'!$B$27:$B$75,0))</f>
        <v>375.73</v>
      </c>
      <c r="L29" s="25">
        <f t="array" ref="L29">INDEX('参数页-不同武将系数'!AB$27:AB$75,MATCH($B29,'参数页-不同武将系数'!$B$27:$B$75,0))</f>
        <v>98.25</v>
      </c>
      <c r="M29" s="25">
        <f t="array" ref="M29">INDEX('参数页-不同武将系数'!AC$27:AC$75,MATCH($B29,'参数页-不同武将系数'!$B$27:$B$75,0))</f>
        <v>76.27</v>
      </c>
      <c r="N29" s="25">
        <f t="array" ref="N29">INDEX('参数页-不同武将系数'!AD$27:AD$75,MATCH($B29,'参数页-不同武将系数'!$B$27:$B$75,0))</f>
        <v>64.6</v>
      </c>
      <c r="O29" s="25" t="str">
        <f t="array" ref="O29">INDEX('参数页-不同武将系数'!AE$27:AE$75,MATCH($B29,'参数页-不同武将系数'!$B$27:$B$75,0))</f>
        <v>攻击百分比</v>
      </c>
      <c r="P29" s="25" t="str">
        <f t="array" ref="P29">INDEX('参数页-不同武将系数'!AF$27:AF$75,MATCH($B29,'参数页-不同武将系数'!$B$27:$B$75,0))</f>
        <v>普攻伤害加成</v>
      </c>
      <c r="Q29" s="25" t="str">
        <f t="array" ref="Q29">INDEX('参数页-不同武将系数'!AG$27:AG$75,MATCH($B29,'参数页-不同武将系数'!$B$27:$B$75,0))</f>
        <v>暴击等级</v>
      </c>
      <c r="R29" s="25" t="str">
        <f t="array" ref="R29">INDEX('参数页-不同武将系数'!AZ$27:AZ$75,MATCH($B29,'参数页-不同武将系数'!$B$27:$B$75,0))</f>
        <v>物理伤害加成</v>
      </c>
      <c r="S29" s="25" t="str">
        <f t="array" ref="S29">INDEX('参数页-不同武将系数'!BA$27:BA$75,MATCH($B29,'参数页-不同武将系数'!$B$27:$B$75,0))</f>
        <v>暴击等级</v>
      </c>
      <c r="T29" s="25" t="str">
        <f t="array" ref="T29">INDEX('参数页-不同武将系数'!E$27:E$75,MATCH($B29,'参数页-不同武将系数'!$B$27:$B$75,0))</f>
        <v>物理</v>
      </c>
    </row>
    <row r="30" spans="2:26">
      <c r="B30" s="29" t="s">
        <v>354</v>
      </c>
      <c r="C30" s="25">
        <f t="array" ref="C30">INDEX('参数页-不同武将系数'!S$27:S$75,MATCH($B30,'参数页-不同武将系数'!$B$27:$B$75,0))</f>
        <v>4400</v>
      </c>
      <c r="D30" s="25">
        <f t="array" ref="D30">INDEX('参数页-不同武将系数'!T$27:T$75,MATCH($B30,'参数页-不同武将系数'!$B$27:$B$75,0))</f>
        <v>352</v>
      </c>
      <c r="E30" s="25">
        <f t="array" ref="E30">INDEX('参数页-不同武将系数'!U$27:U$75,MATCH($B30,'参数页-不同武将系数'!$B$27:$B$75,0))</f>
        <v>972</v>
      </c>
      <c r="F30" s="25">
        <f t="array" ref="F30">INDEX('参数页-不同武将系数'!V$27:V$75,MATCH($B30,'参数页-不同武将系数'!$B$27:$B$75,0))</f>
        <v>77.76</v>
      </c>
      <c r="G30" s="25">
        <f t="array" ref="G30">INDEX('参数页-不同武将系数'!W$27:W$75,MATCH($B30,'参数页-不同武将系数'!$B$27:$B$75,0))</f>
        <v>778</v>
      </c>
      <c r="H30" s="25">
        <f t="array" ref="H30">INDEX('参数页-不同武将系数'!X$27:X$75,MATCH($B30,'参数页-不同武将系数'!$B$27:$B$75,0))</f>
        <v>62.24</v>
      </c>
      <c r="I30" s="25">
        <f t="array" ref="I30">INDEX('参数页-不同武将系数'!Y$27:Y$75,MATCH($B30,'参数页-不同武将系数'!$B$27:$B$75,0))</f>
        <v>924</v>
      </c>
      <c r="J30" s="25">
        <f t="array" ref="J30">INDEX('参数页-不同武将系数'!Z$27:Z$75,MATCH($B30,'参数页-不同武将系数'!$B$27:$B$75,0))</f>
        <v>73.92</v>
      </c>
      <c r="K30" s="25">
        <f t="array" ref="K30">INDEX('参数页-不同武将系数'!AA$27:AA$75,MATCH($B30,'参数页-不同武将系数'!$B$27:$B$75,0))</f>
        <v>374.88</v>
      </c>
      <c r="L30" s="25">
        <f t="array" ref="L30">INDEX('参数页-不同武将系数'!AB$27:AB$75,MATCH($B30,'参数页-不同武将系数'!$B$27:$B$75,0))</f>
        <v>82.94</v>
      </c>
      <c r="M30" s="25">
        <f t="array" ref="M30">INDEX('参数页-不同武将系数'!AC$27:AC$75,MATCH($B30,'参数页-不同武将系数'!$B$27:$B$75,0))</f>
        <v>66.36</v>
      </c>
      <c r="N30" s="25">
        <f t="array" ref="N30">INDEX('参数页-不同武将系数'!AD$27:AD$75,MATCH($B30,'参数页-不同武将系数'!$B$27:$B$75,0))</f>
        <v>78.54</v>
      </c>
      <c r="O30" s="25" t="str">
        <f t="array" ref="O30">INDEX('参数页-不同武将系数'!AE$27:AE$75,MATCH($B30,'参数页-不同武将系数'!$B$27:$B$75,0))</f>
        <v>攻击百分比</v>
      </c>
      <c r="P30" s="25" t="str">
        <f t="array" ref="P30">INDEX('参数页-不同武将系数'!AF$27:AF$75,MATCH($B30,'参数页-不同武将系数'!$B$27:$B$75,0))</f>
        <v>必杀伤害加成</v>
      </c>
      <c r="Q30" s="25" t="str">
        <f t="array" ref="Q30">INDEX('参数页-不同武将系数'!AG$27:AG$75,MATCH($B30,'参数页-不同武将系数'!$B$27:$B$75,0))</f>
        <v>能量回复等级</v>
      </c>
      <c r="R30" s="25" t="str">
        <f t="array" ref="R30">INDEX('参数页-不同武将系数'!AZ$27:AZ$75,MATCH($B30,'参数页-不同武将系数'!$B$27:$B$75,0))</f>
        <v>物理伤害加成</v>
      </c>
      <c r="S30" s="25" t="str">
        <f t="array" ref="S30">INDEX('参数页-不同武将系数'!BA$27:BA$75,MATCH($B30,'参数页-不同武将系数'!$B$27:$B$75,0))</f>
        <v>技能伤害加成</v>
      </c>
      <c r="T30" s="25" t="str">
        <f t="array" ref="T30">INDEX('参数页-不同武将系数'!E$27:E$75,MATCH($B30,'参数页-不同武将系数'!$B$27:$B$75,0))</f>
        <v>物理</v>
      </c>
    </row>
    <row r="31" spans="2:26">
      <c r="B31" s="29" t="s">
        <v>355</v>
      </c>
      <c r="C31" s="25">
        <f t="array" ref="C31">INDEX('参数页-不同武将系数'!S$27:S$75,MATCH($B31,'参数页-不同武将系数'!$B$27:$B$75,0))</f>
        <v>3168</v>
      </c>
      <c r="D31" s="25">
        <f t="array" ref="D31">INDEX('参数页-不同武将系数'!T$27:T$75,MATCH($B31,'参数页-不同武将系数'!$B$27:$B$75,0))</f>
        <v>253.44</v>
      </c>
      <c r="E31" s="25">
        <f t="array" ref="E31">INDEX('参数页-不同武将系数'!U$27:U$75,MATCH($B31,'参数页-不同武将系数'!$B$27:$B$75,0))</f>
        <v>1152</v>
      </c>
      <c r="F31" s="25">
        <f t="array" ref="F31">INDEX('参数页-不同武将系数'!V$27:V$75,MATCH($B31,'参数页-不同武将系数'!$B$27:$B$75,0))</f>
        <v>92.16</v>
      </c>
      <c r="G31" s="25">
        <f t="array" ref="G31">INDEX('参数页-不同武将系数'!W$27:W$75,MATCH($B31,'参数页-不同武将系数'!$B$27:$B$75,0))</f>
        <v>1440</v>
      </c>
      <c r="H31" s="25">
        <f t="array" ref="H31">INDEX('参数页-不同武将系数'!X$27:X$75,MATCH($B31,'参数页-不同武将系数'!$B$27:$B$75,0))</f>
        <v>115.2</v>
      </c>
      <c r="I31" s="25">
        <f t="array" ref="I31">INDEX('参数页-不同武将系数'!Y$27:Y$75,MATCH($B31,'参数页-不同武将系数'!$B$27:$B$75,0))</f>
        <v>800</v>
      </c>
      <c r="J31" s="25">
        <f t="array" ref="J31">INDEX('参数页-不同武将系数'!Z$27:Z$75,MATCH($B31,'参数页-不同武将系数'!$B$27:$B$75,0))</f>
        <v>64</v>
      </c>
      <c r="K31" s="25">
        <f t="array" ref="K31">INDEX('参数页-不同武将系数'!AA$27:AA$75,MATCH($B31,'参数页-不同武将系数'!$B$27:$B$75,0))</f>
        <v>269.91</v>
      </c>
      <c r="L31" s="25">
        <f t="array" ref="L31">INDEX('参数页-不同武将系数'!AB$27:AB$75,MATCH($B31,'参数页-不同武将系数'!$B$27:$B$75,0))</f>
        <v>98.3</v>
      </c>
      <c r="M31" s="25">
        <f t="array" ref="M31">INDEX('参数页-不同武将系数'!AC$27:AC$75,MATCH($B31,'参数页-不同武将系数'!$B$27:$B$75,0))</f>
        <v>122.88</v>
      </c>
      <c r="N31" s="25">
        <f t="array" ref="N31">INDEX('参数页-不同武将系数'!AD$27:AD$75,MATCH($B31,'参数页-不同武将系数'!$B$27:$B$75,0))</f>
        <v>68</v>
      </c>
      <c r="O31" s="25" t="str">
        <f t="array" ref="O31">INDEX('参数页-不同武将系数'!AE$27:AE$75,MATCH($B31,'参数页-不同武将系数'!$B$27:$B$75,0))</f>
        <v>攻击百分比</v>
      </c>
      <c r="P31" s="25" t="str">
        <f t="array" ref="P31">INDEX('参数页-不同武将系数'!AF$27:AF$75,MATCH($B31,'参数页-不同武将系数'!$B$27:$B$75,0))</f>
        <v>必杀伤害加成</v>
      </c>
      <c r="Q31" s="25" t="str">
        <f t="array" ref="Q31">INDEX('参数页-不同武将系数'!AG$27:AG$75,MATCH($B31,'参数页-不同武将系数'!$B$27:$B$75,0))</f>
        <v>技能伤害加成</v>
      </c>
      <c r="R31" s="25" t="str">
        <f t="array" ref="R31">INDEX('参数页-不同武将系数'!AZ$27:AZ$75,MATCH($B31,'参数页-不同武将系数'!$B$27:$B$75,0))</f>
        <v>魔法伤害加成</v>
      </c>
      <c r="S31" s="25" t="str">
        <f t="array" ref="S31">INDEX('参数页-不同武将系数'!BA$27:BA$75,MATCH($B31,'参数页-不同武将系数'!$B$27:$B$75,0))</f>
        <v>必杀伤害加成</v>
      </c>
      <c r="T31" s="25" t="str">
        <f t="array" ref="T31">INDEX('参数页-不同武将系数'!E$27:E$75,MATCH($B31,'参数页-不同武将系数'!$B$27:$B$75,0))</f>
        <v>魔法</v>
      </c>
    </row>
    <row r="32" spans="2:26">
      <c r="B32" s="29" t="s">
        <v>357</v>
      </c>
      <c r="C32" s="25">
        <f t="array" ref="C32">INDEX('参数页-不同武将系数'!S$27:S$75,MATCH($B32,'参数页-不同武将系数'!$B$27:$B$75,0))</f>
        <v>4620</v>
      </c>
      <c r="D32" s="25">
        <f t="array" ref="D32">INDEX('参数页-不同武将系数'!T$27:T$75,MATCH($B32,'参数页-不同武将系数'!$B$27:$B$75,0))</f>
        <v>369.6</v>
      </c>
      <c r="E32" s="25">
        <f t="array" ref="E32">INDEX('参数页-不同武将系数'!U$27:U$75,MATCH($B32,'参数页-不同武将系数'!$B$27:$B$75,0))</f>
        <v>775</v>
      </c>
      <c r="F32" s="25">
        <f t="array" ref="F32">INDEX('参数页-不同武将系数'!V$27:V$75,MATCH($B32,'参数页-不同武将系数'!$B$27:$B$75,0))</f>
        <v>62</v>
      </c>
      <c r="G32" s="25">
        <f t="array" ref="G32">INDEX('参数页-不同武将系数'!W$27:W$75,MATCH($B32,'参数页-不同武将系数'!$B$27:$B$75,0))</f>
        <v>969</v>
      </c>
      <c r="H32" s="25">
        <f t="array" ref="H32">INDEX('参数页-不同武将系数'!X$27:X$75,MATCH($B32,'参数页-不同武将系数'!$B$27:$B$75,0))</f>
        <v>77.52</v>
      </c>
      <c r="I32" s="25">
        <f t="array" ref="I32">INDEX('参数页-不同武将系数'!Y$27:Y$75,MATCH($B32,'参数页-不同武将系数'!$B$27:$B$75,0))</f>
        <v>798</v>
      </c>
      <c r="J32" s="25">
        <f t="array" ref="J32">INDEX('参数页-不同武将系数'!Z$27:Z$75,MATCH($B32,'参数页-不同武将系数'!$B$27:$B$75,0))</f>
        <v>63.84</v>
      </c>
      <c r="K32" s="25">
        <f t="array" ref="K32">INDEX('参数页-不同武将系数'!AA$27:AA$75,MATCH($B32,'参数页-不同武将系数'!$B$27:$B$75,0))</f>
        <v>393.62</v>
      </c>
      <c r="L32" s="25">
        <f t="array" ref="L32">INDEX('参数页-不同武将系数'!AB$27:AB$75,MATCH($B32,'参数页-不同武将系数'!$B$27:$B$75,0))</f>
        <v>66.15</v>
      </c>
      <c r="M32" s="25">
        <f t="array" ref="M32">INDEX('参数页-不同武将系数'!AC$27:AC$75,MATCH($B32,'参数页-不同武将系数'!$B$27:$B$75,0))</f>
        <v>82.69</v>
      </c>
      <c r="N32" s="25">
        <f t="array" ref="N32">INDEX('参数页-不同武将系数'!AD$27:AD$75,MATCH($B32,'参数页-不同武将系数'!$B$27:$B$75,0))</f>
        <v>67.83</v>
      </c>
      <c r="O32" s="25" t="str">
        <f t="array" ref="O32">INDEX('参数页-不同武将系数'!AE$27:AE$75,MATCH($B32,'参数页-不同武将系数'!$B$27:$B$75,0))</f>
        <v>暴击等级</v>
      </c>
      <c r="P32" s="25" t="str">
        <f t="array" ref="P32">INDEX('参数页-不同武将系数'!AF$27:AF$75,MATCH($B32,'参数页-不同武将系数'!$B$27:$B$75,0))</f>
        <v>能量回复等级</v>
      </c>
      <c r="Q32" s="25" t="str">
        <f t="array" ref="Q32">INDEX('参数页-不同武将系数'!AG$27:AG$75,MATCH($B32,'参数页-不同武将系数'!$B$27:$B$75,0))</f>
        <v>技能冷却等级</v>
      </c>
      <c r="R32" s="25" t="str">
        <f t="array" ref="R32">INDEX('参数页-不同武将系数'!AZ$27:AZ$75,MATCH($B32,'参数页-不同武将系数'!$B$27:$B$75,0))</f>
        <v>魔法伤害加成</v>
      </c>
      <c r="S32" s="25" t="str">
        <f t="array" ref="S32">INDEX('参数页-不同武将系数'!BA$27:BA$75,MATCH($B32,'参数页-不同武将系数'!$B$27:$B$75,0))</f>
        <v>能量回复等级</v>
      </c>
      <c r="T32" s="25" t="str">
        <f t="array" ref="T32">INDEX('参数页-不同武将系数'!E$27:E$75,MATCH($B32,'参数页-不同武将系数'!$B$27:$B$75,0))</f>
        <v>魔法</v>
      </c>
    </row>
    <row r="33" spans="2:20">
      <c r="B33" s="29" t="s">
        <v>360</v>
      </c>
      <c r="C33" s="25">
        <f t="array" ref="C33">INDEX('参数页-不同武将系数'!S$27:S$75,MATCH($B33,'参数页-不同武将系数'!$B$27:$B$75,0))</f>
        <v>5600</v>
      </c>
      <c r="D33" s="25">
        <f t="array" ref="D33">INDEX('参数页-不同武将系数'!T$27:T$75,MATCH($B33,'参数页-不同武将系数'!$B$27:$B$75,0))</f>
        <v>448</v>
      </c>
      <c r="E33" s="25">
        <f t="array" ref="E33">INDEX('参数页-不同武将系数'!U$27:U$75,MATCH($B33,'参数页-不同武将系数'!$B$27:$B$75,0))</f>
        <v>576</v>
      </c>
      <c r="F33" s="25">
        <f t="array" ref="F33">INDEX('参数页-不同武将系数'!V$27:V$75,MATCH($B33,'参数页-不同武将系数'!$B$27:$B$75,0))</f>
        <v>46.08</v>
      </c>
      <c r="G33" s="25">
        <f t="array" ref="G33">INDEX('参数页-不同武将系数'!W$27:W$75,MATCH($B33,'参数页-不同武将系数'!$B$27:$B$75,0))</f>
        <v>720</v>
      </c>
      <c r="H33" s="25">
        <f t="array" ref="H33">INDEX('参数页-不同武将系数'!X$27:X$75,MATCH($B33,'参数页-不同武将系数'!$B$27:$B$75,0))</f>
        <v>57.6</v>
      </c>
      <c r="I33" s="25">
        <f t="array" ref="I33">INDEX('参数页-不同武将系数'!Y$27:Y$75,MATCH($B33,'参数页-不同武将系数'!$B$27:$B$75,0))</f>
        <v>880</v>
      </c>
      <c r="J33" s="25">
        <f t="array" ref="J33">INDEX('参数页-不同武将系数'!Z$27:Z$75,MATCH($B33,'参数页-不同武将系数'!$B$27:$B$75,0))</f>
        <v>70.4</v>
      </c>
      <c r="K33" s="25">
        <f t="array" ref="K33">INDEX('参数页-不同武将系数'!AA$27:AA$75,MATCH($B33,'参数页-不同武将系数'!$B$27:$B$75,0))</f>
        <v>477.12</v>
      </c>
      <c r="L33" s="25">
        <f t="array" ref="L33">INDEX('参数页-不同武将系数'!AB$27:AB$75,MATCH($B33,'参数页-不同武将系数'!$B$27:$B$75,0))</f>
        <v>49.15</v>
      </c>
      <c r="M33" s="25">
        <f t="array" ref="M33">INDEX('参数页-不同武将系数'!AC$27:AC$75,MATCH($B33,'参数页-不同武将系数'!$B$27:$B$75,0))</f>
        <v>61.44</v>
      </c>
      <c r="N33" s="25">
        <f t="array" ref="N33">INDEX('参数页-不同武将系数'!AD$27:AD$75,MATCH($B33,'参数页-不同武将系数'!$B$27:$B$75,0))</f>
        <v>74.8</v>
      </c>
      <c r="O33" s="25" t="str">
        <f t="array" ref="O33">INDEX('参数页-不同武将系数'!AE$27:AE$75,MATCH($B33,'参数页-不同武将系数'!$B$27:$B$75,0))</f>
        <v>生命值百分比</v>
      </c>
      <c r="P33" s="25" t="str">
        <f t="array" ref="P33">INDEX('参数页-不同武将系数'!AF$27:AF$75,MATCH($B33,'参数页-不同武将系数'!$B$27:$B$75,0))</f>
        <v>攻击百分比</v>
      </c>
      <c r="Q33" s="25" t="str">
        <f t="array" ref="Q33">INDEX('参数页-不同武将系数'!AG$27:AG$75,MATCH($B33,'参数页-不同武将系数'!$B$27:$B$75,0))</f>
        <v>技能冷却等级</v>
      </c>
      <c r="R33" s="25" t="str">
        <f t="array" ref="R33">INDEX('参数页-不同武将系数'!AZ$27:AZ$75,MATCH($B33,'参数页-不同武将系数'!$B$27:$B$75,0))</f>
        <v>物理伤害加成</v>
      </c>
      <c r="S33" s="25" t="str">
        <f t="array" ref="S33">INDEX('参数页-不同武将系数'!BA$27:BA$75,MATCH($B33,'参数页-不同武将系数'!$B$27:$B$75,0))</f>
        <v>必杀伤害加成</v>
      </c>
      <c r="T33" s="25" t="str">
        <f t="array" ref="T33">INDEX('参数页-不同武将系数'!E$27:E$75,MATCH($B33,'参数页-不同武将系数'!$B$27:$B$75,0))</f>
        <v>魔法</v>
      </c>
    </row>
    <row r="34" spans="2:20">
      <c r="B34" s="29" t="s">
        <v>913</v>
      </c>
      <c r="C34" s="25">
        <f t="array" ref="C34">INDEX('参数页-不同武将系数'!S$27:S$75,MATCH($B34,'参数页-不同武将系数'!$B$27:$B$75,0))</f>
        <v>5768</v>
      </c>
      <c r="D34" s="25">
        <f t="array" ref="D34">INDEX('参数页-不同武将系数'!T$27:T$75,MATCH($B34,'参数页-不同武将系数'!$B$27:$B$75,0))</f>
        <v>461.44</v>
      </c>
      <c r="E34" s="25">
        <f t="array" ref="E34">INDEX('参数页-不同武将系数'!U$27:U$75,MATCH($B34,'参数页-不同武将系数'!$B$27:$B$75,0))</f>
        <v>698</v>
      </c>
      <c r="F34" s="25">
        <f t="array" ref="F34">INDEX('参数页-不同武将系数'!V$27:V$75,MATCH($B34,'参数页-不同武将系数'!$B$27:$B$75,0))</f>
        <v>55.84</v>
      </c>
      <c r="G34" s="25">
        <f t="array" ref="G34">INDEX('参数页-不同武将系数'!W$27:W$75,MATCH($B34,'参数页-不同武将系数'!$B$27:$B$75,0))</f>
        <v>559</v>
      </c>
      <c r="H34" s="25">
        <f t="array" ref="H34">INDEX('参数页-不同武将系数'!X$27:X$75,MATCH($B34,'参数页-不同武将系数'!$B$27:$B$75,0))</f>
        <v>44.72</v>
      </c>
      <c r="I34" s="25">
        <f t="array" ref="I34">INDEX('参数页-不同武将系数'!Y$27:Y$75,MATCH($B34,'参数页-不同武将系数'!$B$27:$B$75,0))</f>
        <v>808</v>
      </c>
      <c r="J34" s="25">
        <f t="array" ref="J34">INDEX('参数页-不同武将系数'!Z$27:Z$75,MATCH($B34,'参数页-不同武将系数'!$B$27:$B$75,0))</f>
        <v>64.64</v>
      </c>
      <c r="K34" s="25">
        <f t="array" ref="K34">INDEX('参数页-不同武将系数'!AA$27:AA$75,MATCH($B34,'参数页-不同武将系数'!$B$27:$B$75,0))</f>
        <v>491.43</v>
      </c>
      <c r="L34" s="25">
        <f t="array" ref="L34">INDEX('参数页-不同武将系数'!AB$27:AB$75,MATCH($B34,'参数页-不同武将系数'!$B$27:$B$75,0))</f>
        <v>59.6</v>
      </c>
      <c r="M34" s="25">
        <f t="array" ref="M34">INDEX('参数页-不同武将系数'!AC$27:AC$75,MATCH($B34,'参数页-不同武将系数'!$B$27:$B$75,0))</f>
        <v>47.68</v>
      </c>
      <c r="N34" s="25">
        <f t="array" ref="N34">INDEX('参数页-不同武将系数'!AD$27:AD$75,MATCH($B34,'参数页-不同武将系数'!$B$27:$B$75,0))</f>
        <v>68.68</v>
      </c>
      <c r="O34" s="25" t="str">
        <f t="array" ref="O34">INDEX('参数页-不同武将系数'!AE$27:AE$75,MATCH($B34,'参数页-不同武将系数'!$B$27:$B$75,0))</f>
        <v>生命值百分比</v>
      </c>
      <c r="P34" s="25" t="str">
        <f t="array" ref="P34">INDEX('参数页-不同武将系数'!AF$27:AF$75,MATCH($B34,'参数页-不同武将系数'!$B$27:$B$75,0))</f>
        <v>防御百分比</v>
      </c>
      <c r="Q34" s="25" t="str">
        <f t="array" ref="Q34">INDEX('参数页-不同武将系数'!AG$27:AG$75,MATCH($B34,'参数页-不同武将系数'!$B$27:$B$75,0))</f>
        <v>技能冷却等级</v>
      </c>
      <c r="R34" s="25" t="str">
        <f t="array" ref="R34">INDEX('参数页-不同武将系数'!AZ$27:AZ$75,MATCH($B34,'参数页-不同武将系数'!$B$27:$B$75,0))</f>
        <v>物理伤害加成</v>
      </c>
      <c r="S34" s="25" t="str">
        <f t="array" ref="S34">INDEX('参数页-不同武将系数'!BA$27:BA$75,MATCH($B34,'参数页-不同武将系数'!$B$27:$B$75,0))</f>
        <v>能量回复等级</v>
      </c>
      <c r="T34" s="25" t="str">
        <f t="array" ref="T34">INDEX('参数页-不同武将系数'!E$27:E$75,MATCH($B34,'参数页-不同武将系数'!$B$27:$B$75,0))</f>
        <v>物理</v>
      </c>
    </row>
    <row r="35" spans="2:20">
      <c r="B35" s="29" t="s">
        <v>914</v>
      </c>
      <c r="C35" s="25">
        <f t="array" ref="C35">INDEX('参数页-不同武将系数'!S$27:S$75,MATCH($B35,'参数页-不同武将系数'!$B$27:$B$75,0))</f>
        <v>6160</v>
      </c>
      <c r="D35" s="25">
        <f t="array" ref="D35">INDEX('参数页-不同武将系数'!T$27:T$75,MATCH($B35,'参数页-不同武将系数'!$B$27:$B$75,0))</f>
        <v>492.8</v>
      </c>
      <c r="E35" s="25">
        <f t="array" ref="E35">INDEX('参数页-不同武将系数'!U$27:U$75,MATCH($B35,'参数页-不同武将系数'!$B$27:$B$75,0))</f>
        <v>677</v>
      </c>
      <c r="F35" s="25">
        <f t="array" ref="F35">INDEX('参数页-不同武将系数'!V$27:V$75,MATCH($B35,'参数页-不同武将系数'!$B$27:$B$75,0))</f>
        <v>54.16</v>
      </c>
      <c r="G35" s="25">
        <f t="array" ref="G35">INDEX('参数页-不同武将系数'!W$27:W$75,MATCH($B35,'参数页-不同武将系数'!$B$27:$B$75,0))</f>
        <v>541</v>
      </c>
      <c r="H35" s="25">
        <f t="array" ref="H35">INDEX('参数页-不同武将系数'!X$27:X$75,MATCH($B35,'参数页-不同武将系数'!$B$27:$B$75,0))</f>
        <v>43.28</v>
      </c>
      <c r="I35" s="25">
        <f t="array" ref="I35">INDEX('参数页-不同武将系数'!Y$27:Y$75,MATCH($B35,'参数页-不同武将系数'!$B$27:$B$75,0))</f>
        <v>800</v>
      </c>
      <c r="J35" s="25">
        <f t="array" ref="J35">INDEX('参数页-不同武将系数'!Z$27:Z$75,MATCH($B35,'参数页-不同武将系数'!$B$27:$B$75,0))</f>
        <v>64</v>
      </c>
      <c r="K35" s="25">
        <f t="array" ref="K35">INDEX('参数页-不同武将系数'!AA$27:AA$75,MATCH($B35,'参数页-不同武将系数'!$B$27:$B$75,0))</f>
        <v>524.83</v>
      </c>
      <c r="L35" s="25">
        <f t="array" ref="L35">INDEX('参数页-不同武将系数'!AB$27:AB$75,MATCH($B35,'参数页-不同武将系数'!$B$27:$B$75,0))</f>
        <v>57.75</v>
      </c>
      <c r="M35" s="25">
        <f t="array" ref="M35">INDEX('参数页-不同武将系数'!AC$27:AC$75,MATCH($B35,'参数页-不同武将系数'!$B$27:$B$75,0))</f>
        <v>46.2</v>
      </c>
      <c r="N35" s="25">
        <f t="array" ref="N35">INDEX('参数页-不同武将系数'!AD$27:AD$75,MATCH($B35,'参数页-不同武将系数'!$B$27:$B$75,0))</f>
        <v>68</v>
      </c>
      <c r="O35" s="25" t="str">
        <f t="array" ref="O35">INDEX('参数页-不同武将系数'!AE$27:AE$75,MATCH($B35,'参数页-不同武将系数'!$B$27:$B$75,0))</f>
        <v>生命值百分比</v>
      </c>
      <c r="P35" s="25" t="str">
        <f t="array" ref="P35">INDEX('参数页-不同武将系数'!AF$27:AF$75,MATCH($B35,'参数页-不同武将系数'!$B$27:$B$75,0))</f>
        <v>防御百分比</v>
      </c>
      <c r="Q35" s="25" t="str">
        <f t="array" ref="Q35">INDEX('参数页-不同武将系数'!AG$27:AG$75,MATCH($B35,'参数页-不同武将系数'!$B$27:$B$75,0))</f>
        <v>技能冷却等级</v>
      </c>
      <c r="R35" s="25" t="str">
        <f t="array" ref="R35">INDEX('参数页-不同武将系数'!AZ$27:AZ$75,MATCH($B35,'参数页-不同武将系数'!$B$27:$B$75,0))</f>
        <v>物理伤害加成</v>
      </c>
      <c r="S35" s="25" t="str">
        <f t="array" ref="S35">INDEX('参数页-不同武将系数'!BA$27:BA$75,MATCH($B35,'参数页-不同武将系数'!$B$27:$B$75,0))</f>
        <v>技能冷却等级</v>
      </c>
      <c r="T35" s="25" t="str">
        <f t="array" ref="T35">INDEX('参数页-不同武将系数'!E$27:E$75,MATCH($B35,'参数页-不同武将系数'!$B$27:$B$75,0))</f>
        <v>物理</v>
      </c>
    </row>
    <row r="36" spans="2:20">
      <c r="B36" s="29" t="s">
        <v>915</v>
      </c>
      <c r="C36" s="25">
        <f t="array" ref="C36">INDEX('参数页-不同武将系数'!S$27:S$75,MATCH($B36,'参数页-不同武将系数'!$B$27:$B$75,0))</f>
        <v>5280</v>
      </c>
      <c r="D36" s="25">
        <f t="array" ref="D36">INDEX('参数页-不同武将系数'!T$27:T$75,MATCH($B36,'参数页-不同武将系数'!$B$27:$B$75,0))</f>
        <v>422.4</v>
      </c>
      <c r="E36" s="25">
        <f t="array" ref="E36">INDEX('参数页-不同武将系数'!U$27:U$75,MATCH($B36,'参数页-不同武将系数'!$B$27:$B$75,0))</f>
        <v>677</v>
      </c>
      <c r="F36" s="25">
        <f t="array" ref="F36">INDEX('参数页-不同武将系数'!V$27:V$75,MATCH($B36,'参数页-不同武将系数'!$B$27:$B$75,0))</f>
        <v>54.16</v>
      </c>
      <c r="G36" s="25">
        <f t="array" ref="G36">INDEX('参数页-不同武将系数'!W$27:W$75,MATCH($B36,'参数页-不同武将系数'!$B$27:$B$75,0))</f>
        <v>541</v>
      </c>
      <c r="H36" s="25">
        <f t="array" ref="H36">INDEX('参数页-不同武将系数'!X$27:X$75,MATCH($B36,'参数页-不同武将系数'!$B$27:$B$75,0))</f>
        <v>43.28</v>
      </c>
      <c r="I36" s="25">
        <f t="array" ref="I36">INDEX('参数页-不同武将系数'!Y$27:Y$75,MATCH($B36,'参数页-不同武将系数'!$B$27:$B$75,0))</f>
        <v>960</v>
      </c>
      <c r="J36" s="25">
        <f t="array" ref="J36">INDEX('参数页-不同武将系数'!Z$27:Z$75,MATCH($B36,'参数页-不同武将系数'!$B$27:$B$75,0))</f>
        <v>76.8</v>
      </c>
      <c r="K36" s="25">
        <f t="array" ref="K36">INDEX('参数页-不同武将系数'!AA$27:AA$75,MATCH($B36,'参数页-不同武将系数'!$B$27:$B$75,0))</f>
        <v>449.86</v>
      </c>
      <c r="L36" s="25">
        <f t="array" ref="L36">INDEX('参数页-不同武将系数'!AB$27:AB$75,MATCH($B36,'参数页-不同武将系数'!$B$27:$B$75,0))</f>
        <v>57.75</v>
      </c>
      <c r="M36" s="25">
        <f t="array" ref="M36">INDEX('参数页-不同武将系数'!AC$27:AC$75,MATCH($B36,'参数页-不同武将系数'!$B$27:$B$75,0))</f>
        <v>46.2</v>
      </c>
      <c r="N36" s="25">
        <f t="array" ref="N36">INDEX('参数页-不同武将系数'!AD$27:AD$75,MATCH($B36,'参数页-不同武将系数'!$B$27:$B$75,0))</f>
        <v>81.6</v>
      </c>
      <c r="O36" s="25" t="str">
        <f t="array" ref="O36">INDEX('参数页-不同武将系数'!AE$27:AE$75,MATCH($B36,'参数页-不同武将系数'!$B$27:$B$75,0))</f>
        <v>防御百分比</v>
      </c>
      <c r="P36" s="25" t="str">
        <f t="array" ref="P36">INDEX('参数页-不同武将系数'!AF$27:AF$75,MATCH($B36,'参数页-不同武将系数'!$B$27:$B$75,0))</f>
        <v>生命值百分比</v>
      </c>
      <c r="Q36" s="25" t="str">
        <f t="array" ref="Q36">INDEX('参数页-不同武将系数'!AG$27:AG$75,MATCH($B36,'参数页-不同武将系数'!$B$27:$B$75,0))</f>
        <v>技能冷却等级</v>
      </c>
      <c r="R36" s="25" t="str">
        <f t="array" ref="R36">INDEX('参数页-不同武将系数'!AZ$27:AZ$75,MATCH($B36,'参数页-不同武将系数'!$B$27:$B$75,0))</f>
        <v>物理伤害加成</v>
      </c>
      <c r="S36" s="25" t="str">
        <f t="array" ref="S36">INDEX('参数页-不同武将系数'!BA$27:BA$75,MATCH($B36,'参数页-不同武将系数'!$B$27:$B$75,0))</f>
        <v>技能冷却等级</v>
      </c>
      <c r="T36" s="25" t="str">
        <f t="array" ref="T36">INDEX('参数页-不同武将系数'!E$27:E$75,MATCH($B36,'参数页-不同武将系数'!$B$27:$B$75,0))</f>
        <v>物理</v>
      </c>
    </row>
    <row r="37" spans="2:20">
      <c r="B37" s="29" t="s">
        <v>368</v>
      </c>
      <c r="C37" s="25">
        <f t="array" ref="C37">INDEX('参数页-不同武将系数'!S$27:S$75,MATCH($B37,'参数页-不同武将系数'!$B$27:$B$75,0))</f>
        <v>4000</v>
      </c>
      <c r="D37" s="25">
        <f t="array" ref="D37">INDEX('参数页-不同武将系数'!T$27:T$75,MATCH($B37,'参数页-不同武将系数'!$B$27:$B$75,0))</f>
        <v>320</v>
      </c>
      <c r="E37" s="25">
        <f t="array" ref="E37">INDEX('参数页-不同武将系数'!U$27:U$75,MATCH($B37,'参数页-不同武将系数'!$B$27:$B$75,0))</f>
        <v>881</v>
      </c>
      <c r="F37" s="25">
        <f t="array" ref="F37">INDEX('参数页-不同武将系数'!V$27:V$75,MATCH($B37,'参数页-不同武将系数'!$B$27:$B$75,0))</f>
        <v>70.48</v>
      </c>
      <c r="G37" s="25">
        <f t="array" ref="G37">INDEX('参数页-不同武将系数'!W$27:W$75,MATCH($B37,'参数页-不同武将系数'!$B$27:$B$75,0))</f>
        <v>1058</v>
      </c>
      <c r="H37" s="25">
        <f t="array" ref="H37">INDEX('参数页-不同武将系数'!X$27:X$75,MATCH($B37,'参数页-不同武将系数'!$B$27:$B$75,0))</f>
        <v>84.64</v>
      </c>
      <c r="I37" s="25">
        <f t="array" ref="I37">INDEX('参数页-不同武将系数'!Y$27:Y$75,MATCH($B37,'参数页-不同武将系数'!$B$27:$B$75,0))</f>
        <v>880</v>
      </c>
      <c r="J37" s="25">
        <f t="array" ref="J37">INDEX('参数页-不同武将系数'!Z$27:Z$75,MATCH($B37,'参数页-不同武将系数'!$B$27:$B$75,0))</f>
        <v>70.4</v>
      </c>
      <c r="K37" s="25">
        <f t="array" ref="K37">INDEX('参数页-不同武将系数'!AA$27:AA$75,MATCH($B37,'参数页-不同武将系数'!$B$27:$B$75,0))</f>
        <v>340.8</v>
      </c>
      <c r="L37" s="25">
        <f t="array" ref="L37">INDEX('参数页-不同武将系数'!AB$27:AB$75,MATCH($B37,'参数页-不同武将系数'!$B$27:$B$75,0))</f>
        <v>75.2</v>
      </c>
      <c r="M37" s="25">
        <f t="array" ref="M37">INDEX('参数页-不同武将系数'!AC$27:AC$75,MATCH($B37,'参数页-不同武将系数'!$B$27:$B$75,0))</f>
        <v>90.32</v>
      </c>
      <c r="N37" s="25">
        <f t="array" ref="N37">INDEX('参数页-不同武将系数'!AD$27:AD$75,MATCH($B37,'参数页-不同武将系数'!$B$27:$B$75,0))</f>
        <v>74.8</v>
      </c>
      <c r="O37" s="25" t="str">
        <f t="array" ref="O37">INDEX('参数页-不同武将系数'!AE$27:AE$75,MATCH($B37,'参数页-不同武将系数'!$B$27:$B$75,0))</f>
        <v>攻击百分比</v>
      </c>
      <c r="P37" s="25" t="str">
        <f t="array" ref="P37">INDEX('参数页-不同武将系数'!AF$27:AF$75,MATCH($B37,'参数页-不同武将系数'!$B$27:$B$75,0))</f>
        <v>治疗率</v>
      </c>
      <c r="Q37" s="25" t="str">
        <f t="array" ref="Q37">INDEX('参数页-不同武将系数'!AG$27:AG$75,MATCH($B37,'参数页-不同武将系数'!$B$27:$B$75,0))</f>
        <v>能量回复等级</v>
      </c>
      <c r="R37" s="25" t="str">
        <f t="array" ref="R37">INDEX('参数页-不同武将系数'!AZ$27:AZ$75,MATCH($B37,'参数页-不同武将系数'!$B$27:$B$75,0))</f>
        <v>魔法伤害加成</v>
      </c>
      <c r="S37" s="25" t="str">
        <f t="array" ref="S37">INDEX('参数页-不同武将系数'!BA$27:BA$75,MATCH($B37,'参数页-不同武将系数'!$B$27:$B$75,0))</f>
        <v>治疗率</v>
      </c>
      <c r="T37" s="25" t="str">
        <f t="array" ref="T37">INDEX('参数页-不同武将系数'!E$27:E$75,MATCH($B37,'参数页-不同武将系数'!$B$27:$B$75,0))</f>
        <v>魔法</v>
      </c>
    </row>
    <row r="38" ht="17.25" customHeight="1" spans="2:20">
      <c r="B38" s="7" t="s">
        <v>363</v>
      </c>
      <c r="C38" s="25">
        <f t="array" ref="C38">INDEX('参数页-不同武将系数'!S$27:S$75,MATCH($B38,'参数页-不同武将系数'!$B$27:$B$75,0))</f>
        <v>3675</v>
      </c>
      <c r="D38" s="25">
        <f t="array" ref="D38">INDEX('参数页-不同武将系数'!T$27:T$75,MATCH($B38,'参数页-不同武将系数'!$B$27:$B$75,0))</f>
        <v>294</v>
      </c>
      <c r="E38" s="25">
        <f t="array" ref="E38">INDEX('参数页-不同武将系数'!U$27:U$75,MATCH($B38,'参数页-不同武将系数'!$B$27:$B$75,0))</f>
        <v>798</v>
      </c>
      <c r="F38" s="25">
        <f t="array" ref="F38">INDEX('参数页-不同武将系数'!V$27:V$75,MATCH($B38,'参数页-不同武将系数'!$B$27:$B$75,0))</f>
        <v>63.84</v>
      </c>
      <c r="G38" s="25">
        <f t="array" ref="G38">INDEX('参数页-不同武将系数'!W$27:W$75,MATCH($B38,'参数页-不同武将系数'!$B$27:$B$75,0))</f>
        <v>998</v>
      </c>
      <c r="H38" s="25">
        <f t="array" ref="H38">INDEX('参数页-不同武将系数'!X$27:X$75,MATCH($B38,'参数页-不同武将系数'!$B$27:$B$75,0))</f>
        <v>79.84</v>
      </c>
      <c r="I38" s="25">
        <f t="array" ref="I38">INDEX('参数页-不同武将系数'!Y$27:Y$75,MATCH($B38,'参数页-不同武将系数'!$B$27:$B$75,0))</f>
        <v>700</v>
      </c>
      <c r="J38" s="25">
        <f t="array" ref="J38">INDEX('参数页-不同武将系数'!Z$27:Z$75,MATCH($B38,'参数页-不同武将系数'!$B$27:$B$75,0))</f>
        <v>56</v>
      </c>
      <c r="K38" s="25">
        <f t="array" ref="K38">INDEX('参数页-不同武将系数'!AA$27:AA$75,MATCH($B38,'参数页-不同武将系数'!$B$27:$B$75,0))</f>
        <v>313.11</v>
      </c>
      <c r="L38" s="25">
        <f t="array" ref="L38">INDEX('参数页-不同武将系数'!AB$27:AB$75,MATCH($B38,'参数页-不同武将系数'!$B$27:$B$75,0))</f>
        <v>68.1</v>
      </c>
      <c r="M38" s="25">
        <f t="array" ref="M38">INDEX('参数页-不同武将系数'!AC$27:AC$75,MATCH($B38,'参数页-不同武将系数'!$B$27:$B$75,0))</f>
        <v>85.12</v>
      </c>
      <c r="N38" s="25">
        <f t="array" ref="N38">INDEX('参数页-不同武将系数'!AD$27:AD$75,MATCH($B38,'参数页-不同武将系数'!$B$27:$B$75,0))</f>
        <v>59.5</v>
      </c>
      <c r="O38" s="25" t="str">
        <f t="array" ref="O38">INDEX('参数页-不同武将系数'!AE$27:AE$75,MATCH($B38,'参数页-不同武将系数'!$B$27:$B$75,0))</f>
        <v>攻击百分比</v>
      </c>
      <c r="P38" s="25" t="str">
        <f t="array" ref="P38">INDEX('参数页-不同武将系数'!AF$27:AF$75,MATCH($B38,'参数页-不同武将系数'!$B$27:$B$75,0))</f>
        <v>暴击等级</v>
      </c>
      <c r="Q38" s="25" t="str">
        <f t="array" ref="Q38">INDEX('参数页-不同武将系数'!AG$27:AG$75,MATCH($B38,'参数页-不同武将系数'!$B$27:$B$75,0))</f>
        <v>必杀伤害加成</v>
      </c>
      <c r="R38" s="25" t="str">
        <f t="array" ref="R38">INDEX('参数页-不同武将系数'!AZ$27:AZ$75,MATCH($B38,'参数页-不同武将系数'!$B$27:$B$75,0))</f>
        <v>魔法伤害加成</v>
      </c>
      <c r="S38" s="25" t="str">
        <f t="array" ref="S38">INDEX('参数页-不同武将系数'!BA$27:BA$75,MATCH($B38,'参数页-不同武将系数'!$B$27:$B$75,0))</f>
        <v>暴击伤害等级</v>
      </c>
      <c r="T38" s="25" t="str">
        <f t="array" ref="T38">INDEX('参数页-不同武将系数'!E$27:E$75,MATCH($B38,'参数页-不同武将系数'!$B$27:$B$75,0))</f>
        <v>魔法</v>
      </c>
    </row>
    <row r="39" ht="17.25" customHeight="1" spans="2:20">
      <c r="B39" s="7" t="s">
        <v>364</v>
      </c>
      <c r="C39" s="25">
        <f t="array" ref="C39">INDEX('参数页-不同武将系数'!S$27:S$75,MATCH($B39,'参数页-不同武将系数'!$B$27:$B$75,0))</f>
        <v>2660</v>
      </c>
      <c r="D39" s="25">
        <f t="array" ref="D39">INDEX('参数页-不同武将系数'!T$27:T$75,MATCH($B39,'参数页-不同武将系数'!$B$27:$B$75,0))</f>
        <v>212.8</v>
      </c>
      <c r="E39" s="25">
        <f t="array" ref="E39">INDEX('参数页-不同武将系数'!U$27:U$75,MATCH($B39,'参数页-不同武将系数'!$B$27:$B$75,0))</f>
        <v>1008</v>
      </c>
      <c r="F39" s="25">
        <f t="array" ref="F39">INDEX('参数页-不同武将系数'!V$27:V$75,MATCH($B39,'参数页-不同武将系数'!$B$27:$B$75,0))</f>
        <v>80.64</v>
      </c>
      <c r="G39" s="25">
        <f t="array" ref="G39">INDEX('参数页-不同武将系数'!W$27:W$75,MATCH($B39,'参数页-不同武将系数'!$B$27:$B$75,0))</f>
        <v>1260</v>
      </c>
      <c r="H39" s="25">
        <f t="array" ref="H39">INDEX('参数页-不同武将系数'!X$27:X$75,MATCH($B39,'参数页-不同武将系数'!$B$27:$B$75,0))</f>
        <v>100.8</v>
      </c>
      <c r="I39" s="25">
        <f t="array" ref="I39">INDEX('参数页-不同武将系数'!Y$27:Y$75,MATCH($B39,'参数页-不同武将系数'!$B$27:$B$75,0))</f>
        <v>700</v>
      </c>
      <c r="J39" s="25">
        <f t="array" ref="J39">INDEX('参数页-不同武将系数'!Z$27:Z$75,MATCH($B39,'参数页-不同武将系数'!$B$27:$B$75,0))</f>
        <v>56</v>
      </c>
      <c r="K39" s="25">
        <f t="array" ref="K39">INDEX('参数页-不同武将系数'!AA$27:AA$75,MATCH($B39,'参数页-不同武将系数'!$B$27:$B$75,0))</f>
        <v>226.63</v>
      </c>
      <c r="L39" s="25">
        <f t="array" ref="L39">INDEX('参数页-不同武将系数'!AB$27:AB$75,MATCH($B39,'参数页-不同武将系数'!$B$27:$B$75,0))</f>
        <v>86.02</v>
      </c>
      <c r="M39" s="25">
        <f t="array" ref="M39">INDEX('参数页-不同武将系数'!AC$27:AC$75,MATCH($B39,'参数页-不同武将系数'!$B$27:$B$75,0))</f>
        <v>107.52</v>
      </c>
      <c r="N39" s="25">
        <f t="array" ref="N39">INDEX('参数页-不同武将系数'!AD$27:AD$75,MATCH($B39,'参数页-不同武将系数'!$B$27:$B$75,0))</f>
        <v>59.5</v>
      </c>
      <c r="O39" s="25" t="str">
        <f t="array" ref="O39">INDEX('参数页-不同武将系数'!AE$27:AE$75,MATCH($B39,'参数页-不同武将系数'!$B$27:$B$75,0))</f>
        <v>攻击百分比</v>
      </c>
      <c r="P39" s="25" t="str">
        <f t="array" ref="P39">INDEX('参数页-不同武将系数'!AF$27:AF$75,MATCH($B39,'参数页-不同武将系数'!$B$27:$B$75,0))</f>
        <v>技能伤害加成</v>
      </c>
      <c r="Q39" s="25" t="str">
        <f t="array" ref="Q39">INDEX('参数页-不同武将系数'!AG$27:AG$75,MATCH($B39,'参数页-不同武将系数'!$B$27:$B$75,0))</f>
        <v>技能冷却等级</v>
      </c>
      <c r="R39" s="25" t="str">
        <f t="array" ref="R39">INDEX('参数页-不同武将系数'!AZ$27:AZ$75,MATCH($B39,'参数页-不同武将系数'!$B$27:$B$75,0))</f>
        <v>魔法伤害加成</v>
      </c>
      <c r="S39" s="25" t="str">
        <f t="array" ref="S39">INDEX('参数页-不同武将系数'!BA$27:BA$75,MATCH($B39,'参数页-不同武将系数'!$B$27:$B$75,0))</f>
        <v>技能冷却等级</v>
      </c>
      <c r="T39" s="25" t="str">
        <f t="array" ref="T39">INDEX('参数页-不同武将系数'!E$27:E$75,MATCH($B39,'参数页-不同武将系数'!$B$27:$B$75,0))</f>
        <v>魔法</v>
      </c>
    </row>
    <row r="40" ht="17.25" customHeight="1" spans="2:20">
      <c r="B40" s="7" t="s">
        <v>365</v>
      </c>
      <c r="C40" s="25">
        <f t="array" ref="C40">INDEX('参数页-不同武将系数'!S$27:S$75,MATCH($B40,'参数页-不同武将系数'!$B$27:$B$75,0))</f>
        <v>3859</v>
      </c>
      <c r="D40" s="25">
        <f t="array" ref="D40">INDEX('参数页-不同武将系数'!T$27:T$75,MATCH($B40,'参数页-不同武将系数'!$B$27:$B$75,0))</f>
        <v>308.72</v>
      </c>
      <c r="E40" s="25">
        <f t="array" ref="E40">INDEX('参数页-不同武将系数'!U$27:U$75,MATCH($B40,'参数页-不同武将系数'!$B$27:$B$75,0))</f>
        <v>1047</v>
      </c>
      <c r="F40" s="25">
        <f t="array" ref="F40">INDEX('参数页-不同武将系数'!V$27:V$75,MATCH($B40,'参数页-不同武将系数'!$B$27:$B$75,0))</f>
        <v>83.76</v>
      </c>
      <c r="G40" s="25">
        <f t="array" ref="G40">INDEX('参数页-不同武将系数'!W$27:W$75,MATCH($B40,'参数页-不同武将系数'!$B$27:$B$75,0))</f>
        <v>758</v>
      </c>
      <c r="H40" s="25">
        <f t="array" ref="H40">INDEX('参数页-不同武将系数'!X$27:X$75,MATCH($B40,'参数页-不同武将系数'!$B$27:$B$75,0))</f>
        <v>60.64</v>
      </c>
      <c r="I40" s="25">
        <f t="array" ref="I40">INDEX('参数页-不同武将系数'!Y$27:Y$75,MATCH($B40,'参数页-不同武将系数'!$B$27:$B$75,0))</f>
        <v>665</v>
      </c>
      <c r="J40" s="25">
        <f t="array" ref="J40">INDEX('参数页-不同武将系数'!Z$27:Z$75,MATCH($B40,'参数页-不同武将系数'!$B$27:$B$75,0))</f>
        <v>53.2</v>
      </c>
      <c r="K40" s="25">
        <f t="array" ref="K40">INDEX('参数页-不同武将系数'!AA$27:AA$75,MATCH($B40,'参数页-不同武将系数'!$B$27:$B$75,0))</f>
        <v>328.77</v>
      </c>
      <c r="L40" s="25">
        <f t="array" ref="L40">INDEX('参数页-不同武将系数'!AB$27:AB$75,MATCH($B40,'参数页-不同武将系数'!$B$27:$B$75,0))</f>
        <v>89.38</v>
      </c>
      <c r="M40" s="25">
        <f t="array" ref="M40">INDEX('参数页-不同武将系数'!AC$27:AC$75,MATCH($B40,'参数页-不同武将系数'!$B$27:$B$75,0))</f>
        <v>64.69</v>
      </c>
      <c r="N40" s="25">
        <f t="array" ref="N40">INDEX('参数页-不同武将系数'!AD$27:AD$75,MATCH($B40,'参数页-不同武将系数'!$B$27:$B$75,0))</f>
        <v>56.53</v>
      </c>
      <c r="O40" s="25" t="str">
        <f t="array" ref="O40">INDEX('参数页-不同武将系数'!AE$27:AE$75,MATCH($B40,'参数页-不同武将系数'!$B$27:$B$75,0))</f>
        <v>攻击百分比</v>
      </c>
      <c r="P40" s="25" t="str">
        <f t="array" ref="P40">INDEX('参数页-不同武将系数'!AF$27:AF$75,MATCH($B40,'参数页-不同武将系数'!$B$27:$B$75,0))</f>
        <v>暴击等级</v>
      </c>
      <c r="Q40" s="25" t="str">
        <f t="array" ref="Q40">INDEX('参数页-不同武将系数'!AG$27:AG$75,MATCH($B40,'参数页-不同武将系数'!$B$27:$B$75,0))</f>
        <v>普攻伤害加成</v>
      </c>
      <c r="R40" s="25" t="str">
        <f t="array" ref="R40">INDEX('参数页-不同武将系数'!AZ$27:AZ$75,MATCH($B40,'参数页-不同武将系数'!$B$27:$B$75,0))</f>
        <v>物理伤害加成</v>
      </c>
      <c r="S40" s="25" t="str">
        <f t="array" ref="S40">INDEX('参数页-不同武将系数'!BA$27:BA$75,MATCH($B40,'参数页-不同武将系数'!$B$27:$B$75,0))</f>
        <v>暴击伤害等级</v>
      </c>
      <c r="T40" s="25" t="str">
        <f t="array" ref="T40">INDEX('参数页-不同武将系数'!E$27:E$75,MATCH($B40,'参数页-不同武将系数'!$B$27:$B$75,0))</f>
        <v>物理</v>
      </c>
    </row>
    <row r="41" ht="17.25" customHeight="1" spans="2:20">
      <c r="B41" s="7" t="s">
        <v>366</v>
      </c>
      <c r="C41" s="25">
        <f t="array" ref="C41">INDEX('参数页-不同武将系数'!S$27:S$75,MATCH($B41,'参数页-不同武将系数'!$B$27:$B$75,0))</f>
        <v>4200</v>
      </c>
      <c r="D41" s="25">
        <f t="array" ref="D41">INDEX('参数页-不同武将系数'!T$27:T$75,MATCH($B41,'参数页-不同武将系数'!$B$27:$B$75,0))</f>
        <v>336</v>
      </c>
      <c r="E41" s="25">
        <f t="array" ref="E41">INDEX('参数页-不同武将系数'!U$27:U$75,MATCH($B41,'参数页-不同武将系数'!$B$27:$B$75,0))</f>
        <v>630</v>
      </c>
      <c r="F41" s="25">
        <f t="array" ref="F41">INDEX('参数页-不同武将系数'!V$27:V$75,MATCH($B41,'参数页-不同武将系数'!$B$27:$B$75,0))</f>
        <v>50.4</v>
      </c>
      <c r="G41" s="25">
        <f t="array" ref="G41">INDEX('参数页-不同武将系数'!W$27:W$75,MATCH($B41,'参数页-不同武将系数'!$B$27:$B$75,0))</f>
        <v>504</v>
      </c>
      <c r="H41" s="25">
        <f t="array" ref="H41">INDEX('参数页-不同武将系数'!X$27:X$75,MATCH($B41,'参数页-不同武将系数'!$B$27:$B$75,0))</f>
        <v>40.32</v>
      </c>
      <c r="I41" s="25">
        <f t="array" ref="I41">INDEX('参数页-不同武将系数'!Y$27:Y$75,MATCH($B41,'参数页-不同武将系数'!$B$27:$B$75,0))</f>
        <v>840</v>
      </c>
      <c r="J41" s="25">
        <f t="array" ref="J41">INDEX('参数页-不同武将系数'!Z$27:Z$75,MATCH($B41,'参数页-不同武将系数'!$B$27:$B$75,0))</f>
        <v>67.2</v>
      </c>
      <c r="K41" s="25">
        <f t="array" ref="K41">INDEX('参数页-不同武将系数'!AA$27:AA$75,MATCH($B41,'参数页-不同武将系数'!$B$27:$B$75,0))</f>
        <v>357.84</v>
      </c>
      <c r="L41" s="25">
        <f t="array" ref="L41">INDEX('参数页-不同武将系数'!AB$27:AB$75,MATCH($B41,'参数页-不同武将系数'!$B$27:$B$75,0))</f>
        <v>53.76</v>
      </c>
      <c r="M41" s="25">
        <f t="array" ref="M41">INDEX('参数页-不同武将系数'!AC$27:AC$75,MATCH($B41,'参数页-不同武将系数'!$B$27:$B$75,0))</f>
        <v>43.01</v>
      </c>
      <c r="N41" s="25">
        <f t="array" ref="N41">INDEX('参数页-不同武将系数'!AD$27:AD$75,MATCH($B41,'参数页-不同武将系数'!$B$27:$B$75,0))</f>
        <v>71.4</v>
      </c>
      <c r="O41" s="25" t="str">
        <f t="array" ref="O41">INDEX('参数页-不同武将系数'!AE$27:AE$75,MATCH($B41,'参数页-不同武将系数'!$B$27:$B$75,0))</f>
        <v>防御百分比</v>
      </c>
      <c r="P41" s="25" t="str">
        <f t="array" ref="P41">INDEX('参数页-不同武将系数'!AF$27:AF$75,MATCH($B41,'参数页-不同武将系数'!$B$27:$B$75,0))</f>
        <v>生命值百分比</v>
      </c>
      <c r="Q41" s="25" t="str">
        <f t="array" ref="Q41">INDEX('参数页-不同武将系数'!AG$27:AG$75,MATCH($B41,'参数页-不同武将系数'!$B$27:$B$75,0))</f>
        <v>技能冷却等级</v>
      </c>
      <c r="R41" s="25" t="str">
        <f t="array" ref="R41">INDEX('参数页-不同武将系数'!AZ$27:AZ$75,MATCH($B41,'参数页-不同武将系数'!$B$27:$B$75,0))</f>
        <v>能量回复等级</v>
      </c>
      <c r="S41" s="25" t="str">
        <f t="array" ref="S41">INDEX('参数页-不同武将系数'!BA$27:BA$75,MATCH($B41,'参数页-不同武将系数'!$B$27:$B$75,0))</f>
        <v>技能冷却等级</v>
      </c>
      <c r="T41" s="25" t="str">
        <f t="array" ref="T41">INDEX('参数页-不同武将系数'!E$27:E$75,MATCH($B41,'参数页-不同武将系数'!$B$27:$B$75,0))</f>
        <v>物理</v>
      </c>
    </row>
    <row r="42" ht="17.25" customHeight="1" spans="2:20">
      <c r="B42" s="7" t="s">
        <v>367</v>
      </c>
      <c r="C42" s="25">
        <f t="array" ref="C42">INDEX('参数页-不同武将系数'!S$27:S$75,MATCH($B42,'参数页-不同武将系数'!$B$27:$B$75,0))</f>
        <v>3150</v>
      </c>
      <c r="D42" s="25">
        <f t="array" ref="D42">INDEX('参数页-不同武将系数'!T$27:T$75,MATCH($B42,'参数页-不同武将系数'!$B$27:$B$75,0))</f>
        <v>252</v>
      </c>
      <c r="E42" s="25">
        <f t="array" ref="E42">INDEX('参数页-不同武将系数'!U$27:U$75,MATCH($B42,'参数页-不同武将系数'!$B$27:$B$75,0))</f>
        <v>1155</v>
      </c>
      <c r="F42" s="25">
        <f t="array" ref="F42">INDEX('参数页-不同武将系数'!V$27:V$75,MATCH($B42,'参数页-不同武将系数'!$B$27:$B$75,0))</f>
        <v>92.4</v>
      </c>
      <c r="G42" s="25">
        <f t="array" ref="G42">INDEX('参数页-不同武将系数'!W$27:W$75,MATCH($B42,'参数页-不同武将系数'!$B$27:$B$75,0))</f>
        <v>924</v>
      </c>
      <c r="H42" s="25">
        <f t="array" ref="H42">INDEX('参数页-不同武将系数'!X$27:X$75,MATCH($B42,'参数页-不同武将系数'!$B$27:$B$75,0))</f>
        <v>73.92</v>
      </c>
      <c r="I42" s="25">
        <f t="array" ref="I42">INDEX('参数页-不同武将系数'!Y$27:Y$75,MATCH($B42,'参数页-不同武将系数'!$B$27:$B$75,0))</f>
        <v>700</v>
      </c>
      <c r="J42" s="25">
        <f t="array" ref="J42">INDEX('参数页-不同武将系数'!Z$27:Z$75,MATCH($B42,'参数页-不同武将系数'!$B$27:$B$75,0))</f>
        <v>56</v>
      </c>
      <c r="K42" s="25">
        <f t="array" ref="K42">INDEX('参数页-不同武将系数'!AA$27:AA$75,MATCH($B42,'参数页-不同武将系数'!$B$27:$B$75,0))</f>
        <v>268.38</v>
      </c>
      <c r="L42" s="25">
        <f t="array" ref="L42">INDEX('参数页-不同武将系数'!AB$27:AB$75,MATCH($B42,'参数页-不同武将系数'!$B$27:$B$75,0))</f>
        <v>98.56</v>
      </c>
      <c r="M42" s="25">
        <f t="array" ref="M42">INDEX('参数页-不同武将系数'!AC$27:AC$75,MATCH($B42,'参数页-不同武将系数'!$B$27:$B$75,0))</f>
        <v>78.85</v>
      </c>
      <c r="N42" s="25">
        <f t="array" ref="N42">INDEX('参数页-不同武将系数'!AD$27:AD$75,MATCH($B42,'参数页-不同武将系数'!$B$27:$B$75,0))</f>
        <v>59.5</v>
      </c>
      <c r="O42" s="25" t="str">
        <f t="array" ref="O42">INDEX('参数页-不同武将系数'!AE$27:AE$75,MATCH($B42,'参数页-不同武将系数'!$B$27:$B$75,0))</f>
        <v>攻击百分比</v>
      </c>
      <c r="P42" s="25" t="str">
        <f t="array" ref="P42">INDEX('参数页-不同武将系数'!AF$27:AF$75,MATCH($B42,'参数页-不同武将系数'!$B$27:$B$75,0))</f>
        <v>暴击等级</v>
      </c>
      <c r="Q42" s="25" t="str">
        <f t="array" ref="Q42">INDEX('参数页-不同武将系数'!AG$27:AG$75,MATCH($B42,'参数页-不同武将系数'!$B$27:$B$75,0))</f>
        <v>暴击伤害等级</v>
      </c>
      <c r="R42" s="25" t="str">
        <f t="array" ref="R42">INDEX('参数页-不同武将系数'!AZ$27:AZ$75,MATCH($B42,'参数页-不同武将系数'!$B$27:$B$75,0))</f>
        <v>物理伤害加成</v>
      </c>
      <c r="S42" s="25" t="str">
        <f t="array" ref="S42">INDEX('参数页-不同武将系数'!BA$27:BA$75,MATCH($B42,'参数页-不同武将系数'!$B$27:$B$75,0))</f>
        <v>暴击伤害等级</v>
      </c>
      <c r="T42" s="25" t="str">
        <f t="array" ref="T42">INDEX('参数页-不同武将系数'!E$27:E$75,MATCH($B42,'参数页-不同武将系数'!$B$27:$B$75,0))</f>
        <v>物理</v>
      </c>
    </row>
    <row r="45" spans="2:20">
      <c r="I45" s="25" t="s">
        <v>966</v>
      </c>
    </row>
    <row r="46" ht="33" customHeight="1" spans="2:20">
      <c r="B46" s="1">
        <v>1001</v>
      </c>
      <c r="C46" s="1" t="s">
        <v>910</v>
      </c>
      <c r="F46" s="25" t="s">
        <v>128</v>
      </c>
      <c r="G46" s="30">
        <f>属性定价!$C$6</f>
        <v>0.01</v>
      </c>
      <c r="I46" s="25" t="s">
        <v>201</v>
      </c>
      <c r="J46" s="25" t="s">
        <v>215</v>
      </c>
      <c r="K46" s="25">
        <v>1</v>
      </c>
      <c r="L46" s="31">
        <f>角色星盘!D56</f>
        <v>0.15</v>
      </c>
      <c r="O46" s="32" t="s">
        <v>786</v>
      </c>
      <c r="P46" s="33" t="s">
        <v>971</v>
      </c>
    </row>
    <row r="47" spans="2:20">
      <c r="B47" s="1">
        <v>1002</v>
      </c>
      <c r="C47" s="1" t="s">
        <v>318</v>
      </c>
      <c r="F47" s="25" t="s">
        <v>129</v>
      </c>
      <c r="G47" s="30">
        <f>属性定价!$C$7</f>
        <v>0.01</v>
      </c>
      <c r="J47" s="25" t="s">
        <v>216</v>
      </c>
      <c r="K47" s="25">
        <v>2</v>
      </c>
      <c r="L47" s="31">
        <f>角色星盘!D57</f>
        <v>0.15</v>
      </c>
      <c r="O47" s="34" t="s">
        <v>219</v>
      </c>
      <c r="P47" s="35" t="s">
        <v>972</v>
      </c>
    </row>
    <row r="48" spans="2:20">
      <c r="B48" s="1">
        <v>1003</v>
      </c>
      <c r="C48" s="36" t="s">
        <v>321</v>
      </c>
      <c r="F48" s="25" t="s">
        <v>904</v>
      </c>
      <c r="G48" s="30">
        <f>属性定价!$C$8</f>
        <v>0.01</v>
      </c>
      <c r="J48" s="25" t="s">
        <v>217</v>
      </c>
      <c r="K48" s="25">
        <v>3</v>
      </c>
      <c r="L48" s="31">
        <f>角色星盘!D58</f>
        <v>0.15</v>
      </c>
      <c r="O48" s="34" t="s">
        <v>134</v>
      </c>
      <c r="P48" s="35" t="s">
        <v>973</v>
      </c>
    </row>
    <row r="49" spans="2:16">
      <c r="B49" s="1">
        <v>1004</v>
      </c>
      <c r="C49" s="36" t="s">
        <v>324</v>
      </c>
      <c r="F49" s="25" t="s">
        <v>131</v>
      </c>
      <c r="G49" s="30">
        <f>属性定价!$C$9</f>
        <v>0</v>
      </c>
      <c r="I49" s="25" t="s">
        <v>202</v>
      </c>
      <c r="J49" s="25" t="s">
        <v>216</v>
      </c>
      <c r="K49" s="25">
        <v>4</v>
      </c>
      <c r="L49" s="31">
        <f>角色星盘!D59</f>
        <v>0.15</v>
      </c>
      <c r="O49" s="34" t="s">
        <v>139</v>
      </c>
      <c r="P49" s="35" t="s">
        <v>974</v>
      </c>
    </row>
    <row r="50" spans="2:16">
      <c r="B50" s="1">
        <v>1005</v>
      </c>
      <c r="C50" s="1" t="s">
        <v>327</v>
      </c>
      <c r="F50" s="25" t="s">
        <v>132</v>
      </c>
      <c r="G50" s="30">
        <f>属性定价!$C$10</f>
        <v>0.0033</v>
      </c>
      <c r="J50" s="25" t="s">
        <v>217</v>
      </c>
      <c r="K50" s="25">
        <v>5</v>
      </c>
      <c r="L50" s="31">
        <f>角色星盘!D60</f>
        <v>0.15</v>
      </c>
      <c r="O50" s="34" t="s">
        <v>975</v>
      </c>
      <c r="P50" s="35" t="s">
        <v>976</v>
      </c>
    </row>
    <row r="51" spans="2:16">
      <c r="B51" s="1">
        <v>1006</v>
      </c>
      <c r="C51" s="1" t="s">
        <v>328</v>
      </c>
      <c r="F51" s="25" t="s">
        <v>133</v>
      </c>
      <c r="G51" s="30">
        <f>属性定价!$C$11</f>
        <v>0.0018</v>
      </c>
      <c r="I51" s="25" t="s">
        <v>203</v>
      </c>
      <c r="J51" s="25" t="s">
        <v>215</v>
      </c>
      <c r="K51" s="25">
        <v>6</v>
      </c>
      <c r="L51" s="31">
        <f>角色星盘!D61</f>
        <v>0.15</v>
      </c>
      <c r="O51" s="32" t="s">
        <v>977</v>
      </c>
      <c r="P51" s="33" t="s">
        <v>978</v>
      </c>
    </row>
    <row r="52" spans="2:16">
      <c r="B52" s="1">
        <v>1007</v>
      </c>
      <c r="C52" s="37" t="s">
        <v>329</v>
      </c>
      <c r="F52" s="25" t="s">
        <v>134</v>
      </c>
      <c r="G52" s="30">
        <f>属性定价!$C$12</f>
        <v>0.0054</v>
      </c>
      <c r="J52" s="25" t="s">
        <v>216</v>
      </c>
      <c r="K52" s="25">
        <v>7</v>
      </c>
      <c r="L52" s="31">
        <f>角色星盘!D62</f>
        <v>0.15</v>
      </c>
      <c r="O52" s="32" t="s">
        <v>979</v>
      </c>
      <c r="P52" s="33" t="s">
        <v>980</v>
      </c>
    </row>
    <row r="53" spans="2:16">
      <c r="B53" s="1">
        <v>1008</v>
      </c>
      <c r="C53" s="37" t="s">
        <v>332</v>
      </c>
      <c r="F53" s="25" t="s">
        <v>135</v>
      </c>
      <c r="G53" s="30">
        <f>属性定价!$C$13</f>
        <v>0.0033</v>
      </c>
      <c r="J53" s="25" t="s">
        <v>217</v>
      </c>
      <c r="K53" s="25">
        <v>8</v>
      </c>
      <c r="L53" s="31">
        <f>角色星盘!D63</f>
        <v>0.15</v>
      </c>
      <c r="O53" s="32" t="s">
        <v>981</v>
      </c>
      <c r="P53" s="33" t="s">
        <v>982</v>
      </c>
    </row>
    <row r="54" ht="21" customHeight="1" spans="2:16">
      <c r="B54" s="5">
        <v>1009</v>
      </c>
      <c r="C54" s="4" t="s">
        <v>905</v>
      </c>
      <c r="F54" s="38" t="s">
        <v>136</v>
      </c>
      <c r="G54" s="30">
        <f>属性定价!$C$14</f>
        <v>0.009</v>
      </c>
      <c r="O54" s="32" t="s">
        <v>593</v>
      </c>
      <c r="P54" s="33" t="s">
        <v>983</v>
      </c>
    </row>
    <row r="55" spans="2:16">
      <c r="B55" s="1">
        <v>1011</v>
      </c>
      <c r="C55" s="1" t="s">
        <v>335</v>
      </c>
      <c r="F55" s="38" t="s">
        <v>137</v>
      </c>
      <c r="G55" s="30">
        <f>属性定价!$C$15</f>
        <v>0.012</v>
      </c>
      <c r="O55" s="32" t="s">
        <v>131</v>
      </c>
      <c r="P55" s="33" t="s">
        <v>984</v>
      </c>
    </row>
    <row r="56" spans="2:16">
      <c r="B56" s="1">
        <v>1012</v>
      </c>
      <c r="C56" s="1" t="s">
        <v>338</v>
      </c>
      <c r="F56" s="38" t="s">
        <v>138</v>
      </c>
      <c r="G56" s="30">
        <f>属性定价!$C$16</f>
        <v>0.012</v>
      </c>
      <c r="O56" s="32" t="s">
        <v>985</v>
      </c>
      <c r="P56" s="33" t="s">
        <v>986</v>
      </c>
    </row>
    <row r="57" spans="2:16">
      <c r="B57" s="5">
        <v>1013</v>
      </c>
      <c r="C57" s="5" t="s">
        <v>339</v>
      </c>
      <c r="F57" s="39" t="s">
        <v>139</v>
      </c>
      <c r="G57" s="30">
        <f>属性定价!$C$17</f>
        <v>0.005</v>
      </c>
      <c r="O57" s="32" t="s">
        <v>601</v>
      </c>
      <c r="P57" s="33" t="s">
        <v>987</v>
      </c>
    </row>
    <row r="58" ht="33" customHeight="1" spans="2:16">
      <c r="B58" s="1">
        <v>1014</v>
      </c>
      <c r="C58" s="1" t="s">
        <v>341</v>
      </c>
      <c r="F58" s="39" t="s">
        <v>140</v>
      </c>
      <c r="G58" s="30">
        <f>属性定价!$C$18</f>
        <v>0.0025</v>
      </c>
      <c r="O58" s="34" t="s">
        <v>141</v>
      </c>
      <c r="P58" s="33" t="s">
        <v>787</v>
      </c>
    </row>
    <row r="59" ht="33" customHeight="1" spans="2:16">
      <c r="B59" s="1">
        <v>1015</v>
      </c>
      <c r="C59" s="40" t="s">
        <v>342</v>
      </c>
      <c r="F59" s="38" t="s">
        <v>141</v>
      </c>
      <c r="G59" s="30">
        <f>属性定价!$C$19</f>
        <v>0.0042</v>
      </c>
      <c r="O59" s="34" t="s">
        <v>142</v>
      </c>
      <c r="P59" s="33" t="s">
        <v>788</v>
      </c>
    </row>
    <row r="60" ht="33" customHeight="1" spans="2:16">
      <c r="B60" s="1">
        <v>1017</v>
      </c>
      <c r="C60" s="40" t="s">
        <v>345</v>
      </c>
      <c r="F60" s="38" t="s">
        <v>142</v>
      </c>
      <c r="G60" s="30">
        <f>属性定价!$C$20</f>
        <v>0.0042</v>
      </c>
      <c r="O60" s="34" t="s">
        <v>136</v>
      </c>
      <c r="P60" s="33" t="s">
        <v>988</v>
      </c>
    </row>
    <row r="61" spans="2:16">
      <c r="B61" s="1">
        <v>1018</v>
      </c>
      <c r="C61" s="40" t="s">
        <v>347</v>
      </c>
      <c r="F61" s="25" t="s">
        <v>143</v>
      </c>
      <c r="G61" s="41">
        <f>属性定价!$C$21</f>
        <v>90</v>
      </c>
      <c r="O61" s="34" t="s">
        <v>137</v>
      </c>
      <c r="P61" s="35" t="s">
        <v>989</v>
      </c>
    </row>
    <row r="62" ht="33" customHeight="1" spans="2:16">
      <c r="B62" s="1">
        <v>1020</v>
      </c>
      <c r="C62" s="40" t="s">
        <v>350</v>
      </c>
      <c r="F62" s="25" t="s">
        <v>144</v>
      </c>
      <c r="G62" s="41">
        <f>属性定价!$C$22</f>
        <v>110</v>
      </c>
      <c r="O62" s="34" t="s">
        <v>138</v>
      </c>
      <c r="P62" s="33" t="s">
        <v>990</v>
      </c>
    </row>
    <row r="63" ht="33" customHeight="1" spans="2:16">
      <c r="B63" s="1">
        <v>1021</v>
      </c>
      <c r="C63" s="7" t="s">
        <v>353</v>
      </c>
      <c r="F63" s="25" t="s">
        <v>145</v>
      </c>
      <c r="G63" s="41">
        <f>属性定价!$C$23</f>
        <v>90</v>
      </c>
      <c r="O63" s="34" t="s">
        <v>991</v>
      </c>
      <c r="P63" s="33" t="s">
        <v>992</v>
      </c>
    </row>
    <row r="64" ht="33" customHeight="1" spans="2:16">
      <c r="B64" s="1">
        <v>1023</v>
      </c>
      <c r="C64" s="7" t="s">
        <v>354</v>
      </c>
      <c r="F64" s="25" t="s">
        <v>146</v>
      </c>
      <c r="G64" s="41">
        <f>属性定价!$C$24</f>
        <v>130</v>
      </c>
      <c r="O64" s="34" t="s">
        <v>993</v>
      </c>
      <c r="P64" s="33" t="s">
        <v>994</v>
      </c>
    </row>
    <row r="65" ht="17.25" customHeight="1" spans="1:135">
      <c r="B65" s="1">
        <v>1024</v>
      </c>
      <c r="C65" s="7" t="s">
        <v>355</v>
      </c>
      <c r="F65" s="25" t="s">
        <v>128</v>
      </c>
      <c r="G65" s="30">
        <f>属性定价!$C$25</f>
        <v>0.01</v>
      </c>
      <c r="O65" s="34" t="s">
        <v>995</v>
      </c>
      <c r="P65" s="33" t="s">
        <v>996</v>
      </c>
    </row>
    <row r="66" ht="33" customHeight="1" spans="1:135">
      <c r="B66" s="1">
        <v>1026</v>
      </c>
      <c r="C66" s="7" t="s">
        <v>356</v>
      </c>
      <c r="F66" s="25" t="s">
        <v>128</v>
      </c>
      <c r="G66" s="30">
        <f>属性定价!$C$26</f>
        <v>0.01</v>
      </c>
      <c r="O66" s="34" t="s">
        <v>997</v>
      </c>
      <c r="P66" s="33" t="s">
        <v>998</v>
      </c>
    </row>
    <row r="67" ht="33" customHeight="1" spans="1:135">
      <c r="B67" s="1">
        <v>1029</v>
      </c>
      <c r="C67" s="7" t="s">
        <v>357</v>
      </c>
      <c r="F67" s="25" t="s">
        <v>147</v>
      </c>
      <c r="G67" s="30">
        <f>属性定价!$C$27</f>
        <v>0.00333333333333333</v>
      </c>
      <c r="O67" s="34" t="s">
        <v>999</v>
      </c>
      <c r="P67" s="33" t="s">
        <v>1000</v>
      </c>
    </row>
    <row r="68" ht="17.25" customHeight="1" spans="1:135">
      <c r="B68" s="1">
        <v>1030</v>
      </c>
      <c r="C68" s="7" t="s">
        <v>360</v>
      </c>
      <c r="F68" s="25" t="s">
        <v>148</v>
      </c>
      <c r="G68" s="41">
        <f>属性定价!$C$28</f>
        <v>100</v>
      </c>
      <c r="O68" s="34" t="s">
        <v>1001</v>
      </c>
      <c r="P68" s="33" t="s">
        <v>1002</v>
      </c>
    </row>
    <row r="69" ht="33" customHeight="1" spans="1:135">
      <c r="B69" s="29">
        <v>1035</v>
      </c>
      <c r="C69" s="7" t="s">
        <v>363</v>
      </c>
      <c r="O69" s="34" t="s">
        <v>1003</v>
      </c>
      <c r="P69" s="33" t="s">
        <v>1004</v>
      </c>
      <c r="EE69" s="1" t="s">
        <v>1005</v>
      </c>
    </row>
    <row r="70" ht="17.25" customHeight="1" spans="1:135">
      <c r="B70" s="29">
        <v>1036</v>
      </c>
      <c r="C70" s="7" t="s">
        <v>364</v>
      </c>
      <c r="O70" s="42" t="s">
        <v>143</v>
      </c>
      <c r="P70" s="43" t="s">
        <v>776</v>
      </c>
      <c r="EC70" s="25" t="s">
        <v>1006</v>
      </c>
    </row>
    <row r="71" ht="17.25" customHeight="1" spans="1:135">
      <c r="B71" s="29">
        <v>1037</v>
      </c>
      <c r="C71" s="7" t="s">
        <v>365</v>
      </c>
      <c r="O71" s="42" t="s">
        <v>144</v>
      </c>
      <c r="P71" s="43" t="s">
        <v>777</v>
      </c>
    </row>
    <row r="72" ht="17.25" customHeight="1" spans="1:135">
      <c r="B72" s="29">
        <v>1038</v>
      </c>
      <c r="C72" s="7" t="s">
        <v>366</v>
      </c>
      <c r="O72" s="42" t="s">
        <v>145</v>
      </c>
      <c r="P72" s="43" t="s">
        <v>775</v>
      </c>
    </row>
    <row r="73" ht="17.25" customHeight="1" spans="1:135">
      <c r="B73" s="29">
        <v>1039</v>
      </c>
      <c r="C73" s="7" t="s">
        <v>367</v>
      </c>
      <c r="O73" s="42" t="s">
        <v>146</v>
      </c>
      <c r="P73" s="43" t="s">
        <v>774</v>
      </c>
    </row>
    <row r="74" spans="1:135">
      <c r="B74" s="29">
        <v>1040</v>
      </c>
      <c r="C74" s="29" t="s">
        <v>368</v>
      </c>
    </row>
    <row r="76" spans="1:135">
      <c r="CC76" s="25" t="s">
        <v>1007</v>
      </c>
    </row>
    <row r="77" spans="1:135">
      <c r="AE77" s="25" t="s">
        <v>1008</v>
      </c>
      <c r="CH77" s="25" t="s">
        <v>79</v>
      </c>
      <c r="CI77" s="25" t="s">
        <v>80</v>
      </c>
      <c r="CJ77" s="25" t="s">
        <v>80</v>
      </c>
      <c r="CK77" s="25" t="s">
        <v>81</v>
      </c>
    </row>
    <row r="78" ht="33" customHeight="1" spans="1:135">
      <c r="C78" s="44" t="s">
        <v>161</v>
      </c>
      <c r="D78" s="27" t="s">
        <v>884</v>
      </c>
      <c r="E78" s="27" t="s">
        <v>885</v>
      </c>
      <c r="F78" s="27" t="s">
        <v>886</v>
      </c>
      <c r="G78" s="27" t="s">
        <v>887</v>
      </c>
      <c r="H78" s="27" t="s">
        <v>886</v>
      </c>
      <c r="I78" s="27" t="s">
        <v>887</v>
      </c>
      <c r="J78" s="27" t="s">
        <v>888</v>
      </c>
      <c r="K78" s="27" t="s">
        <v>889</v>
      </c>
      <c r="L78" s="44" t="s">
        <v>79</v>
      </c>
      <c r="M78" s="44" t="s">
        <v>80</v>
      </c>
      <c r="N78" s="44" t="s">
        <v>80</v>
      </c>
      <c r="O78" s="44" t="s">
        <v>544</v>
      </c>
      <c r="T78" s="44" t="s">
        <v>161</v>
      </c>
      <c r="U78" s="27" t="s">
        <v>890</v>
      </c>
      <c r="V78" s="27" t="s">
        <v>80</v>
      </c>
      <c r="W78" s="27" t="s">
        <v>80</v>
      </c>
      <c r="X78" s="27" t="s">
        <v>81</v>
      </c>
      <c r="Y78" s="27" t="s">
        <v>890</v>
      </c>
      <c r="Z78" s="27" t="s">
        <v>80</v>
      </c>
      <c r="AA78" s="27" t="s">
        <v>80</v>
      </c>
      <c r="AB78" s="27" t="s">
        <v>81</v>
      </c>
      <c r="AF78" s="25">
        <f>COUNT(AE79:AE113)</f>
        <v>29</v>
      </c>
      <c r="AR78" s="45" t="s">
        <v>79</v>
      </c>
      <c r="AS78" s="45" t="s">
        <v>904</v>
      </c>
      <c r="AT78" s="45" t="s">
        <v>80</v>
      </c>
      <c r="AU78" s="45" t="s">
        <v>128</v>
      </c>
      <c r="AV78" s="45" t="s">
        <v>80</v>
      </c>
      <c r="AW78" s="45" t="s">
        <v>128</v>
      </c>
      <c r="AX78" s="45" t="s">
        <v>544</v>
      </c>
      <c r="AY78" s="45" t="s">
        <v>129</v>
      </c>
      <c r="AZ78" s="45" t="s">
        <v>219</v>
      </c>
      <c r="BA78" s="45" t="s">
        <v>134</v>
      </c>
      <c r="BB78" s="45" t="s">
        <v>979</v>
      </c>
      <c r="BC78" s="45" t="s">
        <v>981</v>
      </c>
      <c r="BD78" s="45" t="s">
        <v>975</v>
      </c>
      <c r="BE78" s="45" t="s">
        <v>977</v>
      </c>
      <c r="BF78" s="45" t="s">
        <v>131</v>
      </c>
      <c r="BG78" s="45" t="s">
        <v>786</v>
      </c>
      <c r="BH78" s="45" t="s">
        <v>985</v>
      </c>
      <c r="BI78" s="45" t="s">
        <v>601</v>
      </c>
      <c r="BJ78" s="45" t="s">
        <v>139</v>
      </c>
      <c r="BK78" s="42" t="s">
        <v>141</v>
      </c>
      <c r="BL78" s="42" t="s">
        <v>142</v>
      </c>
      <c r="BM78" s="42" t="s">
        <v>136</v>
      </c>
      <c r="BN78" s="42" t="s">
        <v>137</v>
      </c>
      <c r="BO78" s="42" t="s">
        <v>138</v>
      </c>
      <c r="BP78" s="42" t="s">
        <v>991</v>
      </c>
      <c r="BQ78" s="42" t="s">
        <v>993</v>
      </c>
      <c r="BR78" s="42" t="s">
        <v>995</v>
      </c>
      <c r="BS78" s="42" t="s">
        <v>997</v>
      </c>
      <c r="BT78" s="42" t="s">
        <v>999</v>
      </c>
      <c r="BU78" s="42" t="s">
        <v>1001</v>
      </c>
      <c r="BV78" s="42" t="s">
        <v>1003</v>
      </c>
      <c r="BW78" s="42" t="s">
        <v>143</v>
      </c>
      <c r="BX78" s="42" t="s">
        <v>144</v>
      </c>
      <c r="BY78" s="42" t="s">
        <v>145</v>
      </c>
      <c r="BZ78" s="42" t="s">
        <v>146</v>
      </c>
      <c r="CA78" s="46"/>
      <c r="CF78" s="25" t="s">
        <v>858</v>
      </c>
      <c r="CG78" s="25" t="s">
        <v>1009</v>
      </c>
      <c r="CH78" s="34" t="s">
        <v>1010</v>
      </c>
      <c r="CI78" s="34" t="s">
        <v>1010</v>
      </c>
      <c r="CJ78" s="34" t="s">
        <v>1010</v>
      </c>
      <c r="CK78" s="34" t="s">
        <v>1010</v>
      </c>
      <c r="CL78" s="25" t="s">
        <v>1007</v>
      </c>
      <c r="CM78" s="25" t="s">
        <v>1007</v>
      </c>
      <c r="CP78" s="32" t="s">
        <v>786</v>
      </c>
      <c r="CQ78" s="34" t="s">
        <v>219</v>
      </c>
      <c r="CR78" s="34" t="s">
        <v>134</v>
      </c>
      <c r="CS78" s="34" t="s">
        <v>139</v>
      </c>
      <c r="CT78" s="34" t="s">
        <v>975</v>
      </c>
      <c r="CU78" s="32" t="s">
        <v>977</v>
      </c>
      <c r="CV78" s="32" t="s">
        <v>979</v>
      </c>
      <c r="CW78" s="32" t="s">
        <v>981</v>
      </c>
      <c r="CX78" s="32" t="s">
        <v>593</v>
      </c>
      <c r="CY78" s="32" t="s">
        <v>131</v>
      </c>
      <c r="CZ78" s="32" t="s">
        <v>985</v>
      </c>
      <c r="DA78" s="32" t="s">
        <v>601</v>
      </c>
      <c r="DB78" s="42" t="s">
        <v>141</v>
      </c>
      <c r="DC78" s="42" t="s">
        <v>142</v>
      </c>
      <c r="DD78" s="42" t="s">
        <v>136</v>
      </c>
      <c r="DE78" s="42" t="s">
        <v>137</v>
      </c>
      <c r="DF78" s="42" t="s">
        <v>138</v>
      </c>
      <c r="DG78" s="34" t="s">
        <v>991</v>
      </c>
      <c r="DH78" s="34" t="s">
        <v>993</v>
      </c>
      <c r="DI78" s="34" t="s">
        <v>995</v>
      </c>
      <c r="DJ78" s="34" t="s">
        <v>997</v>
      </c>
      <c r="DK78" s="34" t="s">
        <v>999</v>
      </c>
      <c r="DL78" s="34" t="s">
        <v>1001</v>
      </c>
      <c r="DM78" s="34" t="s">
        <v>1003</v>
      </c>
      <c r="DN78" s="42" t="s">
        <v>143</v>
      </c>
      <c r="DO78" s="42" t="s">
        <v>144</v>
      </c>
      <c r="DP78" s="42" t="s">
        <v>145</v>
      </c>
      <c r="DQ78" s="42" t="s">
        <v>146</v>
      </c>
      <c r="DR78" s="47"/>
    </row>
    <row r="79" spans="1:135">
      <c r="A79" s="48">
        <v>1001001</v>
      </c>
      <c r="B79" s="49" t="s">
        <v>910</v>
      </c>
      <c r="C79" s="25">
        <v>1</v>
      </c>
      <c r="D79" s="25">
        <f t="array" ref="D79">INDEX(C$5:C$67,MATCH($B79,$B$5:$B$67,0))</f>
        <v>3600</v>
      </c>
      <c r="E79" s="25">
        <f t="array" ref="E79">INDEX(D$5:D$67,MATCH($B79,$B$5:$B$67,0))</f>
        <v>288</v>
      </c>
      <c r="F79" s="25">
        <f t="array" ref="F79">INDEX(E$5:E$67,MATCH($B79,$B$5:$B$67,0))</f>
        <v>1320</v>
      </c>
      <c r="G79" s="25">
        <f t="array" ref="G79">INDEX(F$5:F$67,MATCH($B79,$B$5:$B$67,0))</f>
        <v>105.6</v>
      </c>
      <c r="H79" s="25">
        <f t="array" ref="H79">INDEX(G$5:G$66,MATCH($B79,$B$5:$B$67,0))</f>
        <v>1056</v>
      </c>
      <c r="I79" s="25">
        <f t="array" ref="I79">INDEX(H$5:H$67,MATCH($B79,$B$5:$B$67,0))</f>
        <v>84.48</v>
      </c>
      <c r="J79" s="25">
        <f t="array" ref="J79">INDEX(I$5:I$67,MATCH($B79,$B$5:$B$67,0))</f>
        <v>800</v>
      </c>
      <c r="K79" s="25">
        <f t="array" ref="K79">INDEX(J$5:J$67,MATCH($B79,$B$5:$B$67,0))</f>
        <v>64</v>
      </c>
      <c r="L79" s="25">
        <f t="shared" ref="L79:L142" si="0">ROUND(D79+E79*$C79,0)</f>
        <v>3888</v>
      </c>
      <c r="M79" s="25">
        <f t="shared" ref="M79:M142" si="1">ROUND(F79+G79*$C79,0)</f>
        <v>1426</v>
      </c>
      <c r="N79" s="25">
        <f t="shared" ref="N79:N142" si="2">ROUND(H79+I79*$C79,0)</f>
        <v>1140</v>
      </c>
      <c r="O79" s="25">
        <f t="shared" ref="O79:O142" si="3">ROUND(J79+K79*$C79,0)</f>
        <v>864</v>
      </c>
      <c r="R79" s="50">
        <f t="array" ref="R79">INDEX($B$46:$B$68,MATCH(S79,$C$46:$C$68,0))*1000+T79</f>
        <v>1001001</v>
      </c>
      <c r="S79" s="51" t="s">
        <v>910</v>
      </c>
      <c r="T79" s="29">
        <v>1</v>
      </c>
      <c r="U79" s="25">
        <f t="array" ref="U79">INDEX(K$5:K$67,MATCH($S79,$B$5:$B$67,0))</f>
        <v>306.72</v>
      </c>
      <c r="V79" s="25">
        <f t="array" ref="V79">INDEX(L$5:L$67,MATCH($S79,$B$5:$B$67,0))</f>
        <v>112.64</v>
      </c>
      <c r="W79" s="25">
        <f t="array" ref="W79">INDEX(M$5:M$67,MATCH($S79,$B$5:$B$67,0))</f>
        <v>90.11</v>
      </c>
      <c r="X79" s="25">
        <f t="array" ref="X79">INDEX(N$5:N$67,MATCH($S79,$B$5:$B$67,0))</f>
        <v>68</v>
      </c>
      <c r="Y79" s="25">
        <f t="shared" ref="Y79:Y142" si="4">ROUND($T79*U79,0)</f>
        <v>307</v>
      </c>
      <c r="Z79" s="25">
        <f t="shared" ref="Z79:Z142" si="5">ROUND($T79*V79,0)</f>
        <v>113</v>
      </c>
      <c r="AA79" s="25">
        <f t="shared" ref="AA79:AA142" si="6">ROUND($T79*W79,0)</f>
        <v>90</v>
      </c>
      <c r="AB79" s="25">
        <f t="shared" ref="AB79:AB142" si="7">ROUND($T79*X79,0)</f>
        <v>68</v>
      </c>
      <c r="AE79" s="1">
        <v>1001</v>
      </c>
      <c r="AF79" s="25">
        <f t="array" ref="AF79:AF310">_xlfn.SEQUENCE(AF78*8,1,1,1)</f>
        <v>1</v>
      </c>
      <c r="AG79" s="25">
        <f t="array" ref="AG79">INDEX($AE$79:$AE$116,QUOTIENT(AF79-1,8)+1)</f>
        <v>1001</v>
      </c>
      <c r="AH79" s="25">
        <v>1</v>
      </c>
      <c r="AI79" s="25">
        <f t="shared" ref="AI79:AI142" si="8">AG79*10+AH79</f>
        <v>10011</v>
      </c>
      <c r="AJ79" s="25" t="str">
        <f t="shared" ref="AJ79:AJ142" si="9">VLOOKUP(AG79,$B$46:$C$76,2,0)</f>
        <v>主角</v>
      </c>
      <c r="AK79" s="25">
        <v>1</v>
      </c>
      <c r="AL79" s="25" t="str">
        <f t="array" ref="AL79">INDEX($O$5:$O$42,MATCH(AJ79,$B$5:$B$42,0))</f>
        <v>攻击百分比</v>
      </c>
      <c r="AM79" s="25" t="str">
        <f t="array" ref="AM79">INDEX($P$5:$P$42,MATCH(AJ79,$B$5:$B$42,0))</f>
        <v>暴击等级</v>
      </c>
      <c r="AN79" s="25" t="str">
        <f t="array" ref="AN79">INDEX($Q$5:$Q$42,MATCH(AJ79,$B$5:$B$42,0))</f>
        <v>暴击伤害等级</v>
      </c>
      <c r="AO79" s="25" t="str">
        <f t="array" ref="AO79">INDEX(AL79:AN79,0,AK79)</f>
        <v>攻击百分比</v>
      </c>
      <c r="AP79" s="25">
        <f t="shared" ref="AP79:AP86" si="10">L46</f>
        <v>0.15</v>
      </c>
      <c r="AQ79" s="25">
        <f t="shared" ref="AQ79:AQ142" si="11">VLOOKUP(AO79,$F$46:$G$72,2,0)*AP79/$G$46</f>
        <v>0.15</v>
      </c>
      <c r="AR79" s="25" t="str">
        <f t="shared" ref="AR79:BZ79" si="12">IF(AR$78=$AO79,$AQ79,"0")</f>
        <v>0</v>
      </c>
      <c r="AS79" s="25" t="str">
        <f t="shared" si="12"/>
        <v>0</v>
      </c>
      <c r="AT79" s="25" t="str">
        <f t="shared" si="12"/>
        <v>0</v>
      </c>
      <c r="AU79" s="25">
        <f t="shared" si="12"/>
        <v>0.15</v>
      </c>
      <c r="AV79" s="25" t="str">
        <f t="shared" si="12"/>
        <v>0</v>
      </c>
      <c r="AW79" s="25">
        <f t="shared" si="12"/>
        <v>0.15</v>
      </c>
      <c r="AX79" s="25" t="str">
        <f t="shared" si="12"/>
        <v>0</v>
      </c>
      <c r="AY79" s="25" t="str">
        <f t="shared" si="12"/>
        <v>0</v>
      </c>
      <c r="AZ79" s="25" t="str">
        <f t="shared" si="12"/>
        <v>0</v>
      </c>
      <c r="BA79" s="25" t="str">
        <f t="shared" si="12"/>
        <v>0</v>
      </c>
      <c r="BB79" s="25" t="str">
        <f t="shared" si="12"/>
        <v>0</v>
      </c>
      <c r="BC79" s="25" t="str">
        <f t="shared" si="12"/>
        <v>0</v>
      </c>
      <c r="BD79" s="25" t="str">
        <f t="shared" si="12"/>
        <v>0</v>
      </c>
      <c r="BE79" s="25" t="str">
        <f t="shared" si="12"/>
        <v>0</v>
      </c>
      <c r="BF79" s="25" t="str">
        <f t="shared" si="12"/>
        <v>0</v>
      </c>
      <c r="BG79" s="25" t="str">
        <f t="shared" si="12"/>
        <v>0</v>
      </c>
      <c r="BH79" s="25" t="str">
        <f t="shared" si="12"/>
        <v>0</v>
      </c>
      <c r="BI79" s="25" t="str">
        <f t="shared" si="12"/>
        <v>0</v>
      </c>
      <c r="BJ79" s="25" t="str">
        <f t="shared" si="12"/>
        <v>0</v>
      </c>
      <c r="BK79" s="25" t="str">
        <f t="shared" si="12"/>
        <v>0</v>
      </c>
      <c r="BL79" s="25" t="str">
        <f t="shared" si="12"/>
        <v>0</v>
      </c>
      <c r="BM79" s="25" t="str">
        <f t="shared" si="12"/>
        <v>0</v>
      </c>
      <c r="BN79" s="25" t="str">
        <f t="shared" si="12"/>
        <v>0</v>
      </c>
      <c r="BO79" s="25" t="str">
        <f t="shared" si="12"/>
        <v>0</v>
      </c>
      <c r="BP79" s="25" t="str">
        <f t="shared" si="12"/>
        <v>0</v>
      </c>
      <c r="BQ79" s="25" t="str">
        <f t="shared" si="12"/>
        <v>0</v>
      </c>
      <c r="BR79" s="25" t="str">
        <f t="shared" si="12"/>
        <v>0</v>
      </c>
      <c r="BS79" s="25" t="str">
        <f t="shared" si="12"/>
        <v>0</v>
      </c>
      <c r="BT79" s="25" t="str">
        <f t="shared" si="12"/>
        <v>0</v>
      </c>
      <c r="BU79" s="25" t="str">
        <f t="shared" si="12"/>
        <v>0</v>
      </c>
      <c r="BV79" s="25" t="str">
        <f t="shared" si="12"/>
        <v>0</v>
      </c>
      <c r="BW79" s="25" t="str">
        <f t="shared" si="12"/>
        <v>0</v>
      </c>
      <c r="BX79" s="25" t="str">
        <f t="shared" si="12"/>
        <v>0</v>
      </c>
      <c r="BY79" s="25" t="str">
        <f t="shared" si="12"/>
        <v>0</v>
      </c>
      <c r="BZ79" s="25" t="str">
        <f t="shared" si="12"/>
        <v>0</v>
      </c>
      <c r="CC79" s="25" t="str">
        <f t="array" ref="CC79">INDEX($C$46:$C$74,MATCH(CD79,$B$46:$B$74,0))</f>
        <v>主角</v>
      </c>
      <c r="CD79" s="52">
        <v>1001</v>
      </c>
      <c r="CE79" s="52">
        <v>0</v>
      </c>
      <c r="CF79" s="25" t="str">
        <f t="array" ref="CF79">INDEX($T$5:$T$44,MATCH(CC79,$B$5:$B$44,0))</f>
        <v>物理</v>
      </c>
      <c r="CG79" s="25">
        <v>0</v>
      </c>
      <c r="CH79" s="25">
        <f t="shared" ref="CH79:CH142" si="13">1+$CG79</f>
        <v>1</v>
      </c>
      <c r="CI79" s="25">
        <f t="shared" ref="CI79:CI142" si="14">IF(OR(CF79="物理",CF79="混合"),1+$CG79,1)</f>
        <v>1</v>
      </c>
      <c r="CJ79" s="25">
        <f t="shared" ref="CJ79:CJ142" si="15">IF(OR(CF79="魔法",CF79="混合"),1+$CG79,1)</f>
        <v>1</v>
      </c>
      <c r="CK79" s="25">
        <f t="shared" ref="CK79:CK142" si="16">1+$CG79</f>
        <v>1</v>
      </c>
      <c r="CL79" s="25">
        <v>0</v>
      </c>
      <c r="CM79" s="25">
        <v>0</v>
      </c>
      <c r="CN79" s="25">
        <f t="shared" ref="CN79:CN142" si="17">ROUNDDOWN(_xlfn.IFNA(VLOOKUP(CL79,$F$46:$G$66,2,0)*CM79/$G$46,0),2)</f>
        <v>0</v>
      </c>
      <c r="CO79" s="25">
        <f t="shared" ref="CO79:CO142" si="18">COUNTIF($CP$78:$DQ$78,CL79)</f>
        <v>0</v>
      </c>
      <c r="CP79" s="29" t="str">
        <f t="shared" ref="CP79:DQ79" si="19">IF($CL79=CP$78,$CN79,"0")</f>
        <v>0</v>
      </c>
      <c r="CQ79" s="29" t="str">
        <f t="shared" si="19"/>
        <v>0</v>
      </c>
      <c r="CR79" s="29" t="str">
        <f t="shared" si="19"/>
        <v>0</v>
      </c>
      <c r="CS79" s="29" t="str">
        <f t="shared" si="19"/>
        <v>0</v>
      </c>
      <c r="CT79" s="29" t="str">
        <f t="shared" si="19"/>
        <v>0</v>
      </c>
      <c r="CU79" s="29" t="str">
        <f t="shared" si="19"/>
        <v>0</v>
      </c>
      <c r="CV79" s="29" t="str">
        <f t="shared" si="19"/>
        <v>0</v>
      </c>
      <c r="CW79" s="29" t="str">
        <f t="shared" si="19"/>
        <v>0</v>
      </c>
      <c r="CX79" s="29" t="str">
        <f t="shared" si="19"/>
        <v>0</v>
      </c>
      <c r="CY79" s="29" t="str">
        <f t="shared" si="19"/>
        <v>0</v>
      </c>
      <c r="CZ79" s="29" t="str">
        <f t="shared" si="19"/>
        <v>0</v>
      </c>
      <c r="DA79" s="29" t="str">
        <f t="shared" si="19"/>
        <v>0</v>
      </c>
      <c r="DB79" s="29" t="str">
        <f t="shared" si="19"/>
        <v>0</v>
      </c>
      <c r="DC79" s="29" t="str">
        <f t="shared" si="19"/>
        <v>0</v>
      </c>
      <c r="DD79" s="29" t="str">
        <f t="shared" si="19"/>
        <v>0</v>
      </c>
      <c r="DE79" s="29" t="str">
        <f t="shared" si="19"/>
        <v>0</v>
      </c>
      <c r="DF79" s="29" t="str">
        <f t="shared" si="19"/>
        <v>0</v>
      </c>
      <c r="DG79" s="29" t="str">
        <f t="shared" si="19"/>
        <v>0</v>
      </c>
      <c r="DH79" s="29" t="str">
        <f t="shared" si="19"/>
        <v>0</v>
      </c>
      <c r="DI79" s="29" t="str">
        <f t="shared" si="19"/>
        <v>0</v>
      </c>
      <c r="DJ79" s="29" t="str">
        <f t="shared" si="19"/>
        <v>0</v>
      </c>
      <c r="DK79" s="29" t="str">
        <f t="shared" si="19"/>
        <v>0</v>
      </c>
      <c r="DL79" s="29" t="str">
        <f t="shared" si="19"/>
        <v>0</v>
      </c>
      <c r="DM79" s="29" t="str">
        <f t="shared" si="19"/>
        <v>0</v>
      </c>
      <c r="DN79" s="29" t="str">
        <f t="shared" si="19"/>
        <v>0</v>
      </c>
      <c r="DO79" s="29" t="str">
        <f t="shared" si="19"/>
        <v>0</v>
      </c>
      <c r="DP79" s="29" t="str">
        <f t="shared" si="19"/>
        <v>0</v>
      </c>
      <c r="DQ79" s="29" t="str">
        <f t="shared" si="19"/>
        <v>0</v>
      </c>
      <c r="DR79" s="29"/>
      <c r="DS79" s="25">
        <v>0</v>
      </c>
      <c r="EE79" s="25" t="str">
        <f t="shared" ref="EE79:EE142" si="20">_xlfn.CONCAT(DS79,DT79,DU79,DV79,DW79,DX79,DY79,DZ79,EA79,EB79,EC79,ED79)</f>
        <v>0</v>
      </c>
    </row>
    <row r="80" spans="1:135">
      <c r="A80" s="48">
        <v>1001002</v>
      </c>
      <c r="B80" s="49" t="s">
        <v>910</v>
      </c>
      <c r="C80" s="25">
        <v>2</v>
      </c>
      <c r="D80" s="25">
        <f t="array" ref="D80">INDEX(C$5:C$67,MATCH($B80,$B$5:$B$67,0))</f>
        <v>3600</v>
      </c>
      <c r="E80" s="25">
        <f t="array" ref="E80">INDEX(D$5:D$67,MATCH($B80,$B$5:$B$67,0))</f>
        <v>288</v>
      </c>
      <c r="F80" s="25">
        <f t="array" ref="F80">INDEX(E$5:E$67,MATCH($B80,$B$5:$B$67,0))</f>
        <v>1320</v>
      </c>
      <c r="G80" s="25">
        <f t="array" ref="G80">INDEX(F$5:F$67,MATCH($B80,$B$5:$B$67,0))</f>
        <v>105.6</v>
      </c>
      <c r="H80" s="25">
        <f t="array" ref="H80">INDEX(G$5:G$66,MATCH($B80,$B$5:$B$67,0))</f>
        <v>1056</v>
      </c>
      <c r="I80" s="25">
        <f t="array" ref="I80">INDEX(H$5:H$67,MATCH($B80,$B$5:$B$67,0))</f>
        <v>84.48</v>
      </c>
      <c r="J80" s="25">
        <f t="array" ref="J80">INDEX(I$5:I$67,MATCH($B80,$B$5:$B$67,0))</f>
        <v>800</v>
      </c>
      <c r="K80" s="25">
        <f t="array" ref="K80">INDEX(J$5:J$67,MATCH($B80,$B$5:$B$67,0))</f>
        <v>64</v>
      </c>
      <c r="L80" s="25">
        <f t="shared" si="0"/>
        <v>4176</v>
      </c>
      <c r="M80" s="25">
        <f t="shared" si="1"/>
        <v>1531</v>
      </c>
      <c r="N80" s="25">
        <f t="shared" si="2"/>
        <v>1225</v>
      </c>
      <c r="O80" s="25">
        <f t="shared" si="3"/>
        <v>928</v>
      </c>
      <c r="R80" s="50">
        <f t="array" ref="R80">INDEX($B$46:$B$68,MATCH(S80,$C$46:$C$68,0))*1000+T80</f>
        <v>1001002</v>
      </c>
      <c r="S80" s="51" t="s">
        <v>910</v>
      </c>
      <c r="T80" s="29">
        <v>2</v>
      </c>
      <c r="U80" s="25">
        <f t="array" ref="U80">INDEX(K$5:K$67,MATCH($S80,$B$5:$B$67,0))</f>
        <v>306.72</v>
      </c>
      <c r="V80" s="25">
        <f t="array" ref="V80">INDEX(L$5:L$67,MATCH($S80,$B$5:$B$67,0))</f>
        <v>112.64</v>
      </c>
      <c r="W80" s="25">
        <f t="array" ref="W80">INDEX(M$5:M$67,MATCH($S80,$B$5:$B$67,0))</f>
        <v>90.11</v>
      </c>
      <c r="X80" s="25">
        <f t="array" ref="X80">INDEX(N$5:N$67,MATCH($S80,$B$5:$B$67,0))</f>
        <v>68</v>
      </c>
      <c r="Y80" s="25">
        <f t="shared" si="4"/>
        <v>613</v>
      </c>
      <c r="Z80" s="25">
        <f t="shared" si="5"/>
        <v>225</v>
      </c>
      <c r="AA80" s="25">
        <f t="shared" si="6"/>
        <v>180</v>
      </c>
      <c r="AB80" s="25">
        <f t="shared" si="7"/>
        <v>136</v>
      </c>
      <c r="AE80" s="1">
        <v>1002</v>
      </c>
      <c r="AF80" s="25">
        <v>2</v>
      </c>
      <c r="AG80" s="25">
        <f t="array" ref="AG80">INDEX($AE$79:$AE$116,QUOTIENT(AF80-1,8)+1)</f>
        <v>1001</v>
      </c>
      <c r="AH80" s="25">
        <v>2</v>
      </c>
      <c r="AI80" s="25">
        <f t="shared" si="8"/>
        <v>10012</v>
      </c>
      <c r="AJ80" s="25" t="str">
        <f t="shared" si="9"/>
        <v>主角</v>
      </c>
      <c r="AK80" s="25">
        <v>2</v>
      </c>
      <c r="AL80" s="25" t="str">
        <f t="array" ref="AL80">INDEX($O$5:$O$42,MATCH(AJ80,$B$5:$B$42,0))</f>
        <v>攻击百分比</v>
      </c>
      <c r="AM80" s="25" t="str">
        <f t="array" ref="AM80">INDEX($P$5:$P$42,MATCH(AJ80,$B$5:$B$42,0))</f>
        <v>暴击等级</v>
      </c>
      <c r="AN80" s="25" t="str">
        <f t="array" ref="AN80">INDEX($Q$5:$Q$42,MATCH(AJ80,$B$5:$B$42,0))</f>
        <v>暴击伤害等级</v>
      </c>
      <c r="AO80" s="25" t="str">
        <f t="array" ref="AO80">INDEX(AL80:AN80,0,AK80)</f>
        <v>暴击等级</v>
      </c>
      <c r="AP80" s="25">
        <f t="shared" si="10"/>
        <v>0.15</v>
      </c>
      <c r="AQ80" s="25">
        <f t="shared" si="11"/>
        <v>1350</v>
      </c>
      <c r="AR80" s="25" t="str">
        <f t="shared" ref="AR80:BZ80" si="21">IF(AR$78=$AO80,$AQ80,"0")</f>
        <v>0</v>
      </c>
      <c r="AS80" s="25" t="str">
        <f t="shared" si="21"/>
        <v>0</v>
      </c>
      <c r="AT80" s="25" t="str">
        <f t="shared" si="21"/>
        <v>0</v>
      </c>
      <c r="AU80" s="25" t="str">
        <f t="shared" si="21"/>
        <v>0</v>
      </c>
      <c r="AV80" s="25" t="str">
        <f t="shared" si="21"/>
        <v>0</v>
      </c>
      <c r="AW80" s="25" t="str">
        <f t="shared" si="21"/>
        <v>0</v>
      </c>
      <c r="AX80" s="25" t="str">
        <f t="shared" si="21"/>
        <v>0</v>
      </c>
      <c r="AY80" s="25" t="str">
        <f t="shared" si="21"/>
        <v>0</v>
      </c>
      <c r="AZ80" s="25" t="str">
        <f t="shared" si="21"/>
        <v>0</v>
      </c>
      <c r="BA80" s="25" t="str">
        <f t="shared" si="21"/>
        <v>0</v>
      </c>
      <c r="BB80" s="25" t="str">
        <f t="shared" si="21"/>
        <v>0</v>
      </c>
      <c r="BC80" s="25" t="str">
        <f t="shared" si="21"/>
        <v>0</v>
      </c>
      <c r="BD80" s="25" t="str">
        <f t="shared" si="21"/>
        <v>0</v>
      </c>
      <c r="BE80" s="25" t="str">
        <f t="shared" si="21"/>
        <v>0</v>
      </c>
      <c r="BF80" s="25" t="str">
        <f t="shared" si="21"/>
        <v>0</v>
      </c>
      <c r="BG80" s="25" t="str">
        <f t="shared" si="21"/>
        <v>0</v>
      </c>
      <c r="BH80" s="25" t="str">
        <f t="shared" si="21"/>
        <v>0</v>
      </c>
      <c r="BI80" s="25" t="str">
        <f t="shared" si="21"/>
        <v>0</v>
      </c>
      <c r="BJ80" s="25" t="str">
        <f t="shared" si="21"/>
        <v>0</v>
      </c>
      <c r="BK80" s="25" t="str">
        <f t="shared" si="21"/>
        <v>0</v>
      </c>
      <c r="BL80" s="25" t="str">
        <f t="shared" si="21"/>
        <v>0</v>
      </c>
      <c r="BM80" s="25" t="str">
        <f t="shared" si="21"/>
        <v>0</v>
      </c>
      <c r="BN80" s="25" t="str">
        <f t="shared" si="21"/>
        <v>0</v>
      </c>
      <c r="BO80" s="25" t="str">
        <f t="shared" si="21"/>
        <v>0</v>
      </c>
      <c r="BP80" s="25" t="str">
        <f t="shared" si="21"/>
        <v>0</v>
      </c>
      <c r="BQ80" s="25" t="str">
        <f t="shared" si="21"/>
        <v>0</v>
      </c>
      <c r="BR80" s="25" t="str">
        <f t="shared" si="21"/>
        <v>0</v>
      </c>
      <c r="BS80" s="25" t="str">
        <f t="shared" si="21"/>
        <v>0</v>
      </c>
      <c r="BT80" s="25" t="str">
        <f t="shared" si="21"/>
        <v>0</v>
      </c>
      <c r="BU80" s="25" t="str">
        <f t="shared" si="21"/>
        <v>0</v>
      </c>
      <c r="BV80" s="25" t="str">
        <f t="shared" si="21"/>
        <v>0</v>
      </c>
      <c r="BW80" s="25">
        <f t="shared" si="21"/>
        <v>1350</v>
      </c>
      <c r="BX80" s="25" t="str">
        <f t="shared" si="21"/>
        <v>0</v>
      </c>
      <c r="BY80" s="25" t="str">
        <f t="shared" si="21"/>
        <v>0</v>
      </c>
      <c r="BZ80" s="25" t="str">
        <f t="shared" si="21"/>
        <v>0</v>
      </c>
      <c r="CC80" s="25" t="str">
        <f t="array" ref="CC80">INDEX($C$46:$C$74,MATCH(CD80,$B$46:$B$74,0))</f>
        <v>主角</v>
      </c>
      <c r="CD80" s="52">
        <v>1001</v>
      </c>
      <c r="CE80" s="1">
        <v>1</v>
      </c>
      <c r="CF80" s="25" t="str">
        <f t="array" ref="CF80">INDEX($T$5:$T$44,MATCH(CC80,$B$5:$B$44,0))</f>
        <v>物理</v>
      </c>
      <c r="CG80" s="25">
        <v>0</v>
      </c>
      <c r="CH80" s="25">
        <f t="shared" si="13"/>
        <v>1</v>
      </c>
      <c r="CI80" s="25">
        <f t="shared" si="14"/>
        <v>1</v>
      </c>
      <c r="CJ80" s="25">
        <f t="shared" si="15"/>
        <v>1</v>
      </c>
      <c r="CK80" s="25">
        <f t="shared" si="16"/>
        <v>1</v>
      </c>
      <c r="CL80" s="25">
        <v>0</v>
      </c>
      <c r="CM80" s="25">
        <v>0</v>
      </c>
      <c r="CN80" s="25">
        <f t="shared" si="17"/>
        <v>0</v>
      </c>
      <c r="CO80" s="25">
        <f t="shared" si="18"/>
        <v>0</v>
      </c>
      <c r="CP80" s="29" t="str">
        <f t="shared" ref="CP80:DQ80" si="22">IF($CL80=CP$78,$CN80,"0")</f>
        <v>0</v>
      </c>
      <c r="CQ80" s="29" t="str">
        <f t="shared" si="22"/>
        <v>0</v>
      </c>
      <c r="CR80" s="29" t="str">
        <f t="shared" si="22"/>
        <v>0</v>
      </c>
      <c r="CS80" s="29" t="str">
        <f t="shared" si="22"/>
        <v>0</v>
      </c>
      <c r="CT80" s="29" t="str">
        <f t="shared" si="22"/>
        <v>0</v>
      </c>
      <c r="CU80" s="29" t="str">
        <f t="shared" si="22"/>
        <v>0</v>
      </c>
      <c r="CV80" s="29" t="str">
        <f t="shared" si="22"/>
        <v>0</v>
      </c>
      <c r="CW80" s="29" t="str">
        <f t="shared" si="22"/>
        <v>0</v>
      </c>
      <c r="CX80" s="29" t="str">
        <f t="shared" si="22"/>
        <v>0</v>
      </c>
      <c r="CY80" s="29" t="str">
        <f t="shared" si="22"/>
        <v>0</v>
      </c>
      <c r="CZ80" s="29" t="str">
        <f t="shared" si="22"/>
        <v>0</v>
      </c>
      <c r="DA80" s="29" t="str">
        <f t="shared" si="22"/>
        <v>0</v>
      </c>
      <c r="DB80" s="29" t="str">
        <f t="shared" si="22"/>
        <v>0</v>
      </c>
      <c r="DC80" s="29" t="str">
        <f t="shared" si="22"/>
        <v>0</v>
      </c>
      <c r="DD80" s="29" t="str">
        <f t="shared" si="22"/>
        <v>0</v>
      </c>
      <c r="DE80" s="29" t="str">
        <f t="shared" si="22"/>
        <v>0</v>
      </c>
      <c r="DF80" s="29" t="str">
        <f t="shared" si="22"/>
        <v>0</v>
      </c>
      <c r="DG80" s="29" t="str">
        <f t="shared" si="22"/>
        <v>0</v>
      </c>
      <c r="DH80" s="29" t="str">
        <f t="shared" si="22"/>
        <v>0</v>
      </c>
      <c r="DI80" s="29" t="str">
        <f t="shared" si="22"/>
        <v>0</v>
      </c>
      <c r="DJ80" s="29" t="str">
        <f t="shared" si="22"/>
        <v>0</v>
      </c>
      <c r="DK80" s="29" t="str">
        <f t="shared" si="22"/>
        <v>0</v>
      </c>
      <c r="DL80" s="29" t="str">
        <f t="shared" si="22"/>
        <v>0</v>
      </c>
      <c r="DM80" s="29" t="str">
        <f t="shared" si="22"/>
        <v>0</v>
      </c>
      <c r="DN80" s="29" t="str">
        <f t="shared" si="22"/>
        <v>0</v>
      </c>
      <c r="DO80" s="29" t="str">
        <f t="shared" si="22"/>
        <v>0</v>
      </c>
      <c r="DP80" s="29" t="str">
        <f t="shared" si="22"/>
        <v>0</v>
      </c>
      <c r="DQ80" s="29" t="str">
        <f t="shared" si="22"/>
        <v>0</v>
      </c>
      <c r="DR80" s="29"/>
      <c r="DS80" s="25">
        <v>0</v>
      </c>
      <c r="EE80" s="25" t="str">
        <f t="shared" si="20"/>
        <v>0</v>
      </c>
    </row>
    <row r="81" spans="1:135">
      <c r="A81" s="48">
        <v>1001003</v>
      </c>
      <c r="B81" s="49" t="s">
        <v>910</v>
      </c>
      <c r="C81" s="25">
        <v>3</v>
      </c>
      <c r="D81" s="25">
        <f t="array" ref="D81">INDEX(C$5:C$67,MATCH($B81,$B$5:$B$67,0))</f>
        <v>3600</v>
      </c>
      <c r="E81" s="25">
        <f t="array" ref="E81">INDEX(D$5:D$67,MATCH($B81,$B$5:$B$67,0))</f>
        <v>288</v>
      </c>
      <c r="F81" s="25">
        <f t="array" ref="F81">INDEX(E$5:E$67,MATCH($B81,$B$5:$B$67,0))</f>
        <v>1320</v>
      </c>
      <c r="G81" s="25">
        <f t="array" ref="G81">INDEX(F$5:F$67,MATCH($B81,$B$5:$B$67,0))</f>
        <v>105.6</v>
      </c>
      <c r="H81" s="25">
        <f t="array" ref="H81">INDEX(G$5:G$66,MATCH($B81,$B$5:$B$67,0))</f>
        <v>1056</v>
      </c>
      <c r="I81" s="25">
        <f t="array" ref="I81">INDEX(H$5:H$67,MATCH($B81,$B$5:$B$67,0))</f>
        <v>84.48</v>
      </c>
      <c r="J81" s="25">
        <f t="array" ref="J81">INDEX(I$5:I$67,MATCH($B81,$B$5:$B$67,0))</f>
        <v>800</v>
      </c>
      <c r="K81" s="25">
        <f t="array" ref="K81">INDEX(J$5:J$67,MATCH($B81,$B$5:$B$67,0))</f>
        <v>64</v>
      </c>
      <c r="L81" s="25">
        <f t="shared" si="0"/>
        <v>4464</v>
      </c>
      <c r="M81" s="25">
        <f t="shared" si="1"/>
        <v>1637</v>
      </c>
      <c r="N81" s="25">
        <f t="shared" si="2"/>
        <v>1309</v>
      </c>
      <c r="O81" s="25">
        <f t="shared" si="3"/>
        <v>992</v>
      </c>
      <c r="R81" s="50">
        <f t="array" ref="R81">INDEX($B$46:$B$68,MATCH(S81,$C$46:$C$68,0))*1000+T81</f>
        <v>1001003</v>
      </c>
      <c r="S81" s="51" t="s">
        <v>910</v>
      </c>
      <c r="T81" s="29">
        <v>3</v>
      </c>
      <c r="U81" s="25">
        <f t="array" ref="U81">INDEX(K$5:K$67,MATCH($S81,$B$5:$B$67,0))</f>
        <v>306.72</v>
      </c>
      <c r="V81" s="25">
        <f t="array" ref="V81">INDEX(L$5:L$67,MATCH($S81,$B$5:$B$67,0))</f>
        <v>112.64</v>
      </c>
      <c r="W81" s="25">
        <f t="array" ref="W81">INDEX(M$5:M$67,MATCH($S81,$B$5:$B$67,0))</f>
        <v>90.11</v>
      </c>
      <c r="X81" s="25">
        <f t="array" ref="X81">INDEX(N$5:N$67,MATCH($S81,$B$5:$B$67,0))</f>
        <v>68</v>
      </c>
      <c r="Y81" s="25">
        <f t="shared" si="4"/>
        <v>920</v>
      </c>
      <c r="Z81" s="25">
        <f t="shared" si="5"/>
        <v>338</v>
      </c>
      <c r="AA81" s="25">
        <f t="shared" si="6"/>
        <v>270</v>
      </c>
      <c r="AB81" s="25">
        <f t="shared" si="7"/>
        <v>204</v>
      </c>
      <c r="AE81" s="1">
        <v>1003</v>
      </c>
      <c r="AF81" s="25">
        <v>3</v>
      </c>
      <c r="AG81" s="25">
        <f t="array" ref="AG81">INDEX($AE$79:$AE$116,QUOTIENT(AF81-1,8)+1)</f>
        <v>1001</v>
      </c>
      <c r="AH81" s="25">
        <v>3</v>
      </c>
      <c r="AI81" s="25">
        <f t="shared" si="8"/>
        <v>10013</v>
      </c>
      <c r="AJ81" s="25" t="str">
        <f t="shared" si="9"/>
        <v>主角</v>
      </c>
      <c r="AK81" s="25">
        <v>3</v>
      </c>
      <c r="AL81" s="25" t="str">
        <f t="array" ref="AL81">INDEX($O$5:$O$42,MATCH(AJ81,$B$5:$B$42,0))</f>
        <v>攻击百分比</v>
      </c>
      <c r="AM81" s="25" t="str">
        <f t="array" ref="AM81">INDEX($P$5:$P$42,MATCH(AJ81,$B$5:$B$42,0))</f>
        <v>暴击等级</v>
      </c>
      <c r="AN81" s="25" t="str">
        <f t="array" ref="AN81">INDEX($Q$5:$Q$42,MATCH(AJ81,$B$5:$B$42,0))</f>
        <v>暴击伤害等级</v>
      </c>
      <c r="AO81" s="25" t="str">
        <f t="array" ref="AO81">INDEX(AL81:AN81,0,AK81)</f>
        <v>暴击伤害等级</v>
      </c>
      <c r="AP81" s="25">
        <f t="shared" si="10"/>
        <v>0.15</v>
      </c>
      <c r="AQ81" s="25">
        <f t="shared" si="11"/>
        <v>1650</v>
      </c>
      <c r="AR81" s="25" t="str">
        <f t="shared" ref="AR81:BZ81" si="23">IF(AR$78=$AO81,$AQ81,"0")</f>
        <v>0</v>
      </c>
      <c r="AS81" s="25" t="str">
        <f t="shared" si="23"/>
        <v>0</v>
      </c>
      <c r="AT81" s="25" t="str">
        <f t="shared" si="23"/>
        <v>0</v>
      </c>
      <c r="AU81" s="25" t="str">
        <f t="shared" si="23"/>
        <v>0</v>
      </c>
      <c r="AV81" s="25" t="str">
        <f t="shared" si="23"/>
        <v>0</v>
      </c>
      <c r="AW81" s="25" t="str">
        <f t="shared" si="23"/>
        <v>0</v>
      </c>
      <c r="AX81" s="25" t="str">
        <f t="shared" si="23"/>
        <v>0</v>
      </c>
      <c r="AY81" s="25" t="str">
        <f t="shared" si="23"/>
        <v>0</v>
      </c>
      <c r="AZ81" s="25" t="str">
        <f t="shared" si="23"/>
        <v>0</v>
      </c>
      <c r="BA81" s="25" t="str">
        <f t="shared" si="23"/>
        <v>0</v>
      </c>
      <c r="BB81" s="25" t="str">
        <f t="shared" si="23"/>
        <v>0</v>
      </c>
      <c r="BC81" s="25" t="str">
        <f t="shared" si="23"/>
        <v>0</v>
      </c>
      <c r="BD81" s="25" t="str">
        <f t="shared" si="23"/>
        <v>0</v>
      </c>
      <c r="BE81" s="25" t="str">
        <f t="shared" si="23"/>
        <v>0</v>
      </c>
      <c r="BF81" s="25" t="str">
        <f t="shared" si="23"/>
        <v>0</v>
      </c>
      <c r="BG81" s="25" t="str">
        <f t="shared" si="23"/>
        <v>0</v>
      </c>
      <c r="BH81" s="25" t="str">
        <f t="shared" si="23"/>
        <v>0</v>
      </c>
      <c r="BI81" s="25" t="str">
        <f t="shared" si="23"/>
        <v>0</v>
      </c>
      <c r="BJ81" s="25" t="str">
        <f t="shared" si="23"/>
        <v>0</v>
      </c>
      <c r="BK81" s="25" t="str">
        <f t="shared" si="23"/>
        <v>0</v>
      </c>
      <c r="BL81" s="25" t="str">
        <f t="shared" si="23"/>
        <v>0</v>
      </c>
      <c r="BM81" s="25" t="str">
        <f t="shared" si="23"/>
        <v>0</v>
      </c>
      <c r="BN81" s="25" t="str">
        <f t="shared" si="23"/>
        <v>0</v>
      </c>
      <c r="BO81" s="25" t="str">
        <f t="shared" si="23"/>
        <v>0</v>
      </c>
      <c r="BP81" s="25" t="str">
        <f t="shared" si="23"/>
        <v>0</v>
      </c>
      <c r="BQ81" s="25" t="str">
        <f t="shared" si="23"/>
        <v>0</v>
      </c>
      <c r="BR81" s="25" t="str">
        <f t="shared" si="23"/>
        <v>0</v>
      </c>
      <c r="BS81" s="25" t="str">
        <f t="shared" si="23"/>
        <v>0</v>
      </c>
      <c r="BT81" s="25" t="str">
        <f t="shared" si="23"/>
        <v>0</v>
      </c>
      <c r="BU81" s="25" t="str">
        <f t="shared" si="23"/>
        <v>0</v>
      </c>
      <c r="BV81" s="25" t="str">
        <f t="shared" si="23"/>
        <v>0</v>
      </c>
      <c r="BW81" s="25" t="str">
        <f t="shared" si="23"/>
        <v>0</v>
      </c>
      <c r="BX81" s="25">
        <f t="shared" si="23"/>
        <v>1650</v>
      </c>
      <c r="BY81" s="25" t="str">
        <f t="shared" si="23"/>
        <v>0</v>
      </c>
      <c r="BZ81" s="25" t="str">
        <f t="shared" si="23"/>
        <v>0</v>
      </c>
      <c r="CC81" s="25" t="str">
        <f t="array" ref="CC81">INDEX($C$46:$C$74,MATCH(CD81,$B$46:$B$74,0))</f>
        <v>主角</v>
      </c>
      <c r="CD81" s="52">
        <v>1001</v>
      </c>
      <c r="CE81" s="1">
        <v>2</v>
      </c>
      <c r="CF81" s="25" t="str">
        <f t="array" ref="CF81">INDEX($T$5:$T$44,MATCH(CC81,$B$5:$B$44,0))</f>
        <v>物理</v>
      </c>
      <c r="CG81" s="25">
        <v>0</v>
      </c>
      <c r="CH81" s="25">
        <f t="shared" si="13"/>
        <v>1</v>
      </c>
      <c r="CI81" s="25">
        <f t="shared" si="14"/>
        <v>1</v>
      </c>
      <c r="CJ81" s="25">
        <f t="shared" si="15"/>
        <v>1</v>
      </c>
      <c r="CK81" s="25">
        <f t="shared" si="16"/>
        <v>1</v>
      </c>
      <c r="CL81" s="25">
        <v>0</v>
      </c>
      <c r="CM81" s="25">
        <v>0</v>
      </c>
      <c r="CN81" s="25">
        <f t="shared" si="17"/>
        <v>0</v>
      </c>
      <c r="CO81" s="25">
        <f t="shared" si="18"/>
        <v>0</v>
      </c>
      <c r="CP81" s="29" t="str">
        <f t="shared" ref="CP81:DQ81" si="24">IF($CL81=CP$78,$CN81,"0")</f>
        <v>0</v>
      </c>
      <c r="CQ81" s="29" t="str">
        <f t="shared" si="24"/>
        <v>0</v>
      </c>
      <c r="CR81" s="29" t="str">
        <f t="shared" si="24"/>
        <v>0</v>
      </c>
      <c r="CS81" s="29" t="str">
        <f t="shared" si="24"/>
        <v>0</v>
      </c>
      <c r="CT81" s="29" t="str">
        <f t="shared" si="24"/>
        <v>0</v>
      </c>
      <c r="CU81" s="29" t="str">
        <f t="shared" si="24"/>
        <v>0</v>
      </c>
      <c r="CV81" s="29" t="str">
        <f t="shared" si="24"/>
        <v>0</v>
      </c>
      <c r="CW81" s="29" t="str">
        <f t="shared" si="24"/>
        <v>0</v>
      </c>
      <c r="CX81" s="29" t="str">
        <f t="shared" si="24"/>
        <v>0</v>
      </c>
      <c r="CY81" s="29" t="str">
        <f t="shared" si="24"/>
        <v>0</v>
      </c>
      <c r="CZ81" s="29" t="str">
        <f t="shared" si="24"/>
        <v>0</v>
      </c>
      <c r="DA81" s="29" t="str">
        <f t="shared" si="24"/>
        <v>0</v>
      </c>
      <c r="DB81" s="29" t="str">
        <f t="shared" si="24"/>
        <v>0</v>
      </c>
      <c r="DC81" s="29" t="str">
        <f t="shared" si="24"/>
        <v>0</v>
      </c>
      <c r="DD81" s="29" t="str">
        <f t="shared" si="24"/>
        <v>0</v>
      </c>
      <c r="DE81" s="29" t="str">
        <f t="shared" si="24"/>
        <v>0</v>
      </c>
      <c r="DF81" s="29" t="str">
        <f t="shared" si="24"/>
        <v>0</v>
      </c>
      <c r="DG81" s="29" t="str">
        <f t="shared" si="24"/>
        <v>0</v>
      </c>
      <c r="DH81" s="29" t="str">
        <f t="shared" si="24"/>
        <v>0</v>
      </c>
      <c r="DI81" s="29" t="str">
        <f t="shared" si="24"/>
        <v>0</v>
      </c>
      <c r="DJ81" s="29" t="str">
        <f t="shared" si="24"/>
        <v>0</v>
      </c>
      <c r="DK81" s="29" t="str">
        <f t="shared" si="24"/>
        <v>0</v>
      </c>
      <c r="DL81" s="29" t="str">
        <f t="shared" si="24"/>
        <v>0</v>
      </c>
      <c r="DM81" s="29" t="str">
        <f t="shared" si="24"/>
        <v>0</v>
      </c>
      <c r="DN81" s="29" t="str">
        <f t="shared" si="24"/>
        <v>0</v>
      </c>
      <c r="DO81" s="29" t="str">
        <f t="shared" si="24"/>
        <v>0</v>
      </c>
      <c r="DP81" s="29" t="str">
        <f t="shared" si="24"/>
        <v>0</v>
      </c>
      <c r="DQ81" s="29" t="str">
        <f t="shared" si="24"/>
        <v>0</v>
      </c>
      <c r="DR81" s="29"/>
      <c r="DS81" s="25">
        <v>0</v>
      </c>
      <c r="EE81" s="25" t="str">
        <f t="shared" si="20"/>
        <v>0</v>
      </c>
    </row>
    <row r="82" spans="1:135">
      <c r="A82" s="48">
        <v>1001004</v>
      </c>
      <c r="B82" s="49" t="s">
        <v>910</v>
      </c>
      <c r="C82" s="25">
        <v>4</v>
      </c>
      <c r="D82" s="25">
        <f t="array" ref="D82">INDEX(C$5:C$67,MATCH($B82,$B$5:$B$67,0))</f>
        <v>3600</v>
      </c>
      <c r="E82" s="25">
        <f t="array" ref="E82">INDEX(D$5:D$67,MATCH($B82,$B$5:$B$67,0))</f>
        <v>288</v>
      </c>
      <c r="F82" s="25">
        <f t="array" ref="F82">INDEX(E$5:E$67,MATCH($B82,$B$5:$B$67,0))</f>
        <v>1320</v>
      </c>
      <c r="G82" s="25">
        <f t="array" ref="G82">INDEX(F$5:F$67,MATCH($B82,$B$5:$B$67,0))</f>
        <v>105.6</v>
      </c>
      <c r="H82" s="25">
        <f t="array" ref="H82">INDEX(G$5:G$66,MATCH($B82,$B$5:$B$67,0))</f>
        <v>1056</v>
      </c>
      <c r="I82" s="25">
        <f t="array" ref="I82">INDEX(H$5:H$67,MATCH($B82,$B$5:$B$67,0))</f>
        <v>84.48</v>
      </c>
      <c r="J82" s="25">
        <f t="array" ref="J82">INDEX(I$5:I$67,MATCH($B82,$B$5:$B$67,0))</f>
        <v>800</v>
      </c>
      <c r="K82" s="25">
        <f t="array" ref="K82">INDEX(J$5:J$67,MATCH($B82,$B$5:$B$67,0))</f>
        <v>64</v>
      </c>
      <c r="L82" s="25">
        <f t="shared" si="0"/>
        <v>4752</v>
      </c>
      <c r="M82" s="25">
        <f t="shared" si="1"/>
        <v>1742</v>
      </c>
      <c r="N82" s="25">
        <f t="shared" si="2"/>
        <v>1394</v>
      </c>
      <c r="O82" s="25">
        <f t="shared" si="3"/>
        <v>1056</v>
      </c>
      <c r="R82" s="50">
        <f t="array" ref="R82">INDEX($B$46:$B$68,MATCH(S82,$C$46:$C$68,0))*1000+T82</f>
        <v>1001004</v>
      </c>
      <c r="S82" s="51" t="s">
        <v>910</v>
      </c>
      <c r="T82" s="29">
        <v>4</v>
      </c>
      <c r="U82" s="25">
        <f t="array" ref="U82">INDEX(K$5:K$67,MATCH($S82,$B$5:$B$67,0))</f>
        <v>306.72</v>
      </c>
      <c r="V82" s="25">
        <f t="array" ref="V82">INDEX(L$5:L$67,MATCH($S82,$B$5:$B$67,0))</f>
        <v>112.64</v>
      </c>
      <c r="W82" s="25">
        <f t="array" ref="W82">INDEX(M$5:M$67,MATCH($S82,$B$5:$B$67,0))</f>
        <v>90.11</v>
      </c>
      <c r="X82" s="25">
        <f t="array" ref="X82">INDEX(N$5:N$67,MATCH($S82,$B$5:$B$67,0))</f>
        <v>68</v>
      </c>
      <c r="Y82" s="25">
        <f t="shared" si="4"/>
        <v>1227</v>
      </c>
      <c r="Z82" s="25">
        <f t="shared" si="5"/>
        <v>451</v>
      </c>
      <c r="AA82" s="25">
        <f t="shared" si="6"/>
        <v>360</v>
      </c>
      <c r="AB82" s="25">
        <f t="shared" si="7"/>
        <v>272</v>
      </c>
      <c r="AE82" s="1">
        <v>1004</v>
      </c>
      <c r="AF82" s="25">
        <v>4</v>
      </c>
      <c r="AG82" s="25">
        <f t="array" ref="AG82">INDEX($AE$79:$AE$116,QUOTIENT(AF82-1,8)+1)</f>
        <v>1001</v>
      </c>
      <c r="AH82" s="25">
        <v>4</v>
      </c>
      <c r="AI82" s="25">
        <f t="shared" si="8"/>
        <v>10014</v>
      </c>
      <c r="AJ82" s="25" t="str">
        <f t="shared" si="9"/>
        <v>主角</v>
      </c>
      <c r="AK82" s="25">
        <v>2</v>
      </c>
      <c r="AL82" s="25" t="str">
        <f t="array" ref="AL82">INDEX($O$5:$O$42,MATCH(AJ82,$B$5:$B$42,0))</f>
        <v>攻击百分比</v>
      </c>
      <c r="AM82" s="25" t="str">
        <f t="array" ref="AM82">INDEX($P$5:$P$42,MATCH(AJ82,$B$5:$B$42,0))</f>
        <v>暴击等级</v>
      </c>
      <c r="AN82" s="25" t="str">
        <f t="array" ref="AN82">INDEX($Q$5:$Q$42,MATCH(AJ82,$B$5:$B$42,0))</f>
        <v>暴击伤害等级</v>
      </c>
      <c r="AO82" s="25" t="str">
        <f t="array" ref="AO82">INDEX(AL82:AN82,0,AK82)</f>
        <v>暴击等级</v>
      </c>
      <c r="AP82" s="25">
        <f t="shared" si="10"/>
        <v>0.15</v>
      </c>
      <c r="AQ82" s="25">
        <f t="shared" si="11"/>
        <v>1350</v>
      </c>
      <c r="AR82" s="25" t="str">
        <f t="shared" ref="AR82:BZ82" si="25">IF(AR$78=$AO82,$AQ82,"0")</f>
        <v>0</v>
      </c>
      <c r="AS82" s="25" t="str">
        <f t="shared" si="25"/>
        <v>0</v>
      </c>
      <c r="AT82" s="25" t="str">
        <f t="shared" si="25"/>
        <v>0</v>
      </c>
      <c r="AU82" s="25" t="str">
        <f t="shared" si="25"/>
        <v>0</v>
      </c>
      <c r="AV82" s="25" t="str">
        <f t="shared" si="25"/>
        <v>0</v>
      </c>
      <c r="AW82" s="25" t="str">
        <f t="shared" si="25"/>
        <v>0</v>
      </c>
      <c r="AX82" s="25" t="str">
        <f t="shared" si="25"/>
        <v>0</v>
      </c>
      <c r="AY82" s="25" t="str">
        <f t="shared" si="25"/>
        <v>0</v>
      </c>
      <c r="AZ82" s="25" t="str">
        <f t="shared" si="25"/>
        <v>0</v>
      </c>
      <c r="BA82" s="25" t="str">
        <f t="shared" si="25"/>
        <v>0</v>
      </c>
      <c r="BB82" s="25" t="str">
        <f t="shared" si="25"/>
        <v>0</v>
      </c>
      <c r="BC82" s="25" t="str">
        <f t="shared" si="25"/>
        <v>0</v>
      </c>
      <c r="BD82" s="25" t="str">
        <f t="shared" si="25"/>
        <v>0</v>
      </c>
      <c r="BE82" s="25" t="str">
        <f t="shared" si="25"/>
        <v>0</v>
      </c>
      <c r="BF82" s="25" t="str">
        <f t="shared" si="25"/>
        <v>0</v>
      </c>
      <c r="BG82" s="25" t="str">
        <f t="shared" si="25"/>
        <v>0</v>
      </c>
      <c r="BH82" s="25" t="str">
        <f t="shared" si="25"/>
        <v>0</v>
      </c>
      <c r="BI82" s="25" t="str">
        <f t="shared" si="25"/>
        <v>0</v>
      </c>
      <c r="BJ82" s="25" t="str">
        <f t="shared" si="25"/>
        <v>0</v>
      </c>
      <c r="BK82" s="25" t="str">
        <f t="shared" si="25"/>
        <v>0</v>
      </c>
      <c r="BL82" s="25" t="str">
        <f t="shared" si="25"/>
        <v>0</v>
      </c>
      <c r="BM82" s="25" t="str">
        <f t="shared" si="25"/>
        <v>0</v>
      </c>
      <c r="BN82" s="25" t="str">
        <f t="shared" si="25"/>
        <v>0</v>
      </c>
      <c r="BO82" s="25" t="str">
        <f t="shared" si="25"/>
        <v>0</v>
      </c>
      <c r="BP82" s="25" t="str">
        <f t="shared" si="25"/>
        <v>0</v>
      </c>
      <c r="BQ82" s="25" t="str">
        <f t="shared" si="25"/>
        <v>0</v>
      </c>
      <c r="BR82" s="25" t="str">
        <f t="shared" si="25"/>
        <v>0</v>
      </c>
      <c r="BS82" s="25" t="str">
        <f t="shared" si="25"/>
        <v>0</v>
      </c>
      <c r="BT82" s="25" t="str">
        <f t="shared" si="25"/>
        <v>0</v>
      </c>
      <c r="BU82" s="25" t="str">
        <f t="shared" si="25"/>
        <v>0</v>
      </c>
      <c r="BV82" s="25" t="str">
        <f t="shared" si="25"/>
        <v>0</v>
      </c>
      <c r="BW82" s="25">
        <f t="shared" si="25"/>
        <v>1350</v>
      </c>
      <c r="BX82" s="25" t="str">
        <f t="shared" si="25"/>
        <v>0</v>
      </c>
      <c r="BY82" s="25" t="str">
        <f t="shared" si="25"/>
        <v>0</v>
      </c>
      <c r="BZ82" s="25" t="str">
        <f t="shared" si="25"/>
        <v>0</v>
      </c>
      <c r="CC82" s="25" t="str">
        <f t="array" ref="CC82">INDEX($C$46:$C$74,MATCH(CD82,$B$46:$B$74,0))</f>
        <v>主角</v>
      </c>
      <c r="CD82" s="52">
        <v>1001</v>
      </c>
      <c r="CE82" s="1">
        <v>3</v>
      </c>
      <c r="CF82" s="25" t="str">
        <f t="array" ref="CF82">INDEX($T$5:$T$44,MATCH(CC82,$B$5:$B$44,0))</f>
        <v>物理</v>
      </c>
      <c r="CG82" s="25">
        <v>0.15</v>
      </c>
      <c r="CH82" s="25">
        <f t="shared" si="13"/>
        <v>1.15</v>
      </c>
      <c r="CI82" s="25">
        <f t="shared" si="14"/>
        <v>1.15</v>
      </c>
      <c r="CJ82" s="25">
        <f t="shared" si="15"/>
        <v>1</v>
      </c>
      <c r="CK82" s="25">
        <f t="shared" si="16"/>
        <v>1.15</v>
      </c>
      <c r="CL82" s="25" t="str">
        <f t="array" ref="CL82">INDEX($R$5:$R$43,MATCH(CC82,$B$5:$B$43,0))</f>
        <v>物理伤害加成</v>
      </c>
      <c r="CM82" s="25">
        <f>角色升星!G18</f>
        <v>0.3</v>
      </c>
      <c r="CN82" s="25">
        <f t="shared" si="17"/>
        <v>0.12</v>
      </c>
      <c r="CO82" s="25">
        <f t="shared" si="18"/>
        <v>1</v>
      </c>
      <c r="CP82" s="29" t="str">
        <f t="shared" ref="CP82:DQ82" si="26">IF($CL82=CP$78,$CN82,"0")</f>
        <v>0</v>
      </c>
      <c r="CQ82" s="29" t="str">
        <f t="shared" si="26"/>
        <v>0</v>
      </c>
      <c r="CR82" s="29" t="str">
        <f t="shared" si="26"/>
        <v>0</v>
      </c>
      <c r="CS82" s="29" t="str">
        <f t="shared" si="26"/>
        <v>0</v>
      </c>
      <c r="CT82" s="29" t="str">
        <f t="shared" si="26"/>
        <v>0</v>
      </c>
      <c r="CU82" s="29" t="str">
        <f t="shared" si="26"/>
        <v>0</v>
      </c>
      <c r="CV82" s="29" t="str">
        <f t="shared" si="26"/>
        <v>0</v>
      </c>
      <c r="CW82" s="29" t="str">
        <f t="shared" si="26"/>
        <v>0</v>
      </c>
      <c r="CX82" s="29" t="str">
        <f t="shared" si="26"/>
        <v>0</v>
      </c>
      <c r="CY82" s="29" t="str">
        <f t="shared" si="26"/>
        <v>0</v>
      </c>
      <c r="CZ82" s="29" t="str">
        <f t="shared" si="26"/>
        <v>0</v>
      </c>
      <c r="DA82" s="29" t="str">
        <f t="shared" si="26"/>
        <v>0</v>
      </c>
      <c r="DB82" s="29">
        <f t="shared" si="26"/>
        <v>0.12</v>
      </c>
      <c r="DC82" s="29" t="str">
        <f t="shared" si="26"/>
        <v>0</v>
      </c>
      <c r="DD82" s="29" t="str">
        <f t="shared" si="26"/>
        <v>0</v>
      </c>
      <c r="DE82" s="29" t="str">
        <f t="shared" si="26"/>
        <v>0</v>
      </c>
      <c r="DF82" s="29" t="str">
        <f t="shared" si="26"/>
        <v>0</v>
      </c>
      <c r="DG82" s="29" t="str">
        <f t="shared" si="26"/>
        <v>0</v>
      </c>
      <c r="DH82" s="29" t="str">
        <f t="shared" si="26"/>
        <v>0</v>
      </c>
      <c r="DI82" s="29" t="str">
        <f t="shared" si="26"/>
        <v>0</v>
      </c>
      <c r="DJ82" s="29" t="str">
        <f t="shared" si="26"/>
        <v>0</v>
      </c>
      <c r="DK82" s="29" t="str">
        <f t="shared" si="26"/>
        <v>0</v>
      </c>
      <c r="DL82" s="29" t="str">
        <f t="shared" si="26"/>
        <v>0</v>
      </c>
      <c r="DM82" s="29" t="str">
        <f t="shared" si="26"/>
        <v>0</v>
      </c>
      <c r="DN82" s="29" t="str">
        <f t="shared" si="26"/>
        <v>0</v>
      </c>
      <c r="DO82" s="29" t="str">
        <f t="shared" si="26"/>
        <v>0</v>
      </c>
      <c r="DP82" s="29" t="str">
        <f t="shared" si="26"/>
        <v>0</v>
      </c>
      <c r="DQ82" s="29" t="str">
        <f t="shared" si="26"/>
        <v>0</v>
      </c>
      <c r="DR82" s="29"/>
      <c r="DS82" s="25" t="s">
        <v>1011</v>
      </c>
      <c r="DT82" s="25" t="str">
        <f>TEXT(角色升星!$F$18,"0%")</f>
        <v>15%</v>
      </c>
      <c r="DU82" s="25" t="s">
        <v>779</v>
      </c>
      <c r="DV82" s="25" t="str">
        <f>IF(CF82="物理","PhysicsAttack,+","MagicAttack,+")</f>
        <v>PhysicsAttack,+</v>
      </c>
      <c r="DW82" s="25" t="str">
        <f>TEXT(角色升星!$F$18,"0%")</f>
        <v>15%</v>
      </c>
      <c r="DX82" s="25" t="s">
        <v>779</v>
      </c>
      <c r="DY82" s="25" t="s">
        <v>1012</v>
      </c>
      <c r="DZ82" s="25" t="str">
        <f>TEXT(角色升星!$F$18,"0%")</f>
        <v>15%</v>
      </c>
      <c r="EA82" s="25" t="s">
        <v>779</v>
      </c>
      <c r="EB82" s="25" t="str">
        <f>VLOOKUP(CL82,$O$46:$P$73,2,0)</f>
        <v>PhysicsDmgBonus</v>
      </c>
      <c r="EC82" s="25" t="s">
        <v>1013</v>
      </c>
      <c r="ED82" s="25" t="str">
        <f>IF(CN82&gt;1,CN82,TEXT(CN82,"0%"))</f>
        <v>12%</v>
      </c>
      <c r="EE82" s="25" t="str">
        <f t="shared" si="20"/>
        <v>Hp,+15%;PhysicsAttack,+15%;Armor,+15%;PhysicsDmgBonus,+12%</v>
      </c>
    </row>
    <row r="83" spans="1:135">
      <c r="A83" s="48">
        <v>1001005</v>
      </c>
      <c r="B83" s="49" t="s">
        <v>910</v>
      </c>
      <c r="C83" s="25">
        <v>5</v>
      </c>
      <c r="D83" s="25">
        <f t="array" ref="D83">INDEX(C$5:C$67,MATCH($B83,$B$5:$B$67,0))</f>
        <v>3600</v>
      </c>
      <c r="E83" s="25">
        <f t="array" ref="E83">INDEX(D$5:D$67,MATCH($B83,$B$5:$B$67,0))</f>
        <v>288</v>
      </c>
      <c r="F83" s="25">
        <f t="array" ref="F83">INDEX(E$5:E$67,MATCH($B83,$B$5:$B$67,0))</f>
        <v>1320</v>
      </c>
      <c r="G83" s="25">
        <f t="array" ref="G83">INDEX(F$5:F$67,MATCH($B83,$B$5:$B$67,0))</f>
        <v>105.6</v>
      </c>
      <c r="H83" s="25">
        <f t="array" ref="H83">INDEX(G$5:G$66,MATCH($B83,$B$5:$B$67,0))</f>
        <v>1056</v>
      </c>
      <c r="I83" s="25">
        <f t="array" ref="I83">INDEX(H$5:H$67,MATCH($B83,$B$5:$B$67,0))</f>
        <v>84.48</v>
      </c>
      <c r="J83" s="25">
        <f t="array" ref="J83">INDEX(I$5:I$67,MATCH($B83,$B$5:$B$67,0))</f>
        <v>800</v>
      </c>
      <c r="K83" s="25">
        <f t="array" ref="K83">INDEX(J$5:J$67,MATCH($B83,$B$5:$B$67,0))</f>
        <v>64</v>
      </c>
      <c r="L83" s="25">
        <f t="shared" si="0"/>
        <v>5040</v>
      </c>
      <c r="M83" s="25">
        <f t="shared" si="1"/>
        <v>1848</v>
      </c>
      <c r="N83" s="25">
        <f t="shared" si="2"/>
        <v>1478</v>
      </c>
      <c r="O83" s="25">
        <f t="shared" si="3"/>
        <v>1120</v>
      </c>
      <c r="R83" s="50">
        <f t="array" ref="R83">INDEX($B$46:$B$68,MATCH(S83,$C$46:$C$68,0))*1000+T83</f>
        <v>1001005</v>
      </c>
      <c r="S83" s="51" t="s">
        <v>910</v>
      </c>
      <c r="T83" s="29">
        <v>5</v>
      </c>
      <c r="U83" s="25">
        <f t="array" ref="U83">INDEX(K$5:K$67,MATCH($S83,$B$5:$B$67,0))</f>
        <v>306.72</v>
      </c>
      <c r="V83" s="25">
        <f t="array" ref="V83">INDEX(L$5:L$67,MATCH($S83,$B$5:$B$67,0))</f>
        <v>112.64</v>
      </c>
      <c r="W83" s="25">
        <f t="array" ref="W83">INDEX(M$5:M$67,MATCH($S83,$B$5:$B$67,0))</f>
        <v>90.11</v>
      </c>
      <c r="X83" s="25">
        <f t="array" ref="X83">INDEX(N$5:N$67,MATCH($S83,$B$5:$B$67,0))</f>
        <v>68</v>
      </c>
      <c r="Y83" s="25">
        <f t="shared" si="4"/>
        <v>1534</v>
      </c>
      <c r="Z83" s="25">
        <f t="shared" si="5"/>
        <v>563</v>
      </c>
      <c r="AA83" s="25">
        <f t="shared" si="6"/>
        <v>451</v>
      </c>
      <c r="AB83" s="25">
        <f t="shared" si="7"/>
        <v>340</v>
      </c>
      <c r="AE83" s="1">
        <v>1005</v>
      </c>
      <c r="AF83" s="25">
        <v>5</v>
      </c>
      <c r="AG83" s="25">
        <f t="array" ref="AG83">INDEX($AE$79:$AE$116,QUOTIENT(AF83-1,8)+1)</f>
        <v>1001</v>
      </c>
      <c r="AH83" s="25">
        <v>5</v>
      </c>
      <c r="AI83" s="25">
        <f t="shared" si="8"/>
        <v>10015</v>
      </c>
      <c r="AJ83" s="25" t="str">
        <f t="shared" si="9"/>
        <v>主角</v>
      </c>
      <c r="AK83" s="25">
        <v>3</v>
      </c>
      <c r="AL83" s="25" t="str">
        <f t="array" ref="AL83">INDEX($O$5:$O$42,MATCH(AJ83,$B$5:$B$42,0))</f>
        <v>攻击百分比</v>
      </c>
      <c r="AM83" s="25" t="str">
        <f t="array" ref="AM83">INDEX($P$5:$P$42,MATCH(AJ83,$B$5:$B$42,0))</f>
        <v>暴击等级</v>
      </c>
      <c r="AN83" s="25" t="str">
        <f t="array" ref="AN83">INDEX($Q$5:$Q$42,MATCH(AJ83,$B$5:$B$42,0))</f>
        <v>暴击伤害等级</v>
      </c>
      <c r="AO83" s="25" t="str">
        <f t="array" ref="AO83">INDEX(AL83:AN83,0,AK83)</f>
        <v>暴击伤害等级</v>
      </c>
      <c r="AP83" s="25">
        <f t="shared" si="10"/>
        <v>0.15</v>
      </c>
      <c r="AQ83" s="25">
        <f t="shared" si="11"/>
        <v>1650</v>
      </c>
      <c r="AR83" s="25" t="str">
        <f t="shared" ref="AR83:BZ83" si="27">IF(AR$78=$AO83,$AQ83,"0")</f>
        <v>0</v>
      </c>
      <c r="AS83" s="25" t="str">
        <f t="shared" si="27"/>
        <v>0</v>
      </c>
      <c r="AT83" s="25" t="str">
        <f t="shared" si="27"/>
        <v>0</v>
      </c>
      <c r="AU83" s="25" t="str">
        <f t="shared" si="27"/>
        <v>0</v>
      </c>
      <c r="AV83" s="25" t="str">
        <f t="shared" si="27"/>
        <v>0</v>
      </c>
      <c r="AW83" s="25" t="str">
        <f t="shared" si="27"/>
        <v>0</v>
      </c>
      <c r="AX83" s="25" t="str">
        <f t="shared" si="27"/>
        <v>0</v>
      </c>
      <c r="AY83" s="25" t="str">
        <f t="shared" si="27"/>
        <v>0</v>
      </c>
      <c r="AZ83" s="25" t="str">
        <f t="shared" si="27"/>
        <v>0</v>
      </c>
      <c r="BA83" s="25" t="str">
        <f t="shared" si="27"/>
        <v>0</v>
      </c>
      <c r="BB83" s="25" t="str">
        <f t="shared" si="27"/>
        <v>0</v>
      </c>
      <c r="BC83" s="25" t="str">
        <f t="shared" si="27"/>
        <v>0</v>
      </c>
      <c r="BD83" s="25" t="str">
        <f t="shared" si="27"/>
        <v>0</v>
      </c>
      <c r="BE83" s="25" t="str">
        <f t="shared" si="27"/>
        <v>0</v>
      </c>
      <c r="BF83" s="25" t="str">
        <f t="shared" si="27"/>
        <v>0</v>
      </c>
      <c r="BG83" s="25" t="str">
        <f t="shared" si="27"/>
        <v>0</v>
      </c>
      <c r="BH83" s="25" t="str">
        <f t="shared" si="27"/>
        <v>0</v>
      </c>
      <c r="BI83" s="25" t="str">
        <f t="shared" si="27"/>
        <v>0</v>
      </c>
      <c r="BJ83" s="25" t="str">
        <f t="shared" si="27"/>
        <v>0</v>
      </c>
      <c r="BK83" s="25" t="str">
        <f t="shared" si="27"/>
        <v>0</v>
      </c>
      <c r="BL83" s="25" t="str">
        <f t="shared" si="27"/>
        <v>0</v>
      </c>
      <c r="BM83" s="25" t="str">
        <f t="shared" si="27"/>
        <v>0</v>
      </c>
      <c r="BN83" s="25" t="str">
        <f t="shared" si="27"/>
        <v>0</v>
      </c>
      <c r="BO83" s="25" t="str">
        <f t="shared" si="27"/>
        <v>0</v>
      </c>
      <c r="BP83" s="25" t="str">
        <f t="shared" si="27"/>
        <v>0</v>
      </c>
      <c r="BQ83" s="25" t="str">
        <f t="shared" si="27"/>
        <v>0</v>
      </c>
      <c r="BR83" s="25" t="str">
        <f t="shared" si="27"/>
        <v>0</v>
      </c>
      <c r="BS83" s="25" t="str">
        <f t="shared" si="27"/>
        <v>0</v>
      </c>
      <c r="BT83" s="25" t="str">
        <f t="shared" si="27"/>
        <v>0</v>
      </c>
      <c r="BU83" s="25" t="str">
        <f t="shared" si="27"/>
        <v>0</v>
      </c>
      <c r="BV83" s="25" t="str">
        <f t="shared" si="27"/>
        <v>0</v>
      </c>
      <c r="BW83" s="25" t="str">
        <f t="shared" si="27"/>
        <v>0</v>
      </c>
      <c r="BX83" s="25">
        <f t="shared" si="27"/>
        <v>1650</v>
      </c>
      <c r="BY83" s="25" t="str">
        <f t="shared" si="27"/>
        <v>0</v>
      </c>
      <c r="BZ83" s="25" t="str">
        <f t="shared" si="27"/>
        <v>0</v>
      </c>
      <c r="CC83" s="25" t="str">
        <f t="array" ref="CC83">INDEX($C$46:$C$74,MATCH(CD83,$B$46:$B$74,0))</f>
        <v>主角</v>
      </c>
      <c r="CD83" s="52">
        <v>1001</v>
      </c>
      <c r="CE83" s="1">
        <v>4</v>
      </c>
      <c r="CF83" s="25" t="str">
        <f t="array" ref="CF83">INDEX($T$5:$T$44,MATCH(CC83,$B$5:$B$44,0))</f>
        <v>物理</v>
      </c>
      <c r="CG83" s="25">
        <v>0.15</v>
      </c>
      <c r="CH83" s="25">
        <f t="shared" si="13"/>
        <v>1.15</v>
      </c>
      <c r="CI83" s="25">
        <f t="shared" si="14"/>
        <v>1.15</v>
      </c>
      <c r="CJ83" s="25">
        <f t="shared" si="15"/>
        <v>1</v>
      </c>
      <c r="CK83" s="25">
        <f t="shared" si="16"/>
        <v>1.15</v>
      </c>
      <c r="CL83" s="25">
        <v>0</v>
      </c>
      <c r="CM83" s="25">
        <v>0</v>
      </c>
      <c r="CN83" s="25">
        <f t="shared" si="17"/>
        <v>0</v>
      </c>
      <c r="CO83" s="25">
        <f t="shared" si="18"/>
        <v>0</v>
      </c>
      <c r="CP83" s="29" t="str">
        <f t="shared" ref="CP83:DQ83" si="28">IF($CL83=CP$78,$CN83,"0")</f>
        <v>0</v>
      </c>
      <c r="CQ83" s="29" t="str">
        <f t="shared" si="28"/>
        <v>0</v>
      </c>
      <c r="CR83" s="29" t="str">
        <f t="shared" si="28"/>
        <v>0</v>
      </c>
      <c r="CS83" s="29" t="str">
        <f t="shared" si="28"/>
        <v>0</v>
      </c>
      <c r="CT83" s="29" t="str">
        <f t="shared" si="28"/>
        <v>0</v>
      </c>
      <c r="CU83" s="29" t="str">
        <f t="shared" si="28"/>
        <v>0</v>
      </c>
      <c r="CV83" s="29" t="str">
        <f t="shared" si="28"/>
        <v>0</v>
      </c>
      <c r="CW83" s="29" t="str">
        <f t="shared" si="28"/>
        <v>0</v>
      </c>
      <c r="CX83" s="29" t="str">
        <f t="shared" si="28"/>
        <v>0</v>
      </c>
      <c r="CY83" s="29" t="str">
        <f t="shared" si="28"/>
        <v>0</v>
      </c>
      <c r="CZ83" s="29" t="str">
        <f t="shared" si="28"/>
        <v>0</v>
      </c>
      <c r="DA83" s="29" t="str">
        <f t="shared" si="28"/>
        <v>0</v>
      </c>
      <c r="DB83" s="29" t="str">
        <f t="shared" si="28"/>
        <v>0</v>
      </c>
      <c r="DC83" s="29" t="str">
        <f t="shared" si="28"/>
        <v>0</v>
      </c>
      <c r="DD83" s="29" t="str">
        <f t="shared" si="28"/>
        <v>0</v>
      </c>
      <c r="DE83" s="29" t="str">
        <f t="shared" si="28"/>
        <v>0</v>
      </c>
      <c r="DF83" s="29" t="str">
        <f t="shared" si="28"/>
        <v>0</v>
      </c>
      <c r="DG83" s="29" t="str">
        <f t="shared" si="28"/>
        <v>0</v>
      </c>
      <c r="DH83" s="29" t="str">
        <f t="shared" si="28"/>
        <v>0</v>
      </c>
      <c r="DI83" s="29" t="str">
        <f t="shared" si="28"/>
        <v>0</v>
      </c>
      <c r="DJ83" s="29" t="str">
        <f t="shared" si="28"/>
        <v>0</v>
      </c>
      <c r="DK83" s="29" t="str">
        <f t="shared" si="28"/>
        <v>0</v>
      </c>
      <c r="DL83" s="29" t="str">
        <f t="shared" si="28"/>
        <v>0</v>
      </c>
      <c r="DM83" s="29" t="str">
        <f t="shared" si="28"/>
        <v>0</v>
      </c>
      <c r="DN83" s="29" t="str">
        <f t="shared" si="28"/>
        <v>0</v>
      </c>
      <c r="DO83" s="29" t="str">
        <f t="shared" si="28"/>
        <v>0</v>
      </c>
      <c r="DP83" s="29" t="str">
        <f t="shared" si="28"/>
        <v>0</v>
      </c>
      <c r="DQ83" s="29" t="str">
        <f t="shared" si="28"/>
        <v>0</v>
      </c>
      <c r="DR83" s="29"/>
      <c r="DS83" s="25">
        <v>0</v>
      </c>
      <c r="EE83" s="25" t="str">
        <f t="shared" si="20"/>
        <v>0</v>
      </c>
    </row>
    <row r="84" spans="1:135">
      <c r="A84" s="48">
        <v>1001006</v>
      </c>
      <c r="B84" s="49" t="s">
        <v>910</v>
      </c>
      <c r="C84" s="25">
        <v>6</v>
      </c>
      <c r="D84" s="25">
        <f t="array" ref="D84">INDEX(C$5:C$67,MATCH($B84,$B$5:$B$67,0))</f>
        <v>3600</v>
      </c>
      <c r="E84" s="25">
        <f t="array" ref="E84">INDEX(D$5:D$67,MATCH($B84,$B$5:$B$67,0))</f>
        <v>288</v>
      </c>
      <c r="F84" s="25">
        <f t="array" ref="F84">INDEX(E$5:E$67,MATCH($B84,$B$5:$B$67,0))</f>
        <v>1320</v>
      </c>
      <c r="G84" s="25">
        <f t="array" ref="G84">INDEX(F$5:F$67,MATCH($B84,$B$5:$B$67,0))</f>
        <v>105.6</v>
      </c>
      <c r="H84" s="25">
        <f t="array" ref="H84">INDEX(G$5:G$66,MATCH($B84,$B$5:$B$67,0))</f>
        <v>1056</v>
      </c>
      <c r="I84" s="25">
        <f t="array" ref="I84">INDEX(H$5:H$67,MATCH($B84,$B$5:$B$67,0))</f>
        <v>84.48</v>
      </c>
      <c r="J84" s="25">
        <f t="array" ref="J84">INDEX(I$5:I$67,MATCH($B84,$B$5:$B$67,0))</f>
        <v>800</v>
      </c>
      <c r="K84" s="25">
        <f t="array" ref="K84">INDEX(J$5:J$67,MATCH($B84,$B$5:$B$67,0))</f>
        <v>64</v>
      </c>
      <c r="L84" s="25">
        <f t="shared" si="0"/>
        <v>5328</v>
      </c>
      <c r="M84" s="25">
        <f t="shared" si="1"/>
        <v>1954</v>
      </c>
      <c r="N84" s="25">
        <f t="shared" si="2"/>
        <v>1563</v>
      </c>
      <c r="O84" s="25">
        <f t="shared" si="3"/>
        <v>1184</v>
      </c>
      <c r="R84" s="50">
        <f t="array" ref="R84">INDEX($B$46:$B$68,MATCH(S84,$C$46:$C$68,0))*1000+T84</f>
        <v>1001006</v>
      </c>
      <c r="S84" s="51" t="s">
        <v>910</v>
      </c>
      <c r="T84" s="29">
        <v>6</v>
      </c>
      <c r="U84" s="25">
        <f t="array" ref="U84">INDEX(K$5:K$67,MATCH($S84,$B$5:$B$67,0))</f>
        <v>306.72</v>
      </c>
      <c r="V84" s="25">
        <f t="array" ref="V84">INDEX(L$5:L$67,MATCH($S84,$B$5:$B$67,0))</f>
        <v>112.64</v>
      </c>
      <c r="W84" s="25">
        <f t="array" ref="W84">INDEX(M$5:M$67,MATCH($S84,$B$5:$B$67,0))</f>
        <v>90.11</v>
      </c>
      <c r="X84" s="25">
        <f t="array" ref="X84">INDEX(N$5:N$67,MATCH($S84,$B$5:$B$67,0))</f>
        <v>68</v>
      </c>
      <c r="Y84" s="25">
        <f t="shared" si="4"/>
        <v>1840</v>
      </c>
      <c r="Z84" s="25">
        <f t="shared" si="5"/>
        <v>676</v>
      </c>
      <c r="AA84" s="25">
        <f t="shared" si="6"/>
        <v>541</v>
      </c>
      <c r="AB84" s="25">
        <f t="shared" si="7"/>
        <v>408</v>
      </c>
      <c r="AE84" s="1">
        <v>1006</v>
      </c>
      <c r="AF84" s="25">
        <v>6</v>
      </c>
      <c r="AG84" s="25">
        <f t="array" ref="AG84">INDEX($AE$79:$AE$116,QUOTIENT(AF84-1,8)+1)</f>
        <v>1001</v>
      </c>
      <c r="AH84" s="25">
        <v>6</v>
      </c>
      <c r="AI84" s="25">
        <f t="shared" si="8"/>
        <v>10016</v>
      </c>
      <c r="AJ84" s="25" t="str">
        <f t="shared" si="9"/>
        <v>主角</v>
      </c>
      <c r="AK84" s="25">
        <v>1</v>
      </c>
      <c r="AL84" s="25" t="str">
        <f t="array" ref="AL84">INDEX($O$5:$O$42,MATCH(AJ84,$B$5:$B$42,0))</f>
        <v>攻击百分比</v>
      </c>
      <c r="AM84" s="25" t="str">
        <f t="array" ref="AM84">INDEX($P$5:$P$42,MATCH(AJ84,$B$5:$B$42,0))</f>
        <v>暴击等级</v>
      </c>
      <c r="AN84" s="25" t="str">
        <f t="array" ref="AN84">INDEX($Q$5:$Q$42,MATCH(AJ84,$B$5:$B$42,0))</f>
        <v>暴击伤害等级</v>
      </c>
      <c r="AO84" s="25" t="str">
        <f t="array" ref="AO84">INDEX(AL84:AN84,0,AK84)</f>
        <v>攻击百分比</v>
      </c>
      <c r="AP84" s="25">
        <f t="shared" si="10"/>
        <v>0.15</v>
      </c>
      <c r="AQ84" s="25">
        <f t="shared" si="11"/>
        <v>0.15</v>
      </c>
      <c r="AR84" s="25" t="str">
        <f t="shared" ref="AR84:BZ84" si="29">IF(AR$78=$AO84,$AQ84,"0")</f>
        <v>0</v>
      </c>
      <c r="AS84" s="25" t="str">
        <f t="shared" si="29"/>
        <v>0</v>
      </c>
      <c r="AT84" s="25" t="str">
        <f t="shared" si="29"/>
        <v>0</v>
      </c>
      <c r="AU84" s="25">
        <f t="shared" si="29"/>
        <v>0.15</v>
      </c>
      <c r="AV84" s="25" t="str">
        <f t="shared" si="29"/>
        <v>0</v>
      </c>
      <c r="AW84" s="25">
        <f t="shared" si="29"/>
        <v>0.15</v>
      </c>
      <c r="AX84" s="25" t="str">
        <f t="shared" si="29"/>
        <v>0</v>
      </c>
      <c r="AY84" s="25" t="str">
        <f t="shared" si="29"/>
        <v>0</v>
      </c>
      <c r="AZ84" s="25" t="str">
        <f t="shared" si="29"/>
        <v>0</v>
      </c>
      <c r="BA84" s="25" t="str">
        <f t="shared" si="29"/>
        <v>0</v>
      </c>
      <c r="BB84" s="25" t="str">
        <f t="shared" si="29"/>
        <v>0</v>
      </c>
      <c r="BC84" s="25" t="str">
        <f t="shared" si="29"/>
        <v>0</v>
      </c>
      <c r="BD84" s="25" t="str">
        <f t="shared" si="29"/>
        <v>0</v>
      </c>
      <c r="BE84" s="25" t="str">
        <f t="shared" si="29"/>
        <v>0</v>
      </c>
      <c r="BF84" s="25" t="str">
        <f t="shared" si="29"/>
        <v>0</v>
      </c>
      <c r="BG84" s="25" t="str">
        <f t="shared" si="29"/>
        <v>0</v>
      </c>
      <c r="BH84" s="25" t="str">
        <f t="shared" si="29"/>
        <v>0</v>
      </c>
      <c r="BI84" s="25" t="str">
        <f t="shared" si="29"/>
        <v>0</v>
      </c>
      <c r="BJ84" s="25" t="str">
        <f t="shared" si="29"/>
        <v>0</v>
      </c>
      <c r="BK84" s="25" t="str">
        <f t="shared" si="29"/>
        <v>0</v>
      </c>
      <c r="BL84" s="25" t="str">
        <f t="shared" si="29"/>
        <v>0</v>
      </c>
      <c r="BM84" s="25" t="str">
        <f t="shared" si="29"/>
        <v>0</v>
      </c>
      <c r="BN84" s="25" t="str">
        <f t="shared" si="29"/>
        <v>0</v>
      </c>
      <c r="BO84" s="25" t="str">
        <f t="shared" si="29"/>
        <v>0</v>
      </c>
      <c r="BP84" s="25" t="str">
        <f t="shared" si="29"/>
        <v>0</v>
      </c>
      <c r="BQ84" s="25" t="str">
        <f t="shared" si="29"/>
        <v>0</v>
      </c>
      <c r="BR84" s="25" t="str">
        <f t="shared" si="29"/>
        <v>0</v>
      </c>
      <c r="BS84" s="25" t="str">
        <f t="shared" si="29"/>
        <v>0</v>
      </c>
      <c r="BT84" s="25" t="str">
        <f t="shared" si="29"/>
        <v>0</v>
      </c>
      <c r="BU84" s="25" t="str">
        <f t="shared" si="29"/>
        <v>0</v>
      </c>
      <c r="BV84" s="25" t="str">
        <f t="shared" si="29"/>
        <v>0</v>
      </c>
      <c r="BW84" s="25" t="str">
        <f t="shared" si="29"/>
        <v>0</v>
      </c>
      <c r="BX84" s="25" t="str">
        <f t="shared" si="29"/>
        <v>0</v>
      </c>
      <c r="BY84" s="25" t="str">
        <f t="shared" si="29"/>
        <v>0</v>
      </c>
      <c r="BZ84" s="25" t="str">
        <f t="shared" si="29"/>
        <v>0</v>
      </c>
      <c r="CC84" s="25" t="str">
        <f t="array" ref="CC84">INDEX($C$46:$C$74,MATCH(CD84,$B$46:$B$74,0))</f>
        <v>主角</v>
      </c>
      <c r="CD84" s="52">
        <v>1001</v>
      </c>
      <c r="CE84" s="1">
        <v>5</v>
      </c>
      <c r="CF84" s="25" t="str">
        <f t="array" ref="CF84">INDEX($T$5:$T$44,MATCH(CC84,$B$5:$B$44,0))</f>
        <v>物理</v>
      </c>
      <c r="CG84" s="25">
        <v>0.3</v>
      </c>
      <c r="CH84" s="25">
        <f t="shared" si="13"/>
        <v>1.3</v>
      </c>
      <c r="CI84" s="25">
        <f t="shared" si="14"/>
        <v>1.3</v>
      </c>
      <c r="CJ84" s="25">
        <f t="shared" si="15"/>
        <v>1</v>
      </c>
      <c r="CK84" s="25">
        <f t="shared" si="16"/>
        <v>1.3</v>
      </c>
      <c r="CL84" s="25" t="str">
        <f t="array" ref="CL84">INDEX($S$5:$S$43,MATCH(CC84,$B$5:$B$43,0))</f>
        <v>暴击伤害等级</v>
      </c>
      <c r="CM84" s="25">
        <f>角色升星!G20</f>
        <v>0.3</v>
      </c>
      <c r="CN84" s="25">
        <f t="shared" si="17"/>
        <v>3300</v>
      </c>
      <c r="CO84" s="25">
        <f t="shared" si="18"/>
        <v>1</v>
      </c>
      <c r="CP84" s="29" t="str">
        <f t="shared" ref="CP84:DQ84" si="30">IF($CL84=CP$78,$CN84,"0")</f>
        <v>0</v>
      </c>
      <c r="CQ84" s="29" t="str">
        <f t="shared" si="30"/>
        <v>0</v>
      </c>
      <c r="CR84" s="29" t="str">
        <f t="shared" si="30"/>
        <v>0</v>
      </c>
      <c r="CS84" s="29" t="str">
        <f t="shared" si="30"/>
        <v>0</v>
      </c>
      <c r="CT84" s="29" t="str">
        <f t="shared" si="30"/>
        <v>0</v>
      </c>
      <c r="CU84" s="29" t="str">
        <f t="shared" si="30"/>
        <v>0</v>
      </c>
      <c r="CV84" s="29" t="str">
        <f t="shared" si="30"/>
        <v>0</v>
      </c>
      <c r="CW84" s="29" t="str">
        <f t="shared" si="30"/>
        <v>0</v>
      </c>
      <c r="CX84" s="29" t="str">
        <f t="shared" si="30"/>
        <v>0</v>
      </c>
      <c r="CY84" s="29" t="str">
        <f t="shared" si="30"/>
        <v>0</v>
      </c>
      <c r="CZ84" s="29" t="str">
        <f t="shared" si="30"/>
        <v>0</v>
      </c>
      <c r="DA84" s="29" t="str">
        <f t="shared" si="30"/>
        <v>0</v>
      </c>
      <c r="DB84" s="29" t="str">
        <f t="shared" si="30"/>
        <v>0</v>
      </c>
      <c r="DC84" s="29" t="str">
        <f t="shared" si="30"/>
        <v>0</v>
      </c>
      <c r="DD84" s="29" t="str">
        <f t="shared" si="30"/>
        <v>0</v>
      </c>
      <c r="DE84" s="29" t="str">
        <f t="shared" si="30"/>
        <v>0</v>
      </c>
      <c r="DF84" s="29" t="str">
        <f t="shared" si="30"/>
        <v>0</v>
      </c>
      <c r="DG84" s="29" t="str">
        <f t="shared" si="30"/>
        <v>0</v>
      </c>
      <c r="DH84" s="29" t="str">
        <f t="shared" si="30"/>
        <v>0</v>
      </c>
      <c r="DI84" s="29" t="str">
        <f t="shared" si="30"/>
        <v>0</v>
      </c>
      <c r="DJ84" s="29" t="str">
        <f t="shared" si="30"/>
        <v>0</v>
      </c>
      <c r="DK84" s="29" t="str">
        <f t="shared" si="30"/>
        <v>0</v>
      </c>
      <c r="DL84" s="29" t="str">
        <f t="shared" si="30"/>
        <v>0</v>
      </c>
      <c r="DM84" s="29" t="str">
        <f t="shared" si="30"/>
        <v>0</v>
      </c>
      <c r="DN84" s="29" t="str">
        <f t="shared" si="30"/>
        <v>0</v>
      </c>
      <c r="DO84" s="29">
        <f t="shared" si="30"/>
        <v>3300</v>
      </c>
      <c r="DP84" s="29" t="str">
        <f t="shared" si="30"/>
        <v>0</v>
      </c>
      <c r="DQ84" s="29" t="str">
        <f t="shared" si="30"/>
        <v>0</v>
      </c>
      <c r="DR84" s="29"/>
      <c r="DS84" s="25" t="s">
        <v>1011</v>
      </c>
      <c r="DT84" s="25" t="str">
        <f>TEXT(角色升星!$F$18,"0%")</f>
        <v>15%</v>
      </c>
      <c r="DU84" s="25" t="s">
        <v>779</v>
      </c>
      <c r="DV84" s="25" t="str">
        <f>IF(CF84="物理","PhysicsAttack,+","MagicAttack,+")</f>
        <v>PhysicsAttack,+</v>
      </c>
      <c r="DW84" s="25" t="str">
        <f>TEXT(角色升星!$F$18,"0%")</f>
        <v>15%</v>
      </c>
      <c r="DX84" s="25" t="s">
        <v>779</v>
      </c>
      <c r="DY84" s="25" t="s">
        <v>1012</v>
      </c>
      <c r="DZ84" s="25" t="str">
        <f>TEXT(角色升星!$F$18,"0%")</f>
        <v>15%</v>
      </c>
      <c r="EA84" s="25" t="s">
        <v>779</v>
      </c>
      <c r="EB84" s="25" t="str">
        <f>VLOOKUP(CL84,$O$46:$P$73,2,0)</f>
        <v>CritDmgBonusLevel</v>
      </c>
      <c r="EC84" s="25" t="s">
        <v>1013</v>
      </c>
      <c r="ED84" s="25">
        <f>IF(CN84&gt;1,CN84,TEXT(CN84,"0%"))</f>
        <v>3300</v>
      </c>
      <c r="EE84" s="25" t="str">
        <f t="shared" si="20"/>
        <v>Hp,+15%;PhysicsAttack,+15%;Armor,+15%;CritDmgBonusLevel,+3300</v>
      </c>
    </row>
    <row r="85" spans="1:135">
      <c r="A85" s="48">
        <v>1001007</v>
      </c>
      <c r="B85" s="49" t="s">
        <v>910</v>
      </c>
      <c r="C85" s="25">
        <v>7</v>
      </c>
      <c r="D85" s="25">
        <f t="array" ref="D85">INDEX(C$5:C$67,MATCH($B85,$B$5:$B$67,0))</f>
        <v>3600</v>
      </c>
      <c r="E85" s="25">
        <f t="array" ref="E85">INDEX(D$5:D$67,MATCH($B85,$B$5:$B$67,0))</f>
        <v>288</v>
      </c>
      <c r="F85" s="25">
        <f t="array" ref="F85">INDEX(E$5:E$67,MATCH($B85,$B$5:$B$67,0))</f>
        <v>1320</v>
      </c>
      <c r="G85" s="25">
        <f t="array" ref="G85">INDEX(F$5:F$67,MATCH($B85,$B$5:$B$67,0))</f>
        <v>105.6</v>
      </c>
      <c r="H85" s="25">
        <f t="array" ref="H85">INDEX(G$5:G$66,MATCH($B85,$B$5:$B$67,0))</f>
        <v>1056</v>
      </c>
      <c r="I85" s="25">
        <f t="array" ref="I85">INDEX(H$5:H$67,MATCH($B85,$B$5:$B$67,0))</f>
        <v>84.48</v>
      </c>
      <c r="J85" s="25">
        <f t="array" ref="J85">INDEX(I$5:I$67,MATCH($B85,$B$5:$B$67,0))</f>
        <v>800</v>
      </c>
      <c r="K85" s="25">
        <f t="array" ref="K85">INDEX(J$5:J$67,MATCH($B85,$B$5:$B$67,0))</f>
        <v>64</v>
      </c>
      <c r="L85" s="25">
        <f t="shared" si="0"/>
        <v>5616</v>
      </c>
      <c r="M85" s="25">
        <f t="shared" si="1"/>
        <v>2059</v>
      </c>
      <c r="N85" s="25">
        <f t="shared" si="2"/>
        <v>1647</v>
      </c>
      <c r="O85" s="25">
        <f t="shared" si="3"/>
        <v>1248</v>
      </c>
      <c r="R85" s="50">
        <f t="array" ref="R85">INDEX($B$46:$B$68,MATCH(S85,$C$46:$C$68,0))*1000+T85</f>
        <v>1001007</v>
      </c>
      <c r="S85" s="51" t="s">
        <v>910</v>
      </c>
      <c r="T85" s="29">
        <v>7</v>
      </c>
      <c r="U85" s="25">
        <f t="array" ref="U85">INDEX(K$5:K$67,MATCH($S85,$B$5:$B$67,0))</f>
        <v>306.72</v>
      </c>
      <c r="V85" s="25">
        <f t="array" ref="V85">INDEX(L$5:L$67,MATCH($S85,$B$5:$B$67,0))</f>
        <v>112.64</v>
      </c>
      <c r="W85" s="25">
        <f t="array" ref="W85">INDEX(M$5:M$67,MATCH($S85,$B$5:$B$67,0))</f>
        <v>90.11</v>
      </c>
      <c r="X85" s="25">
        <f t="array" ref="X85">INDEX(N$5:N$67,MATCH($S85,$B$5:$B$67,0))</f>
        <v>68</v>
      </c>
      <c r="Y85" s="25">
        <f t="shared" si="4"/>
        <v>2147</v>
      </c>
      <c r="Z85" s="25">
        <f t="shared" si="5"/>
        <v>788</v>
      </c>
      <c r="AA85" s="25">
        <f t="shared" si="6"/>
        <v>631</v>
      </c>
      <c r="AB85" s="25">
        <f t="shared" si="7"/>
        <v>476</v>
      </c>
      <c r="AE85" s="1">
        <v>1007</v>
      </c>
      <c r="AF85" s="25">
        <v>7</v>
      </c>
      <c r="AG85" s="25">
        <f t="array" ref="AG85">INDEX($AE$79:$AE$116,QUOTIENT(AF85-1,8)+1)</f>
        <v>1001</v>
      </c>
      <c r="AH85" s="25">
        <v>7</v>
      </c>
      <c r="AI85" s="25">
        <f t="shared" si="8"/>
        <v>10017</v>
      </c>
      <c r="AJ85" s="25" t="str">
        <f t="shared" si="9"/>
        <v>主角</v>
      </c>
      <c r="AK85" s="25">
        <v>2</v>
      </c>
      <c r="AL85" s="25" t="str">
        <f t="array" ref="AL85">INDEX($O$5:$O$42,MATCH(AJ85,$B$5:$B$42,0))</f>
        <v>攻击百分比</v>
      </c>
      <c r="AM85" s="25" t="str">
        <f t="array" ref="AM85">INDEX($P$5:$P$42,MATCH(AJ85,$B$5:$B$42,0))</f>
        <v>暴击等级</v>
      </c>
      <c r="AN85" s="25" t="str">
        <f t="array" ref="AN85">INDEX($Q$5:$Q$42,MATCH(AJ85,$B$5:$B$42,0))</f>
        <v>暴击伤害等级</v>
      </c>
      <c r="AO85" s="25" t="str">
        <f t="array" ref="AO85">INDEX(AL85:AN85,0,AK85)</f>
        <v>暴击等级</v>
      </c>
      <c r="AP85" s="25">
        <f t="shared" si="10"/>
        <v>0.15</v>
      </c>
      <c r="AQ85" s="25">
        <f t="shared" si="11"/>
        <v>1350</v>
      </c>
      <c r="AR85" s="25" t="str">
        <f t="shared" ref="AR85:BZ85" si="31">IF(AR$78=$AO85,$AQ85,"0")</f>
        <v>0</v>
      </c>
      <c r="AS85" s="25" t="str">
        <f t="shared" si="31"/>
        <v>0</v>
      </c>
      <c r="AT85" s="25" t="str">
        <f t="shared" si="31"/>
        <v>0</v>
      </c>
      <c r="AU85" s="25" t="str">
        <f t="shared" si="31"/>
        <v>0</v>
      </c>
      <c r="AV85" s="25" t="str">
        <f t="shared" si="31"/>
        <v>0</v>
      </c>
      <c r="AW85" s="25" t="str">
        <f t="shared" si="31"/>
        <v>0</v>
      </c>
      <c r="AX85" s="25" t="str">
        <f t="shared" si="31"/>
        <v>0</v>
      </c>
      <c r="AY85" s="25" t="str">
        <f t="shared" si="31"/>
        <v>0</v>
      </c>
      <c r="AZ85" s="25" t="str">
        <f t="shared" si="31"/>
        <v>0</v>
      </c>
      <c r="BA85" s="25" t="str">
        <f t="shared" si="31"/>
        <v>0</v>
      </c>
      <c r="BB85" s="25" t="str">
        <f t="shared" si="31"/>
        <v>0</v>
      </c>
      <c r="BC85" s="25" t="str">
        <f t="shared" si="31"/>
        <v>0</v>
      </c>
      <c r="BD85" s="25" t="str">
        <f t="shared" si="31"/>
        <v>0</v>
      </c>
      <c r="BE85" s="25" t="str">
        <f t="shared" si="31"/>
        <v>0</v>
      </c>
      <c r="BF85" s="25" t="str">
        <f t="shared" si="31"/>
        <v>0</v>
      </c>
      <c r="BG85" s="25" t="str">
        <f t="shared" si="31"/>
        <v>0</v>
      </c>
      <c r="BH85" s="25" t="str">
        <f t="shared" si="31"/>
        <v>0</v>
      </c>
      <c r="BI85" s="25" t="str">
        <f t="shared" si="31"/>
        <v>0</v>
      </c>
      <c r="BJ85" s="25" t="str">
        <f t="shared" si="31"/>
        <v>0</v>
      </c>
      <c r="BK85" s="25" t="str">
        <f t="shared" si="31"/>
        <v>0</v>
      </c>
      <c r="BL85" s="25" t="str">
        <f t="shared" si="31"/>
        <v>0</v>
      </c>
      <c r="BM85" s="25" t="str">
        <f t="shared" si="31"/>
        <v>0</v>
      </c>
      <c r="BN85" s="25" t="str">
        <f t="shared" si="31"/>
        <v>0</v>
      </c>
      <c r="BO85" s="25" t="str">
        <f t="shared" si="31"/>
        <v>0</v>
      </c>
      <c r="BP85" s="25" t="str">
        <f t="shared" si="31"/>
        <v>0</v>
      </c>
      <c r="BQ85" s="25" t="str">
        <f t="shared" si="31"/>
        <v>0</v>
      </c>
      <c r="BR85" s="25" t="str">
        <f t="shared" si="31"/>
        <v>0</v>
      </c>
      <c r="BS85" s="25" t="str">
        <f t="shared" si="31"/>
        <v>0</v>
      </c>
      <c r="BT85" s="25" t="str">
        <f t="shared" si="31"/>
        <v>0</v>
      </c>
      <c r="BU85" s="25" t="str">
        <f t="shared" si="31"/>
        <v>0</v>
      </c>
      <c r="BV85" s="25" t="str">
        <f t="shared" si="31"/>
        <v>0</v>
      </c>
      <c r="BW85" s="25">
        <f t="shared" si="31"/>
        <v>1350</v>
      </c>
      <c r="BX85" s="25" t="str">
        <f t="shared" si="31"/>
        <v>0</v>
      </c>
      <c r="BY85" s="25" t="str">
        <f t="shared" si="31"/>
        <v>0</v>
      </c>
      <c r="BZ85" s="25" t="str">
        <f t="shared" si="31"/>
        <v>0</v>
      </c>
      <c r="CC85" s="25" t="str">
        <f t="array" ref="CC85">INDEX($C$46:$C$74,MATCH(CD85,$B$46:$B$74,0))</f>
        <v>主角</v>
      </c>
      <c r="CD85" s="52">
        <v>1001</v>
      </c>
      <c r="CE85" s="1">
        <v>6</v>
      </c>
      <c r="CF85" s="25" t="str">
        <f t="array" ref="CF85">INDEX($T$5:$T$44,MATCH(CC85,$B$5:$B$44,0))</f>
        <v>物理</v>
      </c>
      <c r="CG85" s="25">
        <v>0.3</v>
      </c>
      <c r="CH85" s="25">
        <f t="shared" si="13"/>
        <v>1.3</v>
      </c>
      <c r="CI85" s="25">
        <f t="shared" si="14"/>
        <v>1.3</v>
      </c>
      <c r="CJ85" s="25">
        <f t="shared" si="15"/>
        <v>1</v>
      </c>
      <c r="CK85" s="25">
        <f t="shared" si="16"/>
        <v>1.3</v>
      </c>
      <c r="CL85" s="25">
        <v>0</v>
      </c>
      <c r="CM85" s="25">
        <v>0</v>
      </c>
      <c r="CN85" s="25">
        <f t="shared" si="17"/>
        <v>0</v>
      </c>
      <c r="CO85" s="25">
        <f t="shared" si="18"/>
        <v>0</v>
      </c>
      <c r="CP85" s="29" t="str">
        <f t="shared" ref="CP85:DQ85" si="32">IF($CL85=CP$78,$CN85,"0")</f>
        <v>0</v>
      </c>
      <c r="CQ85" s="29" t="str">
        <f t="shared" si="32"/>
        <v>0</v>
      </c>
      <c r="CR85" s="29" t="str">
        <f t="shared" si="32"/>
        <v>0</v>
      </c>
      <c r="CS85" s="29" t="str">
        <f t="shared" si="32"/>
        <v>0</v>
      </c>
      <c r="CT85" s="29" t="str">
        <f t="shared" si="32"/>
        <v>0</v>
      </c>
      <c r="CU85" s="29" t="str">
        <f t="shared" si="32"/>
        <v>0</v>
      </c>
      <c r="CV85" s="29" t="str">
        <f t="shared" si="32"/>
        <v>0</v>
      </c>
      <c r="CW85" s="29" t="str">
        <f t="shared" si="32"/>
        <v>0</v>
      </c>
      <c r="CX85" s="29" t="str">
        <f t="shared" si="32"/>
        <v>0</v>
      </c>
      <c r="CY85" s="29" t="str">
        <f t="shared" si="32"/>
        <v>0</v>
      </c>
      <c r="CZ85" s="29" t="str">
        <f t="shared" si="32"/>
        <v>0</v>
      </c>
      <c r="DA85" s="29" t="str">
        <f t="shared" si="32"/>
        <v>0</v>
      </c>
      <c r="DB85" s="29" t="str">
        <f t="shared" si="32"/>
        <v>0</v>
      </c>
      <c r="DC85" s="29" t="str">
        <f t="shared" si="32"/>
        <v>0</v>
      </c>
      <c r="DD85" s="29" t="str">
        <f t="shared" si="32"/>
        <v>0</v>
      </c>
      <c r="DE85" s="29" t="str">
        <f t="shared" si="32"/>
        <v>0</v>
      </c>
      <c r="DF85" s="29" t="str">
        <f t="shared" si="32"/>
        <v>0</v>
      </c>
      <c r="DG85" s="29" t="str">
        <f t="shared" si="32"/>
        <v>0</v>
      </c>
      <c r="DH85" s="29" t="str">
        <f t="shared" si="32"/>
        <v>0</v>
      </c>
      <c r="DI85" s="29" t="str">
        <f t="shared" si="32"/>
        <v>0</v>
      </c>
      <c r="DJ85" s="29" t="str">
        <f t="shared" si="32"/>
        <v>0</v>
      </c>
      <c r="DK85" s="29" t="str">
        <f t="shared" si="32"/>
        <v>0</v>
      </c>
      <c r="DL85" s="29" t="str">
        <f t="shared" si="32"/>
        <v>0</v>
      </c>
      <c r="DM85" s="29" t="str">
        <f t="shared" si="32"/>
        <v>0</v>
      </c>
      <c r="DN85" s="29" t="str">
        <f t="shared" si="32"/>
        <v>0</v>
      </c>
      <c r="DO85" s="29" t="str">
        <f t="shared" si="32"/>
        <v>0</v>
      </c>
      <c r="DP85" s="29" t="str">
        <f t="shared" si="32"/>
        <v>0</v>
      </c>
      <c r="DQ85" s="29" t="str">
        <f t="shared" si="32"/>
        <v>0</v>
      </c>
      <c r="DR85" s="29"/>
      <c r="DS85" s="25">
        <v>0</v>
      </c>
      <c r="EE85" s="25" t="str">
        <f t="shared" si="20"/>
        <v>0</v>
      </c>
    </row>
    <row r="86" spans="1:135">
      <c r="A86" s="48">
        <v>1001008</v>
      </c>
      <c r="B86" s="49" t="s">
        <v>910</v>
      </c>
      <c r="C86" s="25">
        <v>8</v>
      </c>
      <c r="D86" s="25">
        <f t="array" ref="D86">INDEX(C$5:C$67,MATCH($B86,$B$5:$B$67,0))</f>
        <v>3600</v>
      </c>
      <c r="E86" s="25">
        <f t="array" ref="E86">INDEX(D$5:D$67,MATCH($B86,$B$5:$B$67,0))</f>
        <v>288</v>
      </c>
      <c r="F86" s="25">
        <f t="array" ref="F86">INDEX(E$5:E$67,MATCH($B86,$B$5:$B$67,0))</f>
        <v>1320</v>
      </c>
      <c r="G86" s="25">
        <f t="array" ref="G86">INDEX(F$5:F$67,MATCH($B86,$B$5:$B$67,0))</f>
        <v>105.6</v>
      </c>
      <c r="H86" s="25">
        <f t="array" ref="H86">INDEX(G$5:G$66,MATCH($B86,$B$5:$B$67,0))</f>
        <v>1056</v>
      </c>
      <c r="I86" s="25">
        <f t="array" ref="I86">INDEX(H$5:H$67,MATCH($B86,$B$5:$B$67,0))</f>
        <v>84.48</v>
      </c>
      <c r="J86" s="25">
        <f t="array" ref="J86">INDEX(I$5:I$67,MATCH($B86,$B$5:$B$67,0))</f>
        <v>800</v>
      </c>
      <c r="K86" s="25">
        <f t="array" ref="K86">INDEX(J$5:J$67,MATCH($B86,$B$5:$B$67,0))</f>
        <v>64</v>
      </c>
      <c r="L86" s="25">
        <f t="shared" si="0"/>
        <v>5904</v>
      </c>
      <c r="M86" s="25">
        <f t="shared" si="1"/>
        <v>2165</v>
      </c>
      <c r="N86" s="25">
        <f t="shared" si="2"/>
        <v>1732</v>
      </c>
      <c r="O86" s="25">
        <f t="shared" si="3"/>
        <v>1312</v>
      </c>
      <c r="R86" s="50">
        <f t="array" ref="R86">INDEX($B$46:$B$68,MATCH(S86,$C$46:$C$68,0))*1000+T86</f>
        <v>1001008</v>
      </c>
      <c r="S86" s="51" t="s">
        <v>910</v>
      </c>
      <c r="T86" s="29">
        <v>8</v>
      </c>
      <c r="U86" s="25">
        <f t="array" ref="U86">INDEX(K$5:K$67,MATCH($S86,$B$5:$B$67,0))</f>
        <v>306.72</v>
      </c>
      <c r="V86" s="25">
        <f t="array" ref="V86">INDEX(L$5:L$67,MATCH($S86,$B$5:$B$67,0))</f>
        <v>112.64</v>
      </c>
      <c r="W86" s="25">
        <f t="array" ref="W86">INDEX(M$5:M$67,MATCH($S86,$B$5:$B$67,0))</f>
        <v>90.11</v>
      </c>
      <c r="X86" s="25">
        <f t="array" ref="X86">INDEX(N$5:N$67,MATCH($S86,$B$5:$B$67,0))</f>
        <v>68</v>
      </c>
      <c r="Y86" s="25">
        <f t="shared" si="4"/>
        <v>2454</v>
      </c>
      <c r="Z86" s="25">
        <f t="shared" si="5"/>
        <v>901</v>
      </c>
      <c r="AA86" s="25">
        <f t="shared" si="6"/>
        <v>721</v>
      </c>
      <c r="AB86" s="25">
        <f t="shared" si="7"/>
        <v>544</v>
      </c>
      <c r="AE86" s="1">
        <v>1008</v>
      </c>
      <c r="AF86" s="25">
        <v>8</v>
      </c>
      <c r="AG86" s="25">
        <f t="array" ref="AG86">INDEX($AE$79:$AE$116,QUOTIENT(AF86-1,8)+1)</f>
        <v>1001</v>
      </c>
      <c r="AH86" s="25">
        <v>8</v>
      </c>
      <c r="AI86" s="25">
        <f t="shared" si="8"/>
        <v>10018</v>
      </c>
      <c r="AJ86" s="25" t="str">
        <f t="shared" si="9"/>
        <v>主角</v>
      </c>
      <c r="AK86" s="25">
        <v>3</v>
      </c>
      <c r="AL86" s="25" t="str">
        <f t="array" ref="AL86">INDEX($O$5:$O$42,MATCH(AJ86,$B$5:$B$42,0))</f>
        <v>攻击百分比</v>
      </c>
      <c r="AM86" s="25" t="str">
        <f t="array" ref="AM86">INDEX($P$5:$P$42,MATCH(AJ86,$B$5:$B$42,0))</f>
        <v>暴击等级</v>
      </c>
      <c r="AN86" s="25" t="str">
        <f t="array" ref="AN86">INDEX($Q$5:$Q$42,MATCH(AJ86,$B$5:$B$42,0))</f>
        <v>暴击伤害等级</v>
      </c>
      <c r="AO86" s="25" t="str">
        <f t="array" ref="AO86">INDEX(AL86:AN86,0,AK86)</f>
        <v>暴击伤害等级</v>
      </c>
      <c r="AP86" s="25">
        <f t="shared" si="10"/>
        <v>0.15</v>
      </c>
      <c r="AQ86" s="25">
        <f t="shared" si="11"/>
        <v>1650</v>
      </c>
      <c r="AR86" s="25" t="str">
        <f t="shared" ref="AR86:BZ86" si="33">IF(AR$78=$AO86,$AQ86,"0")</f>
        <v>0</v>
      </c>
      <c r="AS86" s="25" t="str">
        <f t="shared" si="33"/>
        <v>0</v>
      </c>
      <c r="AT86" s="25" t="str">
        <f t="shared" si="33"/>
        <v>0</v>
      </c>
      <c r="AU86" s="25" t="str">
        <f t="shared" si="33"/>
        <v>0</v>
      </c>
      <c r="AV86" s="25" t="str">
        <f t="shared" si="33"/>
        <v>0</v>
      </c>
      <c r="AW86" s="25" t="str">
        <f t="shared" si="33"/>
        <v>0</v>
      </c>
      <c r="AX86" s="25" t="str">
        <f t="shared" si="33"/>
        <v>0</v>
      </c>
      <c r="AY86" s="25" t="str">
        <f t="shared" si="33"/>
        <v>0</v>
      </c>
      <c r="AZ86" s="25" t="str">
        <f t="shared" si="33"/>
        <v>0</v>
      </c>
      <c r="BA86" s="25" t="str">
        <f t="shared" si="33"/>
        <v>0</v>
      </c>
      <c r="BB86" s="25" t="str">
        <f t="shared" si="33"/>
        <v>0</v>
      </c>
      <c r="BC86" s="25" t="str">
        <f t="shared" si="33"/>
        <v>0</v>
      </c>
      <c r="BD86" s="25" t="str">
        <f t="shared" si="33"/>
        <v>0</v>
      </c>
      <c r="BE86" s="25" t="str">
        <f t="shared" si="33"/>
        <v>0</v>
      </c>
      <c r="BF86" s="25" t="str">
        <f t="shared" si="33"/>
        <v>0</v>
      </c>
      <c r="BG86" s="25" t="str">
        <f t="shared" si="33"/>
        <v>0</v>
      </c>
      <c r="BH86" s="25" t="str">
        <f t="shared" si="33"/>
        <v>0</v>
      </c>
      <c r="BI86" s="25" t="str">
        <f t="shared" si="33"/>
        <v>0</v>
      </c>
      <c r="BJ86" s="25" t="str">
        <f t="shared" si="33"/>
        <v>0</v>
      </c>
      <c r="BK86" s="25" t="str">
        <f t="shared" si="33"/>
        <v>0</v>
      </c>
      <c r="BL86" s="25" t="str">
        <f t="shared" si="33"/>
        <v>0</v>
      </c>
      <c r="BM86" s="25" t="str">
        <f t="shared" si="33"/>
        <v>0</v>
      </c>
      <c r="BN86" s="25" t="str">
        <f t="shared" si="33"/>
        <v>0</v>
      </c>
      <c r="BO86" s="25" t="str">
        <f t="shared" si="33"/>
        <v>0</v>
      </c>
      <c r="BP86" s="25" t="str">
        <f t="shared" si="33"/>
        <v>0</v>
      </c>
      <c r="BQ86" s="25" t="str">
        <f t="shared" si="33"/>
        <v>0</v>
      </c>
      <c r="BR86" s="25" t="str">
        <f t="shared" si="33"/>
        <v>0</v>
      </c>
      <c r="BS86" s="25" t="str">
        <f t="shared" si="33"/>
        <v>0</v>
      </c>
      <c r="BT86" s="25" t="str">
        <f t="shared" si="33"/>
        <v>0</v>
      </c>
      <c r="BU86" s="25" t="str">
        <f t="shared" si="33"/>
        <v>0</v>
      </c>
      <c r="BV86" s="25" t="str">
        <f t="shared" si="33"/>
        <v>0</v>
      </c>
      <c r="BW86" s="25" t="str">
        <f t="shared" si="33"/>
        <v>0</v>
      </c>
      <c r="BX86" s="25">
        <f t="shared" si="33"/>
        <v>1650</v>
      </c>
      <c r="BY86" s="25" t="str">
        <f t="shared" si="33"/>
        <v>0</v>
      </c>
      <c r="BZ86" s="25" t="str">
        <f t="shared" si="33"/>
        <v>0</v>
      </c>
      <c r="CC86" s="25" t="str">
        <f t="array" ref="CC86">INDEX($C$46:$C$74,MATCH(CD86,$B$46:$B$74,0))</f>
        <v>大暑</v>
      </c>
      <c r="CD86" s="1">
        <v>1002</v>
      </c>
      <c r="CE86" s="1">
        <v>0</v>
      </c>
      <c r="CF86" s="25" t="str">
        <f t="array" ref="CF86">INDEX($T$5:$T$44,MATCH(CC86,$B$5:$B$44,0))</f>
        <v>物理</v>
      </c>
      <c r="CG86" s="25">
        <f t="shared" ref="CG86:CG149" si="34">CG79</f>
        <v>0</v>
      </c>
      <c r="CH86" s="25">
        <f t="shared" si="13"/>
        <v>1</v>
      </c>
      <c r="CI86" s="25">
        <f t="shared" si="14"/>
        <v>1</v>
      </c>
      <c r="CJ86" s="25">
        <f t="shared" si="15"/>
        <v>1</v>
      </c>
      <c r="CK86" s="25">
        <f t="shared" si="16"/>
        <v>1</v>
      </c>
      <c r="CL86" s="25">
        <v>0</v>
      </c>
      <c r="CM86" s="25">
        <f t="shared" ref="CM86:CM149" si="35">CM79</f>
        <v>0</v>
      </c>
      <c r="CN86" s="25">
        <f t="shared" si="17"/>
        <v>0</v>
      </c>
      <c r="CO86" s="25">
        <f t="shared" si="18"/>
        <v>0</v>
      </c>
      <c r="CP86" s="29" t="str">
        <f t="shared" ref="CP86:DQ86" si="36">IF($CL86=CP$78,$CN86,"0")</f>
        <v>0</v>
      </c>
      <c r="CQ86" s="29" t="str">
        <f t="shared" si="36"/>
        <v>0</v>
      </c>
      <c r="CR86" s="29" t="str">
        <f t="shared" si="36"/>
        <v>0</v>
      </c>
      <c r="CS86" s="29" t="str">
        <f t="shared" si="36"/>
        <v>0</v>
      </c>
      <c r="CT86" s="29" t="str">
        <f t="shared" si="36"/>
        <v>0</v>
      </c>
      <c r="CU86" s="29" t="str">
        <f t="shared" si="36"/>
        <v>0</v>
      </c>
      <c r="CV86" s="29" t="str">
        <f t="shared" si="36"/>
        <v>0</v>
      </c>
      <c r="CW86" s="29" t="str">
        <f t="shared" si="36"/>
        <v>0</v>
      </c>
      <c r="CX86" s="29" t="str">
        <f t="shared" si="36"/>
        <v>0</v>
      </c>
      <c r="CY86" s="29" t="str">
        <f t="shared" si="36"/>
        <v>0</v>
      </c>
      <c r="CZ86" s="29" t="str">
        <f t="shared" si="36"/>
        <v>0</v>
      </c>
      <c r="DA86" s="29" t="str">
        <f t="shared" si="36"/>
        <v>0</v>
      </c>
      <c r="DB86" s="29" t="str">
        <f t="shared" si="36"/>
        <v>0</v>
      </c>
      <c r="DC86" s="29" t="str">
        <f t="shared" si="36"/>
        <v>0</v>
      </c>
      <c r="DD86" s="29" t="str">
        <f t="shared" si="36"/>
        <v>0</v>
      </c>
      <c r="DE86" s="29" t="str">
        <f t="shared" si="36"/>
        <v>0</v>
      </c>
      <c r="DF86" s="29" t="str">
        <f t="shared" si="36"/>
        <v>0</v>
      </c>
      <c r="DG86" s="29" t="str">
        <f t="shared" si="36"/>
        <v>0</v>
      </c>
      <c r="DH86" s="29" t="str">
        <f t="shared" si="36"/>
        <v>0</v>
      </c>
      <c r="DI86" s="29" t="str">
        <f t="shared" si="36"/>
        <v>0</v>
      </c>
      <c r="DJ86" s="29" t="str">
        <f t="shared" si="36"/>
        <v>0</v>
      </c>
      <c r="DK86" s="29" t="str">
        <f t="shared" si="36"/>
        <v>0</v>
      </c>
      <c r="DL86" s="29" t="str">
        <f t="shared" si="36"/>
        <v>0</v>
      </c>
      <c r="DM86" s="29" t="str">
        <f t="shared" si="36"/>
        <v>0</v>
      </c>
      <c r="DN86" s="29" t="str">
        <f t="shared" si="36"/>
        <v>0</v>
      </c>
      <c r="DO86" s="29" t="str">
        <f t="shared" si="36"/>
        <v>0</v>
      </c>
      <c r="DP86" s="29" t="str">
        <f t="shared" si="36"/>
        <v>0</v>
      </c>
      <c r="DQ86" s="29" t="str">
        <f t="shared" si="36"/>
        <v>0</v>
      </c>
      <c r="DR86" s="29"/>
      <c r="DS86" s="25">
        <v>0</v>
      </c>
      <c r="EE86" s="25" t="str">
        <f t="shared" si="20"/>
        <v>0</v>
      </c>
    </row>
    <row r="87" spans="1:135">
      <c r="A87" s="48">
        <v>1001009</v>
      </c>
      <c r="B87" s="49" t="s">
        <v>910</v>
      </c>
      <c r="C87" s="25">
        <v>9</v>
      </c>
      <c r="D87" s="25">
        <f t="array" ref="D87">INDEX(C$5:C$67,MATCH($B87,$B$5:$B$67,0))</f>
        <v>3600</v>
      </c>
      <c r="E87" s="25">
        <f t="array" ref="E87">INDEX(D$5:D$67,MATCH($B87,$B$5:$B$67,0))</f>
        <v>288</v>
      </c>
      <c r="F87" s="25">
        <f t="array" ref="F87">INDEX(E$5:E$67,MATCH($B87,$B$5:$B$67,0))</f>
        <v>1320</v>
      </c>
      <c r="G87" s="25">
        <f t="array" ref="G87">INDEX(F$5:F$67,MATCH($B87,$B$5:$B$67,0))</f>
        <v>105.6</v>
      </c>
      <c r="H87" s="25">
        <f t="array" ref="H87">INDEX(G$5:G$66,MATCH($B87,$B$5:$B$67,0))</f>
        <v>1056</v>
      </c>
      <c r="I87" s="25">
        <f t="array" ref="I87">INDEX(H$5:H$67,MATCH($B87,$B$5:$B$67,0))</f>
        <v>84.48</v>
      </c>
      <c r="J87" s="25">
        <f t="array" ref="J87">INDEX(I$5:I$67,MATCH($B87,$B$5:$B$67,0))</f>
        <v>800</v>
      </c>
      <c r="K87" s="25">
        <f t="array" ref="K87">INDEX(J$5:J$67,MATCH($B87,$B$5:$B$67,0))</f>
        <v>64</v>
      </c>
      <c r="L87" s="25">
        <f t="shared" si="0"/>
        <v>6192</v>
      </c>
      <c r="M87" s="25">
        <f t="shared" si="1"/>
        <v>2270</v>
      </c>
      <c r="N87" s="25">
        <f t="shared" si="2"/>
        <v>1816</v>
      </c>
      <c r="O87" s="25">
        <f t="shared" si="3"/>
        <v>1376</v>
      </c>
      <c r="R87" s="50">
        <f t="array" ref="R87">INDEX($B$46:$B$68,MATCH(S87,$C$46:$C$68,0))*1000+T87</f>
        <v>1001009</v>
      </c>
      <c r="S87" s="51" t="s">
        <v>910</v>
      </c>
      <c r="T87" s="29">
        <v>9</v>
      </c>
      <c r="U87" s="25">
        <f t="array" ref="U87">INDEX(K$5:K$67,MATCH($S87,$B$5:$B$67,0))</f>
        <v>306.72</v>
      </c>
      <c r="V87" s="25">
        <f t="array" ref="V87">INDEX(L$5:L$67,MATCH($S87,$B$5:$B$67,0))</f>
        <v>112.64</v>
      </c>
      <c r="W87" s="25">
        <f t="array" ref="W87">INDEX(M$5:M$67,MATCH($S87,$B$5:$B$67,0))</f>
        <v>90.11</v>
      </c>
      <c r="X87" s="25">
        <f t="array" ref="X87">INDEX(N$5:N$67,MATCH($S87,$B$5:$B$67,0))</f>
        <v>68</v>
      </c>
      <c r="Y87" s="25">
        <f t="shared" si="4"/>
        <v>2760</v>
      </c>
      <c r="Z87" s="25">
        <f t="shared" si="5"/>
        <v>1014</v>
      </c>
      <c r="AA87" s="25">
        <f t="shared" si="6"/>
        <v>811</v>
      </c>
      <c r="AB87" s="25">
        <f t="shared" si="7"/>
        <v>612</v>
      </c>
      <c r="AE87" s="5">
        <v>1009</v>
      </c>
      <c r="AF87" s="25">
        <v>9</v>
      </c>
      <c r="AG87" s="25">
        <f t="array" ref="AG87">INDEX($AE$79:$AE$116,QUOTIENT(AF87-1,8)+1)</f>
        <v>1002</v>
      </c>
      <c r="AH87" s="25">
        <f t="shared" ref="AH87:AH150" si="37">AH79</f>
        <v>1</v>
      </c>
      <c r="AI87" s="25">
        <f t="shared" si="8"/>
        <v>10021</v>
      </c>
      <c r="AJ87" s="25" t="str">
        <f t="shared" si="9"/>
        <v>大暑</v>
      </c>
      <c r="AK87" s="25">
        <f t="shared" ref="AK87:AK150" si="38">AK79</f>
        <v>1</v>
      </c>
      <c r="AL87" s="25" t="str">
        <f t="array" ref="AL87">INDEX($O$5:$O$42,MATCH(AJ87,$B$5:$B$42,0))</f>
        <v>防御百分比</v>
      </c>
      <c r="AM87" s="25" t="str">
        <f t="array" ref="AM87">INDEX($P$5:$P$42,MATCH(AJ87,$B$5:$B$42,0))</f>
        <v>生命值百分比</v>
      </c>
      <c r="AN87" s="25" t="str">
        <f t="array" ref="AN87">INDEX($Q$5:$Q$42,MATCH(AJ87,$B$5:$B$42,0))</f>
        <v>技能冷却等级</v>
      </c>
      <c r="AO87" s="25" t="str">
        <f t="array" ref="AO87">INDEX(AL87:AN87,0,AK87)</f>
        <v>防御百分比</v>
      </c>
      <c r="AP87" s="25">
        <f t="shared" ref="AP87:AP120" si="39">AP79</f>
        <v>0.15</v>
      </c>
      <c r="AQ87" s="25">
        <f t="shared" si="11"/>
        <v>0.15</v>
      </c>
      <c r="AR87" s="25" t="str">
        <f t="shared" ref="AR87:BZ87" si="40">IF(AR$78=$AO87,$AQ87,"0")</f>
        <v>0</v>
      </c>
      <c r="AS87" s="25" t="str">
        <f t="shared" si="40"/>
        <v>0</v>
      </c>
      <c r="AT87" s="25" t="str">
        <f t="shared" si="40"/>
        <v>0</v>
      </c>
      <c r="AU87" s="25" t="str">
        <f t="shared" si="40"/>
        <v>0</v>
      </c>
      <c r="AV87" s="25" t="str">
        <f t="shared" si="40"/>
        <v>0</v>
      </c>
      <c r="AW87" s="25" t="str">
        <f t="shared" si="40"/>
        <v>0</v>
      </c>
      <c r="AX87" s="25" t="str">
        <f t="shared" si="40"/>
        <v>0</v>
      </c>
      <c r="AY87" s="25">
        <f t="shared" si="40"/>
        <v>0.15</v>
      </c>
      <c r="AZ87" s="25" t="str">
        <f t="shared" si="40"/>
        <v>0</v>
      </c>
      <c r="BA87" s="25" t="str">
        <f t="shared" si="40"/>
        <v>0</v>
      </c>
      <c r="BB87" s="25" t="str">
        <f t="shared" si="40"/>
        <v>0</v>
      </c>
      <c r="BC87" s="25" t="str">
        <f t="shared" si="40"/>
        <v>0</v>
      </c>
      <c r="BD87" s="25" t="str">
        <f t="shared" si="40"/>
        <v>0</v>
      </c>
      <c r="BE87" s="25" t="str">
        <f t="shared" si="40"/>
        <v>0</v>
      </c>
      <c r="BF87" s="25" t="str">
        <f t="shared" si="40"/>
        <v>0</v>
      </c>
      <c r="BG87" s="25" t="str">
        <f t="shared" si="40"/>
        <v>0</v>
      </c>
      <c r="BH87" s="25" t="str">
        <f t="shared" si="40"/>
        <v>0</v>
      </c>
      <c r="BI87" s="25" t="str">
        <f t="shared" si="40"/>
        <v>0</v>
      </c>
      <c r="BJ87" s="25" t="str">
        <f t="shared" si="40"/>
        <v>0</v>
      </c>
      <c r="BK87" s="25" t="str">
        <f t="shared" si="40"/>
        <v>0</v>
      </c>
      <c r="BL87" s="25" t="str">
        <f t="shared" si="40"/>
        <v>0</v>
      </c>
      <c r="BM87" s="25" t="str">
        <f t="shared" si="40"/>
        <v>0</v>
      </c>
      <c r="BN87" s="25" t="str">
        <f t="shared" si="40"/>
        <v>0</v>
      </c>
      <c r="BO87" s="25" t="str">
        <f t="shared" si="40"/>
        <v>0</v>
      </c>
      <c r="BP87" s="25" t="str">
        <f t="shared" si="40"/>
        <v>0</v>
      </c>
      <c r="BQ87" s="25" t="str">
        <f t="shared" si="40"/>
        <v>0</v>
      </c>
      <c r="BR87" s="25" t="str">
        <f t="shared" si="40"/>
        <v>0</v>
      </c>
      <c r="BS87" s="25" t="str">
        <f t="shared" si="40"/>
        <v>0</v>
      </c>
      <c r="BT87" s="25" t="str">
        <f t="shared" si="40"/>
        <v>0</v>
      </c>
      <c r="BU87" s="25" t="str">
        <f t="shared" si="40"/>
        <v>0</v>
      </c>
      <c r="BV87" s="25" t="str">
        <f t="shared" si="40"/>
        <v>0</v>
      </c>
      <c r="BW87" s="25" t="str">
        <f t="shared" si="40"/>
        <v>0</v>
      </c>
      <c r="BX87" s="25" t="str">
        <f t="shared" si="40"/>
        <v>0</v>
      </c>
      <c r="BY87" s="25" t="str">
        <f t="shared" si="40"/>
        <v>0</v>
      </c>
      <c r="BZ87" s="25" t="str">
        <f t="shared" si="40"/>
        <v>0</v>
      </c>
      <c r="CC87" s="25" t="str">
        <f t="array" ref="CC87">INDEX($C$46:$C$74,MATCH(CD87,$B$46:$B$74,0))</f>
        <v>大暑</v>
      </c>
      <c r="CD87" s="1">
        <v>1002</v>
      </c>
      <c r="CE87" s="1">
        <v>1</v>
      </c>
      <c r="CF87" s="25" t="str">
        <f t="array" ref="CF87">INDEX($T$5:$T$44,MATCH(CC87,$B$5:$B$44,0))</f>
        <v>物理</v>
      </c>
      <c r="CG87" s="25">
        <f t="shared" si="34"/>
        <v>0</v>
      </c>
      <c r="CH87" s="25">
        <f t="shared" si="13"/>
        <v>1</v>
      </c>
      <c r="CI87" s="25">
        <f t="shared" si="14"/>
        <v>1</v>
      </c>
      <c r="CJ87" s="25">
        <f t="shared" si="15"/>
        <v>1</v>
      </c>
      <c r="CK87" s="25">
        <f t="shared" si="16"/>
        <v>1</v>
      </c>
      <c r="CL87" s="25">
        <v>0</v>
      </c>
      <c r="CM87" s="25">
        <f t="shared" si="35"/>
        <v>0</v>
      </c>
      <c r="CN87" s="25">
        <f t="shared" si="17"/>
        <v>0</v>
      </c>
      <c r="CO87" s="25">
        <f t="shared" si="18"/>
        <v>0</v>
      </c>
      <c r="CP87" s="29" t="str">
        <f t="shared" ref="CP87:DQ87" si="41">IF($CL87=CP$78,$CN87,"0")</f>
        <v>0</v>
      </c>
      <c r="CQ87" s="29" t="str">
        <f t="shared" si="41"/>
        <v>0</v>
      </c>
      <c r="CR87" s="29" t="str">
        <f t="shared" si="41"/>
        <v>0</v>
      </c>
      <c r="CS87" s="29" t="str">
        <f t="shared" si="41"/>
        <v>0</v>
      </c>
      <c r="CT87" s="29" t="str">
        <f t="shared" si="41"/>
        <v>0</v>
      </c>
      <c r="CU87" s="29" t="str">
        <f t="shared" si="41"/>
        <v>0</v>
      </c>
      <c r="CV87" s="29" t="str">
        <f t="shared" si="41"/>
        <v>0</v>
      </c>
      <c r="CW87" s="29" t="str">
        <f t="shared" si="41"/>
        <v>0</v>
      </c>
      <c r="CX87" s="29" t="str">
        <f t="shared" si="41"/>
        <v>0</v>
      </c>
      <c r="CY87" s="29" t="str">
        <f t="shared" si="41"/>
        <v>0</v>
      </c>
      <c r="CZ87" s="29" t="str">
        <f t="shared" si="41"/>
        <v>0</v>
      </c>
      <c r="DA87" s="29" t="str">
        <f t="shared" si="41"/>
        <v>0</v>
      </c>
      <c r="DB87" s="29" t="str">
        <f t="shared" si="41"/>
        <v>0</v>
      </c>
      <c r="DC87" s="29" t="str">
        <f t="shared" si="41"/>
        <v>0</v>
      </c>
      <c r="DD87" s="29" t="str">
        <f t="shared" si="41"/>
        <v>0</v>
      </c>
      <c r="DE87" s="29" t="str">
        <f t="shared" si="41"/>
        <v>0</v>
      </c>
      <c r="DF87" s="29" t="str">
        <f t="shared" si="41"/>
        <v>0</v>
      </c>
      <c r="DG87" s="29" t="str">
        <f t="shared" si="41"/>
        <v>0</v>
      </c>
      <c r="DH87" s="29" t="str">
        <f t="shared" si="41"/>
        <v>0</v>
      </c>
      <c r="DI87" s="29" t="str">
        <f t="shared" si="41"/>
        <v>0</v>
      </c>
      <c r="DJ87" s="29" t="str">
        <f t="shared" si="41"/>
        <v>0</v>
      </c>
      <c r="DK87" s="29" t="str">
        <f t="shared" si="41"/>
        <v>0</v>
      </c>
      <c r="DL87" s="29" t="str">
        <f t="shared" si="41"/>
        <v>0</v>
      </c>
      <c r="DM87" s="29" t="str">
        <f t="shared" si="41"/>
        <v>0</v>
      </c>
      <c r="DN87" s="29" t="str">
        <f t="shared" si="41"/>
        <v>0</v>
      </c>
      <c r="DO87" s="29" t="str">
        <f t="shared" si="41"/>
        <v>0</v>
      </c>
      <c r="DP87" s="29" t="str">
        <f t="shared" si="41"/>
        <v>0</v>
      </c>
      <c r="DQ87" s="29" t="str">
        <f t="shared" si="41"/>
        <v>0</v>
      </c>
      <c r="DR87" s="29"/>
      <c r="DS87" s="25">
        <v>0</v>
      </c>
      <c r="EE87" s="25" t="str">
        <f t="shared" si="20"/>
        <v>0</v>
      </c>
    </row>
    <row r="88" spans="1:135">
      <c r="A88" s="48">
        <v>1001010</v>
      </c>
      <c r="B88" s="49" t="s">
        <v>910</v>
      </c>
      <c r="C88" s="25">
        <v>10</v>
      </c>
      <c r="D88" s="25">
        <f t="array" ref="D88">INDEX(C$5:C$67,MATCH($B88,$B$5:$B$67,0))</f>
        <v>3600</v>
      </c>
      <c r="E88" s="25">
        <f t="array" ref="E88">INDEX(D$5:D$67,MATCH($B88,$B$5:$B$67,0))</f>
        <v>288</v>
      </c>
      <c r="F88" s="25">
        <f t="array" ref="F88">INDEX(E$5:E$67,MATCH($B88,$B$5:$B$67,0))</f>
        <v>1320</v>
      </c>
      <c r="G88" s="25">
        <f t="array" ref="G88">INDEX(F$5:F$67,MATCH($B88,$B$5:$B$67,0))</f>
        <v>105.6</v>
      </c>
      <c r="H88" s="25">
        <f t="array" ref="H88">INDEX(G$5:G$66,MATCH($B88,$B$5:$B$67,0))</f>
        <v>1056</v>
      </c>
      <c r="I88" s="25">
        <f t="array" ref="I88">INDEX(H$5:H$67,MATCH($B88,$B$5:$B$67,0))</f>
        <v>84.48</v>
      </c>
      <c r="J88" s="25">
        <f t="array" ref="J88">INDEX(I$5:I$67,MATCH($B88,$B$5:$B$67,0))</f>
        <v>800</v>
      </c>
      <c r="K88" s="25">
        <f t="array" ref="K88">INDEX(J$5:J$67,MATCH($B88,$B$5:$B$67,0))</f>
        <v>64</v>
      </c>
      <c r="L88" s="25">
        <f t="shared" si="0"/>
        <v>6480</v>
      </c>
      <c r="M88" s="25">
        <f t="shared" si="1"/>
        <v>2376</v>
      </c>
      <c r="N88" s="25">
        <f t="shared" si="2"/>
        <v>1901</v>
      </c>
      <c r="O88" s="25">
        <f t="shared" si="3"/>
        <v>1440</v>
      </c>
      <c r="R88" s="50">
        <f t="array" ref="R88">INDEX($B$46:$B$68,MATCH(S88,$C$46:$C$68,0))*1000+T88</f>
        <v>1001010</v>
      </c>
      <c r="S88" s="51" t="s">
        <v>910</v>
      </c>
      <c r="T88" s="29">
        <v>10</v>
      </c>
      <c r="U88" s="25">
        <f t="array" ref="U88">INDEX(K$5:K$67,MATCH($S88,$B$5:$B$67,0))</f>
        <v>306.72</v>
      </c>
      <c r="V88" s="25">
        <f t="array" ref="V88">INDEX(L$5:L$67,MATCH($S88,$B$5:$B$67,0))</f>
        <v>112.64</v>
      </c>
      <c r="W88" s="25">
        <f t="array" ref="W88">INDEX(M$5:M$67,MATCH($S88,$B$5:$B$67,0))</f>
        <v>90.11</v>
      </c>
      <c r="X88" s="25">
        <f t="array" ref="X88">INDEX(N$5:N$67,MATCH($S88,$B$5:$B$67,0))</f>
        <v>68</v>
      </c>
      <c r="Y88" s="25">
        <f t="shared" si="4"/>
        <v>3067</v>
      </c>
      <c r="Z88" s="25">
        <f t="shared" si="5"/>
        <v>1126</v>
      </c>
      <c r="AA88" s="25">
        <f t="shared" si="6"/>
        <v>901</v>
      </c>
      <c r="AB88" s="25">
        <f t="shared" si="7"/>
        <v>680</v>
      </c>
      <c r="AE88" s="1">
        <v>1011</v>
      </c>
      <c r="AF88" s="25">
        <v>10</v>
      </c>
      <c r="AG88" s="25">
        <f t="array" ref="AG88">INDEX($AE$79:$AE$116,QUOTIENT(AF88-1,8)+1)</f>
        <v>1002</v>
      </c>
      <c r="AH88" s="25">
        <f t="shared" si="37"/>
        <v>2</v>
      </c>
      <c r="AI88" s="25">
        <f t="shared" si="8"/>
        <v>10022</v>
      </c>
      <c r="AJ88" s="25" t="str">
        <f t="shared" si="9"/>
        <v>大暑</v>
      </c>
      <c r="AK88" s="25">
        <f t="shared" si="38"/>
        <v>2</v>
      </c>
      <c r="AL88" s="25" t="str">
        <f t="array" ref="AL88">INDEX($O$5:$O$42,MATCH(AJ88,$B$5:$B$42,0))</f>
        <v>防御百分比</v>
      </c>
      <c r="AM88" s="25" t="str">
        <f t="array" ref="AM88">INDEX($P$5:$P$42,MATCH(AJ88,$B$5:$B$42,0))</f>
        <v>生命值百分比</v>
      </c>
      <c r="AN88" s="25" t="str">
        <f t="array" ref="AN88">INDEX($Q$5:$Q$42,MATCH(AJ88,$B$5:$B$42,0))</f>
        <v>技能冷却等级</v>
      </c>
      <c r="AO88" s="25" t="str">
        <f t="array" ref="AO88">INDEX(AL88:AN88,0,AK88)</f>
        <v>生命值百分比</v>
      </c>
      <c r="AP88" s="25">
        <f t="shared" si="39"/>
        <v>0.15</v>
      </c>
      <c r="AQ88" s="25">
        <f t="shared" si="11"/>
        <v>0.15</v>
      </c>
      <c r="AR88" s="25" t="str">
        <f t="shared" ref="AR88:BZ88" si="42">IF(AR$78=$AO88,$AQ88,"0")</f>
        <v>0</v>
      </c>
      <c r="AS88" s="25">
        <f t="shared" si="42"/>
        <v>0.15</v>
      </c>
      <c r="AT88" s="25" t="str">
        <f t="shared" si="42"/>
        <v>0</v>
      </c>
      <c r="AU88" s="25" t="str">
        <f t="shared" si="42"/>
        <v>0</v>
      </c>
      <c r="AV88" s="25" t="str">
        <f t="shared" si="42"/>
        <v>0</v>
      </c>
      <c r="AW88" s="25" t="str">
        <f t="shared" si="42"/>
        <v>0</v>
      </c>
      <c r="AX88" s="25" t="str">
        <f t="shared" si="42"/>
        <v>0</v>
      </c>
      <c r="AY88" s="25" t="str">
        <f t="shared" si="42"/>
        <v>0</v>
      </c>
      <c r="AZ88" s="25" t="str">
        <f t="shared" si="42"/>
        <v>0</v>
      </c>
      <c r="BA88" s="25" t="str">
        <f t="shared" si="42"/>
        <v>0</v>
      </c>
      <c r="BB88" s="25" t="str">
        <f t="shared" si="42"/>
        <v>0</v>
      </c>
      <c r="BC88" s="25" t="str">
        <f t="shared" si="42"/>
        <v>0</v>
      </c>
      <c r="BD88" s="25" t="str">
        <f t="shared" si="42"/>
        <v>0</v>
      </c>
      <c r="BE88" s="25" t="str">
        <f t="shared" si="42"/>
        <v>0</v>
      </c>
      <c r="BF88" s="25" t="str">
        <f t="shared" si="42"/>
        <v>0</v>
      </c>
      <c r="BG88" s="25" t="str">
        <f t="shared" si="42"/>
        <v>0</v>
      </c>
      <c r="BH88" s="25" t="str">
        <f t="shared" si="42"/>
        <v>0</v>
      </c>
      <c r="BI88" s="25" t="str">
        <f t="shared" si="42"/>
        <v>0</v>
      </c>
      <c r="BJ88" s="25" t="str">
        <f t="shared" si="42"/>
        <v>0</v>
      </c>
      <c r="BK88" s="25" t="str">
        <f t="shared" si="42"/>
        <v>0</v>
      </c>
      <c r="BL88" s="25" t="str">
        <f t="shared" si="42"/>
        <v>0</v>
      </c>
      <c r="BM88" s="25" t="str">
        <f t="shared" si="42"/>
        <v>0</v>
      </c>
      <c r="BN88" s="25" t="str">
        <f t="shared" si="42"/>
        <v>0</v>
      </c>
      <c r="BO88" s="25" t="str">
        <f t="shared" si="42"/>
        <v>0</v>
      </c>
      <c r="BP88" s="25" t="str">
        <f t="shared" si="42"/>
        <v>0</v>
      </c>
      <c r="BQ88" s="25" t="str">
        <f t="shared" si="42"/>
        <v>0</v>
      </c>
      <c r="BR88" s="25" t="str">
        <f t="shared" si="42"/>
        <v>0</v>
      </c>
      <c r="BS88" s="25" t="str">
        <f t="shared" si="42"/>
        <v>0</v>
      </c>
      <c r="BT88" s="25" t="str">
        <f t="shared" si="42"/>
        <v>0</v>
      </c>
      <c r="BU88" s="25" t="str">
        <f t="shared" si="42"/>
        <v>0</v>
      </c>
      <c r="BV88" s="25" t="str">
        <f t="shared" si="42"/>
        <v>0</v>
      </c>
      <c r="BW88" s="25" t="str">
        <f t="shared" si="42"/>
        <v>0</v>
      </c>
      <c r="BX88" s="25" t="str">
        <f t="shared" si="42"/>
        <v>0</v>
      </c>
      <c r="BY88" s="25" t="str">
        <f t="shared" si="42"/>
        <v>0</v>
      </c>
      <c r="BZ88" s="25" t="str">
        <f t="shared" si="42"/>
        <v>0</v>
      </c>
      <c r="CC88" s="25" t="str">
        <f t="array" ref="CC88">INDEX($C$46:$C$74,MATCH(CD88,$B$46:$B$74,0))</f>
        <v>大暑</v>
      </c>
      <c r="CD88" s="1">
        <v>1002</v>
      </c>
      <c r="CE88" s="1">
        <v>2</v>
      </c>
      <c r="CF88" s="25" t="str">
        <f t="array" ref="CF88">INDEX($T$5:$T$44,MATCH(CC88,$B$5:$B$44,0))</f>
        <v>物理</v>
      </c>
      <c r="CG88" s="25">
        <f t="shared" si="34"/>
        <v>0</v>
      </c>
      <c r="CH88" s="25">
        <f t="shared" si="13"/>
        <v>1</v>
      </c>
      <c r="CI88" s="25">
        <f t="shared" si="14"/>
        <v>1</v>
      </c>
      <c r="CJ88" s="25">
        <f t="shared" si="15"/>
        <v>1</v>
      </c>
      <c r="CK88" s="25">
        <f t="shared" si="16"/>
        <v>1</v>
      </c>
      <c r="CL88" s="25">
        <v>0</v>
      </c>
      <c r="CM88" s="25">
        <f t="shared" si="35"/>
        <v>0</v>
      </c>
      <c r="CN88" s="25">
        <f t="shared" si="17"/>
        <v>0</v>
      </c>
      <c r="CO88" s="25">
        <f t="shared" si="18"/>
        <v>0</v>
      </c>
      <c r="CP88" s="29" t="str">
        <f t="shared" ref="CP88:DQ88" si="43">IF($CL88=CP$78,$CN88,"0")</f>
        <v>0</v>
      </c>
      <c r="CQ88" s="29" t="str">
        <f t="shared" si="43"/>
        <v>0</v>
      </c>
      <c r="CR88" s="29" t="str">
        <f t="shared" si="43"/>
        <v>0</v>
      </c>
      <c r="CS88" s="29" t="str">
        <f t="shared" si="43"/>
        <v>0</v>
      </c>
      <c r="CT88" s="29" t="str">
        <f t="shared" si="43"/>
        <v>0</v>
      </c>
      <c r="CU88" s="29" t="str">
        <f t="shared" si="43"/>
        <v>0</v>
      </c>
      <c r="CV88" s="29" t="str">
        <f t="shared" si="43"/>
        <v>0</v>
      </c>
      <c r="CW88" s="29" t="str">
        <f t="shared" si="43"/>
        <v>0</v>
      </c>
      <c r="CX88" s="29" t="str">
        <f t="shared" si="43"/>
        <v>0</v>
      </c>
      <c r="CY88" s="29" t="str">
        <f t="shared" si="43"/>
        <v>0</v>
      </c>
      <c r="CZ88" s="29" t="str">
        <f t="shared" si="43"/>
        <v>0</v>
      </c>
      <c r="DA88" s="29" t="str">
        <f t="shared" si="43"/>
        <v>0</v>
      </c>
      <c r="DB88" s="29" t="str">
        <f t="shared" si="43"/>
        <v>0</v>
      </c>
      <c r="DC88" s="29" t="str">
        <f t="shared" si="43"/>
        <v>0</v>
      </c>
      <c r="DD88" s="29" t="str">
        <f t="shared" si="43"/>
        <v>0</v>
      </c>
      <c r="DE88" s="29" t="str">
        <f t="shared" si="43"/>
        <v>0</v>
      </c>
      <c r="DF88" s="29" t="str">
        <f t="shared" si="43"/>
        <v>0</v>
      </c>
      <c r="DG88" s="29" t="str">
        <f t="shared" si="43"/>
        <v>0</v>
      </c>
      <c r="DH88" s="29" t="str">
        <f t="shared" si="43"/>
        <v>0</v>
      </c>
      <c r="DI88" s="29" t="str">
        <f t="shared" si="43"/>
        <v>0</v>
      </c>
      <c r="DJ88" s="29" t="str">
        <f t="shared" si="43"/>
        <v>0</v>
      </c>
      <c r="DK88" s="29" t="str">
        <f t="shared" si="43"/>
        <v>0</v>
      </c>
      <c r="DL88" s="29" t="str">
        <f t="shared" si="43"/>
        <v>0</v>
      </c>
      <c r="DM88" s="29" t="str">
        <f t="shared" si="43"/>
        <v>0</v>
      </c>
      <c r="DN88" s="29" t="str">
        <f t="shared" si="43"/>
        <v>0</v>
      </c>
      <c r="DO88" s="29" t="str">
        <f t="shared" si="43"/>
        <v>0</v>
      </c>
      <c r="DP88" s="29" t="str">
        <f t="shared" si="43"/>
        <v>0</v>
      </c>
      <c r="DQ88" s="29" t="str">
        <f t="shared" si="43"/>
        <v>0</v>
      </c>
      <c r="DR88" s="29"/>
      <c r="DS88" s="25">
        <v>0</v>
      </c>
      <c r="EE88" s="25" t="str">
        <f t="shared" si="20"/>
        <v>0</v>
      </c>
    </row>
    <row r="89" spans="1:135">
      <c r="A89" s="48">
        <v>1001011</v>
      </c>
      <c r="B89" s="49" t="s">
        <v>910</v>
      </c>
      <c r="C89" s="25">
        <v>11</v>
      </c>
      <c r="D89" s="25">
        <f t="array" ref="D89">INDEX(C$5:C$67,MATCH($B89,$B$5:$B$67,0))</f>
        <v>3600</v>
      </c>
      <c r="E89" s="25">
        <f t="array" ref="E89">INDEX(D$5:D$67,MATCH($B89,$B$5:$B$67,0))</f>
        <v>288</v>
      </c>
      <c r="F89" s="25">
        <f t="array" ref="F89">INDEX(E$5:E$67,MATCH($B89,$B$5:$B$67,0))</f>
        <v>1320</v>
      </c>
      <c r="G89" s="25">
        <f t="array" ref="G89">INDEX(F$5:F$67,MATCH($B89,$B$5:$B$67,0))</f>
        <v>105.6</v>
      </c>
      <c r="H89" s="25">
        <f t="array" ref="H89">INDEX(G$5:G$66,MATCH($B89,$B$5:$B$67,0))</f>
        <v>1056</v>
      </c>
      <c r="I89" s="25">
        <f t="array" ref="I89">INDEX(H$5:H$67,MATCH($B89,$B$5:$B$67,0))</f>
        <v>84.48</v>
      </c>
      <c r="J89" s="25">
        <f t="array" ref="J89">INDEX(I$5:I$67,MATCH($B89,$B$5:$B$67,0))</f>
        <v>800</v>
      </c>
      <c r="K89" s="25">
        <f t="array" ref="K89">INDEX(J$5:J$67,MATCH($B89,$B$5:$B$67,0))</f>
        <v>64</v>
      </c>
      <c r="L89" s="25">
        <f t="shared" si="0"/>
        <v>6768</v>
      </c>
      <c r="M89" s="25">
        <f t="shared" si="1"/>
        <v>2482</v>
      </c>
      <c r="N89" s="25">
        <f t="shared" si="2"/>
        <v>1985</v>
      </c>
      <c r="O89" s="25">
        <f t="shared" si="3"/>
        <v>1504</v>
      </c>
      <c r="R89" s="50">
        <f t="array" ref="R89">INDEX($B$46:$B$68,MATCH(S89,$C$46:$C$68,0))*1000+T89</f>
        <v>1001011</v>
      </c>
      <c r="S89" s="51" t="s">
        <v>910</v>
      </c>
      <c r="T89" s="29">
        <v>11</v>
      </c>
      <c r="U89" s="25">
        <f t="array" ref="U89">INDEX(K$5:K$67,MATCH($S89,$B$5:$B$67,0))</f>
        <v>306.72</v>
      </c>
      <c r="V89" s="25">
        <f t="array" ref="V89">INDEX(L$5:L$67,MATCH($S89,$B$5:$B$67,0))</f>
        <v>112.64</v>
      </c>
      <c r="W89" s="25">
        <f t="array" ref="W89">INDEX(M$5:M$67,MATCH($S89,$B$5:$B$67,0))</f>
        <v>90.11</v>
      </c>
      <c r="X89" s="25">
        <f t="array" ref="X89">INDEX(N$5:N$67,MATCH($S89,$B$5:$B$67,0))</f>
        <v>68</v>
      </c>
      <c r="Y89" s="25">
        <f t="shared" si="4"/>
        <v>3374</v>
      </c>
      <c r="Z89" s="25">
        <f t="shared" si="5"/>
        <v>1239</v>
      </c>
      <c r="AA89" s="25">
        <f t="shared" si="6"/>
        <v>991</v>
      </c>
      <c r="AB89" s="25">
        <f t="shared" si="7"/>
        <v>748</v>
      </c>
      <c r="AE89" s="1">
        <v>1012</v>
      </c>
      <c r="AF89" s="25">
        <v>11</v>
      </c>
      <c r="AG89" s="25">
        <f t="array" ref="AG89">INDEX($AE$79:$AE$116,QUOTIENT(AF89-1,8)+1)</f>
        <v>1002</v>
      </c>
      <c r="AH89" s="25">
        <f t="shared" si="37"/>
        <v>3</v>
      </c>
      <c r="AI89" s="25">
        <f t="shared" si="8"/>
        <v>10023</v>
      </c>
      <c r="AJ89" s="25" t="str">
        <f t="shared" si="9"/>
        <v>大暑</v>
      </c>
      <c r="AK89" s="25">
        <f t="shared" si="38"/>
        <v>3</v>
      </c>
      <c r="AL89" s="25" t="str">
        <f t="array" ref="AL89">INDEX($O$5:$O$42,MATCH(AJ89,$B$5:$B$42,0))</f>
        <v>防御百分比</v>
      </c>
      <c r="AM89" s="25" t="str">
        <f t="array" ref="AM89">INDEX($P$5:$P$42,MATCH(AJ89,$B$5:$B$42,0))</f>
        <v>生命值百分比</v>
      </c>
      <c r="AN89" s="25" t="str">
        <f t="array" ref="AN89">INDEX($Q$5:$Q$42,MATCH(AJ89,$B$5:$B$42,0))</f>
        <v>技能冷却等级</v>
      </c>
      <c r="AO89" s="25" t="str">
        <f t="array" ref="AO89">INDEX(AL89:AN89,0,AK89)</f>
        <v>技能冷却等级</v>
      </c>
      <c r="AP89" s="25">
        <f t="shared" si="39"/>
        <v>0.15</v>
      </c>
      <c r="AQ89" s="25">
        <f t="shared" si="11"/>
        <v>1950</v>
      </c>
      <c r="AR89" s="25" t="str">
        <f t="shared" ref="AR89:BZ89" si="44">IF(AR$78=$AO89,$AQ89,"0")</f>
        <v>0</v>
      </c>
      <c r="AS89" s="25" t="str">
        <f t="shared" si="44"/>
        <v>0</v>
      </c>
      <c r="AT89" s="25" t="str">
        <f t="shared" si="44"/>
        <v>0</v>
      </c>
      <c r="AU89" s="25" t="str">
        <f t="shared" si="44"/>
        <v>0</v>
      </c>
      <c r="AV89" s="25" t="str">
        <f t="shared" si="44"/>
        <v>0</v>
      </c>
      <c r="AW89" s="25" t="str">
        <f t="shared" si="44"/>
        <v>0</v>
      </c>
      <c r="AX89" s="25" t="str">
        <f t="shared" si="44"/>
        <v>0</v>
      </c>
      <c r="AY89" s="25" t="str">
        <f t="shared" si="44"/>
        <v>0</v>
      </c>
      <c r="AZ89" s="25" t="str">
        <f t="shared" si="44"/>
        <v>0</v>
      </c>
      <c r="BA89" s="25" t="str">
        <f t="shared" si="44"/>
        <v>0</v>
      </c>
      <c r="BB89" s="25" t="str">
        <f t="shared" si="44"/>
        <v>0</v>
      </c>
      <c r="BC89" s="25" t="str">
        <f t="shared" si="44"/>
        <v>0</v>
      </c>
      <c r="BD89" s="25" t="str">
        <f t="shared" si="44"/>
        <v>0</v>
      </c>
      <c r="BE89" s="25" t="str">
        <f t="shared" si="44"/>
        <v>0</v>
      </c>
      <c r="BF89" s="25" t="str">
        <f t="shared" si="44"/>
        <v>0</v>
      </c>
      <c r="BG89" s="25" t="str">
        <f t="shared" si="44"/>
        <v>0</v>
      </c>
      <c r="BH89" s="25" t="str">
        <f t="shared" si="44"/>
        <v>0</v>
      </c>
      <c r="BI89" s="25" t="str">
        <f t="shared" si="44"/>
        <v>0</v>
      </c>
      <c r="BJ89" s="25" t="str">
        <f t="shared" si="44"/>
        <v>0</v>
      </c>
      <c r="BK89" s="25" t="str">
        <f t="shared" si="44"/>
        <v>0</v>
      </c>
      <c r="BL89" s="25" t="str">
        <f t="shared" si="44"/>
        <v>0</v>
      </c>
      <c r="BM89" s="25" t="str">
        <f t="shared" si="44"/>
        <v>0</v>
      </c>
      <c r="BN89" s="25" t="str">
        <f t="shared" si="44"/>
        <v>0</v>
      </c>
      <c r="BO89" s="25" t="str">
        <f t="shared" si="44"/>
        <v>0</v>
      </c>
      <c r="BP89" s="25" t="str">
        <f t="shared" si="44"/>
        <v>0</v>
      </c>
      <c r="BQ89" s="25" t="str">
        <f t="shared" si="44"/>
        <v>0</v>
      </c>
      <c r="BR89" s="25" t="str">
        <f t="shared" si="44"/>
        <v>0</v>
      </c>
      <c r="BS89" s="25" t="str">
        <f t="shared" si="44"/>
        <v>0</v>
      </c>
      <c r="BT89" s="25" t="str">
        <f t="shared" si="44"/>
        <v>0</v>
      </c>
      <c r="BU89" s="25" t="str">
        <f t="shared" si="44"/>
        <v>0</v>
      </c>
      <c r="BV89" s="25" t="str">
        <f t="shared" si="44"/>
        <v>0</v>
      </c>
      <c r="BW89" s="25" t="str">
        <f t="shared" si="44"/>
        <v>0</v>
      </c>
      <c r="BX89" s="25" t="str">
        <f t="shared" si="44"/>
        <v>0</v>
      </c>
      <c r="BY89" s="25" t="str">
        <f t="shared" si="44"/>
        <v>0</v>
      </c>
      <c r="BZ89" s="25">
        <f t="shared" si="44"/>
        <v>1950</v>
      </c>
      <c r="CC89" s="25" t="str">
        <f t="array" ref="CC89">INDEX($C$46:$C$74,MATCH(CD89,$B$46:$B$74,0))</f>
        <v>大暑</v>
      </c>
      <c r="CD89" s="1">
        <v>1002</v>
      </c>
      <c r="CE89" s="1">
        <v>3</v>
      </c>
      <c r="CF89" s="25" t="str">
        <f t="array" ref="CF89">INDEX($T$5:$T$44,MATCH(CC89,$B$5:$B$44,0))</f>
        <v>物理</v>
      </c>
      <c r="CG89" s="25">
        <f t="shared" si="34"/>
        <v>0.15</v>
      </c>
      <c r="CH89" s="25">
        <f t="shared" si="13"/>
        <v>1.15</v>
      </c>
      <c r="CI89" s="25">
        <f t="shared" si="14"/>
        <v>1.15</v>
      </c>
      <c r="CJ89" s="25">
        <f t="shared" si="15"/>
        <v>1</v>
      </c>
      <c r="CK89" s="25">
        <f t="shared" si="16"/>
        <v>1.15</v>
      </c>
      <c r="CL89" s="25" t="str">
        <f t="array" ref="CL89">INDEX($R$5:$R$43,MATCH(CC89,$B$5:$B$43,0))</f>
        <v>能量回复等级</v>
      </c>
      <c r="CM89" s="25">
        <f t="shared" si="35"/>
        <v>0.3</v>
      </c>
      <c r="CN89" s="25">
        <f t="shared" si="17"/>
        <v>2700</v>
      </c>
      <c r="CO89" s="25">
        <f t="shared" si="18"/>
        <v>1</v>
      </c>
      <c r="CP89" s="29" t="str">
        <f t="shared" ref="CP89:DQ89" si="45">IF($CL89=CP$78,$CN89,"0")</f>
        <v>0</v>
      </c>
      <c r="CQ89" s="29" t="str">
        <f t="shared" si="45"/>
        <v>0</v>
      </c>
      <c r="CR89" s="29" t="str">
        <f t="shared" si="45"/>
        <v>0</v>
      </c>
      <c r="CS89" s="29" t="str">
        <f t="shared" si="45"/>
        <v>0</v>
      </c>
      <c r="CT89" s="29" t="str">
        <f t="shared" si="45"/>
        <v>0</v>
      </c>
      <c r="CU89" s="29" t="str">
        <f t="shared" si="45"/>
        <v>0</v>
      </c>
      <c r="CV89" s="29" t="str">
        <f t="shared" si="45"/>
        <v>0</v>
      </c>
      <c r="CW89" s="29" t="str">
        <f t="shared" si="45"/>
        <v>0</v>
      </c>
      <c r="CX89" s="29" t="str">
        <f t="shared" si="45"/>
        <v>0</v>
      </c>
      <c r="CY89" s="29" t="str">
        <f t="shared" si="45"/>
        <v>0</v>
      </c>
      <c r="CZ89" s="29" t="str">
        <f t="shared" si="45"/>
        <v>0</v>
      </c>
      <c r="DA89" s="29" t="str">
        <f t="shared" si="45"/>
        <v>0</v>
      </c>
      <c r="DB89" s="29" t="str">
        <f t="shared" si="45"/>
        <v>0</v>
      </c>
      <c r="DC89" s="29" t="str">
        <f t="shared" si="45"/>
        <v>0</v>
      </c>
      <c r="DD89" s="29" t="str">
        <f t="shared" si="45"/>
        <v>0</v>
      </c>
      <c r="DE89" s="29" t="str">
        <f t="shared" si="45"/>
        <v>0</v>
      </c>
      <c r="DF89" s="29" t="str">
        <f t="shared" si="45"/>
        <v>0</v>
      </c>
      <c r="DG89" s="29" t="str">
        <f t="shared" si="45"/>
        <v>0</v>
      </c>
      <c r="DH89" s="29" t="str">
        <f t="shared" si="45"/>
        <v>0</v>
      </c>
      <c r="DI89" s="29" t="str">
        <f t="shared" si="45"/>
        <v>0</v>
      </c>
      <c r="DJ89" s="29" t="str">
        <f t="shared" si="45"/>
        <v>0</v>
      </c>
      <c r="DK89" s="29" t="str">
        <f t="shared" si="45"/>
        <v>0</v>
      </c>
      <c r="DL89" s="29" t="str">
        <f t="shared" si="45"/>
        <v>0</v>
      </c>
      <c r="DM89" s="29" t="str">
        <f t="shared" si="45"/>
        <v>0</v>
      </c>
      <c r="DN89" s="29" t="str">
        <f t="shared" si="45"/>
        <v>0</v>
      </c>
      <c r="DO89" s="29" t="str">
        <f t="shared" si="45"/>
        <v>0</v>
      </c>
      <c r="DP89" s="29">
        <f t="shared" si="45"/>
        <v>2700</v>
      </c>
      <c r="DQ89" s="29" t="str">
        <f t="shared" si="45"/>
        <v>0</v>
      </c>
      <c r="DR89" s="29"/>
      <c r="DS89" s="25" t="s">
        <v>1011</v>
      </c>
      <c r="DT89" s="25" t="str">
        <f>TEXT(角色升星!$F$18,"0%")</f>
        <v>15%</v>
      </c>
      <c r="DU89" s="25" t="s">
        <v>779</v>
      </c>
      <c r="DV89" s="25" t="str">
        <f>IF(CF89="物理","PhysicsAttack,+","MagicAttack,+")</f>
        <v>PhysicsAttack,+</v>
      </c>
      <c r="DW89" s="25" t="str">
        <f>TEXT(角色升星!$F$18,"0%")</f>
        <v>15%</v>
      </c>
      <c r="DX89" s="25" t="s">
        <v>779</v>
      </c>
      <c r="DY89" s="25" t="s">
        <v>1012</v>
      </c>
      <c r="DZ89" s="25" t="str">
        <f>TEXT(角色升星!$F$18,"0%")</f>
        <v>15%</v>
      </c>
      <c r="EA89" s="25" t="s">
        <v>779</v>
      </c>
      <c r="EB89" s="25" t="str">
        <f>VLOOKUP(CL89,$O$46:$P$73,2,0)</f>
        <v>EnergyPreAddBonusLevel</v>
      </c>
      <c r="EC89" s="25" t="s">
        <v>1013</v>
      </c>
      <c r="ED89" s="25">
        <f>IF(CN89&gt;1,CN89,TEXT(CN89,"0%"))</f>
        <v>2700</v>
      </c>
      <c r="EE89" s="25" t="str">
        <f t="shared" si="20"/>
        <v>Hp,+15%;PhysicsAttack,+15%;Armor,+15%;EnergyPreAddBonusLevel,+2700</v>
      </c>
    </row>
    <row r="90" spans="1:135">
      <c r="A90" s="48">
        <v>1001012</v>
      </c>
      <c r="B90" s="49" t="s">
        <v>910</v>
      </c>
      <c r="C90" s="25">
        <v>12</v>
      </c>
      <c r="D90" s="25">
        <f t="array" ref="D90">INDEX(C$5:C$67,MATCH($B90,$B$5:$B$67,0))</f>
        <v>3600</v>
      </c>
      <c r="E90" s="25">
        <f t="array" ref="E90">INDEX(D$5:D$67,MATCH($B90,$B$5:$B$67,0))</f>
        <v>288</v>
      </c>
      <c r="F90" s="25">
        <f t="array" ref="F90">INDEX(E$5:E$67,MATCH($B90,$B$5:$B$67,0))</f>
        <v>1320</v>
      </c>
      <c r="G90" s="25">
        <f t="array" ref="G90">INDEX(F$5:F$67,MATCH($B90,$B$5:$B$67,0))</f>
        <v>105.6</v>
      </c>
      <c r="H90" s="25">
        <f t="array" ref="H90">INDEX(G$5:G$66,MATCH($B90,$B$5:$B$67,0))</f>
        <v>1056</v>
      </c>
      <c r="I90" s="25">
        <f t="array" ref="I90">INDEX(H$5:H$67,MATCH($B90,$B$5:$B$67,0))</f>
        <v>84.48</v>
      </c>
      <c r="J90" s="25">
        <f t="array" ref="J90">INDEX(I$5:I$67,MATCH($B90,$B$5:$B$67,0))</f>
        <v>800</v>
      </c>
      <c r="K90" s="25">
        <f t="array" ref="K90">INDEX(J$5:J$67,MATCH($B90,$B$5:$B$67,0))</f>
        <v>64</v>
      </c>
      <c r="L90" s="25">
        <f t="shared" si="0"/>
        <v>7056</v>
      </c>
      <c r="M90" s="25">
        <f t="shared" si="1"/>
        <v>2587</v>
      </c>
      <c r="N90" s="25">
        <f t="shared" si="2"/>
        <v>2070</v>
      </c>
      <c r="O90" s="25">
        <f t="shared" si="3"/>
        <v>1568</v>
      </c>
      <c r="R90" s="50">
        <f t="array" ref="R90">INDEX($B$46:$B$68,MATCH(S90,$C$46:$C$68,0))*1000+T90</f>
        <v>1001012</v>
      </c>
      <c r="S90" s="51" t="s">
        <v>910</v>
      </c>
      <c r="T90" s="29">
        <v>12</v>
      </c>
      <c r="U90" s="25">
        <f t="array" ref="U90">INDEX(K$5:K$67,MATCH($S90,$B$5:$B$67,0))</f>
        <v>306.72</v>
      </c>
      <c r="V90" s="25">
        <f t="array" ref="V90">INDEX(L$5:L$67,MATCH($S90,$B$5:$B$67,0))</f>
        <v>112.64</v>
      </c>
      <c r="W90" s="25">
        <f t="array" ref="W90">INDEX(M$5:M$67,MATCH($S90,$B$5:$B$67,0))</f>
        <v>90.11</v>
      </c>
      <c r="X90" s="25">
        <f t="array" ref="X90">INDEX(N$5:N$67,MATCH($S90,$B$5:$B$67,0))</f>
        <v>68</v>
      </c>
      <c r="Y90" s="25">
        <f t="shared" si="4"/>
        <v>3681</v>
      </c>
      <c r="Z90" s="25">
        <f t="shared" si="5"/>
        <v>1352</v>
      </c>
      <c r="AA90" s="25">
        <f t="shared" si="6"/>
        <v>1081</v>
      </c>
      <c r="AB90" s="25">
        <f t="shared" si="7"/>
        <v>816</v>
      </c>
      <c r="AE90" s="5">
        <v>1013</v>
      </c>
      <c r="AF90" s="25">
        <v>12</v>
      </c>
      <c r="AG90" s="25">
        <f t="array" ref="AG90">INDEX($AE$79:$AE$116,QUOTIENT(AF90-1,8)+1)</f>
        <v>1002</v>
      </c>
      <c r="AH90" s="25">
        <f t="shared" si="37"/>
        <v>4</v>
      </c>
      <c r="AI90" s="25">
        <f t="shared" si="8"/>
        <v>10024</v>
      </c>
      <c r="AJ90" s="25" t="str">
        <f t="shared" si="9"/>
        <v>大暑</v>
      </c>
      <c r="AK90" s="25">
        <f t="shared" si="38"/>
        <v>2</v>
      </c>
      <c r="AL90" s="25" t="str">
        <f t="array" ref="AL90">INDEX($O$5:$O$42,MATCH(AJ90,$B$5:$B$42,0))</f>
        <v>防御百分比</v>
      </c>
      <c r="AM90" s="25" t="str">
        <f t="array" ref="AM90">INDEX($P$5:$P$42,MATCH(AJ90,$B$5:$B$42,0))</f>
        <v>生命值百分比</v>
      </c>
      <c r="AN90" s="25" t="str">
        <f t="array" ref="AN90">INDEX($Q$5:$Q$42,MATCH(AJ90,$B$5:$B$42,0))</f>
        <v>技能冷却等级</v>
      </c>
      <c r="AO90" s="25" t="str">
        <f t="array" ref="AO90">INDEX(AL90:AN90,0,AK90)</f>
        <v>生命值百分比</v>
      </c>
      <c r="AP90" s="25">
        <f t="shared" si="39"/>
        <v>0.15</v>
      </c>
      <c r="AQ90" s="25">
        <f t="shared" si="11"/>
        <v>0.15</v>
      </c>
      <c r="AR90" s="25" t="str">
        <f t="shared" ref="AR90:BZ90" si="46">IF(AR$78=$AO90,$AQ90,"0")</f>
        <v>0</v>
      </c>
      <c r="AS90" s="25">
        <f t="shared" si="46"/>
        <v>0.15</v>
      </c>
      <c r="AT90" s="25" t="str">
        <f t="shared" si="46"/>
        <v>0</v>
      </c>
      <c r="AU90" s="25" t="str">
        <f t="shared" si="46"/>
        <v>0</v>
      </c>
      <c r="AV90" s="25" t="str">
        <f t="shared" si="46"/>
        <v>0</v>
      </c>
      <c r="AW90" s="25" t="str">
        <f t="shared" si="46"/>
        <v>0</v>
      </c>
      <c r="AX90" s="25" t="str">
        <f t="shared" si="46"/>
        <v>0</v>
      </c>
      <c r="AY90" s="25" t="str">
        <f t="shared" si="46"/>
        <v>0</v>
      </c>
      <c r="AZ90" s="25" t="str">
        <f t="shared" si="46"/>
        <v>0</v>
      </c>
      <c r="BA90" s="25" t="str">
        <f t="shared" si="46"/>
        <v>0</v>
      </c>
      <c r="BB90" s="25" t="str">
        <f t="shared" si="46"/>
        <v>0</v>
      </c>
      <c r="BC90" s="25" t="str">
        <f t="shared" si="46"/>
        <v>0</v>
      </c>
      <c r="BD90" s="25" t="str">
        <f t="shared" si="46"/>
        <v>0</v>
      </c>
      <c r="BE90" s="25" t="str">
        <f t="shared" si="46"/>
        <v>0</v>
      </c>
      <c r="BF90" s="25" t="str">
        <f t="shared" si="46"/>
        <v>0</v>
      </c>
      <c r="BG90" s="25" t="str">
        <f t="shared" si="46"/>
        <v>0</v>
      </c>
      <c r="BH90" s="25" t="str">
        <f t="shared" si="46"/>
        <v>0</v>
      </c>
      <c r="BI90" s="25" t="str">
        <f t="shared" si="46"/>
        <v>0</v>
      </c>
      <c r="BJ90" s="25" t="str">
        <f t="shared" si="46"/>
        <v>0</v>
      </c>
      <c r="BK90" s="25" t="str">
        <f t="shared" si="46"/>
        <v>0</v>
      </c>
      <c r="BL90" s="25" t="str">
        <f t="shared" si="46"/>
        <v>0</v>
      </c>
      <c r="BM90" s="25" t="str">
        <f t="shared" si="46"/>
        <v>0</v>
      </c>
      <c r="BN90" s="25" t="str">
        <f t="shared" si="46"/>
        <v>0</v>
      </c>
      <c r="BO90" s="25" t="str">
        <f t="shared" si="46"/>
        <v>0</v>
      </c>
      <c r="BP90" s="25" t="str">
        <f t="shared" si="46"/>
        <v>0</v>
      </c>
      <c r="BQ90" s="25" t="str">
        <f t="shared" si="46"/>
        <v>0</v>
      </c>
      <c r="BR90" s="25" t="str">
        <f t="shared" si="46"/>
        <v>0</v>
      </c>
      <c r="BS90" s="25" t="str">
        <f t="shared" si="46"/>
        <v>0</v>
      </c>
      <c r="BT90" s="25" t="str">
        <f t="shared" si="46"/>
        <v>0</v>
      </c>
      <c r="BU90" s="25" t="str">
        <f t="shared" si="46"/>
        <v>0</v>
      </c>
      <c r="BV90" s="25" t="str">
        <f t="shared" si="46"/>
        <v>0</v>
      </c>
      <c r="BW90" s="25" t="str">
        <f t="shared" si="46"/>
        <v>0</v>
      </c>
      <c r="BX90" s="25" t="str">
        <f t="shared" si="46"/>
        <v>0</v>
      </c>
      <c r="BY90" s="25" t="str">
        <f t="shared" si="46"/>
        <v>0</v>
      </c>
      <c r="BZ90" s="25" t="str">
        <f t="shared" si="46"/>
        <v>0</v>
      </c>
      <c r="CC90" s="25" t="str">
        <f t="array" ref="CC90">INDEX($C$46:$C$74,MATCH(CD90,$B$46:$B$74,0))</f>
        <v>大暑</v>
      </c>
      <c r="CD90" s="1">
        <v>1002</v>
      </c>
      <c r="CE90" s="1">
        <v>4</v>
      </c>
      <c r="CF90" s="25" t="str">
        <f t="array" ref="CF90">INDEX($T$5:$T$44,MATCH(CC90,$B$5:$B$44,0))</f>
        <v>物理</v>
      </c>
      <c r="CG90" s="25">
        <f t="shared" si="34"/>
        <v>0.15</v>
      </c>
      <c r="CH90" s="25">
        <f t="shared" si="13"/>
        <v>1.15</v>
      </c>
      <c r="CI90" s="25">
        <f t="shared" si="14"/>
        <v>1.15</v>
      </c>
      <c r="CJ90" s="25">
        <f t="shared" si="15"/>
        <v>1</v>
      </c>
      <c r="CK90" s="25">
        <f t="shared" si="16"/>
        <v>1.15</v>
      </c>
      <c r="CL90" s="25">
        <v>0</v>
      </c>
      <c r="CM90" s="25">
        <f t="shared" si="35"/>
        <v>0</v>
      </c>
      <c r="CN90" s="25">
        <f t="shared" si="17"/>
        <v>0</v>
      </c>
      <c r="CO90" s="25">
        <f t="shared" si="18"/>
        <v>0</v>
      </c>
      <c r="CP90" s="29" t="str">
        <f t="shared" ref="CP90:DQ90" si="47">IF($CL90=CP$78,$CN90,"0")</f>
        <v>0</v>
      </c>
      <c r="CQ90" s="29" t="str">
        <f t="shared" si="47"/>
        <v>0</v>
      </c>
      <c r="CR90" s="29" t="str">
        <f t="shared" si="47"/>
        <v>0</v>
      </c>
      <c r="CS90" s="29" t="str">
        <f t="shared" si="47"/>
        <v>0</v>
      </c>
      <c r="CT90" s="29" t="str">
        <f t="shared" si="47"/>
        <v>0</v>
      </c>
      <c r="CU90" s="29" t="str">
        <f t="shared" si="47"/>
        <v>0</v>
      </c>
      <c r="CV90" s="29" t="str">
        <f t="shared" si="47"/>
        <v>0</v>
      </c>
      <c r="CW90" s="29" t="str">
        <f t="shared" si="47"/>
        <v>0</v>
      </c>
      <c r="CX90" s="29" t="str">
        <f t="shared" si="47"/>
        <v>0</v>
      </c>
      <c r="CY90" s="29" t="str">
        <f t="shared" si="47"/>
        <v>0</v>
      </c>
      <c r="CZ90" s="29" t="str">
        <f t="shared" si="47"/>
        <v>0</v>
      </c>
      <c r="DA90" s="29" t="str">
        <f t="shared" si="47"/>
        <v>0</v>
      </c>
      <c r="DB90" s="29" t="str">
        <f t="shared" si="47"/>
        <v>0</v>
      </c>
      <c r="DC90" s="29" t="str">
        <f t="shared" si="47"/>
        <v>0</v>
      </c>
      <c r="DD90" s="29" t="str">
        <f t="shared" si="47"/>
        <v>0</v>
      </c>
      <c r="DE90" s="29" t="str">
        <f t="shared" si="47"/>
        <v>0</v>
      </c>
      <c r="DF90" s="29" t="str">
        <f t="shared" si="47"/>
        <v>0</v>
      </c>
      <c r="DG90" s="29" t="str">
        <f t="shared" si="47"/>
        <v>0</v>
      </c>
      <c r="DH90" s="29" t="str">
        <f t="shared" si="47"/>
        <v>0</v>
      </c>
      <c r="DI90" s="29" t="str">
        <f t="shared" si="47"/>
        <v>0</v>
      </c>
      <c r="DJ90" s="29" t="str">
        <f t="shared" si="47"/>
        <v>0</v>
      </c>
      <c r="DK90" s="29" t="str">
        <f t="shared" si="47"/>
        <v>0</v>
      </c>
      <c r="DL90" s="29" t="str">
        <f t="shared" si="47"/>
        <v>0</v>
      </c>
      <c r="DM90" s="29" t="str">
        <f t="shared" si="47"/>
        <v>0</v>
      </c>
      <c r="DN90" s="29" t="str">
        <f t="shared" si="47"/>
        <v>0</v>
      </c>
      <c r="DO90" s="29" t="str">
        <f t="shared" si="47"/>
        <v>0</v>
      </c>
      <c r="DP90" s="29" t="str">
        <f t="shared" si="47"/>
        <v>0</v>
      </c>
      <c r="DQ90" s="29" t="str">
        <f t="shared" si="47"/>
        <v>0</v>
      </c>
      <c r="DR90" s="29"/>
      <c r="DS90" s="25">
        <v>0</v>
      </c>
      <c r="EE90" s="25" t="str">
        <f t="shared" si="20"/>
        <v>0</v>
      </c>
    </row>
    <row r="91" spans="1:135">
      <c r="A91" s="48">
        <v>1001013</v>
      </c>
      <c r="B91" s="49" t="s">
        <v>910</v>
      </c>
      <c r="C91" s="25">
        <v>13</v>
      </c>
      <c r="D91" s="25">
        <f t="array" ref="D91">INDEX(C$5:C$67,MATCH($B91,$B$5:$B$67,0))</f>
        <v>3600</v>
      </c>
      <c r="E91" s="25">
        <f t="array" ref="E91">INDEX(D$5:D$67,MATCH($B91,$B$5:$B$67,0))</f>
        <v>288</v>
      </c>
      <c r="F91" s="25">
        <f t="array" ref="F91">INDEX(E$5:E$67,MATCH($B91,$B$5:$B$67,0))</f>
        <v>1320</v>
      </c>
      <c r="G91" s="25">
        <f t="array" ref="G91">INDEX(F$5:F$67,MATCH($B91,$B$5:$B$67,0))</f>
        <v>105.6</v>
      </c>
      <c r="H91" s="25">
        <f t="array" ref="H91">INDEX(G$5:G$66,MATCH($B91,$B$5:$B$67,0))</f>
        <v>1056</v>
      </c>
      <c r="I91" s="25">
        <f t="array" ref="I91">INDEX(H$5:H$67,MATCH($B91,$B$5:$B$67,0))</f>
        <v>84.48</v>
      </c>
      <c r="J91" s="25">
        <f t="array" ref="J91">INDEX(I$5:I$67,MATCH($B91,$B$5:$B$67,0))</f>
        <v>800</v>
      </c>
      <c r="K91" s="25">
        <f t="array" ref="K91">INDEX(J$5:J$67,MATCH($B91,$B$5:$B$67,0))</f>
        <v>64</v>
      </c>
      <c r="L91" s="25">
        <f t="shared" si="0"/>
        <v>7344</v>
      </c>
      <c r="M91" s="25">
        <f t="shared" si="1"/>
        <v>2693</v>
      </c>
      <c r="N91" s="25">
        <f t="shared" si="2"/>
        <v>2154</v>
      </c>
      <c r="O91" s="25">
        <f t="shared" si="3"/>
        <v>1632</v>
      </c>
      <c r="R91" s="50">
        <f t="array" ref="R91">INDEX($B$46:$B$68,MATCH(S91,$C$46:$C$68,0))*1000+T91</f>
        <v>1001013</v>
      </c>
      <c r="S91" s="51" t="s">
        <v>910</v>
      </c>
      <c r="T91" s="29">
        <v>13</v>
      </c>
      <c r="U91" s="25">
        <f t="array" ref="U91">INDEX(K$5:K$67,MATCH($S91,$B$5:$B$67,0))</f>
        <v>306.72</v>
      </c>
      <c r="V91" s="25">
        <f t="array" ref="V91">INDEX(L$5:L$67,MATCH($S91,$B$5:$B$67,0))</f>
        <v>112.64</v>
      </c>
      <c r="W91" s="25">
        <f t="array" ref="W91">INDEX(M$5:M$67,MATCH($S91,$B$5:$B$67,0))</f>
        <v>90.11</v>
      </c>
      <c r="X91" s="25">
        <f t="array" ref="X91">INDEX(N$5:N$67,MATCH($S91,$B$5:$B$67,0))</f>
        <v>68</v>
      </c>
      <c r="Y91" s="25">
        <f t="shared" si="4"/>
        <v>3987</v>
      </c>
      <c r="Z91" s="25">
        <f t="shared" si="5"/>
        <v>1464</v>
      </c>
      <c r="AA91" s="25">
        <f t="shared" si="6"/>
        <v>1171</v>
      </c>
      <c r="AB91" s="25">
        <f t="shared" si="7"/>
        <v>884</v>
      </c>
      <c r="AE91" s="1">
        <v>1014</v>
      </c>
      <c r="AF91" s="25">
        <v>13</v>
      </c>
      <c r="AG91" s="25">
        <f t="array" ref="AG91">INDEX($AE$79:$AE$116,QUOTIENT(AF91-1,8)+1)</f>
        <v>1002</v>
      </c>
      <c r="AH91" s="25">
        <f t="shared" si="37"/>
        <v>5</v>
      </c>
      <c r="AI91" s="25">
        <f t="shared" si="8"/>
        <v>10025</v>
      </c>
      <c r="AJ91" s="25" t="str">
        <f t="shared" si="9"/>
        <v>大暑</v>
      </c>
      <c r="AK91" s="25">
        <f t="shared" si="38"/>
        <v>3</v>
      </c>
      <c r="AL91" s="25" t="str">
        <f t="array" ref="AL91">INDEX($O$5:$O$42,MATCH(AJ91,$B$5:$B$42,0))</f>
        <v>防御百分比</v>
      </c>
      <c r="AM91" s="25" t="str">
        <f t="array" ref="AM91">INDEX($P$5:$P$42,MATCH(AJ91,$B$5:$B$42,0))</f>
        <v>生命值百分比</v>
      </c>
      <c r="AN91" s="25" t="str">
        <f t="array" ref="AN91">INDEX($Q$5:$Q$42,MATCH(AJ91,$B$5:$B$42,0))</f>
        <v>技能冷却等级</v>
      </c>
      <c r="AO91" s="25" t="str">
        <f t="array" ref="AO91">INDEX(AL91:AN91,0,AK91)</f>
        <v>技能冷却等级</v>
      </c>
      <c r="AP91" s="25">
        <f t="shared" si="39"/>
        <v>0.15</v>
      </c>
      <c r="AQ91" s="25">
        <f t="shared" si="11"/>
        <v>1950</v>
      </c>
      <c r="AR91" s="25" t="str">
        <f t="shared" ref="AR91:BZ91" si="48">IF(AR$78=$AO91,$AQ91,"0")</f>
        <v>0</v>
      </c>
      <c r="AS91" s="25" t="str">
        <f t="shared" si="48"/>
        <v>0</v>
      </c>
      <c r="AT91" s="25" t="str">
        <f t="shared" si="48"/>
        <v>0</v>
      </c>
      <c r="AU91" s="25" t="str">
        <f t="shared" si="48"/>
        <v>0</v>
      </c>
      <c r="AV91" s="25" t="str">
        <f t="shared" si="48"/>
        <v>0</v>
      </c>
      <c r="AW91" s="25" t="str">
        <f t="shared" si="48"/>
        <v>0</v>
      </c>
      <c r="AX91" s="25" t="str">
        <f t="shared" si="48"/>
        <v>0</v>
      </c>
      <c r="AY91" s="25" t="str">
        <f t="shared" si="48"/>
        <v>0</v>
      </c>
      <c r="AZ91" s="25" t="str">
        <f t="shared" si="48"/>
        <v>0</v>
      </c>
      <c r="BA91" s="25" t="str">
        <f t="shared" si="48"/>
        <v>0</v>
      </c>
      <c r="BB91" s="25" t="str">
        <f t="shared" si="48"/>
        <v>0</v>
      </c>
      <c r="BC91" s="25" t="str">
        <f t="shared" si="48"/>
        <v>0</v>
      </c>
      <c r="BD91" s="25" t="str">
        <f t="shared" si="48"/>
        <v>0</v>
      </c>
      <c r="BE91" s="25" t="str">
        <f t="shared" si="48"/>
        <v>0</v>
      </c>
      <c r="BF91" s="25" t="str">
        <f t="shared" si="48"/>
        <v>0</v>
      </c>
      <c r="BG91" s="25" t="str">
        <f t="shared" si="48"/>
        <v>0</v>
      </c>
      <c r="BH91" s="25" t="str">
        <f t="shared" si="48"/>
        <v>0</v>
      </c>
      <c r="BI91" s="25" t="str">
        <f t="shared" si="48"/>
        <v>0</v>
      </c>
      <c r="BJ91" s="25" t="str">
        <f t="shared" si="48"/>
        <v>0</v>
      </c>
      <c r="BK91" s="25" t="str">
        <f t="shared" si="48"/>
        <v>0</v>
      </c>
      <c r="BL91" s="25" t="str">
        <f t="shared" si="48"/>
        <v>0</v>
      </c>
      <c r="BM91" s="25" t="str">
        <f t="shared" si="48"/>
        <v>0</v>
      </c>
      <c r="BN91" s="25" t="str">
        <f t="shared" si="48"/>
        <v>0</v>
      </c>
      <c r="BO91" s="25" t="str">
        <f t="shared" si="48"/>
        <v>0</v>
      </c>
      <c r="BP91" s="25" t="str">
        <f t="shared" si="48"/>
        <v>0</v>
      </c>
      <c r="BQ91" s="25" t="str">
        <f t="shared" si="48"/>
        <v>0</v>
      </c>
      <c r="BR91" s="25" t="str">
        <f t="shared" si="48"/>
        <v>0</v>
      </c>
      <c r="BS91" s="25" t="str">
        <f t="shared" si="48"/>
        <v>0</v>
      </c>
      <c r="BT91" s="25" t="str">
        <f t="shared" si="48"/>
        <v>0</v>
      </c>
      <c r="BU91" s="25" t="str">
        <f t="shared" si="48"/>
        <v>0</v>
      </c>
      <c r="BV91" s="25" t="str">
        <f t="shared" si="48"/>
        <v>0</v>
      </c>
      <c r="BW91" s="25" t="str">
        <f t="shared" si="48"/>
        <v>0</v>
      </c>
      <c r="BX91" s="25" t="str">
        <f t="shared" si="48"/>
        <v>0</v>
      </c>
      <c r="BY91" s="25" t="str">
        <f t="shared" si="48"/>
        <v>0</v>
      </c>
      <c r="BZ91" s="25">
        <f t="shared" si="48"/>
        <v>1950</v>
      </c>
      <c r="CC91" s="25" t="str">
        <f t="array" ref="CC91">INDEX($C$46:$C$74,MATCH(CD91,$B$46:$B$74,0))</f>
        <v>大暑</v>
      </c>
      <c r="CD91" s="1">
        <v>1002</v>
      </c>
      <c r="CE91" s="1">
        <v>5</v>
      </c>
      <c r="CF91" s="25" t="str">
        <f t="array" ref="CF91">INDEX($T$5:$T$44,MATCH(CC91,$B$5:$B$44,0))</f>
        <v>物理</v>
      </c>
      <c r="CG91" s="25">
        <f t="shared" si="34"/>
        <v>0.3</v>
      </c>
      <c r="CH91" s="25">
        <f t="shared" si="13"/>
        <v>1.3</v>
      </c>
      <c r="CI91" s="25">
        <f t="shared" si="14"/>
        <v>1.3</v>
      </c>
      <c r="CJ91" s="25">
        <f t="shared" si="15"/>
        <v>1</v>
      </c>
      <c r="CK91" s="25">
        <f t="shared" si="16"/>
        <v>1.3</v>
      </c>
      <c r="CL91" s="25" t="str">
        <f t="array" ref="CL91">INDEX($S$5:$S$43,MATCH(CC91,$B$5:$B$43,0))</f>
        <v>技能冷却等级</v>
      </c>
      <c r="CM91" s="25">
        <f t="shared" si="35"/>
        <v>0.3</v>
      </c>
      <c r="CN91" s="25">
        <f t="shared" si="17"/>
        <v>3900</v>
      </c>
      <c r="CO91" s="25">
        <f t="shared" si="18"/>
        <v>1</v>
      </c>
      <c r="CP91" s="29" t="str">
        <f t="shared" ref="CP91:DQ91" si="49">IF($CL91=CP$78,$CN91,"0")</f>
        <v>0</v>
      </c>
      <c r="CQ91" s="29" t="str">
        <f t="shared" si="49"/>
        <v>0</v>
      </c>
      <c r="CR91" s="29" t="str">
        <f t="shared" si="49"/>
        <v>0</v>
      </c>
      <c r="CS91" s="29" t="str">
        <f t="shared" si="49"/>
        <v>0</v>
      </c>
      <c r="CT91" s="29" t="str">
        <f t="shared" si="49"/>
        <v>0</v>
      </c>
      <c r="CU91" s="29" t="str">
        <f t="shared" si="49"/>
        <v>0</v>
      </c>
      <c r="CV91" s="29" t="str">
        <f t="shared" si="49"/>
        <v>0</v>
      </c>
      <c r="CW91" s="29" t="str">
        <f t="shared" si="49"/>
        <v>0</v>
      </c>
      <c r="CX91" s="29" t="str">
        <f t="shared" si="49"/>
        <v>0</v>
      </c>
      <c r="CY91" s="29" t="str">
        <f t="shared" si="49"/>
        <v>0</v>
      </c>
      <c r="CZ91" s="29" t="str">
        <f t="shared" si="49"/>
        <v>0</v>
      </c>
      <c r="DA91" s="29" t="str">
        <f t="shared" si="49"/>
        <v>0</v>
      </c>
      <c r="DB91" s="29" t="str">
        <f t="shared" si="49"/>
        <v>0</v>
      </c>
      <c r="DC91" s="29" t="str">
        <f t="shared" si="49"/>
        <v>0</v>
      </c>
      <c r="DD91" s="29" t="str">
        <f t="shared" si="49"/>
        <v>0</v>
      </c>
      <c r="DE91" s="29" t="str">
        <f t="shared" si="49"/>
        <v>0</v>
      </c>
      <c r="DF91" s="29" t="str">
        <f t="shared" si="49"/>
        <v>0</v>
      </c>
      <c r="DG91" s="29" t="str">
        <f t="shared" si="49"/>
        <v>0</v>
      </c>
      <c r="DH91" s="29" t="str">
        <f t="shared" si="49"/>
        <v>0</v>
      </c>
      <c r="DI91" s="29" t="str">
        <f t="shared" si="49"/>
        <v>0</v>
      </c>
      <c r="DJ91" s="29" t="str">
        <f t="shared" si="49"/>
        <v>0</v>
      </c>
      <c r="DK91" s="29" t="str">
        <f t="shared" si="49"/>
        <v>0</v>
      </c>
      <c r="DL91" s="29" t="str">
        <f t="shared" si="49"/>
        <v>0</v>
      </c>
      <c r="DM91" s="29" t="str">
        <f t="shared" si="49"/>
        <v>0</v>
      </c>
      <c r="DN91" s="29" t="str">
        <f t="shared" si="49"/>
        <v>0</v>
      </c>
      <c r="DO91" s="29" t="str">
        <f t="shared" si="49"/>
        <v>0</v>
      </c>
      <c r="DP91" s="29" t="str">
        <f t="shared" si="49"/>
        <v>0</v>
      </c>
      <c r="DQ91" s="29">
        <f t="shared" si="49"/>
        <v>3900</v>
      </c>
      <c r="DR91" s="29"/>
      <c r="DS91" s="25" t="s">
        <v>1011</v>
      </c>
      <c r="DT91" s="25" t="str">
        <f>TEXT(角色升星!$F$18,"0%")</f>
        <v>15%</v>
      </c>
      <c r="DU91" s="25" t="s">
        <v>779</v>
      </c>
      <c r="DV91" s="25" t="str">
        <f>IF(CF91="物理","PhysicsAttack,+","MagicAttack,+")</f>
        <v>PhysicsAttack,+</v>
      </c>
      <c r="DW91" s="25" t="str">
        <f>TEXT(角色升星!$F$18,"0%")</f>
        <v>15%</v>
      </c>
      <c r="DX91" s="25" t="s">
        <v>779</v>
      </c>
      <c r="DY91" s="25" t="s">
        <v>1012</v>
      </c>
      <c r="DZ91" s="25" t="str">
        <f>TEXT(角色升星!$F$18,"0%")</f>
        <v>15%</v>
      </c>
      <c r="EA91" s="25" t="s">
        <v>779</v>
      </c>
      <c r="EB91" s="25" t="str">
        <f>VLOOKUP(CL91,$O$46:$P$73,2,0)</f>
        <v>CoolDownReduceLevel</v>
      </c>
      <c r="EC91" s="25" t="s">
        <v>1013</v>
      </c>
      <c r="ED91" s="25">
        <f>IF(CN91&gt;1,CN91,TEXT(CN91,"0%"))</f>
        <v>3900</v>
      </c>
      <c r="EE91" s="25" t="str">
        <f t="shared" si="20"/>
        <v>Hp,+15%;PhysicsAttack,+15%;Armor,+15%;CoolDownReduceLevel,+3900</v>
      </c>
    </row>
    <row r="92" spans="1:135">
      <c r="A92" s="48">
        <v>1001014</v>
      </c>
      <c r="B92" s="49" t="s">
        <v>910</v>
      </c>
      <c r="C92" s="25">
        <v>14</v>
      </c>
      <c r="D92" s="25">
        <f t="array" ref="D92">INDEX(C$5:C$67,MATCH($B92,$B$5:$B$67,0))</f>
        <v>3600</v>
      </c>
      <c r="E92" s="25">
        <f t="array" ref="E92">INDEX(D$5:D$67,MATCH($B92,$B$5:$B$67,0))</f>
        <v>288</v>
      </c>
      <c r="F92" s="25">
        <f t="array" ref="F92">INDEX(E$5:E$67,MATCH($B92,$B$5:$B$67,0))</f>
        <v>1320</v>
      </c>
      <c r="G92" s="25">
        <f t="array" ref="G92">INDEX(F$5:F$67,MATCH($B92,$B$5:$B$67,0))</f>
        <v>105.6</v>
      </c>
      <c r="H92" s="25">
        <f t="array" ref="H92">INDEX(G$5:G$66,MATCH($B92,$B$5:$B$67,0))</f>
        <v>1056</v>
      </c>
      <c r="I92" s="25">
        <f t="array" ref="I92">INDEX(H$5:H$67,MATCH($B92,$B$5:$B$67,0))</f>
        <v>84.48</v>
      </c>
      <c r="J92" s="25">
        <f t="array" ref="J92">INDEX(I$5:I$67,MATCH($B92,$B$5:$B$67,0))</f>
        <v>800</v>
      </c>
      <c r="K92" s="25">
        <f t="array" ref="K92">INDEX(J$5:J$67,MATCH($B92,$B$5:$B$67,0))</f>
        <v>64</v>
      </c>
      <c r="L92" s="25">
        <f t="shared" si="0"/>
        <v>7632</v>
      </c>
      <c r="M92" s="25">
        <f t="shared" si="1"/>
        <v>2798</v>
      </c>
      <c r="N92" s="25">
        <f t="shared" si="2"/>
        <v>2239</v>
      </c>
      <c r="O92" s="25">
        <f t="shared" si="3"/>
        <v>1696</v>
      </c>
      <c r="R92" s="50">
        <f t="array" ref="R92">INDEX($B$46:$B$68,MATCH(S92,$C$46:$C$68,0))*1000+T92</f>
        <v>1001014</v>
      </c>
      <c r="S92" s="51" t="s">
        <v>910</v>
      </c>
      <c r="T92" s="29">
        <v>14</v>
      </c>
      <c r="U92" s="25">
        <f t="array" ref="U92">INDEX(K$5:K$67,MATCH($S92,$B$5:$B$67,0))</f>
        <v>306.72</v>
      </c>
      <c r="V92" s="25">
        <f t="array" ref="V92">INDEX(L$5:L$67,MATCH($S92,$B$5:$B$67,0))</f>
        <v>112.64</v>
      </c>
      <c r="W92" s="25">
        <f t="array" ref="W92">INDEX(M$5:M$67,MATCH($S92,$B$5:$B$67,0))</f>
        <v>90.11</v>
      </c>
      <c r="X92" s="25">
        <f t="array" ref="X92">INDEX(N$5:N$67,MATCH($S92,$B$5:$B$67,0))</f>
        <v>68</v>
      </c>
      <c r="Y92" s="25">
        <f t="shared" si="4"/>
        <v>4294</v>
      </c>
      <c r="Z92" s="25">
        <f t="shared" si="5"/>
        <v>1577</v>
      </c>
      <c r="AA92" s="25">
        <f t="shared" si="6"/>
        <v>1262</v>
      </c>
      <c r="AB92" s="25">
        <f t="shared" si="7"/>
        <v>952</v>
      </c>
      <c r="AE92" s="1">
        <v>1015</v>
      </c>
      <c r="AF92" s="25">
        <v>14</v>
      </c>
      <c r="AG92" s="25">
        <f t="array" ref="AG92">INDEX($AE$79:$AE$116,QUOTIENT(AF92-1,8)+1)</f>
        <v>1002</v>
      </c>
      <c r="AH92" s="25">
        <f t="shared" si="37"/>
        <v>6</v>
      </c>
      <c r="AI92" s="25">
        <f t="shared" si="8"/>
        <v>10026</v>
      </c>
      <c r="AJ92" s="25" t="str">
        <f t="shared" si="9"/>
        <v>大暑</v>
      </c>
      <c r="AK92" s="25">
        <f t="shared" si="38"/>
        <v>1</v>
      </c>
      <c r="AL92" s="25" t="str">
        <f t="array" ref="AL92">INDEX($O$5:$O$42,MATCH(AJ92,$B$5:$B$42,0))</f>
        <v>防御百分比</v>
      </c>
      <c r="AM92" s="25" t="str">
        <f t="array" ref="AM92">INDEX($P$5:$P$42,MATCH(AJ92,$B$5:$B$42,0))</f>
        <v>生命值百分比</v>
      </c>
      <c r="AN92" s="25" t="str">
        <f t="array" ref="AN92">INDEX($Q$5:$Q$42,MATCH(AJ92,$B$5:$B$42,0))</f>
        <v>技能冷却等级</v>
      </c>
      <c r="AO92" s="25" t="str">
        <f t="array" ref="AO92">INDEX(AL92:AN92,0,AK92)</f>
        <v>防御百分比</v>
      </c>
      <c r="AP92" s="25">
        <f t="shared" si="39"/>
        <v>0.15</v>
      </c>
      <c r="AQ92" s="25">
        <f t="shared" si="11"/>
        <v>0.15</v>
      </c>
      <c r="AR92" s="25" t="str">
        <f t="shared" ref="AR92:BZ92" si="50">IF(AR$78=$AO92,$AQ92,"0")</f>
        <v>0</v>
      </c>
      <c r="AS92" s="25" t="str">
        <f t="shared" si="50"/>
        <v>0</v>
      </c>
      <c r="AT92" s="25" t="str">
        <f t="shared" si="50"/>
        <v>0</v>
      </c>
      <c r="AU92" s="25" t="str">
        <f t="shared" si="50"/>
        <v>0</v>
      </c>
      <c r="AV92" s="25" t="str">
        <f t="shared" si="50"/>
        <v>0</v>
      </c>
      <c r="AW92" s="25" t="str">
        <f t="shared" si="50"/>
        <v>0</v>
      </c>
      <c r="AX92" s="25" t="str">
        <f t="shared" si="50"/>
        <v>0</v>
      </c>
      <c r="AY92" s="25">
        <f t="shared" si="50"/>
        <v>0.15</v>
      </c>
      <c r="AZ92" s="25" t="str">
        <f t="shared" si="50"/>
        <v>0</v>
      </c>
      <c r="BA92" s="25" t="str">
        <f t="shared" si="50"/>
        <v>0</v>
      </c>
      <c r="BB92" s="25" t="str">
        <f t="shared" si="50"/>
        <v>0</v>
      </c>
      <c r="BC92" s="25" t="str">
        <f t="shared" si="50"/>
        <v>0</v>
      </c>
      <c r="BD92" s="25" t="str">
        <f t="shared" si="50"/>
        <v>0</v>
      </c>
      <c r="BE92" s="25" t="str">
        <f t="shared" si="50"/>
        <v>0</v>
      </c>
      <c r="BF92" s="25" t="str">
        <f t="shared" si="50"/>
        <v>0</v>
      </c>
      <c r="BG92" s="25" t="str">
        <f t="shared" si="50"/>
        <v>0</v>
      </c>
      <c r="BH92" s="25" t="str">
        <f t="shared" si="50"/>
        <v>0</v>
      </c>
      <c r="BI92" s="25" t="str">
        <f t="shared" si="50"/>
        <v>0</v>
      </c>
      <c r="BJ92" s="25" t="str">
        <f t="shared" si="50"/>
        <v>0</v>
      </c>
      <c r="BK92" s="25" t="str">
        <f t="shared" si="50"/>
        <v>0</v>
      </c>
      <c r="BL92" s="25" t="str">
        <f t="shared" si="50"/>
        <v>0</v>
      </c>
      <c r="BM92" s="25" t="str">
        <f t="shared" si="50"/>
        <v>0</v>
      </c>
      <c r="BN92" s="25" t="str">
        <f t="shared" si="50"/>
        <v>0</v>
      </c>
      <c r="BO92" s="25" t="str">
        <f t="shared" si="50"/>
        <v>0</v>
      </c>
      <c r="BP92" s="25" t="str">
        <f t="shared" si="50"/>
        <v>0</v>
      </c>
      <c r="BQ92" s="25" t="str">
        <f t="shared" si="50"/>
        <v>0</v>
      </c>
      <c r="BR92" s="25" t="str">
        <f t="shared" si="50"/>
        <v>0</v>
      </c>
      <c r="BS92" s="25" t="str">
        <f t="shared" si="50"/>
        <v>0</v>
      </c>
      <c r="BT92" s="25" t="str">
        <f t="shared" si="50"/>
        <v>0</v>
      </c>
      <c r="BU92" s="25" t="str">
        <f t="shared" si="50"/>
        <v>0</v>
      </c>
      <c r="BV92" s="25" t="str">
        <f t="shared" si="50"/>
        <v>0</v>
      </c>
      <c r="BW92" s="25" t="str">
        <f t="shared" si="50"/>
        <v>0</v>
      </c>
      <c r="BX92" s="25" t="str">
        <f t="shared" si="50"/>
        <v>0</v>
      </c>
      <c r="BY92" s="25" t="str">
        <f t="shared" si="50"/>
        <v>0</v>
      </c>
      <c r="BZ92" s="25" t="str">
        <f t="shared" si="50"/>
        <v>0</v>
      </c>
      <c r="CC92" s="25" t="str">
        <f t="array" ref="CC92">INDEX($C$46:$C$74,MATCH(CD92,$B$46:$B$74,0))</f>
        <v>大暑</v>
      </c>
      <c r="CD92" s="1">
        <v>1002</v>
      </c>
      <c r="CE92" s="1">
        <v>6</v>
      </c>
      <c r="CF92" s="25" t="str">
        <f t="array" ref="CF92">INDEX($T$5:$T$44,MATCH(CC92,$B$5:$B$44,0))</f>
        <v>物理</v>
      </c>
      <c r="CG92" s="25">
        <f t="shared" si="34"/>
        <v>0.3</v>
      </c>
      <c r="CH92" s="25">
        <f t="shared" si="13"/>
        <v>1.3</v>
      </c>
      <c r="CI92" s="25">
        <f t="shared" si="14"/>
        <v>1.3</v>
      </c>
      <c r="CJ92" s="25">
        <f t="shared" si="15"/>
        <v>1</v>
      </c>
      <c r="CK92" s="25">
        <f t="shared" si="16"/>
        <v>1.3</v>
      </c>
      <c r="CL92" s="25">
        <v>0</v>
      </c>
      <c r="CM92" s="25">
        <f t="shared" si="35"/>
        <v>0</v>
      </c>
      <c r="CN92" s="25">
        <f t="shared" si="17"/>
        <v>0</v>
      </c>
      <c r="CO92" s="25">
        <f t="shared" si="18"/>
        <v>0</v>
      </c>
      <c r="CP92" s="29" t="str">
        <f t="shared" ref="CP92:DQ92" si="51">IF($CL92=CP$78,$CN92,"0")</f>
        <v>0</v>
      </c>
      <c r="CQ92" s="29" t="str">
        <f t="shared" si="51"/>
        <v>0</v>
      </c>
      <c r="CR92" s="29" t="str">
        <f t="shared" si="51"/>
        <v>0</v>
      </c>
      <c r="CS92" s="29" t="str">
        <f t="shared" si="51"/>
        <v>0</v>
      </c>
      <c r="CT92" s="29" t="str">
        <f t="shared" si="51"/>
        <v>0</v>
      </c>
      <c r="CU92" s="29" t="str">
        <f t="shared" si="51"/>
        <v>0</v>
      </c>
      <c r="CV92" s="29" t="str">
        <f t="shared" si="51"/>
        <v>0</v>
      </c>
      <c r="CW92" s="29" t="str">
        <f t="shared" si="51"/>
        <v>0</v>
      </c>
      <c r="CX92" s="29" t="str">
        <f t="shared" si="51"/>
        <v>0</v>
      </c>
      <c r="CY92" s="29" t="str">
        <f t="shared" si="51"/>
        <v>0</v>
      </c>
      <c r="CZ92" s="29" t="str">
        <f t="shared" si="51"/>
        <v>0</v>
      </c>
      <c r="DA92" s="29" t="str">
        <f t="shared" si="51"/>
        <v>0</v>
      </c>
      <c r="DB92" s="29" t="str">
        <f t="shared" si="51"/>
        <v>0</v>
      </c>
      <c r="DC92" s="29" t="str">
        <f t="shared" si="51"/>
        <v>0</v>
      </c>
      <c r="DD92" s="29" t="str">
        <f t="shared" si="51"/>
        <v>0</v>
      </c>
      <c r="DE92" s="29" t="str">
        <f t="shared" si="51"/>
        <v>0</v>
      </c>
      <c r="DF92" s="29" t="str">
        <f t="shared" si="51"/>
        <v>0</v>
      </c>
      <c r="DG92" s="29" t="str">
        <f t="shared" si="51"/>
        <v>0</v>
      </c>
      <c r="DH92" s="29" t="str">
        <f t="shared" si="51"/>
        <v>0</v>
      </c>
      <c r="DI92" s="29" t="str">
        <f t="shared" si="51"/>
        <v>0</v>
      </c>
      <c r="DJ92" s="29" t="str">
        <f t="shared" si="51"/>
        <v>0</v>
      </c>
      <c r="DK92" s="29" t="str">
        <f t="shared" si="51"/>
        <v>0</v>
      </c>
      <c r="DL92" s="29" t="str">
        <f t="shared" si="51"/>
        <v>0</v>
      </c>
      <c r="DM92" s="29" t="str">
        <f t="shared" si="51"/>
        <v>0</v>
      </c>
      <c r="DN92" s="29" t="str">
        <f t="shared" si="51"/>
        <v>0</v>
      </c>
      <c r="DO92" s="29" t="str">
        <f t="shared" si="51"/>
        <v>0</v>
      </c>
      <c r="DP92" s="29" t="str">
        <f t="shared" si="51"/>
        <v>0</v>
      </c>
      <c r="DQ92" s="29" t="str">
        <f t="shared" si="51"/>
        <v>0</v>
      </c>
      <c r="DR92" s="29"/>
      <c r="DS92" s="25">
        <v>0</v>
      </c>
      <c r="EE92" s="25" t="str">
        <f t="shared" si="20"/>
        <v>0</v>
      </c>
    </row>
    <row r="93" spans="1:135">
      <c r="A93" s="48">
        <v>1001015</v>
      </c>
      <c r="B93" s="49" t="s">
        <v>910</v>
      </c>
      <c r="C93" s="25">
        <v>15</v>
      </c>
      <c r="D93" s="25">
        <f t="array" ref="D93">INDEX(C$5:C$67,MATCH($B93,$B$5:$B$67,0))</f>
        <v>3600</v>
      </c>
      <c r="E93" s="25">
        <f t="array" ref="E93">INDEX(D$5:D$67,MATCH($B93,$B$5:$B$67,0))</f>
        <v>288</v>
      </c>
      <c r="F93" s="25">
        <f t="array" ref="F93">INDEX(E$5:E$67,MATCH($B93,$B$5:$B$67,0))</f>
        <v>1320</v>
      </c>
      <c r="G93" s="25">
        <f t="array" ref="G93">INDEX(F$5:F$67,MATCH($B93,$B$5:$B$67,0))</f>
        <v>105.6</v>
      </c>
      <c r="H93" s="25">
        <f t="array" ref="H93">INDEX(G$5:G$66,MATCH($B93,$B$5:$B$67,0))</f>
        <v>1056</v>
      </c>
      <c r="I93" s="25">
        <f t="array" ref="I93">INDEX(H$5:H$67,MATCH($B93,$B$5:$B$67,0))</f>
        <v>84.48</v>
      </c>
      <c r="J93" s="25">
        <f t="array" ref="J93">INDEX(I$5:I$67,MATCH($B93,$B$5:$B$67,0))</f>
        <v>800</v>
      </c>
      <c r="K93" s="25">
        <f t="array" ref="K93">INDEX(J$5:J$67,MATCH($B93,$B$5:$B$67,0))</f>
        <v>64</v>
      </c>
      <c r="L93" s="25">
        <f t="shared" si="0"/>
        <v>7920</v>
      </c>
      <c r="M93" s="25">
        <f t="shared" si="1"/>
        <v>2904</v>
      </c>
      <c r="N93" s="25">
        <f t="shared" si="2"/>
        <v>2323</v>
      </c>
      <c r="O93" s="25">
        <f t="shared" si="3"/>
        <v>1760</v>
      </c>
      <c r="R93" s="50">
        <f t="array" ref="R93">INDEX($B$46:$B$68,MATCH(S93,$C$46:$C$68,0))*1000+T93</f>
        <v>1001015</v>
      </c>
      <c r="S93" s="51" t="s">
        <v>910</v>
      </c>
      <c r="T93" s="29">
        <v>15</v>
      </c>
      <c r="U93" s="25">
        <f t="array" ref="U93">INDEX(K$5:K$67,MATCH($S93,$B$5:$B$67,0))</f>
        <v>306.72</v>
      </c>
      <c r="V93" s="25">
        <f t="array" ref="V93">INDEX(L$5:L$67,MATCH($S93,$B$5:$B$67,0))</f>
        <v>112.64</v>
      </c>
      <c r="W93" s="25">
        <f t="array" ref="W93">INDEX(M$5:M$67,MATCH($S93,$B$5:$B$67,0))</f>
        <v>90.11</v>
      </c>
      <c r="X93" s="25">
        <f t="array" ref="X93">INDEX(N$5:N$67,MATCH($S93,$B$5:$B$67,0))</f>
        <v>68</v>
      </c>
      <c r="Y93" s="25">
        <f t="shared" si="4"/>
        <v>4601</v>
      </c>
      <c r="Z93" s="25">
        <f t="shared" si="5"/>
        <v>1690</v>
      </c>
      <c r="AA93" s="25">
        <f t="shared" si="6"/>
        <v>1352</v>
      </c>
      <c r="AB93" s="25">
        <f t="shared" si="7"/>
        <v>1020</v>
      </c>
      <c r="AE93" s="1">
        <v>1017</v>
      </c>
      <c r="AF93" s="25">
        <v>15</v>
      </c>
      <c r="AG93" s="25">
        <f t="array" ref="AG93">INDEX($AE$79:$AE$116,QUOTIENT(AF93-1,8)+1)</f>
        <v>1002</v>
      </c>
      <c r="AH93" s="25">
        <f t="shared" si="37"/>
        <v>7</v>
      </c>
      <c r="AI93" s="25">
        <f t="shared" si="8"/>
        <v>10027</v>
      </c>
      <c r="AJ93" s="25" t="str">
        <f t="shared" si="9"/>
        <v>大暑</v>
      </c>
      <c r="AK93" s="25">
        <f t="shared" si="38"/>
        <v>2</v>
      </c>
      <c r="AL93" s="25" t="str">
        <f t="array" ref="AL93">INDEX($O$5:$O$42,MATCH(AJ93,$B$5:$B$42,0))</f>
        <v>防御百分比</v>
      </c>
      <c r="AM93" s="25" t="str">
        <f t="array" ref="AM93">INDEX($P$5:$P$42,MATCH(AJ93,$B$5:$B$42,0))</f>
        <v>生命值百分比</v>
      </c>
      <c r="AN93" s="25" t="str">
        <f t="array" ref="AN93">INDEX($Q$5:$Q$42,MATCH(AJ93,$B$5:$B$42,0))</f>
        <v>技能冷却等级</v>
      </c>
      <c r="AO93" s="25" t="str">
        <f t="array" ref="AO93">INDEX(AL93:AN93,0,AK93)</f>
        <v>生命值百分比</v>
      </c>
      <c r="AP93" s="25">
        <f t="shared" si="39"/>
        <v>0.15</v>
      </c>
      <c r="AQ93" s="25">
        <f t="shared" si="11"/>
        <v>0.15</v>
      </c>
      <c r="AR93" s="25" t="str">
        <f t="shared" ref="AR93:BZ93" si="52">IF(AR$78=$AO93,$AQ93,"0")</f>
        <v>0</v>
      </c>
      <c r="AS93" s="25">
        <f t="shared" si="52"/>
        <v>0.15</v>
      </c>
      <c r="AT93" s="25" t="str">
        <f t="shared" si="52"/>
        <v>0</v>
      </c>
      <c r="AU93" s="25" t="str">
        <f t="shared" si="52"/>
        <v>0</v>
      </c>
      <c r="AV93" s="25" t="str">
        <f t="shared" si="52"/>
        <v>0</v>
      </c>
      <c r="AW93" s="25" t="str">
        <f t="shared" si="52"/>
        <v>0</v>
      </c>
      <c r="AX93" s="25" t="str">
        <f t="shared" si="52"/>
        <v>0</v>
      </c>
      <c r="AY93" s="25" t="str">
        <f t="shared" si="52"/>
        <v>0</v>
      </c>
      <c r="AZ93" s="25" t="str">
        <f t="shared" si="52"/>
        <v>0</v>
      </c>
      <c r="BA93" s="25" t="str">
        <f t="shared" si="52"/>
        <v>0</v>
      </c>
      <c r="BB93" s="25" t="str">
        <f t="shared" si="52"/>
        <v>0</v>
      </c>
      <c r="BC93" s="25" t="str">
        <f t="shared" si="52"/>
        <v>0</v>
      </c>
      <c r="BD93" s="25" t="str">
        <f t="shared" si="52"/>
        <v>0</v>
      </c>
      <c r="BE93" s="25" t="str">
        <f t="shared" si="52"/>
        <v>0</v>
      </c>
      <c r="BF93" s="25" t="str">
        <f t="shared" si="52"/>
        <v>0</v>
      </c>
      <c r="BG93" s="25" t="str">
        <f t="shared" si="52"/>
        <v>0</v>
      </c>
      <c r="BH93" s="25" t="str">
        <f t="shared" si="52"/>
        <v>0</v>
      </c>
      <c r="BI93" s="25" t="str">
        <f t="shared" si="52"/>
        <v>0</v>
      </c>
      <c r="BJ93" s="25" t="str">
        <f t="shared" si="52"/>
        <v>0</v>
      </c>
      <c r="BK93" s="25" t="str">
        <f t="shared" si="52"/>
        <v>0</v>
      </c>
      <c r="BL93" s="25" t="str">
        <f t="shared" si="52"/>
        <v>0</v>
      </c>
      <c r="BM93" s="25" t="str">
        <f t="shared" si="52"/>
        <v>0</v>
      </c>
      <c r="BN93" s="25" t="str">
        <f t="shared" si="52"/>
        <v>0</v>
      </c>
      <c r="BO93" s="25" t="str">
        <f t="shared" si="52"/>
        <v>0</v>
      </c>
      <c r="BP93" s="25" t="str">
        <f t="shared" si="52"/>
        <v>0</v>
      </c>
      <c r="BQ93" s="25" t="str">
        <f t="shared" si="52"/>
        <v>0</v>
      </c>
      <c r="BR93" s="25" t="str">
        <f t="shared" si="52"/>
        <v>0</v>
      </c>
      <c r="BS93" s="25" t="str">
        <f t="shared" si="52"/>
        <v>0</v>
      </c>
      <c r="BT93" s="25" t="str">
        <f t="shared" si="52"/>
        <v>0</v>
      </c>
      <c r="BU93" s="25" t="str">
        <f t="shared" si="52"/>
        <v>0</v>
      </c>
      <c r="BV93" s="25" t="str">
        <f t="shared" si="52"/>
        <v>0</v>
      </c>
      <c r="BW93" s="25" t="str">
        <f t="shared" si="52"/>
        <v>0</v>
      </c>
      <c r="BX93" s="25" t="str">
        <f t="shared" si="52"/>
        <v>0</v>
      </c>
      <c r="BY93" s="25" t="str">
        <f t="shared" si="52"/>
        <v>0</v>
      </c>
      <c r="BZ93" s="25" t="str">
        <f t="shared" si="52"/>
        <v>0</v>
      </c>
      <c r="CC93" s="25" t="str">
        <f t="array" ref="CC93">INDEX($C$46:$C$74,MATCH(CD93,$B$46:$B$74,0))</f>
        <v>塔拉夏</v>
      </c>
      <c r="CD93" s="1">
        <v>1003</v>
      </c>
      <c r="CE93" s="1">
        <v>0</v>
      </c>
      <c r="CF93" s="25" t="str">
        <f t="array" ref="CF93">INDEX($T$5:$T$44,MATCH(CC93,$B$5:$B$44,0))</f>
        <v>魔法</v>
      </c>
      <c r="CG93" s="25">
        <f t="shared" si="34"/>
        <v>0</v>
      </c>
      <c r="CH93" s="25">
        <f t="shared" si="13"/>
        <v>1</v>
      </c>
      <c r="CI93" s="25">
        <f t="shared" si="14"/>
        <v>1</v>
      </c>
      <c r="CJ93" s="25">
        <f t="shared" si="15"/>
        <v>1</v>
      </c>
      <c r="CK93" s="25">
        <f t="shared" si="16"/>
        <v>1</v>
      </c>
      <c r="CL93" s="25">
        <v>0</v>
      </c>
      <c r="CM93" s="25">
        <f t="shared" si="35"/>
        <v>0</v>
      </c>
      <c r="CN93" s="25">
        <f t="shared" si="17"/>
        <v>0</v>
      </c>
      <c r="CO93" s="25">
        <f t="shared" si="18"/>
        <v>0</v>
      </c>
      <c r="CP93" s="29" t="str">
        <f t="shared" ref="CP93:DQ93" si="53">IF($CL93=CP$78,$CN93,"0")</f>
        <v>0</v>
      </c>
      <c r="CQ93" s="29" t="str">
        <f t="shared" si="53"/>
        <v>0</v>
      </c>
      <c r="CR93" s="29" t="str">
        <f t="shared" si="53"/>
        <v>0</v>
      </c>
      <c r="CS93" s="29" t="str">
        <f t="shared" si="53"/>
        <v>0</v>
      </c>
      <c r="CT93" s="29" t="str">
        <f t="shared" si="53"/>
        <v>0</v>
      </c>
      <c r="CU93" s="29" t="str">
        <f t="shared" si="53"/>
        <v>0</v>
      </c>
      <c r="CV93" s="29" t="str">
        <f t="shared" si="53"/>
        <v>0</v>
      </c>
      <c r="CW93" s="29" t="str">
        <f t="shared" si="53"/>
        <v>0</v>
      </c>
      <c r="CX93" s="29" t="str">
        <f t="shared" si="53"/>
        <v>0</v>
      </c>
      <c r="CY93" s="29" t="str">
        <f t="shared" si="53"/>
        <v>0</v>
      </c>
      <c r="CZ93" s="29" t="str">
        <f t="shared" si="53"/>
        <v>0</v>
      </c>
      <c r="DA93" s="29" t="str">
        <f t="shared" si="53"/>
        <v>0</v>
      </c>
      <c r="DB93" s="29" t="str">
        <f t="shared" si="53"/>
        <v>0</v>
      </c>
      <c r="DC93" s="29" t="str">
        <f t="shared" si="53"/>
        <v>0</v>
      </c>
      <c r="DD93" s="29" t="str">
        <f t="shared" si="53"/>
        <v>0</v>
      </c>
      <c r="DE93" s="29" t="str">
        <f t="shared" si="53"/>
        <v>0</v>
      </c>
      <c r="DF93" s="29" t="str">
        <f t="shared" si="53"/>
        <v>0</v>
      </c>
      <c r="DG93" s="29" t="str">
        <f t="shared" si="53"/>
        <v>0</v>
      </c>
      <c r="DH93" s="29" t="str">
        <f t="shared" si="53"/>
        <v>0</v>
      </c>
      <c r="DI93" s="29" t="str">
        <f t="shared" si="53"/>
        <v>0</v>
      </c>
      <c r="DJ93" s="29" t="str">
        <f t="shared" si="53"/>
        <v>0</v>
      </c>
      <c r="DK93" s="29" t="str">
        <f t="shared" si="53"/>
        <v>0</v>
      </c>
      <c r="DL93" s="29" t="str">
        <f t="shared" si="53"/>
        <v>0</v>
      </c>
      <c r="DM93" s="29" t="str">
        <f t="shared" si="53"/>
        <v>0</v>
      </c>
      <c r="DN93" s="29" t="str">
        <f t="shared" si="53"/>
        <v>0</v>
      </c>
      <c r="DO93" s="29" t="str">
        <f t="shared" si="53"/>
        <v>0</v>
      </c>
      <c r="DP93" s="29" t="str">
        <f t="shared" si="53"/>
        <v>0</v>
      </c>
      <c r="DQ93" s="29" t="str">
        <f t="shared" si="53"/>
        <v>0</v>
      </c>
      <c r="DR93" s="29"/>
      <c r="DS93" s="25">
        <v>0</v>
      </c>
      <c r="EE93" s="25" t="str">
        <f t="shared" si="20"/>
        <v>0</v>
      </c>
    </row>
    <row r="94" spans="1:135">
      <c r="A94" s="48">
        <v>1001016</v>
      </c>
      <c r="B94" s="49" t="s">
        <v>910</v>
      </c>
      <c r="C94" s="25">
        <v>16</v>
      </c>
      <c r="D94" s="25">
        <f t="array" ref="D94">INDEX(C$5:C$67,MATCH($B94,$B$5:$B$67,0))</f>
        <v>3600</v>
      </c>
      <c r="E94" s="25">
        <f t="array" ref="E94">INDEX(D$5:D$67,MATCH($B94,$B$5:$B$67,0))</f>
        <v>288</v>
      </c>
      <c r="F94" s="25">
        <f t="array" ref="F94">INDEX(E$5:E$67,MATCH($B94,$B$5:$B$67,0))</f>
        <v>1320</v>
      </c>
      <c r="G94" s="25">
        <f t="array" ref="G94">INDEX(F$5:F$67,MATCH($B94,$B$5:$B$67,0))</f>
        <v>105.6</v>
      </c>
      <c r="H94" s="25">
        <f t="array" ref="H94">INDEX(G$5:G$66,MATCH($B94,$B$5:$B$67,0))</f>
        <v>1056</v>
      </c>
      <c r="I94" s="25">
        <f t="array" ref="I94">INDEX(H$5:H$67,MATCH($B94,$B$5:$B$67,0))</f>
        <v>84.48</v>
      </c>
      <c r="J94" s="25">
        <f t="array" ref="J94">INDEX(I$5:I$67,MATCH($B94,$B$5:$B$67,0))</f>
        <v>800</v>
      </c>
      <c r="K94" s="25">
        <f t="array" ref="K94">INDEX(J$5:J$67,MATCH($B94,$B$5:$B$67,0))</f>
        <v>64</v>
      </c>
      <c r="L94" s="25">
        <f t="shared" si="0"/>
        <v>8208</v>
      </c>
      <c r="M94" s="25">
        <f t="shared" si="1"/>
        <v>3010</v>
      </c>
      <c r="N94" s="25">
        <f t="shared" si="2"/>
        <v>2408</v>
      </c>
      <c r="O94" s="25">
        <f t="shared" si="3"/>
        <v>1824</v>
      </c>
      <c r="R94" s="50">
        <f t="array" ref="R94">INDEX($B$46:$B$68,MATCH(S94,$C$46:$C$68,0))*1000+T94</f>
        <v>1001016</v>
      </c>
      <c r="S94" s="51" t="s">
        <v>910</v>
      </c>
      <c r="T94" s="29">
        <v>16</v>
      </c>
      <c r="U94" s="25">
        <f t="array" ref="U94">INDEX(K$5:K$67,MATCH($S94,$B$5:$B$67,0))</f>
        <v>306.72</v>
      </c>
      <c r="V94" s="25">
        <f t="array" ref="V94">INDEX(L$5:L$67,MATCH($S94,$B$5:$B$67,0))</f>
        <v>112.64</v>
      </c>
      <c r="W94" s="25">
        <f t="array" ref="W94">INDEX(M$5:M$67,MATCH($S94,$B$5:$B$67,0))</f>
        <v>90.11</v>
      </c>
      <c r="X94" s="25">
        <f t="array" ref="X94">INDEX(N$5:N$67,MATCH($S94,$B$5:$B$67,0))</f>
        <v>68</v>
      </c>
      <c r="Y94" s="25">
        <f t="shared" si="4"/>
        <v>4908</v>
      </c>
      <c r="Z94" s="25">
        <f t="shared" si="5"/>
        <v>1802</v>
      </c>
      <c r="AA94" s="25">
        <f t="shared" si="6"/>
        <v>1442</v>
      </c>
      <c r="AB94" s="25">
        <f t="shared" si="7"/>
        <v>1088</v>
      </c>
      <c r="AE94" s="1">
        <v>1018</v>
      </c>
      <c r="AF94" s="25">
        <v>16</v>
      </c>
      <c r="AG94" s="25">
        <f t="array" ref="AG94">INDEX($AE$79:$AE$116,QUOTIENT(AF94-1,8)+1)</f>
        <v>1002</v>
      </c>
      <c r="AH94" s="25">
        <f t="shared" si="37"/>
        <v>8</v>
      </c>
      <c r="AI94" s="25">
        <f t="shared" si="8"/>
        <v>10028</v>
      </c>
      <c r="AJ94" s="25" t="str">
        <f t="shared" si="9"/>
        <v>大暑</v>
      </c>
      <c r="AK94" s="25">
        <f t="shared" si="38"/>
        <v>3</v>
      </c>
      <c r="AL94" s="25" t="str">
        <f t="array" ref="AL94">INDEX($O$5:$O$42,MATCH(AJ94,$B$5:$B$42,0))</f>
        <v>防御百分比</v>
      </c>
      <c r="AM94" s="25" t="str">
        <f t="array" ref="AM94">INDEX($P$5:$P$42,MATCH(AJ94,$B$5:$B$42,0))</f>
        <v>生命值百分比</v>
      </c>
      <c r="AN94" s="25" t="str">
        <f t="array" ref="AN94">INDEX($Q$5:$Q$42,MATCH(AJ94,$B$5:$B$42,0))</f>
        <v>技能冷却等级</v>
      </c>
      <c r="AO94" s="25" t="str">
        <f t="array" ref="AO94">INDEX(AL94:AN94,0,AK94)</f>
        <v>技能冷却等级</v>
      </c>
      <c r="AP94" s="25">
        <f t="shared" si="39"/>
        <v>0.15</v>
      </c>
      <c r="AQ94" s="25">
        <f t="shared" si="11"/>
        <v>1950</v>
      </c>
      <c r="AR94" s="25" t="str">
        <f t="shared" ref="AR94:BZ94" si="54">IF(AR$78=$AO94,$AQ94,"0")</f>
        <v>0</v>
      </c>
      <c r="AS94" s="25" t="str">
        <f t="shared" si="54"/>
        <v>0</v>
      </c>
      <c r="AT94" s="25" t="str">
        <f t="shared" si="54"/>
        <v>0</v>
      </c>
      <c r="AU94" s="25" t="str">
        <f t="shared" si="54"/>
        <v>0</v>
      </c>
      <c r="AV94" s="25" t="str">
        <f t="shared" si="54"/>
        <v>0</v>
      </c>
      <c r="AW94" s="25" t="str">
        <f t="shared" si="54"/>
        <v>0</v>
      </c>
      <c r="AX94" s="25" t="str">
        <f t="shared" si="54"/>
        <v>0</v>
      </c>
      <c r="AY94" s="25" t="str">
        <f t="shared" si="54"/>
        <v>0</v>
      </c>
      <c r="AZ94" s="25" t="str">
        <f t="shared" si="54"/>
        <v>0</v>
      </c>
      <c r="BA94" s="25" t="str">
        <f t="shared" si="54"/>
        <v>0</v>
      </c>
      <c r="BB94" s="25" t="str">
        <f t="shared" si="54"/>
        <v>0</v>
      </c>
      <c r="BC94" s="25" t="str">
        <f t="shared" si="54"/>
        <v>0</v>
      </c>
      <c r="BD94" s="25" t="str">
        <f t="shared" si="54"/>
        <v>0</v>
      </c>
      <c r="BE94" s="25" t="str">
        <f t="shared" si="54"/>
        <v>0</v>
      </c>
      <c r="BF94" s="25" t="str">
        <f t="shared" si="54"/>
        <v>0</v>
      </c>
      <c r="BG94" s="25" t="str">
        <f t="shared" si="54"/>
        <v>0</v>
      </c>
      <c r="BH94" s="25" t="str">
        <f t="shared" si="54"/>
        <v>0</v>
      </c>
      <c r="BI94" s="25" t="str">
        <f t="shared" si="54"/>
        <v>0</v>
      </c>
      <c r="BJ94" s="25" t="str">
        <f t="shared" si="54"/>
        <v>0</v>
      </c>
      <c r="BK94" s="25" t="str">
        <f t="shared" si="54"/>
        <v>0</v>
      </c>
      <c r="BL94" s="25" t="str">
        <f t="shared" si="54"/>
        <v>0</v>
      </c>
      <c r="BM94" s="25" t="str">
        <f t="shared" si="54"/>
        <v>0</v>
      </c>
      <c r="BN94" s="25" t="str">
        <f t="shared" si="54"/>
        <v>0</v>
      </c>
      <c r="BO94" s="25" t="str">
        <f t="shared" si="54"/>
        <v>0</v>
      </c>
      <c r="BP94" s="25" t="str">
        <f t="shared" si="54"/>
        <v>0</v>
      </c>
      <c r="BQ94" s="25" t="str">
        <f t="shared" si="54"/>
        <v>0</v>
      </c>
      <c r="BR94" s="25" t="str">
        <f t="shared" si="54"/>
        <v>0</v>
      </c>
      <c r="BS94" s="25" t="str">
        <f t="shared" si="54"/>
        <v>0</v>
      </c>
      <c r="BT94" s="25" t="str">
        <f t="shared" si="54"/>
        <v>0</v>
      </c>
      <c r="BU94" s="25" t="str">
        <f t="shared" si="54"/>
        <v>0</v>
      </c>
      <c r="BV94" s="25" t="str">
        <f t="shared" si="54"/>
        <v>0</v>
      </c>
      <c r="BW94" s="25" t="str">
        <f t="shared" si="54"/>
        <v>0</v>
      </c>
      <c r="BX94" s="25" t="str">
        <f t="shared" si="54"/>
        <v>0</v>
      </c>
      <c r="BY94" s="25" t="str">
        <f t="shared" si="54"/>
        <v>0</v>
      </c>
      <c r="BZ94" s="25">
        <f t="shared" si="54"/>
        <v>1950</v>
      </c>
      <c r="CC94" s="25" t="str">
        <f t="array" ref="CC94">INDEX($C$46:$C$74,MATCH(CD94,$B$46:$B$74,0))</f>
        <v>塔拉夏</v>
      </c>
      <c r="CD94" s="1">
        <v>1003</v>
      </c>
      <c r="CE94" s="1">
        <v>1</v>
      </c>
      <c r="CF94" s="25" t="str">
        <f t="array" ref="CF94">INDEX($T$5:$T$44,MATCH(CC94,$B$5:$B$44,0))</f>
        <v>魔法</v>
      </c>
      <c r="CG94" s="25">
        <f t="shared" si="34"/>
        <v>0</v>
      </c>
      <c r="CH94" s="25">
        <f t="shared" si="13"/>
        <v>1</v>
      </c>
      <c r="CI94" s="25">
        <f t="shared" si="14"/>
        <v>1</v>
      </c>
      <c r="CJ94" s="25">
        <f t="shared" si="15"/>
        <v>1</v>
      </c>
      <c r="CK94" s="25">
        <f t="shared" si="16"/>
        <v>1</v>
      </c>
      <c r="CL94" s="25">
        <v>0</v>
      </c>
      <c r="CM94" s="25">
        <f t="shared" si="35"/>
        <v>0</v>
      </c>
      <c r="CN94" s="25">
        <f t="shared" si="17"/>
        <v>0</v>
      </c>
      <c r="CO94" s="25">
        <f t="shared" si="18"/>
        <v>0</v>
      </c>
      <c r="CP94" s="29" t="str">
        <f t="shared" ref="CP94:DQ94" si="55">IF($CL94=CP$78,$CN94,"0")</f>
        <v>0</v>
      </c>
      <c r="CQ94" s="29" t="str">
        <f t="shared" si="55"/>
        <v>0</v>
      </c>
      <c r="CR94" s="29" t="str">
        <f t="shared" si="55"/>
        <v>0</v>
      </c>
      <c r="CS94" s="29" t="str">
        <f t="shared" si="55"/>
        <v>0</v>
      </c>
      <c r="CT94" s="29" t="str">
        <f t="shared" si="55"/>
        <v>0</v>
      </c>
      <c r="CU94" s="29" t="str">
        <f t="shared" si="55"/>
        <v>0</v>
      </c>
      <c r="CV94" s="29" t="str">
        <f t="shared" si="55"/>
        <v>0</v>
      </c>
      <c r="CW94" s="29" t="str">
        <f t="shared" si="55"/>
        <v>0</v>
      </c>
      <c r="CX94" s="29" t="str">
        <f t="shared" si="55"/>
        <v>0</v>
      </c>
      <c r="CY94" s="29" t="str">
        <f t="shared" si="55"/>
        <v>0</v>
      </c>
      <c r="CZ94" s="29" t="str">
        <f t="shared" si="55"/>
        <v>0</v>
      </c>
      <c r="DA94" s="29" t="str">
        <f t="shared" si="55"/>
        <v>0</v>
      </c>
      <c r="DB94" s="29" t="str">
        <f t="shared" si="55"/>
        <v>0</v>
      </c>
      <c r="DC94" s="29" t="str">
        <f t="shared" si="55"/>
        <v>0</v>
      </c>
      <c r="DD94" s="29" t="str">
        <f t="shared" si="55"/>
        <v>0</v>
      </c>
      <c r="DE94" s="29" t="str">
        <f t="shared" si="55"/>
        <v>0</v>
      </c>
      <c r="DF94" s="29" t="str">
        <f t="shared" si="55"/>
        <v>0</v>
      </c>
      <c r="DG94" s="29" t="str">
        <f t="shared" si="55"/>
        <v>0</v>
      </c>
      <c r="DH94" s="29" t="str">
        <f t="shared" si="55"/>
        <v>0</v>
      </c>
      <c r="DI94" s="29" t="str">
        <f t="shared" si="55"/>
        <v>0</v>
      </c>
      <c r="DJ94" s="29" t="str">
        <f t="shared" si="55"/>
        <v>0</v>
      </c>
      <c r="DK94" s="29" t="str">
        <f t="shared" si="55"/>
        <v>0</v>
      </c>
      <c r="DL94" s="29" t="str">
        <f t="shared" si="55"/>
        <v>0</v>
      </c>
      <c r="DM94" s="29" t="str">
        <f t="shared" si="55"/>
        <v>0</v>
      </c>
      <c r="DN94" s="29" t="str">
        <f t="shared" si="55"/>
        <v>0</v>
      </c>
      <c r="DO94" s="29" t="str">
        <f t="shared" si="55"/>
        <v>0</v>
      </c>
      <c r="DP94" s="29" t="str">
        <f t="shared" si="55"/>
        <v>0</v>
      </c>
      <c r="DQ94" s="29" t="str">
        <f t="shared" si="55"/>
        <v>0</v>
      </c>
      <c r="DR94" s="29"/>
      <c r="DS94" s="25">
        <v>0</v>
      </c>
      <c r="EE94" s="25" t="str">
        <f t="shared" si="20"/>
        <v>0</v>
      </c>
    </row>
    <row r="95" spans="1:135">
      <c r="A95" s="48">
        <v>1001017</v>
      </c>
      <c r="B95" s="49" t="s">
        <v>910</v>
      </c>
      <c r="C95" s="25">
        <v>17</v>
      </c>
      <c r="D95" s="25">
        <f t="array" ref="D95">INDEX(C$5:C$67,MATCH($B95,$B$5:$B$67,0))</f>
        <v>3600</v>
      </c>
      <c r="E95" s="25">
        <f t="array" ref="E95">INDEX(D$5:D$67,MATCH($B95,$B$5:$B$67,0))</f>
        <v>288</v>
      </c>
      <c r="F95" s="25">
        <f t="array" ref="F95">INDEX(E$5:E$67,MATCH($B95,$B$5:$B$67,0))</f>
        <v>1320</v>
      </c>
      <c r="G95" s="25">
        <f t="array" ref="G95">INDEX(F$5:F$67,MATCH($B95,$B$5:$B$67,0))</f>
        <v>105.6</v>
      </c>
      <c r="H95" s="25">
        <f t="array" ref="H95">INDEX(G$5:G$66,MATCH($B95,$B$5:$B$67,0))</f>
        <v>1056</v>
      </c>
      <c r="I95" s="25">
        <f t="array" ref="I95">INDEX(H$5:H$67,MATCH($B95,$B$5:$B$67,0))</f>
        <v>84.48</v>
      </c>
      <c r="J95" s="25">
        <f t="array" ref="J95">INDEX(I$5:I$67,MATCH($B95,$B$5:$B$67,0))</f>
        <v>800</v>
      </c>
      <c r="K95" s="25">
        <f t="array" ref="K95">INDEX(J$5:J$67,MATCH($B95,$B$5:$B$67,0))</f>
        <v>64</v>
      </c>
      <c r="L95" s="25">
        <f t="shared" si="0"/>
        <v>8496</v>
      </c>
      <c r="M95" s="25">
        <f t="shared" si="1"/>
        <v>3115</v>
      </c>
      <c r="N95" s="25">
        <f t="shared" si="2"/>
        <v>2492</v>
      </c>
      <c r="O95" s="25">
        <f t="shared" si="3"/>
        <v>1888</v>
      </c>
      <c r="R95" s="50">
        <f t="array" ref="R95">INDEX($B$46:$B$68,MATCH(S95,$C$46:$C$68,0))*1000+T95</f>
        <v>1001017</v>
      </c>
      <c r="S95" s="51" t="s">
        <v>910</v>
      </c>
      <c r="T95" s="29">
        <v>17</v>
      </c>
      <c r="U95" s="25">
        <f t="array" ref="U95">INDEX(K$5:K$67,MATCH($S95,$B$5:$B$67,0))</f>
        <v>306.72</v>
      </c>
      <c r="V95" s="25">
        <f t="array" ref="V95">INDEX(L$5:L$67,MATCH($S95,$B$5:$B$67,0))</f>
        <v>112.64</v>
      </c>
      <c r="W95" s="25">
        <f t="array" ref="W95">INDEX(M$5:M$67,MATCH($S95,$B$5:$B$67,0))</f>
        <v>90.11</v>
      </c>
      <c r="X95" s="25">
        <f t="array" ref="X95">INDEX(N$5:N$67,MATCH($S95,$B$5:$B$67,0))</f>
        <v>68</v>
      </c>
      <c r="Y95" s="25">
        <f t="shared" si="4"/>
        <v>5214</v>
      </c>
      <c r="Z95" s="25">
        <f t="shared" si="5"/>
        <v>1915</v>
      </c>
      <c r="AA95" s="25">
        <f t="shared" si="6"/>
        <v>1532</v>
      </c>
      <c r="AB95" s="25">
        <f t="shared" si="7"/>
        <v>1156</v>
      </c>
      <c r="AE95" s="1">
        <v>1020</v>
      </c>
      <c r="AF95" s="25">
        <v>17</v>
      </c>
      <c r="AG95" s="25">
        <f t="array" ref="AG95">INDEX($AE$79:$AE$116,QUOTIENT(AF95-1,8)+1)</f>
        <v>1003</v>
      </c>
      <c r="AH95" s="25">
        <f t="shared" si="37"/>
        <v>1</v>
      </c>
      <c r="AI95" s="25">
        <f t="shared" si="8"/>
        <v>10031</v>
      </c>
      <c r="AJ95" s="25" t="str">
        <f t="shared" si="9"/>
        <v>塔拉夏</v>
      </c>
      <c r="AK95" s="25">
        <f t="shared" si="38"/>
        <v>1</v>
      </c>
      <c r="AL95" s="25" t="str">
        <f t="array" ref="AL95">INDEX($O$5:$O$42,MATCH(AJ95,$B$5:$B$42,0))</f>
        <v>生命值百分比</v>
      </c>
      <c r="AM95" s="25" t="str">
        <f t="array" ref="AM95">INDEX($P$5:$P$42,MATCH(AJ95,$B$5:$B$42,0))</f>
        <v>攻击百分比</v>
      </c>
      <c r="AN95" s="25" t="str">
        <f t="array" ref="AN95">INDEX($Q$5:$Q$42,MATCH(AJ95,$B$5:$B$42,0))</f>
        <v>技能冷却等级</v>
      </c>
      <c r="AO95" s="25" t="str">
        <f t="array" ref="AO95">INDEX(AL95:AN95,0,AK95)</f>
        <v>生命值百分比</v>
      </c>
      <c r="AP95" s="25">
        <f t="shared" si="39"/>
        <v>0.15</v>
      </c>
      <c r="AQ95" s="25">
        <f t="shared" si="11"/>
        <v>0.15</v>
      </c>
      <c r="AR95" s="25" t="str">
        <f t="shared" ref="AR95:BZ95" si="56">IF(AR$78=$AO95,$AQ95,"0")</f>
        <v>0</v>
      </c>
      <c r="AS95" s="25">
        <f t="shared" si="56"/>
        <v>0.15</v>
      </c>
      <c r="AT95" s="25" t="str">
        <f t="shared" si="56"/>
        <v>0</v>
      </c>
      <c r="AU95" s="25" t="str">
        <f t="shared" si="56"/>
        <v>0</v>
      </c>
      <c r="AV95" s="25" t="str">
        <f t="shared" si="56"/>
        <v>0</v>
      </c>
      <c r="AW95" s="25" t="str">
        <f t="shared" si="56"/>
        <v>0</v>
      </c>
      <c r="AX95" s="25" t="str">
        <f t="shared" si="56"/>
        <v>0</v>
      </c>
      <c r="AY95" s="25" t="str">
        <f t="shared" si="56"/>
        <v>0</v>
      </c>
      <c r="AZ95" s="25" t="str">
        <f t="shared" si="56"/>
        <v>0</v>
      </c>
      <c r="BA95" s="25" t="str">
        <f t="shared" si="56"/>
        <v>0</v>
      </c>
      <c r="BB95" s="25" t="str">
        <f t="shared" si="56"/>
        <v>0</v>
      </c>
      <c r="BC95" s="25" t="str">
        <f t="shared" si="56"/>
        <v>0</v>
      </c>
      <c r="BD95" s="25" t="str">
        <f t="shared" si="56"/>
        <v>0</v>
      </c>
      <c r="BE95" s="25" t="str">
        <f t="shared" si="56"/>
        <v>0</v>
      </c>
      <c r="BF95" s="25" t="str">
        <f t="shared" si="56"/>
        <v>0</v>
      </c>
      <c r="BG95" s="25" t="str">
        <f t="shared" si="56"/>
        <v>0</v>
      </c>
      <c r="BH95" s="25" t="str">
        <f t="shared" si="56"/>
        <v>0</v>
      </c>
      <c r="BI95" s="25" t="str">
        <f t="shared" si="56"/>
        <v>0</v>
      </c>
      <c r="BJ95" s="25" t="str">
        <f t="shared" si="56"/>
        <v>0</v>
      </c>
      <c r="BK95" s="25" t="str">
        <f t="shared" si="56"/>
        <v>0</v>
      </c>
      <c r="BL95" s="25" t="str">
        <f t="shared" si="56"/>
        <v>0</v>
      </c>
      <c r="BM95" s="25" t="str">
        <f t="shared" si="56"/>
        <v>0</v>
      </c>
      <c r="BN95" s="25" t="str">
        <f t="shared" si="56"/>
        <v>0</v>
      </c>
      <c r="BO95" s="25" t="str">
        <f t="shared" si="56"/>
        <v>0</v>
      </c>
      <c r="BP95" s="25" t="str">
        <f t="shared" si="56"/>
        <v>0</v>
      </c>
      <c r="BQ95" s="25" t="str">
        <f t="shared" si="56"/>
        <v>0</v>
      </c>
      <c r="BR95" s="25" t="str">
        <f t="shared" si="56"/>
        <v>0</v>
      </c>
      <c r="BS95" s="25" t="str">
        <f t="shared" si="56"/>
        <v>0</v>
      </c>
      <c r="BT95" s="25" t="str">
        <f t="shared" si="56"/>
        <v>0</v>
      </c>
      <c r="BU95" s="25" t="str">
        <f t="shared" si="56"/>
        <v>0</v>
      </c>
      <c r="BV95" s="25" t="str">
        <f t="shared" si="56"/>
        <v>0</v>
      </c>
      <c r="BW95" s="25" t="str">
        <f t="shared" si="56"/>
        <v>0</v>
      </c>
      <c r="BX95" s="25" t="str">
        <f t="shared" si="56"/>
        <v>0</v>
      </c>
      <c r="BY95" s="25" t="str">
        <f t="shared" si="56"/>
        <v>0</v>
      </c>
      <c r="BZ95" s="25" t="str">
        <f t="shared" si="56"/>
        <v>0</v>
      </c>
      <c r="CC95" s="25" t="str">
        <f t="array" ref="CC95">INDEX($C$46:$C$74,MATCH(CD95,$B$46:$B$74,0))</f>
        <v>塔拉夏</v>
      </c>
      <c r="CD95" s="1">
        <v>1003</v>
      </c>
      <c r="CE95" s="1">
        <v>2</v>
      </c>
      <c r="CF95" s="25" t="str">
        <f t="array" ref="CF95">INDEX($T$5:$T$44,MATCH(CC95,$B$5:$B$44,0))</f>
        <v>魔法</v>
      </c>
      <c r="CG95" s="25">
        <f t="shared" si="34"/>
        <v>0</v>
      </c>
      <c r="CH95" s="25">
        <f t="shared" si="13"/>
        <v>1</v>
      </c>
      <c r="CI95" s="25">
        <f t="shared" si="14"/>
        <v>1</v>
      </c>
      <c r="CJ95" s="25">
        <f t="shared" si="15"/>
        <v>1</v>
      </c>
      <c r="CK95" s="25">
        <f t="shared" si="16"/>
        <v>1</v>
      </c>
      <c r="CL95" s="25">
        <v>0</v>
      </c>
      <c r="CM95" s="25">
        <f t="shared" si="35"/>
        <v>0</v>
      </c>
      <c r="CN95" s="25">
        <f t="shared" si="17"/>
        <v>0</v>
      </c>
      <c r="CO95" s="25">
        <f t="shared" si="18"/>
        <v>0</v>
      </c>
      <c r="CP95" s="29" t="str">
        <f t="shared" ref="CP95:DQ95" si="57">IF($CL95=CP$78,$CN95,"0")</f>
        <v>0</v>
      </c>
      <c r="CQ95" s="29" t="str">
        <f t="shared" si="57"/>
        <v>0</v>
      </c>
      <c r="CR95" s="29" t="str">
        <f t="shared" si="57"/>
        <v>0</v>
      </c>
      <c r="CS95" s="29" t="str">
        <f t="shared" si="57"/>
        <v>0</v>
      </c>
      <c r="CT95" s="29" t="str">
        <f t="shared" si="57"/>
        <v>0</v>
      </c>
      <c r="CU95" s="29" t="str">
        <f t="shared" si="57"/>
        <v>0</v>
      </c>
      <c r="CV95" s="29" t="str">
        <f t="shared" si="57"/>
        <v>0</v>
      </c>
      <c r="CW95" s="29" t="str">
        <f t="shared" si="57"/>
        <v>0</v>
      </c>
      <c r="CX95" s="29" t="str">
        <f t="shared" si="57"/>
        <v>0</v>
      </c>
      <c r="CY95" s="29" t="str">
        <f t="shared" si="57"/>
        <v>0</v>
      </c>
      <c r="CZ95" s="29" t="str">
        <f t="shared" si="57"/>
        <v>0</v>
      </c>
      <c r="DA95" s="29" t="str">
        <f t="shared" si="57"/>
        <v>0</v>
      </c>
      <c r="DB95" s="29" t="str">
        <f t="shared" si="57"/>
        <v>0</v>
      </c>
      <c r="DC95" s="29" t="str">
        <f t="shared" si="57"/>
        <v>0</v>
      </c>
      <c r="DD95" s="29" t="str">
        <f t="shared" si="57"/>
        <v>0</v>
      </c>
      <c r="DE95" s="29" t="str">
        <f t="shared" si="57"/>
        <v>0</v>
      </c>
      <c r="DF95" s="29" t="str">
        <f t="shared" si="57"/>
        <v>0</v>
      </c>
      <c r="DG95" s="29" t="str">
        <f t="shared" si="57"/>
        <v>0</v>
      </c>
      <c r="DH95" s="29" t="str">
        <f t="shared" si="57"/>
        <v>0</v>
      </c>
      <c r="DI95" s="29" t="str">
        <f t="shared" si="57"/>
        <v>0</v>
      </c>
      <c r="DJ95" s="29" t="str">
        <f t="shared" si="57"/>
        <v>0</v>
      </c>
      <c r="DK95" s="29" t="str">
        <f t="shared" si="57"/>
        <v>0</v>
      </c>
      <c r="DL95" s="29" t="str">
        <f t="shared" si="57"/>
        <v>0</v>
      </c>
      <c r="DM95" s="29" t="str">
        <f t="shared" si="57"/>
        <v>0</v>
      </c>
      <c r="DN95" s="29" t="str">
        <f t="shared" si="57"/>
        <v>0</v>
      </c>
      <c r="DO95" s="29" t="str">
        <f t="shared" si="57"/>
        <v>0</v>
      </c>
      <c r="DP95" s="29" t="str">
        <f t="shared" si="57"/>
        <v>0</v>
      </c>
      <c r="DQ95" s="29" t="str">
        <f t="shared" si="57"/>
        <v>0</v>
      </c>
      <c r="DR95" s="29"/>
      <c r="DS95" s="25">
        <v>0</v>
      </c>
      <c r="EE95" s="25" t="str">
        <f t="shared" si="20"/>
        <v>0</v>
      </c>
    </row>
    <row r="96" spans="1:135">
      <c r="A96" s="48">
        <v>1001018</v>
      </c>
      <c r="B96" s="49" t="s">
        <v>910</v>
      </c>
      <c r="C96" s="25">
        <v>18</v>
      </c>
      <c r="D96" s="25">
        <f t="array" ref="D96">INDEX(C$5:C$67,MATCH($B96,$B$5:$B$67,0))</f>
        <v>3600</v>
      </c>
      <c r="E96" s="25">
        <f t="array" ref="E96">INDEX(D$5:D$67,MATCH($B96,$B$5:$B$67,0))</f>
        <v>288</v>
      </c>
      <c r="F96" s="25">
        <f t="array" ref="F96">INDEX(E$5:E$67,MATCH($B96,$B$5:$B$67,0))</f>
        <v>1320</v>
      </c>
      <c r="G96" s="25">
        <f t="array" ref="G96">INDEX(F$5:F$67,MATCH($B96,$B$5:$B$67,0))</f>
        <v>105.6</v>
      </c>
      <c r="H96" s="25">
        <f t="array" ref="H96">INDEX(G$5:G$66,MATCH($B96,$B$5:$B$67,0))</f>
        <v>1056</v>
      </c>
      <c r="I96" s="25">
        <f t="array" ref="I96">INDEX(H$5:H$67,MATCH($B96,$B$5:$B$67,0))</f>
        <v>84.48</v>
      </c>
      <c r="J96" s="25">
        <f t="array" ref="J96">INDEX(I$5:I$67,MATCH($B96,$B$5:$B$67,0))</f>
        <v>800</v>
      </c>
      <c r="K96" s="25">
        <f t="array" ref="K96">INDEX(J$5:J$67,MATCH($B96,$B$5:$B$67,0))</f>
        <v>64</v>
      </c>
      <c r="L96" s="25">
        <f t="shared" si="0"/>
        <v>8784</v>
      </c>
      <c r="M96" s="25">
        <f t="shared" si="1"/>
        <v>3221</v>
      </c>
      <c r="N96" s="25">
        <f t="shared" si="2"/>
        <v>2577</v>
      </c>
      <c r="O96" s="25">
        <f t="shared" si="3"/>
        <v>1952</v>
      </c>
      <c r="R96" s="50">
        <f t="array" ref="R96">INDEX($B$46:$B$68,MATCH(S96,$C$46:$C$68,0))*1000+T96</f>
        <v>1001018</v>
      </c>
      <c r="S96" s="51" t="s">
        <v>910</v>
      </c>
      <c r="T96" s="29">
        <v>18</v>
      </c>
      <c r="U96" s="25">
        <f t="array" ref="U96">INDEX(K$5:K$67,MATCH($S96,$B$5:$B$67,0))</f>
        <v>306.72</v>
      </c>
      <c r="V96" s="25">
        <f t="array" ref="V96">INDEX(L$5:L$67,MATCH($S96,$B$5:$B$67,0))</f>
        <v>112.64</v>
      </c>
      <c r="W96" s="25">
        <f t="array" ref="W96">INDEX(M$5:M$67,MATCH($S96,$B$5:$B$67,0))</f>
        <v>90.11</v>
      </c>
      <c r="X96" s="25">
        <f t="array" ref="X96">INDEX(N$5:N$67,MATCH($S96,$B$5:$B$67,0))</f>
        <v>68</v>
      </c>
      <c r="Y96" s="25">
        <f t="shared" si="4"/>
        <v>5521</v>
      </c>
      <c r="Z96" s="25">
        <f t="shared" si="5"/>
        <v>2028</v>
      </c>
      <c r="AA96" s="25">
        <f t="shared" si="6"/>
        <v>1622</v>
      </c>
      <c r="AB96" s="25">
        <f t="shared" si="7"/>
        <v>1224</v>
      </c>
      <c r="AE96" s="1">
        <v>1021</v>
      </c>
      <c r="AF96" s="25">
        <v>18</v>
      </c>
      <c r="AG96" s="25">
        <f t="array" ref="AG96">INDEX($AE$79:$AE$116,QUOTIENT(AF96-1,8)+1)</f>
        <v>1003</v>
      </c>
      <c r="AH96" s="25">
        <f t="shared" si="37"/>
        <v>2</v>
      </c>
      <c r="AI96" s="25">
        <f t="shared" si="8"/>
        <v>10032</v>
      </c>
      <c r="AJ96" s="25" t="str">
        <f t="shared" si="9"/>
        <v>塔拉夏</v>
      </c>
      <c r="AK96" s="25">
        <f t="shared" si="38"/>
        <v>2</v>
      </c>
      <c r="AL96" s="25" t="str">
        <f t="array" ref="AL96">INDEX($O$5:$O$42,MATCH(AJ96,$B$5:$B$42,0))</f>
        <v>生命值百分比</v>
      </c>
      <c r="AM96" s="25" t="str">
        <f t="array" ref="AM96">INDEX($P$5:$P$42,MATCH(AJ96,$B$5:$B$42,0))</f>
        <v>攻击百分比</v>
      </c>
      <c r="AN96" s="25" t="str">
        <f t="array" ref="AN96">INDEX($Q$5:$Q$42,MATCH(AJ96,$B$5:$B$42,0))</f>
        <v>技能冷却等级</v>
      </c>
      <c r="AO96" s="25" t="str">
        <f t="array" ref="AO96">INDEX(AL96:AN96,0,AK96)</f>
        <v>攻击百分比</v>
      </c>
      <c r="AP96" s="25">
        <f t="shared" si="39"/>
        <v>0.15</v>
      </c>
      <c r="AQ96" s="25">
        <f t="shared" si="11"/>
        <v>0.15</v>
      </c>
      <c r="AR96" s="25" t="str">
        <f t="shared" ref="AR96:BZ96" si="58">IF(AR$78=$AO96,$AQ96,"0")</f>
        <v>0</v>
      </c>
      <c r="AS96" s="25" t="str">
        <f t="shared" si="58"/>
        <v>0</v>
      </c>
      <c r="AT96" s="25" t="str">
        <f t="shared" si="58"/>
        <v>0</v>
      </c>
      <c r="AU96" s="25">
        <f t="shared" si="58"/>
        <v>0.15</v>
      </c>
      <c r="AV96" s="25" t="str">
        <f t="shared" si="58"/>
        <v>0</v>
      </c>
      <c r="AW96" s="25">
        <f t="shared" si="58"/>
        <v>0.15</v>
      </c>
      <c r="AX96" s="25" t="str">
        <f t="shared" si="58"/>
        <v>0</v>
      </c>
      <c r="AY96" s="25" t="str">
        <f t="shared" si="58"/>
        <v>0</v>
      </c>
      <c r="AZ96" s="25" t="str">
        <f t="shared" si="58"/>
        <v>0</v>
      </c>
      <c r="BA96" s="25" t="str">
        <f t="shared" si="58"/>
        <v>0</v>
      </c>
      <c r="BB96" s="25" t="str">
        <f t="shared" si="58"/>
        <v>0</v>
      </c>
      <c r="BC96" s="25" t="str">
        <f t="shared" si="58"/>
        <v>0</v>
      </c>
      <c r="BD96" s="25" t="str">
        <f t="shared" si="58"/>
        <v>0</v>
      </c>
      <c r="BE96" s="25" t="str">
        <f t="shared" si="58"/>
        <v>0</v>
      </c>
      <c r="BF96" s="25" t="str">
        <f t="shared" si="58"/>
        <v>0</v>
      </c>
      <c r="BG96" s="25" t="str">
        <f t="shared" si="58"/>
        <v>0</v>
      </c>
      <c r="BH96" s="25" t="str">
        <f t="shared" si="58"/>
        <v>0</v>
      </c>
      <c r="BI96" s="25" t="str">
        <f t="shared" si="58"/>
        <v>0</v>
      </c>
      <c r="BJ96" s="25" t="str">
        <f t="shared" si="58"/>
        <v>0</v>
      </c>
      <c r="BK96" s="25" t="str">
        <f t="shared" si="58"/>
        <v>0</v>
      </c>
      <c r="BL96" s="25" t="str">
        <f t="shared" si="58"/>
        <v>0</v>
      </c>
      <c r="BM96" s="25" t="str">
        <f t="shared" si="58"/>
        <v>0</v>
      </c>
      <c r="BN96" s="25" t="str">
        <f t="shared" si="58"/>
        <v>0</v>
      </c>
      <c r="BO96" s="25" t="str">
        <f t="shared" si="58"/>
        <v>0</v>
      </c>
      <c r="BP96" s="25" t="str">
        <f t="shared" si="58"/>
        <v>0</v>
      </c>
      <c r="BQ96" s="25" t="str">
        <f t="shared" si="58"/>
        <v>0</v>
      </c>
      <c r="BR96" s="25" t="str">
        <f t="shared" si="58"/>
        <v>0</v>
      </c>
      <c r="BS96" s="25" t="str">
        <f t="shared" si="58"/>
        <v>0</v>
      </c>
      <c r="BT96" s="25" t="str">
        <f t="shared" si="58"/>
        <v>0</v>
      </c>
      <c r="BU96" s="25" t="str">
        <f t="shared" si="58"/>
        <v>0</v>
      </c>
      <c r="BV96" s="25" t="str">
        <f t="shared" si="58"/>
        <v>0</v>
      </c>
      <c r="BW96" s="25" t="str">
        <f t="shared" si="58"/>
        <v>0</v>
      </c>
      <c r="BX96" s="25" t="str">
        <f t="shared" si="58"/>
        <v>0</v>
      </c>
      <c r="BY96" s="25" t="str">
        <f t="shared" si="58"/>
        <v>0</v>
      </c>
      <c r="BZ96" s="25" t="str">
        <f t="shared" si="58"/>
        <v>0</v>
      </c>
      <c r="CC96" s="25" t="str">
        <f t="array" ref="CC96">INDEX($C$46:$C$74,MATCH(CD96,$B$46:$B$74,0))</f>
        <v>塔拉夏</v>
      </c>
      <c r="CD96" s="1">
        <v>1003</v>
      </c>
      <c r="CE96" s="1">
        <v>3</v>
      </c>
      <c r="CF96" s="25" t="str">
        <f t="array" ref="CF96">INDEX($T$5:$T$44,MATCH(CC96,$B$5:$B$44,0))</f>
        <v>魔法</v>
      </c>
      <c r="CG96" s="25">
        <f t="shared" si="34"/>
        <v>0.15</v>
      </c>
      <c r="CH96" s="25">
        <f t="shared" si="13"/>
        <v>1.15</v>
      </c>
      <c r="CI96" s="25">
        <f t="shared" si="14"/>
        <v>1</v>
      </c>
      <c r="CJ96" s="25">
        <f t="shared" si="15"/>
        <v>1.15</v>
      </c>
      <c r="CK96" s="25">
        <f t="shared" si="16"/>
        <v>1.15</v>
      </c>
      <c r="CL96" s="25" t="str">
        <f t="array" ref="CL96">INDEX($R$5:$R$43,MATCH(CC96,$B$5:$B$43,0))</f>
        <v>魔法伤害加成</v>
      </c>
      <c r="CM96" s="25">
        <f t="shared" si="35"/>
        <v>0.3</v>
      </c>
      <c r="CN96" s="25">
        <f t="shared" si="17"/>
        <v>0.12</v>
      </c>
      <c r="CO96" s="25">
        <f t="shared" si="18"/>
        <v>1</v>
      </c>
      <c r="CP96" s="29" t="str">
        <f t="shared" ref="CP96:DQ96" si="59">IF($CL96=CP$78,$CN96,"0")</f>
        <v>0</v>
      </c>
      <c r="CQ96" s="29" t="str">
        <f t="shared" si="59"/>
        <v>0</v>
      </c>
      <c r="CR96" s="29" t="str">
        <f t="shared" si="59"/>
        <v>0</v>
      </c>
      <c r="CS96" s="29" t="str">
        <f t="shared" si="59"/>
        <v>0</v>
      </c>
      <c r="CT96" s="29" t="str">
        <f t="shared" si="59"/>
        <v>0</v>
      </c>
      <c r="CU96" s="29" t="str">
        <f t="shared" si="59"/>
        <v>0</v>
      </c>
      <c r="CV96" s="29" t="str">
        <f t="shared" si="59"/>
        <v>0</v>
      </c>
      <c r="CW96" s="29" t="str">
        <f t="shared" si="59"/>
        <v>0</v>
      </c>
      <c r="CX96" s="29" t="str">
        <f t="shared" si="59"/>
        <v>0</v>
      </c>
      <c r="CY96" s="29" t="str">
        <f t="shared" si="59"/>
        <v>0</v>
      </c>
      <c r="CZ96" s="29" t="str">
        <f t="shared" si="59"/>
        <v>0</v>
      </c>
      <c r="DA96" s="29" t="str">
        <f t="shared" si="59"/>
        <v>0</v>
      </c>
      <c r="DB96" s="29" t="str">
        <f t="shared" si="59"/>
        <v>0</v>
      </c>
      <c r="DC96" s="29">
        <f t="shared" si="59"/>
        <v>0.12</v>
      </c>
      <c r="DD96" s="29" t="str">
        <f t="shared" si="59"/>
        <v>0</v>
      </c>
      <c r="DE96" s="29" t="str">
        <f t="shared" si="59"/>
        <v>0</v>
      </c>
      <c r="DF96" s="29" t="str">
        <f t="shared" si="59"/>
        <v>0</v>
      </c>
      <c r="DG96" s="29" t="str">
        <f t="shared" si="59"/>
        <v>0</v>
      </c>
      <c r="DH96" s="29" t="str">
        <f t="shared" si="59"/>
        <v>0</v>
      </c>
      <c r="DI96" s="29" t="str">
        <f t="shared" si="59"/>
        <v>0</v>
      </c>
      <c r="DJ96" s="29" t="str">
        <f t="shared" si="59"/>
        <v>0</v>
      </c>
      <c r="DK96" s="29" t="str">
        <f t="shared" si="59"/>
        <v>0</v>
      </c>
      <c r="DL96" s="29" t="str">
        <f t="shared" si="59"/>
        <v>0</v>
      </c>
      <c r="DM96" s="29" t="str">
        <f t="shared" si="59"/>
        <v>0</v>
      </c>
      <c r="DN96" s="29" t="str">
        <f t="shared" si="59"/>
        <v>0</v>
      </c>
      <c r="DO96" s="29" t="str">
        <f t="shared" si="59"/>
        <v>0</v>
      </c>
      <c r="DP96" s="29" t="str">
        <f t="shared" si="59"/>
        <v>0</v>
      </c>
      <c r="DQ96" s="29" t="str">
        <f t="shared" si="59"/>
        <v>0</v>
      </c>
      <c r="DR96" s="29"/>
      <c r="DS96" s="25" t="s">
        <v>1011</v>
      </c>
      <c r="DT96" s="25" t="str">
        <f>TEXT(角色升星!$F$18,"0%")</f>
        <v>15%</v>
      </c>
      <c r="DU96" s="25" t="s">
        <v>779</v>
      </c>
      <c r="DV96" s="25" t="str">
        <f>IF(CF96="物理","PhysicsAttack,+","MagicAttack,+")</f>
        <v>MagicAttack,+</v>
      </c>
      <c r="DW96" s="25" t="str">
        <f>TEXT(角色升星!$F$18,"0%")</f>
        <v>15%</v>
      </c>
      <c r="DX96" s="25" t="s">
        <v>779</v>
      </c>
      <c r="DY96" s="25" t="s">
        <v>1012</v>
      </c>
      <c r="DZ96" s="25" t="str">
        <f>TEXT(角色升星!$F$18,"0%")</f>
        <v>15%</v>
      </c>
      <c r="EA96" s="25" t="s">
        <v>779</v>
      </c>
      <c r="EB96" s="25" t="str">
        <f>VLOOKUP(CL96,$O$46:$P$73,2,0)</f>
        <v>MagicDmgBonus</v>
      </c>
      <c r="EC96" s="25" t="s">
        <v>1013</v>
      </c>
      <c r="ED96" s="25" t="str">
        <f>IF(CN96&gt;1,CN96,TEXT(CN96,"0%"))</f>
        <v>12%</v>
      </c>
      <c r="EE96" s="25" t="str">
        <f t="shared" si="20"/>
        <v>Hp,+15%;MagicAttack,+15%;Armor,+15%;MagicDmgBonus,+12%</v>
      </c>
    </row>
    <row r="97" spans="1:135">
      <c r="A97" s="48">
        <v>1001019</v>
      </c>
      <c r="B97" s="49" t="s">
        <v>910</v>
      </c>
      <c r="C97" s="25">
        <v>19</v>
      </c>
      <c r="D97" s="25">
        <f t="array" ref="D97">INDEX(C$5:C$67,MATCH($B97,$B$5:$B$67,0))</f>
        <v>3600</v>
      </c>
      <c r="E97" s="25">
        <f t="array" ref="E97">INDEX(D$5:D$67,MATCH($B97,$B$5:$B$67,0))</f>
        <v>288</v>
      </c>
      <c r="F97" s="25">
        <f t="array" ref="F97">INDEX(E$5:E$67,MATCH($B97,$B$5:$B$67,0))</f>
        <v>1320</v>
      </c>
      <c r="G97" s="25">
        <f t="array" ref="G97">INDEX(F$5:F$67,MATCH($B97,$B$5:$B$67,0))</f>
        <v>105.6</v>
      </c>
      <c r="H97" s="25">
        <f t="array" ref="H97">INDEX(G$5:G$66,MATCH($B97,$B$5:$B$67,0))</f>
        <v>1056</v>
      </c>
      <c r="I97" s="25">
        <f t="array" ref="I97">INDEX(H$5:H$67,MATCH($B97,$B$5:$B$67,0))</f>
        <v>84.48</v>
      </c>
      <c r="J97" s="25">
        <f t="array" ref="J97">INDEX(I$5:I$67,MATCH($B97,$B$5:$B$67,0))</f>
        <v>800</v>
      </c>
      <c r="K97" s="25">
        <f t="array" ref="K97">INDEX(J$5:J$67,MATCH($B97,$B$5:$B$67,0))</f>
        <v>64</v>
      </c>
      <c r="L97" s="25">
        <f t="shared" si="0"/>
        <v>9072</v>
      </c>
      <c r="M97" s="25">
        <f t="shared" si="1"/>
        <v>3326</v>
      </c>
      <c r="N97" s="25">
        <f t="shared" si="2"/>
        <v>2661</v>
      </c>
      <c r="O97" s="25">
        <f t="shared" si="3"/>
        <v>2016</v>
      </c>
      <c r="R97" s="50">
        <f t="array" ref="R97">INDEX($B$46:$B$68,MATCH(S97,$C$46:$C$68,0))*1000+T97</f>
        <v>1001019</v>
      </c>
      <c r="S97" s="51" t="s">
        <v>910</v>
      </c>
      <c r="T97" s="29">
        <v>19</v>
      </c>
      <c r="U97" s="25">
        <f t="array" ref="U97">INDEX(K$5:K$67,MATCH($S97,$B$5:$B$67,0))</f>
        <v>306.72</v>
      </c>
      <c r="V97" s="25">
        <f t="array" ref="V97">INDEX(L$5:L$67,MATCH($S97,$B$5:$B$67,0))</f>
        <v>112.64</v>
      </c>
      <c r="W97" s="25">
        <f t="array" ref="W97">INDEX(M$5:M$67,MATCH($S97,$B$5:$B$67,0))</f>
        <v>90.11</v>
      </c>
      <c r="X97" s="25">
        <f t="array" ref="X97">INDEX(N$5:N$67,MATCH($S97,$B$5:$B$67,0))</f>
        <v>68</v>
      </c>
      <c r="Y97" s="25">
        <f t="shared" si="4"/>
        <v>5828</v>
      </c>
      <c r="Z97" s="25">
        <f t="shared" si="5"/>
        <v>2140</v>
      </c>
      <c r="AA97" s="25">
        <f t="shared" si="6"/>
        <v>1712</v>
      </c>
      <c r="AB97" s="25">
        <f t="shared" si="7"/>
        <v>1292</v>
      </c>
      <c r="AE97" s="1">
        <v>1023</v>
      </c>
      <c r="AF97" s="25">
        <v>19</v>
      </c>
      <c r="AG97" s="25">
        <f t="array" ref="AG97">INDEX($AE$79:$AE$116,QUOTIENT(AF97-1,8)+1)</f>
        <v>1003</v>
      </c>
      <c r="AH97" s="25">
        <f t="shared" si="37"/>
        <v>3</v>
      </c>
      <c r="AI97" s="25">
        <f t="shared" si="8"/>
        <v>10033</v>
      </c>
      <c r="AJ97" s="25" t="str">
        <f t="shared" si="9"/>
        <v>塔拉夏</v>
      </c>
      <c r="AK97" s="25">
        <f t="shared" si="38"/>
        <v>3</v>
      </c>
      <c r="AL97" s="25" t="str">
        <f t="array" ref="AL97">INDEX($O$5:$O$42,MATCH(AJ97,$B$5:$B$42,0))</f>
        <v>生命值百分比</v>
      </c>
      <c r="AM97" s="25" t="str">
        <f t="array" ref="AM97">INDEX($P$5:$P$42,MATCH(AJ97,$B$5:$B$42,0))</f>
        <v>攻击百分比</v>
      </c>
      <c r="AN97" s="25" t="str">
        <f t="array" ref="AN97">INDEX($Q$5:$Q$42,MATCH(AJ97,$B$5:$B$42,0))</f>
        <v>技能冷却等级</v>
      </c>
      <c r="AO97" s="25" t="str">
        <f t="array" ref="AO97">INDEX(AL97:AN97,0,AK97)</f>
        <v>技能冷却等级</v>
      </c>
      <c r="AP97" s="25">
        <f t="shared" si="39"/>
        <v>0.15</v>
      </c>
      <c r="AQ97" s="25">
        <f t="shared" si="11"/>
        <v>1950</v>
      </c>
      <c r="AR97" s="25" t="str">
        <f t="shared" ref="AR97:BZ97" si="60">IF(AR$78=$AO97,$AQ97,"0")</f>
        <v>0</v>
      </c>
      <c r="AS97" s="25" t="str">
        <f t="shared" si="60"/>
        <v>0</v>
      </c>
      <c r="AT97" s="25" t="str">
        <f t="shared" si="60"/>
        <v>0</v>
      </c>
      <c r="AU97" s="25" t="str">
        <f t="shared" si="60"/>
        <v>0</v>
      </c>
      <c r="AV97" s="25" t="str">
        <f t="shared" si="60"/>
        <v>0</v>
      </c>
      <c r="AW97" s="25" t="str">
        <f t="shared" si="60"/>
        <v>0</v>
      </c>
      <c r="AX97" s="25" t="str">
        <f t="shared" si="60"/>
        <v>0</v>
      </c>
      <c r="AY97" s="25" t="str">
        <f t="shared" si="60"/>
        <v>0</v>
      </c>
      <c r="AZ97" s="25" t="str">
        <f t="shared" si="60"/>
        <v>0</v>
      </c>
      <c r="BA97" s="25" t="str">
        <f t="shared" si="60"/>
        <v>0</v>
      </c>
      <c r="BB97" s="25" t="str">
        <f t="shared" si="60"/>
        <v>0</v>
      </c>
      <c r="BC97" s="25" t="str">
        <f t="shared" si="60"/>
        <v>0</v>
      </c>
      <c r="BD97" s="25" t="str">
        <f t="shared" si="60"/>
        <v>0</v>
      </c>
      <c r="BE97" s="25" t="str">
        <f t="shared" si="60"/>
        <v>0</v>
      </c>
      <c r="BF97" s="25" t="str">
        <f t="shared" si="60"/>
        <v>0</v>
      </c>
      <c r="BG97" s="25" t="str">
        <f t="shared" si="60"/>
        <v>0</v>
      </c>
      <c r="BH97" s="25" t="str">
        <f t="shared" si="60"/>
        <v>0</v>
      </c>
      <c r="BI97" s="25" t="str">
        <f t="shared" si="60"/>
        <v>0</v>
      </c>
      <c r="BJ97" s="25" t="str">
        <f t="shared" si="60"/>
        <v>0</v>
      </c>
      <c r="BK97" s="25" t="str">
        <f t="shared" si="60"/>
        <v>0</v>
      </c>
      <c r="BL97" s="25" t="str">
        <f t="shared" si="60"/>
        <v>0</v>
      </c>
      <c r="BM97" s="25" t="str">
        <f t="shared" si="60"/>
        <v>0</v>
      </c>
      <c r="BN97" s="25" t="str">
        <f t="shared" si="60"/>
        <v>0</v>
      </c>
      <c r="BO97" s="25" t="str">
        <f t="shared" si="60"/>
        <v>0</v>
      </c>
      <c r="BP97" s="25" t="str">
        <f t="shared" si="60"/>
        <v>0</v>
      </c>
      <c r="BQ97" s="25" t="str">
        <f t="shared" si="60"/>
        <v>0</v>
      </c>
      <c r="BR97" s="25" t="str">
        <f t="shared" si="60"/>
        <v>0</v>
      </c>
      <c r="BS97" s="25" t="str">
        <f t="shared" si="60"/>
        <v>0</v>
      </c>
      <c r="BT97" s="25" t="str">
        <f t="shared" si="60"/>
        <v>0</v>
      </c>
      <c r="BU97" s="25" t="str">
        <f t="shared" si="60"/>
        <v>0</v>
      </c>
      <c r="BV97" s="25" t="str">
        <f t="shared" si="60"/>
        <v>0</v>
      </c>
      <c r="BW97" s="25" t="str">
        <f t="shared" si="60"/>
        <v>0</v>
      </c>
      <c r="BX97" s="25" t="str">
        <f t="shared" si="60"/>
        <v>0</v>
      </c>
      <c r="BY97" s="25" t="str">
        <f t="shared" si="60"/>
        <v>0</v>
      </c>
      <c r="BZ97" s="25">
        <f t="shared" si="60"/>
        <v>1950</v>
      </c>
      <c r="CC97" s="25" t="str">
        <f t="array" ref="CC97">INDEX($C$46:$C$74,MATCH(CD97,$B$46:$B$74,0))</f>
        <v>塔拉夏</v>
      </c>
      <c r="CD97" s="1">
        <v>1003</v>
      </c>
      <c r="CE97" s="1">
        <v>4</v>
      </c>
      <c r="CF97" s="25" t="str">
        <f t="array" ref="CF97">INDEX($T$5:$T$44,MATCH(CC97,$B$5:$B$44,0))</f>
        <v>魔法</v>
      </c>
      <c r="CG97" s="25">
        <f t="shared" si="34"/>
        <v>0.15</v>
      </c>
      <c r="CH97" s="25">
        <f t="shared" si="13"/>
        <v>1.15</v>
      </c>
      <c r="CI97" s="25">
        <f t="shared" si="14"/>
        <v>1</v>
      </c>
      <c r="CJ97" s="25">
        <f t="shared" si="15"/>
        <v>1.15</v>
      </c>
      <c r="CK97" s="25">
        <f t="shared" si="16"/>
        <v>1.15</v>
      </c>
      <c r="CL97" s="25">
        <v>0</v>
      </c>
      <c r="CM97" s="25">
        <f t="shared" si="35"/>
        <v>0</v>
      </c>
      <c r="CN97" s="25">
        <f t="shared" si="17"/>
        <v>0</v>
      </c>
      <c r="CO97" s="25">
        <f t="shared" si="18"/>
        <v>0</v>
      </c>
      <c r="CP97" s="29" t="str">
        <f t="shared" ref="CP97:DQ97" si="61">IF($CL97=CP$78,$CN97,"0")</f>
        <v>0</v>
      </c>
      <c r="CQ97" s="29" t="str">
        <f t="shared" si="61"/>
        <v>0</v>
      </c>
      <c r="CR97" s="29" t="str">
        <f t="shared" si="61"/>
        <v>0</v>
      </c>
      <c r="CS97" s="29" t="str">
        <f t="shared" si="61"/>
        <v>0</v>
      </c>
      <c r="CT97" s="29" t="str">
        <f t="shared" si="61"/>
        <v>0</v>
      </c>
      <c r="CU97" s="29" t="str">
        <f t="shared" si="61"/>
        <v>0</v>
      </c>
      <c r="CV97" s="29" t="str">
        <f t="shared" si="61"/>
        <v>0</v>
      </c>
      <c r="CW97" s="29" t="str">
        <f t="shared" si="61"/>
        <v>0</v>
      </c>
      <c r="CX97" s="29" t="str">
        <f t="shared" si="61"/>
        <v>0</v>
      </c>
      <c r="CY97" s="29" t="str">
        <f t="shared" si="61"/>
        <v>0</v>
      </c>
      <c r="CZ97" s="29" t="str">
        <f t="shared" si="61"/>
        <v>0</v>
      </c>
      <c r="DA97" s="29" t="str">
        <f t="shared" si="61"/>
        <v>0</v>
      </c>
      <c r="DB97" s="29" t="str">
        <f t="shared" si="61"/>
        <v>0</v>
      </c>
      <c r="DC97" s="29" t="str">
        <f t="shared" si="61"/>
        <v>0</v>
      </c>
      <c r="DD97" s="29" t="str">
        <f t="shared" si="61"/>
        <v>0</v>
      </c>
      <c r="DE97" s="29" t="str">
        <f t="shared" si="61"/>
        <v>0</v>
      </c>
      <c r="DF97" s="29" t="str">
        <f t="shared" si="61"/>
        <v>0</v>
      </c>
      <c r="DG97" s="29" t="str">
        <f t="shared" si="61"/>
        <v>0</v>
      </c>
      <c r="DH97" s="29" t="str">
        <f t="shared" si="61"/>
        <v>0</v>
      </c>
      <c r="DI97" s="29" t="str">
        <f t="shared" si="61"/>
        <v>0</v>
      </c>
      <c r="DJ97" s="29" t="str">
        <f t="shared" si="61"/>
        <v>0</v>
      </c>
      <c r="DK97" s="29" t="str">
        <f t="shared" si="61"/>
        <v>0</v>
      </c>
      <c r="DL97" s="29" t="str">
        <f t="shared" si="61"/>
        <v>0</v>
      </c>
      <c r="DM97" s="29" t="str">
        <f t="shared" si="61"/>
        <v>0</v>
      </c>
      <c r="DN97" s="29" t="str">
        <f t="shared" si="61"/>
        <v>0</v>
      </c>
      <c r="DO97" s="29" t="str">
        <f t="shared" si="61"/>
        <v>0</v>
      </c>
      <c r="DP97" s="29" t="str">
        <f t="shared" si="61"/>
        <v>0</v>
      </c>
      <c r="DQ97" s="29" t="str">
        <f t="shared" si="61"/>
        <v>0</v>
      </c>
      <c r="DR97" s="29"/>
      <c r="DS97" s="25">
        <v>0</v>
      </c>
      <c r="EE97" s="25" t="str">
        <f t="shared" si="20"/>
        <v>0</v>
      </c>
    </row>
    <row r="98" spans="1:135">
      <c r="A98" s="48">
        <v>1001020</v>
      </c>
      <c r="B98" s="49" t="s">
        <v>910</v>
      </c>
      <c r="C98" s="25">
        <v>20</v>
      </c>
      <c r="D98" s="25">
        <f t="array" ref="D98">INDEX(C$5:C$67,MATCH($B98,$B$5:$B$67,0))</f>
        <v>3600</v>
      </c>
      <c r="E98" s="25">
        <f t="array" ref="E98">INDEX(D$5:D$67,MATCH($B98,$B$5:$B$67,0))</f>
        <v>288</v>
      </c>
      <c r="F98" s="25">
        <f t="array" ref="F98">INDEX(E$5:E$67,MATCH($B98,$B$5:$B$67,0))</f>
        <v>1320</v>
      </c>
      <c r="G98" s="25">
        <f t="array" ref="G98">INDEX(F$5:F$67,MATCH($B98,$B$5:$B$67,0))</f>
        <v>105.6</v>
      </c>
      <c r="H98" s="25">
        <f t="array" ref="H98">INDEX(G$5:G$66,MATCH($B98,$B$5:$B$67,0))</f>
        <v>1056</v>
      </c>
      <c r="I98" s="25">
        <f t="array" ref="I98">INDEX(H$5:H$67,MATCH($B98,$B$5:$B$67,0))</f>
        <v>84.48</v>
      </c>
      <c r="J98" s="25">
        <f t="array" ref="J98">INDEX(I$5:I$67,MATCH($B98,$B$5:$B$67,0))</f>
        <v>800</v>
      </c>
      <c r="K98" s="25">
        <f t="array" ref="K98">INDEX(J$5:J$67,MATCH($B98,$B$5:$B$67,0))</f>
        <v>64</v>
      </c>
      <c r="L98" s="25">
        <f t="shared" si="0"/>
        <v>9360</v>
      </c>
      <c r="M98" s="25">
        <f t="shared" si="1"/>
        <v>3432</v>
      </c>
      <c r="N98" s="25">
        <f t="shared" si="2"/>
        <v>2746</v>
      </c>
      <c r="O98" s="25">
        <f t="shared" si="3"/>
        <v>2080</v>
      </c>
      <c r="R98" s="50">
        <f t="array" ref="R98">INDEX($B$46:$B$68,MATCH(S98,$C$46:$C$68,0))*1000+T98</f>
        <v>1001020</v>
      </c>
      <c r="S98" s="51" t="s">
        <v>910</v>
      </c>
      <c r="T98" s="29">
        <v>20</v>
      </c>
      <c r="U98" s="25">
        <f t="array" ref="U98">INDEX(K$5:K$67,MATCH($S98,$B$5:$B$67,0))</f>
        <v>306.72</v>
      </c>
      <c r="V98" s="25">
        <f t="array" ref="V98">INDEX(L$5:L$67,MATCH($S98,$B$5:$B$67,0))</f>
        <v>112.64</v>
      </c>
      <c r="W98" s="25">
        <f t="array" ref="W98">INDEX(M$5:M$67,MATCH($S98,$B$5:$B$67,0))</f>
        <v>90.11</v>
      </c>
      <c r="X98" s="25">
        <f t="array" ref="X98">INDEX(N$5:N$67,MATCH($S98,$B$5:$B$67,0))</f>
        <v>68</v>
      </c>
      <c r="Y98" s="25">
        <f t="shared" si="4"/>
        <v>6134</v>
      </c>
      <c r="Z98" s="25">
        <f t="shared" si="5"/>
        <v>2253</v>
      </c>
      <c r="AA98" s="25">
        <f t="shared" si="6"/>
        <v>1802</v>
      </c>
      <c r="AB98" s="25">
        <f t="shared" si="7"/>
        <v>1360</v>
      </c>
      <c r="AE98" s="1">
        <v>1024</v>
      </c>
      <c r="AF98" s="25">
        <v>20</v>
      </c>
      <c r="AG98" s="25">
        <f t="array" ref="AG98">INDEX($AE$79:$AE$116,QUOTIENT(AF98-1,8)+1)</f>
        <v>1003</v>
      </c>
      <c r="AH98" s="25">
        <f t="shared" si="37"/>
        <v>4</v>
      </c>
      <c r="AI98" s="25">
        <f t="shared" si="8"/>
        <v>10034</v>
      </c>
      <c r="AJ98" s="25" t="str">
        <f t="shared" si="9"/>
        <v>塔拉夏</v>
      </c>
      <c r="AK98" s="25">
        <f t="shared" si="38"/>
        <v>2</v>
      </c>
      <c r="AL98" s="25" t="str">
        <f t="array" ref="AL98">INDEX($O$5:$O$42,MATCH(AJ98,$B$5:$B$42,0))</f>
        <v>生命值百分比</v>
      </c>
      <c r="AM98" s="25" t="str">
        <f t="array" ref="AM98">INDEX($P$5:$P$42,MATCH(AJ98,$B$5:$B$42,0))</f>
        <v>攻击百分比</v>
      </c>
      <c r="AN98" s="25" t="str">
        <f t="array" ref="AN98">INDEX($Q$5:$Q$42,MATCH(AJ98,$B$5:$B$42,0))</f>
        <v>技能冷却等级</v>
      </c>
      <c r="AO98" s="25" t="str">
        <f t="array" ref="AO98">INDEX(AL98:AN98,0,AK98)</f>
        <v>攻击百分比</v>
      </c>
      <c r="AP98" s="25">
        <f t="shared" si="39"/>
        <v>0.15</v>
      </c>
      <c r="AQ98" s="25">
        <f t="shared" si="11"/>
        <v>0.15</v>
      </c>
      <c r="AR98" s="25" t="str">
        <f t="shared" ref="AR98:BZ98" si="62">IF(AR$78=$AO98,$AQ98,"0")</f>
        <v>0</v>
      </c>
      <c r="AS98" s="25" t="str">
        <f t="shared" si="62"/>
        <v>0</v>
      </c>
      <c r="AT98" s="25" t="str">
        <f t="shared" si="62"/>
        <v>0</v>
      </c>
      <c r="AU98" s="25">
        <f t="shared" si="62"/>
        <v>0.15</v>
      </c>
      <c r="AV98" s="25" t="str">
        <f t="shared" si="62"/>
        <v>0</v>
      </c>
      <c r="AW98" s="25">
        <f t="shared" si="62"/>
        <v>0.15</v>
      </c>
      <c r="AX98" s="25" t="str">
        <f t="shared" si="62"/>
        <v>0</v>
      </c>
      <c r="AY98" s="25" t="str">
        <f t="shared" si="62"/>
        <v>0</v>
      </c>
      <c r="AZ98" s="25" t="str">
        <f t="shared" si="62"/>
        <v>0</v>
      </c>
      <c r="BA98" s="25" t="str">
        <f t="shared" si="62"/>
        <v>0</v>
      </c>
      <c r="BB98" s="25" t="str">
        <f t="shared" si="62"/>
        <v>0</v>
      </c>
      <c r="BC98" s="25" t="str">
        <f t="shared" si="62"/>
        <v>0</v>
      </c>
      <c r="BD98" s="25" t="str">
        <f t="shared" si="62"/>
        <v>0</v>
      </c>
      <c r="BE98" s="25" t="str">
        <f t="shared" si="62"/>
        <v>0</v>
      </c>
      <c r="BF98" s="25" t="str">
        <f t="shared" si="62"/>
        <v>0</v>
      </c>
      <c r="BG98" s="25" t="str">
        <f t="shared" si="62"/>
        <v>0</v>
      </c>
      <c r="BH98" s="25" t="str">
        <f t="shared" si="62"/>
        <v>0</v>
      </c>
      <c r="BI98" s="25" t="str">
        <f t="shared" si="62"/>
        <v>0</v>
      </c>
      <c r="BJ98" s="25" t="str">
        <f t="shared" si="62"/>
        <v>0</v>
      </c>
      <c r="BK98" s="25" t="str">
        <f t="shared" si="62"/>
        <v>0</v>
      </c>
      <c r="BL98" s="25" t="str">
        <f t="shared" si="62"/>
        <v>0</v>
      </c>
      <c r="BM98" s="25" t="str">
        <f t="shared" si="62"/>
        <v>0</v>
      </c>
      <c r="BN98" s="25" t="str">
        <f t="shared" si="62"/>
        <v>0</v>
      </c>
      <c r="BO98" s="25" t="str">
        <f t="shared" si="62"/>
        <v>0</v>
      </c>
      <c r="BP98" s="25" t="str">
        <f t="shared" si="62"/>
        <v>0</v>
      </c>
      <c r="BQ98" s="25" t="str">
        <f t="shared" si="62"/>
        <v>0</v>
      </c>
      <c r="BR98" s="25" t="str">
        <f t="shared" si="62"/>
        <v>0</v>
      </c>
      <c r="BS98" s="25" t="str">
        <f t="shared" si="62"/>
        <v>0</v>
      </c>
      <c r="BT98" s="25" t="str">
        <f t="shared" si="62"/>
        <v>0</v>
      </c>
      <c r="BU98" s="25" t="str">
        <f t="shared" si="62"/>
        <v>0</v>
      </c>
      <c r="BV98" s="25" t="str">
        <f t="shared" si="62"/>
        <v>0</v>
      </c>
      <c r="BW98" s="25" t="str">
        <f t="shared" si="62"/>
        <v>0</v>
      </c>
      <c r="BX98" s="25" t="str">
        <f t="shared" si="62"/>
        <v>0</v>
      </c>
      <c r="BY98" s="25" t="str">
        <f t="shared" si="62"/>
        <v>0</v>
      </c>
      <c r="BZ98" s="25" t="str">
        <f t="shared" si="62"/>
        <v>0</v>
      </c>
      <c r="CC98" s="25" t="str">
        <f t="array" ref="CC98">INDEX($C$46:$C$74,MATCH(CD98,$B$46:$B$74,0))</f>
        <v>塔拉夏</v>
      </c>
      <c r="CD98" s="1">
        <v>1003</v>
      </c>
      <c r="CE98" s="1">
        <v>5</v>
      </c>
      <c r="CF98" s="25" t="str">
        <f t="array" ref="CF98">INDEX($T$5:$T$44,MATCH(CC98,$B$5:$B$44,0))</f>
        <v>魔法</v>
      </c>
      <c r="CG98" s="25">
        <f t="shared" si="34"/>
        <v>0.3</v>
      </c>
      <c r="CH98" s="25">
        <f t="shared" si="13"/>
        <v>1.3</v>
      </c>
      <c r="CI98" s="25">
        <f t="shared" si="14"/>
        <v>1</v>
      </c>
      <c r="CJ98" s="25">
        <f t="shared" si="15"/>
        <v>1.3</v>
      </c>
      <c r="CK98" s="25">
        <f t="shared" si="16"/>
        <v>1.3</v>
      </c>
      <c r="CL98" s="25" t="str">
        <f t="array" ref="CL98">INDEX($S$5:$S$43,MATCH(CC98,$B$5:$B$43,0))</f>
        <v>暴击等级</v>
      </c>
      <c r="CM98" s="25">
        <f t="shared" si="35"/>
        <v>0.3</v>
      </c>
      <c r="CN98" s="25">
        <f t="shared" si="17"/>
        <v>2700</v>
      </c>
      <c r="CO98" s="25">
        <f t="shared" si="18"/>
        <v>1</v>
      </c>
      <c r="CP98" s="29" t="str">
        <f t="shared" ref="CP98:DQ98" si="63">IF($CL98=CP$78,$CN98,"0")</f>
        <v>0</v>
      </c>
      <c r="CQ98" s="29" t="str">
        <f t="shared" si="63"/>
        <v>0</v>
      </c>
      <c r="CR98" s="29" t="str">
        <f t="shared" si="63"/>
        <v>0</v>
      </c>
      <c r="CS98" s="29" t="str">
        <f t="shared" si="63"/>
        <v>0</v>
      </c>
      <c r="CT98" s="29" t="str">
        <f t="shared" si="63"/>
        <v>0</v>
      </c>
      <c r="CU98" s="29" t="str">
        <f t="shared" si="63"/>
        <v>0</v>
      </c>
      <c r="CV98" s="29" t="str">
        <f t="shared" si="63"/>
        <v>0</v>
      </c>
      <c r="CW98" s="29" t="str">
        <f t="shared" si="63"/>
        <v>0</v>
      </c>
      <c r="CX98" s="29" t="str">
        <f t="shared" si="63"/>
        <v>0</v>
      </c>
      <c r="CY98" s="29" t="str">
        <f t="shared" si="63"/>
        <v>0</v>
      </c>
      <c r="CZ98" s="29" t="str">
        <f t="shared" si="63"/>
        <v>0</v>
      </c>
      <c r="DA98" s="29" t="str">
        <f t="shared" si="63"/>
        <v>0</v>
      </c>
      <c r="DB98" s="29" t="str">
        <f t="shared" si="63"/>
        <v>0</v>
      </c>
      <c r="DC98" s="29" t="str">
        <f t="shared" si="63"/>
        <v>0</v>
      </c>
      <c r="DD98" s="29" t="str">
        <f t="shared" si="63"/>
        <v>0</v>
      </c>
      <c r="DE98" s="29" t="str">
        <f t="shared" si="63"/>
        <v>0</v>
      </c>
      <c r="DF98" s="29" t="str">
        <f t="shared" si="63"/>
        <v>0</v>
      </c>
      <c r="DG98" s="29" t="str">
        <f t="shared" si="63"/>
        <v>0</v>
      </c>
      <c r="DH98" s="29" t="str">
        <f t="shared" si="63"/>
        <v>0</v>
      </c>
      <c r="DI98" s="29" t="str">
        <f t="shared" si="63"/>
        <v>0</v>
      </c>
      <c r="DJ98" s="29" t="str">
        <f t="shared" si="63"/>
        <v>0</v>
      </c>
      <c r="DK98" s="29" t="str">
        <f t="shared" si="63"/>
        <v>0</v>
      </c>
      <c r="DL98" s="29" t="str">
        <f t="shared" si="63"/>
        <v>0</v>
      </c>
      <c r="DM98" s="29" t="str">
        <f t="shared" si="63"/>
        <v>0</v>
      </c>
      <c r="DN98" s="29">
        <f t="shared" si="63"/>
        <v>2700</v>
      </c>
      <c r="DO98" s="29" t="str">
        <f t="shared" si="63"/>
        <v>0</v>
      </c>
      <c r="DP98" s="29" t="str">
        <f t="shared" si="63"/>
        <v>0</v>
      </c>
      <c r="DQ98" s="29" t="str">
        <f t="shared" si="63"/>
        <v>0</v>
      </c>
      <c r="DR98" s="29"/>
      <c r="DS98" s="25" t="s">
        <v>1011</v>
      </c>
      <c r="DT98" s="25" t="str">
        <f>TEXT(角色升星!$F$18,"0%")</f>
        <v>15%</v>
      </c>
      <c r="DU98" s="25" t="s">
        <v>779</v>
      </c>
      <c r="DV98" s="25" t="str">
        <f>IF(CF98="物理","PhysicsAttack,+","MagicAttack,+")</f>
        <v>MagicAttack,+</v>
      </c>
      <c r="DW98" s="25" t="str">
        <f>TEXT(角色升星!$F$18,"0%")</f>
        <v>15%</v>
      </c>
      <c r="DX98" s="25" t="s">
        <v>779</v>
      </c>
      <c r="DY98" s="25" t="s">
        <v>1012</v>
      </c>
      <c r="DZ98" s="25" t="str">
        <f>TEXT(角色升星!$F$18,"0%")</f>
        <v>15%</v>
      </c>
      <c r="EA98" s="25" t="s">
        <v>779</v>
      </c>
      <c r="EB98" s="25" t="str">
        <f>VLOOKUP(CL98,$O$46:$P$73,2,0)</f>
        <v>CritLevel</v>
      </c>
      <c r="EC98" s="25" t="s">
        <v>1013</v>
      </c>
      <c r="ED98" s="25">
        <f>IF(CN98&gt;1,CN98,TEXT(CN98,"0%"))</f>
        <v>2700</v>
      </c>
      <c r="EE98" s="25" t="str">
        <f t="shared" si="20"/>
        <v>Hp,+15%;MagicAttack,+15%;Armor,+15%;CritLevel,+2700</v>
      </c>
    </row>
    <row r="99" spans="1:135">
      <c r="A99" s="48">
        <v>1001021</v>
      </c>
      <c r="B99" s="49" t="s">
        <v>910</v>
      </c>
      <c r="C99" s="25">
        <v>21</v>
      </c>
      <c r="D99" s="25">
        <f t="array" ref="D99">INDEX(C$5:C$67,MATCH($B99,$B$5:$B$67,0))</f>
        <v>3600</v>
      </c>
      <c r="E99" s="25">
        <f t="array" ref="E99">INDEX(D$5:D$67,MATCH($B99,$B$5:$B$67,0))</f>
        <v>288</v>
      </c>
      <c r="F99" s="25">
        <f t="array" ref="F99">INDEX(E$5:E$67,MATCH($B99,$B$5:$B$67,0))</f>
        <v>1320</v>
      </c>
      <c r="G99" s="25">
        <f t="array" ref="G99">INDEX(F$5:F$67,MATCH($B99,$B$5:$B$67,0))</f>
        <v>105.6</v>
      </c>
      <c r="H99" s="25">
        <f t="array" ref="H99">INDEX(G$5:G$66,MATCH($B99,$B$5:$B$67,0))</f>
        <v>1056</v>
      </c>
      <c r="I99" s="25">
        <f t="array" ref="I99">INDEX(H$5:H$67,MATCH($B99,$B$5:$B$67,0))</f>
        <v>84.48</v>
      </c>
      <c r="J99" s="25">
        <f t="array" ref="J99">INDEX(I$5:I$67,MATCH($B99,$B$5:$B$67,0))</f>
        <v>800</v>
      </c>
      <c r="K99" s="25">
        <f t="array" ref="K99">INDEX(J$5:J$67,MATCH($B99,$B$5:$B$67,0))</f>
        <v>64</v>
      </c>
      <c r="L99" s="25">
        <f t="shared" si="0"/>
        <v>9648</v>
      </c>
      <c r="M99" s="25">
        <f t="shared" si="1"/>
        <v>3538</v>
      </c>
      <c r="N99" s="25">
        <f t="shared" si="2"/>
        <v>2830</v>
      </c>
      <c r="O99" s="25">
        <f t="shared" si="3"/>
        <v>2144</v>
      </c>
      <c r="R99" s="50">
        <f t="array" ref="R99">INDEX($B$46:$B$68,MATCH(S99,$C$46:$C$68,0))*1000+T99</f>
        <v>1001021</v>
      </c>
      <c r="S99" s="51" t="s">
        <v>910</v>
      </c>
      <c r="T99" s="29">
        <v>21</v>
      </c>
      <c r="U99" s="25">
        <f t="array" ref="U99">INDEX(K$5:K$67,MATCH($S99,$B$5:$B$67,0))</f>
        <v>306.72</v>
      </c>
      <c r="V99" s="25">
        <f t="array" ref="V99">INDEX(L$5:L$67,MATCH($S99,$B$5:$B$67,0))</f>
        <v>112.64</v>
      </c>
      <c r="W99" s="25">
        <f t="array" ref="W99">INDEX(M$5:M$67,MATCH($S99,$B$5:$B$67,0))</f>
        <v>90.11</v>
      </c>
      <c r="X99" s="25">
        <f t="array" ref="X99">INDEX(N$5:N$67,MATCH($S99,$B$5:$B$67,0))</f>
        <v>68</v>
      </c>
      <c r="Y99" s="25">
        <f t="shared" si="4"/>
        <v>6441</v>
      </c>
      <c r="Z99" s="25">
        <f t="shared" si="5"/>
        <v>2365</v>
      </c>
      <c r="AA99" s="25">
        <f t="shared" si="6"/>
        <v>1892</v>
      </c>
      <c r="AB99" s="25">
        <f t="shared" si="7"/>
        <v>1428</v>
      </c>
      <c r="AE99" s="1">
        <v>1026</v>
      </c>
      <c r="AF99" s="25">
        <v>21</v>
      </c>
      <c r="AG99" s="25">
        <f t="array" ref="AG99">INDEX($AE$79:$AE$116,QUOTIENT(AF99-1,8)+1)</f>
        <v>1003</v>
      </c>
      <c r="AH99" s="25">
        <f t="shared" si="37"/>
        <v>5</v>
      </c>
      <c r="AI99" s="25">
        <f t="shared" si="8"/>
        <v>10035</v>
      </c>
      <c r="AJ99" s="25" t="str">
        <f t="shared" si="9"/>
        <v>塔拉夏</v>
      </c>
      <c r="AK99" s="25">
        <f t="shared" si="38"/>
        <v>3</v>
      </c>
      <c r="AL99" s="25" t="str">
        <f t="array" ref="AL99">INDEX($O$5:$O$42,MATCH(AJ99,$B$5:$B$42,0))</f>
        <v>生命值百分比</v>
      </c>
      <c r="AM99" s="25" t="str">
        <f t="array" ref="AM99">INDEX($P$5:$P$42,MATCH(AJ99,$B$5:$B$42,0))</f>
        <v>攻击百分比</v>
      </c>
      <c r="AN99" s="25" t="str">
        <f t="array" ref="AN99">INDEX($Q$5:$Q$42,MATCH(AJ99,$B$5:$B$42,0))</f>
        <v>技能冷却等级</v>
      </c>
      <c r="AO99" s="25" t="str">
        <f t="array" ref="AO99">INDEX(AL99:AN99,0,AK99)</f>
        <v>技能冷却等级</v>
      </c>
      <c r="AP99" s="25">
        <f t="shared" si="39"/>
        <v>0.15</v>
      </c>
      <c r="AQ99" s="25">
        <f t="shared" si="11"/>
        <v>1950</v>
      </c>
      <c r="AR99" s="25" t="str">
        <f t="shared" ref="AR99:BZ99" si="64">IF(AR$78=$AO99,$AQ99,"0")</f>
        <v>0</v>
      </c>
      <c r="AS99" s="25" t="str">
        <f t="shared" si="64"/>
        <v>0</v>
      </c>
      <c r="AT99" s="25" t="str">
        <f t="shared" si="64"/>
        <v>0</v>
      </c>
      <c r="AU99" s="25" t="str">
        <f t="shared" si="64"/>
        <v>0</v>
      </c>
      <c r="AV99" s="25" t="str">
        <f t="shared" si="64"/>
        <v>0</v>
      </c>
      <c r="AW99" s="25" t="str">
        <f t="shared" si="64"/>
        <v>0</v>
      </c>
      <c r="AX99" s="25" t="str">
        <f t="shared" si="64"/>
        <v>0</v>
      </c>
      <c r="AY99" s="25" t="str">
        <f t="shared" si="64"/>
        <v>0</v>
      </c>
      <c r="AZ99" s="25" t="str">
        <f t="shared" si="64"/>
        <v>0</v>
      </c>
      <c r="BA99" s="25" t="str">
        <f t="shared" si="64"/>
        <v>0</v>
      </c>
      <c r="BB99" s="25" t="str">
        <f t="shared" si="64"/>
        <v>0</v>
      </c>
      <c r="BC99" s="25" t="str">
        <f t="shared" si="64"/>
        <v>0</v>
      </c>
      <c r="BD99" s="25" t="str">
        <f t="shared" si="64"/>
        <v>0</v>
      </c>
      <c r="BE99" s="25" t="str">
        <f t="shared" si="64"/>
        <v>0</v>
      </c>
      <c r="BF99" s="25" t="str">
        <f t="shared" si="64"/>
        <v>0</v>
      </c>
      <c r="BG99" s="25" t="str">
        <f t="shared" si="64"/>
        <v>0</v>
      </c>
      <c r="BH99" s="25" t="str">
        <f t="shared" si="64"/>
        <v>0</v>
      </c>
      <c r="BI99" s="25" t="str">
        <f t="shared" si="64"/>
        <v>0</v>
      </c>
      <c r="BJ99" s="25" t="str">
        <f t="shared" si="64"/>
        <v>0</v>
      </c>
      <c r="BK99" s="25" t="str">
        <f t="shared" si="64"/>
        <v>0</v>
      </c>
      <c r="BL99" s="25" t="str">
        <f t="shared" si="64"/>
        <v>0</v>
      </c>
      <c r="BM99" s="25" t="str">
        <f t="shared" si="64"/>
        <v>0</v>
      </c>
      <c r="BN99" s="25" t="str">
        <f t="shared" si="64"/>
        <v>0</v>
      </c>
      <c r="BO99" s="25" t="str">
        <f t="shared" si="64"/>
        <v>0</v>
      </c>
      <c r="BP99" s="25" t="str">
        <f t="shared" si="64"/>
        <v>0</v>
      </c>
      <c r="BQ99" s="25" t="str">
        <f t="shared" si="64"/>
        <v>0</v>
      </c>
      <c r="BR99" s="25" t="str">
        <f t="shared" si="64"/>
        <v>0</v>
      </c>
      <c r="BS99" s="25" t="str">
        <f t="shared" si="64"/>
        <v>0</v>
      </c>
      <c r="BT99" s="25" t="str">
        <f t="shared" si="64"/>
        <v>0</v>
      </c>
      <c r="BU99" s="25" t="str">
        <f t="shared" si="64"/>
        <v>0</v>
      </c>
      <c r="BV99" s="25" t="str">
        <f t="shared" si="64"/>
        <v>0</v>
      </c>
      <c r="BW99" s="25" t="str">
        <f t="shared" si="64"/>
        <v>0</v>
      </c>
      <c r="BX99" s="25" t="str">
        <f t="shared" si="64"/>
        <v>0</v>
      </c>
      <c r="BY99" s="25" t="str">
        <f t="shared" si="64"/>
        <v>0</v>
      </c>
      <c r="BZ99" s="25">
        <f t="shared" si="64"/>
        <v>1950</v>
      </c>
      <c r="CC99" s="25" t="str">
        <f t="array" ref="CC99">INDEX($C$46:$C$74,MATCH(CD99,$B$46:$B$74,0))</f>
        <v>塔拉夏</v>
      </c>
      <c r="CD99" s="1">
        <v>1003</v>
      </c>
      <c r="CE99" s="1">
        <v>6</v>
      </c>
      <c r="CF99" s="25" t="str">
        <f t="array" ref="CF99">INDEX($T$5:$T$44,MATCH(CC99,$B$5:$B$44,0))</f>
        <v>魔法</v>
      </c>
      <c r="CG99" s="25">
        <f t="shared" si="34"/>
        <v>0.3</v>
      </c>
      <c r="CH99" s="25">
        <f t="shared" si="13"/>
        <v>1.3</v>
      </c>
      <c r="CI99" s="25">
        <f t="shared" si="14"/>
        <v>1</v>
      </c>
      <c r="CJ99" s="25">
        <f t="shared" si="15"/>
        <v>1.3</v>
      </c>
      <c r="CK99" s="25">
        <f t="shared" si="16"/>
        <v>1.3</v>
      </c>
      <c r="CL99" s="25">
        <v>0</v>
      </c>
      <c r="CM99" s="25">
        <f t="shared" si="35"/>
        <v>0</v>
      </c>
      <c r="CN99" s="25">
        <f t="shared" si="17"/>
        <v>0</v>
      </c>
      <c r="CO99" s="25">
        <f t="shared" si="18"/>
        <v>0</v>
      </c>
      <c r="CP99" s="29" t="str">
        <f t="shared" ref="CP99:DQ99" si="65">IF($CL99=CP$78,$CN99,"0")</f>
        <v>0</v>
      </c>
      <c r="CQ99" s="29" t="str">
        <f t="shared" si="65"/>
        <v>0</v>
      </c>
      <c r="CR99" s="29" t="str">
        <f t="shared" si="65"/>
        <v>0</v>
      </c>
      <c r="CS99" s="29" t="str">
        <f t="shared" si="65"/>
        <v>0</v>
      </c>
      <c r="CT99" s="29" t="str">
        <f t="shared" si="65"/>
        <v>0</v>
      </c>
      <c r="CU99" s="29" t="str">
        <f t="shared" si="65"/>
        <v>0</v>
      </c>
      <c r="CV99" s="29" t="str">
        <f t="shared" si="65"/>
        <v>0</v>
      </c>
      <c r="CW99" s="29" t="str">
        <f t="shared" si="65"/>
        <v>0</v>
      </c>
      <c r="CX99" s="29" t="str">
        <f t="shared" si="65"/>
        <v>0</v>
      </c>
      <c r="CY99" s="29" t="str">
        <f t="shared" si="65"/>
        <v>0</v>
      </c>
      <c r="CZ99" s="29" t="str">
        <f t="shared" si="65"/>
        <v>0</v>
      </c>
      <c r="DA99" s="29" t="str">
        <f t="shared" si="65"/>
        <v>0</v>
      </c>
      <c r="DB99" s="29" t="str">
        <f t="shared" si="65"/>
        <v>0</v>
      </c>
      <c r="DC99" s="29" t="str">
        <f t="shared" si="65"/>
        <v>0</v>
      </c>
      <c r="DD99" s="29" t="str">
        <f t="shared" si="65"/>
        <v>0</v>
      </c>
      <c r="DE99" s="29" t="str">
        <f t="shared" si="65"/>
        <v>0</v>
      </c>
      <c r="DF99" s="29" t="str">
        <f t="shared" si="65"/>
        <v>0</v>
      </c>
      <c r="DG99" s="29" t="str">
        <f t="shared" si="65"/>
        <v>0</v>
      </c>
      <c r="DH99" s="29" t="str">
        <f t="shared" si="65"/>
        <v>0</v>
      </c>
      <c r="DI99" s="29" t="str">
        <f t="shared" si="65"/>
        <v>0</v>
      </c>
      <c r="DJ99" s="29" t="str">
        <f t="shared" si="65"/>
        <v>0</v>
      </c>
      <c r="DK99" s="29" t="str">
        <f t="shared" si="65"/>
        <v>0</v>
      </c>
      <c r="DL99" s="29" t="str">
        <f t="shared" si="65"/>
        <v>0</v>
      </c>
      <c r="DM99" s="29" t="str">
        <f t="shared" si="65"/>
        <v>0</v>
      </c>
      <c r="DN99" s="29" t="str">
        <f t="shared" si="65"/>
        <v>0</v>
      </c>
      <c r="DO99" s="29" t="str">
        <f t="shared" si="65"/>
        <v>0</v>
      </c>
      <c r="DP99" s="29" t="str">
        <f t="shared" si="65"/>
        <v>0</v>
      </c>
      <c r="DQ99" s="29" t="str">
        <f t="shared" si="65"/>
        <v>0</v>
      </c>
      <c r="DR99" s="29"/>
      <c r="DS99" s="25">
        <v>0</v>
      </c>
      <c r="EE99" s="25" t="str">
        <f t="shared" si="20"/>
        <v>0</v>
      </c>
    </row>
    <row r="100" spans="1:135">
      <c r="A100" s="48">
        <v>1001022</v>
      </c>
      <c r="B100" s="49" t="s">
        <v>910</v>
      </c>
      <c r="C100" s="25">
        <v>22</v>
      </c>
      <c r="D100" s="25">
        <f t="array" ref="D100">INDEX(C$5:C$67,MATCH($B100,$B$5:$B$67,0))</f>
        <v>3600</v>
      </c>
      <c r="E100" s="25">
        <f t="array" ref="E100">INDEX(D$5:D$67,MATCH($B100,$B$5:$B$67,0))</f>
        <v>288</v>
      </c>
      <c r="F100" s="25">
        <f t="array" ref="F100">INDEX(E$5:E$67,MATCH($B100,$B$5:$B$67,0))</f>
        <v>1320</v>
      </c>
      <c r="G100" s="25">
        <f t="array" ref="G100">INDEX(F$5:F$67,MATCH($B100,$B$5:$B$67,0))</f>
        <v>105.6</v>
      </c>
      <c r="H100" s="25">
        <f t="array" ref="H100">INDEX(G$5:G$66,MATCH($B100,$B$5:$B$67,0))</f>
        <v>1056</v>
      </c>
      <c r="I100" s="25">
        <f t="array" ref="I100">INDEX(H$5:H$67,MATCH($B100,$B$5:$B$67,0))</f>
        <v>84.48</v>
      </c>
      <c r="J100" s="25">
        <f t="array" ref="J100">INDEX(I$5:I$67,MATCH($B100,$B$5:$B$67,0))</f>
        <v>800</v>
      </c>
      <c r="K100" s="25">
        <f t="array" ref="K100">INDEX(J$5:J$67,MATCH($B100,$B$5:$B$67,0))</f>
        <v>64</v>
      </c>
      <c r="L100" s="25">
        <f t="shared" si="0"/>
        <v>9936</v>
      </c>
      <c r="M100" s="25">
        <f t="shared" si="1"/>
        <v>3643</v>
      </c>
      <c r="N100" s="25">
        <f t="shared" si="2"/>
        <v>2915</v>
      </c>
      <c r="O100" s="25">
        <f t="shared" si="3"/>
        <v>2208</v>
      </c>
      <c r="R100" s="50">
        <f t="array" ref="R100">INDEX($B$46:$B$68,MATCH(S100,$C$46:$C$68,0))*1000+T100</f>
        <v>1001022</v>
      </c>
      <c r="S100" s="51" t="s">
        <v>910</v>
      </c>
      <c r="T100" s="29">
        <v>22</v>
      </c>
      <c r="U100" s="25">
        <f t="array" ref="U100">INDEX(K$5:K$67,MATCH($S100,$B$5:$B$67,0))</f>
        <v>306.72</v>
      </c>
      <c r="V100" s="25">
        <f t="array" ref="V100">INDEX(L$5:L$67,MATCH($S100,$B$5:$B$67,0))</f>
        <v>112.64</v>
      </c>
      <c r="W100" s="25">
        <f t="array" ref="W100">INDEX(M$5:M$67,MATCH($S100,$B$5:$B$67,0))</f>
        <v>90.11</v>
      </c>
      <c r="X100" s="25">
        <f t="array" ref="X100">INDEX(N$5:N$67,MATCH($S100,$B$5:$B$67,0))</f>
        <v>68</v>
      </c>
      <c r="Y100" s="25">
        <f t="shared" si="4"/>
        <v>6748</v>
      </c>
      <c r="Z100" s="25">
        <f t="shared" si="5"/>
        <v>2478</v>
      </c>
      <c r="AA100" s="25">
        <f t="shared" si="6"/>
        <v>1982</v>
      </c>
      <c r="AB100" s="25">
        <f t="shared" si="7"/>
        <v>1496</v>
      </c>
      <c r="AE100" s="1">
        <v>1029</v>
      </c>
      <c r="AF100" s="25">
        <v>22</v>
      </c>
      <c r="AG100" s="25">
        <f t="array" ref="AG100">INDEX($AE$79:$AE$116,QUOTIENT(AF100-1,8)+1)</f>
        <v>1003</v>
      </c>
      <c r="AH100" s="25">
        <f t="shared" si="37"/>
        <v>6</v>
      </c>
      <c r="AI100" s="25">
        <f t="shared" si="8"/>
        <v>10036</v>
      </c>
      <c r="AJ100" s="25" t="str">
        <f t="shared" si="9"/>
        <v>塔拉夏</v>
      </c>
      <c r="AK100" s="25">
        <f t="shared" si="38"/>
        <v>1</v>
      </c>
      <c r="AL100" s="25" t="str">
        <f t="array" ref="AL100">INDEX($O$5:$O$42,MATCH(AJ100,$B$5:$B$42,0))</f>
        <v>生命值百分比</v>
      </c>
      <c r="AM100" s="25" t="str">
        <f t="array" ref="AM100">INDEX($P$5:$P$42,MATCH(AJ100,$B$5:$B$42,0))</f>
        <v>攻击百分比</v>
      </c>
      <c r="AN100" s="25" t="str">
        <f t="array" ref="AN100">INDEX($Q$5:$Q$42,MATCH(AJ100,$B$5:$B$42,0))</f>
        <v>技能冷却等级</v>
      </c>
      <c r="AO100" s="25" t="str">
        <f t="array" ref="AO100">INDEX(AL100:AN100,0,AK100)</f>
        <v>生命值百分比</v>
      </c>
      <c r="AP100" s="25">
        <f t="shared" si="39"/>
        <v>0.15</v>
      </c>
      <c r="AQ100" s="25">
        <f t="shared" si="11"/>
        <v>0.15</v>
      </c>
      <c r="AR100" s="25" t="str">
        <f t="shared" ref="AR100:BZ100" si="66">IF(AR$78=$AO100,$AQ100,"0")</f>
        <v>0</v>
      </c>
      <c r="AS100" s="25">
        <f t="shared" si="66"/>
        <v>0.15</v>
      </c>
      <c r="AT100" s="25" t="str">
        <f t="shared" si="66"/>
        <v>0</v>
      </c>
      <c r="AU100" s="25" t="str">
        <f t="shared" si="66"/>
        <v>0</v>
      </c>
      <c r="AV100" s="25" t="str">
        <f t="shared" si="66"/>
        <v>0</v>
      </c>
      <c r="AW100" s="25" t="str">
        <f t="shared" si="66"/>
        <v>0</v>
      </c>
      <c r="AX100" s="25" t="str">
        <f t="shared" si="66"/>
        <v>0</v>
      </c>
      <c r="AY100" s="25" t="str">
        <f t="shared" si="66"/>
        <v>0</v>
      </c>
      <c r="AZ100" s="25" t="str">
        <f t="shared" si="66"/>
        <v>0</v>
      </c>
      <c r="BA100" s="25" t="str">
        <f t="shared" si="66"/>
        <v>0</v>
      </c>
      <c r="BB100" s="25" t="str">
        <f t="shared" si="66"/>
        <v>0</v>
      </c>
      <c r="BC100" s="25" t="str">
        <f t="shared" si="66"/>
        <v>0</v>
      </c>
      <c r="BD100" s="25" t="str">
        <f t="shared" si="66"/>
        <v>0</v>
      </c>
      <c r="BE100" s="25" t="str">
        <f t="shared" si="66"/>
        <v>0</v>
      </c>
      <c r="BF100" s="25" t="str">
        <f t="shared" si="66"/>
        <v>0</v>
      </c>
      <c r="BG100" s="25" t="str">
        <f t="shared" si="66"/>
        <v>0</v>
      </c>
      <c r="BH100" s="25" t="str">
        <f t="shared" si="66"/>
        <v>0</v>
      </c>
      <c r="BI100" s="25" t="str">
        <f t="shared" si="66"/>
        <v>0</v>
      </c>
      <c r="BJ100" s="25" t="str">
        <f t="shared" si="66"/>
        <v>0</v>
      </c>
      <c r="BK100" s="25" t="str">
        <f t="shared" si="66"/>
        <v>0</v>
      </c>
      <c r="BL100" s="25" t="str">
        <f t="shared" si="66"/>
        <v>0</v>
      </c>
      <c r="BM100" s="25" t="str">
        <f t="shared" si="66"/>
        <v>0</v>
      </c>
      <c r="BN100" s="25" t="str">
        <f t="shared" si="66"/>
        <v>0</v>
      </c>
      <c r="BO100" s="25" t="str">
        <f t="shared" si="66"/>
        <v>0</v>
      </c>
      <c r="BP100" s="25" t="str">
        <f t="shared" si="66"/>
        <v>0</v>
      </c>
      <c r="BQ100" s="25" t="str">
        <f t="shared" si="66"/>
        <v>0</v>
      </c>
      <c r="BR100" s="25" t="str">
        <f t="shared" si="66"/>
        <v>0</v>
      </c>
      <c r="BS100" s="25" t="str">
        <f t="shared" si="66"/>
        <v>0</v>
      </c>
      <c r="BT100" s="25" t="str">
        <f t="shared" si="66"/>
        <v>0</v>
      </c>
      <c r="BU100" s="25" t="str">
        <f t="shared" si="66"/>
        <v>0</v>
      </c>
      <c r="BV100" s="25" t="str">
        <f t="shared" si="66"/>
        <v>0</v>
      </c>
      <c r="BW100" s="25" t="str">
        <f t="shared" si="66"/>
        <v>0</v>
      </c>
      <c r="BX100" s="25" t="str">
        <f t="shared" si="66"/>
        <v>0</v>
      </c>
      <c r="BY100" s="25" t="str">
        <f t="shared" si="66"/>
        <v>0</v>
      </c>
      <c r="BZ100" s="25" t="str">
        <f t="shared" si="66"/>
        <v>0</v>
      </c>
      <c r="CC100" s="25" t="str">
        <f t="array" ref="CC100">INDEX($C$46:$C$74,MATCH(CD100,$B$46:$B$74,0))</f>
        <v>阿芭</v>
      </c>
      <c r="CD100" s="1">
        <v>1004</v>
      </c>
      <c r="CE100" s="1">
        <v>0</v>
      </c>
      <c r="CF100" s="25" t="str">
        <f t="array" ref="CF100">INDEX($T$5:$T$44,MATCH(CC100,$B$5:$B$44,0))</f>
        <v>魔法</v>
      </c>
      <c r="CG100" s="25">
        <f t="shared" si="34"/>
        <v>0</v>
      </c>
      <c r="CH100" s="25">
        <f t="shared" si="13"/>
        <v>1</v>
      </c>
      <c r="CI100" s="25">
        <f t="shared" si="14"/>
        <v>1</v>
      </c>
      <c r="CJ100" s="25">
        <f t="shared" si="15"/>
        <v>1</v>
      </c>
      <c r="CK100" s="25">
        <f t="shared" si="16"/>
        <v>1</v>
      </c>
      <c r="CL100" s="25">
        <v>0</v>
      </c>
      <c r="CM100" s="25">
        <f t="shared" si="35"/>
        <v>0</v>
      </c>
      <c r="CN100" s="25">
        <f t="shared" si="17"/>
        <v>0</v>
      </c>
      <c r="CO100" s="25">
        <f t="shared" si="18"/>
        <v>0</v>
      </c>
      <c r="CP100" s="29" t="str">
        <f t="shared" ref="CP100:DQ100" si="67">IF($CL100=CP$78,$CN100,"0")</f>
        <v>0</v>
      </c>
      <c r="CQ100" s="29" t="str">
        <f t="shared" si="67"/>
        <v>0</v>
      </c>
      <c r="CR100" s="29" t="str">
        <f t="shared" si="67"/>
        <v>0</v>
      </c>
      <c r="CS100" s="29" t="str">
        <f t="shared" si="67"/>
        <v>0</v>
      </c>
      <c r="CT100" s="29" t="str">
        <f t="shared" si="67"/>
        <v>0</v>
      </c>
      <c r="CU100" s="29" t="str">
        <f t="shared" si="67"/>
        <v>0</v>
      </c>
      <c r="CV100" s="29" t="str">
        <f t="shared" si="67"/>
        <v>0</v>
      </c>
      <c r="CW100" s="29" t="str">
        <f t="shared" si="67"/>
        <v>0</v>
      </c>
      <c r="CX100" s="29" t="str">
        <f t="shared" si="67"/>
        <v>0</v>
      </c>
      <c r="CY100" s="29" t="str">
        <f t="shared" si="67"/>
        <v>0</v>
      </c>
      <c r="CZ100" s="29" t="str">
        <f t="shared" si="67"/>
        <v>0</v>
      </c>
      <c r="DA100" s="29" t="str">
        <f t="shared" si="67"/>
        <v>0</v>
      </c>
      <c r="DB100" s="29" t="str">
        <f t="shared" si="67"/>
        <v>0</v>
      </c>
      <c r="DC100" s="29" t="str">
        <f t="shared" si="67"/>
        <v>0</v>
      </c>
      <c r="DD100" s="29" t="str">
        <f t="shared" si="67"/>
        <v>0</v>
      </c>
      <c r="DE100" s="29" t="str">
        <f t="shared" si="67"/>
        <v>0</v>
      </c>
      <c r="DF100" s="29" t="str">
        <f t="shared" si="67"/>
        <v>0</v>
      </c>
      <c r="DG100" s="29" t="str">
        <f t="shared" si="67"/>
        <v>0</v>
      </c>
      <c r="DH100" s="29" t="str">
        <f t="shared" si="67"/>
        <v>0</v>
      </c>
      <c r="DI100" s="29" t="str">
        <f t="shared" si="67"/>
        <v>0</v>
      </c>
      <c r="DJ100" s="29" t="str">
        <f t="shared" si="67"/>
        <v>0</v>
      </c>
      <c r="DK100" s="29" t="str">
        <f t="shared" si="67"/>
        <v>0</v>
      </c>
      <c r="DL100" s="29" t="str">
        <f t="shared" si="67"/>
        <v>0</v>
      </c>
      <c r="DM100" s="29" t="str">
        <f t="shared" si="67"/>
        <v>0</v>
      </c>
      <c r="DN100" s="29" t="str">
        <f t="shared" si="67"/>
        <v>0</v>
      </c>
      <c r="DO100" s="29" t="str">
        <f t="shared" si="67"/>
        <v>0</v>
      </c>
      <c r="DP100" s="29" t="str">
        <f t="shared" si="67"/>
        <v>0</v>
      </c>
      <c r="DQ100" s="29" t="str">
        <f t="shared" si="67"/>
        <v>0</v>
      </c>
      <c r="DR100" s="29"/>
      <c r="DS100" s="25">
        <v>0</v>
      </c>
      <c r="EE100" s="25" t="str">
        <f t="shared" si="20"/>
        <v>0</v>
      </c>
    </row>
    <row r="101" spans="1:135">
      <c r="A101" s="48">
        <v>1001023</v>
      </c>
      <c r="B101" s="49" t="s">
        <v>910</v>
      </c>
      <c r="C101" s="25">
        <v>23</v>
      </c>
      <c r="D101" s="25">
        <f t="array" ref="D101">INDEX(C$5:C$67,MATCH($B101,$B$5:$B$67,0))</f>
        <v>3600</v>
      </c>
      <c r="E101" s="25">
        <f t="array" ref="E101">INDEX(D$5:D$67,MATCH($B101,$B$5:$B$67,0))</f>
        <v>288</v>
      </c>
      <c r="F101" s="25">
        <f t="array" ref="F101">INDEX(E$5:E$67,MATCH($B101,$B$5:$B$67,0))</f>
        <v>1320</v>
      </c>
      <c r="G101" s="25">
        <f t="array" ref="G101">INDEX(F$5:F$67,MATCH($B101,$B$5:$B$67,0))</f>
        <v>105.6</v>
      </c>
      <c r="H101" s="25">
        <f t="array" ref="H101">INDEX(G$5:G$66,MATCH($B101,$B$5:$B$67,0))</f>
        <v>1056</v>
      </c>
      <c r="I101" s="25">
        <f t="array" ref="I101">INDEX(H$5:H$67,MATCH($B101,$B$5:$B$67,0))</f>
        <v>84.48</v>
      </c>
      <c r="J101" s="25">
        <f t="array" ref="J101">INDEX(I$5:I$67,MATCH($B101,$B$5:$B$67,0))</f>
        <v>800</v>
      </c>
      <c r="K101" s="25">
        <f t="array" ref="K101">INDEX(J$5:J$67,MATCH($B101,$B$5:$B$67,0))</f>
        <v>64</v>
      </c>
      <c r="L101" s="25">
        <f t="shared" si="0"/>
        <v>10224</v>
      </c>
      <c r="M101" s="25">
        <f t="shared" si="1"/>
        <v>3749</v>
      </c>
      <c r="N101" s="25">
        <f t="shared" si="2"/>
        <v>2999</v>
      </c>
      <c r="O101" s="25">
        <f t="shared" si="3"/>
        <v>2272</v>
      </c>
      <c r="R101" s="50">
        <f t="array" ref="R101">INDEX($B$46:$B$68,MATCH(S101,$C$46:$C$68,0))*1000+T101</f>
        <v>1001023</v>
      </c>
      <c r="S101" s="51" t="s">
        <v>910</v>
      </c>
      <c r="T101" s="29">
        <v>23</v>
      </c>
      <c r="U101" s="25">
        <f t="array" ref="U101">INDEX(K$5:K$67,MATCH($S101,$B$5:$B$67,0))</f>
        <v>306.72</v>
      </c>
      <c r="V101" s="25">
        <f t="array" ref="V101">INDEX(L$5:L$67,MATCH($S101,$B$5:$B$67,0))</f>
        <v>112.64</v>
      </c>
      <c r="W101" s="25">
        <f t="array" ref="W101">INDEX(M$5:M$67,MATCH($S101,$B$5:$B$67,0))</f>
        <v>90.11</v>
      </c>
      <c r="X101" s="25">
        <f t="array" ref="X101">INDEX(N$5:N$67,MATCH($S101,$B$5:$B$67,0))</f>
        <v>68</v>
      </c>
      <c r="Y101" s="25">
        <f t="shared" si="4"/>
        <v>7055</v>
      </c>
      <c r="Z101" s="25">
        <f t="shared" si="5"/>
        <v>2591</v>
      </c>
      <c r="AA101" s="25">
        <f t="shared" si="6"/>
        <v>2073</v>
      </c>
      <c r="AB101" s="25">
        <f t="shared" si="7"/>
        <v>1564</v>
      </c>
      <c r="AE101" s="1">
        <v>1030</v>
      </c>
      <c r="AF101" s="25">
        <v>23</v>
      </c>
      <c r="AG101" s="25">
        <f t="array" ref="AG101">INDEX($AE$79:$AE$116,QUOTIENT(AF101-1,8)+1)</f>
        <v>1003</v>
      </c>
      <c r="AH101" s="25">
        <f t="shared" si="37"/>
        <v>7</v>
      </c>
      <c r="AI101" s="25">
        <f t="shared" si="8"/>
        <v>10037</v>
      </c>
      <c r="AJ101" s="25" t="str">
        <f t="shared" si="9"/>
        <v>塔拉夏</v>
      </c>
      <c r="AK101" s="25">
        <f t="shared" si="38"/>
        <v>2</v>
      </c>
      <c r="AL101" s="25" t="str">
        <f t="array" ref="AL101">INDEX($O$5:$O$42,MATCH(AJ101,$B$5:$B$42,0))</f>
        <v>生命值百分比</v>
      </c>
      <c r="AM101" s="25" t="str">
        <f t="array" ref="AM101">INDEX($P$5:$P$42,MATCH(AJ101,$B$5:$B$42,0))</f>
        <v>攻击百分比</v>
      </c>
      <c r="AN101" s="25" t="str">
        <f t="array" ref="AN101">INDEX($Q$5:$Q$42,MATCH(AJ101,$B$5:$B$42,0))</f>
        <v>技能冷却等级</v>
      </c>
      <c r="AO101" s="25" t="str">
        <f t="array" ref="AO101">INDEX(AL101:AN101,0,AK101)</f>
        <v>攻击百分比</v>
      </c>
      <c r="AP101" s="25">
        <f t="shared" si="39"/>
        <v>0.15</v>
      </c>
      <c r="AQ101" s="25">
        <f t="shared" si="11"/>
        <v>0.15</v>
      </c>
      <c r="AR101" s="25" t="str">
        <f t="shared" ref="AR101:BZ101" si="68">IF(AR$78=$AO101,$AQ101,"0")</f>
        <v>0</v>
      </c>
      <c r="AS101" s="25" t="str">
        <f t="shared" si="68"/>
        <v>0</v>
      </c>
      <c r="AT101" s="25" t="str">
        <f t="shared" si="68"/>
        <v>0</v>
      </c>
      <c r="AU101" s="25">
        <f t="shared" si="68"/>
        <v>0.15</v>
      </c>
      <c r="AV101" s="25" t="str">
        <f t="shared" si="68"/>
        <v>0</v>
      </c>
      <c r="AW101" s="25">
        <f t="shared" si="68"/>
        <v>0.15</v>
      </c>
      <c r="AX101" s="25" t="str">
        <f t="shared" si="68"/>
        <v>0</v>
      </c>
      <c r="AY101" s="25" t="str">
        <f t="shared" si="68"/>
        <v>0</v>
      </c>
      <c r="AZ101" s="25" t="str">
        <f t="shared" si="68"/>
        <v>0</v>
      </c>
      <c r="BA101" s="25" t="str">
        <f t="shared" si="68"/>
        <v>0</v>
      </c>
      <c r="BB101" s="25" t="str">
        <f t="shared" si="68"/>
        <v>0</v>
      </c>
      <c r="BC101" s="25" t="str">
        <f t="shared" si="68"/>
        <v>0</v>
      </c>
      <c r="BD101" s="25" t="str">
        <f t="shared" si="68"/>
        <v>0</v>
      </c>
      <c r="BE101" s="25" t="str">
        <f t="shared" si="68"/>
        <v>0</v>
      </c>
      <c r="BF101" s="25" t="str">
        <f t="shared" si="68"/>
        <v>0</v>
      </c>
      <c r="BG101" s="25" t="str">
        <f t="shared" si="68"/>
        <v>0</v>
      </c>
      <c r="BH101" s="25" t="str">
        <f t="shared" si="68"/>
        <v>0</v>
      </c>
      <c r="BI101" s="25" t="str">
        <f t="shared" si="68"/>
        <v>0</v>
      </c>
      <c r="BJ101" s="25" t="str">
        <f t="shared" si="68"/>
        <v>0</v>
      </c>
      <c r="BK101" s="25" t="str">
        <f t="shared" si="68"/>
        <v>0</v>
      </c>
      <c r="BL101" s="25" t="str">
        <f t="shared" si="68"/>
        <v>0</v>
      </c>
      <c r="BM101" s="25" t="str">
        <f t="shared" si="68"/>
        <v>0</v>
      </c>
      <c r="BN101" s="25" t="str">
        <f t="shared" si="68"/>
        <v>0</v>
      </c>
      <c r="BO101" s="25" t="str">
        <f t="shared" si="68"/>
        <v>0</v>
      </c>
      <c r="BP101" s="25" t="str">
        <f t="shared" si="68"/>
        <v>0</v>
      </c>
      <c r="BQ101" s="25" t="str">
        <f t="shared" si="68"/>
        <v>0</v>
      </c>
      <c r="BR101" s="25" t="str">
        <f t="shared" si="68"/>
        <v>0</v>
      </c>
      <c r="BS101" s="25" t="str">
        <f t="shared" si="68"/>
        <v>0</v>
      </c>
      <c r="BT101" s="25" t="str">
        <f t="shared" si="68"/>
        <v>0</v>
      </c>
      <c r="BU101" s="25" t="str">
        <f t="shared" si="68"/>
        <v>0</v>
      </c>
      <c r="BV101" s="25" t="str">
        <f t="shared" si="68"/>
        <v>0</v>
      </c>
      <c r="BW101" s="25" t="str">
        <f t="shared" si="68"/>
        <v>0</v>
      </c>
      <c r="BX101" s="25" t="str">
        <f t="shared" si="68"/>
        <v>0</v>
      </c>
      <c r="BY101" s="25" t="str">
        <f t="shared" si="68"/>
        <v>0</v>
      </c>
      <c r="BZ101" s="25" t="str">
        <f t="shared" si="68"/>
        <v>0</v>
      </c>
      <c r="CC101" s="25" t="str">
        <f t="array" ref="CC101">INDEX($C$46:$C$74,MATCH(CD101,$B$46:$B$74,0))</f>
        <v>阿芭</v>
      </c>
      <c r="CD101" s="1">
        <v>1004</v>
      </c>
      <c r="CE101" s="1">
        <v>1</v>
      </c>
      <c r="CF101" s="25" t="str">
        <f t="array" ref="CF101">INDEX($T$5:$T$44,MATCH(CC101,$B$5:$B$44,0))</f>
        <v>魔法</v>
      </c>
      <c r="CG101" s="25">
        <f t="shared" si="34"/>
        <v>0</v>
      </c>
      <c r="CH101" s="25">
        <f t="shared" si="13"/>
        <v>1</v>
      </c>
      <c r="CI101" s="25">
        <f t="shared" si="14"/>
        <v>1</v>
      </c>
      <c r="CJ101" s="25">
        <f t="shared" si="15"/>
        <v>1</v>
      </c>
      <c r="CK101" s="25">
        <f t="shared" si="16"/>
        <v>1</v>
      </c>
      <c r="CL101" s="25">
        <v>0</v>
      </c>
      <c r="CM101" s="25">
        <f t="shared" si="35"/>
        <v>0</v>
      </c>
      <c r="CN101" s="25">
        <f t="shared" si="17"/>
        <v>0</v>
      </c>
      <c r="CO101" s="25">
        <f t="shared" si="18"/>
        <v>0</v>
      </c>
      <c r="CP101" s="29" t="str">
        <f t="shared" ref="CP101:DQ101" si="69">IF($CL101=CP$78,$CN101,"0")</f>
        <v>0</v>
      </c>
      <c r="CQ101" s="29" t="str">
        <f t="shared" si="69"/>
        <v>0</v>
      </c>
      <c r="CR101" s="29" t="str">
        <f t="shared" si="69"/>
        <v>0</v>
      </c>
      <c r="CS101" s="29" t="str">
        <f t="shared" si="69"/>
        <v>0</v>
      </c>
      <c r="CT101" s="29" t="str">
        <f t="shared" si="69"/>
        <v>0</v>
      </c>
      <c r="CU101" s="29" t="str">
        <f t="shared" si="69"/>
        <v>0</v>
      </c>
      <c r="CV101" s="29" t="str">
        <f t="shared" si="69"/>
        <v>0</v>
      </c>
      <c r="CW101" s="29" t="str">
        <f t="shared" si="69"/>
        <v>0</v>
      </c>
      <c r="CX101" s="29" t="str">
        <f t="shared" si="69"/>
        <v>0</v>
      </c>
      <c r="CY101" s="29" t="str">
        <f t="shared" si="69"/>
        <v>0</v>
      </c>
      <c r="CZ101" s="29" t="str">
        <f t="shared" si="69"/>
        <v>0</v>
      </c>
      <c r="DA101" s="29" t="str">
        <f t="shared" si="69"/>
        <v>0</v>
      </c>
      <c r="DB101" s="29" t="str">
        <f t="shared" si="69"/>
        <v>0</v>
      </c>
      <c r="DC101" s="29" t="str">
        <f t="shared" si="69"/>
        <v>0</v>
      </c>
      <c r="DD101" s="29" t="str">
        <f t="shared" si="69"/>
        <v>0</v>
      </c>
      <c r="DE101" s="29" t="str">
        <f t="shared" si="69"/>
        <v>0</v>
      </c>
      <c r="DF101" s="29" t="str">
        <f t="shared" si="69"/>
        <v>0</v>
      </c>
      <c r="DG101" s="29" t="str">
        <f t="shared" si="69"/>
        <v>0</v>
      </c>
      <c r="DH101" s="29" t="str">
        <f t="shared" si="69"/>
        <v>0</v>
      </c>
      <c r="DI101" s="29" t="str">
        <f t="shared" si="69"/>
        <v>0</v>
      </c>
      <c r="DJ101" s="29" t="str">
        <f t="shared" si="69"/>
        <v>0</v>
      </c>
      <c r="DK101" s="29" t="str">
        <f t="shared" si="69"/>
        <v>0</v>
      </c>
      <c r="DL101" s="29" t="str">
        <f t="shared" si="69"/>
        <v>0</v>
      </c>
      <c r="DM101" s="29" t="str">
        <f t="shared" si="69"/>
        <v>0</v>
      </c>
      <c r="DN101" s="29" t="str">
        <f t="shared" si="69"/>
        <v>0</v>
      </c>
      <c r="DO101" s="29" t="str">
        <f t="shared" si="69"/>
        <v>0</v>
      </c>
      <c r="DP101" s="29" t="str">
        <f t="shared" si="69"/>
        <v>0</v>
      </c>
      <c r="DQ101" s="29" t="str">
        <f t="shared" si="69"/>
        <v>0</v>
      </c>
      <c r="DR101" s="29"/>
      <c r="DS101" s="25">
        <v>0</v>
      </c>
      <c r="EE101" s="25" t="str">
        <f t="shared" si="20"/>
        <v>0</v>
      </c>
    </row>
    <row r="102" spans="1:135">
      <c r="A102" s="48">
        <v>1001024</v>
      </c>
      <c r="B102" s="49" t="s">
        <v>910</v>
      </c>
      <c r="C102" s="25">
        <v>24</v>
      </c>
      <c r="D102" s="25">
        <f t="array" ref="D102">INDEX(C$5:C$67,MATCH($B102,$B$5:$B$67,0))</f>
        <v>3600</v>
      </c>
      <c r="E102" s="25">
        <f t="array" ref="E102">INDEX(D$5:D$67,MATCH($B102,$B$5:$B$67,0))</f>
        <v>288</v>
      </c>
      <c r="F102" s="25">
        <f t="array" ref="F102">INDEX(E$5:E$67,MATCH($B102,$B$5:$B$67,0))</f>
        <v>1320</v>
      </c>
      <c r="G102" s="25">
        <f t="array" ref="G102">INDEX(F$5:F$67,MATCH($B102,$B$5:$B$67,0))</f>
        <v>105.6</v>
      </c>
      <c r="H102" s="25">
        <f t="array" ref="H102">INDEX(G$5:G$66,MATCH($B102,$B$5:$B$67,0))</f>
        <v>1056</v>
      </c>
      <c r="I102" s="25">
        <f t="array" ref="I102">INDEX(H$5:H$67,MATCH($B102,$B$5:$B$67,0))</f>
        <v>84.48</v>
      </c>
      <c r="J102" s="25">
        <f t="array" ref="J102">INDEX(I$5:I$67,MATCH($B102,$B$5:$B$67,0))</f>
        <v>800</v>
      </c>
      <c r="K102" s="25">
        <f t="array" ref="K102">INDEX(J$5:J$67,MATCH($B102,$B$5:$B$67,0))</f>
        <v>64</v>
      </c>
      <c r="L102" s="25">
        <f t="shared" si="0"/>
        <v>10512</v>
      </c>
      <c r="M102" s="25">
        <f t="shared" si="1"/>
        <v>3854</v>
      </c>
      <c r="N102" s="25">
        <f t="shared" si="2"/>
        <v>3084</v>
      </c>
      <c r="O102" s="25">
        <f t="shared" si="3"/>
        <v>2336</v>
      </c>
      <c r="R102" s="50">
        <f t="array" ref="R102">INDEX($B$46:$B$68,MATCH(S102,$C$46:$C$68,0))*1000+T102</f>
        <v>1001024</v>
      </c>
      <c r="S102" s="51" t="s">
        <v>910</v>
      </c>
      <c r="T102" s="29">
        <v>24</v>
      </c>
      <c r="U102" s="25">
        <f t="array" ref="U102">INDEX(K$5:K$67,MATCH($S102,$B$5:$B$67,0))</f>
        <v>306.72</v>
      </c>
      <c r="V102" s="25">
        <f t="array" ref="V102">INDEX(L$5:L$67,MATCH($S102,$B$5:$B$67,0))</f>
        <v>112.64</v>
      </c>
      <c r="W102" s="25">
        <f t="array" ref="W102">INDEX(M$5:M$67,MATCH($S102,$B$5:$B$67,0))</f>
        <v>90.11</v>
      </c>
      <c r="X102" s="25">
        <f t="array" ref="X102">INDEX(N$5:N$67,MATCH($S102,$B$5:$B$67,0))</f>
        <v>68</v>
      </c>
      <c r="Y102" s="25">
        <f t="shared" si="4"/>
        <v>7361</v>
      </c>
      <c r="Z102" s="25">
        <f t="shared" si="5"/>
        <v>2703</v>
      </c>
      <c r="AA102" s="25">
        <f t="shared" si="6"/>
        <v>2163</v>
      </c>
      <c r="AB102" s="25">
        <f t="shared" si="7"/>
        <v>1632</v>
      </c>
      <c r="AE102" s="29">
        <v>1035</v>
      </c>
      <c r="AF102" s="25">
        <v>24</v>
      </c>
      <c r="AG102" s="25">
        <f t="array" ref="AG102">INDEX($AE$79:$AE$116,QUOTIENT(AF102-1,8)+1)</f>
        <v>1003</v>
      </c>
      <c r="AH102" s="25">
        <f t="shared" si="37"/>
        <v>8</v>
      </c>
      <c r="AI102" s="25">
        <f t="shared" si="8"/>
        <v>10038</v>
      </c>
      <c r="AJ102" s="25" t="str">
        <f t="shared" si="9"/>
        <v>塔拉夏</v>
      </c>
      <c r="AK102" s="25">
        <f t="shared" si="38"/>
        <v>3</v>
      </c>
      <c r="AL102" s="25" t="str">
        <f t="array" ref="AL102">INDEX($O$5:$O$42,MATCH(AJ102,$B$5:$B$42,0))</f>
        <v>生命值百分比</v>
      </c>
      <c r="AM102" s="25" t="str">
        <f t="array" ref="AM102">INDEX($P$5:$P$42,MATCH(AJ102,$B$5:$B$42,0))</f>
        <v>攻击百分比</v>
      </c>
      <c r="AN102" s="25" t="str">
        <f t="array" ref="AN102">INDEX($Q$5:$Q$42,MATCH(AJ102,$B$5:$B$42,0))</f>
        <v>技能冷却等级</v>
      </c>
      <c r="AO102" s="25" t="str">
        <f t="array" ref="AO102">INDEX(AL102:AN102,0,AK102)</f>
        <v>技能冷却等级</v>
      </c>
      <c r="AP102" s="25">
        <f t="shared" si="39"/>
        <v>0.15</v>
      </c>
      <c r="AQ102" s="25">
        <f t="shared" si="11"/>
        <v>1950</v>
      </c>
      <c r="AR102" s="25" t="str">
        <f t="shared" ref="AR102:BZ102" si="70">IF(AR$78=$AO102,$AQ102,"0")</f>
        <v>0</v>
      </c>
      <c r="AS102" s="25" t="str">
        <f t="shared" si="70"/>
        <v>0</v>
      </c>
      <c r="AT102" s="25" t="str">
        <f t="shared" si="70"/>
        <v>0</v>
      </c>
      <c r="AU102" s="25" t="str">
        <f t="shared" si="70"/>
        <v>0</v>
      </c>
      <c r="AV102" s="25" t="str">
        <f t="shared" si="70"/>
        <v>0</v>
      </c>
      <c r="AW102" s="25" t="str">
        <f t="shared" si="70"/>
        <v>0</v>
      </c>
      <c r="AX102" s="25" t="str">
        <f t="shared" si="70"/>
        <v>0</v>
      </c>
      <c r="AY102" s="25" t="str">
        <f t="shared" si="70"/>
        <v>0</v>
      </c>
      <c r="AZ102" s="25" t="str">
        <f t="shared" si="70"/>
        <v>0</v>
      </c>
      <c r="BA102" s="25" t="str">
        <f t="shared" si="70"/>
        <v>0</v>
      </c>
      <c r="BB102" s="25" t="str">
        <f t="shared" si="70"/>
        <v>0</v>
      </c>
      <c r="BC102" s="25" t="str">
        <f t="shared" si="70"/>
        <v>0</v>
      </c>
      <c r="BD102" s="25" t="str">
        <f t="shared" si="70"/>
        <v>0</v>
      </c>
      <c r="BE102" s="25" t="str">
        <f t="shared" si="70"/>
        <v>0</v>
      </c>
      <c r="BF102" s="25" t="str">
        <f t="shared" si="70"/>
        <v>0</v>
      </c>
      <c r="BG102" s="25" t="str">
        <f t="shared" si="70"/>
        <v>0</v>
      </c>
      <c r="BH102" s="25" t="str">
        <f t="shared" si="70"/>
        <v>0</v>
      </c>
      <c r="BI102" s="25" t="str">
        <f t="shared" si="70"/>
        <v>0</v>
      </c>
      <c r="BJ102" s="25" t="str">
        <f t="shared" si="70"/>
        <v>0</v>
      </c>
      <c r="BK102" s="25" t="str">
        <f t="shared" si="70"/>
        <v>0</v>
      </c>
      <c r="BL102" s="25" t="str">
        <f t="shared" si="70"/>
        <v>0</v>
      </c>
      <c r="BM102" s="25" t="str">
        <f t="shared" si="70"/>
        <v>0</v>
      </c>
      <c r="BN102" s="25" t="str">
        <f t="shared" si="70"/>
        <v>0</v>
      </c>
      <c r="BO102" s="25" t="str">
        <f t="shared" si="70"/>
        <v>0</v>
      </c>
      <c r="BP102" s="25" t="str">
        <f t="shared" si="70"/>
        <v>0</v>
      </c>
      <c r="BQ102" s="25" t="str">
        <f t="shared" si="70"/>
        <v>0</v>
      </c>
      <c r="BR102" s="25" t="str">
        <f t="shared" si="70"/>
        <v>0</v>
      </c>
      <c r="BS102" s="25" t="str">
        <f t="shared" si="70"/>
        <v>0</v>
      </c>
      <c r="BT102" s="25" t="str">
        <f t="shared" si="70"/>
        <v>0</v>
      </c>
      <c r="BU102" s="25" t="str">
        <f t="shared" si="70"/>
        <v>0</v>
      </c>
      <c r="BV102" s="25" t="str">
        <f t="shared" si="70"/>
        <v>0</v>
      </c>
      <c r="BW102" s="25" t="str">
        <f t="shared" si="70"/>
        <v>0</v>
      </c>
      <c r="BX102" s="25" t="str">
        <f t="shared" si="70"/>
        <v>0</v>
      </c>
      <c r="BY102" s="25" t="str">
        <f t="shared" si="70"/>
        <v>0</v>
      </c>
      <c r="BZ102" s="25">
        <f t="shared" si="70"/>
        <v>1950</v>
      </c>
      <c r="CC102" s="25" t="str">
        <f t="array" ref="CC102">INDEX($C$46:$C$74,MATCH(CD102,$B$46:$B$74,0))</f>
        <v>阿芭</v>
      </c>
      <c r="CD102" s="1">
        <v>1004</v>
      </c>
      <c r="CE102" s="1">
        <v>2</v>
      </c>
      <c r="CF102" s="25" t="str">
        <f t="array" ref="CF102">INDEX($T$5:$T$44,MATCH(CC102,$B$5:$B$44,0))</f>
        <v>魔法</v>
      </c>
      <c r="CG102" s="25">
        <f t="shared" si="34"/>
        <v>0</v>
      </c>
      <c r="CH102" s="25">
        <f t="shared" si="13"/>
        <v>1</v>
      </c>
      <c r="CI102" s="25">
        <f t="shared" si="14"/>
        <v>1</v>
      </c>
      <c r="CJ102" s="25">
        <f t="shared" si="15"/>
        <v>1</v>
      </c>
      <c r="CK102" s="25">
        <f t="shared" si="16"/>
        <v>1</v>
      </c>
      <c r="CL102" s="25">
        <v>0</v>
      </c>
      <c r="CM102" s="25">
        <f t="shared" si="35"/>
        <v>0</v>
      </c>
      <c r="CN102" s="25">
        <f t="shared" si="17"/>
        <v>0</v>
      </c>
      <c r="CO102" s="25">
        <f t="shared" si="18"/>
        <v>0</v>
      </c>
      <c r="CP102" s="29" t="str">
        <f t="shared" ref="CP102:DQ102" si="71">IF($CL102=CP$78,$CN102,"0")</f>
        <v>0</v>
      </c>
      <c r="CQ102" s="29" t="str">
        <f t="shared" si="71"/>
        <v>0</v>
      </c>
      <c r="CR102" s="29" t="str">
        <f t="shared" si="71"/>
        <v>0</v>
      </c>
      <c r="CS102" s="29" t="str">
        <f t="shared" si="71"/>
        <v>0</v>
      </c>
      <c r="CT102" s="29" t="str">
        <f t="shared" si="71"/>
        <v>0</v>
      </c>
      <c r="CU102" s="29" t="str">
        <f t="shared" si="71"/>
        <v>0</v>
      </c>
      <c r="CV102" s="29" t="str">
        <f t="shared" si="71"/>
        <v>0</v>
      </c>
      <c r="CW102" s="29" t="str">
        <f t="shared" si="71"/>
        <v>0</v>
      </c>
      <c r="CX102" s="29" t="str">
        <f t="shared" si="71"/>
        <v>0</v>
      </c>
      <c r="CY102" s="29" t="str">
        <f t="shared" si="71"/>
        <v>0</v>
      </c>
      <c r="CZ102" s="29" t="str">
        <f t="shared" si="71"/>
        <v>0</v>
      </c>
      <c r="DA102" s="29" t="str">
        <f t="shared" si="71"/>
        <v>0</v>
      </c>
      <c r="DB102" s="29" t="str">
        <f t="shared" si="71"/>
        <v>0</v>
      </c>
      <c r="DC102" s="29" t="str">
        <f t="shared" si="71"/>
        <v>0</v>
      </c>
      <c r="DD102" s="29" t="str">
        <f t="shared" si="71"/>
        <v>0</v>
      </c>
      <c r="DE102" s="29" t="str">
        <f t="shared" si="71"/>
        <v>0</v>
      </c>
      <c r="DF102" s="29" t="str">
        <f t="shared" si="71"/>
        <v>0</v>
      </c>
      <c r="DG102" s="29" t="str">
        <f t="shared" si="71"/>
        <v>0</v>
      </c>
      <c r="DH102" s="29" t="str">
        <f t="shared" si="71"/>
        <v>0</v>
      </c>
      <c r="DI102" s="29" t="str">
        <f t="shared" si="71"/>
        <v>0</v>
      </c>
      <c r="DJ102" s="29" t="str">
        <f t="shared" si="71"/>
        <v>0</v>
      </c>
      <c r="DK102" s="29" t="str">
        <f t="shared" si="71"/>
        <v>0</v>
      </c>
      <c r="DL102" s="29" t="str">
        <f t="shared" si="71"/>
        <v>0</v>
      </c>
      <c r="DM102" s="29" t="str">
        <f t="shared" si="71"/>
        <v>0</v>
      </c>
      <c r="DN102" s="29" t="str">
        <f t="shared" si="71"/>
        <v>0</v>
      </c>
      <c r="DO102" s="29" t="str">
        <f t="shared" si="71"/>
        <v>0</v>
      </c>
      <c r="DP102" s="29" t="str">
        <f t="shared" si="71"/>
        <v>0</v>
      </c>
      <c r="DQ102" s="29" t="str">
        <f t="shared" si="71"/>
        <v>0</v>
      </c>
      <c r="DR102" s="29"/>
      <c r="DS102" s="25">
        <v>0</v>
      </c>
      <c r="EE102" s="25" t="str">
        <f t="shared" si="20"/>
        <v>0</v>
      </c>
    </row>
    <row r="103" spans="1:135">
      <c r="A103" s="48">
        <v>1001025</v>
      </c>
      <c r="B103" s="49" t="s">
        <v>910</v>
      </c>
      <c r="C103" s="25">
        <v>25</v>
      </c>
      <c r="D103" s="25">
        <f t="array" ref="D103">INDEX(C$5:C$67,MATCH($B103,$B$5:$B$67,0))</f>
        <v>3600</v>
      </c>
      <c r="E103" s="25">
        <f t="array" ref="E103">INDEX(D$5:D$67,MATCH($B103,$B$5:$B$67,0))</f>
        <v>288</v>
      </c>
      <c r="F103" s="25">
        <f t="array" ref="F103">INDEX(E$5:E$67,MATCH($B103,$B$5:$B$67,0))</f>
        <v>1320</v>
      </c>
      <c r="G103" s="25">
        <f t="array" ref="G103">INDEX(F$5:F$67,MATCH($B103,$B$5:$B$67,0))</f>
        <v>105.6</v>
      </c>
      <c r="H103" s="25">
        <f t="array" ref="H103">INDEX(G$5:G$66,MATCH($B103,$B$5:$B$67,0))</f>
        <v>1056</v>
      </c>
      <c r="I103" s="25">
        <f t="array" ref="I103">INDEX(H$5:H$67,MATCH($B103,$B$5:$B$67,0))</f>
        <v>84.48</v>
      </c>
      <c r="J103" s="25">
        <f t="array" ref="J103">INDEX(I$5:I$67,MATCH($B103,$B$5:$B$67,0))</f>
        <v>800</v>
      </c>
      <c r="K103" s="25">
        <f t="array" ref="K103">INDEX(J$5:J$67,MATCH($B103,$B$5:$B$67,0))</f>
        <v>64</v>
      </c>
      <c r="L103" s="25">
        <f t="shared" si="0"/>
        <v>10800</v>
      </c>
      <c r="M103" s="25">
        <f t="shared" si="1"/>
        <v>3960</v>
      </c>
      <c r="N103" s="25">
        <f t="shared" si="2"/>
        <v>3168</v>
      </c>
      <c r="O103" s="25">
        <f t="shared" si="3"/>
        <v>2400</v>
      </c>
      <c r="R103" s="50">
        <f t="array" ref="R103">INDEX($B$46:$B$68,MATCH(S103,$C$46:$C$68,0))*1000+T103</f>
        <v>1001025</v>
      </c>
      <c r="S103" s="51" t="s">
        <v>910</v>
      </c>
      <c r="T103" s="29">
        <v>25</v>
      </c>
      <c r="U103" s="25">
        <f t="array" ref="U103">INDEX(K$5:K$67,MATCH($S103,$B$5:$B$67,0))</f>
        <v>306.72</v>
      </c>
      <c r="V103" s="25">
        <f t="array" ref="V103">INDEX(L$5:L$67,MATCH($S103,$B$5:$B$67,0))</f>
        <v>112.64</v>
      </c>
      <c r="W103" s="25">
        <f t="array" ref="W103">INDEX(M$5:M$67,MATCH($S103,$B$5:$B$67,0))</f>
        <v>90.11</v>
      </c>
      <c r="X103" s="25">
        <f t="array" ref="X103">INDEX(N$5:N$67,MATCH($S103,$B$5:$B$67,0))</f>
        <v>68</v>
      </c>
      <c r="Y103" s="25">
        <f t="shared" si="4"/>
        <v>7668</v>
      </c>
      <c r="Z103" s="25">
        <f t="shared" si="5"/>
        <v>2816</v>
      </c>
      <c r="AA103" s="25">
        <f t="shared" si="6"/>
        <v>2253</v>
      </c>
      <c r="AB103" s="25">
        <f t="shared" si="7"/>
        <v>1700</v>
      </c>
      <c r="AE103" s="29">
        <v>1036</v>
      </c>
      <c r="AF103" s="25">
        <v>25</v>
      </c>
      <c r="AG103" s="25">
        <f t="array" ref="AG103">INDEX($AE$79:$AE$116,QUOTIENT(AF103-1,8)+1)</f>
        <v>1004</v>
      </c>
      <c r="AH103" s="25">
        <f t="shared" si="37"/>
        <v>1</v>
      </c>
      <c r="AI103" s="25">
        <f t="shared" si="8"/>
        <v>10041</v>
      </c>
      <c r="AJ103" s="25" t="str">
        <f t="shared" si="9"/>
        <v>阿芭</v>
      </c>
      <c r="AK103" s="25">
        <f t="shared" si="38"/>
        <v>1</v>
      </c>
      <c r="AL103" s="25" t="str">
        <f t="array" ref="AL103">INDEX($O$5:$O$42,MATCH(AJ103,$B$5:$B$42,0))</f>
        <v>攻击百分比</v>
      </c>
      <c r="AM103" s="25" t="str">
        <f t="array" ref="AM103">INDEX($P$5:$P$42,MATCH(AJ103,$B$5:$B$42,0))</f>
        <v>必杀伤害加成</v>
      </c>
      <c r="AN103" s="25" t="str">
        <f t="array" ref="AN103">INDEX($Q$5:$Q$42,MATCH(AJ103,$B$5:$B$42,0))</f>
        <v>暴击等级</v>
      </c>
      <c r="AO103" s="25" t="str">
        <f t="array" ref="AO103">INDEX(AL103:AN103,0,AK103)</f>
        <v>攻击百分比</v>
      </c>
      <c r="AP103" s="25">
        <f t="shared" si="39"/>
        <v>0.15</v>
      </c>
      <c r="AQ103" s="25">
        <f t="shared" si="11"/>
        <v>0.15</v>
      </c>
      <c r="AR103" s="25" t="str">
        <f t="shared" ref="AR103:BZ103" si="72">IF(AR$78=$AO103,$AQ103,"0")</f>
        <v>0</v>
      </c>
      <c r="AS103" s="25" t="str">
        <f t="shared" si="72"/>
        <v>0</v>
      </c>
      <c r="AT103" s="25" t="str">
        <f t="shared" si="72"/>
        <v>0</v>
      </c>
      <c r="AU103" s="25">
        <f t="shared" si="72"/>
        <v>0.15</v>
      </c>
      <c r="AV103" s="25" t="str">
        <f t="shared" si="72"/>
        <v>0</v>
      </c>
      <c r="AW103" s="25">
        <f t="shared" si="72"/>
        <v>0.15</v>
      </c>
      <c r="AX103" s="25" t="str">
        <f t="shared" si="72"/>
        <v>0</v>
      </c>
      <c r="AY103" s="25" t="str">
        <f t="shared" si="72"/>
        <v>0</v>
      </c>
      <c r="AZ103" s="25" t="str">
        <f t="shared" si="72"/>
        <v>0</v>
      </c>
      <c r="BA103" s="25" t="str">
        <f t="shared" si="72"/>
        <v>0</v>
      </c>
      <c r="BB103" s="25" t="str">
        <f t="shared" si="72"/>
        <v>0</v>
      </c>
      <c r="BC103" s="25" t="str">
        <f t="shared" si="72"/>
        <v>0</v>
      </c>
      <c r="BD103" s="25" t="str">
        <f t="shared" si="72"/>
        <v>0</v>
      </c>
      <c r="BE103" s="25" t="str">
        <f t="shared" si="72"/>
        <v>0</v>
      </c>
      <c r="BF103" s="25" t="str">
        <f t="shared" si="72"/>
        <v>0</v>
      </c>
      <c r="BG103" s="25" t="str">
        <f t="shared" si="72"/>
        <v>0</v>
      </c>
      <c r="BH103" s="25" t="str">
        <f t="shared" si="72"/>
        <v>0</v>
      </c>
      <c r="BI103" s="25" t="str">
        <f t="shared" si="72"/>
        <v>0</v>
      </c>
      <c r="BJ103" s="25" t="str">
        <f t="shared" si="72"/>
        <v>0</v>
      </c>
      <c r="BK103" s="25" t="str">
        <f t="shared" si="72"/>
        <v>0</v>
      </c>
      <c r="BL103" s="25" t="str">
        <f t="shared" si="72"/>
        <v>0</v>
      </c>
      <c r="BM103" s="25" t="str">
        <f t="shared" si="72"/>
        <v>0</v>
      </c>
      <c r="BN103" s="25" t="str">
        <f t="shared" si="72"/>
        <v>0</v>
      </c>
      <c r="BO103" s="25" t="str">
        <f t="shared" si="72"/>
        <v>0</v>
      </c>
      <c r="BP103" s="25" t="str">
        <f t="shared" si="72"/>
        <v>0</v>
      </c>
      <c r="BQ103" s="25" t="str">
        <f t="shared" si="72"/>
        <v>0</v>
      </c>
      <c r="BR103" s="25" t="str">
        <f t="shared" si="72"/>
        <v>0</v>
      </c>
      <c r="BS103" s="25" t="str">
        <f t="shared" si="72"/>
        <v>0</v>
      </c>
      <c r="BT103" s="25" t="str">
        <f t="shared" si="72"/>
        <v>0</v>
      </c>
      <c r="BU103" s="25" t="str">
        <f t="shared" si="72"/>
        <v>0</v>
      </c>
      <c r="BV103" s="25" t="str">
        <f t="shared" si="72"/>
        <v>0</v>
      </c>
      <c r="BW103" s="25" t="str">
        <f t="shared" si="72"/>
        <v>0</v>
      </c>
      <c r="BX103" s="25" t="str">
        <f t="shared" si="72"/>
        <v>0</v>
      </c>
      <c r="BY103" s="25" t="str">
        <f t="shared" si="72"/>
        <v>0</v>
      </c>
      <c r="BZ103" s="25" t="str">
        <f t="shared" si="72"/>
        <v>0</v>
      </c>
      <c r="CC103" s="25" t="str">
        <f t="array" ref="CC103">INDEX($C$46:$C$74,MATCH(CD103,$B$46:$B$74,0))</f>
        <v>阿芭</v>
      </c>
      <c r="CD103" s="1">
        <v>1004</v>
      </c>
      <c r="CE103" s="1">
        <v>3</v>
      </c>
      <c r="CF103" s="25" t="str">
        <f t="array" ref="CF103">INDEX($T$5:$T$44,MATCH(CC103,$B$5:$B$44,0))</f>
        <v>魔法</v>
      </c>
      <c r="CG103" s="25">
        <f t="shared" si="34"/>
        <v>0.15</v>
      </c>
      <c r="CH103" s="25">
        <f t="shared" si="13"/>
        <v>1.15</v>
      </c>
      <c r="CI103" s="25">
        <f t="shared" si="14"/>
        <v>1</v>
      </c>
      <c r="CJ103" s="25">
        <f t="shared" si="15"/>
        <v>1.15</v>
      </c>
      <c r="CK103" s="25">
        <f t="shared" si="16"/>
        <v>1.15</v>
      </c>
      <c r="CL103" s="25" t="str">
        <f t="array" ref="CL103">INDEX($R$5:$R$43,MATCH(CC103,$B$5:$B$43,0))</f>
        <v>魔法伤害加成</v>
      </c>
      <c r="CM103" s="25">
        <f t="shared" si="35"/>
        <v>0.3</v>
      </c>
      <c r="CN103" s="25">
        <f t="shared" si="17"/>
        <v>0.12</v>
      </c>
      <c r="CO103" s="25">
        <f t="shared" si="18"/>
        <v>1</v>
      </c>
      <c r="CP103" s="29" t="str">
        <f t="shared" ref="CP103:DQ103" si="73">IF($CL103=CP$78,$CN103,"0")</f>
        <v>0</v>
      </c>
      <c r="CQ103" s="29" t="str">
        <f t="shared" si="73"/>
        <v>0</v>
      </c>
      <c r="CR103" s="29" t="str">
        <f t="shared" si="73"/>
        <v>0</v>
      </c>
      <c r="CS103" s="29" t="str">
        <f t="shared" si="73"/>
        <v>0</v>
      </c>
      <c r="CT103" s="29" t="str">
        <f t="shared" si="73"/>
        <v>0</v>
      </c>
      <c r="CU103" s="29" t="str">
        <f t="shared" si="73"/>
        <v>0</v>
      </c>
      <c r="CV103" s="29" t="str">
        <f t="shared" si="73"/>
        <v>0</v>
      </c>
      <c r="CW103" s="29" t="str">
        <f t="shared" si="73"/>
        <v>0</v>
      </c>
      <c r="CX103" s="29" t="str">
        <f t="shared" si="73"/>
        <v>0</v>
      </c>
      <c r="CY103" s="29" t="str">
        <f t="shared" si="73"/>
        <v>0</v>
      </c>
      <c r="CZ103" s="29" t="str">
        <f t="shared" si="73"/>
        <v>0</v>
      </c>
      <c r="DA103" s="29" t="str">
        <f t="shared" si="73"/>
        <v>0</v>
      </c>
      <c r="DB103" s="29" t="str">
        <f t="shared" si="73"/>
        <v>0</v>
      </c>
      <c r="DC103" s="29">
        <f t="shared" si="73"/>
        <v>0.12</v>
      </c>
      <c r="DD103" s="29" t="str">
        <f t="shared" si="73"/>
        <v>0</v>
      </c>
      <c r="DE103" s="29" t="str">
        <f t="shared" si="73"/>
        <v>0</v>
      </c>
      <c r="DF103" s="29" t="str">
        <f t="shared" si="73"/>
        <v>0</v>
      </c>
      <c r="DG103" s="29" t="str">
        <f t="shared" si="73"/>
        <v>0</v>
      </c>
      <c r="DH103" s="29" t="str">
        <f t="shared" si="73"/>
        <v>0</v>
      </c>
      <c r="DI103" s="29" t="str">
        <f t="shared" si="73"/>
        <v>0</v>
      </c>
      <c r="DJ103" s="29" t="str">
        <f t="shared" si="73"/>
        <v>0</v>
      </c>
      <c r="DK103" s="29" t="str">
        <f t="shared" si="73"/>
        <v>0</v>
      </c>
      <c r="DL103" s="29" t="str">
        <f t="shared" si="73"/>
        <v>0</v>
      </c>
      <c r="DM103" s="29" t="str">
        <f t="shared" si="73"/>
        <v>0</v>
      </c>
      <c r="DN103" s="29" t="str">
        <f t="shared" si="73"/>
        <v>0</v>
      </c>
      <c r="DO103" s="29" t="str">
        <f t="shared" si="73"/>
        <v>0</v>
      </c>
      <c r="DP103" s="29" t="str">
        <f t="shared" si="73"/>
        <v>0</v>
      </c>
      <c r="DQ103" s="29" t="str">
        <f t="shared" si="73"/>
        <v>0</v>
      </c>
      <c r="DR103" s="29"/>
      <c r="DS103" s="25" t="s">
        <v>1011</v>
      </c>
      <c r="DT103" s="25" t="str">
        <f>TEXT(角色升星!$F$18,"0%")</f>
        <v>15%</v>
      </c>
      <c r="DU103" s="25" t="s">
        <v>779</v>
      </c>
      <c r="DV103" s="25" t="str">
        <f>IF(CF103="物理","PhysicsAttack,+","MagicAttack,+")</f>
        <v>MagicAttack,+</v>
      </c>
      <c r="DW103" s="25" t="str">
        <f>TEXT(角色升星!$F$18,"0%")</f>
        <v>15%</v>
      </c>
      <c r="DX103" s="25" t="s">
        <v>779</v>
      </c>
      <c r="DY103" s="25" t="s">
        <v>1012</v>
      </c>
      <c r="DZ103" s="25" t="str">
        <f>TEXT(角色升星!$F$18,"0%")</f>
        <v>15%</v>
      </c>
      <c r="EA103" s="25" t="s">
        <v>779</v>
      </c>
      <c r="EB103" s="25" t="str">
        <f>VLOOKUP(CL103,$O$46:$P$73,2,0)</f>
        <v>MagicDmgBonus</v>
      </c>
      <c r="EC103" s="25" t="s">
        <v>1013</v>
      </c>
      <c r="ED103" s="25" t="str">
        <f>IF(CN103&gt;1,CN103,TEXT(CN103,"0%"))</f>
        <v>12%</v>
      </c>
      <c r="EE103" s="25" t="str">
        <f t="shared" si="20"/>
        <v>Hp,+15%;MagicAttack,+15%;Armor,+15%;MagicDmgBonus,+12%</v>
      </c>
    </row>
    <row r="104" spans="1:135">
      <c r="A104" s="48">
        <v>1001026</v>
      </c>
      <c r="B104" s="49" t="s">
        <v>910</v>
      </c>
      <c r="C104" s="25">
        <v>26</v>
      </c>
      <c r="D104" s="25">
        <f t="array" ref="D104">INDEX(C$5:C$67,MATCH($B104,$B$5:$B$67,0))</f>
        <v>3600</v>
      </c>
      <c r="E104" s="25">
        <f t="array" ref="E104">INDEX(D$5:D$67,MATCH($B104,$B$5:$B$67,0))</f>
        <v>288</v>
      </c>
      <c r="F104" s="25">
        <f t="array" ref="F104">INDEX(E$5:E$67,MATCH($B104,$B$5:$B$67,0))</f>
        <v>1320</v>
      </c>
      <c r="G104" s="25">
        <f t="array" ref="G104">INDEX(F$5:F$67,MATCH($B104,$B$5:$B$67,0))</f>
        <v>105.6</v>
      </c>
      <c r="H104" s="25">
        <f t="array" ref="H104">INDEX(G$5:G$66,MATCH($B104,$B$5:$B$67,0))</f>
        <v>1056</v>
      </c>
      <c r="I104" s="25">
        <f t="array" ref="I104">INDEX(H$5:H$67,MATCH($B104,$B$5:$B$67,0))</f>
        <v>84.48</v>
      </c>
      <c r="J104" s="25">
        <f t="array" ref="J104">INDEX(I$5:I$67,MATCH($B104,$B$5:$B$67,0))</f>
        <v>800</v>
      </c>
      <c r="K104" s="25">
        <f t="array" ref="K104">INDEX(J$5:J$67,MATCH($B104,$B$5:$B$67,0))</f>
        <v>64</v>
      </c>
      <c r="L104" s="25">
        <f t="shared" si="0"/>
        <v>11088</v>
      </c>
      <c r="M104" s="25">
        <f t="shared" si="1"/>
        <v>4066</v>
      </c>
      <c r="N104" s="25">
        <f t="shared" si="2"/>
        <v>3252</v>
      </c>
      <c r="O104" s="25">
        <f t="shared" si="3"/>
        <v>2464</v>
      </c>
      <c r="R104" s="50">
        <f t="array" ref="R104">INDEX($B$46:$B$68,MATCH(S104,$C$46:$C$68,0))*1000+T104</f>
        <v>1001026</v>
      </c>
      <c r="S104" s="51" t="s">
        <v>910</v>
      </c>
      <c r="T104" s="29">
        <v>26</v>
      </c>
      <c r="U104" s="25">
        <f t="array" ref="U104">INDEX(K$5:K$67,MATCH($S104,$B$5:$B$67,0))</f>
        <v>306.72</v>
      </c>
      <c r="V104" s="25">
        <f t="array" ref="V104">INDEX(L$5:L$67,MATCH($S104,$B$5:$B$67,0))</f>
        <v>112.64</v>
      </c>
      <c r="W104" s="25">
        <f t="array" ref="W104">INDEX(M$5:M$67,MATCH($S104,$B$5:$B$67,0))</f>
        <v>90.11</v>
      </c>
      <c r="X104" s="25">
        <f t="array" ref="X104">INDEX(N$5:N$67,MATCH($S104,$B$5:$B$67,0))</f>
        <v>68</v>
      </c>
      <c r="Y104" s="25">
        <f t="shared" si="4"/>
        <v>7975</v>
      </c>
      <c r="Z104" s="25">
        <f t="shared" si="5"/>
        <v>2929</v>
      </c>
      <c r="AA104" s="25">
        <f t="shared" si="6"/>
        <v>2343</v>
      </c>
      <c r="AB104" s="25">
        <f t="shared" si="7"/>
        <v>1768</v>
      </c>
      <c r="AE104" s="29">
        <v>1037</v>
      </c>
      <c r="AF104" s="25">
        <v>26</v>
      </c>
      <c r="AG104" s="25">
        <f t="array" ref="AG104">INDEX($AE$79:$AE$116,QUOTIENT(AF104-1,8)+1)</f>
        <v>1004</v>
      </c>
      <c r="AH104" s="25">
        <f t="shared" si="37"/>
        <v>2</v>
      </c>
      <c r="AI104" s="25">
        <f t="shared" si="8"/>
        <v>10042</v>
      </c>
      <c r="AJ104" s="25" t="str">
        <f t="shared" si="9"/>
        <v>阿芭</v>
      </c>
      <c r="AK104" s="25">
        <f t="shared" si="38"/>
        <v>2</v>
      </c>
      <c r="AL104" s="25" t="str">
        <f t="array" ref="AL104">INDEX($O$5:$O$42,MATCH(AJ104,$B$5:$B$42,0))</f>
        <v>攻击百分比</v>
      </c>
      <c r="AM104" s="25" t="str">
        <f t="array" ref="AM104">INDEX($P$5:$P$42,MATCH(AJ104,$B$5:$B$42,0))</f>
        <v>必杀伤害加成</v>
      </c>
      <c r="AN104" s="25" t="str">
        <f t="array" ref="AN104">INDEX($Q$5:$Q$42,MATCH(AJ104,$B$5:$B$42,0))</f>
        <v>暴击等级</v>
      </c>
      <c r="AO104" s="25" t="str">
        <f t="array" ref="AO104">INDEX(AL104:AN104,0,AK104)</f>
        <v>必杀伤害加成</v>
      </c>
      <c r="AP104" s="25">
        <f t="shared" si="39"/>
        <v>0.15</v>
      </c>
      <c r="AQ104" s="25">
        <f t="shared" si="11"/>
        <v>0.18</v>
      </c>
      <c r="AR104" s="25" t="str">
        <f t="shared" ref="AR104:BZ104" si="74">IF(AR$78=$AO104,$AQ104,"0")</f>
        <v>0</v>
      </c>
      <c r="AS104" s="25" t="str">
        <f t="shared" si="74"/>
        <v>0</v>
      </c>
      <c r="AT104" s="25" t="str">
        <f t="shared" si="74"/>
        <v>0</v>
      </c>
      <c r="AU104" s="25" t="str">
        <f t="shared" si="74"/>
        <v>0</v>
      </c>
      <c r="AV104" s="25" t="str">
        <f t="shared" si="74"/>
        <v>0</v>
      </c>
      <c r="AW104" s="25" t="str">
        <f t="shared" si="74"/>
        <v>0</v>
      </c>
      <c r="AX104" s="25" t="str">
        <f t="shared" si="74"/>
        <v>0</v>
      </c>
      <c r="AY104" s="25" t="str">
        <f t="shared" si="74"/>
        <v>0</v>
      </c>
      <c r="AZ104" s="25" t="str">
        <f t="shared" si="74"/>
        <v>0</v>
      </c>
      <c r="BA104" s="25" t="str">
        <f t="shared" si="74"/>
        <v>0</v>
      </c>
      <c r="BB104" s="25" t="str">
        <f t="shared" si="74"/>
        <v>0</v>
      </c>
      <c r="BC104" s="25" t="str">
        <f t="shared" si="74"/>
        <v>0</v>
      </c>
      <c r="BD104" s="25" t="str">
        <f t="shared" si="74"/>
        <v>0</v>
      </c>
      <c r="BE104" s="25" t="str">
        <f t="shared" si="74"/>
        <v>0</v>
      </c>
      <c r="BF104" s="25" t="str">
        <f t="shared" si="74"/>
        <v>0</v>
      </c>
      <c r="BG104" s="25" t="str">
        <f t="shared" si="74"/>
        <v>0</v>
      </c>
      <c r="BH104" s="25" t="str">
        <f t="shared" si="74"/>
        <v>0</v>
      </c>
      <c r="BI104" s="25" t="str">
        <f t="shared" si="74"/>
        <v>0</v>
      </c>
      <c r="BJ104" s="25" t="str">
        <f t="shared" si="74"/>
        <v>0</v>
      </c>
      <c r="BK104" s="25" t="str">
        <f t="shared" si="74"/>
        <v>0</v>
      </c>
      <c r="BL104" s="25" t="str">
        <f t="shared" si="74"/>
        <v>0</v>
      </c>
      <c r="BM104" s="25" t="str">
        <f t="shared" si="74"/>
        <v>0</v>
      </c>
      <c r="BN104" s="25" t="str">
        <f t="shared" si="74"/>
        <v>0</v>
      </c>
      <c r="BO104" s="25">
        <f t="shared" si="74"/>
        <v>0.18</v>
      </c>
      <c r="BP104" s="25" t="str">
        <f t="shared" si="74"/>
        <v>0</v>
      </c>
      <c r="BQ104" s="25" t="str">
        <f t="shared" si="74"/>
        <v>0</v>
      </c>
      <c r="BR104" s="25" t="str">
        <f t="shared" si="74"/>
        <v>0</v>
      </c>
      <c r="BS104" s="25" t="str">
        <f t="shared" si="74"/>
        <v>0</v>
      </c>
      <c r="BT104" s="25" t="str">
        <f t="shared" si="74"/>
        <v>0</v>
      </c>
      <c r="BU104" s="25" t="str">
        <f t="shared" si="74"/>
        <v>0</v>
      </c>
      <c r="BV104" s="25" t="str">
        <f t="shared" si="74"/>
        <v>0</v>
      </c>
      <c r="BW104" s="25" t="str">
        <f t="shared" si="74"/>
        <v>0</v>
      </c>
      <c r="BX104" s="25" t="str">
        <f t="shared" si="74"/>
        <v>0</v>
      </c>
      <c r="BY104" s="25" t="str">
        <f t="shared" si="74"/>
        <v>0</v>
      </c>
      <c r="BZ104" s="25" t="str">
        <f t="shared" si="74"/>
        <v>0</v>
      </c>
      <c r="CC104" s="25" t="str">
        <f t="array" ref="CC104">INDEX($C$46:$C$74,MATCH(CD104,$B$46:$B$74,0))</f>
        <v>阿芭</v>
      </c>
      <c r="CD104" s="1">
        <v>1004</v>
      </c>
      <c r="CE104" s="1">
        <v>4</v>
      </c>
      <c r="CF104" s="25" t="str">
        <f t="array" ref="CF104">INDEX($T$5:$T$44,MATCH(CC104,$B$5:$B$44,0))</f>
        <v>魔法</v>
      </c>
      <c r="CG104" s="25">
        <f t="shared" si="34"/>
        <v>0.15</v>
      </c>
      <c r="CH104" s="25">
        <f t="shared" si="13"/>
        <v>1.15</v>
      </c>
      <c r="CI104" s="25">
        <f t="shared" si="14"/>
        <v>1</v>
      </c>
      <c r="CJ104" s="25">
        <f t="shared" si="15"/>
        <v>1.15</v>
      </c>
      <c r="CK104" s="25">
        <f t="shared" si="16"/>
        <v>1.15</v>
      </c>
      <c r="CL104" s="25">
        <v>0</v>
      </c>
      <c r="CM104" s="25">
        <f t="shared" si="35"/>
        <v>0</v>
      </c>
      <c r="CN104" s="25">
        <f t="shared" si="17"/>
        <v>0</v>
      </c>
      <c r="CO104" s="25">
        <f t="shared" si="18"/>
        <v>0</v>
      </c>
      <c r="CP104" s="29" t="str">
        <f t="shared" ref="CP104:DQ104" si="75">IF($CL104=CP$78,$CN104,"0")</f>
        <v>0</v>
      </c>
      <c r="CQ104" s="29" t="str">
        <f t="shared" si="75"/>
        <v>0</v>
      </c>
      <c r="CR104" s="29" t="str">
        <f t="shared" si="75"/>
        <v>0</v>
      </c>
      <c r="CS104" s="29" t="str">
        <f t="shared" si="75"/>
        <v>0</v>
      </c>
      <c r="CT104" s="29" t="str">
        <f t="shared" si="75"/>
        <v>0</v>
      </c>
      <c r="CU104" s="29" t="str">
        <f t="shared" si="75"/>
        <v>0</v>
      </c>
      <c r="CV104" s="29" t="str">
        <f t="shared" si="75"/>
        <v>0</v>
      </c>
      <c r="CW104" s="29" t="str">
        <f t="shared" si="75"/>
        <v>0</v>
      </c>
      <c r="CX104" s="29" t="str">
        <f t="shared" si="75"/>
        <v>0</v>
      </c>
      <c r="CY104" s="29" t="str">
        <f t="shared" si="75"/>
        <v>0</v>
      </c>
      <c r="CZ104" s="29" t="str">
        <f t="shared" si="75"/>
        <v>0</v>
      </c>
      <c r="DA104" s="29" t="str">
        <f t="shared" si="75"/>
        <v>0</v>
      </c>
      <c r="DB104" s="29" t="str">
        <f t="shared" si="75"/>
        <v>0</v>
      </c>
      <c r="DC104" s="29" t="str">
        <f t="shared" si="75"/>
        <v>0</v>
      </c>
      <c r="DD104" s="29" t="str">
        <f t="shared" si="75"/>
        <v>0</v>
      </c>
      <c r="DE104" s="29" t="str">
        <f t="shared" si="75"/>
        <v>0</v>
      </c>
      <c r="DF104" s="29" t="str">
        <f t="shared" si="75"/>
        <v>0</v>
      </c>
      <c r="DG104" s="29" t="str">
        <f t="shared" si="75"/>
        <v>0</v>
      </c>
      <c r="DH104" s="29" t="str">
        <f t="shared" si="75"/>
        <v>0</v>
      </c>
      <c r="DI104" s="29" t="str">
        <f t="shared" si="75"/>
        <v>0</v>
      </c>
      <c r="DJ104" s="29" t="str">
        <f t="shared" si="75"/>
        <v>0</v>
      </c>
      <c r="DK104" s="29" t="str">
        <f t="shared" si="75"/>
        <v>0</v>
      </c>
      <c r="DL104" s="29" t="str">
        <f t="shared" si="75"/>
        <v>0</v>
      </c>
      <c r="DM104" s="29" t="str">
        <f t="shared" si="75"/>
        <v>0</v>
      </c>
      <c r="DN104" s="29" t="str">
        <f t="shared" si="75"/>
        <v>0</v>
      </c>
      <c r="DO104" s="29" t="str">
        <f t="shared" si="75"/>
        <v>0</v>
      </c>
      <c r="DP104" s="29" t="str">
        <f t="shared" si="75"/>
        <v>0</v>
      </c>
      <c r="DQ104" s="29" t="str">
        <f t="shared" si="75"/>
        <v>0</v>
      </c>
      <c r="DR104" s="29"/>
      <c r="DS104" s="25">
        <v>0</v>
      </c>
      <c r="EE104" s="25" t="str">
        <f t="shared" si="20"/>
        <v>0</v>
      </c>
    </row>
    <row r="105" spans="1:135">
      <c r="A105" s="48">
        <v>1001027</v>
      </c>
      <c r="B105" s="49" t="s">
        <v>910</v>
      </c>
      <c r="C105" s="25">
        <v>27</v>
      </c>
      <c r="D105" s="25">
        <f t="array" ref="D105">INDEX(C$5:C$67,MATCH($B105,$B$5:$B$67,0))</f>
        <v>3600</v>
      </c>
      <c r="E105" s="25">
        <f t="array" ref="E105">INDEX(D$5:D$67,MATCH($B105,$B$5:$B$67,0))</f>
        <v>288</v>
      </c>
      <c r="F105" s="25">
        <f t="array" ref="F105">INDEX(E$5:E$67,MATCH($B105,$B$5:$B$67,0))</f>
        <v>1320</v>
      </c>
      <c r="G105" s="25">
        <f t="array" ref="G105">INDEX(F$5:F$67,MATCH($B105,$B$5:$B$67,0))</f>
        <v>105.6</v>
      </c>
      <c r="H105" s="25">
        <f t="array" ref="H105">INDEX(G$5:G$66,MATCH($B105,$B$5:$B$67,0))</f>
        <v>1056</v>
      </c>
      <c r="I105" s="25">
        <f t="array" ref="I105">INDEX(H$5:H$67,MATCH($B105,$B$5:$B$67,0))</f>
        <v>84.48</v>
      </c>
      <c r="J105" s="25">
        <f t="array" ref="J105">INDEX(I$5:I$67,MATCH($B105,$B$5:$B$67,0))</f>
        <v>800</v>
      </c>
      <c r="K105" s="25">
        <f t="array" ref="K105">INDEX(J$5:J$67,MATCH($B105,$B$5:$B$67,0))</f>
        <v>64</v>
      </c>
      <c r="L105" s="25">
        <f t="shared" si="0"/>
        <v>11376</v>
      </c>
      <c r="M105" s="25">
        <f t="shared" si="1"/>
        <v>4171</v>
      </c>
      <c r="N105" s="25">
        <f t="shared" si="2"/>
        <v>3337</v>
      </c>
      <c r="O105" s="25">
        <f t="shared" si="3"/>
        <v>2528</v>
      </c>
      <c r="R105" s="50">
        <f t="array" ref="R105">INDEX($B$46:$B$68,MATCH(S105,$C$46:$C$68,0))*1000+T105</f>
        <v>1001027</v>
      </c>
      <c r="S105" s="51" t="s">
        <v>910</v>
      </c>
      <c r="T105" s="29">
        <v>27</v>
      </c>
      <c r="U105" s="25">
        <f t="array" ref="U105">INDEX(K$5:K$67,MATCH($S105,$B$5:$B$67,0))</f>
        <v>306.72</v>
      </c>
      <c r="V105" s="25">
        <f t="array" ref="V105">INDEX(L$5:L$67,MATCH($S105,$B$5:$B$67,0))</f>
        <v>112.64</v>
      </c>
      <c r="W105" s="25">
        <f t="array" ref="W105">INDEX(M$5:M$67,MATCH($S105,$B$5:$B$67,0))</f>
        <v>90.11</v>
      </c>
      <c r="X105" s="25">
        <f t="array" ref="X105">INDEX(N$5:N$67,MATCH($S105,$B$5:$B$67,0))</f>
        <v>68</v>
      </c>
      <c r="Y105" s="25">
        <f t="shared" si="4"/>
        <v>8281</v>
      </c>
      <c r="Z105" s="25">
        <f t="shared" si="5"/>
        <v>3041</v>
      </c>
      <c r="AA105" s="25">
        <f t="shared" si="6"/>
        <v>2433</v>
      </c>
      <c r="AB105" s="25">
        <f t="shared" si="7"/>
        <v>1836</v>
      </c>
      <c r="AE105" s="29">
        <v>1038</v>
      </c>
      <c r="AF105" s="25">
        <v>27</v>
      </c>
      <c r="AG105" s="25">
        <f t="array" ref="AG105">INDEX($AE$79:$AE$116,QUOTIENT(AF105-1,8)+1)</f>
        <v>1004</v>
      </c>
      <c r="AH105" s="25">
        <f t="shared" si="37"/>
        <v>3</v>
      </c>
      <c r="AI105" s="25">
        <f t="shared" si="8"/>
        <v>10043</v>
      </c>
      <c r="AJ105" s="25" t="str">
        <f t="shared" si="9"/>
        <v>阿芭</v>
      </c>
      <c r="AK105" s="25">
        <f t="shared" si="38"/>
        <v>3</v>
      </c>
      <c r="AL105" s="25" t="str">
        <f t="array" ref="AL105">INDEX($O$5:$O$42,MATCH(AJ105,$B$5:$B$42,0))</f>
        <v>攻击百分比</v>
      </c>
      <c r="AM105" s="25" t="str">
        <f t="array" ref="AM105">INDEX($P$5:$P$42,MATCH(AJ105,$B$5:$B$42,0))</f>
        <v>必杀伤害加成</v>
      </c>
      <c r="AN105" s="25" t="str">
        <f t="array" ref="AN105">INDEX($Q$5:$Q$42,MATCH(AJ105,$B$5:$B$42,0))</f>
        <v>暴击等级</v>
      </c>
      <c r="AO105" s="25" t="str">
        <f t="array" ref="AO105">INDEX(AL105:AN105,0,AK105)</f>
        <v>暴击等级</v>
      </c>
      <c r="AP105" s="25">
        <f t="shared" si="39"/>
        <v>0.15</v>
      </c>
      <c r="AQ105" s="25">
        <f t="shared" si="11"/>
        <v>1350</v>
      </c>
      <c r="AR105" s="25" t="str">
        <f t="shared" ref="AR105:BZ105" si="76">IF(AR$78=$AO105,$AQ105,"0")</f>
        <v>0</v>
      </c>
      <c r="AS105" s="25" t="str">
        <f t="shared" si="76"/>
        <v>0</v>
      </c>
      <c r="AT105" s="25" t="str">
        <f t="shared" si="76"/>
        <v>0</v>
      </c>
      <c r="AU105" s="25" t="str">
        <f t="shared" si="76"/>
        <v>0</v>
      </c>
      <c r="AV105" s="25" t="str">
        <f t="shared" si="76"/>
        <v>0</v>
      </c>
      <c r="AW105" s="25" t="str">
        <f t="shared" si="76"/>
        <v>0</v>
      </c>
      <c r="AX105" s="25" t="str">
        <f t="shared" si="76"/>
        <v>0</v>
      </c>
      <c r="AY105" s="25" t="str">
        <f t="shared" si="76"/>
        <v>0</v>
      </c>
      <c r="AZ105" s="25" t="str">
        <f t="shared" si="76"/>
        <v>0</v>
      </c>
      <c r="BA105" s="25" t="str">
        <f t="shared" si="76"/>
        <v>0</v>
      </c>
      <c r="BB105" s="25" t="str">
        <f t="shared" si="76"/>
        <v>0</v>
      </c>
      <c r="BC105" s="25" t="str">
        <f t="shared" si="76"/>
        <v>0</v>
      </c>
      <c r="BD105" s="25" t="str">
        <f t="shared" si="76"/>
        <v>0</v>
      </c>
      <c r="BE105" s="25" t="str">
        <f t="shared" si="76"/>
        <v>0</v>
      </c>
      <c r="BF105" s="25" t="str">
        <f t="shared" si="76"/>
        <v>0</v>
      </c>
      <c r="BG105" s="25" t="str">
        <f t="shared" si="76"/>
        <v>0</v>
      </c>
      <c r="BH105" s="25" t="str">
        <f t="shared" si="76"/>
        <v>0</v>
      </c>
      <c r="BI105" s="25" t="str">
        <f t="shared" si="76"/>
        <v>0</v>
      </c>
      <c r="BJ105" s="25" t="str">
        <f t="shared" si="76"/>
        <v>0</v>
      </c>
      <c r="BK105" s="25" t="str">
        <f t="shared" si="76"/>
        <v>0</v>
      </c>
      <c r="BL105" s="25" t="str">
        <f t="shared" si="76"/>
        <v>0</v>
      </c>
      <c r="BM105" s="25" t="str">
        <f t="shared" si="76"/>
        <v>0</v>
      </c>
      <c r="BN105" s="25" t="str">
        <f t="shared" si="76"/>
        <v>0</v>
      </c>
      <c r="BO105" s="25" t="str">
        <f t="shared" si="76"/>
        <v>0</v>
      </c>
      <c r="BP105" s="25" t="str">
        <f t="shared" si="76"/>
        <v>0</v>
      </c>
      <c r="BQ105" s="25" t="str">
        <f t="shared" si="76"/>
        <v>0</v>
      </c>
      <c r="BR105" s="25" t="str">
        <f t="shared" si="76"/>
        <v>0</v>
      </c>
      <c r="BS105" s="25" t="str">
        <f t="shared" si="76"/>
        <v>0</v>
      </c>
      <c r="BT105" s="25" t="str">
        <f t="shared" si="76"/>
        <v>0</v>
      </c>
      <c r="BU105" s="25" t="str">
        <f t="shared" si="76"/>
        <v>0</v>
      </c>
      <c r="BV105" s="25" t="str">
        <f t="shared" si="76"/>
        <v>0</v>
      </c>
      <c r="BW105" s="25">
        <f t="shared" si="76"/>
        <v>1350</v>
      </c>
      <c r="BX105" s="25" t="str">
        <f t="shared" si="76"/>
        <v>0</v>
      </c>
      <c r="BY105" s="25" t="str">
        <f t="shared" si="76"/>
        <v>0</v>
      </c>
      <c r="BZ105" s="25" t="str">
        <f t="shared" si="76"/>
        <v>0</v>
      </c>
      <c r="CC105" s="25" t="str">
        <f t="array" ref="CC105">INDEX($C$46:$C$74,MATCH(CD105,$B$46:$B$74,0))</f>
        <v>阿芭</v>
      </c>
      <c r="CD105" s="1">
        <v>1004</v>
      </c>
      <c r="CE105" s="1">
        <v>5</v>
      </c>
      <c r="CF105" s="25" t="str">
        <f t="array" ref="CF105">INDEX($T$5:$T$44,MATCH(CC105,$B$5:$B$44,0))</f>
        <v>魔法</v>
      </c>
      <c r="CG105" s="25">
        <f t="shared" si="34"/>
        <v>0.3</v>
      </c>
      <c r="CH105" s="25">
        <f t="shared" si="13"/>
        <v>1.3</v>
      </c>
      <c r="CI105" s="25">
        <f t="shared" si="14"/>
        <v>1</v>
      </c>
      <c r="CJ105" s="25">
        <f t="shared" si="15"/>
        <v>1.3</v>
      </c>
      <c r="CK105" s="25">
        <f t="shared" si="16"/>
        <v>1.3</v>
      </c>
      <c r="CL105" s="25" t="str">
        <f t="array" ref="CL105">INDEX($S$5:$S$43,MATCH(CC105,$B$5:$B$43,0))</f>
        <v>必杀伤害加成</v>
      </c>
      <c r="CM105" s="25">
        <f t="shared" si="35"/>
        <v>0.3</v>
      </c>
      <c r="CN105" s="25">
        <f t="shared" si="17"/>
        <v>0.36</v>
      </c>
      <c r="CO105" s="25">
        <f t="shared" si="18"/>
        <v>1</v>
      </c>
      <c r="CP105" s="29" t="str">
        <f t="shared" ref="CP105:DQ105" si="77">IF($CL105=CP$78,$CN105,"0")</f>
        <v>0</v>
      </c>
      <c r="CQ105" s="29" t="str">
        <f t="shared" si="77"/>
        <v>0</v>
      </c>
      <c r="CR105" s="29" t="str">
        <f t="shared" si="77"/>
        <v>0</v>
      </c>
      <c r="CS105" s="29" t="str">
        <f t="shared" si="77"/>
        <v>0</v>
      </c>
      <c r="CT105" s="29" t="str">
        <f t="shared" si="77"/>
        <v>0</v>
      </c>
      <c r="CU105" s="29" t="str">
        <f t="shared" si="77"/>
        <v>0</v>
      </c>
      <c r="CV105" s="29" t="str">
        <f t="shared" si="77"/>
        <v>0</v>
      </c>
      <c r="CW105" s="29" t="str">
        <f t="shared" si="77"/>
        <v>0</v>
      </c>
      <c r="CX105" s="29" t="str">
        <f t="shared" si="77"/>
        <v>0</v>
      </c>
      <c r="CY105" s="29" t="str">
        <f t="shared" si="77"/>
        <v>0</v>
      </c>
      <c r="CZ105" s="29" t="str">
        <f t="shared" si="77"/>
        <v>0</v>
      </c>
      <c r="DA105" s="29" t="str">
        <f t="shared" si="77"/>
        <v>0</v>
      </c>
      <c r="DB105" s="29" t="str">
        <f t="shared" si="77"/>
        <v>0</v>
      </c>
      <c r="DC105" s="29" t="str">
        <f t="shared" si="77"/>
        <v>0</v>
      </c>
      <c r="DD105" s="29" t="str">
        <f t="shared" si="77"/>
        <v>0</v>
      </c>
      <c r="DE105" s="29" t="str">
        <f t="shared" si="77"/>
        <v>0</v>
      </c>
      <c r="DF105" s="29">
        <f t="shared" si="77"/>
        <v>0.36</v>
      </c>
      <c r="DG105" s="29" t="str">
        <f t="shared" si="77"/>
        <v>0</v>
      </c>
      <c r="DH105" s="29" t="str">
        <f t="shared" si="77"/>
        <v>0</v>
      </c>
      <c r="DI105" s="29" t="str">
        <f t="shared" si="77"/>
        <v>0</v>
      </c>
      <c r="DJ105" s="29" t="str">
        <f t="shared" si="77"/>
        <v>0</v>
      </c>
      <c r="DK105" s="29" t="str">
        <f t="shared" si="77"/>
        <v>0</v>
      </c>
      <c r="DL105" s="29" t="str">
        <f t="shared" si="77"/>
        <v>0</v>
      </c>
      <c r="DM105" s="29" t="str">
        <f t="shared" si="77"/>
        <v>0</v>
      </c>
      <c r="DN105" s="29" t="str">
        <f t="shared" si="77"/>
        <v>0</v>
      </c>
      <c r="DO105" s="29" t="str">
        <f t="shared" si="77"/>
        <v>0</v>
      </c>
      <c r="DP105" s="29" t="str">
        <f t="shared" si="77"/>
        <v>0</v>
      </c>
      <c r="DQ105" s="29" t="str">
        <f t="shared" si="77"/>
        <v>0</v>
      </c>
      <c r="DR105" s="29"/>
      <c r="DS105" s="25" t="s">
        <v>1011</v>
      </c>
      <c r="DT105" s="25" t="str">
        <f>TEXT(角色升星!$F$18,"0%")</f>
        <v>15%</v>
      </c>
      <c r="DU105" s="25" t="s">
        <v>779</v>
      </c>
      <c r="DV105" s="25" t="str">
        <f>IF(CF105="物理","PhysicsAttack,+","MagicAttack,+")</f>
        <v>MagicAttack,+</v>
      </c>
      <c r="DW105" s="25" t="str">
        <f>TEXT(角色升星!$F$18,"0%")</f>
        <v>15%</v>
      </c>
      <c r="DX105" s="25" t="s">
        <v>779</v>
      </c>
      <c r="DY105" s="25" t="s">
        <v>1012</v>
      </c>
      <c r="DZ105" s="25" t="str">
        <f>TEXT(角色升星!$F$18,"0%")</f>
        <v>15%</v>
      </c>
      <c r="EA105" s="25" t="s">
        <v>779</v>
      </c>
      <c r="EB105" s="25" t="str">
        <f>VLOOKUP(CL105,$O$46:$P$73,2,0)</f>
        <v>UltimateDmgBonus</v>
      </c>
      <c r="EC105" s="25" t="s">
        <v>1013</v>
      </c>
      <c r="ED105" s="25" t="str">
        <f>IF(CN105&gt;1,CN105,TEXT(CN105,"0%"))</f>
        <v>36%</v>
      </c>
      <c r="EE105" s="25" t="str">
        <f t="shared" si="20"/>
        <v>Hp,+15%;MagicAttack,+15%;Armor,+15%;UltimateDmgBonus,+36%</v>
      </c>
    </row>
    <row r="106" spans="1:135">
      <c r="A106" s="48">
        <v>1001028</v>
      </c>
      <c r="B106" s="49" t="s">
        <v>910</v>
      </c>
      <c r="C106" s="25">
        <v>28</v>
      </c>
      <c r="D106" s="25">
        <f t="array" ref="D106">INDEX(C$5:C$67,MATCH($B106,$B$5:$B$67,0))</f>
        <v>3600</v>
      </c>
      <c r="E106" s="25">
        <f t="array" ref="E106">INDEX(D$5:D$67,MATCH($B106,$B$5:$B$67,0))</f>
        <v>288</v>
      </c>
      <c r="F106" s="25">
        <f t="array" ref="F106">INDEX(E$5:E$67,MATCH($B106,$B$5:$B$67,0))</f>
        <v>1320</v>
      </c>
      <c r="G106" s="25">
        <f t="array" ref="G106">INDEX(F$5:F$67,MATCH($B106,$B$5:$B$67,0))</f>
        <v>105.6</v>
      </c>
      <c r="H106" s="25">
        <f t="array" ref="H106">INDEX(G$5:G$66,MATCH($B106,$B$5:$B$67,0))</f>
        <v>1056</v>
      </c>
      <c r="I106" s="25">
        <f t="array" ref="I106">INDEX(H$5:H$67,MATCH($B106,$B$5:$B$67,0))</f>
        <v>84.48</v>
      </c>
      <c r="J106" s="25">
        <f t="array" ref="J106">INDEX(I$5:I$67,MATCH($B106,$B$5:$B$67,0))</f>
        <v>800</v>
      </c>
      <c r="K106" s="25">
        <f t="array" ref="K106">INDEX(J$5:J$67,MATCH($B106,$B$5:$B$67,0))</f>
        <v>64</v>
      </c>
      <c r="L106" s="25">
        <f t="shared" si="0"/>
        <v>11664</v>
      </c>
      <c r="M106" s="25">
        <f t="shared" si="1"/>
        <v>4277</v>
      </c>
      <c r="N106" s="25">
        <f t="shared" si="2"/>
        <v>3421</v>
      </c>
      <c r="O106" s="25">
        <f t="shared" si="3"/>
        <v>2592</v>
      </c>
      <c r="R106" s="50">
        <f t="array" ref="R106">INDEX($B$46:$B$68,MATCH(S106,$C$46:$C$68,0))*1000+T106</f>
        <v>1002001</v>
      </c>
      <c r="S106" s="51" t="s">
        <v>318</v>
      </c>
      <c r="T106" s="29">
        <f t="shared" ref="T106:T169" si="78">T79</f>
        <v>1</v>
      </c>
      <c r="U106" s="25">
        <f t="array" ref="U106">INDEX(K$5:K$67,MATCH($S106,$B$5:$B$67,0))</f>
        <v>477.12</v>
      </c>
      <c r="V106" s="25">
        <f t="array" ref="V106">INDEX(L$5:L$67,MATCH($S106,$B$5:$B$67,0))</f>
        <v>61.44</v>
      </c>
      <c r="W106" s="25">
        <f t="array" ref="W106">INDEX(M$5:M$67,MATCH($S106,$B$5:$B$67,0))</f>
        <v>49.15</v>
      </c>
      <c r="X106" s="25">
        <f t="array" ref="X106">INDEX(N$5:N$67,MATCH($S106,$B$5:$B$67,0))</f>
        <v>68</v>
      </c>
      <c r="Y106" s="25">
        <f t="shared" si="4"/>
        <v>477</v>
      </c>
      <c r="Z106" s="25">
        <f t="shared" si="5"/>
        <v>61</v>
      </c>
      <c r="AA106" s="25">
        <f t="shared" si="6"/>
        <v>49</v>
      </c>
      <c r="AB106" s="25">
        <f t="shared" si="7"/>
        <v>68</v>
      </c>
      <c r="AE106" s="29">
        <v>1039</v>
      </c>
      <c r="AF106" s="25">
        <v>28</v>
      </c>
      <c r="AG106" s="25">
        <f t="array" ref="AG106">INDEX($AE$79:$AE$116,QUOTIENT(AF106-1,8)+1)</f>
        <v>1004</v>
      </c>
      <c r="AH106" s="25">
        <f t="shared" si="37"/>
        <v>4</v>
      </c>
      <c r="AI106" s="25">
        <f t="shared" si="8"/>
        <v>10044</v>
      </c>
      <c r="AJ106" s="25" t="str">
        <f t="shared" si="9"/>
        <v>阿芭</v>
      </c>
      <c r="AK106" s="25">
        <f t="shared" si="38"/>
        <v>2</v>
      </c>
      <c r="AL106" s="25" t="str">
        <f t="array" ref="AL106">INDEX($O$5:$O$42,MATCH(AJ106,$B$5:$B$42,0))</f>
        <v>攻击百分比</v>
      </c>
      <c r="AM106" s="25" t="str">
        <f t="array" ref="AM106">INDEX($P$5:$P$42,MATCH(AJ106,$B$5:$B$42,0))</f>
        <v>必杀伤害加成</v>
      </c>
      <c r="AN106" s="25" t="str">
        <f t="array" ref="AN106">INDEX($Q$5:$Q$42,MATCH(AJ106,$B$5:$B$42,0))</f>
        <v>暴击等级</v>
      </c>
      <c r="AO106" s="25" t="str">
        <f t="array" ref="AO106">INDEX(AL106:AN106,0,AK106)</f>
        <v>必杀伤害加成</v>
      </c>
      <c r="AP106" s="25">
        <f t="shared" si="39"/>
        <v>0.15</v>
      </c>
      <c r="AQ106" s="25">
        <f t="shared" si="11"/>
        <v>0.18</v>
      </c>
      <c r="AR106" s="25" t="str">
        <f t="shared" ref="AR106:BZ106" si="79">IF(AR$78=$AO106,$AQ106,"0")</f>
        <v>0</v>
      </c>
      <c r="AS106" s="25" t="str">
        <f t="shared" si="79"/>
        <v>0</v>
      </c>
      <c r="AT106" s="25" t="str">
        <f t="shared" si="79"/>
        <v>0</v>
      </c>
      <c r="AU106" s="25" t="str">
        <f t="shared" si="79"/>
        <v>0</v>
      </c>
      <c r="AV106" s="25" t="str">
        <f t="shared" si="79"/>
        <v>0</v>
      </c>
      <c r="AW106" s="25" t="str">
        <f t="shared" si="79"/>
        <v>0</v>
      </c>
      <c r="AX106" s="25" t="str">
        <f t="shared" si="79"/>
        <v>0</v>
      </c>
      <c r="AY106" s="25" t="str">
        <f t="shared" si="79"/>
        <v>0</v>
      </c>
      <c r="AZ106" s="25" t="str">
        <f t="shared" si="79"/>
        <v>0</v>
      </c>
      <c r="BA106" s="25" t="str">
        <f t="shared" si="79"/>
        <v>0</v>
      </c>
      <c r="BB106" s="25" t="str">
        <f t="shared" si="79"/>
        <v>0</v>
      </c>
      <c r="BC106" s="25" t="str">
        <f t="shared" si="79"/>
        <v>0</v>
      </c>
      <c r="BD106" s="25" t="str">
        <f t="shared" si="79"/>
        <v>0</v>
      </c>
      <c r="BE106" s="25" t="str">
        <f t="shared" si="79"/>
        <v>0</v>
      </c>
      <c r="BF106" s="25" t="str">
        <f t="shared" si="79"/>
        <v>0</v>
      </c>
      <c r="BG106" s="25" t="str">
        <f t="shared" si="79"/>
        <v>0</v>
      </c>
      <c r="BH106" s="25" t="str">
        <f t="shared" si="79"/>
        <v>0</v>
      </c>
      <c r="BI106" s="25" t="str">
        <f t="shared" si="79"/>
        <v>0</v>
      </c>
      <c r="BJ106" s="25" t="str">
        <f t="shared" si="79"/>
        <v>0</v>
      </c>
      <c r="BK106" s="25" t="str">
        <f t="shared" si="79"/>
        <v>0</v>
      </c>
      <c r="BL106" s="25" t="str">
        <f t="shared" si="79"/>
        <v>0</v>
      </c>
      <c r="BM106" s="25" t="str">
        <f t="shared" si="79"/>
        <v>0</v>
      </c>
      <c r="BN106" s="25" t="str">
        <f t="shared" si="79"/>
        <v>0</v>
      </c>
      <c r="BO106" s="25">
        <f t="shared" si="79"/>
        <v>0.18</v>
      </c>
      <c r="BP106" s="25" t="str">
        <f t="shared" si="79"/>
        <v>0</v>
      </c>
      <c r="BQ106" s="25" t="str">
        <f t="shared" si="79"/>
        <v>0</v>
      </c>
      <c r="BR106" s="25" t="str">
        <f t="shared" si="79"/>
        <v>0</v>
      </c>
      <c r="BS106" s="25" t="str">
        <f t="shared" si="79"/>
        <v>0</v>
      </c>
      <c r="BT106" s="25" t="str">
        <f t="shared" si="79"/>
        <v>0</v>
      </c>
      <c r="BU106" s="25" t="str">
        <f t="shared" si="79"/>
        <v>0</v>
      </c>
      <c r="BV106" s="25" t="str">
        <f t="shared" si="79"/>
        <v>0</v>
      </c>
      <c r="BW106" s="25" t="str">
        <f t="shared" si="79"/>
        <v>0</v>
      </c>
      <c r="BX106" s="25" t="str">
        <f t="shared" si="79"/>
        <v>0</v>
      </c>
      <c r="BY106" s="25" t="str">
        <f t="shared" si="79"/>
        <v>0</v>
      </c>
      <c r="BZ106" s="25" t="str">
        <f t="shared" si="79"/>
        <v>0</v>
      </c>
      <c r="CC106" s="25" t="str">
        <f t="array" ref="CC106">INDEX($C$46:$C$74,MATCH(CD106,$B$46:$B$74,0))</f>
        <v>阿芭</v>
      </c>
      <c r="CD106" s="1">
        <v>1004</v>
      </c>
      <c r="CE106" s="1">
        <v>6</v>
      </c>
      <c r="CF106" s="25" t="str">
        <f t="array" ref="CF106">INDEX($T$5:$T$44,MATCH(CC106,$B$5:$B$44,0))</f>
        <v>魔法</v>
      </c>
      <c r="CG106" s="25">
        <f t="shared" si="34"/>
        <v>0.3</v>
      </c>
      <c r="CH106" s="25">
        <f t="shared" si="13"/>
        <v>1.3</v>
      </c>
      <c r="CI106" s="25">
        <f t="shared" si="14"/>
        <v>1</v>
      </c>
      <c r="CJ106" s="25">
        <f t="shared" si="15"/>
        <v>1.3</v>
      </c>
      <c r="CK106" s="25">
        <f t="shared" si="16"/>
        <v>1.3</v>
      </c>
      <c r="CL106" s="25">
        <v>0</v>
      </c>
      <c r="CM106" s="25">
        <f t="shared" si="35"/>
        <v>0</v>
      </c>
      <c r="CN106" s="25">
        <f t="shared" si="17"/>
        <v>0</v>
      </c>
      <c r="CO106" s="25">
        <f t="shared" si="18"/>
        <v>0</v>
      </c>
      <c r="CP106" s="29" t="str">
        <f t="shared" ref="CP106:DQ106" si="80">IF($CL106=CP$78,$CN106,"0")</f>
        <v>0</v>
      </c>
      <c r="CQ106" s="29" t="str">
        <f t="shared" si="80"/>
        <v>0</v>
      </c>
      <c r="CR106" s="29" t="str">
        <f t="shared" si="80"/>
        <v>0</v>
      </c>
      <c r="CS106" s="29" t="str">
        <f t="shared" si="80"/>
        <v>0</v>
      </c>
      <c r="CT106" s="29" t="str">
        <f t="shared" si="80"/>
        <v>0</v>
      </c>
      <c r="CU106" s="29" t="str">
        <f t="shared" si="80"/>
        <v>0</v>
      </c>
      <c r="CV106" s="29" t="str">
        <f t="shared" si="80"/>
        <v>0</v>
      </c>
      <c r="CW106" s="29" t="str">
        <f t="shared" si="80"/>
        <v>0</v>
      </c>
      <c r="CX106" s="29" t="str">
        <f t="shared" si="80"/>
        <v>0</v>
      </c>
      <c r="CY106" s="29" t="str">
        <f t="shared" si="80"/>
        <v>0</v>
      </c>
      <c r="CZ106" s="29" t="str">
        <f t="shared" si="80"/>
        <v>0</v>
      </c>
      <c r="DA106" s="29" t="str">
        <f t="shared" si="80"/>
        <v>0</v>
      </c>
      <c r="DB106" s="29" t="str">
        <f t="shared" si="80"/>
        <v>0</v>
      </c>
      <c r="DC106" s="29" t="str">
        <f t="shared" si="80"/>
        <v>0</v>
      </c>
      <c r="DD106" s="29" t="str">
        <f t="shared" si="80"/>
        <v>0</v>
      </c>
      <c r="DE106" s="29" t="str">
        <f t="shared" si="80"/>
        <v>0</v>
      </c>
      <c r="DF106" s="29" t="str">
        <f t="shared" si="80"/>
        <v>0</v>
      </c>
      <c r="DG106" s="29" t="str">
        <f t="shared" si="80"/>
        <v>0</v>
      </c>
      <c r="DH106" s="29" t="str">
        <f t="shared" si="80"/>
        <v>0</v>
      </c>
      <c r="DI106" s="29" t="str">
        <f t="shared" si="80"/>
        <v>0</v>
      </c>
      <c r="DJ106" s="29" t="str">
        <f t="shared" si="80"/>
        <v>0</v>
      </c>
      <c r="DK106" s="29" t="str">
        <f t="shared" si="80"/>
        <v>0</v>
      </c>
      <c r="DL106" s="29" t="str">
        <f t="shared" si="80"/>
        <v>0</v>
      </c>
      <c r="DM106" s="29" t="str">
        <f t="shared" si="80"/>
        <v>0</v>
      </c>
      <c r="DN106" s="29" t="str">
        <f t="shared" si="80"/>
        <v>0</v>
      </c>
      <c r="DO106" s="29" t="str">
        <f t="shared" si="80"/>
        <v>0</v>
      </c>
      <c r="DP106" s="29" t="str">
        <f t="shared" si="80"/>
        <v>0</v>
      </c>
      <c r="DQ106" s="29" t="str">
        <f t="shared" si="80"/>
        <v>0</v>
      </c>
      <c r="DR106" s="29"/>
      <c r="DS106" s="25">
        <v>0</v>
      </c>
      <c r="EE106" s="25" t="str">
        <f t="shared" si="20"/>
        <v>0</v>
      </c>
    </row>
    <row r="107" spans="1:135">
      <c r="A107" s="48">
        <v>1001029</v>
      </c>
      <c r="B107" s="49" t="s">
        <v>910</v>
      </c>
      <c r="C107" s="25">
        <v>29</v>
      </c>
      <c r="D107" s="25">
        <f t="array" ref="D107">INDEX(C$5:C$67,MATCH($B107,$B$5:$B$67,0))</f>
        <v>3600</v>
      </c>
      <c r="E107" s="25">
        <f t="array" ref="E107">INDEX(D$5:D$67,MATCH($B107,$B$5:$B$67,0))</f>
        <v>288</v>
      </c>
      <c r="F107" s="25">
        <f t="array" ref="F107">INDEX(E$5:E$67,MATCH($B107,$B$5:$B$67,0))</f>
        <v>1320</v>
      </c>
      <c r="G107" s="25">
        <f t="array" ref="G107">INDEX(F$5:F$67,MATCH($B107,$B$5:$B$67,0))</f>
        <v>105.6</v>
      </c>
      <c r="H107" s="25">
        <f t="array" ref="H107">INDEX(G$5:G$66,MATCH($B107,$B$5:$B$67,0))</f>
        <v>1056</v>
      </c>
      <c r="I107" s="25">
        <f t="array" ref="I107">INDEX(H$5:H$67,MATCH($B107,$B$5:$B$67,0))</f>
        <v>84.48</v>
      </c>
      <c r="J107" s="25">
        <f t="array" ref="J107">INDEX(I$5:I$67,MATCH($B107,$B$5:$B$67,0))</f>
        <v>800</v>
      </c>
      <c r="K107" s="25">
        <f t="array" ref="K107">INDEX(J$5:J$67,MATCH($B107,$B$5:$B$67,0))</f>
        <v>64</v>
      </c>
      <c r="L107" s="25">
        <f t="shared" si="0"/>
        <v>11952</v>
      </c>
      <c r="M107" s="25">
        <f t="shared" si="1"/>
        <v>4382</v>
      </c>
      <c r="N107" s="25">
        <f t="shared" si="2"/>
        <v>3506</v>
      </c>
      <c r="O107" s="25">
        <f t="shared" si="3"/>
        <v>2656</v>
      </c>
      <c r="R107" s="50">
        <f t="array" ref="R107">INDEX($B$46:$B$68,MATCH(S107,$C$46:$C$68,0))*1000+T107</f>
        <v>1002002</v>
      </c>
      <c r="S107" s="51" t="s">
        <v>318</v>
      </c>
      <c r="T107" s="29">
        <f t="shared" si="78"/>
        <v>2</v>
      </c>
      <c r="U107" s="25">
        <f t="array" ref="U107">INDEX(K$5:K$67,MATCH($S107,$B$5:$B$67,0))</f>
        <v>477.12</v>
      </c>
      <c r="V107" s="25">
        <f t="array" ref="V107">INDEX(L$5:L$67,MATCH($S107,$B$5:$B$67,0))</f>
        <v>61.44</v>
      </c>
      <c r="W107" s="25">
        <f t="array" ref="W107">INDEX(M$5:M$67,MATCH($S107,$B$5:$B$67,0))</f>
        <v>49.15</v>
      </c>
      <c r="X107" s="25">
        <f t="array" ref="X107">INDEX(N$5:N$67,MATCH($S107,$B$5:$B$67,0))</f>
        <v>68</v>
      </c>
      <c r="Y107" s="25">
        <f t="shared" si="4"/>
        <v>954</v>
      </c>
      <c r="Z107" s="25">
        <f t="shared" si="5"/>
        <v>123</v>
      </c>
      <c r="AA107" s="25">
        <f t="shared" si="6"/>
        <v>98</v>
      </c>
      <c r="AB107" s="25">
        <f t="shared" si="7"/>
        <v>136</v>
      </c>
      <c r="AE107" s="29">
        <v>1040</v>
      </c>
      <c r="AF107" s="25">
        <v>29</v>
      </c>
      <c r="AG107" s="25">
        <f t="array" ref="AG107">INDEX($AE$79:$AE$116,QUOTIENT(AF107-1,8)+1)</f>
        <v>1004</v>
      </c>
      <c r="AH107" s="25">
        <f t="shared" si="37"/>
        <v>5</v>
      </c>
      <c r="AI107" s="25">
        <f t="shared" si="8"/>
        <v>10045</v>
      </c>
      <c r="AJ107" s="25" t="str">
        <f t="shared" si="9"/>
        <v>阿芭</v>
      </c>
      <c r="AK107" s="25">
        <f t="shared" si="38"/>
        <v>3</v>
      </c>
      <c r="AL107" s="25" t="str">
        <f t="array" ref="AL107">INDEX($O$5:$O$42,MATCH(AJ107,$B$5:$B$42,0))</f>
        <v>攻击百分比</v>
      </c>
      <c r="AM107" s="25" t="str">
        <f t="array" ref="AM107">INDEX($P$5:$P$42,MATCH(AJ107,$B$5:$B$42,0))</f>
        <v>必杀伤害加成</v>
      </c>
      <c r="AN107" s="25" t="str">
        <f t="array" ref="AN107">INDEX($Q$5:$Q$42,MATCH(AJ107,$B$5:$B$42,0))</f>
        <v>暴击等级</v>
      </c>
      <c r="AO107" s="25" t="str">
        <f t="array" ref="AO107">INDEX(AL107:AN107,0,AK107)</f>
        <v>暴击等级</v>
      </c>
      <c r="AP107" s="25">
        <f t="shared" si="39"/>
        <v>0.15</v>
      </c>
      <c r="AQ107" s="25">
        <f t="shared" si="11"/>
        <v>1350</v>
      </c>
      <c r="AR107" s="25" t="str">
        <f t="shared" ref="AR107:BZ107" si="81">IF(AR$78=$AO107,$AQ107,"0")</f>
        <v>0</v>
      </c>
      <c r="AS107" s="25" t="str">
        <f t="shared" si="81"/>
        <v>0</v>
      </c>
      <c r="AT107" s="25" t="str">
        <f t="shared" si="81"/>
        <v>0</v>
      </c>
      <c r="AU107" s="25" t="str">
        <f t="shared" si="81"/>
        <v>0</v>
      </c>
      <c r="AV107" s="25" t="str">
        <f t="shared" si="81"/>
        <v>0</v>
      </c>
      <c r="AW107" s="25" t="str">
        <f t="shared" si="81"/>
        <v>0</v>
      </c>
      <c r="AX107" s="25" t="str">
        <f t="shared" si="81"/>
        <v>0</v>
      </c>
      <c r="AY107" s="25" t="str">
        <f t="shared" si="81"/>
        <v>0</v>
      </c>
      <c r="AZ107" s="25" t="str">
        <f t="shared" si="81"/>
        <v>0</v>
      </c>
      <c r="BA107" s="25" t="str">
        <f t="shared" si="81"/>
        <v>0</v>
      </c>
      <c r="BB107" s="25" t="str">
        <f t="shared" si="81"/>
        <v>0</v>
      </c>
      <c r="BC107" s="25" t="str">
        <f t="shared" si="81"/>
        <v>0</v>
      </c>
      <c r="BD107" s="25" t="str">
        <f t="shared" si="81"/>
        <v>0</v>
      </c>
      <c r="BE107" s="25" t="str">
        <f t="shared" si="81"/>
        <v>0</v>
      </c>
      <c r="BF107" s="25" t="str">
        <f t="shared" si="81"/>
        <v>0</v>
      </c>
      <c r="BG107" s="25" t="str">
        <f t="shared" si="81"/>
        <v>0</v>
      </c>
      <c r="BH107" s="25" t="str">
        <f t="shared" si="81"/>
        <v>0</v>
      </c>
      <c r="BI107" s="25" t="str">
        <f t="shared" si="81"/>
        <v>0</v>
      </c>
      <c r="BJ107" s="25" t="str">
        <f t="shared" si="81"/>
        <v>0</v>
      </c>
      <c r="BK107" s="25" t="str">
        <f t="shared" si="81"/>
        <v>0</v>
      </c>
      <c r="BL107" s="25" t="str">
        <f t="shared" si="81"/>
        <v>0</v>
      </c>
      <c r="BM107" s="25" t="str">
        <f t="shared" si="81"/>
        <v>0</v>
      </c>
      <c r="BN107" s="25" t="str">
        <f t="shared" si="81"/>
        <v>0</v>
      </c>
      <c r="BO107" s="25" t="str">
        <f t="shared" si="81"/>
        <v>0</v>
      </c>
      <c r="BP107" s="25" t="str">
        <f t="shared" si="81"/>
        <v>0</v>
      </c>
      <c r="BQ107" s="25" t="str">
        <f t="shared" si="81"/>
        <v>0</v>
      </c>
      <c r="BR107" s="25" t="str">
        <f t="shared" si="81"/>
        <v>0</v>
      </c>
      <c r="BS107" s="25" t="str">
        <f t="shared" si="81"/>
        <v>0</v>
      </c>
      <c r="BT107" s="25" t="str">
        <f t="shared" si="81"/>
        <v>0</v>
      </c>
      <c r="BU107" s="25" t="str">
        <f t="shared" si="81"/>
        <v>0</v>
      </c>
      <c r="BV107" s="25" t="str">
        <f t="shared" si="81"/>
        <v>0</v>
      </c>
      <c r="BW107" s="25">
        <f t="shared" si="81"/>
        <v>1350</v>
      </c>
      <c r="BX107" s="25" t="str">
        <f t="shared" si="81"/>
        <v>0</v>
      </c>
      <c r="BY107" s="25" t="str">
        <f t="shared" si="81"/>
        <v>0</v>
      </c>
      <c r="BZ107" s="25" t="str">
        <f t="shared" si="81"/>
        <v>0</v>
      </c>
      <c r="CC107" s="25" t="str">
        <f t="array" ref="CC107">INDEX($C$46:$C$74,MATCH(CD107,$B$46:$B$74,0))</f>
        <v>陈单单</v>
      </c>
      <c r="CD107" s="1">
        <v>1005</v>
      </c>
      <c r="CE107" s="1">
        <v>0</v>
      </c>
      <c r="CF107" s="25" t="str">
        <f t="array" ref="CF107">INDEX($T$5:$T$44,MATCH(CC107,$B$5:$B$44,0))</f>
        <v>物理</v>
      </c>
      <c r="CG107" s="25">
        <f t="shared" si="34"/>
        <v>0</v>
      </c>
      <c r="CH107" s="25">
        <f t="shared" si="13"/>
        <v>1</v>
      </c>
      <c r="CI107" s="25">
        <f t="shared" si="14"/>
        <v>1</v>
      </c>
      <c r="CJ107" s="25">
        <f t="shared" si="15"/>
        <v>1</v>
      </c>
      <c r="CK107" s="25">
        <f t="shared" si="16"/>
        <v>1</v>
      </c>
      <c r="CL107" s="25">
        <v>0</v>
      </c>
      <c r="CM107" s="25">
        <f t="shared" si="35"/>
        <v>0</v>
      </c>
      <c r="CN107" s="25">
        <f t="shared" si="17"/>
        <v>0</v>
      </c>
      <c r="CO107" s="25">
        <f t="shared" si="18"/>
        <v>0</v>
      </c>
      <c r="CP107" s="29" t="str">
        <f t="shared" ref="CP107:DQ107" si="82">IF($CL107=CP$78,$CN107,"0")</f>
        <v>0</v>
      </c>
      <c r="CQ107" s="29" t="str">
        <f t="shared" si="82"/>
        <v>0</v>
      </c>
      <c r="CR107" s="29" t="str">
        <f t="shared" si="82"/>
        <v>0</v>
      </c>
      <c r="CS107" s="29" t="str">
        <f t="shared" si="82"/>
        <v>0</v>
      </c>
      <c r="CT107" s="29" t="str">
        <f t="shared" si="82"/>
        <v>0</v>
      </c>
      <c r="CU107" s="29" t="str">
        <f t="shared" si="82"/>
        <v>0</v>
      </c>
      <c r="CV107" s="29" t="str">
        <f t="shared" si="82"/>
        <v>0</v>
      </c>
      <c r="CW107" s="29" t="str">
        <f t="shared" si="82"/>
        <v>0</v>
      </c>
      <c r="CX107" s="29" t="str">
        <f t="shared" si="82"/>
        <v>0</v>
      </c>
      <c r="CY107" s="29" t="str">
        <f t="shared" si="82"/>
        <v>0</v>
      </c>
      <c r="CZ107" s="29" t="str">
        <f t="shared" si="82"/>
        <v>0</v>
      </c>
      <c r="DA107" s="29" t="str">
        <f t="shared" si="82"/>
        <v>0</v>
      </c>
      <c r="DB107" s="29" t="str">
        <f t="shared" si="82"/>
        <v>0</v>
      </c>
      <c r="DC107" s="29" t="str">
        <f t="shared" si="82"/>
        <v>0</v>
      </c>
      <c r="DD107" s="29" t="str">
        <f t="shared" si="82"/>
        <v>0</v>
      </c>
      <c r="DE107" s="29" t="str">
        <f t="shared" si="82"/>
        <v>0</v>
      </c>
      <c r="DF107" s="29" t="str">
        <f t="shared" si="82"/>
        <v>0</v>
      </c>
      <c r="DG107" s="29" t="str">
        <f t="shared" si="82"/>
        <v>0</v>
      </c>
      <c r="DH107" s="29" t="str">
        <f t="shared" si="82"/>
        <v>0</v>
      </c>
      <c r="DI107" s="29" t="str">
        <f t="shared" si="82"/>
        <v>0</v>
      </c>
      <c r="DJ107" s="29" t="str">
        <f t="shared" si="82"/>
        <v>0</v>
      </c>
      <c r="DK107" s="29" t="str">
        <f t="shared" si="82"/>
        <v>0</v>
      </c>
      <c r="DL107" s="29" t="str">
        <f t="shared" si="82"/>
        <v>0</v>
      </c>
      <c r="DM107" s="29" t="str">
        <f t="shared" si="82"/>
        <v>0</v>
      </c>
      <c r="DN107" s="29" t="str">
        <f t="shared" si="82"/>
        <v>0</v>
      </c>
      <c r="DO107" s="29" t="str">
        <f t="shared" si="82"/>
        <v>0</v>
      </c>
      <c r="DP107" s="29" t="str">
        <f t="shared" si="82"/>
        <v>0</v>
      </c>
      <c r="DQ107" s="29" t="str">
        <f t="shared" si="82"/>
        <v>0</v>
      </c>
      <c r="DR107" s="29"/>
      <c r="DS107" s="25">
        <v>0</v>
      </c>
      <c r="EE107" s="25" t="str">
        <f t="shared" si="20"/>
        <v>0</v>
      </c>
    </row>
    <row r="108" spans="1:135">
      <c r="A108" s="48">
        <v>1001030</v>
      </c>
      <c r="B108" s="49" t="s">
        <v>910</v>
      </c>
      <c r="C108" s="25">
        <v>30</v>
      </c>
      <c r="D108" s="25">
        <f t="array" ref="D108">INDEX(C$5:C$67,MATCH($B108,$B$5:$B$67,0))</f>
        <v>3600</v>
      </c>
      <c r="E108" s="25">
        <f t="array" ref="E108">INDEX(D$5:D$67,MATCH($B108,$B$5:$B$67,0))</f>
        <v>288</v>
      </c>
      <c r="F108" s="25">
        <f t="array" ref="F108">INDEX(E$5:E$67,MATCH($B108,$B$5:$B$67,0))</f>
        <v>1320</v>
      </c>
      <c r="G108" s="25">
        <f t="array" ref="G108">INDEX(F$5:F$67,MATCH($B108,$B$5:$B$67,0))</f>
        <v>105.6</v>
      </c>
      <c r="H108" s="25">
        <f t="array" ref="H108">INDEX(G$5:G$66,MATCH($B108,$B$5:$B$67,0))</f>
        <v>1056</v>
      </c>
      <c r="I108" s="25">
        <f t="array" ref="I108">INDEX(H$5:H$67,MATCH($B108,$B$5:$B$67,0))</f>
        <v>84.48</v>
      </c>
      <c r="J108" s="25">
        <f t="array" ref="J108">INDEX(I$5:I$67,MATCH($B108,$B$5:$B$67,0))</f>
        <v>800</v>
      </c>
      <c r="K108" s="25">
        <f t="array" ref="K108">INDEX(J$5:J$67,MATCH($B108,$B$5:$B$67,0))</f>
        <v>64</v>
      </c>
      <c r="L108" s="25">
        <f t="shared" si="0"/>
        <v>12240</v>
      </c>
      <c r="M108" s="25">
        <f t="shared" si="1"/>
        <v>4488</v>
      </c>
      <c r="N108" s="25">
        <f t="shared" si="2"/>
        <v>3590</v>
      </c>
      <c r="O108" s="25">
        <f t="shared" si="3"/>
        <v>2720</v>
      </c>
      <c r="R108" s="50">
        <f t="array" ref="R108">INDEX($B$46:$B$68,MATCH(S108,$C$46:$C$68,0))*1000+T108</f>
        <v>1002003</v>
      </c>
      <c r="S108" s="51" t="s">
        <v>318</v>
      </c>
      <c r="T108" s="29">
        <f t="shared" si="78"/>
        <v>3</v>
      </c>
      <c r="U108" s="25">
        <f t="array" ref="U108">INDEX(K$5:K$67,MATCH($S108,$B$5:$B$67,0))</f>
        <v>477.12</v>
      </c>
      <c r="V108" s="25">
        <f t="array" ref="V108">INDEX(L$5:L$67,MATCH($S108,$B$5:$B$67,0))</f>
        <v>61.44</v>
      </c>
      <c r="W108" s="25">
        <f t="array" ref="W108">INDEX(M$5:M$67,MATCH($S108,$B$5:$B$67,0))</f>
        <v>49.15</v>
      </c>
      <c r="X108" s="25">
        <f t="array" ref="X108">INDEX(N$5:N$67,MATCH($S108,$B$5:$B$67,0))</f>
        <v>68</v>
      </c>
      <c r="Y108" s="25">
        <f t="shared" si="4"/>
        <v>1431</v>
      </c>
      <c r="Z108" s="25">
        <f t="shared" si="5"/>
        <v>184</v>
      </c>
      <c r="AA108" s="25">
        <f t="shared" si="6"/>
        <v>147</v>
      </c>
      <c r="AB108" s="25">
        <f t="shared" si="7"/>
        <v>204</v>
      </c>
      <c r="AE108" s="29"/>
      <c r="AF108" s="25">
        <v>30</v>
      </c>
      <c r="AG108" s="25">
        <f t="array" ref="AG108">INDEX($AE$79:$AE$116,QUOTIENT(AF108-1,8)+1)</f>
        <v>1004</v>
      </c>
      <c r="AH108" s="25">
        <f t="shared" si="37"/>
        <v>6</v>
      </c>
      <c r="AI108" s="25">
        <f t="shared" si="8"/>
        <v>10046</v>
      </c>
      <c r="AJ108" s="25" t="str">
        <f t="shared" si="9"/>
        <v>阿芭</v>
      </c>
      <c r="AK108" s="25">
        <f t="shared" si="38"/>
        <v>1</v>
      </c>
      <c r="AL108" s="25" t="str">
        <f t="array" ref="AL108">INDEX($O$5:$O$42,MATCH(AJ108,$B$5:$B$42,0))</f>
        <v>攻击百分比</v>
      </c>
      <c r="AM108" s="25" t="str">
        <f t="array" ref="AM108">INDEX($P$5:$P$42,MATCH(AJ108,$B$5:$B$42,0))</f>
        <v>必杀伤害加成</v>
      </c>
      <c r="AN108" s="25" t="str">
        <f t="array" ref="AN108">INDEX($Q$5:$Q$42,MATCH(AJ108,$B$5:$B$42,0))</f>
        <v>暴击等级</v>
      </c>
      <c r="AO108" s="25" t="str">
        <f t="array" ref="AO108">INDEX(AL108:AN108,0,AK108)</f>
        <v>攻击百分比</v>
      </c>
      <c r="AP108" s="25">
        <f t="shared" si="39"/>
        <v>0.15</v>
      </c>
      <c r="AQ108" s="25">
        <f t="shared" si="11"/>
        <v>0.15</v>
      </c>
      <c r="AR108" s="25" t="str">
        <f t="shared" ref="AR108:BZ108" si="83">IF(AR$78=$AO108,$AQ108,"0")</f>
        <v>0</v>
      </c>
      <c r="AS108" s="25" t="str">
        <f t="shared" si="83"/>
        <v>0</v>
      </c>
      <c r="AT108" s="25" t="str">
        <f t="shared" si="83"/>
        <v>0</v>
      </c>
      <c r="AU108" s="25">
        <f t="shared" si="83"/>
        <v>0.15</v>
      </c>
      <c r="AV108" s="25" t="str">
        <f t="shared" si="83"/>
        <v>0</v>
      </c>
      <c r="AW108" s="25">
        <f t="shared" si="83"/>
        <v>0.15</v>
      </c>
      <c r="AX108" s="25" t="str">
        <f t="shared" si="83"/>
        <v>0</v>
      </c>
      <c r="AY108" s="25" t="str">
        <f t="shared" si="83"/>
        <v>0</v>
      </c>
      <c r="AZ108" s="25" t="str">
        <f t="shared" si="83"/>
        <v>0</v>
      </c>
      <c r="BA108" s="25" t="str">
        <f t="shared" si="83"/>
        <v>0</v>
      </c>
      <c r="BB108" s="25" t="str">
        <f t="shared" si="83"/>
        <v>0</v>
      </c>
      <c r="BC108" s="25" t="str">
        <f t="shared" si="83"/>
        <v>0</v>
      </c>
      <c r="BD108" s="25" t="str">
        <f t="shared" si="83"/>
        <v>0</v>
      </c>
      <c r="BE108" s="25" t="str">
        <f t="shared" si="83"/>
        <v>0</v>
      </c>
      <c r="BF108" s="25" t="str">
        <f t="shared" si="83"/>
        <v>0</v>
      </c>
      <c r="BG108" s="25" t="str">
        <f t="shared" si="83"/>
        <v>0</v>
      </c>
      <c r="BH108" s="25" t="str">
        <f t="shared" si="83"/>
        <v>0</v>
      </c>
      <c r="BI108" s="25" t="str">
        <f t="shared" si="83"/>
        <v>0</v>
      </c>
      <c r="BJ108" s="25" t="str">
        <f t="shared" si="83"/>
        <v>0</v>
      </c>
      <c r="BK108" s="25" t="str">
        <f t="shared" si="83"/>
        <v>0</v>
      </c>
      <c r="BL108" s="25" t="str">
        <f t="shared" si="83"/>
        <v>0</v>
      </c>
      <c r="BM108" s="25" t="str">
        <f t="shared" si="83"/>
        <v>0</v>
      </c>
      <c r="BN108" s="25" t="str">
        <f t="shared" si="83"/>
        <v>0</v>
      </c>
      <c r="BO108" s="25" t="str">
        <f t="shared" si="83"/>
        <v>0</v>
      </c>
      <c r="BP108" s="25" t="str">
        <f t="shared" si="83"/>
        <v>0</v>
      </c>
      <c r="BQ108" s="25" t="str">
        <f t="shared" si="83"/>
        <v>0</v>
      </c>
      <c r="BR108" s="25" t="str">
        <f t="shared" si="83"/>
        <v>0</v>
      </c>
      <c r="BS108" s="25" t="str">
        <f t="shared" si="83"/>
        <v>0</v>
      </c>
      <c r="BT108" s="25" t="str">
        <f t="shared" si="83"/>
        <v>0</v>
      </c>
      <c r="BU108" s="25" t="str">
        <f t="shared" si="83"/>
        <v>0</v>
      </c>
      <c r="BV108" s="25" t="str">
        <f t="shared" si="83"/>
        <v>0</v>
      </c>
      <c r="BW108" s="25" t="str">
        <f t="shared" si="83"/>
        <v>0</v>
      </c>
      <c r="BX108" s="25" t="str">
        <f t="shared" si="83"/>
        <v>0</v>
      </c>
      <c r="BY108" s="25" t="str">
        <f t="shared" si="83"/>
        <v>0</v>
      </c>
      <c r="BZ108" s="25" t="str">
        <f t="shared" si="83"/>
        <v>0</v>
      </c>
      <c r="CC108" s="25" t="str">
        <f t="array" ref="CC108">INDEX($C$46:$C$74,MATCH(CD108,$B$46:$B$74,0))</f>
        <v>陈单单</v>
      </c>
      <c r="CD108" s="1">
        <v>1005</v>
      </c>
      <c r="CE108" s="1">
        <v>1</v>
      </c>
      <c r="CF108" s="25" t="str">
        <f t="array" ref="CF108">INDEX($T$5:$T$44,MATCH(CC108,$B$5:$B$44,0))</f>
        <v>物理</v>
      </c>
      <c r="CG108" s="25">
        <f t="shared" si="34"/>
        <v>0</v>
      </c>
      <c r="CH108" s="25">
        <f t="shared" si="13"/>
        <v>1</v>
      </c>
      <c r="CI108" s="25">
        <f t="shared" si="14"/>
        <v>1</v>
      </c>
      <c r="CJ108" s="25">
        <f t="shared" si="15"/>
        <v>1</v>
      </c>
      <c r="CK108" s="25">
        <f t="shared" si="16"/>
        <v>1</v>
      </c>
      <c r="CL108" s="25">
        <v>0</v>
      </c>
      <c r="CM108" s="25">
        <f t="shared" si="35"/>
        <v>0</v>
      </c>
      <c r="CN108" s="25">
        <f t="shared" si="17"/>
        <v>0</v>
      </c>
      <c r="CO108" s="25">
        <f t="shared" si="18"/>
        <v>0</v>
      </c>
      <c r="CP108" s="29" t="str">
        <f t="shared" ref="CP108:DQ108" si="84">IF($CL108=CP$78,$CN108,"0")</f>
        <v>0</v>
      </c>
      <c r="CQ108" s="29" t="str">
        <f t="shared" si="84"/>
        <v>0</v>
      </c>
      <c r="CR108" s="29" t="str">
        <f t="shared" si="84"/>
        <v>0</v>
      </c>
      <c r="CS108" s="29" t="str">
        <f t="shared" si="84"/>
        <v>0</v>
      </c>
      <c r="CT108" s="29" t="str">
        <f t="shared" si="84"/>
        <v>0</v>
      </c>
      <c r="CU108" s="29" t="str">
        <f t="shared" si="84"/>
        <v>0</v>
      </c>
      <c r="CV108" s="29" t="str">
        <f t="shared" si="84"/>
        <v>0</v>
      </c>
      <c r="CW108" s="29" t="str">
        <f t="shared" si="84"/>
        <v>0</v>
      </c>
      <c r="CX108" s="29" t="str">
        <f t="shared" si="84"/>
        <v>0</v>
      </c>
      <c r="CY108" s="29" t="str">
        <f t="shared" si="84"/>
        <v>0</v>
      </c>
      <c r="CZ108" s="29" t="str">
        <f t="shared" si="84"/>
        <v>0</v>
      </c>
      <c r="DA108" s="29" t="str">
        <f t="shared" si="84"/>
        <v>0</v>
      </c>
      <c r="DB108" s="29" t="str">
        <f t="shared" si="84"/>
        <v>0</v>
      </c>
      <c r="DC108" s="29" t="str">
        <f t="shared" si="84"/>
        <v>0</v>
      </c>
      <c r="DD108" s="29" t="str">
        <f t="shared" si="84"/>
        <v>0</v>
      </c>
      <c r="DE108" s="29" t="str">
        <f t="shared" si="84"/>
        <v>0</v>
      </c>
      <c r="DF108" s="29" t="str">
        <f t="shared" si="84"/>
        <v>0</v>
      </c>
      <c r="DG108" s="29" t="str">
        <f t="shared" si="84"/>
        <v>0</v>
      </c>
      <c r="DH108" s="29" t="str">
        <f t="shared" si="84"/>
        <v>0</v>
      </c>
      <c r="DI108" s="29" t="str">
        <f t="shared" si="84"/>
        <v>0</v>
      </c>
      <c r="DJ108" s="29" t="str">
        <f t="shared" si="84"/>
        <v>0</v>
      </c>
      <c r="DK108" s="29" t="str">
        <f t="shared" si="84"/>
        <v>0</v>
      </c>
      <c r="DL108" s="29" t="str">
        <f t="shared" si="84"/>
        <v>0</v>
      </c>
      <c r="DM108" s="29" t="str">
        <f t="shared" si="84"/>
        <v>0</v>
      </c>
      <c r="DN108" s="29" t="str">
        <f t="shared" si="84"/>
        <v>0</v>
      </c>
      <c r="DO108" s="29" t="str">
        <f t="shared" si="84"/>
        <v>0</v>
      </c>
      <c r="DP108" s="29" t="str">
        <f t="shared" si="84"/>
        <v>0</v>
      </c>
      <c r="DQ108" s="29" t="str">
        <f t="shared" si="84"/>
        <v>0</v>
      </c>
      <c r="DR108" s="29"/>
      <c r="DS108" s="25">
        <v>0</v>
      </c>
      <c r="EE108" s="25" t="str">
        <f t="shared" si="20"/>
        <v>0</v>
      </c>
    </row>
    <row r="109" spans="1:135">
      <c r="A109" s="48">
        <v>1001031</v>
      </c>
      <c r="B109" s="49" t="s">
        <v>910</v>
      </c>
      <c r="C109" s="25">
        <v>31</v>
      </c>
      <c r="D109" s="25">
        <f t="array" ref="D109">INDEX(C$5:C$67,MATCH($B109,$B$5:$B$67,0))</f>
        <v>3600</v>
      </c>
      <c r="E109" s="25">
        <f t="array" ref="E109">INDEX(D$5:D$67,MATCH($B109,$B$5:$B$67,0))</f>
        <v>288</v>
      </c>
      <c r="F109" s="25">
        <f t="array" ref="F109">INDEX(E$5:E$67,MATCH($B109,$B$5:$B$67,0))</f>
        <v>1320</v>
      </c>
      <c r="G109" s="25">
        <f t="array" ref="G109">INDEX(F$5:F$67,MATCH($B109,$B$5:$B$67,0))</f>
        <v>105.6</v>
      </c>
      <c r="H109" s="25">
        <f t="array" ref="H109">INDEX(G$5:G$66,MATCH($B109,$B$5:$B$67,0))</f>
        <v>1056</v>
      </c>
      <c r="I109" s="25">
        <f t="array" ref="I109">INDEX(H$5:H$67,MATCH($B109,$B$5:$B$67,0))</f>
        <v>84.48</v>
      </c>
      <c r="J109" s="25">
        <f t="array" ref="J109">INDEX(I$5:I$67,MATCH($B109,$B$5:$B$67,0))</f>
        <v>800</v>
      </c>
      <c r="K109" s="25">
        <f t="array" ref="K109">INDEX(J$5:J$67,MATCH($B109,$B$5:$B$67,0))</f>
        <v>64</v>
      </c>
      <c r="L109" s="25">
        <f t="shared" si="0"/>
        <v>12528</v>
      </c>
      <c r="M109" s="25">
        <f t="shared" si="1"/>
        <v>4594</v>
      </c>
      <c r="N109" s="25">
        <f t="shared" si="2"/>
        <v>3675</v>
      </c>
      <c r="O109" s="25">
        <f t="shared" si="3"/>
        <v>2784</v>
      </c>
      <c r="R109" s="50">
        <f t="array" ref="R109">INDEX($B$46:$B$68,MATCH(S109,$C$46:$C$68,0))*1000+T109</f>
        <v>1002004</v>
      </c>
      <c r="S109" s="51" t="s">
        <v>318</v>
      </c>
      <c r="T109" s="29">
        <f t="shared" si="78"/>
        <v>4</v>
      </c>
      <c r="U109" s="25">
        <f t="array" ref="U109">INDEX(K$5:K$67,MATCH($S109,$B$5:$B$67,0))</f>
        <v>477.12</v>
      </c>
      <c r="V109" s="25">
        <f t="array" ref="V109">INDEX(L$5:L$67,MATCH($S109,$B$5:$B$67,0))</f>
        <v>61.44</v>
      </c>
      <c r="W109" s="25">
        <f t="array" ref="W109">INDEX(M$5:M$67,MATCH($S109,$B$5:$B$67,0))</f>
        <v>49.15</v>
      </c>
      <c r="X109" s="25">
        <f t="array" ref="X109">INDEX(N$5:N$67,MATCH($S109,$B$5:$B$67,0))</f>
        <v>68</v>
      </c>
      <c r="Y109" s="25">
        <f t="shared" si="4"/>
        <v>1908</v>
      </c>
      <c r="Z109" s="25">
        <f t="shared" si="5"/>
        <v>246</v>
      </c>
      <c r="AA109" s="25">
        <f t="shared" si="6"/>
        <v>197</v>
      </c>
      <c r="AB109" s="25">
        <f t="shared" si="7"/>
        <v>272</v>
      </c>
      <c r="AF109" s="25">
        <v>31</v>
      </c>
      <c r="AG109" s="25">
        <f t="array" ref="AG109">INDEX($AE$79:$AE$116,QUOTIENT(AF109-1,8)+1)</f>
        <v>1004</v>
      </c>
      <c r="AH109" s="25">
        <f t="shared" si="37"/>
        <v>7</v>
      </c>
      <c r="AI109" s="25">
        <f t="shared" si="8"/>
        <v>10047</v>
      </c>
      <c r="AJ109" s="25" t="str">
        <f t="shared" si="9"/>
        <v>阿芭</v>
      </c>
      <c r="AK109" s="25">
        <f t="shared" si="38"/>
        <v>2</v>
      </c>
      <c r="AL109" s="25" t="str">
        <f t="array" ref="AL109">INDEX($O$5:$O$42,MATCH(AJ109,$B$5:$B$42,0))</f>
        <v>攻击百分比</v>
      </c>
      <c r="AM109" s="25" t="str">
        <f t="array" ref="AM109">INDEX($P$5:$P$42,MATCH(AJ109,$B$5:$B$42,0))</f>
        <v>必杀伤害加成</v>
      </c>
      <c r="AN109" s="25" t="str">
        <f t="array" ref="AN109">INDEX($Q$5:$Q$42,MATCH(AJ109,$B$5:$B$42,0))</f>
        <v>暴击等级</v>
      </c>
      <c r="AO109" s="25" t="str">
        <f t="array" ref="AO109">INDEX(AL109:AN109,0,AK109)</f>
        <v>必杀伤害加成</v>
      </c>
      <c r="AP109" s="25">
        <f t="shared" si="39"/>
        <v>0.15</v>
      </c>
      <c r="AQ109" s="25">
        <f t="shared" si="11"/>
        <v>0.18</v>
      </c>
      <c r="AR109" s="25" t="str">
        <f t="shared" ref="AR109:BZ109" si="85">IF(AR$78=$AO109,$AQ109,"0")</f>
        <v>0</v>
      </c>
      <c r="AS109" s="25" t="str">
        <f t="shared" si="85"/>
        <v>0</v>
      </c>
      <c r="AT109" s="25" t="str">
        <f t="shared" si="85"/>
        <v>0</v>
      </c>
      <c r="AU109" s="25" t="str">
        <f t="shared" si="85"/>
        <v>0</v>
      </c>
      <c r="AV109" s="25" t="str">
        <f t="shared" si="85"/>
        <v>0</v>
      </c>
      <c r="AW109" s="25" t="str">
        <f t="shared" si="85"/>
        <v>0</v>
      </c>
      <c r="AX109" s="25" t="str">
        <f t="shared" si="85"/>
        <v>0</v>
      </c>
      <c r="AY109" s="25" t="str">
        <f t="shared" si="85"/>
        <v>0</v>
      </c>
      <c r="AZ109" s="25" t="str">
        <f t="shared" si="85"/>
        <v>0</v>
      </c>
      <c r="BA109" s="25" t="str">
        <f t="shared" si="85"/>
        <v>0</v>
      </c>
      <c r="BB109" s="25" t="str">
        <f t="shared" si="85"/>
        <v>0</v>
      </c>
      <c r="BC109" s="25" t="str">
        <f t="shared" si="85"/>
        <v>0</v>
      </c>
      <c r="BD109" s="25" t="str">
        <f t="shared" si="85"/>
        <v>0</v>
      </c>
      <c r="BE109" s="25" t="str">
        <f t="shared" si="85"/>
        <v>0</v>
      </c>
      <c r="BF109" s="25" t="str">
        <f t="shared" si="85"/>
        <v>0</v>
      </c>
      <c r="BG109" s="25" t="str">
        <f t="shared" si="85"/>
        <v>0</v>
      </c>
      <c r="BH109" s="25" t="str">
        <f t="shared" si="85"/>
        <v>0</v>
      </c>
      <c r="BI109" s="25" t="str">
        <f t="shared" si="85"/>
        <v>0</v>
      </c>
      <c r="BJ109" s="25" t="str">
        <f t="shared" si="85"/>
        <v>0</v>
      </c>
      <c r="BK109" s="25" t="str">
        <f t="shared" si="85"/>
        <v>0</v>
      </c>
      <c r="BL109" s="25" t="str">
        <f t="shared" si="85"/>
        <v>0</v>
      </c>
      <c r="BM109" s="25" t="str">
        <f t="shared" si="85"/>
        <v>0</v>
      </c>
      <c r="BN109" s="25" t="str">
        <f t="shared" si="85"/>
        <v>0</v>
      </c>
      <c r="BO109" s="25">
        <f t="shared" si="85"/>
        <v>0.18</v>
      </c>
      <c r="BP109" s="25" t="str">
        <f t="shared" si="85"/>
        <v>0</v>
      </c>
      <c r="BQ109" s="25" t="str">
        <f t="shared" si="85"/>
        <v>0</v>
      </c>
      <c r="BR109" s="25" t="str">
        <f t="shared" si="85"/>
        <v>0</v>
      </c>
      <c r="BS109" s="25" t="str">
        <f t="shared" si="85"/>
        <v>0</v>
      </c>
      <c r="BT109" s="25" t="str">
        <f t="shared" si="85"/>
        <v>0</v>
      </c>
      <c r="BU109" s="25" t="str">
        <f t="shared" si="85"/>
        <v>0</v>
      </c>
      <c r="BV109" s="25" t="str">
        <f t="shared" si="85"/>
        <v>0</v>
      </c>
      <c r="BW109" s="25" t="str">
        <f t="shared" si="85"/>
        <v>0</v>
      </c>
      <c r="BX109" s="25" t="str">
        <f t="shared" si="85"/>
        <v>0</v>
      </c>
      <c r="BY109" s="25" t="str">
        <f t="shared" si="85"/>
        <v>0</v>
      </c>
      <c r="BZ109" s="25" t="str">
        <f t="shared" si="85"/>
        <v>0</v>
      </c>
      <c r="CC109" s="25" t="str">
        <f t="array" ref="CC109">INDEX($C$46:$C$74,MATCH(CD109,$B$46:$B$74,0))</f>
        <v>陈单单</v>
      </c>
      <c r="CD109" s="1">
        <v>1005</v>
      </c>
      <c r="CE109" s="1">
        <v>2</v>
      </c>
      <c r="CF109" s="25" t="str">
        <f t="array" ref="CF109">INDEX($T$5:$T$44,MATCH(CC109,$B$5:$B$44,0))</f>
        <v>物理</v>
      </c>
      <c r="CG109" s="25">
        <f t="shared" si="34"/>
        <v>0</v>
      </c>
      <c r="CH109" s="25">
        <f t="shared" si="13"/>
        <v>1</v>
      </c>
      <c r="CI109" s="25">
        <f t="shared" si="14"/>
        <v>1</v>
      </c>
      <c r="CJ109" s="25">
        <f t="shared" si="15"/>
        <v>1</v>
      </c>
      <c r="CK109" s="25">
        <f t="shared" si="16"/>
        <v>1</v>
      </c>
      <c r="CL109" s="25">
        <v>0</v>
      </c>
      <c r="CM109" s="25">
        <f t="shared" si="35"/>
        <v>0</v>
      </c>
      <c r="CN109" s="25">
        <f t="shared" si="17"/>
        <v>0</v>
      </c>
      <c r="CO109" s="25">
        <f t="shared" si="18"/>
        <v>0</v>
      </c>
      <c r="CP109" s="29" t="str">
        <f t="shared" ref="CP109:DQ109" si="86">IF($CL109=CP$78,$CN109,"0")</f>
        <v>0</v>
      </c>
      <c r="CQ109" s="29" t="str">
        <f t="shared" si="86"/>
        <v>0</v>
      </c>
      <c r="CR109" s="29" t="str">
        <f t="shared" si="86"/>
        <v>0</v>
      </c>
      <c r="CS109" s="29" t="str">
        <f t="shared" si="86"/>
        <v>0</v>
      </c>
      <c r="CT109" s="29" t="str">
        <f t="shared" si="86"/>
        <v>0</v>
      </c>
      <c r="CU109" s="29" t="str">
        <f t="shared" si="86"/>
        <v>0</v>
      </c>
      <c r="CV109" s="29" t="str">
        <f t="shared" si="86"/>
        <v>0</v>
      </c>
      <c r="CW109" s="29" t="str">
        <f t="shared" si="86"/>
        <v>0</v>
      </c>
      <c r="CX109" s="29" t="str">
        <f t="shared" si="86"/>
        <v>0</v>
      </c>
      <c r="CY109" s="29" t="str">
        <f t="shared" si="86"/>
        <v>0</v>
      </c>
      <c r="CZ109" s="29" t="str">
        <f t="shared" si="86"/>
        <v>0</v>
      </c>
      <c r="DA109" s="29" t="str">
        <f t="shared" si="86"/>
        <v>0</v>
      </c>
      <c r="DB109" s="29" t="str">
        <f t="shared" si="86"/>
        <v>0</v>
      </c>
      <c r="DC109" s="29" t="str">
        <f t="shared" si="86"/>
        <v>0</v>
      </c>
      <c r="DD109" s="29" t="str">
        <f t="shared" si="86"/>
        <v>0</v>
      </c>
      <c r="DE109" s="29" t="str">
        <f t="shared" si="86"/>
        <v>0</v>
      </c>
      <c r="DF109" s="29" t="str">
        <f t="shared" si="86"/>
        <v>0</v>
      </c>
      <c r="DG109" s="29" t="str">
        <f t="shared" si="86"/>
        <v>0</v>
      </c>
      <c r="DH109" s="29" t="str">
        <f t="shared" si="86"/>
        <v>0</v>
      </c>
      <c r="DI109" s="29" t="str">
        <f t="shared" si="86"/>
        <v>0</v>
      </c>
      <c r="DJ109" s="29" t="str">
        <f t="shared" si="86"/>
        <v>0</v>
      </c>
      <c r="DK109" s="29" t="str">
        <f t="shared" si="86"/>
        <v>0</v>
      </c>
      <c r="DL109" s="29" t="str">
        <f t="shared" si="86"/>
        <v>0</v>
      </c>
      <c r="DM109" s="29" t="str">
        <f t="shared" si="86"/>
        <v>0</v>
      </c>
      <c r="DN109" s="29" t="str">
        <f t="shared" si="86"/>
        <v>0</v>
      </c>
      <c r="DO109" s="29" t="str">
        <f t="shared" si="86"/>
        <v>0</v>
      </c>
      <c r="DP109" s="29" t="str">
        <f t="shared" si="86"/>
        <v>0</v>
      </c>
      <c r="DQ109" s="29" t="str">
        <f t="shared" si="86"/>
        <v>0</v>
      </c>
      <c r="DR109" s="29"/>
      <c r="DS109" s="25">
        <v>0</v>
      </c>
      <c r="EE109" s="25" t="str">
        <f t="shared" si="20"/>
        <v>0</v>
      </c>
    </row>
    <row r="110" spans="1:135">
      <c r="A110" s="48">
        <v>1001032</v>
      </c>
      <c r="B110" s="49" t="s">
        <v>910</v>
      </c>
      <c r="C110" s="25">
        <v>32</v>
      </c>
      <c r="D110" s="25">
        <f t="array" ref="D110">INDEX(C$5:C$67,MATCH($B110,$B$5:$B$67,0))</f>
        <v>3600</v>
      </c>
      <c r="E110" s="25">
        <f t="array" ref="E110">INDEX(D$5:D$67,MATCH($B110,$B$5:$B$67,0))</f>
        <v>288</v>
      </c>
      <c r="F110" s="25">
        <f t="array" ref="F110">INDEX(E$5:E$67,MATCH($B110,$B$5:$B$67,0))</f>
        <v>1320</v>
      </c>
      <c r="G110" s="25">
        <f t="array" ref="G110">INDEX(F$5:F$67,MATCH($B110,$B$5:$B$67,0))</f>
        <v>105.6</v>
      </c>
      <c r="H110" s="25">
        <f t="array" ref="H110">INDEX(G$5:G$66,MATCH($B110,$B$5:$B$67,0))</f>
        <v>1056</v>
      </c>
      <c r="I110" s="25">
        <f t="array" ref="I110">INDEX(H$5:H$67,MATCH($B110,$B$5:$B$67,0))</f>
        <v>84.48</v>
      </c>
      <c r="J110" s="25">
        <f t="array" ref="J110">INDEX(I$5:I$67,MATCH($B110,$B$5:$B$67,0))</f>
        <v>800</v>
      </c>
      <c r="K110" s="25">
        <f t="array" ref="K110">INDEX(J$5:J$67,MATCH($B110,$B$5:$B$67,0))</f>
        <v>64</v>
      </c>
      <c r="L110" s="25">
        <f t="shared" si="0"/>
        <v>12816</v>
      </c>
      <c r="M110" s="25">
        <f t="shared" si="1"/>
        <v>4699</v>
      </c>
      <c r="N110" s="25">
        <f t="shared" si="2"/>
        <v>3759</v>
      </c>
      <c r="O110" s="25">
        <f t="shared" si="3"/>
        <v>2848</v>
      </c>
      <c r="R110" s="50">
        <f t="array" ref="R110">INDEX($B$46:$B$68,MATCH(S110,$C$46:$C$68,0))*1000+T110</f>
        <v>1002005</v>
      </c>
      <c r="S110" s="51" t="s">
        <v>318</v>
      </c>
      <c r="T110" s="29">
        <f t="shared" si="78"/>
        <v>5</v>
      </c>
      <c r="U110" s="25">
        <f t="array" ref="U110">INDEX(K$5:K$67,MATCH($S110,$B$5:$B$67,0))</f>
        <v>477.12</v>
      </c>
      <c r="V110" s="25">
        <f t="array" ref="V110">INDEX(L$5:L$67,MATCH($S110,$B$5:$B$67,0))</f>
        <v>61.44</v>
      </c>
      <c r="W110" s="25">
        <f t="array" ref="W110">INDEX(M$5:M$67,MATCH($S110,$B$5:$B$67,0))</f>
        <v>49.15</v>
      </c>
      <c r="X110" s="25">
        <f t="array" ref="X110">INDEX(N$5:N$67,MATCH($S110,$B$5:$B$67,0))</f>
        <v>68</v>
      </c>
      <c r="Y110" s="25">
        <f t="shared" si="4"/>
        <v>2386</v>
      </c>
      <c r="Z110" s="25">
        <f t="shared" si="5"/>
        <v>307</v>
      </c>
      <c r="AA110" s="25">
        <f t="shared" si="6"/>
        <v>246</v>
      </c>
      <c r="AB110" s="25">
        <f t="shared" si="7"/>
        <v>340</v>
      </c>
      <c r="AF110" s="25">
        <v>32</v>
      </c>
      <c r="AG110" s="25">
        <f t="array" ref="AG110">INDEX($AE$79:$AE$116,QUOTIENT(AF110-1,8)+1)</f>
        <v>1004</v>
      </c>
      <c r="AH110" s="25">
        <f t="shared" si="37"/>
        <v>8</v>
      </c>
      <c r="AI110" s="25">
        <f t="shared" si="8"/>
        <v>10048</v>
      </c>
      <c r="AJ110" s="25" t="str">
        <f t="shared" si="9"/>
        <v>阿芭</v>
      </c>
      <c r="AK110" s="25">
        <f t="shared" si="38"/>
        <v>3</v>
      </c>
      <c r="AL110" s="25" t="str">
        <f t="array" ref="AL110">INDEX($O$5:$O$42,MATCH(AJ110,$B$5:$B$42,0))</f>
        <v>攻击百分比</v>
      </c>
      <c r="AM110" s="25" t="str">
        <f t="array" ref="AM110">INDEX($P$5:$P$42,MATCH(AJ110,$B$5:$B$42,0))</f>
        <v>必杀伤害加成</v>
      </c>
      <c r="AN110" s="25" t="str">
        <f t="array" ref="AN110">INDEX($Q$5:$Q$42,MATCH(AJ110,$B$5:$B$42,0))</f>
        <v>暴击等级</v>
      </c>
      <c r="AO110" s="25" t="str">
        <f t="array" ref="AO110">INDEX(AL110:AN110,0,AK110)</f>
        <v>暴击等级</v>
      </c>
      <c r="AP110" s="25">
        <f t="shared" si="39"/>
        <v>0.15</v>
      </c>
      <c r="AQ110" s="25">
        <f t="shared" si="11"/>
        <v>1350</v>
      </c>
      <c r="AR110" s="25" t="str">
        <f t="shared" ref="AR110:BZ110" si="87">IF(AR$78=$AO110,$AQ110,"0")</f>
        <v>0</v>
      </c>
      <c r="AS110" s="25" t="str">
        <f t="shared" si="87"/>
        <v>0</v>
      </c>
      <c r="AT110" s="25" t="str">
        <f t="shared" si="87"/>
        <v>0</v>
      </c>
      <c r="AU110" s="25" t="str">
        <f t="shared" si="87"/>
        <v>0</v>
      </c>
      <c r="AV110" s="25" t="str">
        <f t="shared" si="87"/>
        <v>0</v>
      </c>
      <c r="AW110" s="25" t="str">
        <f t="shared" si="87"/>
        <v>0</v>
      </c>
      <c r="AX110" s="25" t="str">
        <f t="shared" si="87"/>
        <v>0</v>
      </c>
      <c r="AY110" s="25" t="str">
        <f t="shared" si="87"/>
        <v>0</v>
      </c>
      <c r="AZ110" s="25" t="str">
        <f t="shared" si="87"/>
        <v>0</v>
      </c>
      <c r="BA110" s="25" t="str">
        <f t="shared" si="87"/>
        <v>0</v>
      </c>
      <c r="BB110" s="25" t="str">
        <f t="shared" si="87"/>
        <v>0</v>
      </c>
      <c r="BC110" s="25" t="str">
        <f t="shared" si="87"/>
        <v>0</v>
      </c>
      <c r="BD110" s="25" t="str">
        <f t="shared" si="87"/>
        <v>0</v>
      </c>
      <c r="BE110" s="25" t="str">
        <f t="shared" si="87"/>
        <v>0</v>
      </c>
      <c r="BF110" s="25" t="str">
        <f t="shared" si="87"/>
        <v>0</v>
      </c>
      <c r="BG110" s="25" t="str">
        <f t="shared" si="87"/>
        <v>0</v>
      </c>
      <c r="BH110" s="25" t="str">
        <f t="shared" si="87"/>
        <v>0</v>
      </c>
      <c r="BI110" s="25" t="str">
        <f t="shared" si="87"/>
        <v>0</v>
      </c>
      <c r="BJ110" s="25" t="str">
        <f t="shared" si="87"/>
        <v>0</v>
      </c>
      <c r="BK110" s="25" t="str">
        <f t="shared" si="87"/>
        <v>0</v>
      </c>
      <c r="BL110" s="25" t="str">
        <f t="shared" si="87"/>
        <v>0</v>
      </c>
      <c r="BM110" s="25" t="str">
        <f t="shared" si="87"/>
        <v>0</v>
      </c>
      <c r="BN110" s="25" t="str">
        <f t="shared" si="87"/>
        <v>0</v>
      </c>
      <c r="BO110" s="25" t="str">
        <f t="shared" si="87"/>
        <v>0</v>
      </c>
      <c r="BP110" s="25" t="str">
        <f t="shared" si="87"/>
        <v>0</v>
      </c>
      <c r="BQ110" s="25" t="str">
        <f t="shared" si="87"/>
        <v>0</v>
      </c>
      <c r="BR110" s="25" t="str">
        <f t="shared" si="87"/>
        <v>0</v>
      </c>
      <c r="BS110" s="25" t="str">
        <f t="shared" si="87"/>
        <v>0</v>
      </c>
      <c r="BT110" s="25" t="str">
        <f t="shared" si="87"/>
        <v>0</v>
      </c>
      <c r="BU110" s="25" t="str">
        <f t="shared" si="87"/>
        <v>0</v>
      </c>
      <c r="BV110" s="25" t="str">
        <f t="shared" si="87"/>
        <v>0</v>
      </c>
      <c r="BW110" s="25">
        <f t="shared" si="87"/>
        <v>1350</v>
      </c>
      <c r="BX110" s="25" t="str">
        <f t="shared" si="87"/>
        <v>0</v>
      </c>
      <c r="BY110" s="25" t="str">
        <f t="shared" si="87"/>
        <v>0</v>
      </c>
      <c r="BZ110" s="25" t="str">
        <f t="shared" si="87"/>
        <v>0</v>
      </c>
      <c r="CC110" s="25" t="str">
        <f t="array" ref="CC110">INDEX($C$46:$C$74,MATCH(CD110,$B$46:$B$74,0))</f>
        <v>陈单单</v>
      </c>
      <c r="CD110" s="1">
        <v>1005</v>
      </c>
      <c r="CE110" s="1">
        <v>3</v>
      </c>
      <c r="CF110" s="25" t="str">
        <f t="array" ref="CF110">INDEX($T$5:$T$44,MATCH(CC110,$B$5:$B$44,0))</f>
        <v>物理</v>
      </c>
      <c r="CG110" s="25">
        <f t="shared" si="34"/>
        <v>0.15</v>
      </c>
      <c r="CH110" s="25">
        <f t="shared" si="13"/>
        <v>1.15</v>
      </c>
      <c r="CI110" s="25">
        <f t="shared" si="14"/>
        <v>1.15</v>
      </c>
      <c r="CJ110" s="25">
        <f t="shared" si="15"/>
        <v>1</v>
      </c>
      <c r="CK110" s="25">
        <f t="shared" si="16"/>
        <v>1.15</v>
      </c>
      <c r="CL110" s="25" t="str">
        <f t="array" ref="CL110">INDEX($R$5:$R$43,MATCH(CC110,$B$5:$B$43,0))</f>
        <v>物理伤害加成</v>
      </c>
      <c r="CM110" s="25">
        <f t="shared" si="35"/>
        <v>0.3</v>
      </c>
      <c r="CN110" s="25">
        <f t="shared" si="17"/>
        <v>0.12</v>
      </c>
      <c r="CO110" s="25">
        <f t="shared" si="18"/>
        <v>1</v>
      </c>
      <c r="CP110" s="29" t="str">
        <f t="shared" ref="CP110:DQ110" si="88">IF($CL110=CP$78,$CN110,"0")</f>
        <v>0</v>
      </c>
      <c r="CQ110" s="29" t="str">
        <f t="shared" si="88"/>
        <v>0</v>
      </c>
      <c r="CR110" s="29" t="str">
        <f t="shared" si="88"/>
        <v>0</v>
      </c>
      <c r="CS110" s="29" t="str">
        <f t="shared" si="88"/>
        <v>0</v>
      </c>
      <c r="CT110" s="29" t="str">
        <f t="shared" si="88"/>
        <v>0</v>
      </c>
      <c r="CU110" s="29" t="str">
        <f t="shared" si="88"/>
        <v>0</v>
      </c>
      <c r="CV110" s="29" t="str">
        <f t="shared" si="88"/>
        <v>0</v>
      </c>
      <c r="CW110" s="29" t="str">
        <f t="shared" si="88"/>
        <v>0</v>
      </c>
      <c r="CX110" s="29" t="str">
        <f t="shared" si="88"/>
        <v>0</v>
      </c>
      <c r="CY110" s="29" t="str">
        <f t="shared" si="88"/>
        <v>0</v>
      </c>
      <c r="CZ110" s="29" t="str">
        <f t="shared" si="88"/>
        <v>0</v>
      </c>
      <c r="DA110" s="29" t="str">
        <f t="shared" si="88"/>
        <v>0</v>
      </c>
      <c r="DB110" s="29">
        <f t="shared" si="88"/>
        <v>0.12</v>
      </c>
      <c r="DC110" s="29" t="str">
        <f t="shared" si="88"/>
        <v>0</v>
      </c>
      <c r="DD110" s="29" t="str">
        <f t="shared" si="88"/>
        <v>0</v>
      </c>
      <c r="DE110" s="29" t="str">
        <f t="shared" si="88"/>
        <v>0</v>
      </c>
      <c r="DF110" s="29" t="str">
        <f t="shared" si="88"/>
        <v>0</v>
      </c>
      <c r="DG110" s="29" t="str">
        <f t="shared" si="88"/>
        <v>0</v>
      </c>
      <c r="DH110" s="29" t="str">
        <f t="shared" si="88"/>
        <v>0</v>
      </c>
      <c r="DI110" s="29" t="str">
        <f t="shared" si="88"/>
        <v>0</v>
      </c>
      <c r="DJ110" s="29" t="str">
        <f t="shared" si="88"/>
        <v>0</v>
      </c>
      <c r="DK110" s="29" t="str">
        <f t="shared" si="88"/>
        <v>0</v>
      </c>
      <c r="DL110" s="29" t="str">
        <f t="shared" si="88"/>
        <v>0</v>
      </c>
      <c r="DM110" s="29" t="str">
        <f t="shared" si="88"/>
        <v>0</v>
      </c>
      <c r="DN110" s="29" t="str">
        <f t="shared" si="88"/>
        <v>0</v>
      </c>
      <c r="DO110" s="29" t="str">
        <f t="shared" si="88"/>
        <v>0</v>
      </c>
      <c r="DP110" s="29" t="str">
        <f t="shared" si="88"/>
        <v>0</v>
      </c>
      <c r="DQ110" s="29" t="str">
        <f t="shared" si="88"/>
        <v>0</v>
      </c>
      <c r="DR110" s="29"/>
      <c r="DS110" s="25" t="s">
        <v>1011</v>
      </c>
      <c r="DT110" s="25" t="str">
        <f>TEXT(角色升星!$F$18,"0%")</f>
        <v>15%</v>
      </c>
      <c r="DU110" s="25" t="s">
        <v>779</v>
      </c>
      <c r="DV110" s="25" t="str">
        <f>IF(CF110="物理","PhysicsAttack,+","MagicAttack,+")</f>
        <v>PhysicsAttack,+</v>
      </c>
      <c r="DW110" s="25" t="str">
        <f>TEXT(角色升星!$F$18,"0%")</f>
        <v>15%</v>
      </c>
      <c r="DX110" s="25" t="s">
        <v>779</v>
      </c>
      <c r="DY110" s="25" t="s">
        <v>1012</v>
      </c>
      <c r="DZ110" s="25" t="str">
        <f>TEXT(角色升星!$F$18,"0%")</f>
        <v>15%</v>
      </c>
      <c r="EA110" s="25" t="s">
        <v>779</v>
      </c>
      <c r="EB110" s="25" t="str">
        <f>VLOOKUP(CL110,$O$46:$P$73,2,0)</f>
        <v>PhysicsDmgBonus</v>
      </c>
      <c r="EC110" s="25" t="s">
        <v>1013</v>
      </c>
      <c r="ED110" s="25" t="str">
        <f>IF(CN110&gt;1,CN110,TEXT(CN110,"0%"))</f>
        <v>12%</v>
      </c>
      <c r="EE110" s="25" t="str">
        <f t="shared" si="20"/>
        <v>Hp,+15%;PhysicsAttack,+15%;Armor,+15%;PhysicsDmgBonus,+12%</v>
      </c>
    </row>
    <row r="111" spans="1:135">
      <c r="A111" s="48">
        <v>1001033</v>
      </c>
      <c r="B111" s="49" t="s">
        <v>910</v>
      </c>
      <c r="C111" s="25">
        <v>33</v>
      </c>
      <c r="D111" s="25">
        <f t="array" ref="D111">INDEX(C$5:C$67,MATCH($B111,$B$5:$B$67,0))</f>
        <v>3600</v>
      </c>
      <c r="E111" s="25">
        <f t="array" ref="E111">INDEX(D$5:D$67,MATCH($B111,$B$5:$B$67,0))</f>
        <v>288</v>
      </c>
      <c r="F111" s="25">
        <f t="array" ref="F111">INDEX(E$5:E$67,MATCH($B111,$B$5:$B$67,0))</f>
        <v>1320</v>
      </c>
      <c r="G111" s="25">
        <f t="array" ref="G111">INDEX(F$5:F$67,MATCH($B111,$B$5:$B$67,0))</f>
        <v>105.6</v>
      </c>
      <c r="H111" s="25">
        <f t="array" ref="H111">INDEX(G$5:G$66,MATCH($B111,$B$5:$B$67,0))</f>
        <v>1056</v>
      </c>
      <c r="I111" s="25">
        <f t="array" ref="I111">INDEX(H$5:H$67,MATCH($B111,$B$5:$B$67,0))</f>
        <v>84.48</v>
      </c>
      <c r="J111" s="25">
        <f t="array" ref="J111">INDEX(I$5:I$67,MATCH($B111,$B$5:$B$67,0))</f>
        <v>800</v>
      </c>
      <c r="K111" s="25">
        <f t="array" ref="K111">INDEX(J$5:J$67,MATCH($B111,$B$5:$B$67,0))</f>
        <v>64</v>
      </c>
      <c r="L111" s="25">
        <f t="shared" si="0"/>
        <v>13104</v>
      </c>
      <c r="M111" s="25">
        <f t="shared" si="1"/>
        <v>4805</v>
      </c>
      <c r="N111" s="25">
        <f t="shared" si="2"/>
        <v>3844</v>
      </c>
      <c r="O111" s="25">
        <f t="shared" si="3"/>
        <v>2912</v>
      </c>
      <c r="R111" s="50">
        <f t="array" ref="R111">INDEX($B$46:$B$68,MATCH(S111,$C$46:$C$68,0))*1000+T111</f>
        <v>1002006</v>
      </c>
      <c r="S111" s="51" t="s">
        <v>318</v>
      </c>
      <c r="T111" s="29">
        <f t="shared" si="78"/>
        <v>6</v>
      </c>
      <c r="U111" s="25">
        <f t="array" ref="U111">INDEX(K$5:K$67,MATCH($S111,$B$5:$B$67,0))</f>
        <v>477.12</v>
      </c>
      <c r="V111" s="25">
        <f t="array" ref="V111">INDEX(L$5:L$67,MATCH($S111,$B$5:$B$67,0))</f>
        <v>61.44</v>
      </c>
      <c r="W111" s="25">
        <f t="array" ref="W111">INDEX(M$5:M$67,MATCH($S111,$B$5:$B$67,0))</f>
        <v>49.15</v>
      </c>
      <c r="X111" s="25">
        <f t="array" ref="X111">INDEX(N$5:N$67,MATCH($S111,$B$5:$B$67,0))</f>
        <v>68</v>
      </c>
      <c r="Y111" s="25">
        <f t="shared" si="4"/>
        <v>2863</v>
      </c>
      <c r="Z111" s="25">
        <f t="shared" si="5"/>
        <v>369</v>
      </c>
      <c r="AA111" s="25">
        <f t="shared" si="6"/>
        <v>295</v>
      </c>
      <c r="AB111" s="25">
        <f t="shared" si="7"/>
        <v>408</v>
      </c>
      <c r="AF111" s="25">
        <v>33</v>
      </c>
      <c r="AG111" s="25">
        <f t="array" ref="AG111">INDEX($AE$79:$AE$116,QUOTIENT(AF111-1,8)+1)</f>
        <v>1005</v>
      </c>
      <c r="AH111" s="25">
        <f t="shared" si="37"/>
        <v>1</v>
      </c>
      <c r="AI111" s="25">
        <f t="shared" si="8"/>
        <v>10051</v>
      </c>
      <c r="AJ111" s="25" t="str">
        <f t="shared" si="9"/>
        <v>陈单单</v>
      </c>
      <c r="AK111" s="25">
        <f t="shared" si="38"/>
        <v>1</v>
      </c>
      <c r="AL111" s="25" t="str">
        <f t="array" ref="AL111">INDEX($O$5:$O$42,MATCH(AJ111,$B$5:$B$42,0))</f>
        <v>攻击百分比</v>
      </c>
      <c r="AM111" s="25" t="str">
        <f t="array" ref="AM111">INDEX($P$5:$P$42,MATCH(AJ111,$B$5:$B$42,0))</f>
        <v>暴击等级</v>
      </c>
      <c r="AN111" s="25" t="str">
        <f t="array" ref="AN111">INDEX($Q$5:$Q$42,MATCH(AJ111,$B$5:$B$42,0))</f>
        <v>暴击伤害等级</v>
      </c>
      <c r="AO111" s="25" t="str">
        <f t="array" ref="AO111">INDEX(AL111:AN111,0,AK111)</f>
        <v>攻击百分比</v>
      </c>
      <c r="AP111" s="25">
        <f t="shared" si="39"/>
        <v>0.15</v>
      </c>
      <c r="AQ111" s="25">
        <f t="shared" si="11"/>
        <v>0.15</v>
      </c>
      <c r="AR111" s="25" t="str">
        <f t="shared" ref="AR111:BZ111" si="89">IF(AR$78=$AO111,$AQ111,"0")</f>
        <v>0</v>
      </c>
      <c r="AS111" s="25" t="str">
        <f t="shared" si="89"/>
        <v>0</v>
      </c>
      <c r="AT111" s="25" t="str">
        <f t="shared" si="89"/>
        <v>0</v>
      </c>
      <c r="AU111" s="25">
        <f t="shared" si="89"/>
        <v>0.15</v>
      </c>
      <c r="AV111" s="25" t="str">
        <f t="shared" si="89"/>
        <v>0</v>
      </c>
      <c r="AW111" s="25">
        <f t="shared" si="89"/>
        <v>0.15</v>
      </c>
      <c r="AX111" s="25" t="str">
        <f t="shared" si="89"/>
        <v>0</v>
      </c>
      <c r="AY111" s="25" t="str">
        <f t="shared" si="89"/>
        <v>0</v>
      </c>
      <c r="AZ111" s="25" t="str">
        <f t="shared" si="89"/>
        <v>0</v>
      </c>
      <c r="BA111" s="25" t="str">
        <f t="shared" si="89"/>
        <v>0</v>
      </c>
      <c r="BB111" s="25" t="str">
        <f t="shared" si="89"/>
        <v>0</v>
      </c>
      <c r="BC111" s="25" t="str">
        <f t="shared" si="89"/>
        <v>0</v>
      </c>
      <c r="BD111" s="25" t="str">
        <f t="shared" si="89"/>
        <v>0</v>
      </c>
      <c r="BE111" s="25" t="str">
        <f t="shared" si="89"/>
        <v>0</v>
      </c>
      <c r="BF111" s="25" t="str">
        <f t="shared" si="89"/>
        <v>0</v>
      </c>
      <c r="BG111" s="25" t="str">
        <f t="shared" si="89"/>
        <v>0</v>
      </c>
      <c r="BH111" s="25" t="str">
        <f t="shared" si="89"/>
        <v>0</v>
      </c>
      <c r="BI111" s="25" t="str">
        <f t="shared" si="89"/>
        <v>0</v>
      </c>
      <c r="BJ111" s="25" t="str">
        <f t="shared" si="89"/>
        <v>0</v>
      </c>
      <c r="BK111" s="25" t="str">
        <f t="shared" si="89"/>
        <v>0</v>
      </c>
      <c r="BL111" s="25" t="str">
        <f t="shared" si="89"/>
        <v>0</v>
      </c>
      <c r="BM111" s="25" t="str">
        <f t="shared" si="89"/>
        <v>0</v>
      </c>
      <c r="BN111" s="25" t="str">
        <f t="shared" si="89"/>
        <v>0</v>
      </c>
      <c r="BO111" s="25" t="str">
        <f t="shared" si="89"/>
        <v>0</v>
      </c>
      <c r="BP111" s="25" t="str">
        <f t="shared" si="89"/>
        <v>0</v>
      </c>
      <c r="BQ111" s="25" t="str">
        <f t="shared" si="89"/>
        <v>0</v>
      </c>
      <c r="BR111" s="25" t="str">
        <f t="shared" si="89"/>
        <v>0</v>
      </c>
      <c r="BS111" s="25" t="str">
        <f t="shared" si="89"/>
        <v>0</v>
      </c>
      <c r="BT111" s="25" t="str">
        <f t="shared" si="89"/>
        <v>0</v>
      </c>
      <c r="BU111" s="25" t="str">
        <f t="shared" si="89"/>
        <v>0</v>
      </c>
      <c r="BV111" s="25" t="str">
        <f t="shared" si="89"/>
        <v>0</v>
      </c>
      <c r="BW111" s="25" t="str">
        <f t="shared" si="89"/>
        <v>0</v>
      </c>
      <c r="BX111" s="25" t="str">
        <f t="shared" si="89"/>
        <v>0</v>
      </c>
      <c r="BY111" s="25" t="str">
        <f t="shared" si="89"/>
        <v>0</v>
      </c>
      <c r="BZ111" s="25" t="str">
        <f t="shared" si="89"/>
        <v>0</v>
      </c>
      <c r="CC111" s="25" t="str">
        <f t="array" ref="CC111">INDEX($C$46:$C$74,MATCH(CD111,$B$46:$B$74,0))</f>
        <v>陈单单</v>
      </c>
      <c r="CD111" s="1">
        <v>1005</v>
      </c>
      <c r="CE111" s="1">
        <v>4</v>
      </c>
      <c r="CF111" s="25" t="str">
        <f t="array" ref="CF111">INDEX($T$5:$T$44,MATCH(CC111,$B$5:$B$44,0))</f>
        <v>物理</v>
      </c>
      <c r="CG111" s="25">
        <f t="shared" si="34"/>
        <v>0.15</v>
      </c>
      <c r="CH111" s="25">
        <f t="shared" si="13"/>
        <v>1.15</v>
      </c>
      <c r="CI111" s="25">
        <f t="shared" si="14"/>
        <v>1.15</v>
      </c>
      <c r="CJ111" s="25">
        <f t="shared" si="15"/>
        <v>1</v>
      </c>
      <c r="CK111" s="25">
        <f t="shared" si="16"/>
        <v>1.15</v>
      </c>
      <c r="CL111" s="25">
        <v>0</v>
      </c>
      <c r="CM111" s="25">
        <f t="shared" si="35"/>
        <v>0</v>
      </c>
      <c r="CN111" s="25">
        <f t="shared" si="17"/>
        <v>0</v>
      </c>
      <c r="CO111" s="25">
        <f t="shared" si="18"/>
        <v>0</v>
      </c>
      <c r="CP111" s="29" t="str">
        <f t="shared" ref="CP111:DQ111" si="90">IF($CL111=CP$78,$CN111,"0")</f>
        <v>0</v>
      </c>
      <c r="CQ111" s="29" t="str">
        <f t="shared" si="90"/>
        <v>0</v>
      </c>
      <c r="CR111" s="29" t="str">
        <f t="shared" si="90"/>
        <v>0</v>
      </c>
      <c r="CS111" s="29" t="str">
        <f t="shared" si="90"/>
        <v>0</v>
      </c>
      <c r="CT111" s="29" t="str">
        <f t="shared" si="90"/>
        <v>0</v>
      </c>
      <c r="CU111" s="29" t="str">
        <f t="shared" si="90"/>
        <v>0</v>
      </c>
      <c r="CV111" s="29" t="str">
        <f t="shared" si="90"/>
        <v>0</v>
      </c>
      <c r="CW111" s="29" t="str">
        <f t="shared" si="90"/>
        <v>0</v>
      </c>
      <c r="CX111" s="29" t="str">
        <f t="shared" si="90"/>
        <v>0</v>
      </c>
      <c r="CY111" s="29" t="str">
        <f t="shared" si="90"/>
        <v>0</v>
      </c>
      <c r="CZ111" s="29" t="str">
        <f t="shared" si="90"/>
        <v>0</v>
      </c>
      <c r="DA111" s="29" t="str">
        <f t="shared" si="90"/>
        <v>0</v>
      </c>
      <c r="DB111" s="29" t="str">
        <f t="shared" si="90"/>
        <v>0</v>
      </c>
      <c r="DC111" s="29" t="str">
        <f t="shared" si="90"/>
        <v>0</v>
      </c>
      <c r="DD111" s="29" t="str">
        <f t="shared" si="90"/>
        <v>0</v>
      </c>
      <c r="DE111" s="29" t="str">
        <f t="shared" si="90"/>
        <v>0</v>
      </c>
      <c r="DF111" s="29" t="str">
        <f t="shared" si="90"/>
        <v>0</v>
      </c>
      <c r="DG111" s="29" t="str">
        <f t="shared" si="90"/>
        <v>0</v>
      </c>
      <c r="DH111" s="29" t="str">
        <f t="shared" si="90"/>
        <v>0</v>
      </c>
      <c r="DI111" s="29" t="str">
        <f t="shared" si="90"/>
        <v>0</v>
      </c>
      <c r="DJ111" s="29" t="str">
        <f t="shared" si="90"/>
        <v>0</v>
      </c>
      <c r="DK111" s="29" t="str">
        <f t="shared" si="90"/>
        <v>0</v>
      </c>
      <c r="DL111" s="29" t="str">
        <f t="shared" si="90"/>
        <v>0</v>
      </c>
      <c r="DM111" s="29" t="str">
        <f t="shared" si="90"/>
        <v>0</v>
      </c>
      <c r="DN111" s="29" t="str">
        <f t="shared" si="90"/>
        <v>0</v>
      </c>
      <c r="DO111" s="29" t="str">
        <f t="shared" si="90"/>
        <v>0</v>
      </c>
      <c r="DP111" s="29" t="str">
        <f t="shared" si="90"/>
        <v>0</v>
      </c>
      <c r="DQ111" s="29" t="str">
        <f t="shared" si="90"/>
        <v>0</v>
      </c>
      <c r="DR111" s="29"/>
      <c r="DS111" s="25">
        <v>0</v>
      </c>
      <c r="EE111" s="25" t="str">
        <f t="shared" si="20"/>
        <v>0</v>
      </c>
    </row>
    <row r="112" spans="1:135">
      <c r="A112" s="48">
        <v>1001034</v>
      </c>
      <c r="B112" s="49" t="s">
        <v>910</v>
      </c>
      <c r="C112" s="25">
        <v>34</v>
      </c>
      <c r="D112" s="25">
        <f t="array" ref="D112">INDEX(C$5:C$67,MATCH($B112,$B$5:$B$67,0))</f>
        <v>3600</v>
      </c>
      <c r="E112" s="25">
        <f t="array" ref="E112">INDEX(D$5:D$67,MATCH($B112,$B$5:$B$67,0))</f>
        <v>288</v>
      </c>
      <c r="F112" s="25">
        <f t="array" ref="F112">INDEX(E$5:E$67,MATCH($B112,$B$5:$B$67,0))</f>
        <v>1320</v>
      </c>
      <c r="G112" s="25">
        <f t="array" ref="G112">INDEX(F$5:F$67,MATCH($B112,$B$5:$B$67,0))</f>
        <v>105.6</v>
      </c>
      <c r="H112" s="25">
        <f t="array" ref="H112">INDEX(G$5:G$66,MATCH($B112,$B$5:$B$67,0))</f>
        <v>1056</v>
      </c>
      <c r="I112" s="25">
        <f t="array" ref="I112">INDEX(H$5:H$67,MATCH($B112,$B$5:$B$67,0))</f>
        <v>84.48</v>
      </c>
      <c r="J112" s="25">
        <f t="array" ref="J112">INDEX(I$5:I$67,MATCH($B112,$B$5:$B$67,0))</f>
        <v>800</v>
      </c>
      <c r="K112" s="25">
        <f t="array" ref="K112">INDEX(J$5:J$67,MATCH($B112,$B$5:$B$67,0))</f>
        <v>64</v>
      </c>
      <c r="L112" s="25">
        <f t="shared" si="0"/>
        <v>13392</v>
      </c>
      <c r="M112" s="25">
        <f t="shared" si="1"/>
        <v>4910</v>
      </c>
      <c r="N112" s="25">
        <f t="shared" si="2"/>
        <v>3928</v>
      </c>
      <c r="O112" s="25">
        <f t="shared" si="3"/>
        <v>2976</v>
      </c>
      <c r="R112" s="50">
        <f t="array" ref="R112">INDEX($B$46:$B$68,MATCH(S112,$C$46:$C$68,0))*1000+T112</f>
        <v>1002007</v>
      </c>
      <c r="S112" s="51" t="s">
        <v>318</v>
      </c>
      <c r="T112" s="29">
        <f t="shared" si="78"/>
        <v>7</v>
      </c>
      <c r="U112" s="25">
        <f t="array" ref="U112">INDEX(K$5:K$67,MATCH($S112,$B$5:$B$67,0))</f>
        <v>477.12</v>
      </c>
      <c r="V112" s="25">
        <f t="array" ref="V112">INDEX(L$5:L$67,MATCH($S112,$B$5:$B$67,0))</f>
        <v>61.44</v>
      </c>
      <c r="W112" s="25">
        <f t="array" ref="W112">INDEX(M$5:M$67,MATCH($S112,$B$5:$B$67,0))</f>
        <v>49.15</v>
      </c>
      <c r="X112" s="25">
        <f t="array" ref="X112">INDEX(N$5:N$67,MATCH($S112,$B$5:$B$67,0))</f>
        <v>68</v>
      </c>
      <c r="Y112" s="25">
        <f t="shared" si="4"/>
        <v>3340</v>
      </c>
      <c r="Z112" s="25">
        <f t="shared" si="5"/>
        <v>430</v>
      </c>
      <c r="AA112" s="25">
        <f t="shared" si="6"/>
        <v>344</v>
      </c>
      <c r="AB112" s="25">
        <f t="shared" si="7"/>
        <v>476</v>
      </c>
      <c r="AF112" s="25">
        <v>34</v>
      </c>
      <c r="AG112" s="25">
        <f t="array" ref="AG112">INDEX($AE$79:$AE$116,QUOTIENT(AF112-1,8)+1)</f>
        <v>1005</v>
      </c>
      <c r="AH112" s="25">
        <f t="shared" si="37"/>
        <v>2</v>
      </c>
      <c r="AI112" s="25">
        <f t="shared" si="8"/>
        <v>10052</v>
      </c>
      <c r="AJ112" s="25" t="str">
        <f t="shared" si="9"/>
        <v>陈单单</v>
      </c>
      <c r="AK112" s="25">
        <f t="shared" si="38"/>
        <v>2</v>
      </c>
      <c r="AL112" s="25" t="str">
        <f t="array" ref="AL112">INDEX($O$5:$O$42,MATCH(AJ112,$B$5:$B$42,0))</f>
        <v>攻击百分比</v>
      </c>
      <c r="AM112" s="25" t="str">
        <f t="array" ref="AM112">INDEX($P$5:$P$42,MATCH(AJ112,$B$5:$B$42,0))</f>
        <v>暴击等级</v>
      </c>
      <c r="AN112" s="25" t="str">
        <f t="array" ref="AN112">INDEX($Q$5:$Q$42,MATCH(AJ112,$B$5:$B$42,0))</f>
        <v>暴击伤害等级</v>
      </c>
      <c r="AO112" s="25" t="str">
        <f t="array" ref="AO112">INDEX(AL112:AN112,0,AK112)</f>
        <v>暴击等级</v>
      </c>
      <c r="AP112" s="25">
        <f t="shared" si="39"/>
        <v>0.15</v>
      </c>
      <c r="AQ112" s="25">
        <f t="shared" si="11"/>
        <v>1350</v>
      </c>
      <c r="AR112" s="25" t="str">
        <f t="shared" ref="AR112:BZ112" si="91">IF(AR$78=$AO112,$AQ112,"0")</f>
        <v>0</v>
      </c>
      <c r="AS112" s="25" t="str">
        <f t="shared" si="91"/>
        <v>0</v>
      </c>
      <c r="AT112" s="25" t="str">
        <f t="shared" si="91"/>
        <v>0</v>
      </c>
      <c r="AU112" s="25" t="str">
        <f t="shared" si="91"/>
        <v>0</v>
      </c>
      <c r="AV112" s="25" t="str">
        <f t="shared" si="91"/>
        <v>0</v>
      </c>
      <c r="AW112" s="25" t="str">
        <f t="shared" si="91"/>
        <v>0</v>
      </c>
      <c r="AX112" s="25" t="str">
        <f t="shared" si="91"/>
        <v>0</v>
      </c>
      <c r="AY112" s="25" t="str">
        <f t="shared" si="91"/>
        <v>0</v>
      </c>
      <c r="AZ112" s="25" t="str">
        <f t="shared" si="91"/>
        <v>0</v>
      </c>
      <c r="BA112" s="25" t="str">
        <f t="shared" si="91"/>
        <v>0</v>
      </c>
      <c r="BB112" s="25" t="str">
        <f t="shared" si="91"/>
        <v>0</v>
      </c>
      <c r="BC112" s="25" t="str">
        <f t="shared" si="91"/>
        <v>0</v>
      </c>
      <c r="BD112" s="25" t="str">
        <f t="shared" si="91"/>
        <v>0</v>
      </c>
      <c r="BE112" s="25" t="str">
        <f t="shared" si="91"/>
        <v>0</v>
      </c>
      <c r="BF112" s="25" t="str">
        <f t="shared" si="91"/>
        <v>0</v>
      </c>
      <c r="BG112" s="25" t="str">
        <f t="shared" si="91"/>
        <v>0</v>
      </c>
      <c r="BH112" s="25" t="str">
        <f t="shared" si="91"/>
        <v>0</v>
      </c>
      <c r="BI112" s="25" t="str">
        <f t="shared" si="91"/>
        <v>0</v>
      </c>
      <c r="BJ112" s="25" t="str">
        <f t="shared" si="91"/>
        <v>0</v>
      </c>
      <c r="BK112" s="25" t="str">
        <f t="shared" si="91"/>
        <v>0</v>
      </c>
      <c r="BL112" s="25" t="str">
        <f t="shared" si="91"/>
        <v>0</v>
      </c>
      <c r="BM112" s="25" t="str">
        <f t="shared" si="91"/>
        <v>0</v>
      </c>
      <c r="BN112" s="25" t="str">
        <f t="shared" si="91"/>
        <v>0</v>
      </c>
      <c r="BO112" s="25" t="str">
        <f t="shared" si="91"/>
        <v>0</v>
      </c>
      <c r="BP112" s="25" t="str">
        <f t="shared" si="91"/>
        <v>0</v>
      </c>
      <c r="BQ112" s="25" t="str">
        <f t="shared" si="91"/>
        <v>0</v>
      </c>
      <c r="BR112" s="25" t="str">
        <f t="shared" si="91"/>
        <v>0</v>
      </c>
      <c r="BS112" s="25" t="str">
        <f t="shared" si="91"/>
        <v>0</v>
      </c>
      <c r="BT112" s="25" t="str">
        <f t="shared" si="91"/>
        <v>0</v>
      </c>
      <c r="BU112" s="25" t="str">
        <f t="shared" si="91"/>
        <v>0</v>
      </c>
      <c r="BV112" s="25" t="str">
        <f t="shared" si="91"/>
        <v>0</v>
      </c>
      <c r="BW112" s="25">
        <f t="shared" si="91"/>
        <v>1350</v>
      </c>
      <c r="BX112" s="25" t="str">
        <f t="shared" si="91"/>
        <v>0</v>
      </c>
      <c r="BY112" s="25" t="str">
        <f t="shared" si="91"/>
        <v>0</v>
      </c>
      <c r="BZ112" s="25" t="str">
        <f t="shared" si="91"/>
        <v>0</v>
      </c>
      <c r="CC112" s="25" t="str">
        <f t="array" ref="CC112">INDEX($C$46:$C$74,MATCH(CD112,$B$46:$B$74,0))</f>
        <v>陈单单</v>
      </c>
      <c r="CD112" s="1">
        <v>1005</v>
      </c>
      <c r="CE112" s="1">
        <v>5</v>
      </c>
      <c r="CF112" s="25" t="str">
        <f t="array" ref="CF112">INDEX($T$5:$T$44,MATCH(CC112,$B$5:$B$44,0))</f>
        <v>物理</v>
      </c>
      <c r="CG112" s="25">
        <f t="shared" si="34"/>
        <v>0.3</v>
      </c>
      <c r="CH112" s="25">
        <f t="shared" si="13"/>
        <v>1.3</v>
      </c>
      <c r="CI112" s="25">
        <f t="shared" si="14"/>
        <v>1.3</v>
      </c>
      <c r="CJ112" s="25">
        <f t="shared" si="15"/>
        <v>1</v>
      </c>
      <c r="CK112" s="25">
        <f t="shared" si="16"/>
        <v>1.3</v>
      </c>
      <c r="CL112" s="25" t="str">
        <f t="array" ref="CL112">INDEX($S$5:$S$43,MATCH(CC112,$B$5:$B$43,0))</f>
        <v>必杀伤害加成</v>
      </c>
      <c r="CM112" s="25">
        <f t="shared" si="35"/>
        <v>0.3</v>
      </c>
      <c r="CN112" s="25">
        <f t="shared" si="17"/>
        <v>0.36</v>
      </c>
      <c r="CO112" s="25">
        <f t="shared" si="18"/>
        <v>1</v>
      </c>
      <c r="CP112" s="29" t="str">
        <f t="shared" ref="CP112:DQ112" si="92">IF($CL112=CP$78,$CN112,"0")</f>
        <v>0</v>
      </c>
      <c r="CQ112" s="29" t="str">
        <f t="shared" si="92"/>
        <v>0</v>
      </c>
      <c r="CR112" s="29" t="str">
        <f t="shared" si="92"/>
        <v>0</v>
      </c>
      <c r="CS112" s="29" t="str">
        <f t="shared" si="92"/>
        <v>0</v>
      </c>
      <c r="CT112" s="29" t="str">
        <f t="shared" si="92"/>
        <v>0</v>
      </c>
      <c r="CU112" s="29" t="str">
        <f t="shared" si="92"/>
        <v>0</v>
      </c>
      <c r="CV112" s="29" t="str">
        <f t="shared" si="92"/>
        <v>0</v>
      </c>
      <c r="CW112" s="29" t="str">
        <f t="shared" si="92"/>
        <v>0</v>
      </c>
      <c r="CX112" s="29" t="str">
        <f t="shared" si="92"/>
        <v>0</v>
      </c>
      <c r="CY112" s="29" t="str">
        <f t="shared" si="92"/>
        <v>0</v>
      </c>
      <c r="CZ112" s="29" t="str">
        <f t="shared" si="92"/>
        <v>0</v>
      </c>
      <c r="DA112" s="29" t="str">
        <f t="shared" si="92"/>
        <v>0</v>
      </c>
      <c r="DB112" s="29" t="str">
        <f t="shared" si="92"/>
        <v>0</v>
      </c>
      <c r="DC112" s="29" t="str">
        <f t="shared" si="92"/>
        <v>0</v>
      </c>
      <c r="DD112" s="29" t="str">
        <f t="shared" si="92"/>
        <v>0</v>
      </c>
      <c r="DE112" s="29" t="str">
        <f t="shared" si="92"/>
        <v>0</v>
      </c>
      <c r="DF112" s="29">
        <f t="shared" si="92"/>
        <v>0.36</v>
      </c>
      <c r="DG112" s="29" t="str">
        <f t="shared" si="92"/>
        <v>0</v>
      </c>
      <c r="DH112" s="29" t="str">
        <f t="shared" si="92"/>
        <v>0</v>
      </c>
      <c r="DI112" s="29" t="str">
        <f t="shared" si="92"/>
        <v>0</v>
      </c>
      <c r="DJ112" s="29" t="str">
        <f t="shared" si="92"/>
        <v>0</v>
      </c>
      <c r="DK112" s="29" t="str">
        <f t="shared" si="92"/>
        <v>0</v>
      </c>
      <c r="DL112" s="29" t="str">
        <f t="shared" si="92"/>
        <v>0</v>
      </c>
      <c r="DM112" s="29" t="str">
        <f t="shared" si="92"/>
        <v>0</v>
      </c>
      <c r="DN112" s="29" t="str">
        <f t="shared" si="92"/>
        <v>0</v>
      </c>
      <c r="DO112" s="29" t="str">
        <f t="shared" si="92"/>
        <v>0</v>
      </c>
      <c r="DP112" s="29" t="str">
        <f t="shared" si="92"/>
        <v>0</v>
      </c>
      <c r="DQ112" s="29" t="str">
        <f t="shared" si="92"/>
        <v>0</v>
      </c>
      <c r="DR112" s="29"/>
      <c r="DS112" s="25" t="s">
        <v>1011</v>
      </c>
      <c r="DT112" s="25" t="str">
        <f>TEXT(角色升星!$F$18,"0%")</f>
        <v>15%</v>
      </c>
      <c r="DU112" s="25" t="s">
        <v>779</v>
      </c>
      <c r="DV112" s="25" t="str">
        <f>IF(CF112="物理","PhysicsAttack,+","MagicAttack,+")</f>
        <v>PhysicsAttack,+</v>
      </c>
      <c r="DW112" s="25" t="str">
        <f>TEXT(角色升星!$F$18,"0%")</f>
        <v>15%</v>
      </c>
      <c r="DX112" s="25" t="s">
        <v>779</v>
      </c>
      <c r="DY112" s="25" t="s">
        <v>1012</v>
      </c>
      <c r="DZ112" s="25" t="str">
        <f>TEXT(角色升星!$F$18,"0%")</f>
        <v>15%</v>
      </c>
      <c r="EA112" s="25" t="s">
        <v>779</v>
      </c>
      <c r="EB112" s="25" t="str">
        <f>VLOOKUP(CL112,$O$46:$P$73,2,0)</f>
        <v>UltimateDmgBonus</v>
      </c>
      <c r="EC112" s="25" t="s">
        <v>1013</v>
      </c>
      <c r="ED112" s="25" t="str">
        <f>IF(CN112&gt;1,CN112,TEXT(CN112,"0%"))</f>
        <v>36%</v>
      </c>
      <c r="EE112" s="25" t="str">
        <f t="shared" si="20"/>
        <v>Hp,+15%;PhysicsAttack,+15%;Armor,+15%;UltimateDmgBonus,+36%</v>
      </c>
    </row>
    <row r="113" spans="1:135">
      <c r="A113" s="48">
        <v>1001035</v>
      </c>
      <c r="B113" s="49" t="s">
        <v>910</v>
      </c>
      <c r="C113" s="25">
        <v>35</v>
      </c>
      <c r="D113" s="25">
        <f t="array" ref="D113">INDEX(C$5:C$67,MATCH($B113,$B$5:$B$67,0))</f>
        <v>3600</v>
      </c>
      <c r="E113" s="25">
        <f t="array" ref="E113">INDEX(D$5:D$67,MATCH($B113,$B$5:$B$67,0))</f>
        <v>288</v>
      </c>
      <c r="F113" s="25">
        <f t="array" ref="F113">INDEX(E$5:E$67,MATCH($B113,$B$5:$B$67,0))</f>
        <v>1320</v>
      </c>
      <c r="G113" s="25">
        <f t="array" ref="G113">INDEX(F$5:F$67,MATCH($B113,$B$5:$B$67,0))</f>
        <v>105.6</v>
      </c>
      <c r="H113" s="25">
        <f t="array" ref="H113">INDEX(G$5:G$66,MATCH($B113,$B$5:$B$67,0))</f>
        <v>1056</v>
      </c>
      <c r="I113" s="25">
        <f t="array" ref="I113">INDEX(H$5:H$67,MATCH($B113,$B$5:$B$67,0))</f>
        <v>84.48</v>
      </c>
      <c r="J113" s="25">
        <f t="array" ref="J113">INDEX(I$5:I$67,MATCH($B113,$B$5:$B$67,0))</f>
        <v>800</v>
      </c>
      <c r="K113" s="25">
        <f t="array" ref="K113">INDEX(J$5:J$67,MATCH($B113,$B$5:$B$67,0))</f>
        <v>64</v>
      </c>
      <c r="L113" s="25">
        <f t="shared" si="0"/>
        <v>13680</v>
      </c>
      <c r="M113" s="25">
        <f t="shared" si="1"/>
        <v>5016</v>
      </c>
      <c r="N113" s="25">
        <f t="shared" si="2"/>
        <v>4013</v>
      </c>
      <c r="O113" s="25">
        <f t="shared" si="3"/>
        <v>3040</v>
      </c>
      <c r="R113" s="50">
        <f t="array" ref="R113">INDEX($B$46:$B$68,MATCH(S113,$C$46:$C$68,0))*1000+T113</f>
        <v>1002008</v>
      </c>
      <c r="S113" s="51" t="s">
        <v>318</v>
      </c>
      <c r="T113" s="29">
        <f t="shared" si="78"/>
        <v>8</v>
      </c>
      <c r="U113" s="25">
        <f t="array" ref="U113">INDEX(K$5:K$67,MATCH($S113,$B$5:$B$67,0))</f>
        <v>477.12</v>
      </c>
      <c r="V113" s="25">
        <f t="array" ref="V113">INDEX(L$5:L$67,MATCH($S113,$B$5:$B$67,0))</f>
        <v>61.44</v>
      </c>
      <c r="W113" s="25">
        <f t="array" ref="W113">INDEX(M$5:M$67,MATCH($S113,$B$5:$B$67,0))</f>
        <v>49.15</v>
      </c>
      <c r="X113" s="25">
        <f t="array" ref="X113">INDEX(N$5:N$67,MATCH($S113,$B$5:$B$67,0))</f>
        <v>68</v>
      </c>
      <c r="Y113" s="25">
        <f t="shared" si="4"/>
        <v>3817</v>
      </c>
      <c r="Z113" s="25">
        <f t="shared" si="5"/>
        <v>492</v>
      </c>
      <c r="AA113" s="25">
        <f t="shared" si="6"/>
        <v>393</v>
      </c>
      <c r="AB113" s="25">
        <f t="shared" si="7"/>
        <v>544</v>
      </c>
      <c r="AF113" s="25">
        <v>35</v>
      </c>
      <c r="AG113" s="25">
        <f t="array" ref="AG113">INDEX($AE$79:$AE$116,QUOTIENT(AF113-1,8)+1)</f>
        <v>1005</v>
      </c>
      <c r="AH113" s="25">
        <f t="shared" si="37"/>
        <v>3</v>
      </c>
      <c r="AI113" s="25">
        <f t="shared" si="8"/>
        <v>10053</v>
      </c>
      <c r="AJ113" s="25" t="str">
        <f t="shared" si="9"/>
        <v>陈单单</v>
      </c>
      <c r="AK113" s="25">
        <f t="shared" si="38"/>
        <v>3</v>
      </c>
      <c r="AL113" s="25" t="str">
        <f t="array" ref="AL113">INDEX($O$5:$O$42,MATCH(AJ113,$B$5:$B$42,0))</f>
        <v>攻击百分比</v>
      </c>
      <c r="AM113" s="25" t="str">
        <f t="array" ref="AM113">INDEX($P$5:$P$42,MATCH(AJ113,$B$5:$B$42,0))</f>
        <v>暴击等级</v>
      </c>
      <c r="AN113" s="25" t="str">
        <f t="array" ref="AN113">INDEX($Q$5:$Q$42,MATCH(AJ113,$B$5:$B$42,0))</f>
        <v>暴击伤害等级</v>
      </c>
      <c r="AO113" s="25" t="str">
        <f t="array" ref="AO113">INDEX(AL113:AN113,0,AK113)</f>
        <v>暴击伤害等级</v>
      </c>
      <c r="AP113" s="25">
        <f t="shared" si="39"/>
        <v>0.15</v>
      </c>
      <c r="AQ113" s="25">
        <f t="shared" si="11"/>
        <v>1650</v>
      </c>
      <c r="AR113" s="25" t="str">
        <f t="shared" ref="AR113:BZ113" si="93">IF(AR$78=$AO113,$AQ113,"0")</f>
        <v>0</v>
      </c>
      <c r="AS113" s="25" t="str">
        <f t="shared" si="93"/>
        <v>0</v>
      </c>
      <c r="AT113" s="25" t="str">
        <f t="shared" si="93"/>
        <v>0</v>
      </c>
      <c r="AU113" s="25" t="str">
        <f t="shared" si="93"/>
        <v>0</v>
      </c>
      <c r="AV113" s="25" t="str">
        <f t="shared" si="93"/>
        <v>0</v>
      </c>
      <c r="AW113" s="25" t="str">
        <f t="shared" si="93"/>
        <v>0</v>
      </c>
      <c r="AX113" s="25" t="str">
        <f t="shared" si="93"/>
        <v>0</v>
      </c>
      <c r="AY113" s="25" t="str">
        <f t="shared" si="93"/>
        <v>0</v>
      </c>
      <c r="AZ113" s="25" t="str">
        <f t="shared" si="93"/>
        <v>0</v>
      </c>
      <c r="BA113" s="25" t="str">
        <f t="shared" si="93"/>
        <v>0</v>
      </c>
      <c r="BB113" s="25" t="str">
        <f t="shared" si="93"/>
        <v>0</v>
      </c>
      <c r="BC113" s="25" t="str">
        <f t="shared" si="93"/>
        <v>0</v>
      </c>
      <c r="BD113" s="25" t="str">
        <f t="shared" si="93"/>
        <v>0</v>
      </c>
      <c r="BE113" s="25" t="str">
        <f t="shared" si="93"/>
        <v>0</v>
      </c>
      <c r="BF113" s="25" t="str">
        <f t="shared" si="93"/>
        <v>0</v>
      </c>
      <c r="BG113" s="25" t="str">
        <f t="shared" si="93"/>
        <v>0</v>
      </c>
      <c r="BH113" s="25" t="str">
        <f t="shared" si="93"/>
        <v>0</v>
      </c>
      <c r="BI113" s="25" t="str">
        <f t="shared" si="93"/>
        <v>0</v>
      </c>
      <c r="BJ113" s="25" t="str">
        <f t="shared" si="93"/>
        <v>0</v>
      </c>
      <c r="BK113" s="25" t="str">
        <f t="shared" si="93"/>
        <v>0</v>
      </c>
      <c r="BL113" s="25" t="str">
        <f t="shared" si="93"/>
        <v>0</v>
      </c>
      <c r="BM113" s="25" t="str">
        <f t="shared" si="93"/>
        <v>0</v>
      </c>
      <c r="BN113" s="25" t="str">
        <f t="shared" si="93"/>
        <v>0</v>
      </c>
      <c r="BO113" s="25" t="str">
        <f t="shared" si="93"/>
        <v>0</v>
      </c>
      <c r="BP113" s="25" t="str">
        <f t="shared" si="93"/>
        <v>0</v>
      </c>
      <c r="BQ113" s="25" t="str">
        <f t="shared" si="93"/>
        <v>0</v>
      </c>
      <c r="BR113" s="25" t="str">
        <f t="shared" si="93"/>
        <v>0</v>
      </c>
      <c r="BS113" s="25" t="str">
        <f t="shared" si="93"/>
        <v>0</v>
      </c>
      <c r="BT113" s="25" t="str">
        <f t="shared" si="93"/>
        <v>0</v>
      </c>
      <c r="BU113" s="25" t="str">
        <f t="shared" si="93"/>
        <v>0</v>
      </c>
      <c r="BV113" s="25" t="str">
        <f t="shared" si="93"/>
        <v>0</v>
      </c>
      <c r="BW113" s="25" t="str">
        <f t="shared" si="93"/>
        <v>0</v>
      </c>
      <c r="BX113" s="25">
        <f t="shared" si="93"/>
        <v>1650</v>
      </c>
      <c r="BY113" s="25" t="str">
        <f t="shared" si="93"/>
        <v>0</v>
      </c>
      <c r="BZ113" s="25" t="str">
        <f t="shared" si="93"/>
        <v>0</v>
      </c>
      <c r="CC113" s="25" t="str">
        <f t="array" ref="CC113">INDEX($C$46:$C$74,MATCH(CD113,$B$46:$B$74,0))</f>
        <v>陈单单</v>
      </c>
      <c r="CD113" s="1">
        <v>1005</v>
      </c>
      <c r="CE113" s="1">
        <v>6</v>
      </c>
      <c r="CF113" s="25" t="str">
        <f t="array" ref="CF113">INDEX($T$5:$T$44,MATCH(CC113,$B$5:$B$44,0))</f>
        <v>物理</v>
      </c>
      <c r="CG113" s="25">
        <f t="shared" si="34"/>
        <v>0.3</v>
      </c>
      <c r="CH113" s="25">
        <f t="shared" si="13"/>
        <v>1.3</v>
      </c>
      <c r="CI113" s="25">
        <f t="shared" si="14"/>
        <v>1.3</v>
      </c>
      <c r="CJ113" s="25">
        <f t="shared" si="15"/>
        <v>1</v>
      </c>
      <c r="CK113" s="25">
        <f t="shared" si="16"/>
        <v>1.3</v>
      </c>
      <c r="CL113" s="25">
        <v>0</v>
      </c>
      <c r="CM113" s="25">
        <f t="shared" si="35"/>
        <v>0</v>
      </c>
      <c r="CN113" s="25">
        <f t="shared" si="17"/>
        <v>0</v>
      </c>
      <c r="CO113" s="25">
        <f t="shared" si="18"/>
        <v>0</v>
      </c>
      <c r="CP113" s="29" t="str">
        <f t="shared" ref="CP113:DQ113" si="94">IF($CL113=CP$78,$CN113,"0")</f>
        <v>0</v>
      </c>
      <c r="CQ113" s="29" t="str">
        <f t="shared" si="94"/>
        <v>0</v>
      </c>
      <c r="CR113" s="29" t="str">
        <f t="shared" si="94"/>
        <v>0</v>
      </c>
      <c r="CS113" s="29" t="str">
        <f t="shared" si="94"/>
        <v>0</v>
      </c>
      <c r="CT113" s="29" t="str">
        <f t="shared" si="94"/>
        <v>0</v>
      </c>
      <c r="CU113" s="29" t="str">
        <f t="shared" si="94"/>
        <v>0</v>
      </c>
      <c r="CV113" s="29" t="str">
        <f t="shared" si="94"/>
        <v>0</v>
      </c>
      <c r="CW113" s="29" t="str">
        <f t="shared" si="94"/>
        <v>0</v>
      </c>
      <c r="CX113" s="29" t="str">
        <f t="shared" si="94"/>
        <v>0</v>
      </c>
      <c r="CY113" s="29" t="str">
        <f t="shared" si="94"/>
        <v>0</v>
      </c>
      <c r="CZ113" s="29" t="str">
        <f t="shared" si="94"/>
        <v>0</v>
      </c>
      <c r="DA113" s="29" t="str">
        <f t="shared" si="94"/>
        <v>0</v>
      </c>
      <c r="DB113" s="29" t="str">
        <f t="shared" si="94"/>
        <v>0</v>
      </c>
      <c r="DC113" s="29" t="str">
        <f t="shared" si="94"/>
        <v>0</v>
      </c>
      <c r="DD113" s="29" t="str">
        <f t="shared" si="94"/>
        <v>0</v>
      </c>
      <c r="DE113" s="29" t="str">
        <f t="shared" si="94"/>
        <v>0</v>
      </c>
      <c r="DF113" s="29" t="str">
        <f t="shared" si="94"/>
        <v>0</v>
      </c>
      <c r="DG113" s="29" t="str">
        <f t="shared" si="94"/>
        <v>0</v>
      </c>
      <c r="DH113" s="29" t="str">
        <f t="shared" si="94"/>
        <v>0</v>
      </c>
      <c r="DI113" s="29" t="str">
        <f t="shared" si="94"/>
        <v>0</v>
      </c>
      <c r="DJ113" s="29" t="str">
        <f t="shared" si="94"/>
        <v>0</v>
      </c>
      <c r="DK113" s="29" t="str">
        <f t="shared" si="94"/>
        <v>0</v>
      </c>
      <c r="DL113" s="29" t="str">
        <f t="shared" si="94"/>
        <v>0</v>
      </c>
      <c r="DM113" s="29" t="str">
        <f t="shared" si="94"/>
        <v>0</v>
      </c>
      <c r="DN113" s="29" t="str">
        <f t="shared" si="94"/>
        <v>0</v>
      </c>
      <c r="DO113" s="29" t="str">
        <f t="shared" si="94"/>
        <v>0</v>
      </c>
      <c r="DP113" s="29" t="str">
        <f t="shared" si="94"/>
        <v>0</v>
      </c>
      <c r="DQ113" s="29" t="str">
        <f t="shared" si="94"/>
        <v>0</v>
      </c>
      <c r="DR113" s="29"/>
      <c r="DS113" s="25">
        <v>0</v>
      </c>
      <c r="EE113" s="25" t="str">
        <f t="shared" si="20"/>
        <v>0</v>
      </c>
    </row>
    <row r="114" spans="1:135">
      <c r="A114" s="48">
        <v>1001036</v>
      </c>
      <c r="B114" s="49" t="s">
        <v>910</v>
      </c>
      <c r="C114" s="25">
        <v>36</v>
      </c>
      <c r="D114" s="25">
        <f t="array" ref="D114">INDEX(C$5:C$67,MATCH($B114,$B$5:$B$67,0))</f>
        <v>3600</v>
      </c>
      <c r="E114" s="25">
        <f t="array" ref="E114">INDEX(D$5:D$67,MATCH($B114,$B$5:$B$67,0))</f>
        <v>288</v>
      </c>
      <c r="F114" s="25">
        <f t="array" ref="F114">INDEX(E$5:E$67,MATCH($B114,$B$5:$B$67,0))</f>
        <v>1320</v>
      </c>
      <c r="G114" s="25">
        <f t="array" ref="G114">INDEX(F$5:F$67,MATCH($B114,$B$5:$B$67,0))</f>
        <v>105.6</v>
      </c>
      <c r="H114" s="25">
        <f t="array" ref="H114">INDEX(G$5:G$66,MATCH($B114,$B$5:$B$67,0))</f>
        <v>1056</v>
      </c>
      <c r="I114" s="25">
        <f t="array" ref="I114">INDEX(H$5:H$67,MATCH($B114,$B$5:$B$67,0))</f>
        <v>84.48</v>
      </c>
      <c r="J114" s="25">
        <f t="array" ref="J114">INDEX(I$5:I$67,MATCH($B114,$B$5:$B$67,0))</f>
        <v>800</v>
      </c>
      <c r="K114" s="25">
        <f t="array" ref="K114">INDEX(J$5:J$67,MATCH($B114,$B$5:$B$67,0))</f>
        <v>64</v>
      </c>
      <c r="L114" s="25">
        <f t="shared" si="0"/>
        <v>13968</v>
      </c>
      <c r="M114" s="25">
        <f t="shared" si="1"/>
        <v>5122</v>
      </c>
      <c r="N114" s="25">
        <f t="shared" si="2"/>
        <v>4097</v>
      </c>
      <c r="O114" s="25">
        <f t="shared" si="3"/>
        <v>3104</v>
      </c>
      <c r="R114" s="50">
        <f t="array" ref="R114">INDEX($B$46:$B$68,MATCH(S114,$C$46:$C$68,0))*1000+T114</f>
        <v>1002009</v>
      </c>
      <c r="S114" s="51" t="s">
        <v>318</v>
      </c>
      <c r="T114" s="29">
        <f t="shared" si="78"/>
        <v>9</v>
      </c>
      <c r="U114" s="25">
        <f t="array" ref="U114">INDEX(K$5:K$67,MATCH($S114,$B$5:$B$67,0))</f>
        <v>477.12</v>
      </c>
      <c r="V114" s="25">
        <f t="array" ref="V114">INDEX(L$5:L$67,MATCH($S114,$B$5:$B$67,0))</f>
        <v>61.44</v>
      </c>
      <c r="W114" s="25">
        <f t="array" ref="W114">INDEX(M$5:M$67,MATCH($S114,$B$5:$B$67,0))</f>
        <v>49.15</v>
      </c>
      <c r="X114" s="25">
        <f t="array" ref="X114">INDEX(N$5:N$67,MATCH($S114,$B$5:$B$67,0))</f>
        <v>68</v>
      </c>
      <c r="Y114" s="25">
        <f t="shared" si="4"/>
        <v>4294</v>
      </c>
      <c r="Z114" s="25">
        <f t="shared" si="5"/>
        <v>553</v>
      </c>
      <c r="AA114" s="25">
        <f t="shared" si="6"/>
        <v>442</v>
      </c>
      <c r="AB114" s="25">
        <f t="shared" si="7"/>
        <v>612</v>
      </c>
      <c r="AF114" s="25">
        <v>36</v>
      </c>
      <c r="AG114" s="25">
        <f t="array" ref="AG114">INDEX($AE$79:$AE$116,QUOTIENT(AF114-1,8)+1)</f>
        <v>1005</v>
      </c>
      <c r="AH114" s="25">
        <f t="shared" si="37"/>
        <v>4</v>
      </c>
      <c r="AI114" s="25">
        <f t="shared" si="8"/>
        <v>10054</v>
      </c>
      <c r="AJ114" s="25" t="str">
        <f t="shared" si="9"/>
        <v>陈单单</v>
      </c>
      <c r="AK114" s="25">
        <f t="shared" si="38"/>
        <v>2</v>
      </c>
      <c r="AL114" s="25" t="str">
        <f t="array" ref="AL114">INDEX($O$5:$O$42,MATCH(AJ114,$B$5:$B$42,0))</f>
        <v>攻击百分比</v>
      </c>
      <c r="AM114" s="25" t="str">
        <f t="array" ref="AM114">INDEX($P$5:$P$42,MATCH(AJ114,$B$5:$B$42,0))</f>
        <v>暴击等级</v>
      </c>
      <c r="AN114" s="25" t="str">
        <f t="array" ref="AN114">INDEX($Q$5:$Q$42,MATCH(AJ114,$B$5:$B$42,0))</f>
        <v>暴击伤害等级</v>
      </c>
      <c r="AO114" s="25" t="str">
        <f t="array" ref="AO114">INDEX(AL114:AN114,0,AK114)</f>
        <v>暴击等级</v>
      </c>
      <c r="AP114" s="25">
        <f t="shared" si="39"/>
        <v>0.15</v>
      </c>
      <c r="AQ114" s="25">
        <f t="shared" si="11"/>
        <v>1350</v>
      </c>
      <c r="AR114" s="25" t="str">
        <f t="shared" ref="AR114:BZ114" si="95">IF(AR$78=$AO114,$AQ114,"0")</f>
        <v>0</v>
      </c>
      <c r="AS114" s="25" t="str">
        <f t="shared" si="95"/>
        <v>0</v>
      </c>
      <c r="AT114" s="25" t="str">
        <f t="shared" si="95"/>
        <v>0</v>
      </c>
      <c r="AU114" s="25" t="str">
        <f t="shared" si="95"/>
        <v>0</v>
      </c>
      <c r="AV114" s="25" t="str">
        <f t="shared" si="95"/>
        <v>0</v>
      </c>
      <c r="AW114" s="25" t="str">
        <f t="shared" si="95"/>
        <v>0</v>
      </c>
      <c r="AX114" s="25" t="str">
        <f t="shared" si="95"/>
        <v>0</v>
      </c>
      <c r="AY114" s="25" t="str">
        <f t="shared" si="95"/>
        <v>0</v>
      </c>
      <c r="AZ114" s="25" t="str">
        <f t="shared" si="95"/>
        <v>0</v>
      </c>
      <c r="BA114" s="25" t="str">
        <f t="shared" si="95"/>
        <v>0</v>
      </c>
      <c r="BB114" s="25" t="str">
        <f t="shared" si="95"/>
        <v>0</v>
      </c>
      <c r="BC114" s="25" t="str">
        <f t="shared" si="95"/>
        <v>0</v>
      </c>
      <c r="BD114" s="25" t="str">
        <f t="shared" si="95"/>
        <v>0</v>
      </c>
      <c r="BE114" s="25" t="str">
        <f t="shared" si="95"/>
        <v>0</v>
      </c>
      <c r="BF114" s="25" t="str">
        <f t="shared" si="95"/>
        <v>0</v>
      </c>
      <c r="BG114" s="25" t="str">
        <f t="shared" si="95"/>
        <v>0</v>
      </c>
      <c r="BH114" s="25" t="str">
        <f t="shared" si="95"/>
        <v>0</v>
      </c>
      <c r="BI114" s="25" t="str">
        <f t="shared" si="95"/>
        <v>0</v>
      </c>
      <c r="BJ114" s="25" t="str">
        <f t="shared" si="95"/>
        <v>0</v>
      </c>
      <c r="BK114" s="25" t="str">
        <f t="shared" si="95"/>
        <v>0</v>
      </c>
      <c r="BL114" s="25" t="str">
        <f t="shared" si="95"/>
        <v>0</v>
      </c>
      <c r="BM114" s="25" t="str">
        <f t="shared" si="95"/>
        <v>0</v>
      </c>
      <c r="BN114" s="25" t="str">
        <f t="shared" si="95"/>
        <v>0</v>
      </c>
      <c r="BO114" s="25" t="str">
        <f t="shared" si="95"/>
        <v>0</v>
      </c>
      <c r="BP114" s="25" t="str">
        <f t="shared" si="95"/>
        <v>0</v>
      </c>
      <c r="BQ114" s="25" t="str">
        <f t="shared" si="95"/>
        <v>0</v>
      </c>
      <c r="BR114" s="25" t="str">
        <f t="shared" si="95"/>
        <v>0</v>
      </c>
      <c r="BS114" s="25" t="str">
        <f t="shared" si="95"/>
        <v>0</v>
      </c>
      <c r="BT114" s="25" t="str">
        <f t="shared" si="95"/>
        <v>0</v>
      </c>
      <c r="BU114" s="25" t="str">
        <f t="shared" si="95"/>
        <v>0</v>
      </c>
      <c r="BV114" s="25" t="str">
        <f t="shared" si="95"/>
        <v>0</v>
      </c>
      <c r="BW114" s="25">
        <f t="shared" si="95"/>
        <v>1350</v>
      </c>
      <c r="BX114" s="25" t="str">
        <f t="shared" si="95"/>
        <v>0</v>
      </c>
      <c r="BY114" s="25" t="str">
        <f t="shared" si="95"/>
        <v>0</v>
      </c>
      <c r="BZ114" s="25" t="str">
        <f t="shared" si="95"/>
        <v>0</v>
      </c>
      <c r="CC114" s="25" t="str">
        <f t="array" ref="CC114">INDEX($C$46:$C$74,MATCH(CD114,$B$46:$B$74,0))</f>
        <v>莉莉娅</v>
      </c>
      <c r="CD114" s="1">
        <v>1006</v>
      </c>
      <c r="CE114" s="1">
        <v>0</v>
      </c>
      <c r="CF114" s="25" t="str">
        <f t="array" ref="CF114">INDEX($T$5:$T$44,MATCH(CC114,$B$5:$B$44,0))</f>
        <v>物理</v>
      </c>
      <c r="CG114" s="25">
        <f t="shared" si="34"/>
        <v>0</v>
      </c>
      <c r="CH114" s="25">
        <f t="shared" si="13"/>
        <v>1</v>
      </c>
      <c r="CI114" s="25">
        <f t="shared" si="14"/>
        <v>1</v>
      </c>
      <c r="CJ114" s="25">
        <f t="shared" si="15"/>
        <v>1</v>
      </c>
      <c r="CK114" s="25">
        <f t="shared" si="16"/>
        <v>1</v>
      </c>
      <c r="CL114" s="25">
        <v>0</v>
      </c>
      <c r="CM114" s="25">
        <f t="shared" si="35"/>
        <v>0</v>
      </c>
      <c r="CN114" s="25">
        <f t="shared" si="17"/>
        <v>0</v>
      </c>
      <c r="CO114" s="25">
        <f t="shared" si="18"/>
        <v>0</v>
      </c>
      <c r="CP114" s="29" t="str">
        <f t="shared" ref="CP114:DQ114" si="96">IF($CL114=CP$78,$CN114,"0")</f>
        <v>0</v>
      </c>
      <c r="CQ114" s="29" t="str">
        <f t="shared" si="96"/>
        <v>0</v>
      </c>
      <c r="CR114" s="29" t="str">
        <f t="shared" si="96"/>
        <v>0</v>
      </c>
      <c r="CS114" s="29" t="str">
        <f t="shared" si="96"/>
        <v>0</v>
      </c>
      <c r="CT114" s="29" t="str">
        <f t="shared" si="96"/>
        <v>0</v>
      </c>
      <c r="CU114" s="29" t="str">
        <f t="shared" si="96"/>
        <v>0</v>
      </c>
      <c r="CV114" s="29" t="str">
        <f t="shared" si="96"/>
        <v>0</v>
      </c>
      <c r="CW114" s="29" t="str">
        <f t="shared" si="96"/>
        <v>0</v>
      </c>
      <c r="CX114" s="29" t="str">
        <f t="shared" si="96"/>
        <v>0</v>
      </c>
      <c r="CY114" s="29" t="str">
        <f t="shared" si="96"/>
        <v>0</v>
      </c>
      <c r="CZ114" s="29" t="str">
        <f t="shared" si="96"/>
        <v>0</v>
      </c>
      <c r="DA114" s="29" t="str">
        <f t="shared" si="96"/>
        <v>0</v>
      </c>
      <c r="DB114" s="29" t="str">
        <f t="shared" si="96"/>
        <v>0</v>
      </c>
      <c r="DC114" s="29" t="str">
        <f t="shared" si="96"/>
        <v>0</v>
      </c>
      <c r="DD114" s="29" t="str">
        <f t="shared" si="96"/>
        <v>0</v>
      </c>
      <c r="DE114" s="29" t="str">
        <f t="shared" si="96"/>
        <v>0</v>
      </c>
      <c r="DF114" s="29" t="str">
        <f t="shared" si="96"/>
        <v>0</v>
      </c>
      <c r="DG114" s="29" t="str">
        <f t="shared" si="96"/>
        <v>0</v>
      </c>
      <c r="DH114" s="29" t="str">
        <f t="shared" si="96"/>
        <v>0</v>
      </c>
      <c r="DI114" s="29" t="str">
        <f t="shared" si="96"/>
        <v>0</v>
      </c>
      <c r="DJ114" s="29" t="str">
        <f t="shared" si="96"/>
        <v>0</v>
      </c>
      <c r="DK114" s="29" t="str">
        <f t="shared" si="96"/>
        <v>0</v>
      </c>
      <c r="DL114" s="29" t="str">
        <f t="shared" si="96"/>
        <v>0</v>
      </c>
      <c r="DM114" s="29" t="str">
        <f t="shared" si="96"/>
        <v>0</v>
      </c>
      <c r="DN114" s="29" t="str">
        <f t="shared" si="96"/>
        <v>0</v>
      </c>
      <c r="DO114" s="29" t="str">
        <f t="shared" si="96"/>
        <v>0</v>
      </c>
      <c r="DP114" s="29" t="str">
        <f t="shared" si="96"/>
        <v>0</v>
      </c>
      <c r="DQ114" s="29" t="str">
        <f t="shared" si="96"/>
        <v>0</v>
      </c>
      <c r="DR114" s="29"/>
      <c r="DS114" s="25">
        <v>0</v>
      </c>
      <c r="EE114" s="25" t="str">
        <f t="shared" si="20"/>
        <v>0</v>
      </c>
    </row>
    <row r="115" spans="1:135">
      <c r="A115" s="48">
        <v>1001037</v>
      </c>
      <c r="B115" s="49" t="s">
        <v>910</v>
      </c>
      <c r="C115" s="25">
        <v>37</v>
      </c>
      <c r="D115" s="25">
        <f t="array" ref="D115">INDEX(C$5:C$67,MATCH($B115,$B$5:$B$67,0))</f>
        <v>3600</v>
      </c>
      <c r="E115" s="25">
        <f t="array" ref="E115">INDEX(D$5:D$67,MATCH($B115,$B$5:$B$67,0))</f>
        <v>288</v>
      </c>
      <c r="F115" s="25">
        <f t="array" ref="F115">INDEX(E$5:E$67,MATCH($B115,$B$5:$B$67,0))</f>
        <v>1320</v>
      </c>
      <c r="G115" s="25">
        <f t="array" ref="G115">INDEX(F$5:F$67,MATCH($B115,$B$5:$B$67,0))</f>
        <v>105.6</v>
      </c>
      <c r="H115" s="25">
        <f t="array" ref="H115">INDEX(G$5:G$66,MATCH($B115,$B$5:$B$67,0))</f>
        <v>1056</v>
      </c>
      <c r="I115" s="25">
        <f t="array" ref="I115">INDEX(H$5:H$67,MATCH($B115,$B$5:$B$67,0))</f>
        <v>84.48</v>
      </c>
      <c r="J115" s="25">
        <f t="array" ref="J115">INDEX(I$5:I$67,MATCH($B115,$B$5:$B$67,0))</f>
        <v>800</v>
      </c>
      <c r="K115" s="25">
        <f t="array" ref="K115">INDEX(J$5:J$67,MATCH($B115,$B$5:$B$67,0))</f>
        <v>64</v>
      </c>
      <c r="L115" s="25">
        <f t="shared" si="0"/>
        <v>14256</v>
      </c>
      <c r="M115" s="25">
        <f t="shared" si="1"/>
        <v>5227</v>
      </c>
      <c r="N115" s="25">
        <f t="shared" si="2"/>
        <v>4182</v>
      </c>
      <c r="O115" s="25">
        <f t="shared" si="3"/>
        <v>3168</v>
      </c>
      <c r="R115" s="50">
        <f t="array" ref="R115">INDEX($B$46:$B$68,MATCH(S115,$C$46:$C$68,0))*1000+T115</f>
        <v>1002010</v>
      </c>
      <c r="S115" s="51" t="s">
        <v>318</v>
      </c>
      <c r="T115" s="29">
        <f t="shared" si="78"/>
        <v>10</v>
      </c>
      <c r="U115" s="25">
        <f t="array" ref="U115">INDEX(K$5:K$67,MATCH($S115,$B$5:$B$67,0))</f>
        <v>477.12</v>
      </c>
      <c r="V115" s="25">
        <f t="array" ref="V115">INDEX(L$5:L$67,MATCH($S115,$B$5:$B$67,0))</f>
        <v>61.44</v>
      </c>
      <c r="W115" s="25">
        <f t="array" ref="W115">INDEX(M$5:M$67,MATCH($S115,$B$5:$B$67,0))</f>
        <v>49.15</v>
      </c>
      <c r="X115" s="25">
        <f t="array" ref="X115">INDEX(N$5:N$67,MATCH($S115,$B$5:$B$67,0))</f>
        <v>68</v>
      </c>
      <c r="Y115" s="25">
        <f t="shared" si="4"/>
        <v>4771</v>
      </c>
      <c r="Z115" s="25">
        <f t="shared" si="5"/>
        <v>614</v>
      </c>
      <c r="AA115" s="25">
        <f t="shared" si="6"/>
        <v>492</v>
      </c>
      <c r="AB115" s="25">
        <f t="shared" si="7"/>
        <v>680</v>
      </c>
      <c r="AF115" s="25">
        <v>37</v>
      </c>
      <c r="AG115" s="25">
        <f t="array" ref="AG115">INDEX($AE$79:$AE$116,QUOTIENT(AF115-1,8)+1)</f>
        <v>1005</v>
      </c>
      <c r="AH115" s="25">
        <f t="shared" si="37"/>
        <v>5</v>
      </c>
      <c r="AI115" s="25">
        <f t="shared" si="8"/>
        <v>10055</v>
      </c>
      <c r="AJ115" s="25" t="str">
        <f t="shared" si="9"/>
        <v>陈单单</v>
      </c>
      <c r="AK115" s="25">
        <f t="shared" si="38"/>
        <v>3</v>
      </c>
      <c r="AL115" s="25" t="str">
        <f t="array" ref="AL115">INDEX($O$5:$O$42,MATCH(AJ115,$B$5:$B$42,0))</f>
        <v>攻击百分比</v>
      </c>
      <c r="AM115" s="25" t="str">
        <f t="array" ref="AM115">INDEX($P$5:$P$42,MATCH(AJ115,$B$5:$B$42,0))</f>
        <v>暴击等级</v>
      </c>
      <c r="AN115" s="25" t="str">
        <f t="array" ref="AN115">INDEX($Q$5:$Q$42,MATCH(AJ115,$B$5:$B$42,0))</f>
        <v>暴击伤害等级</v>
      </c>
      <c r="AO115" s="25" t="str">
        <f t="array" ref="AO115">INDEX(AL115:AN115,0,AK115)</f>
        <v>暴击伤害等级</v>
      </c>
      <c r="AP115" s="25">
        <f t="shared" si="39"/>
        <v>0.15</v>
      </c>
      <c r="AQ115" s="25">
        <f t="shared" si="11"/>
        <v>1650</v>
      </c>
      <c r="AR115" s="25" t="str">
        <f t="shared" ref="AR115:BZ115" si="97">IF(AR$78=$AO115,$AQ115,"0")</f>
        <v>0</v>
      </c>
      <c r="AS115" s="25" t="str">
        <f t="shared" si="97"/>
        <v>0</v>
      </c>
      <c r="AT115" s="25" t="str">
        <f t="shared" si="97"/>
        <v>0</v>
      </c>
      <c r="AU115" s="25" t="str">
        <f t="shared" si="97"/>
        <v>0</v>
      </c>
      <c r="AV115" s="25" t="str">
        <f t="shared" si="97"/>
        <v>0</v>
      </c>
      <c r="AW115" s="25" t="str">
        <f t="shared" si="97"/>
        <v>0</v>
      </c>
      <c r="AX115" s="25" t="str">
        <f t="shared" si="97"/>
        <v>0</v>
      </c>
      <c r="AY115" s="25" t="str">
        <f t="shared" si="97"/>
        <v>0</v>
      </c>
      <c r="AZ115" s="25" t="str">
        <f t="shared" si="97"/>
        <v>0</v>
      </c>
      <c r="BA115" s="25" t="str">
        <f t="shared" si="97"/>
        <v>0</v>
      </c>
      <c r="BB115" s="25" t="str">
        <f t="shared" si="97"/>
        <v>0</v>
      </c>
      <c r="BC115" s="25" t="str">
        <f t="shared" si="97"/>
        <v>0</v>
      </c>
      <c r="BD115" s="25" t="str">
        <f t="shared" si="97"/>
        <v>0</v>
      </c>
      <c r="BE115" s="25" t="str">
        <f t="shared" si="97"/>
        <v>0</v>
      </c>
      <c r="BF115" s="25" t="str">
        <f t="shared" si="97"/>
        <v>0</v>
      </c>
      <c r="BG115" s="25" t="str">
        <f t="shared" si="97"/>
        <v>0</v>
      </c>
      <c r="BH115" s="25" t="str">
        <f t="shared" si="97"/>
        <v>0</v>
      </c>
      <c r="BI115" s="25" t="str">
        <f t="shared" si="97"/>
        <v>0</v>
      </c>
      <c r="BJ115" s="25" t="str">
        <f t="shared" si="97"/>
        <v>0</v>
      </c>
      <c r="BK115" s="25" t="str">
        <f t="shared" si="97"/>
        <v>0</v>
      </c>
      <c r="BL115" s="25" t="str">
        <f t="shared" si="97"/>
        <v>0</v>
      </c>
      <c r="BM115" s="25" t="str">
        <f t="shared" si="97"/>
        <v>0</v>
      </c>
      <c r="BN115" s="25" t="str">
        <f t="shared" si="97"/>
        <v>0</v>
      </c>
      <c r="BO115" s="25" t="str">
        <f t="shared" si="97"/>
        <v>0</v>
      </c>
      <c r="BP115" s="25" t="str">
        <f t="shared" si="97"/>
        <v>0</v>
      </c>
      <c r="BQ115" s="25" t="str">
        <f t="shared" si="97"/>
        <v>0</v>
      </c>
      <c r="BR115" s="25" t="str">
        <f t="shared" si="97"/>
        <v>0</v>
      </c>
      <c r="BS115" s="25" t="str">
        <f t="shared" si="97"/>
        <v>0</v>
      </c>
      <c r="BT115" s="25" t="str">
        <f t="shared" si="97"/>
        <v>0</v>
      </c>
      <c r="BU115" s="25" t="str">
        <f t="shared" si="97"/>
        <v>0</v>
      </c>
      <c r="BV115" s="25" t="str">
        <f t="shared" si="97"/>
        <v>0</v>
      </c>
      <c r="BW115" s="25" t="str">
        <f t="shared" si="97"/>
        <v>0</v>
      </c>
      <c r="BX115" s="25">
        <f t="shared" si="97"/>
        <v>1650</v>
      </c>
      <c r="BY115" s="25" t="str">
        <f t="shared" si="97"/>
        <v>0</v>
      </c>
      <c r="BZ115" s="25" t="str">
        <f t="shared" si="97"/>
        <v>0</v>
      </c>
      <c r="CC115" s="25" t="str">
        <f t="array" ref="CC115">INDEX($C$46:$C$74,MATCH(CD115,$B$46:$B$74,0))</f>
        <v>莉莉娅</v>
      </c>
      <c r="CD115" s="1">
        <v>1006</v>
      </c>
      <c r="CE115" s="1">
        <v>1</v>
      </c>
      <c r="CF115" s="25" t="str">
        <f t="array" ref="CF115">INDEX($T$5:$T$44,MATCH(CC115,$B$5:$B$44,0))</f>
        <v>物理</v>
      </c>
      <c r="CG115" s="25">
        <f t="shared" si="34"/>
        <v>0</v>
      </c>
      <c r="CH115" s="25">
        <f t="shared" si="13"/>
        <v>1</v>
      </c>
      <c r="CI115" s="25">
        <f t="shared" si="14"/>
        <v>1</v>
      </c>
      <c r="CJ115" s="25">
        <f t="shared" si="15"/>
        <v>1</v>
      </c>
      <c r="CK115" s="25">
        <f t="shared" si="16"/>
        <v>1</v>
      </c>
      <c r="CL115" s="25">
        <v>0</v>
      </c>
      <c r="CM115" s="25">
        <f t="shared" si="35"/>
        <v>0</v>
      </c>
      <c r="CN115" s="25">
        <f t="shared" si="17"/>
        <v>0</v>
      </c>
      <c r="CO115" s="25">
        <f t="shared" si="18"/>
        <v>0</v>
      </c>
      <c r="CP115" s="29" t="str">
        <f t="shared" ref="CP115:DQ115" si="98">IF($CL115=CP$78,$CN115,"0")</f>
        <v>0</v>
      </c>
      <c r="CQ115" s="29" t="str">
        <f t="shared" si="98"/>
        <v>0</v>
      </c>
      <c r="CR115" s="29" t="str">
        <f t="shared" si="98"/>
        <v>0</v>
      </c>
      <c r="CS115" s="29" t="str">
        <f t="shared" si="98"/>
        <v>0</v>
      </c>
      <c r="CT115" s="29" t="str">
        <f t="shared" si="98"/>
        <v>0</v>
      </c>
      <c r="CU115" s="29" t="str">
        <f t="shared" si="98"/>
        <v>0</v>
      </c>
      <c r="CV115" s="29" t="str">
        <f t="shared" si="98"/>
        <v>0</v>
      </c>
      <c r="CW115" s="29" t="str">
        <f t="shared" si="98"/>
        <v>0</v>
      </c>
      <c r="CX115" s="29" t="str">
        <f t="shared" si="98"/>
        <v>0</v>
      </c>
      <c r="CY115" s="29" t="str">
        <f t="shared" si="98"/>
        <v>0</v>
      </c>
      <c r="CZ115" s="29" t="str">
        <f t="shared" si="98"/>
        <v>0</v>
      </c>
      <c r="DA115" s="29" t="str">
        <f t="shared" si="98"/>
        <v>0</v>
      </c>
      <c r="DB115" s="29" t="str">
        <f t="shared" si="98"/>
        <v>0</v>
      </c>
      <c r="DC115" s="29" t="str">
        <f t="shared" si="98"/>
        <v>0</v>
      </c>
      <c r="DD115" s="29" t="str">
        <f t="shared" si="98"/>
        <v>0</v>
      </c>
      <c r="DE115" s="29" t="str">
        <f t="shared" si="98"/>
        <v>0</v>
      </c>
      <c r="DF115" s="29" t="str">
        <f t="shared" si="98"/>
        <v>0</v>
      </c>
      <c r="DG115" s="29" t="str">
        <f t="shared" si="98"/>
        <v>0</v>
      </c>
      <c r="DH115" s="29" t="str">
        <f t="shared" si="98"/>
        <v>0</v>
      </c>
      <c r="DI115" s="29" t="str">
        <f t="shared" si="98"/>
        <v>0</v>
      </c>
      <c r="DJ115" s="29" t="str">
        <f t="shared" si="98"/>
        <v>0</v>
      </c>
      <c r="DK115" s="29" t="str">
        <f t="shared" si="98"/>
        <v>0</v>
      </c>
      <c r="DL115" s="29" t="str">
        <f t="shared" si="98"/>
        <v>0</v>
      </c>
      <c r="DM115" s="29" t="str">
        <f t="shared" si="98"/>
        <v>0</v>
      </c>
      <c r="DN115" s="29" t="str">
        <f t="shared" si="98"/>
        <v>0</v>
      </c>
      <c r="DO115" s="29" t="str">
        <f t="shared" si="98"/>
        <v>0</v>
      </c>
      <c r="DP115" s="29" t="str">
        <f t="shared" si="98"/>
        <v>0</v>
      </c>
      <c r="DQ115" s="29" t="str">
        <f t="shared" si="98"/>
        <v>0</v>
      </c>
      <c r="DR115" s="29"/>
      <c r="DS115" s="25">
        <v>0</v>
      </c>
      <c r="EE115" s="25" t="str">
        <f t="shared" si="20"/>
        <v>0</v>
      </c>
    </row>
    <row r="116" spans="1:135">
      <c r="A116" s="48">
        <v>1001038</v>
      </c>
      <c r="B116" s="49" t="s">
        <v>910</v>
      </c>
      <c r="C116" s="25">
        <v>38</v>
      </c>
      <c r="D116" s="25">
        <f t="array" ref="D116">INDEX(C$5:C$67,MATCH($B116,$B$5:$B$67,0))</f>
        <v>3600</v>
      </c>
      <c r="E116" s="25">
        <f t="array" ref="E116">INDEX(D$5:D$67,MATCH($B116,$B$5:$B$67,0))</f>
        <v>288</v>
      </c>
      <c r="F116" s="25">
        <f t="array" ref="F116">INDEX(E$5:E$67,MATCH($B116,$B$5:$B$67,0))</f>
        <v>1320</v>
      </c>
      <c r="G116" s="25">
        <f t="array" ref="G116">INDEX(F$5:F$67,MATCH($B116,$B$5:$B$67,0))</f>
        <v>105.6</v>
      </c>
      <c r="H116" s="25">
        <f t="array" ref="H116">INDEX(G$5:G$66,MATCH($B116,$B$5:$B$67,0))</f>
        <v>1056</v>
      </c>
      <c r="I116" s="25">
        <f t="array" ref="I116">INDEX(H$5:H$67,MATCH($B116,$B$5:$B$67,0))</f>
        <v>84.48</v>
      </c>
      <c r="J116" s="25">
        <f t="array" ref="J116">INDEX(I$5:I$67,MATCH($B116,$B$5:$B$67,0))</f>
        <v>800</v>
      </c>
      <c r="K116" s="25">
        <f t="array" ref="K116">INDEX(J$5:J$67,MATCH($B116,$B$5:$B$67,0))</f>
        <v>64</v>
      </c>
      <c r="L116" s="25">
        <f t="shared" si="0"/>
        <v>14544</v>
      </c>
      <c r="M116" s="25">
        <f t="shared" si="1"/>
        <v>5333</v>
      </c>
      <c r="N116" s="25">
        <f t="shared" si="2"/>
        <v>4266</v>
      </c>
      <c r="O116" s="25">
        <f t="shared" si="3"/>
        <v>3232</v>
      </c>
      <c r="R116" s="50">
        <f t="array" ref="R116">INDEX($B$46:$B$68,MATCH(S116,$C$46:$C$68,0))*1000+T116</f>
        <v>1002011</v>
      </c>
      <c r="S116" s="51" t="s">
        <v>318</v>
      </c>
      <c r="T116" s="29">
        <f t="shared" si="78"/>
        <v>11</v>
      </c>
      <c r="U116" s="25">
        <f t="array" ref="U116">INDEX(K$5:K$67,MATCH($S116,$B$5:$B$67,0))</f>
        <v>477.12</v>
      </c>
      <c r="V116" s="25">
        <f t="array" ref="V116">INDEX(L$5:L$67,MATCH($S116,$B$5:$B$67,0))</f>
        <v>61.44</v>
      </c>
      <c r="W116" s="25">
        <f t="array" ref="W116">INDEX(M$5:M$67,MATCH($S116,$B$5:$B$67,0))</f>
        <v>49.15</v>
      </c>
      <c r="X116" s="25">
        <f t="array" ref="X116">INDEX(N$5:N$67,MATCH($S116,$B$5:$B$67,0))</f>
        <v>68</v>
      </c>
      <c r="Y116" s="25">
        <f t="shared" si="4"/>
        <v>5248</v>
      </c>
      <c r="Z116" s="25">
        <f t="shared" si="5"/>
        <v>676</v>
      </c>
      <c r="AA116" s="25">
        <f t="shared" si="6"/>
        <v>541</v>
      </c>
      <c r="AB116" s="25">
        <f t="shared" si="7"/>
        <v>748</v>
      </c>
      <c r="AF116" s="25">
        <v>38</v>
      </c>
      <c r="AG116" s="25">
        <f t="array" ref="AG116">INDEX($AE$79:$AE$116,QUOTIENT(AF116-1,8)+1)</f>
        <v>1005</v>
      </c>
      <c r="AH116" s="25">
        <f t="shared" si="37"/>
        <v>6</v>
      </c>
      <c r="AI116" s="25">
        <f t="shared" si="8"/>
        <v>10056</v>
      </c>
      <c r="AJ116" s="25" t="str">
        <f t="shared" si="9"/>
        <v>陈单单</v>
      </c>
      <c r="AK116" s="25">
        <f t="shared" si="38"/>
        <v>1</v>
      </c>
      <c r="AL116" s="25" t="str">
        <f t="array" ref="AL116">INDEX($O$5:$O$42,MATCH(AJ116,$B$5:$B$42,0))</f>
        <v>攻击百分比</v>
      </c>
      <c r="AM116" s="25" t="str">
        <f t="array" ref="AM116">INDEX($P$5:$P$42,MATCH(AJ116,$B$5:$B$42,0))</f>
        <v>暴击等级</v>
      </c>
      <c r="AN116" s="25" t="str">
        <f t="array" ref="AN116">INDEX($Q$5:$Q$42,MATCH(AJ116,$B$5:$B$42,0))</f>
        <v>暴击伤害等级</v>
      </c>
      <c r="AO116" s="25" t="str">
        <f t="array" ref="AO116">INDEX(AL116:AN116,0,AK116)</f>
        <v>攻击百分比</v>
      </c>
      <c r="AP116" s="25">
        <f t="shared" si="39"/>
        <v>0.15</v>
      </c>
      <c r="AQ116" s="25">
        <f t="shared" si="11"/>
        <v>0.15</v>
      </c>
      <c r="AR116" s="25" t="str">
        <f t="shared" ref="AR116:BZ116" si="99">IF(AR$78=$AO116,$AQ116,"0")</f>
        <v>0</v>
      </c>
      <c r="AS116" s="25" t="str">
        <f t="shared" si="99"/>
        <v>0</v>
      </c>
      <c r="AT116" s="25" t="str">
        <f t="shared" si="99"/>
        <v>0</v>
      </c>
      <c r="AU116" s="25">
        <f t="shared" si="99"/>
        <v>0.15</v>
      </c>
      <c r="AV116" s="25" t="str">
        <f t="shared" si="99"/>
        <v>0</v>
      </c>
      <c r="AW116" s="25">
        <f t="shared" si="99"/>
        <v>0.15</v>
      </c>
      <c r="AX116" s="25" t="str">
        <f t="shared" si="99"/>
        <v>0</v>
      </c>
      <c r="AY116" s="25" t="str">
        <f t="shared" si="99"/>
        <v>0</v>
      </c>
      <c r="AZ116" s="25" t="str">
        <f t="shared" si="99"/>
        <v>0</v>
      </c>
      <c r="BA116" s="25" t="str">
        <f t="shared" si="99"/>
        <v>0</v>
      </c>
      <c r="BB116" s="25" t="str">
        <f t="shared" si="99"/>
        <v>0</v>
      </c>
      <c r="BC116" s="25" t="str">
        <f t="shared" si="99"/>
        <v>0</v>
      </c>
      <c r="BD116" s="25" t="str">
        <f t="shared" si="99"/>
        <v>0</v>
      </c>
      <c r="BE116" s="25" t="str">
        <f t="shared" si="99"/>
        <v>0</v>
      </c>
      <c r="BF116" s="25" t="str">
        <f t="shared" si="99"/>
        <v>0</v>
      </c>
      <c r="BG116" s="25" t="str">
        <f t="shared" si="99"/>
        <v>0</v>
      </c>
      <c r="BH116" s="25" t="str">
        <f t="shared" si="99"/>
        <v>0</v>
      </c>
      <c r="BI116" s="25" t="str">
        <f t="shared" si="99"/>
        <v>0</v>
      </c>
      <c r="BJ116" s="25" t="str">
        <f t="shared" si="99"/>
        <v>0</v>
      </c>
      <c r="BK116" s="25" t="str">
        <f t="shared" si="99"/>
        <v>0</v>
      </c>
      <c r="BL116" s="25" t="str">
        <f t="shared" si="99"/>
        <v>0</v>
      </c>
      <c r="BM116" s="25" t="str">
        <f t="shared" si="99"/>
        <v>0</v>
      </c>
      <c r="BN116" s="25" t="str">
        <f t="shared" si="99"/>
        <v>0</v>
      </c>
      <c r="BO116" s="25" t="str">
        <f t="shared" si="99"/>
        <v>0</v>
      </c>
      <c r="BP116" s="25" t="str">
        <f t="shared" si="99"/>
        <v>0</v>
      </c>
      <c r="BQ116" s="25" t="str">
        <f t="shared" si="99"/>
        <v>0</v>
      </c>
      <c r="BR116" s="25" t="str">
        <f t="shared" si="99"/>
        <v>0</v>
      </c>
      <c r="BS116" s="25" t="str">
        <f t="shared" si="99"/>
        <v>0</v>
      </c>
      <c r="BT116" s="25" t="str">
        <f t="shared" si="99"/>
        <v>0</v>
      </c>
      <c r="BU116" s="25" t="str">
        <f t="shared" si="99"/>
        <v>0</v>
      </c>
      <c r="BV116" s="25" t="str">
        <f t="shared" si="99"/>
        <v>0</v>
      </c>
      <c r="BW116" s="25" t="str">
        <f t="shared" si="99"/>
        <v>0</v>
      </c>
      <c r="BX116" s="25" t="str">
        <f t="shared" si="99"/>
        <v>0</v>
      </c>
      <c r="BY116" s="25" t="str">
        <f t="shared" si="99"/>
        <v>0</v>
      </c>
      <c r="BZ116" s="25" t="str">
        <f t="shared" si="99"/>
        <v>0</v>
      </c>
      <c r="CC116" s="25" t="str">
        <f t="array" ref="CC116">INDEX($C$46:$C$74,MATCH(CD116,$B$46:$B$74,0))</f>
        <v>莉莉娅</v>
      </c>
      <c r="CD116" s="1">
        <v>1006</v>
      </c>
      <c r="CE116" s="1">
        <v>2</v>
      </c>
      <c r="CF116" s="25" t="str">
        <f t="array" ref="CF116">INDEX($T$5:$T$44,MATCH(CC116,$B$5:$B$44,0))</f>
        <v>物理</v>
      </c>
      <c r="CG116" s="25">
        <f t="shared" si="34"/>
        <v>0</v>
      </c>
      <c r="CH116" s="25">
        <f t="shared" si="13"/>
        <v>1</v>
      </c>
      <c r="CI116" s="25">
        <f t="shared" si="14"/>
        <v>1</v>
      </c>
      <c r="CJ116" s="25">
        <f t="shared" si="15"/>
        <v>1</v>
      </c>
      <c r="CK116" s="25">
        <f t="shared" si="16"/>
        <v>1</v>
      </c>
      <c r="CL116" s="25">
        <v>0</v>
      </c>
      <c r="CM116" s="25">
        <f t="shared" si="35"/>
        <v>0</v>
      </c>
      <c r="CN116" s="25">
        <f t="shared" si="17"/>
        <v>0</v>
      </c>
      <c r="CO116" s="25">
        <f t="shared" si="18"/>
        <v>0</v>
      </c>
      <c r="CP116" s="29" t="str">
        <f t="shared" ref="CP116:DQ116" si="100">IF($CL116=CP$78,$CN116,"0")</f>
        <v>0</v>
      </c>
      <c r="CQ116" s="29" t="str">
        <f t="shared" si="100"/>
        <v>0</v>
      </c>
      <c r="CR116" s="29" t="str">
        <f t="shared" si="100"/>
        <v>0</v>
      </c>
      <c r="CS116" s="29" t="str">
        <f t="shared" si="100"/>
        <v>0</v>
      </c>
      <c r="CT116" s="29" t="str">
        <f t="shared" si="100"/>
        <v>0</v>
      </c>
      <c r="CU116" s="29" t="str">
        <f t="shared" si="100"/>
        <v>0</v>
      </c>
      <c r="CV116" s="29" t="str">
        <f t="shared" si="100"/>
        <v>0</v>
      </c>
      <c r="CW116" s="29" t="str">
        <f t="shared" si="100"/>
        <v>0</v>
      </c>
      <c r="CX116" s="29" t="str">
        <f t="shared" si="100"/>
        <v>0</v>
      </c>
      <c r="CY116" s="29" t="str">
        <f t="shared" si="100"/>
        <v>0</v>
      </c>
      <c r="CZ116" s="29" t="str">
        <f t="shared" si="100"/>
        <v>0</v>
      </c>
      <c r="DA116" s="29" t="str">
        <f t="shared" si="100"/>
        <v>0</v>
      </c>
      <c r="DB116" s="29" t="str">
        <f t="shared" si="100"/>
        <v>0</v>
      </c>
      <c r="DC116" s="29" t="str">
        <f t="shared" si="100"/>
        <v>0</v>
      </c>
      <c r="DD116" s="29" t="str">
        <f t="shared" si="100"/>
        <v>0</v>
      </c>
      <c r="DE116" s="29" t="str">
        <f t="shared" si="100"/>
        <v>0</v>
      </c>
      <c r="DF116" s="29" t="str">
        <f t="shared" si="100"/>
        <v>0</v>
      </c>
      <c r="DG116" s="29" t="str">
        <f t="shared" si="100"/>
        <v>0</v>
      </c>
      <c r="DH116" s="29" t="str">
        <f t="shared" si="100"/>
        <v>0</v>
      </c>
      <c r="DI116" s="29" t="str">
        <f t="shared" si="100"/>
        <v>0</v>
      </c>
      <c r="DJ116" s="29" t="str">
        <f t="shared" si="100"/>
        <v>0</v>
      </c>
      <c r="DK116" s="29" t="str">
        <f t="shared" si="100"/>
        <v>0</v>
      </c>
      <c r="DL116" s="29" t="str">
        <f t="shared" si="100"/>
        <v>0</v>
      </c>
      <c r="DM116" s="29" t="str">
        <f t="shared" si="100"/>
        <v>0</v>
      </c>
      <c r="DN116" s="29" t="str">
        <f t="shared" si="100"/>
        <v>0</v>
      </c>
      <c r="DO116" s="29" t="str">
        <f t="shared" si="100"/>
        <v>0</v>
      </c>
      <c r="DP116" s="29" t="str">
        <f t="shared" si="100"/>
        <v>0</v>
      </c>
      <c r="DQ116" s="29" t="str">
        <f t="shared" si="100"/>
        <v>0</v>
      </c>
      <c r="DR116" s="29"/>
      <c r="DS116" s="25">
        <v>0</v>
      </c>
      <c r="EE116" s="25" t="str">
        <f t="shared" si="20"/>
        <v>0</v>
      </c>
    </row>
    <row r="117" spans="1:135">
      <c r="A117" s="48">
        <v>1001039</v>
      </c>
      <c r="B117" s="49" t="s">
        <v>910</v>
      </c>
      <c r="C117" s="25">
        <v>39</v>
      </c>
      <c r="D117" s="25">
        <f t="array" ref="D117">INDEX(C$5:C$67,MATCH($B117,$B$5:$B$67,0))</f>
        <v>3600</v>
      </c>
      <c r="E117" s="25">
        <f t="array" ref="E117">INDEX(D$5:D$67,MATCH($B117,$B$5:$B$67,0))</f>
        <v>288</v>
      </c>
      <c r="F117" s="25">
        <f t="array" ref="F117">INDEX(E$5:E$67,MATCH($B117,$B$5:$B$67,0))</f>
        <v>1320</v>
      </c>
      <c r="G117" s="25">
        <f t="array" ref="G117">INDEX(F$5:F$67,MATCH($B117,$B$5:$B$67,0))</f>
        <v>105.6</v>
      </c>
      <c r="H117" s="25">
        <f t="array" ref="H117">INDEX(G$5:G$66,MATCH($B117,$B$5:$B$67,0))</f>
        <v>1056</v>
      </c>
      <c r="I117" s="25">
        <f t="array" ref="I117">INDEX(H$5:H$67,MATCH($B117,$B$5:$B$67,0))</f>
        <v>84.48</v>
      </c>
      <c r="J117" s="25">
        <f t="array" ref="J117">INDEX(I$5:I$67,MATCH($B117,$B$5:$B$67,0))</f>
        <v>800</v>
      </c>
      <c r="K117" s="25">
        <f t="array" ref="K117">INDEX(J$5:J$67,MATCH($B117,$B$5:$B$67,0))</f>
        <v>64</v>
      </c>
      <c r="L117" s="25">
        <f t="shared" si="0"/>
        <v>14832</v>
      </c>
      <c r="M117" s="25">
        <f t="shared" si="1"/>
        <v>5438</v>
      </c>
      <c r="N117" s="25">
        <f t="shared" si="2"/>
        <v>4351</v>
      </c>
      <c r="O117" s="25">
        <f t="shared" si="3"/>
        <v>3296</v>
      </c>
      <c r="R117" s="50">
        <f t="array" ref="R117">INDEX($B$46:$B$68,MATCH(S117,$C$46:$C$68,0))*1000+T117</f>
        <v>1002012</v>
      </c>
      <c r="S117" s="51" t="s">
        <v>318</v>
      </c>
      <c r="T117" s="29">
        <f t="shared" si="78"/>
        <v>12</v>
      </c>
      <c r="U117" s="25">
        <f t="array" ref="U117">INDEX(K$5:K$67,MATCH($S117,$B$5:$B$67,0))</f>
        <v>477.12</v>
      </c>
      <c r="V117" s="25">
        <f t="array" ref="V117">INDEX(L$5:L$67,MATCH($S117,$B$5:$B$67,0))</f>
        <v>61.44</v>
      </c>
      <c r="W117" s="25">
        <f t="array" ref="W117">INDEX(M$5:M$67,MATCH($S117,$B$5:$B$67,0))</f>
        <v>49.15</v>
      </c>
      <c r="X117" s="25">
        <f t="array" ref="X117">INDEX(N$5:N$67,MATCH($S117,$B$5:$B$67,0))</f>
        <v>68</v>
      </c>
      <c r="Y117" s="25">
        <f t="shared" si="4"/>
        <v>5725</v>
      </c>
      <c r="Z117" s="25">
        <f t="shared" si="5"/>
        <v>737</v>
      </c>
      <c r="AA117" s="25">
        <f t="shared" si="6"/>
        <v>590</v>
      </c>
      <c r="AB117" s="25">
        <f t="shared" si="7"/>
        <v>816</v>
      </c>
      <c r="AF117" s="25">
        <v>39</v>
      </c>
      <c r="AG117" s="25">
        <f t="array" ref="AG117">INDEX($AE$79:$AE$116,QUOTIENT(AF117-1,8)+1)</f>
        <v>1005</v>
      </c>
      <c r="AH117" s="25">
        <f t="shared" si="37"/>
        <v>7</v>
      </c>
      <c r="AI117" s="25">
        <f t="shared" si="8"/>
        <v>10057</v>
      </c>
      <c r="AJ117" s="25" t="str">
        <f t="shared" si="9"/>
        <v>陈单单</v>
      </c>
      <c r="AK117" s="25">
        <f t="shared" si="38"/>
        <v>2</v>
      </c>
      <c r="AL117" s="25" t="str">
        <f t="array" ref="AL117">INDEX($O$5:$O$42,MATCH(AJ117,$B$5:$B$42,0))</f>
        <v>攻击百分比</v>
      </c>
      <c r="AM117" s="25" t="str">
        <f t="array" ref="AM117">INDEX($P$5:$P$42,MATCH(AJ117,$B$5:$B$42,0))</f>
        <v>暴击等级</v>
      </c>
      <c r="AN117" s="25" t="str">
        <f t="array" ref="AN117">INDEX($Q$5:$Q$42,MATCH(AJ117,$B$5:$B$42,0))</f>
        <v>暴击伤害等级</v>
      </c>
      <c r="AO117" s="25" t="str">
        <f t="array" ref="AO117">INDEX(AL117:AN117,0,AK117)</f>
        <v>暴击等级</v>
      </c>
      <c r="AP117" s="25">
        <f t="shared" si="39"/>
        <v>0.15</v>
      </c>
      <c r="AQ117" s="25">
        <f t="shared" si="11"/>
        <v>1350</v>
      </c>
      <c r="AR117" s="25" t="str">
        <f t="shared" ref="AR117:BZ117" si="101">IF(AR$78=$AO117,$AQ117,"0")</f>
        <v>0</v>
      </c>
      <c r="AS117" s="25" t="str">
        <f t="shared" si="101"/>
        <v>0</v>
      </c>
      <c r="AT117" s="25" t="str">
        <f t="shared" si="101"/>
        <v>0</v>
      </c>
      <c r="AU117" s="25" t="str">
        <f t="shared" si="101"/>
        <v>0</v>
      </c>
      <c r="AV117" s="25" t="str">
        <f t="shared" si="101"/>
        <v>0</v>
      </c>
      <c r="AW117" s="25" t="str">
        <f t="shared" si="101"/>
        <v>0</v>
      </c>
      <c r="AX117" s="25" t="str">
        <f t="shared" si="101"/>
        <v>0</v>
      </c>
      <c r="AY117" s="25" t="str">
        <f t="shared" si="101"/>
        <v>0</v>
      </c>
      <c r="AZ117" s="25" t="str">
        <f t="shared" si="101"/>
        <v>0</v>
      </c>
      <c r="BA117" s="25" t="str">
        <f t="shared" si="101"/>
        <v>0</v>
      </c>
      <c r="BB117" s="25" t="str">
        <f t="shared" si="101"/>
        <v>0</v>
      </c>
      <c r="BC117" s="25" t="str">
        <f t="shared" si="101"/>
        <v>0</v>
      </c>
      <c r="BD117" s="25" t="str">
        <f t="shared" si="101"/>
        <v>0</v>
      </c>
      <c r="BE117" s="25" t="str">
        <f t="shared" si="101"/>
        <v>0</v>
      </c>
      <c r="BF117" s="25" t="str">
        <f t="shared" si="101"/>
        <v>0</v>
      </c>
      <c r="BG117" s="25" t="str">
        <f t="shared" si="101"/>
        <v>0</v>
      </c>
      <c r="BH117" s="25" t="str">
        <f t="shared" si="101"/>
        <v>0</v>
      </c>
      <c r="BI117" s="25" t="str">
        <f t="shared" si="101"/>
        <v>0</v>
      </c>
      <c r="BJ117" s="25" t="str">
        <f t="shared" si="101"/>
        <v>0</v>
      </c>
      <c r="BK117" s="25" t="str">
        <f t="shared" si="101"/>
        <v>0</v>
      </c>
      <c r="BL117" s="25" t="str">
        <f t="shared" si="101"/>
        <v>0</v>
      </c>
      <c r="BM117" s="25" t="str">
        <f t="shared" si="101"/>
        <v>0</v>
      </c>
      <c r="BN117" s="25" t="str">
        <f t="shared" si="101"/>
        <v>0</v>
      </c>
      <c r="BO117" s="25" t="str">
        <f t="shared" si="101"/>
        <v>0</v>
      </c>
      <c r="BP117" s="25" t="str">
        <f t="shared" si="101"/>
        <v>0</v>
      </c>
      <c r="BQ117" s="25" t="str">
        <f t="shared" si="101"/>
        <v>0</v>
      </c>
      <c r="BR117" s="25" t="str">
        <f t="shared" si="101"/>
        <v>0</v>
      </c>
      <c r="BS117" s="25" t="str">
        <f t="shared" si="101"/>
        <v>0</v>
      </c>
      <c r="BT117" s="25" t="str">
        <f t="shared" si="101"/>
        <v>0</v>
      </c>
      <c r="BU117" s="25" t="str">
        <f t="shared" si="101"/>
        <v>0</v>
      </c>
      <c r="BV117" s="25" t="str">
        <f t="shared" si="101"/>
        <v>0</v>
      </c>
      <c r="BW117" s="25">
        <f t="shared" si="101"/>
        <v>1350</v>
      </c>
      <c r="BX117" s="25" t="str">
        <f t="shared" si="101"/>
        <v>0</v>
      </c>
      <c r="BY117" s="25" t="str">
        <f t="shared" si="101"/>
        <v>0</v>
      </c>
      <c r="BZ117" s="25" t="str">
        <f t="shared" si="101"/>
        <v>0</v>
      </c>
      <c r="CC117" s="25" t="str">
        <f t="array" ref="CC117">INDEX($C$46:$C$74,MATCH(CD117,$B$46:$B$74,0))</f>
        <v>莉莉娅</v>
      </c>
      <c r="CD117" s="1">
        <v>1006</v>
      </c>
      <c r="CE117" s="1">
        <v>3</v>
      </c>
      <c r="CF117" s="25" t="str">
        <f t="array" ref="CF117">INDEX($T$5:$T$44,MATCH(CC117,$B$5:$B$44,0))</f>
        <v>物理</v>
      </c>
      <c r="CG117" s="25">
        <f t="shared" si="34"/>
        <v>0.15</v>
      </c>
      <c r="CH117" s="25">
        <f t="shared" si="13"/>
        <v>1.15</v>
      </c>
      <c r="CI117" s="25">
        <f t="shared" si="14"/>
        <v>1.15</v>
      </c>
      <c r="CJ117" s="25">
        <f t="shared" si="15"/>
        <v>1</v>
      </c>
      <c r="CK117" s="25">
        <f t="shared" si="16"/>
        <v>1.15</v>
      </c>
      <c r="CL117" s="25" t="str">
        <f t="array" ref="CL117">INDEX($R$5:$R$43,MATCH(CC117,$B$5:$B$43,0))</f>
        <v>物理伤害加成</v>
      </c>
      <c r="CM117" s="25">
        <f t="shared" si="35"/>
        <v>0.3</v>
      </c>
      <c r="CN117" s="25">
        <f t="shared" si="17"/>
        <v>0.12</v>
      </c>
      <c r="CO117" s="25">
        <f t="shared" si="18"/>
        <v>1</v>
      </c>
      <c r="CP117" s="29" t="str">
        <f t="shared" ref="CP117:DQ117" si="102">IF($CL117=CP$78,$CN117,"0")</f>
        <v>0</v>
      </c>
      <c r="CQ117" s="29" t="str">
        <f t="shared" si="102"/>
        <v>0</v>
      </c>
      <c r="CR117" s="29" t="str">
        <f t="shared" si="102"/>
        <v>0</v>
      </c>
      <c r="CS117" s="29" t="str">
        <f t="shared" si="102"/>
        <v>0</v>
      </c>
      <c r="CT117" s="29" t="str">
        <f t="shared" si="102"/>
        <v>0</v>
      </c>
      <c r="CU117" s="29" t="str">
        <f t="shared" si="102"/>
        <v>0</v>
      </c>
      <c r="CV117" s="29" t="str">
        <f t="shared" si="102"/>
        <v>0</v>
      </c>
      <c r="CW117" s="29" t="str">
        <f t="shared" si="102"/>
        <v>0</v>
      </c>
      <c r="CX117" s="29" t="str">
        <f t="shared" si="102"/>
        <v>0</v>
      </c>
      <c r="CY117" s="29" t="str">
        <f t="shared" si="102"/>
        <v>0</v>
      </c>
      <c r="CZ117" s="29" t="str">
        <f t="shared" si="102"/>
        <v>0</v>
      </c>
      <c r="DA117" s="29" t="str">
        <f t="shared" si="102"/>
        <v>0</v>
      </c>
      <c r="DB117" s="29">
        <f t="shared" si="102"/>
        <v>0.12</v>
      </c>
      <c r="DC117" s="29" t="str">
        <f t="shared" si="102"/>
        <v>0</v>
      </c>
      <c r="DD117" s="29" t="str">
        <f t="shared" si="102"/>
        <v>0</v>
      </c>
      <c r="DE117" s="29" t="str">
        <f t="shared" si="102"/>
        <v>0</v>
      </c>
      <c r="DF117" s="29" t="str">
        <f t="shared" si="102"/>
        <v>0</v>
      </c>
      <c r="DG117" s="29" t="str">
        <f t="shared" si="102"/>
        <v>0</v>
      </c>
      <c r="DH117" s="29" t="str">
        <f t="shared" si="102"/>
        <v>0</v>
      </c>
      <c r="DI117" s="29" t="str">
        <f t="shared" si="102"/>
        <v>0</v>
      </c>
      <c r="DJ117" s="29" t="str">
        <f t="shared" si="102"/>
        <v>0</v>
      </c>
      <c r="DK117" s="29" t="str">
        <f t="shared" si="102"/>
        <v>0</v>
      </c>
      <c r="DL117" s="29" t="str">
        <f t="shared" si="102"/>
        <v>0</v>
      </c>
      <c r="DM117" s="29" t="str">
        <f t="shared" si="102"/>
        <v>0</v>
      </c>
      <c r="DN117" s="29" t="str">
        <f t="shared" si="102"/>
        <v>0</v>
      </c>
      <c r="DO117" s="29" t="str">
        <f t="shared" si="102"/>
        <v>0</v>
      </c>
      <c r="DP117" s="29" t="str">
        <f t="shared" si="102"/>
        <v>0</v>
      </c>
      <c r="DQ117" s="29" t="str">
        <f t="shared" si="102"/>
        <v>0</v>
      </c>
      <c r="DR117" s="29"/>
      <c r="DS117" s="25" t="s">
        <v>1011</v>
      </c>
      <c r="DT117" s="25" t="str">
        <f>TEXT(角色升星!$F$18,"0%")</f>
        <v>15%</v>
      </c>
      <c r="DU117" s="25" t="s">
        <v>779</v>
      </c>
      <c r="DV117" s="25" t="str">
        <f>IF(CF117="物理","PhysicsAttack,+","MagicAttack,+")</f>
        <v>PhysicsAttack,+</v>
      </c>
      <c r="DW117" s="25" t="str">
        <f>TEXT(角色升星!$F$18,"0%")</f>
        <v>15%</v>
      </c>
      <c r="DX117" s="25" t="s">
        <v>779</v>
      </c>
      <c r="DY117" s="25" t="s">
        <v>1012</v>
      </c>
      <c r="DZ117" s="25" t="str">
        <f>TEXT(角色升星!$F$18,"0%")</f>
        <v>15%</v>
      </c>
      <c r="EA117" s="25" t="s">
        <v>779</v>
      </c>
      <c r="EB117" s="25" t="str">
        <f>VLOOKUP(CL117,$O$46:$P$73,2,0)</f>
        <v>PhysicsDmgBonus</v>
      </c>
      <c r="EC117" s="25" t="s">
        <v>1013</v>
      </c>
      <c r="ED117" s="25" t="str">
        <f>IF(CN117&gt;1,CN117,TEXT(CN117,"0%"))</f>
        <v>12%</v>
      </c>
      <c r="EE117" s="25" t="str">
        <f t="shared" si="20"/>
        <v>Hp,+15%;PhysicsAttack,+15%;Armor,+15%;PhysicsDmgBonus,+12%</v>
      </c>
    </row>
    <row r="118" spans="1:135">
      <c r="A118" s="48">
        <v>1001040</v>
      </c>
      <c r="B118" s="49" t="s">
        <v>910</v>
      </c>
      <c r="C118" s="25">
        <v>40</v>
      </c>
      <c r="D118" s="25">
        <f t="array" ref="D118">INDEX(C$5:C$67,MATCH($B118,$B$5:$B$67,0))</f>
        <v>3600</v>
      </c>
      <c r="E118" s="25">
        <f t="array" ref="E118">INDEX(D$5:D$67,MATCH($B118,$B$5:$B$67,0))</f>
        <v>288</v>
      </c>
      <c r="F118" s="25">
        <f t="array" ref="F118">INDEX(E$5:E$67,MATCH($B118,$B$5:$B$67,0))</f>
        <v>1320</v>
      </c>
      <c r="G118" s="25">
        <f t="array" ref="G118">INDEX(F$5:F$67,MATCH($B118,$B$5:$B$67,0))</f>
        <v>105.6</v>
      </c>
      <c r="H118" s="25">
        <f t="array" ref="H118">INDEX(G$5:G$66,MATCH($B118,$B$5:$B$67,0))</f>
        <v>1056</v>
      </c>
      <c r="I118" s="25">
        <f t="array" ref="I118">INDEX(H$5:H$67,MATCH($B118,$B$5:$B$67,0))</f>
        <v>84.48</v>
      </c>
      <c r="J118" s="25">
        <f t="array" ref="J118">INDEX(I$5:I$67,MATCH($B118,$B$5:$B$67,0))</f>
        <v>800</v>
      </c>
      <c r="K118" s="25">
        <f t="array" ref="K118">INDEX(J$5:J$67,MATCH($B118,$B$5:$B$67,0))</f>
        <v>64</v>
      </c>
      <c r="L118" s="25">
        <f t="shared" si="0"/>
        <v>15120</v>
      </c>
      <c r="M118" s="25">
        <f t="shared" si="1"/>
        <v>5544</v>
      </c>
      <c r="N118" s="25">
        <f t="shared" si="2"/>
        <v>4435</v>
      </c>
      <c r="O118" s="25">
        <f t="shared" si="3"/>
        <v>3360</v>
      </c>
      <c r="R118" s="50">
        <f t="array" ref="R118">INDEX($B$46:$B$68,MATCH(S118,$C$46:$C$68,0))*1000+T118</f>
        <v>1002013</v>
      </c>
      <c r="S118" s="51" t="s">
        <v>318</v>
      </c>
      <c r="T118" s="29">
        <f t="shared" si="78"/>
        <v>13</v>
      </c>
      <c r="U118" s="25">
        <f t="array" ref="U118">INDEX(K$5:K$67,MATCH($S118,$B$5:$B$67,0))</f>
        <v>477.12</v>
      </c>
      <c r="V118" s="25">
        <f t="array" ref="V118">INDEX(L$5:L$67,MATCH($S118,$B$5:$B$67,0))</f>
        <v>61.44</v>
      </c>
      <c r="W118" s="25">
        <f t="array" ref="W118">INDEX(M$5:M$67,MATCH($S118,$B$5:$B$67,0))</f>
        <v>49.15</v>
      </c>
      <c r="X118" s="25">
        <f t="array" ref="X118">INDEX(N$5:N$67,MATCH($S118,$B$5:$B$67,0))</f>
        <v>68</v>
      </c>
      <c r="Y118" s="25">
        <f t="shared" si="4"/>
        <v>6203</v>
      </c>
      <c r="Z118" s="25">
        <f t="shared" si="5"/>
        <v>799</v>
      </c>
      <c r="AA118" s="25">
        <f t="shared" si="6"/>
        <v>639</v>
      </c>
      <c r="AB118" s="25">
        <f t="shared" si="7"/>
        <v>884</v>
      </c>
      <c r="AF118" s="25">
        <v>40</v>
      </c>
      <c r="AG118" s="25">
        <f t="array" ref="AG118">INDEX($AE$79:$AE$116,QUOTIENT(AF118-1,8)+1)</f>
        <v>1005</v>
      </c>
      <c r="AH118" s="25">
        <f t="shared" si="37"/>
        <v>8</v>
      </c>
      <c r="AI118" s="25">
        <f t="shared" si="8"/>
        <v>10058</v>
      </c>
      <c r="AJ118" s="25" t="str">
        <f t="shared" si="9"/>
        <v>陈单单</v>
      </c>
      <c r="AK118" s="25">
        <f t="shared" si="38"/>
        <v>3</v>
      </c>
      <c r="AL118" s="25" t="str">
        <f t="array" ref="AL118">INDEX($O$5:$O$42,MATCH(AJ118,$B$5:$B$42,0))</f>
        <v>攻击百分比</v>
      </c>
      <c r="AM118" s="25" t="str">
        <f t="array" ref="AM118">INDEX($P$5:$P$42,MATCH(AJ118,$B$5:$B$42,0))</f>
        <v>暴击等级</v>
      </c>
      <c r="AN118" s="25" t="str">
        <f t="array" ref="AN118">INDEX($Q$5:$Q$42,MATCH(AJ118,$B$5:$B$42,0))</f>
        <v>暴击伤害等级</v>
      </c>
      <c r="AO118" s="25" t="str">
        <f t="array" ref="AO118">INDEX(AL118:AN118,0,AK118)</f>
        <v>暴击伤害等级</v>
      </c>
      <c r="AP118" s="25">
        <f t="shared" si="39"/>
        <v>0.15</v>
      </c>
      <c r="AQ118" s="25">
        <f t="shared" si="11"/>
        <v>1650</v>
      </c>
      <c r="AR118" s="25" t="str">
        <f t="shared" ref="AR118:BZ118" si="103">IF(AR$78=$AO118,$AQ118,"0")</f>
        <v>0</v>
      </c>
      <c r="AS118" s="25" t="str">
        <f t="shared" si="103"/>
        <v>0</v>
      </c>
      <c r="AT118" s="25" t="str">
        <f t="shared" si="103"/>
        <v>0</v>
      </c>
      <c r="AU118" s="25" t="str">
        <f t="shared" si="103"/>
        <v>0</v>
      </c>
      <c r="AV118" s="25" t="str">
        <f t="shared" si="103"/>
        <v>0</v>
      </c>
      <c r="AW118" s="25" t="str">
        <f t="shared" si="103"/>
        <v>0</v>
      </c>
      <c r="AX118" s="25" t="str">
        <f t="shared" si="103"/>
        <v>0</v>
      </c>
      <c r="AY118" s="25" t="str">
        <f t="shared" si="103"/>
        <v>0</v>
      </c>
      <c r="AZ118" s="25" t="str">
        <f t="shared" si="103"/>
        <v>0</v>
      </c>
      <c r="BA118" s="25" t="str">
        <f t="shared" si="103"/>
        <v>0</v>
      </c>
      <c r="BB118" s="25" t="str">
        <f t="shared" si="103"/>
        <v>0</v>
      </c>
      <c r="BC118" s="25" t="str">
        <f t="shared" si="103"/>
        <v>0</v>
      </c>
      <c r="BD118" s="25" t="str">
        <f t="shared" si="103"/>
        <v>0</v>
      </c>
      <c r="BE118" s="25" t="str">
        <f t="shared" si="103"/>
        <v>0</v>
      </c>
      <c r="BF118" s="25" t="str">
        <f t="shared" si="103"/>
        <v>0</v>
      </c>
      <c r="BG118" s="25" t="str">
        <f t="shared" si="103"/>
        <v>0</v>
      </c>
      <c r="BH118" s="25" t="str">
        <f t="shared" si="103"/>
        <v>0</v>
      </c>
      <c r="BI118" s="25" t="str">
        <f t="shared" si="103"/>
        <v>0</v>
      </c>
      <c r="BJ118" s="25" t="str">
        <f t="shared" si="103"/>
        <v>0</v>
      </c>
      <c r="BK118" s="25" t="str">
        <f t="shared" si="103"/>
        <v>0</v>
      </c>
      <c r="BL118" s="25" t="str">
        <f t="shared" si="103"/>
        <v>0</v>
      </c>
      <c r="BM118" s="25" t="str">
        <f t="shared" si="103"/>
        <v>0</v>
      </c>
      <c r="BN118" s="25" t="str">
        <f t="shared" si="103"/>
        <v>0</v>
      </c>
      <c r="BO118" s="25" t="str">
        <f t="shared" si="103"/>
        <v>0</v>
      </c>
      <c r="BP118" s="25" t="str">
        <f t="shared" si="103"/>
        <v>0</v>
      </c>
      <c r="BQ118" s="25" t="str">
        <f t="shared" si="103"/>
        <v>0</v>
      </c>
      <c r="BR118" s="25" t="str">
        <f t="shared" si="103"/>
        <v>0</v>
      </c>
      <c r="BS118" s="25" t="str">
        <f t="shared" si="103"/>
        <v>0</v>
      </c>
      <c r="BT118" s="25" t="str">
        <f t="shared" si="103"/>
        <v>0</v>
      </c>
      <c r="BU118" s="25" t="str">
        <f t="shared" si="103"/>
        <v>0</v>
      </c>
      <c r="BV118" s="25" t="str">
        <f t="shared" si="103"/>
        <v>0</v>
      </c>
      <c r="BW118" s="25" t="str">
        <f t="shared" si="103"/>
        <v>0</v>
      </c>
      <c r="BX118" s="25">
        <f t="shared" si="103"/>
        <v>1650</v>
      </c>
      <c r="BY118" s="25" t="str">
        <f t="shared" si="103"/>
        <v>0</v>
      </c>
      <c r="BZ118" s="25" t="str">
        <f t="shared" si="103"/>
        <v>0</v>
      </c>
      <c r="CC118" s="25" t="str">
        <f t="array" ref="CC118">INDEX($C$46:$C$74,MATCH(CD118,$B$46:$B$74,0))</f>
        <v>莉莉娅</v>
      </c>
      <c r="CD118" s="1">
        <v>1006</v>
      </c>
      <c r="CE118" s="1">
        <v>4</v>
      </c>
      <c r="CF118" s="25" t="str">
        <f t="array" ref="CF118">INDEX($T$5:$T$44,MATCH(CC118,$B$5:$B$44,0))</f>
        <v>物理</v>
      </c>
      <c r="CG118" s="25">
        <f t="shared" si="34"/>
        <v>0.15</v>
      </c>
      <c r="CH118" s="25">
        <f t="shared" si="13"/>
        <v>1.15</v>
      </c>
      <c r="CI118" s="25">
        <f t="shared" si="14"/>
        <v>1.15</v>
      </c>
      <c r="CJ118" s="25">
        <f t="shared" si="15"/>
        <v>1</v>
      </c>
      <c r="CK118" s="25">
        <f t="shared" si="16"/>
        <v>1.15</v>
      </c>
      <c r="CL118" s="25">
        <v>0</v>
      </c>
      <c r="CM118" s="25">
        <f t="shared" si="35"/>
        <v>0</v>
      </c>
      <c r="CN118" s="25">
        <f t="shared" si="17"/>
        <v>0</v>
      </c>
      <c r="CO118" s="25">
        <f t="shared" si="18"/>
        <v>0</v>
      </c>
      <c r="CP118" s="29" t="str">
        <f t="shared" ref="CP118:DQ118" si="104">IF($CL118=CP$78,$CN118,"0")</f>
        <v>0</v>
      </c>
      <c r="CQ118" s="29" t="str">
        <f t="shared" si="104"/>
        <v>0</v>
      </c>
      <c r="CR118" s="29" t="str">
        <f t="shared" si="104"/>
        <v>0</v>
      </c>
      <c r="CS118" s="29" t="str">
        <f t="shared" si="104"/>
        <v>0</v>
      </c>
      <c r="CT118" s="29" t="str">
        <f t="shared" si="104"/>
        <v>0</v>
      </c>
      <c r="CU118" s="29" t="str">
        <f t="shared" si="104"/>
        <v>0</v>
      </c>
      <c r="CV118" s="29" t="str">
        <f t="shared" si="104"/>
        <v>0</v>
      </c>
      <c r="CW118" s="29" t="str">
        <f t="shared" si="104"/>
        <v>0</v>
      </c>
      <c r="CX118" s="29" t="str">
        <f t="shared" si="104"/>
        <v>0</v>
      </c>
      <c r="CY118" s="29" t="str">
        <f t="shared" si="104"/>
        <v>0</v>
      </c>
      <c r="CZ118" s="29" t="str">
        <f t="shared" si="104"/>
        <v>0</v>
      </c>
      <c r="DA118" s="29" t="str">
        <f t="shared" si="104"/>
        <v>0</v>
      </c>
      <c r="DB118" s="29" t="str">
        <f t="shared" si="104"/>
        <v>0</v>
      </c>
      <c r="DC118" s="29" t="str">
        <f t="shared" si="104"/>
        <v>0</v>
      </c>
      <c r="DD118" s="29" t="str">
        <f t="shared" si="104"/>
        <v>0</v>
      </c>
      <c r="DE118" s="29" t="str">
        <f t="shared" si="104"/>
        <v>0</v>
      </c>
      <c r="DF118" s="29" t="str">
        <f t="shared" si="104"/>
        <v>0</v>
      </c>
      <c r="DG118" s="29" t="str">
        <f t="shared" si="104"/>
        <v>0</v>
      </c>
      <c r="DH118" s="29" t="str">
        <f t="shared" si="104"/>
        <v>0</v>
      </c>
      <c r="DI118" s="29" t="str">
        <f t="shared" si="104"/>
        <v>0</v>
      </c>
      <c r="DJ118" s="29" t="str">
        <f t="shared" si="104"/>
        <v>0</v>
      </c>
      <c r="DK118" s="29" t="str">
        <f t="shared" si="104"/>
        <v>0</v>
      </c>
      <c r="DL118" s="29" t="str">
        <f t="shared" si="104"/>
        <v>0</v>
      </c>
      <c r="DM118" s="29" t="str">
        <f t="shared" si="104"/>
        <v>0</v>
      </c>
      <c r="DN118" s="29" t="str">
        <f t="shared" si="104"/>
        <v>0</v>
      </c>
      <c r="DO118" s="29" t="str">
        <f t="shared" si="104"/>
        <v>0</v>
      </c>
      <c r="DP118" s="29" t="str">
        <f t="shared" si="104"/>
        <v>0</v>
      </c>
      <c r="DQ118" s="29" t="str">
        <f t="shared" si="104"/>
        <v>0</v>
      </c>
      <c r="DR118" s="29"/>
      <c r="DS118" s="25">
        <v>0</v>
      </c>
      <c r="EE118" s="25" t="str">
        <f t="shared" si="20"/>
        <v>0</v>
      </c>
    </row>
    <row r="119" spans="1:135">
      <c r="A119" s="48">
        <v>1001041</v>
      </c>
      <c r="B119" s="49" t="s">
        <v>910</v>
      </c>
      <c r="C119" s="25">
        <v>41</v>
      </c>
      <c r="D119" s="25">
        <f t="array" ref="D119">INDEX(C$5:C$67,MATCH($B119,$B$5:$B$67,0))</f>
        <v>3600</v>
      </c>
      <c r="E119" s="25">
        <f t="array" ref="E119">INDEX(D$5:D$67,MATCH($B119,$B$5:$B$67,0))</f>
        <v>288</v>
      </c>
      <c r="F119" s="25">
        <f t="array" ref="F119">INDEX(E$5:E$67,MATCH($B119,$B$5:$B$67,0))</f>
        <v>1320</v>
      </c>
      <c r="G119" s="25">
        <f t="array" ref="G119">INDEX(F$5:F$67,MATCH($B119,$B$5:$B$67,0))</f>
        <v>105.6</v>
      </c>
      <c r="H119" s="25">
        <f t="array" ref="H119">INDEX(G$5:G$66,MATCH($B119,$B$5:$B$67,0))</f>
        <v>1056</v>
      </c>
      <c r="I119" s="25">
        <f t="array" ref="I119">INDEX(H$5:H$67,MATCH($B119,$B$5:$B$67,0))</f>
        <v>84.48</v>
      </c>
      <c r="J119" s="25">
        <f t="array" ref="J119">INDEX(I$5:I$67,MATCH($B119,$B$5:$B$67,0))</f>
        <v>800</v>
      </c>
      <c r="K119" s="25">
        <f t="array" ref="K119">INDEX(J$5:J$67,MATCH($B119,$B$5:$B$67,0))</f>
        <v>64</v>
      </c>
      <c r="L119" s="25">
        <f t="shared" si="0"/>
        <v>15408</v>
      </c>
      <c r="M119" s="25">
        <f t="shared" si="1"/>
        <v>5650</v>
      </c>
      <c r="N119" s="25">
        <f t="shared" si="2"/>
        <v>4520</v>
      </c>
      <c r="O119" s="25">
        <f t="shared" si="3"/>
        <v>3424</v>
      </c>
      <c r="R119" s="50">
        <f t="array" ref="R119">INDEX($B$46:$B$68,MATCH(S119,$C$46:$C$68,0))*1000+T119</f>
        <v>1002014</v>
      </c>
      <c r="S119" s="51" t="s">
        <v>318</v>
      </c>
      <c r="T119" s="29">
        <f t="shared" si="78"/>
        <v>14</v>
      </c>
      <c r="U119" s="25">
        <f t="array" ref="U119">INDEX(K$5:K$67,MATCH($S119,$B$5:$B$67,0))</f>
        <v>477.12</v>
      </c>
      <c r="V119" s="25">
        <f t="array" ref="V119">INDEX(L$5:L$67,MATCH($S119,$B$5:$B$67,0))</f>
        <v>61.44</v>
      </c>
      <c r="W119" s="25">
        <f t="array" ref="W119">INDEX(M$5:M$67,MATCH($S119,$B$5:$B$67,0))</f>
        <v>49.15</v>
      </c>
      <c r="X119" s="25">
        <f t="array" ref="X119">INDEX(N$5:N$67,MATCH($S119,$B$5:$B$67,0))</f>
        <v>68</v>
      </c>
      <c r="Y119" s="25">
        <f t="shared" si="4"/>
        <v>6680</v>
      </c>
      <c r="Z119" s="25">
        <f t="shared" si="5"/>
        <v>860</v>
      </c>
      <c r="AA119" s="25">
        <f t="shared" si="6"/>
        <v>688</v>
      </c>
      <c r="AB119" s="25">
        <f t="shared" si="7"/>
        <v>952</v>
      </c>
      <c r="AF119" s="25">
        <v>41</v>
      </c>
      <c r="AG119" s="25">
        <f t="array" ref="AG119">INDEX($AE$79:$AE$116,QUOTIENT(AF119-1,8)+1)</f>
        <v>1006</v>
      </c>
      <c r="AH119" s="25">
        <f t="shared" si="37"/>
        <v>1</v>
      </c>
      <c r="AI119" s="25">
        <f t="shared" si="8"/>
        <v>10061</v>
      </c>
      <c r="AJ119" s="25" t="str">
        <f t="shared" si="9"/>
        <v>莉莉娅</v>
      </c>
      <c r="AK119" s="25">
        <f t="shared" si="38"/>
        <v>1</v>
      </c>
      <c r="AL119" s="25" t="str">
        <f t="array" ref="AL119">INDEX($O$5:$O$42,MATCH(AJ119,$B$5:$B$42,0))</f>
        <v>攻击百分比</v>
      </c>
      <c r="AM119" s="25" t="str">
        <f t="array" ref="AM119">INDEX($P$5:$P$42,MATCH(AJ119,$B$5:$B$42,0))</f>
        <v>技能伤害加成</v>
      </c>
      <c r="AN119" s="25" t="str">
        <f t="array" ref="AN119">INDEX($Q$5:$Q$42,MATCH(AJ119,$B$5:$B$42,0))</f>
        <v>能量回复等级</v>
      </c>
      <c r="AO119" s="25" t="str">
        <f t="array" ref="AO119">INDEX(AL119:AN119,0,AK119)</f>
        <v>攻击百分比</v>
      </c>
      <c r="AP119" s="25">
        <f t="shared" si="39"/>
        <v>0.15</v>
      </c>
      <c r="AQ119" s="25">
        <f t="shared" si="11"/>
        <v>0.15</v>
      </c>
      <c r="AR119" s="25" t="str">
        <f t="shared" ref="AR119:BZ119" si="105">IF(AR$78=$AO119,$AQ119,"0")</f>
        <v>0</v>
      </c>
      <c r="AS119" s="25" t="str">
        <f t="shared" si="105"/>
        <v>0</v>
      </c>
      <c r="AT119" s="25" t="str">
        <f t="shared" si="105"/>
        <v>0</v>
      </c>
      <c r="AU119" s="25">
        <f t="shared" si="105"/>
        <v>0.15</v>
      </c>
      <c r="AV119" s="25" t="str">
        <f t="shared" si="105"/>
        <v>0</v>
      </c>
      <c r="AW119" s="25">
        <f t="shared" si="105"/>
        <v>0.15</v>
      </c>
      <c r="AX119" s="25" t="str">
        <f t="shared" si="105"/>
        <v>0</v>
      </c>
      <c r="AY119" s="25" t="str">
        <f t="shared" si="105"/>
        <v>0</v>
      </c>
      <c r="AZ119" s="25" t="str">
        <f t="shared" si="105"/>
        <v>0</v>
      </c>
      <c r="BA119" s="25" t="str">
        <f t="shared" si="105"/>
        <v>0</v>
      </c>
      <c r="BB119" s="25" t="str">
        <f t="shared" si="105"/>
        <v>0</v>
      </c>
      <c r="BC119" s="25" t="str">
        <f t="shared" si="105"/>
        <v>0</v>
      </c>
      <c r="BD119" s="25" t="str">
        <f t="shared" si="105"/>
        <v>0</v>
      </c>
      <c r="BE119" s="25" t="str">
        <f t="shared" si="105"/>
        <v>0</v>
      </c>
      <c r="BF119" s="25" t="str">
        <f t="shared" si="105"/>
        <v>0</v>
      </c>
      <c r="BG119" s="25" t="str">
        <f t="shared" si="105"/>
        <v>0</v>
      </c>
      <c r="BH119" s="25" t="str">
        <f t="shared" si="105"/>
        <v>0</v>
      </c>
      <c r="BI119" s="25" t="str">
        <f t="shared" si="105"/>
        <v>0</v>
      </c>
      <c r="BJ119" s="25" t="str">
        <f t="shared" si="105"/>
        <v>0</v>
      </c>
      <c r="BK119" s="25" t="str">
        <f t="shared" si="105"/>
        <v>0</v>
      </c>
      <c r="BL119" s="25" t="str">
        <f t="shared" si="105"/>
        <v>0</v>
      </c>
      <c r="BM119" s="25" t="str">
        <f t="shared" si="105"/>
        <v>0</v>
      </c>
      <c r="BN119" s="25" t="str">
        <f t="shared" si="105"/>
        <v>0</v>
      </c>
      <c r="BO119" s="25" t="str">
        <f t="shared" si="105"/>
        <v>0</v>
      </c>
      <c r="BP119" s="25" t="str">
        <f t="shared" si="105"/>
        <v>0</v>
      </c>
      <c r="BQ119" s="25" t="str">
        <f t="shared" si="105"/>
        <v>0</v>
      </c>
      <c r="BR119" s="25" t="str">
        <f t="shared" si="105"/>
        <v>0</v>
      </c>
      <c r="BS119" s="25" t="str">
        <f t="shared" si="105"/>
        <v>0</v>
      </c>
      <c r="BT119" s="25" t="str">
        <f t="shared" si="105"/>
        <v>0</v>
      </c>
      <c r="BU119" s="25" t="str">
        <f t="shared" si="105"/>
        <v>0</v>
      </c>
      <c r="BV119" s="25" t="str">
        <f t="shared" si="105"/>
        <v>0</v>
      </c>
      <c r="BW119" s="25" t="str">
        <f t="shared" si="105"/>
        <v>0</v>
      </c>
      <c r="BX119" s="25" t="str">
        <f t="shared" si="105"/>
        <v>0</v>
      </c>
      <c r="BY119" s="25" t="str">
        <f t="shared" si="105"/>
        <v>0</v>
      </c>
      <c r="BZ119" s="25" t="str">
        <f t="shared" si="105"/>
        <v>0</v>
      </c>
      <c r="CC119" s="25" t="str">
        <f t="array" ref="CC119">INDEX($C$46:$C$74,MATCH(CD119,$B$46:$B$74,0))</f>
        <v>莉莉娅</v>
      </c>
      <c r="CD119" s="1">
        <v>1006</v>
      </c>
      <c r="CE119" s="1">
        <v>5</v>
      </c>
      <c r="CF119" s="25" t="str">
        <f t="array" ref="CF119">INDEX($T$5:$T$44,MATCH(CC119,$B$5:$B$44,0))</f>
        <v>物理</v>
      </c>
      <c r="CG119" s="25">
        <f t="shared" si="34"/>
        <v>0.3</v>
      </c>
      <c r="CH119" s="25">
        <f t="shared" si="13"/>
        <v>1.3</v>
      </c>
      <c r="CI119" s="25">
        <f t="shared" si="14"/>
        <v>1.3</v>
      </c>
      <c r="CJ119" s="25">
        <f t="shared" si="15"/>
        <v>1</v>
      </c>
      <c r="CK119" s="25">
        <f t="shared" si="16"/>
        <v>1.3</v>
      </c>
      <c r="CL119" s="25" t="str">
        <f t="array" ref="CL119">INDEX($S$5:$S$43,MATCH(CC119,$B$5:$B$43,0))</f>
        <v>技能伤害加成</v>
      </c>
      <c r="CM119" s="25">
        <f t="shared" si="35"/>
        <v>0.3</v>
      </c>
      <c r="CN119" s="25">
        <f t="shared" si="17"/>
        <v>0.36</v>
      </c>
      <c r="CO119" s="25">
        <f t="shared" si="18"/>
        <v>1</v>
      </c>
      <c r="CP119" s="29" t="str">
        <f t="shared" ref="CP119:DQ119" si="106">IF($CL119=CP$78,$CN119,"0")</f>
        <v>0</v>
      </c>
      <c r="CQ119" s="29" t="str">
        <f t="shared" si="106"/>
        <v>0</v>
      </c>
      <c r="CR119" s="29" t="str">
        <f t="shared" si="106"/>
        <v>0</v>
      </c>
      <c r="CS119" s="29" t="str">
        <f t="shared" si="106"/>
        <v>0</v>
      </c>
      <c r="CT119" s="29" t="str">
        <f t="shared" si="106"/>
        <v>0</v>
      </c>
      <c r="CU119" s="29" t="str">
        <f t="shared" si="106"/>
        <v>0</v>
      </c>
      <c r="CV119" s="29" t="str">
        <f t="shared" si="106"/>
        <v>0</v>
      </c>
      <c r="CW119" s="29" t="str">
        <f t="shared" si="106"/>
        <v>0</v>
      </c>
      <c r="CX119" s="29" t="str">
        <f t="shared" si="106"/>
        <v>0</v>
      </c>
      <c r="CY119" s="29" t="str">
        <f t="shared" si="106"/>
        <v>0</v>
      </c>
      <c r="CZ119" s="29" t="str">
        <f t="shared" si="106"/>
        <v>0</v>
      </c>
      <c r="DA119" s="29" t="str">
        <f t="shared" si="106"/>
        <v>0</v>
      </c>
      <c r="DB119" s="29" t="str">
        <f t="shared" si="106"/>
        <v>0</v>
      </c>
      <c r="DC119" s="29" t="str">
        <f t="shared" si="106"/>
        <v>0</v>
      </c>
      <c r="DD119" s="29" t="str">
        <f t="shared" si="106"/>
        <v>0</v>
      </c>
      <c r="DE119" s="29">
        <f t="shared" si="106"/>
        <v>0.36</v>
      </c>
      <c r="DF119" s="29" t="str">
        <f t="shared" si="106"/>
        <v>0</v>
      </c>
      <c r="DG119" s="29" t="str">
        <f t="shared" si="106"/>
        <v>0</v>
      </c>
      <c r="DH119" s="29" t="str">
        <f t="shared" si="106"/>
        <v>0</v>
      </c>
      <c r="DI119" s="29" t="str">
        <f t="shared" si="106"/>
        <v>0</v>
      </c>
      <c r="DJ119" s="29" t="str">
        <f t="shared" si="106"/>
        <v>0</v>
      </c>
      <c r="DK119" s="29" t="str">
        <f t="shared" si="106"/>
        <v>0</v>
      </c>
      <c r="DL119" s="29" t="str">
        <f t="shared" si="106"/>
        <v>0</v>
      </c>
      <c r="DM119" s="29" t="str">
        <f t="shared" si="106"/>
        <v>0</v>
      </c>
      <c r="DN119" s="29" t="str">
        <f t="shared" si="106"/>
        <v>0</v>
      </c>
      <c r="DO119" s="29" t="str">
        <f t="shared" si="106"/>
        <v>0</v>
      </c>
      <c r="DP119" s="29" t="str">
        <f t="shared" si="106"/>
        <v>0</v>
      </c>
      <c r="DQ119" s="29" t="str">
        <f t="shared" si="106"/>
        <v>0</v>
      </c>
      <c r="DR119" s="29"/>
      <c r="DS119" s="25" t="s">
        <v>1011</v>
      </c>
      <c r="DT119" s="25" t="str">
        <f>TEXT(角色升星!$F$18,"0%")</f>
        <v>15%</v>
      </c>
      <c r="DU119" s="25" t="s">
        <v>779</v>
      </c>
      <c r="DV119" s="25" t="str">
        <f>IF(CF119="物理","PhysicsAttack,+","MagicAttack,+")</f>
        <v>PhysicsAttack,+</v>
      </c>
      <c r="DW119" s="25" t="str">
        <f>TEXT(角色升星!$F$18,"0%")</f>
        <v>15%</v>
      </c>
      <c r="DX119" s="25" t="s">
        <v>779</v>
      </c>
      <c r="DY119" s="25" t="s">
        <v>1012</v>
      </c>
      <c r="DZ119" s="25" t="str">
        <f>TEXT(角色升星!$F$18,"0%")</f>
        <v>15%</v>
      </c>
      <c r="EA119" s="25" t="s">
        <v>779</v>
      </c>
      <c r="EB119" s="25" t="str">
        <f>VLOOKUP(CL119,$O$46:$P$73,2,0)</f>
        <v>SkillDmgBonus</v>
      </c>
      <c r="EC119" s="25" t="s">
        <v>1013</v>
      </c>
      <c r="ED119" s="25" t="str">
        <f>IF(CN119&gt;1,CN119,TEXT(CN119,"0%"))</f>
        <v>36%</v>
      </c>
      <c r="EE119" s="25" t="str">
        <f t="shared" si="20"/>
        <v>Hp,+15%;PhysicsAttack,+15%;Armor,+15%;SkillDmgBonus,+36%</v>
      </c>
    </row>
    <row r="120" spans="1:135">
      <c r="A120" s="48">
        <v>1001042</v>
      </c>
      <c r="B120" s="49" t="s">
        <v>910</v>
      </c>
      <c r="C120" s="25">
        <v>42</v>
      </c>
      <c r="D120" s="25">
        <f t="array" ref="D120">INDEX(C$5:C$67,MATCH($B120,$B$5:$B$67,0))</f>
        <v>3600</v>
      </c>
      <c r="E120" s="25">
        <f t="array" ref="E120">INDEX(D$5:D$67,MATCH($B120,$B$5:$B$67,0))</f>
        <v>288</v>
      </c>
      <c r="F120" s="25">
        <f t="array" ref="F120">INDEX(E$5:E$67,MATCH($B120,$B$5:$B$67,0))</f>
        <v>1320</v>
      </c>
      <c r="G120" s="25">
        <f t="array" ref="G120">INDEX(F$5:F$67,MATCH($B120,$B$5:$B$67,0))</f>
        <v>105.6</v>
      </c>
      <c r="H120" s="25">
        <f t="array" ref="H120">INDEX(G$5:G$66,MATCH($B120,$B$5:$B$67,0))</f>
        <v>1056</v>
      </c>
      <c r="I120" s="25">
        <f t="array" ref="I120">INDEX(H$5:H$67,MATCH($B120,$B$5:$B$67,0))</f>
        <v>84.48</v>
      </c>
      <c r="J120" s="25">
        <f t="array" ref="J120">INDEX(I$5:I$67,MATCH($B120,$B$5:$B$67,0))</f>
        <v>800</v>
      </c>
      <c r="K120" s="25">
        <f t="array" ref="K120">INDEX(J$5:J$67,MATCH($B120,$B$5:$B$67,0))</f>
        <v>64</v>
      </c>
      <c r="L120" s="25">
        <f t="shared" si="0"/>
        <v>15696</v>
      </c>
      <c r="M120" s="25">
        <f t="shared" si="1"/>
        <v>5755</v>
      </c>
      <c r="N120" s="25">
        <f t="shared" si="2"/>
        <v>4604</v>
      </c>
      <c r="O120" s="25">
        <f t="shared" si="3"/>
        <v>3488</v>
      </c>
      <c r="R120" s="50">
        <f t="array" ref="R120">INDEX($B$46:$B$68,MATCH(S120,$C$46:$C$68,0))*1000+T120</f>
        <v>1002015</v>
      </c>
      <c r="S120" s="51" t="s">
        <v>318</v>
      </c>
      <c r="T120" s="29">
        <f t="shared" si="78"/>
        <v>15</v>
      </c>
      <c r="U120" s="25">
        <f t="array" ref="U120">INDEX(K$5:K$67,MATCH($S120,$B$5:$B$67,0))</f>
        <v>477.12</v>
      </c>
      <c r="V120" s="25">
        <f t="array" ref="V120">INDEX(L$5:L$67,MATCH($S120,$B$5:$B$67,0))</f>
        <v>61.44</v>
      </c>
      <c r="W120" s="25">
        <f t="array" ref="W120">INDEX(M$5:M$67,MATCH($S120,$B$5:$B$67,0))</f>
        <v>49.15</v>
      </c>
      <c r="X120" s="25">
        <f t="array" ref="X120">INDEX(N$5:N$67,MATCH($S120,$B$5:$B$67,0))</f>
        <v>68</v>
      </c>
      <c r="Y120" s="25">
        <f t="shared" si="4"/>
        <v>7157</v>
      </c>
      <c r="Z120" s="25">
        <f t="shared" si="5"/>
        <v>922</v>
      </c>
      <c r="AA120" s="25">
        <f t="shared" si="6"/>
        <v>737</v>
      </c>
      <c r="AB120" s="25">
        <f t="shared" si="7"/>
        <v>1020</v>
      </c>
      <c r="AF120" s="25">
        <v>42</v>
      </c>
      <c r="AG120" s="25">
        <f t="array" ref="AG120">INDEX($AE$79:$AE$116,QUOTIENT(AF120-1,8)+1)</f>
        <v>1006</v>
      </c>
      <c r="AH120" s="25">
        <f t="shared" si="37"/>
        <v>2</v>
      </c>
      <c r="AI120" s="25">
        <f t="shared" si="8"/>
        <v>10062</v>
      </c>
      <c r="AJ120" s="25" t="str">
        <f t="shared" si="9"/>
        <v>莉莉娅</v>
      </c>
      <c r="AK120" s="25">
        <f t="shared" si="38"/>
        <v>2</v>
      </c>
      <c r="AL120" s="25" t="str">
        <f t="array" ref="AL120">INDEX($O$5:$O$42,MATCH(AJ120,$B$5:$B$42,0))</f>
        <v>攻击百分比</v>
      </c>
      <c r="AM120" s="25" t="str">
        <f t="array" ref="AM120">INDEX($P$5:$P$42,MATCH(AJ120,$B$5:$B$42,0))</f>
        <v>技能伤害加成</v>
      </c>
      <c r="AN120" s="25" t="str">
        <f t="array" ref="AN120">INDEX($Q$5:$Q$42,MATCH(AJ120,$B$5:$B$42,0))</f>
        <v>能量回复等级</v>
      </c>
      <c r="AO120" s="25" t="str">
        <f t="array" ref="AO120">INDEX(AL120:AN120,0,AK120)</f>
        <v>技能伤害加成</v>
      </c>
      <c r="AP120" s="25">
        <f t="shared" si="39"/>
        <v>0.15</v>
      </c>
      <c r="AQ120" s="25">
        <f t="shared" si="11"/>
        <v>0.18</v>
      </c>
      <c r="AR120" s="25" t="str">
        <f t="shared" ref="AR120:BZ120" si="107">IF(AR$78=$AO120,$AQ120,"0")</f>
        <v>0</v>
      </c>
      <c r="AS120" s="25" t="str">
        <f t="shared" si="107"/>
        <v>0</v>
      </c>
      <c r="AT120" s="25" t="str">
        <f t="shared" si="107"/>
        <v>0</v>
      </c>
      <c r="AU120" s="25" t="str">
        <f t="shared" si="107"/>
        <v>0</v>
      </c>
      <c r="AV120" s="25" t="str">
        <f t="shared" si="107"/>
        <v>0</v>
      </c>
      <c r="AW120" s="25" t="str">
        <f t="shared" si="107"/>
        <v>0</v>
      </c>
      <c r="AX120" s="25" t="str">
        <f t="shared" si="107"/>
        <v>0</v>
      </c>
      <c r="AY120" s="25" t="str">
        <f t="shared" si="107"/>
        <v>0</v>
      </c>
      <c r="AZ120" s="25" t="str">
        <f t="shared" si="107"/>
        <v>0</v>
      </c>
      <c r="BA120" s="25" t="str">
        <f t="shared" si="107"/>
        <v>0</v>
      </c>
      <c r="BB120" s="25" t="str">
        <f t="shared" si="107"/>
        <v>0</v>
      </c>
      <c r="BC120" s="25" t="str">
        <f t="shared" si="107"/>
        <v>0</v>
      </c>
      <c r="BD120" s="25" t="str">
        <f t="shared" si="107"/>
        <v>0</v>
      </c>
      <c r="BE120" s="25" t="str">
        <f t="shared" si="107"/>
        <v>0</v>
      </c>
      <c r="BF120" s="25" t="str">
        <f t="shared" si="107"/>
        <v>0</v>
      </c>
      <c r="BG120" s="25" t="str">
        <f t="shared" si="107"/>
        <v>0</v>
      </c>
      <c r="BH120" s="25" t="str">
        <f t="shared" si="107"/>
        <v>0</v>
      </c>
      <c r="BI120" s="25" t="str">
        <f t="shared" si="107"/>
        <v>0</v>
      </c>
      <c r="BJ120" s="25" t="str">
        <f t="shared" si="107"/>
        <v>0</v>
      </c>
      <c r="BK120" s="25" t="str">
        <f t="shared" si="107"/>
        <v>0</v>
      </c>
      <c r="BL120" s="25" t="str">
        <f t="shared" si="107"/>
        <v>0</v>
      </c>
      <c r="BM120" s="25" t="str">
        <f t="shared" si="107"/>
        <v>0</v>
      </c>
      <c r="BN120" s="25">
        <f t="shared" si="107"/>
        <v>0.18</v>
      </c>
      <c r="BO120" s="25" t="str">
        <f t="shared" si="107"/>
        <v>0</v>
      </c>
      <c r="BP120" s="25" t="str">
        <f t="shared" si="107"/>
        <v>0</v>
      </c>
      <c r="BQ120" s="25" t="str">
        <f t="shared" si="107"/>
        <v>0</v>
      </c>
      <c r="BR120" s="25" t="str">
        <f t="shared" si="107"/>
        <v>0</v>
      </c>
      <c r="BS120" s="25" t="str">
        <f t="shared" si="107"/>
        <v>0</v>
      </c>
      <c r="BT120" s="25" t="str">
        <f t="shared" si="107"/>
        <v>0</v>
      </c>
      <c r="BU120" s="25" t="str">
        <f t="shared" si="107"/>
        <v>0</v>
      </c>
      <c r="BV120" s="25" t="str">
        <f t="shared" si="107"/>
        <v>0</v>
      </c>
      <c r="BW120" s="25" t="str">
        <f t="shared" si="107"/>
        <v>0</v>
      </c>
      <c r="BX120" s="25" t="str">
        <f t="shared" si="107"/>
        <v>0</v>
      </c>
      <c r="BY120" s="25" t="str">
        <f t="shared" si="107"/>
        <v>0</v>
      </c>
      <c r="BZ120" s="25" t="str">
        <f t="shared" si="107"/>
        <v>0</v>
      </c>
      <c r="CC120" s="25" t="str">
        <f t="array" ref="CC120">INDEX($C$46:$C$74,MATCH(CD120,$B$46:$B$74,0))</f>
        <v>莉莉娅</v>
      </c>
      <c r="CD120" s="1">
        <v>1006</v>
      </c>
      <c r="CE120" s="1">
        <v>6</v>
      </c>
      <c r="CF120" s="25" t="str">
        <f t="array" ref="CF120">INDEX($T$5:$T$44,MATCH(CC120,$B$5:$B$44,0))</f>
        <v>物理</v>
      </c>
      <c r="CG120" s="25">
        <f t="shared" si="34"/>
        <v>0.3</v>
      </c>
      <c r="CH120" s="25">
        <f t="shared" si="13"/>
        <v>1.3</v>
      </c>
      <c r="CI120" s="25">
        <f t="shared" si="14"/>
        <v>1.3</v>
      </c>
      <c r="CJ120" s="25">
        <f t="shared" si="15"/>
        <v>1</v>
      </c>
      <c r="CK120" s="25">
        <f t="shared" si="16"/>
        <v>1.3</v>
      </c>
      <c r="CL120" s="25">
        <v>0</v>
      </c>
      <c r="CM120" s="25">
        <f t="shared" si="35"/>
        <v>0</v>
      </c>
      <c r="CN120" s="25">
        <f t="shared" si="17"/>
        <v>0</v>
      </c>
      <c r="CO120" s="25">
        <f t="shared" si="18"/>
        <v>0</v>
      </c>
      <c r="CP120" s="29" t="str">
        <f t="shared" ref="CP120:DQ120" si="108">IF($CL120=CP$78,$CN120,"0")</f>
        <v>0</v>
      </c>
      <c r="CQ120" s="29" t="str">
        <f t="shared" si="108"/>
        <v>0</v>
      </c>
      <c r="CR120" s="29" t="str">
        <f t="shared" si="108"/>
        <v>0</v>
      </c>
      <c r="CS120" s="29" t="str">
        <f t="shared" si="108"/>
        <v>0</v>
      </c>
      <c r="CT120" s="29" t="str">
        <f t="shared" si="108"/>
        <v>0</v>
      </c>
      <c r="CU120" s="29" t="str">
        <f t="shared" si="108"/>
        <v>0</v>
      </c>
      <c r="CV120" s="29" t="str">
        <f t="shared" si="108"/>
        <v>0</v>
      </c>
      <c r="CW120" s="29" t="str">
        <f t="shared" si="108"/>
        <v>0</v>
      </c>
      <c r="CX120" s="29" t="str">
        <f t="shared" si="108"/>
        <v>0</v>
      </c>
      <c r="CY120" s="29" t="str">
        <f t="shared" si="108"/>
        <v>0</v>
      </c>
      <c r="CZ120" s="29" t="str">
        <f t="shared" si="108"/>
        <v>0</v>
      </c>
      <c r="DA120" s="29" t="str">
        <f t="shared" si="108"/>
        <v>0</v>
      </c>
      <c r="DB120" s="29" t="str">
        <f t="shared" si="108"/>
        <v>0</v>
      </c>
      <c r="DC120" s="29" t="str">
        <f t="shared" si="108"/>
        <v>0</v>
      </c>
      <c r="DD120" s="29" t="str">
        <f t="shared" si="108"/>
        <v>0</v>
      </c>
      <c r="DE120" s="29" t="str">
        <f t="shared" si="108"/>
        <v>0</v>
      </c>
      <c r="DF120" s="29" t="str">
        <f t="shared" si="108"/>
        <v>0</v>
      </c>
      <c r="DG120" s="29" t="str">
        <f t="shared" si="108"/>
        <v>0</v>
      </c>
      <c r="DH120" s="29" t="str">
        <f t="shared" si="108"/>
        <v>0</v>
      </c>
      <c r="DI120" s="29" t="str">
        <f t="shared" si="108"/>
        <v>0</v>
      </c>
      <c r="DJ120" s="29" t="str">
        <f t="shared" si="108"/>
        <v>0</v>
      </c>
      <c r="DK120" s="29" t="str">
        <f t="shared" si="108"/>
        <v>0</v>
      </c>
      <c r="DL120" s="29" t="str">
        <f t="shared" si="108"/>
        <v>0</v>
      </c>
      <c r="DM120" s="29" t="str">
        <f t="shared" si="108"/>
        <v>0</v>
      </c>
      <c r="DN120" s="29" t="str">
        <f t="shared" si="108"/>
        <v>0</v>
      </c>
      <c r="DO120" s="29" t="str">
        <f t="shared" si="108"/>
        <v>0</v>
      </c>
      <c r="DP120" s="29" t="str">
        <f t="shared" si="108"/>
        <v>0</v>
      </c>
      <c r="DQ120" s="29" t="str">
        <f t="shared" si="108"/>
        <v>0</v>
      </c>
      <c r="DR120" s="29"/>
      <c r="DS120" s="25">
        <v>0</v>
      </c>
      <c r="EE120" s="25" t="str">
        <f t="shared" si="20"/>
        <v>0</v>
      </c>
    </row>
    <row r="121" spans="1:135">
      <c r="A121" s="48">
        <v>1001043</v>
      </c>
      <c r="B121" s="49" t="s">
        <v>910</v>
      </c>
      <c r="C121" s="25">
        <v>43</v>
      </c>
      <c r="D121" s="25">
        <f t="array" ref="D121">INDEX(C$5:C$67,MATCH($B121,$B$5:$B$67,0))</f>
        <v>3600</v>
      </c>
      <c r="E121" s="25">
        <f t="array" ref="E121">INDEX(D$5:D$67,MATCH($B121,$B$5:$B$67,0))</f>
        <v>288</v>
      </c>
      <c r="F121" s="25">
        <f t="array" ref="F121">INDEX(E$5:E$67,MATCH($B121,$B$5:$B$67,0))</f>
        <v>1320</v>
      </c>
      <c r="G121" s="25">
        <f t="array" ref="G121">INDEX(F$5:F$67,MATCH($B121,$B$5:$B$67,0))</f>
        <v>105.6</v>
      </c>
      <c r="H121" s="25">
        <f t="array" ref="H121">INDEX(G$5:G$66,MATCH($B121,$B$5:$B$67,0))</f>
        <v>1056</v>
      </c>
      <c r="I121" s="25">
        <f t="array" ref="I121">INDEX(H$5:H$67,MATCH($B121,$B$5:$B$67,0))</f>
        <v>84.48</v>
      </c>
      <c r="J121" s="25">
        <f t="array" ref="J121">INDEX(I$5:I$67,MATCH($B121,$B$5:$B$67,0))</f>
        <v>800</v>
      </c>
      <c r="K121" s="25">
        <f t="array" ref="K121">INDEX(J$5:J$67,MATCH($B121,$B$5:$B$67,0))</f>
        <v>64</v>
      </c>
      <c r="L121" s="25">
        <f t="shared" si="0"/>
        <v>15984</v>
      </c>
      <c r="M121" s="25">
        <f t="shared" si="1"/>
        <v>5861</v>
      </c>
      <c r="N121" s="25">
        <f t="shared" si="2"/>
        <v>4689</v>
      </c>
      <c r="O121" s="25">
        <f t="shared" si="3"/>
        <v>3552</v>
      </c>
      <c r="R121" s="50">
        <f t="array" ref="R121">INDEX($B$46:$B$68,MATCH(S121,$C$46:$C$68,0))*1000+T121</f>
        <v>1002016</v>
      </c>
      <c r="S121" s="51" t="s">
        <v>318</v>
      </c>
      <c r="T121" s="29">
        <f t="shared" si="78"/>
        <v>16</v>
      </c>
      <c r="U121" s="25">
        <f t="array" ref="U121">INDEX(K$5:K$67,MATCH($S121,$B$5:$B$67,0))</f>
        <v>477.12</v>
      </c>
      <c r="V121" s="25">
        <f t="array" ref="V121">INDEX(L$5:L$67,MATCH($S121,$B$5:$B$67,0))</f>
        <v>61.44</v>
      </c>
      <c r="W121" s="25">
        <f t="array" ref="W121">INDEX(M$5:M$67,MATCH($S121,$B$5:$B$67,0))</f>
        <v>49.15</v>
      </c>
      <c r="X121" s="25">
        <f t="array" ref="X121">INDEX(N$5:N$67,MATCH($S121,$B$5:$B$67,0))</f>
        <v>68</v>
      </c>
      <c r="Y121" s="25">
        <f t="shared" si="4"/>
        <v>7634</v>
      </c>
      <c r="Z121" s="25">
        <f t="shared" si="5"/>
        <v>983</v>
      </c>
      <c r="AA121" s="25">
        <f t="shared" si="6"/>
        <v>786</v>
      </c>
      <c r="AB121" s="25">
        <f t="shared" si="7"/>
        <v>1088</v>
      </c>
      <c r="AF121" s="25">
        <v>43</v>
      </c>
      <c r="AG121" s="25">
        <f t="array" ref="AG121">INDEX($AE$79:$AE$116,QUOTIENT(AF121-1,8)+1)</f>
        <v>1006</v>
      </c>
      <c r="AH121" s="25">
        <f t="shared" si="37"/>
        <v>3</v>
      </c>
      <c r="AI121" s="25">
        <f t="shared" si="8"/>
        <v>10063</v>
      </c>
      <c r="AJ121" s="25" t="str">
        <f t="shared" si="9"/>
        <v>莉莉娅</v>
      </c>
      <c r="AK121" s="25">
        <f t="shared" si="38"/>
        <v>3</v>
      </c>
      <c r="AL121" s="25" t="str">
        <f t="array" ref="AL121">INDEX($O$5:$O$42,MATCH(AJ121,$B$5:$B$42,0))</f>
        <v>攻击百分比</v>
      </c>
      <c r="AM121" s="25" t="str">
        <f t="array" ref="AM121">INDEX($P$5:$P$42,MATCH(AJ121,$B$5:$B$42,0))</f>
        <v>技能伤害加成</v>
      </c>
      <c r="AN121" s="25" t="str">
        <f t="array" ref="AN121">INDEX($Q$5:$Q$42,MATCH(AJ121,$B$5:$B$42,0))</f>
        <v>能量回复等级</v>
      </c>
      <c r="AO121" s="25" t="str">
        <f t="array" ref="AO121">INDEX(AL121:AN121,0,AK121)</f>
        <v>能量回复等级</v>
      </c>
      <c r="AP121" s="25">
        <f>1950*$G$46/VLOOKUP(AO121,$F$46:$G$72,2,0)</f>
        <v>0.216666666666667</v>
      </c>
      <c r="AQ121" s="25">
        <f t="shared" si="11"/>
        <v>1950</v>
      </c>
      <c r="AR121" s="25" t="str">
        <f t="shared" ref="AR121:BZ121" si="109">IF(AR$78=$AO121,$AQ121,"0")</f>
        <v>0</v>
      </c>
      <c r="AS121" s="25" t="str">
        <f t="shared" si="109"/>
        <v>0</v>
      </c>
      <c r="AT121" s="25" t="str">
        <f t="shared" si="109"/>
        <v>0</v>
      </c>
      <c r="AU121" s="25" t="str">
        <f t="shared" si="109"/>
        <v>0</v>
      </c>
      <c r="AV121" s="25" t="str">
        <f t="shared" si="109"/>
        <v>0</v>
      </c>
      <c r="AW121" s="25" t="str">
        <f t="shared" si="109"/>
        <v>0</v>
      </c>
      <c r="AX121" s="25" t="str">
        <f t="shared" si="109"/>
        <v>0</v>
      </c>
      <c r="AY121" s="25" t="str">
        <f t="shared" si="109"/>
        <v>0</v>
      </c>
      <c r="AZ121" s="25" t="str">
        <f t="shared" si="109"/>
        <v>0</v>
      </c>
      <c r="BA121" s="25" t="str">
        <f t="shared" si="109"/>
        <v>0</v>
      </c>
      <c r="BB121" s="25" t="str">
        <f t="shared" si="109"/>
        <v>0</v>
      </c>
      <c r="BC121" s="25" t="str">
        <f t="shared" si="109"/>
        <v>0</v>
      </c>
      <c r="BD121" s="25" t="str">
        <f t="shared" si="109"/>
        <v>0</v>
      </c>
      <c r="BE121" s="25" t="str">
        <f t="shared" si="109"/>
        <v>0</v>
      </c>
      <c r="BF121" s="25" t="str">
        <f t="shared" si="109"/>
        <v>0</v>
      </c>
      <c r="BG121" s="25" t="str">
        <f t="shared" si="109"/>
        <v>0</v>
      </c>
      <c r="BH121" s="25" t="str">
        <f t="shared" si="109"/>
        <v>0</v>
      </c>
      <c r="BI121" s="25" t="str">
        <f t="shared" si="109"/>
        <v>0</v>
      </c>
      <c r="BJ121" s="25" t="str">
        <f t="shared" si="109"/>
        <v>0</v>
      </c>
      <c r="BK121" s="25" t="str">
        <f t="shared" si="109"/>
        <v>0</v>
      </c>
      <c r="BL121" s="25" t="str">
        <f t="shared" si="109"/>
        <v>0</v>
      </c>
      <c r="BM121" s="25" t="str">
        <f t="shared" si="109"/>
        <v>0</v>
      </c>
      <c r="BN121" s="25" t="str">
        <f t="shared" si="109"/>
        <v>0</v>
      </c>
      <c r="BO121" s="25" t="str">
        <f t="shared" si="109"/>
        <v>0</v>
      </c>
      <c r="BP121" s="25" t="str">
        <f t="shared" si="109"/>
        <v>0</v>
      </c>
      <c r="BQ121" s="25" t="str">
        <f t="shared" si="109"/>
        <v>0</v>
      </c>
      <c r="BR121" s="25" t="str">
        <f t="shared" si="109"/>
        <v>0</v>
      </c>
      <c r="BS121" s="25" t="str">
        <f t="shared" si="109"/>
        <v>0</v>
      </c>
      <c r="BT121" s="25" t="str">
        <f t="shared" si="109"/>
        <v>0</v>
      </c>
      <c r="BU121" s="25" t="str">
        <f t="shared" si="109"/>
        <v>0</v>
      </c>
      <c r="BV121" s="25" t="str">
        <f t="shared" si="109"/>
        <v>0</v>
      </c>
      <c r="BW121" s="25" t="str">
        <f t="shared" si="109"/>
        <v>0</v>
      </c>
      <c r="BX121" s="25" t="str">
        <f t="shared" si="109"/>
        <v>0</v>
      </c>
      <c r="BY121" s="25">
        <f t="shared" si="109"/>
        <v>1950</v>
      </c>
      <c r="BZ121" s="25" t="str">
        <f t="shared" si="109"/>
        <v>0</v>
      </c>
      <c r="CC121" s="25" t="str">
        <f t="array" ref="CC121">INDEX($C$46:$C$74,MATCH(CD121,$B$46:$B$74,0))</f>
        <v>萨萨莉安</v>
      </c>
      <c r="CD121" s="1">
        <v>1007</v>
      </c>
      <c r="CE121" s="1">
        <v>0</v>
      </c>
      <c r="CF121" s="25" t="str">
        <f t="array" ref="CF121">INDEX($T$5:$T$44,MATCH(CC121,$B$5:$B$44,0))</f>
        <v>魔法</v>
      </c>
      <c r="CG121" s="25">
        <f t="shared" si="34"/>
        <v>0</v>
      </c>
      <c r="CH121" s="25">
        <f t="shared" si="13"/>
        <v>1</v>
      </c>
      <c r="CI121" s="25">
        <f t="shared" si="14"/>
        <v>1</v>
      </c>
      <c r="CJ121" s="25">
        <f t="shared" si="15"/>
        <v>1</v>
      </c>
      <c r="CK121" s="25">
        <f t="shared" si="16"/>
        <v>1</v>
      </c>
      <c r="CL121" s="25">
        <v>0</v>
      </c>
      <c r="CM121" s="25">
        <f t="shared" si="35"/>
        <v>0</v>
      </c>
      <c r="CN121" s="25">
        <f t="shared" si="17"/>
        <v>0</v>
      </c>
      <c r="CO121" s="25">
        <f t="shared" si="18"/>
        <v>0</v>
      </c>
      <c r="CP121" s="29" t="str">
        <f t="shared" ref="CP121:DQ121" si="110">IF($CL121=CP$78,$CN121,"0")</f>
        <v>0</v>
      </c>
      <c r="CQ121" s="29" t="str">
        <f t="shared" si="110"/>
        <v>0</v>
      </c>
      <c r="CR121" s="29" t="str">
        <f t="shared" si="110"/>
        <v>0</v>
      </c>
      <c r="CS121" s="29" t="str">
        <f t="shared" si="110"/>
        <v>0</v>
      </c>
      <c r="CT121" s="29" t="str">
        <f t="shared" si="110"/>
        <v>0</v>
      </c>
      <c r="CU121" s="29" t="str">
        <f t="shared" si="110"/>
        <v>0</v>
      </c>
      <c r="CV121" s="29" t="str">
        <f t="shared" si="110"/>
        <v>0</v>
      </c>
      <c r="CW121" s="29" t="str">
        <f t="shared" si="110"/>
        <v>0</v>
      </c>
      <c r="CX121" s="29" t="str">
        <f t="shared" si="110"/>
        <v>0</v>
      </c>
      <c r="CY121" s="29" t="str">
        <f t="shared" si="110"/>
        <v>0</v>
      </c>
      <c r="CZ121" s="29" t="str">
        <f t="shared" si="110"/>
        <v>0</v>
      </c>
      <c r="DA121" s="29" t="str">
        <f t="shared" si="110"/>
        <v>0</v>
      </c>
      <c r="DB121" s="29" t="str">
        <f t="shared" si="110"/>
        <v>0</v>
      </c>
      <c r="DC121" s="29" t="str">
        <f t="shared" si="110"/>
        <v>0</v>
      </c>
      <c r="DD121" s="29" t="str">
        <f t="shared" si="110"/>
        <v>0</v>
      </c>
      <c r="DE121" s="29" t="str">
        <f t="shared" si="110"/>
        <v>0</v>
      </c>
      <c r="DF121" s="29" t="str">
        <f t="shared" si="110"/>
        <v>0</v>
      </c>
      <c r="DG121" s="29" t="str">
        <f t="shared" si="110"/>
        <v>0</v>
      </c>
      <c r="DH121" s="29" t="str">
        <f t="shared" si="110"/>
        <v>0</v>
      </c>
      <c r="DI121" s="29" t="str">
        <f t="shared" si="110"/>
        <v>0</v>
      </c>
      <c r="DJ121" s="29" t="str">
        <f t="shared" si="110"/>
        <v>0</v>
      </c>
      <c r="DK121" s="29" t="str">
        <f t="shared" si="110"/>
        <v>0</v>
      </c>
      <c r="DL121" s="29" t="str">
        <f t="shared" si="110"/>
        <v>0</v>
      </c>
      <c r="DM121" s="29" t="str">
        <f t="shared" si="110"/>
        <v>0</v>
      </c>
      <c r="DN121" s="29" t="str">
        <f t="shared" si="110"/>
        <v>0</v>
      </c>
      <c r="DO121" s="29" t="str">
        <f t="shared" si="110"/>
        <v>0</v>
      </c>
      <c r="DP121" s="29" t="str">
        <f t="shared" si="110"/>
        <v>0</v>
      </c>
      <c r="DQ121" s="29" t="str">
        <f t="shared" si="110"/>
        <v>0</v>
      </c>
      <c r="DR121" s="29"/>
      <c r="DS121" s="25">
        <v>0</v>
      </c>
      <c r="EE121" s="25" t="str">
        <f t="shared" si="20"/>
        <v>0</v>
      </c>
    </row>
    <row r="122" spans="1:135">
      <c r="A122" s="48">
        <v>1001044</v>
      </c>
      <c r="B122" s="49" t="s">
        <v>910</v>
      </c>
      <c r="C122" s="25">
        <v>44</v>
      </c>
      <c r="D122" s="25">
        <f t="array" ref="D122">INDEX(C$5:C$67,MATCH($B122,$B$5:$B$67,0))</f>
        <v>3600</v>
      </c>
      <c r="E122" s="25">
        <f t="array" ref="E122">INDEX(D$5:D$67,MATCH($B122,$B$5:$B$67,0))</f>
        <v>288</v>
      </c>
      <c r="F122" s="25">
        <f t="array" ref="F122">INDEX(E$5:E$67,MATCH($B122,$B$5:$B$67,0))</f>
        <v>1320</v>
      </c>
      <c r="G122" s="25">
        <f t="array" ref="G122">INDEX(F$5:F$67,MATCH($B122,$B$5:$B$67,0))</f>
        <v>105.6</v>
      </c>
      <c r="H122" s="25">
        <f t="array" ref="H122">INDEX(G$5:G$66,MATCH($B122,$B$5:$B$67,0))</f>
        <v>1056</v>
      </c>
      <c r="I122" s="25">
        <f t="array" ref="I122">INDEX(H$5:H$67,MATCH($B122,$B$5:$B$67,0))</f>
        <v>84.48</v>
      </c>
      <c r="J122" s="25">
        <f t="array" ref="J122">INDEX(I$5:I$67,MATCH($B122,$B$5:$B$67,0))</f>
        <v>800</v>
      </c>
      <c r="K122" s="25">
        <f t="array" ref="K122">INDEX(J$5:J$67,MATCH($B122,$B$5:$B$67,0))</f>
        <v>64</v>
      </c>
      <c r="L122" s="25">
        <f t="shared" si="0"/>
        <v>16272</v>
      </c>
      <c r="M122" s="25">
        <f t="shared" si="1"/>
        <v>5966</v>
      </c>
      <c r="N122" s="25">
        <f t="shared" si="2"/>
        <v>4773</v>
      </c>
      <c r="O122" s="25">
        <f t="shared" si="3"/>
        <v>3616</v>
      </c>
      <c r="R122" s="50">
        <f t="array" ref="R122">INDEX($B$46:$B$68,MATCH(S122,$C$46:$C$68,0))*1000+T122</f>
        <v>1002017</v>
      </c>
      <c r="S122" s="51" t="s">
        <v>318</v>
      </c>
      <c r="T122" s="29">
        <f t="shared" si="78"/>
        <v>17</v>
      </c>
      <c r="U122" s="25">
        <f t="array" ref="U122">INDEX(K$5:K$67,MATCH($S122,$B$5:$B$67,0))</f>
        <v>477.12</v>
      </c>
      <c r="V122" s="25">
        <f t="array" ref="V122">INDEX(L$5:L$67,MATCH($S122,$B$5:$B$67,0))</f>
        <v>61.44</v>
      </c>
      <c r="W122" s="25">
        <f t="array" ref="W122">INDEX(M$5:M$67,MATCH($S122,$B$5:$B$67,0))</f>
        <v>49.15</v>
      </c>
      <c r="X122" s="25">
        <f t="array" ref="X122">INDEX(N$5:N$67,MATCH($S122,$B$5:$B$67,0))</f>
        <v>68</v>
      </c>
      <c r="Y122" s="25">
        <f t="shared" si="4"/>
        <v>8111</v>
      </c>
      <c r="Z122" s="25">
        <f t="shared" si="5"/>
        <v>1044</v>
      </c>
      <c r="AA122" s="25">
        <f t="shared" si="6"/>
        <v>836</v>
      </c>
      <c r="AB122" s="25">
        <f t="shared" si="7"/>
        <v>1156</v>
      </c>
      <c r="AF122" s="25">
        <v>44</v>
      </c>
      <c r="AG122" s="25">
        <f t="array" ref="AG122">INDEX($AE$79:$AE$116,QUOTIENT(AF122-1,8)+1)</f>
        <v>1006</v>
      </c>
      <c r="AH122" s="25">
        <f t="shared" si="37"/>
        <v>4</v>
      </c>
      <c r="AI122" s="25">
        <f t="shared" si="8"/>
        <v>10064</v>
      </c>
      <c r="AJ122" s="25" t="str">
        <f t="shared" si="9"/>
        <v>莉莉娅</v>
      </c>
      <c r="AK122" s="25">
        <f t="shared" si="38"/>
        <v>2</v>
      </c>
      <c r="AL122" s="25" t="str">
        <f t="array" ref="AL122">INDEX($O$5:$O$42,MATCH(AJ122,$B$5:$B$42,0))</f>
        <v>攻击百分比</v>
      </c>
      <c r="AM122" s="25" t="str">
        <f t="array" ref="AM122">INDEX($P$5:$P$42,MATCH(AJ122,$B$5:$B$42,0))</f>
        <v>技能伤害加成</v>
      </c>
      <c r="AN122" s="25" t="str">
        <f t="array" ref="AN122">INDEX($Q$5:$Q$42,MATCH(AJ122,$B$5:$B$42,0))</f>
        <v>能量回复等级</v>
      </c>
      <c r="AO122" s="25" t="str">
        <f t="array" ref="AO122">INDEX(AL122:AN122,0,AK122)</f>
        <v>技能伤害加成</v>
      </c>
      <c r="AP122" s="25">
        <f>AP114</f>
        <v>0.15</v>
      </c>
      <c r="AQ122" s="25">
        <f t="shared" si="11"/>
        <v>0.18</v>
      </c>
      <c r="AR122" s="25" t="str">
        <f t="shared" ref="AR122:BZ122" si="111">IF(AR$78=$AO122,$AQ122,"0")</f>
        <v>0</v>
      </c>
      <c r="AS122" s="25" t="str">
        <f t="shared" si="111"/>
        <v>0</v>
      </c>
      <c r="AT122" s="25" t="str">
        <f t="shared" si="111"/>
        <v>0</v>
      </c>
      <c r="AU122" s="25" t="str">
        <f t="shared" si="111"/>
        <v>0</v>
      </c>
      <c r="AV122" s="25" t="str">
        <f t="shared" si="111"/>
        <v>0</v>
      </c>
      <c r="AW122" s="25" t="str">
        <f t="shared" si="111"/>
        <v>0</v>
      </c>
      <c r="AX122" s="25" t="str">
        <f t="shared" si="111"/>
        <v>0</v>
      </c>
      <c r="AY122" s="25" t="str">
        <f t="shared" si="111"/>
        <v>0</v>
      </c>
      <c r="AZ122" s="25" t="str">
        <f t="shared" si="111"/>
        <v>0</v>
      </c>
      <c r="BA122" s="25" t="str">
        <f t="shared" si="111"/>
        <v>0</v>
      </c>
      <c r="BB122" s="25" t="str">
        <f t="shared" si="111"/>
        <v>0</v>
      </c>
      <c r="BC122" s="25" t="str">
        <f t="shared" si="111"/>
        <v>0</v>
      </c>
      <c r="BD122" s="25" t="str">
        <f t="shared" si="111"/>
        <v>0</v>
      </c>
      <c r="BE122" s="25" t="str">
        <f t="shared" si="111"/>
        <v>0</v>
      </c>
      <c r="BF122" s="25" t="str">
        <f t="shared" si="111"/>
        <v>0</v>
      </c>
      <c r="BG122" s="25" t="str">
        <f t="shared" si="111"/>
        <v>0</v>
      </c>
      <c r="BH122" s="25" t="str">
        <f t="shared" si="111"/>
        <v>0</v>
      </c>
      <c r="BI122" s="25" t="str">
        <f t="shared" si="111"/>
        <v>0</v>
      </c>
      <c r="BJ122" s="25" t="str">
        <f t="shared" si="111"/>
        <v>0</v>
      </c>
      <c r="BK122" s="25" t="str">
        <f t="shared" si="111"/>
        <v>0</v>
      </c>
      <c r="BL122" s="25" t="str">
        <f t="shared" si="111"/>
        <v>0</v>
      </c>
      <c r="BM122" s="25" t="str">
        <f t="shared" si="111"/>
        <v>0</v>
      </c>
      <c r="BN122" s="25">
        <f t="shared" si="111"/>
        <v>0.18</v>
      </c>
      <c r="BO122" s="25" t="str">
        <f t="shared" si="111"/>
        <v>0</v>
      </c>
      <c r="BP122" s="25" t="str">
        <f t="shared" si="111"/>
        <v>0</v>
      </c>
      <c r="BQ122" s="25" t="str">
        <f t="shared" si="111"/>
        <v>0</v>
      </c>
      <c r="BR122" s="25" t="str">
        <f t="shared" si="111"/>
        <v>0</v>
      </c>
      <c r="BS122" s="25" t="str">
        <f t="shared" si="111"/>
        <v>0</v>
      </c>
      <c r="BT122" s="25" t="str">
        <f t="shared" si="111"/>
        <v>0</v>
      </c>
      <c r="BU122" s="25" t="str">
        <f t="shared" si="111"/>
        <v>0</v>
      </c>
      <c r="BV122" s="25" t="str">
        <f t="shared" si="111"/>
        <v>0</v>
      </c>
      <c r="BW122" s="25" t="str">
        <f t="shared" si="111"/>
        <v>0</v>
      </c>
      <c r="BX122" s="25" t="str">
        <f t="shared" si="111"/>
        <v>0</v>
      </c>
      <c r="BY122" s="25" t="str">
        <f t="shared" si="111"/>
        <v>0</v>
      </c>
      <c r="BZ122" s="25" t="str">
        <f t="shared" si="111"/>
        <v>0</v>
      </c>
      <c r="CC122" s="25" t="str">
        <f t="array" ref="CC122">INDEX($C$46:$C$74,MATCH(CD122,$B$46:$B$74,0))</f>
        <v>萨萨莉安</v>
      </c>
      <c r="CD122" s="1">
        <v>1007</v>
      </c>
      <c r="CE122" s="1">
        <v>1</v>
      </c>
      <c r="CF122" s="25" t="str">
        <f t="array" ref="CF122">INDEX($T$5:$T$44,MATCH(CC122,$B$5:$B$44,0))</f>
        <v>魔法</v>
      </c>
      <c r="CG122" s="25">
        <f t="shared" si="34"/>
        <v>0</v>
      </c>
      <c r="CH122" s="25">
        <f t="shared" si="13"/>
        <v>1</v>
      </c>
      <c r="CI122" s="25">
        <f t="shared" si="14"/>
        <v>1</v>
      </c>
      <c r="CJ122" s="25">
        <f t="shared" si="15"/>
        <v>1</v>
      </c>
      <c r="CK122" s="25">
        <f t="shared" si="16"/>
        <v>1</v>
      </c>
      <c r="CL122" s="25">
        <v>0</v>
      </c>
      <c r="CM122" s="25">
        <f t="shared" si="35"/>
        <v>0</v>
      </c>
      <c r="CN122" s="25">
        <f t="shared" si="17"/>
        <v>0</v>
      </c>
      <c r="CO122" s="25">
        <f t="shared" si="18"/>
        <v>0</v>
      </c>
      <c r="CP122" s="29" t="str">
        <f t="shared" ref="CP122:DQ122" si="112">IF($CL122=CP$78,$CN122,"0")</f>
        <v>0</v>
      </c>
      <c r="CQ122" s="29" t="str">
        <f t="shared" si="112"/>
        <v>0</v>
      </c>
      <c r="CR122" s="29" t="str">
        <f t="shared" si="112"/>
        <v>0</v>
      </c>
      <c r="CS122" s="29" t="str">
        <f t="shared" si="112"/>
        <v>0</v>
      </c>
      <c r="CT122" s="29" t="str">
        <f t="shared" si="112"/>
        <v>0</v>
      </c>
      <c r="CU122" s="29" t="str">
        <f t="shared" si="112"/>
        <v>0</v>
      </c>
      <c r="CV122" s="29" t="str">
        <f t="shared" si="112"/>
        <v>0</v>
      </c>
      <c r="CW122" s="29" t="str">
        <f t="shared" si="112"/>
        <v>0</v>
      </c>
      <c r="CX122" s="29" t="str">
        <f t="shared" si="112"/>
        <v>0</v>
      </c>
      <c r="CY122" s="29" t="str">
        <f t="shared" si="112"/>
        <v>0</v>
      </c>
      <c r="CZ122" s="29" t="str">
        <f t="shared" si="112"/>
        <v>0</v>
      </c>
      <c r="DA122" s="29" t="str">
        <f t="shared" si="112"/>
        <v>0</v>
      </c>
      <c r="DB122" s="29" t="str">
        <f t="shared" si="112"/>
        <v>0</v>
      </c>
      <c r="DC122" s="29" t="str">
        <f t="shared" si="112"/>
        <v>0</v>
      </c>
      <c r="DD122" s="29" t="str">
        <f t="shared" si="112"/>
        <v>0</v>
      </c>
      <c r="DE122" s="29" t="str">
        <f t="shared" si="112"/>
        <v>0</v>
      </c>
      <c r="DF122" s="29" t="str">
        <f t="shared" si="112"/>
        <v>0</v>
      </c>
      <c r="DG122" s="29" t="str">
        <f t="shared" si="112"/>
        <v>0</v>
      </c>
      <c r="DH122" s="29" t="str">
        <f t="shared" si="112"/>
        <v>0</v>
      </c>
      <c r="DI122" s="29" t="str">
        <f t="shared" si="112"/>
        <v>0</v>
      </c>
      <c r="DJ122" s="29" t="str">
        <f t="shared" si="112"/>
        <v>0</v>
      </c>
      <c r="DK122" s="29" t="str">
        <f t="shared" si="112"/>
        <v>0</v>
      </c>
      <c r="DL122" s="29" t="str">
        <f t="shared" si="112"/>
        <v>0</v>
      </c>
      <c r="DM122" s="29" t="str">
        <f t="shared" si="112"/>
        <v>0</v>
      </c>
      <c r="DN122" s="29" t="str">
        <f t="shared" si="112"/>
        <v>0</v>
      </c>
      <c r="DO122" s="29" t="str">
        <f t="shared" si="112"/>
        <v>0</v>
      </c>
      <c r="DP122" s="29" t="str">
        <f t="shared" si="112"/>
        <v>0</v>
      </c>
      <c r="DQ122" s="29" t="str">
        <f t="shared" si="112"/>
        <v>0</v>
      </c>
      <c r="DR122" s="29"/>
      <c r="DS122" s="25">
        <v>0</v>
      </c>
      <c r="EE122" s="25" t="str">
        <f t="shared" si="20"/>
        <v>0</v>
      </c>
    </row>
    <row r="123" spans="1:135">
      <c r="A123" s="48">
        <v>1001045</v>
      </c>
      <c r="B123" s="49" t="s">
        <v>910</v>
      </c>
      <c r="C123" s="25">
        <v>45</v>
      </c>
      <c r="D123" s="25">
        <f t="array" ref="D123">INDEX(C$5:C$67,MATCH($B123,$B$5:$B$67,0))</f>
        <v>3600</v>
      </c>
      <c r="E123" s="25">
        <f t="array" ref="E123">INDEX(D$5:D$67,MATCH($B123,$B$5:$B$67,0))</f>
        <v>288</v>
      </c>
      <c r="F123" s="25">
        <f t="array" ref="F123">INDEX(E$5:E$67,MATCH($B123,$B$5:$B$67,0))</f>
        <v>1320</v>
      </c>
      <c r="G123" s="25">
        <f t="array" ref="G123">INDEX(F$5:F$67,MATCH($B123,$B$5:$B$67,0))</f>
        <v>105.6</v>
      </c>
      <c r="H123" s="25">
        <f t="array" ref="H123">INDEX(G$5:G$66,MATCH($B123,$B$5:$B$67,0))</f>
        <v>1056</v>
      </c>
      <c r="I123" s="25">
        <f t="array" ref="I123">INDEX(H$5:H$67,MATCH($B123,$B$5:$B$67,0))</f>
        <v>84.48</v>
      </c>
      <c r="J123" s="25">
        <f t="array" ref="J123">INDEX(I$5:I$67,MATCH($B123,$B$5:$B$67,0))</f>
        <v>800</v>
      </c>
      <c r="K123" s="25">
        <f t="array" ref="K123">INDEX(J$5:J$67,MATCH($B123,$B$5:$B$67,0))</f>
        <v>64</v>
      </c>
      <c r="L123" s="25">
        <f t="shared" si="0"/>
        <v>16560</v>
      </c>
      <c r="M123" s="25">
        <f t="shared" si="1"/>
        <v>6072</v>
      </c>
      <c r="N123" s="25">
        <f t="shared" si="2"/>
        <v>4858</v>
      </c>
      <c r="O123" s="25">
        <f t="shared" si="3"/>
        <v>3680</v>
      </c>
      <c r="R123" s="50">
        <f t="array" ref="R123">INDEX($B$46:$B$68,MATCH(S123,$C$46:$C$68,0))*1000+T123</f>
        <v>1002018</v>
      </c>
      <c r="S123" s="51" t="s">
        <v>318</v>
      </c>
      <c r="T123" s="29">
        <f t="shared" si="78"/>
        <v>18</v>
      </c>
      <c r="U123" s="25">
        <f t="array" ref="U123">INDEX(K$5:K$67,MATCH($S123,$B$5:$B$67,0))</f>
        <v>477.12</v>
      </c>
      <c r="V123" s="25">
        <f t="array" ref="V123">INDEX(L$5:L$67,MATCH($S123,$B$5:$B$67,0))</f>
        <v>61.44</v>
      </c>
      <c r="W123" s="25">
        <f t="array" ref="W123">INDEX(M$5:M$67,MATCH($S123,$B$5:$B$67,0))</f>
        <v>49.15</v>
      </c>
      <c r="X123" s="25">
        <f t="array" ref="X123">INDEX(N$5:N$67,MATCH($S123,$B$5:$B$67,0))</f>
        <v>68</v>
      </c>
      <c r="Y123" s="25">
        <f t="shared" si="4"/>
        <v>8588</v>
      </c>
      <c r="Z123" s="25">
        <f t="shared" si="5"/>
        <v>1106</v>
      </c>
      <c r="AA123" s="25">
        <f t="shared" si="6"/>
        <v>885</v>
      </c>
      <c r="AB123" s="25">
        <f t="shared" si="7"/>
        <v>1224</v>
      </c>
      <c r="AF123" s="25">
        <v>45</v>
      </c>
      <c r="AG123" s="25">
        <f t="array" ref="AG123">INDEX($AE$79:$AE$116,QUOTIENT(AF123-1,8)+1)</f>
        <v>1006</v>
      </c>
      <c r="AH123" s="25">
        <f t="shared" si="37"/>
        <v>5</v>
      </c>
      <c r="AI123" s="25">
        <f t="shared" si="8"/>
        <v>10065</v>
      </c>
      <c r="AJ123" s="25" t="str">
        <f t="shared" si="9"/>
        <v>莉莉娅</v>
      </c>
      <c r="AK123" s="25">
        <f t="shared" si="38"/>
        <v>3</v>
      </c>
      <c r="AL123" s="25" t="str">
        <f t="array" ref="AL123">INDEX($O$5:$O$42,MATCH(AJ123,$B$5:$B$42,0))</f>
        <v>攻击百分比</v>
      </c>
      <c r="AM123" s="25" t="str">
        <f t="array" ref="AM123">INDEX($P$5:$P$42,MATCH(AJ123,$B$5:$B$42,0))</f>
        <v>技能伤害加成</v>
      </c>
      <c r="AN123" s="25" t="str">
        <f t="array" ref="AN123">INDEX($Q$5:$Q$42,MATCH(AJ123,$B$5:$B$42,0))</f>
        <v>能量回复等级</v>
      </c>
      <c r="AO123" s="25" t="str">
        <f t="array" ref="AO123">INDEX(AL123:AN123,0,AK123)</f>
        <v>能量回复等级</v>
      </c>
      <c r="AP123" s="25">
        <f>1950*$G$46/VLOOKUP(AO123,$F$46:$G$72,2,0)</f>
        <v>0.216666666666667</v>
      </c>
      <c r="AQ123" s="25">
        <f t="shared" si="11"/>
        <v>1950</v>
      </c>
      <c r="AR123" s="25" t="str">
        <f t="shared" ref="AR123:BZ123" si="113">IF(AR$78=$AO123,$AQ123,"0")</f>
        <v>0</v>
      </c>
      <c r="AS123" s="25" t="str">
        <f t="shared" si="113"/>
        <v>0</v>
      </c>
      <c r="AT123" s="25" t="str">
        <f t="shared" si="113"/>
        <v>0</v>
      </c>
      <c r="AU123" s="25" t="str">
        <f t="shared" si="113"/>
        <v>0</v>
      </c>
      <c r="AV123" s="25" t="str">
        <f t="shared" si="113"/>
        <v>0</v>
      </c>
      <c r="AW123" s="25" t="str">
        <f t="shared" si="113"/>
        <v>0</v>
      </c>
      <c r="AX123" s="25" t="str">
        <f t="shared" si="113"/>
        <v>0</v>
      </c>
      <c r="AY123" s="25" t="str">
        <f t="shared" si="113"/>
        <v>0</v>
      </c>
      <c r="AZ123" s="25" t="str">
        <f t="shared" si="113"/>
        <v>0</v>
      </c>
      <c r="BA123" s="25" t="str">
        <f t="shared" si="113"/>
        <v>0</v>
      </c>
      <c r="BB123" s="25" t="str">
        <f t="shared" si="113"/>
        <v>0</v>
      </c>
      <c r="BC123" s="25" t="str">
        <f t="shared" si="113"/>
        <v>0</v>
      </c>
      <c r="BD123" s="25" t="str">
        <f t="shared" si="113"/>
        <v>0</v>
      </c>
      <c r="BE123" s="25" t="str">
        <f t="shared" si="113"/>
        <v>0</v>
      </c>
      <c r="BF123" s="25" t="str">
        <f t="shared" si="113"/>
        <v>0</v>
      </c>
      <c r="BG123" s="25" t="str">
        <f t="shared" si="113"/>
        <v>0</v>
      </c>
      <c r="BH123" s="25" t="str">
        <f t="shared" si="113"/>
        <v>0</v>
      </c>
      <c r="BI123" s="25" t="str">
        <f t="shared" si="113"/>
        <v>0</v>
      </c>
      <c r="BJ123" s="25" t="str">
        <f t="shared" si="113"/>
        <v>0</v>
      </c>
      <c r="BK123" s="25" t="str">
        <f t="shared" si="113"/>
        <v>0</v>
      </c>
      <c r="BL123" s="25" t="str">
        <f t="shared" si="113"/>
        <v>0</v>
      </c>
      <c r="BM123" s="25" t="str">
        <f t="shared" si="113"/>
        <v>0</v>
      </c>
      <c r="BN123" s="25" t="str">
        <f t="shared" si="113"/>
        <v>0</v>
      </c>
      <c r="BO123" s="25" t="str">
        <f t="shared" si="113"/>
        <v>0</v>
      </c>
      <c r="BP123" s="25" t="str">
        <f t="shared" si="113"/>
        <v>0</v>
      </c>
      <c r="BQ123" s="25" t="str">
        <f t="shared" si="113"/>
        <v>0</v>
      </c>
      <c r="BR123" s="25" t="str">
        <f t="shared" si="113"/>
        <v>0</v>
      </c>
      <c r="BS123" s="25" t="str">
        <f t="shared" si="113"/>
        <v>0</v>
      </c>
      <c r="BT123" s="25" t="str">
        <f t="shared" si="113"/>
        <v>0</v>
      </c>
      <c r="BU123" s="25" t="str">
        <f t="shared" si="113"/>
        <v>0</v>
      </c>
      <c r="BV123" s="25" t="str">
        <f t="shared" si="113"/>
        <v>0</v>
      </c>
      <c r="BW123" s="25" t="str">
        <f t="shared" si="113"/>
        <v>0</v>
      </c>
      <c r="BX123" s="25" t="str">
        <f t="shared" si="113"/>
        <v>0</v>
      </c>
      <c r="BY123" s="25">
        <f t="shared" si="113"/>
        <v>1950</v>
      </c>
      <c r="BZ123" s="25" t="str">
        <f t="shared" si="113"/>
        <v>0</v>
      </c>
      <c r="CC123" s="25" t="str">
        <f t="array" ref="CC123">INDEX($C$46:$C$74,MATCH(CD123,$B$46:$B$74,0))</f>
        <v>萨萨莉安</v>
      </c>
      <c r="CD123" s="1">
        <v>1007</v>
      </c>
      <c r="CE123" s="1">
        <v>2</v>
      </c>
      <c r="CF123" s="25" t="str">
        <f t="array" ref="CF123">INDEX($T$5:$T$44,MATCH(CC123,$B$5:$B$44,0))</f>
        <v>魔法</v>
      </c>
      <c r="CG123" s="25">
        <f t="shared" si="34"/>
        <v>0</v>
      </c>
      <c r="CH123" s="25">
        <f t="shared" si="13"/>
        <v>1</v>
      </c>
      <c r="CI123" s="25">
        <f t="shared" si="14"/>
        <v>1</v>
      </c>
      <c r="CJ123" s="25">
        <f t="shared" si="15"/>
        <v>1</v>
      </c>
      <c r="CK123" s="25">
        <f t="shared" si="16"/>
        <v>1</v>
      </c>
      <c r="CL123" s="25">
        <v>0</v>
      </c>
      <c r="CM123" s="25">
        <f t="shared" si="35"/>
        <v>0</v>
      </c>
      <c r="CN123" s="25">
        <f t="shared" si="17"/>
        <v>0</v>
      </c>
      <c r="CO123" s="25">
        <f t="shared" si="18"/>
        <v>0</v>
      </c>
      <c r="CP123" s="29" t="str">
        <f t="shared" ref="CP123:DQ123" si="114">IF($CL123=CP$78,$CN123,"0")</f>
        <v>0</v>
      </c>
      <c r="CQ123" s="29" t="str">
        <f t="shared" si="114"/>
        <v>0</v>
      </c>
      <c r="CR123" s="29" t="str">
        <f t="shared" si="114"/>
        <v>0</v>
      </c>
      <c r="CS123" s="29" t="str">
        <f t="shared" si="114"/>
        <v>0</v>
      </c>
      <c r="CT123" s="29" t="str">
        <f t="shared" si="114"/>
        <v>0</v>
      </c>
      <c r="CU123" s="29" t="str">
        <f t="shared" si="114"/>
        <v>0</v>
      </c>
      <c r="CV123" s="29" t="str">
        <f t="shared" si="114"/>
        <v>0</v>
      </c>
      <c r="CW123" s="29" t="str">
        <f t="shared" si="114"/>
        <v>0</v>
      </c>
      <c r="CX123" s="29" t="str">
        <f t="shared" si="114"/>
        <v>0</v>
      </c>
      <c r="CY123" s="29" t="str">
        <f t="shared" si="114"/>
        <v>0</v>
      </c>
      <c r="CZ123" s="29" t="str">
        <f t="shared" si="114"/>
        <v>0</v>
      </c>
      <c r="DA123" s="29" t="str">
        <f t="shared" si="114"/>
        <v>0</v>
      </c>
      <c r="DB123" s="29" t="str">
        <f t="shared" si="114"/>
        <v>0</v>
      </c>
      <c r="DC123" s="29" t="str">
        <f t="shared" si="114"/>
        <v>0</v>
      </c>
      <c r="DD123" s="29" t="str">
        <f t="shared" si="114"/>
        <v>0</v>
      </c>
      <c r="DE123" s="29" t="str">
        <f t="shared" si="114"/>
        <v>0</v>
      </c>
      <c r="DF123" s="29" t="str">
        <f t="shared" si="114"/>
        <v>0</v>
      </c>
      <c r="DG123" s="29" t="str">
        <f t="shared" si="114"/>
        <v>0</v>
      </c>
      <c r="DH123" s="29" t="str">
        <f t="shared" si="114"/>
        <v>0</v>
      </c>
      <c r="DI123" s="29" t="str">
        <f t="shared" si="114"/>
        <v>0</v>
      </c>
      <c r="DJ123" s="29" t="str">
        <f t="shared" si="114"/>
        <v>0</v>
      </c>
      <c r="DK123" s="29" t="str">
        <f t="shared" si="114"/>
        <v>0</v>
      </c>
      <c r="DL123" s="29" t="str">
        <f t="shared" si="114"/>
        <v>0</v>
      </c>
      <c r="DM123" s="29" t="str">
        <f t="shared" si="114"/>
        <v>0</v>
      </c>
      <c r="DN123" s="29" t="str">
        <f t="shared" si="114"/>
        <v>0</v>
      </c>
      <c r="DO123" s="29" t="str">
        <f t="shared" si="114"/>
        <v>0</v>
      </c>
      <c r="DP123" s="29" t="str">
        <f t="shared" si="114"/>
        <v>0</v>
      </c>
      <c r="DQ123" s="29" t="str">
        <f t="shared" si="114"/>
        <v>0</v>
      </c>
      <c r="DR123" s="29"/>
      <c r="DS123" s="25">
        <v>0</v>
      </c>
      <c r="EE123" s="25" t="str">
        <f t="shared" si="20"/>
        <v>0</v>
      </c>
    </row>
    <row r="124" spans="1:135">
      <c r="A124" s="48">
        <v>1001046</v>
      </c>
      <c r="B124" s="49" t="s">
        <v>910</v>
      </c>
      <c r="C124" s="25">
        <v>46</v>
      </c>
      <c r="D124" s="25">
        <f t="array" ref="D124">INDEX(C$5:C$67,MATCH($B124,$B$5:$B$67,0))</f>
        <v>3600</v>
      </c>
      <c r="E124" s="25">
        <f t="array" ref="E124">INDEX(D$5:D$67,MATCH($B124,$B$5:$B$67,0))</f>
        <v>288</v>
      </c>
      <c r="F124" s="25">
        <f t="array" ref="F124">INDEX(E$5:E$67,MATCH($B124,$B$5:$B$67,0))</f>
        <v>1320</v>
      </c>
      <c r="G124" s="25">
        <f t="array" ref="G124">INDEX(F$5:F$67,MATCH($B124,$B$5:$B$67,0))</f>
        <v>105.6</v>
      </c>
      <c r="H124" s="25">
        <f t="array" ref="H124">INDEX(G$5:G$66,MATCH($B124,$B$5:$B$67,0))</f>
        <v>1056</v>
      </c>
      <c r="I124" s="25">
        <f t="array" ref="I124">INDEX(H$5:H$67,MATCH($B124,$B$5:$B$67,0))</f>
        <v>84.48</v>
      </c>
      <c r="J124" s="25">
        <f t="array" ref="J124">INDEX(I$5:I$67,MATCH($B124,$B$5:$B$67,0))</f>
        <v>800</v>
      </c>
      <c r="K124" s="25">
        <f t="array" ref="K124">INDEX(J$5:J$67,MATCH($B124,$B$5:$B$67,0))</f>
        <v>64</v>
      </c>
      <c r="L124" s="25">
        <f t="shared" si="0"/>
        <v>16848</v>
      </c>
      <c r="M124" s="25">
        <f t="shared" si="1"/>
        <v>6178</v>
      </c>
      <c r="N124" s="25">
        <f t="shared" si="2"/>
        <v>4942</v>
      </c>
      <c r="O124" s="25">
        <f t="shared" si="3"/>
        <v>3744</v>
      </c>
      <c r="R124" s="50">
        <f t="array" ref="R124">INDEX($B$46:$B$68,MATCH(S124,$C$46:$C$68,0))*1000+T124</f>
        <v>1002019</v>
      </c>
      <c r="S124" s="51" t="s">
        <v>318</v>
      </c>
      <c r="T124" s="29">
        <f t="shared" si="78"/>
        <v>19</v>
      </c>
      <c r="U124" s="25">
        <f t="array" ref="U124">INDEX(K$5:K$67,MATCH($S124,$B$5:$B$67,0))</f>
        <v>477.12</v>
      </c>
      <c r="V124" s="25">
        <f t="array" ref="V124">INDEX(L$5:L$67,MATCH($S124,$B$5:$B$67,0))</f>
        <v>61.44</v>
      </c>
      <c r="W124" s="25">
        <f t="array" ref="W124">INDEX(M$5:M$67,MATCH($S124,$B$5:$B$67,0))</f>
        <v>49.15</v>
      </c>
      <c r="X124" s="25">
        <f t="array" ref="X124">INDEX(N$5:N$67,MATCH($S124,$B$5:$B$67,0))</f>
        <v>68</v>
      </c>
      <c r="Y124" s="25">
        <f t="shared" si="4"/>
        <v>9065</v>
      </c>
      <c r="Z124" s="25">
        <f t="shared" si="5"/>
        <v>1167</v>
      </c>
      <c r="AA124" s="25">
        <f t="shared" si="6"/>
        <v>934</v>
      </c>
      <c r="AB124" s="25">
        <f t="shared" si="7"/>
        <v>1292</v>
      </c>
      <c r="AF124" s="25">
        <v>46</v>
      </c>
      <c r="AG124" s="25">
        <f t="array" ref="AG124">INDEX($AE$79:$AE$116,QUOTIENT(AF124-1,8)+1)</f>
        <v>1006</v>
      </c>
      <c r="AH124" s="25">
        <f t="shared" si="37"/>
        <v>6</v>
      </c>
      <c r="AI124" s="25">
        <f t="shared" si="8"/>
        <v>10066</v>
      </c>
      <c r="AJ124" s="25" t="str">
        <f t="shared" si="9"/>
        <v>莉莉娅</v>
      </c>
      <c r="AK124" s="25">
        <f t="shared" si="38"/>
        <v>1</v>
      </c>
      <c r="AL124" s="25" t="str">
        <f t="array" ref="AL124">INDEX($O$5:$O$42,MATCH(AJ124,$B$5:$B$42,0))</f>
        <v>攻击百分比</v>
      </c>
      <c r="AM124" s="25" t="str">
        <f t="array" ref="AM124">INDEX($P$5:$P$42,MATCH(AJ124,$B$5:$B$42,0))</f>
        <v>技能伤害加成</v>
      </c>
      <c r="AN124" s="25" t="str">
        <f t="array" ref="AN124">INDEX($Q$5:$Q$42,MATCH(AJ124,$B$5:$B$42,0))</f>
        <v>能量回复等级</v>
      </c>
      <c r="AO124" s="25" t="str">
        <f t="array" ref="AO124">INDEX(AL124:AN124,0,AK124)</f>
        <v>攻击百分比</v>
      </c>
      <c r="AP124" s="25">
        <f>AP116</f>
        <v>0.15</v>
      </c>
      <c r="AQ124" s="25">
        <f t="shared" si="11"/>
        <v>0.15</v>
      </c>
      <c r="AR124" s="25" t="str">
        <f t="shared" ref="AR124:BZ124" si="115">IF(AR$78=$AO124,$AQ124,"0")</f>
        <v>0</v>
      </c>
      <c r="AS124" s="25" t="str">
        <f t="shared" si="115"/>
        <v>0</v>
      </c>
      <c r="AT124" s="25" t="str">
        <f t="shared" si="115"/>
        <v>0</v>
      </c>
      <c r="AU124" s="25">
        <f t="shared" si="115"/>
        <v>0.15</v>
      </c>
      <c r="AV124" s="25" t="str">
        <f t="shared" si="115"/>
        <v>0</v>
      </c>
      <c r="AW124" s="25">
        <f t="shared" si="115"/>
        <v>0.15</v>
      </c>
      <c r="AX124" s="25" t="str">
        <f t="shared" si="115"/>
        <v>0</v>
      </c>
      <c r="AY124" s="25" t="str">
        <f t="shared" si="115"/>
        <v>0</v>
      </c>
      <c r="AZ124" s="25" t="str">
        <f t="shared" si="115"/>
        <v>0</v>
      </c>
      <c r="BA124" s="25" t="str">
        <f t="shared" si="115"/>
        <v>0</v>
      </c>
      <c r="BB124" s="25" t="str">
        <f t="shared" si="115"/>
        <v>0</v>
      </c>
      <c r="BC124" s="25" t="str">
        <f t="shared" si="115"/>
        <v>0</v>
      </c>
      <c r="BD124" s="25" t="str">
        <f t="shared" si="115"/>
        <v>0</v>
      </c>
      <c r="BE124" s="25" t="str">
        <f t="shared" si="115"/>
        <v>0</v>
      </c>
      <c r="BF124" s="25" t="str">
        <f t="shared" si="115"/>
        <v>0</v>
      </c>
      <c r="BG124" s="25" t="str">
        <f t="shared" si="115"/>
        <v>0</v>
      </c>
      <c r="BH124" s="25" t="str">
        <f t="shared" si="115"/>
        <v>0</v>
      </c>
      <c r="BI124" s="25" t="str">
        <f t="shared" si="115"/>
        <v>0</v>
      </c>
      <c r="BJ124" s="25" t="str">
        <f t="shared" si="115"/>
        <v>0</v>
      </c>
      <c r="BK124" s="25" t="str">
        <f t="shared" si="115"/>
        <v>0</v>
      </c>
      <c r="BL124" s="25" t="str">
        <f t="shared" si="115"/>
        <v>0</v>
      </c>
      <c r="BM124" s="25" t="str">
        <f t="shared" si="115"/>
        <v>0</v>
      </c>
      <c r="BN124" s="25" t="str">
        <f t="shared" si="115"/>
        <v>0</v>
      </c>
      <c r="BO124" s="25" t="str">
        <f t="shared" si="115"/>
        <v>0</v>
      </c>
      <c r="BP124" s="25" t="str">
        <f t="shared" si="115"/>
        <v>0</v>
      </c>
      <c r="BQ124" s="25" t="str">
        <f t="shared" si="115"/>
        <v>0</v>
      </c>
      <c r="BR124" s="25" t="str">
        <f t="shared" si="115"/>
        <v>0</v>
      </c>
      <c r="BS124" s="25" t="str">
        <f t="shared" si="115"/>
        <v>0</v>
      </c>
      <c r="BT124" s="25" t="str">
        <f t="shared" si="115"/>
        <v>0</v>
      </c>
      <c r="BU124" s="25" t="str">
        <f t="shared" si="115"/>
        <v>0</v>
      </c>
      <c r="BV124" s="25" t="str">
        <f t="shared" si="115"/>
        <v>0</v>
      </c>
      <c r="BW124" s="25" t="str">
        <f t="shared" si="115"/>
        <v>0</v>
      </c>
      <c r="BX124" s="25" t="str">
        <f t="shared" si="115"/>
        <v>0</v>
      </c>
      <c r="BY124" s="25" t="str">
        <f t="shared" si="115"/>
        <v>0</v>
      </c>
      <c r="BZ124" s="25" t="str">
        <f t="shared" si="115"/>
        <v>0</v>
      </c>
      <c r="CC124" s="25" t="str">
        <f t="array" ref="CC124">INDEX($C$46:$C$74,MATCH(CD124,$B$46:$B$74,0))</f>
        <v>萨萨莉安</v>
      </c>
      <c r="CD124" s="1">
        <v>1007</v>
      </c>
      <c r="CE124" s="1">
        <v>3</v>
      </c>
      <c r="CF124" s="25" t="str">
        <f t="array" ref="CF124">INDEX($T$5:$T$44,MATCH(CC124,$B$5:$B$44,0))</f>
        <v>魔法</v>
      </c>
      <c r="CG124" s="25">
        <f t="shared" si="34"/>
        <v>0.15</v>
      </c>
      <c r="CH124" s="25">
        <f t="shared" si="13"/>
        <v>1.15</v>
      </c>
      <c r="CI124" s="25">
        <f t="shared" si="14"/>
        <v>1</v>
      </c>
      <c r="CJ124" s="25">
        <f t="shared" si="15"/>
        <v>1.15</v>
      </c>
      <c r="CK124" s="25">
        <f t="shared" si="16"/>
        <v>1.15</v>
      </c>
      <c r="CL124" s="25" t="str">
        <f t="array" ref="CL124">INDEX($R$5:$R$43,MATCH(CC124,$B$5:$B$43,0))</f>
        <v>魔法伤害加成</v>
      </c>
      <c r="CM124" s="25">
        <f t="shared" si="35"/>
        <v>0.3</v>
      </c>
      <c r="CN124" s="25">
        <f t="shared" si="17"/>
        <v>0.12</v>
      </c>
      <c r="CO124" s="25">
        <f t="shared" si="18"/>
        <v>1</v>
      </c>
      <c r="CP124" s="29" t="str">
        <f t="shared" ref="CP124:DQ124" si="116">IF($CL124=CP$78,$CN124,"0")</f>
        <v>0</v>
      </c>
      <c r="CQ124" s="29" t="str">
        <f t="shared" si="116"/>
        <v>0</v>
      </c>
      <c r="CR124" s="29" t="str">
        <f t="shared" si="116"/>
        <v>0</v>
      </c>
      <c r="CS124" s="29" t="str">
        <f t="shared" si="116"/>
        <v>0</v>
      </c>
      <c r="CT124" s="29" t="str">
        <f t="shared" si="116"/>
        <v>0</v>
      </c>
      <c r="CU124" s="29" t="str">
        <f t="shared" si="116"/>
        <v>0</v>
      </c>
      <c r="CV124" s="29" t="str">
        <f t="shared" si="116"/>
        <v>0</v>
      </c>
      <c r="CW124" s="29" t="str">
        <f t="shared" si="116"/>
        <v>0</v>
      </c>
      <c r="CX124" s="29" t="str">
        <f t="shared" si="116"/>
        <v>0</v>
      </c>
      <c r="CY124" s="29" t="str">
        <f t="shared" si="116"/>
        <v>0</v>
      </c>
      <c r="CZ124" s="29" t="str">
        <f t="shared" si="116"/>
        <v>0</v>
      </c>
      <c r="DA124" s="29" t="str">
        <f t="shared" si="116"/>
        <v>0</v>
      </c>
      <c r="DB124" s="29" t="str">
        <f t="shared" si="116"/>
        <v>0</v>
      </c>
      <c r="DC124" s="29">
        <f t="shared" si="116"/>
        <v>0.12</v>
      </c>
      <c r="DD124" s="29" t="str">
        <f t="shared" si="116"/>
        <v>0</v>
      </c>
      <c r="DE124" s="29" t="str">
        <f t="shared" si="116"/>
        <v>0</v>
      </c>
      <c r="DF124" s="29" t="str">
        <f t="shared" si="116"/>
        <v>0</v>
      </c>
      <c r="DG124" s="29" t="str">
        <f t="shared" si="116"/>
        <v>0</v>
      </c>
      <c r="DH124" s="29" t="str">
        <f t="shared" si="116"/>
        <v>0</v>
      </c>
      <c r="DI124" s="29" t="str">
        <f t="shared" si="116"/>
        <v>0</v>
      </c>
      <c r="DJ124" s="29" t="str">
        <f t="shared" si="116"/>
        <v>0</v>
      </c>
      <c r="DK124" s="29" t="str">
        <f t="shared" si="116"/>
        <v>0</v>
      </c>
      <c r="DL124" s="29" t="str">
        <f t="shared" si="116"/>
        <v>0</v>
      </c>
      <c r="DM124" s="29" t="str">
        <f t="shared" si="116"/>
        <v>0</v>
      </c>
      <c r="DN124" s="29" t="str">
        <f t="shared" si="116"/>
        <v>0</v>
      </c>
      <c r="DO124" s="29" t="str">
        <f t="shared" si="116"/>
        <v>0</v>
      </c>
      <c r="DP124" s="29" t="str">
        <f t="shared" si="116"/>
        <v>0</v>
      </c>
      <c r="DQ124" s="29" t="str">
        <f t="shared" si="116"/>
        <v>0</v>
      </c>
      <c r="DR124" s="29"/>
      <c r="DS124" s="25" t="s">
        <v>1011</v>
      </c>
      <c r="DT124" s="25" t="str">
        <f>TEXT(角色升星!$F$18,"0%")</f>
        <v>15%</v>
      </c>
      <c r="DU124" s="25" t="s">
        <v>779</v>
      </c>
      <c r="DV124" s="25" t="str">
        <f>IF(CF124="物理","PhysicsAttack,+","MagicAttack,+")</f>
        <v>MagicAttack,+</v>
      </c>
      <c r="DW124" s="25" t="str">
        <f>TEXT(角色升星!$F$18,"0%")</f>
        <v>15%</v>
      </c>
      <c r="DX124" s="25" t="s">
        <v>779</v>
      </c>
      <c r="DY124" s="25" t="s">
        <v>1012</v>
      </c>
      <c r="DZ124" s="25" t="str">
        <f>TEXT(角色升星!$F$18,"0%")</f>
        <v>15%</v>
      </c>
      <c r="EA124" s="25" t="s">
        <v>779</v>
      </c>
      <c r="EB124" s="25" t="str">
        <f>VLOOKUP(CL124,$O$46:$P$73,2,0)</f>
        <v>MagicDmgBonus</v>
      </c>
      <c r="EC124" s="25" t="s">
        <v>1013</v>
      </c>
      <c r="ED124" s="25" t="str">
        <f>IF(CN124&gt;1,CN124,TEXT(CN124,"0%"))</f>
        <v>12%</v>
      </c>
      <c r="EE124" s="25" t="str">
        <f t="shared" si="20"/>
        <v>Hp,+15%;MagicAttack,+15%;Armor,+15%;MagicDmgBonus,+12%</v>
      </c>
    </row>
    <row r="125" spans="1:135">
      <c r="A125" s="48">
        <v>1001047</v>
      </c>
      <c r="B125" s="49" t="s">
        <v>910</v>
      </c>
      <c r="C125" s="25">
        <v>47</v>
      </c>
      <c r="D125" s="25">
        <f t="array" ref="D125">INDEX(C$5:C$67,MATCH($B125,$B$5:$B$67,0))</f>
        <v>3600</v>
      </c>
      <c r="E125" s="25">
        <f t="array" ref="E125">INDEX(D$5:D$67,MATCH($B125,$B$5:$B$67,0))</f>
        <v>288</v>
      </c>
      <c r="F125" s="25">
        <f t="array" ref="F125">INDEX(E$5:E$67,MATCH($B125,$B$5:$B$67,0))</f>
        <v>1320</v>
      </c>
      <c r="G125" s="25">
        <f t="array" ref="G125">INDEX(F$5:F$67,MATCH($B125,$B$5:$B$67,0))</f>
        <v>105.6</v>
      </c>
      <c r="H125" s="25">
        <f t="array" ref="H125">INDEX(G$5:G$66,MATCH($B125,$B$5:$B$67,0))</f>
        <v>1056</v>
      </c>
      <c r="I125" s="25">
        <f t="array" ref="I125">INDEX(H$5:H$67,MATCH($B125,$B$5:$B$67,0))</f>
        <v>84.48</v>
      </c>
      <c r="J125" s="25">
        <f t="array" ref="J125">INDEX(I$5:I$67,MATCH($B125,$B$5:$B$67,0))</f>
        <v>800</v>
      </c>
      <c r="K125" s="25">
        <f t="array" ref="K125">INDEX(J$5:J$67,MATCH($B125,$B$5:$B$67,0))</f>
        <v>64</v>
      </c>
      <c r="L125" s="25">
        <f t="shared" si="0"/>
        <v>17136</v>
      </c>
      <c r="M125" s="25">
        <f t="shared" si="1"/>
        <v>6283</v>
      </c>
      <c r="N125" s="25">
        <f t="shared" si="2"/>
        <v>5027</v>
      </c>
      <c r="O125" s="25">
        <f t="shared" si="3"/>
        <v>3808</v>
      </c>
      <c r="R125" s="50">
        <f t="array" ref="R125">INDEX($B$46:$B$68,MATCH(S125,$C$46:$C$68,0))*1000+T125</f>
        <v>1002020</v>
      </c>
      <c r="S125" s="51" t="s">
        <v>318</v>
      </c>
      <c r="T125" s="29">
        <f t="shared" si="78"/>
        <v>20</v>
      </c>
      <c r="U125" s="25">
        <f t="array" ref="U125">INDEX(K$5:K$67,MATCH($S125,$B$5:$B$67,0))</f>
        <v>477.12</v>
      </c>
      <c r="V125" s="25">
        <f t="array" ref="V125">INDEX(L$5:L$67,MATCH($S125,$B$5:$B$67,0))</f>
        <v>61.44</v>
      </c>
      <c r="W125" s="25">
        <f t="array" ref="W125">INDEX(M$5:M$67,MATCH($S125,$B$5:$B$67,0))</f>
        <v>49.15</v>
      </c>
      <c r="X125" s="25">
        <f t="array" ref="X125">INDEX(N$5:N$67,MATCH($S125,$B$5:$B$67,0))</f>
        <v>68</v>
      </c>
      <c r="Y125" s="25">
        <f t="shared" si="4"/>
        <v>9542</v>
      </c>
      <c r="Z125" s="25">
        <f t="shared" si="5"/>
        <v>1229</v>
      </c>
      <c r="AA125" s="25">
        <f t="shared" si="6"/>
        <v>983</v>
      </c>
      <c r="AB125" s="25">
        <f t="shared" si="7"/>
        <v>1360</v>
      </c>
      <c r="AF125" s="25">
        <v>47</v>
      </c>
      <c r="AG125" s="25">
        <f t="array" ref="AG125">INDEX($AE$79:$AE$116,QUOTIENT(AF125-1,8)+1)</f>
        <v>1006</v>
      </c>
      <c r="AH125" s="25">
        <f t="shared" si="37"/>
        <v>7</v>
      </c>
      <c r="AI125" s="25">
        <f t="shared" si="8"/>
        <v>10067</v>
      </c>
      <c r="AJ125" s="25" t="str">
        <f t="shared" si="9"/>
        <v>莉莉娅</v>
      </c>
      <c r="AK125" s="25">
        <f t="shared" si="38"/>
        <v>2</v>
      </c>
      <c r="AL125" s="25" t="str">
        <f t="array" ref="AL125">INDEX($O$5:$O$42,MATCH(AJ125,$B$5:$B$42,0))</f>
        <v>攻击百分比</v>
      </c>
      <c r="AM125" s="25" t="str">
        <f t="array" ref="AM125">INDEX($P$5:$P$42,MATCH(AJ125,$B$5:$B$42,0))</f>
        <v>技能伤害加成</v>
      </c>
      <c r="AN125" s="25" t="str">
        <f t="array" ref="AN125">INDEX($Q$5:$Q$42,MATCH(AJ125,$B$5:$B$42,0))</f>
        <v>能量回复等级</v>
      </c>
      <c r="AO125" s="25" t="str">
        <f t="array" ref="AO125">INDEX(AL125:AN125,0,AK125)</f>
        <v>技能伤害加成</v>
      </c>
      <c r="AP125" s="25">
        <f>AP117</f>
        <v>0.15</v>
      </c>
      <c r="AQ125" s="25">
        <f t="shared" si="11"/>
        <v>0.18</v>
      </c>
      <c r="AR125" s="25" t="str">
        <f t="shared" ref="AR125:BZ125" si="117">IF(AR$78=$AO125,$AQ125,"0")</f>
        <v>0</v>
      </c>
      <c r="AS125" s="25" t="str">
        <f t="shared" si="117"/>
        <v>0</v>
      </c>
      <c r="AT125" s="25" t="str">
        <f t="shared" si="117"/>
        <v>0</v>
      </c>
      <c r="AU125" s="25" t="str">
        <f t="shared" si="117"/>
        <v>0</v>
      </c>
      <c r="AV125" s="25" t="str">
        <f t="shared" si="117"/>
        <v>0</v>
      </c>
      <c r="AW125" s="25" t="str">
        <f t="shared" si="117"/>
        <v>0</v>
      </c>
      <c r="AX125" s="25" t="str">
        <f t="shared" si="117"/>
        <v>0</v>
      </c>
      <c r="AY125" s="25" t="str">
        <f t="shared" si="117"/>
        <v>0</v>
      </c>
      <c r="AZ125" s="25" t="str">
        <f t="shared" si="117"/>
        <v>0</v>
      </c>
      <c r="BA125" s="25" t="str">
        <f t="shared" si="117"/>
        <v>0</v>
      </c>
      <c r="BB125" s="25" t="str">
        <f t="shared" si="117"/>
        <v>0</v>
      </c>
      <c r="BC125" s="25" t="str">
        <f t="shared" si="117"/>
        <v>0</v>
      </c>
      <c r="BD125" s="25" t="str">
        <f t="shared" si="117"/>
        <v>0</v>
      </c>
      <c r="BE125" s="25" t="str">
        <f t="shared" si="117"/>
        <v>0</v>
      </c>
      <c r="BF125" s="25" t="str">
        <f t="shared" si="117"/>
        <v>0</v>
      </c>
      <c r="BG125" s="25" t="str">
        <f t="shared" si="117"/>
        <v>0</v>
      </c>
      <c r="BH125" s="25" t="str">
        <f t="shared" si="117"/>
        <v>0</v>
      </c>
      <c r="BI125" s="25" t="str">
        <f t="shared" si="117"/>
        <v>0</v>
      </c>
      <c r="BJ125" s="25" t="str">
        <f t="shared" si="117"/>
        <v>0</v>
      </c>
      <c r="BK125" s="25" t="str">
        <f t="shared" si="117"/>
        <v>0</v>
      </c>
      <c r="BL125" s="25" t="str">
        <f t="shared" si="117"/>
        <v>0</v>
      </c>
      <c r="BM125" s="25" t="str">
        <f t="shared" si="117"/>
        <v>0</v>
      </c>
      <c r="BN125" s="25">
        <f t="shared" si="117"/>
        <v>0.18</v>
      </c>
      <c r="BO125" s="25" t="str">
        <f t="shared" si="117"/>
        <v>0</v>
      </c>
      <c r="BP125" s="25" t="str">
        <f t="shared" si="117"/>
        <v>0</v>
      </c>
      <c r="BQ125" s="25" t="str">
        <f t="shared" si="117"/>
        <v>0</v>
      </c>
      <c r="BR125" s="25" t="str">
        <f t="shared" si="117"/>
        <v>0</v>
      </c>
      <c r="BS125" s="25" t="str">
        <f t="shared" si="117"/>
        <v>0</v>
      </c>
      <c r="BT125" s="25" t="str">
        <f t="shared" si="117"/>
        <v>0</v>
      </c>
      <c r="BU125" s="25" t="str">
        <f t="shared" si="117"/>
        <v>0</v>
      </c>
      <c r="BV125" s="25" t="str">
        <f t="shared" si="117"/>
        <v>0</v>
      </c>
      <c r="BW125" s="25" t="str">
        <f t="shared" si="117"/>
        <v>0</v>
      </c>
      <c r="BX125" s="25" t="str">
        <f t="shared" si="117"/>
        <v>0</v>
      </c>
      <c r="BY125" s="25" t="str">
        <f t="shared" si="117"/>
        <v>0</v>
      </c>
      <c r="BZ125" s="25" t="str">
        <f t="shared" si="117"/>
        <v>0</v>
      </c>
      <c r="CC125" s="25" t="str">
        <f t="array" ref="CC125">INDEX($C$46:$C$74,MATCH(CD125,$B$46:$B$74,0))</f>
        <v>萨萨莉安</v>
      </c>
      <c r="CD125" s="1">
        <v>1007</v>
      </c>
      <c r="CE125" s="1">
        <v>4</v>
      </c>
      <c r="CF125" s="25" t="str">
        <f t="array" ref="CF125">INDEX($T$5:$T$44,MATCH(CC125,$B$5:$B$44,0))</f>
        <v>魔法</v>
      </c>
      <c r="CG125" s="25">
        <f t="shared" si="34"/>
        <v>0.15</v>
      </c>
      <c r="CH125" s="25">
        <f t="shared" si="13"/>
        <v>1.15</v>
      </c>
      <c r="CI125" s="25">
        <f t="shared" si="14"/>
        <v>1</v>
      </c>
      <c r="CJ125" s="25">
        <f t="shared" si="15"/>
        <v>1.15</v>
      </c>
      <c r="CK125" s="25">
        <f t="shared" si="16"/>
        <v>1.15</v>
      </c>
      <c r="CL125" s="25">
        <v>0</v>
      </c>
      <c r="CM125" s="25">
        <f t="shared" si="35"/>
        <v>0</v>
      </c>
      <c r="CN125" s="25">
        <f t="shared" si="17"/>
        <v>0</v>
      </c>
      <c r="CO125" s="25">
        <f t="shared" si="18"/>
        <v>0</v>
      </c>
      <c r="CP125" s="29" t="str">
        <f t="shared" ref="CP125:DQ125" si="118">IF($CL125=CP$78,$CN125,"0")</f>
        <v>0</v>
      </c>
      <c r="CQ125" s="29" t="str">
        <f t="shared" si="118"/>
        <v>0</v>
      </c>
      <c r="CR125" s="29" t="str">
        <f t="shared" si="118"/>
        <v>0</v>
      </c>
      <c r="CS125" s="29" t="str">
        <f t="shared" si="118"/>
        <v>0</v>
      </c>
      <c r="CT125" s="29" t="str">
        <f t="shared" si="118"/>
        <v>0</v>
      </c>
      <c r="CU125" s="29" t="str">
        <f t="shared" si="118"/>
        <v>0</v>
      </c>
      <c r="CV125" s="29" t="str">
        <f t="shared" si="118"/>
        <v>0</v>
      </c>
      <c r="CW125" s="29" t="str">
        <f t="shared" si="118"/>
        <v>0</v>
      </c>
      <c r="CX125" s="29" t="str">
        <f t="shared" si="118"/>
        <v>0</v>
      </c>
      <c r="CY125" s="29" t="str">
        <f t="shared" si="118"/>
        <v>0</v>
      </c>
      <c r="CZ125" s="29" t="str">
        <f t="shared" si="118"/>
        <v>0</v>
      </c>
      <c r="DA125" s="29" t="str">
        <f t="shared" si="118"/>
        <v>0</v>
      </c>
      <c r="DB125" s="29" t="str">
        <f t="shared" si="118"/>
        <v>0</v>
      </c>
      <c r="DC125" s="29" t="str">
        <f t="shared" si="118"/>
        <v>0</v>
      </c>
      <c r="DD125" s="29" t="str">
        <f t="shared" si="118"/>
        <v>0</v>
      </c>
      <c r="DE125" s="29" t="str">
        <f t="shared" si="118"/>
        <v>0</v>
      </c>
      <c r="DF125" s="29" t="str">
        <f t="shared" si="118"/>
        <v>0</v>
      </c>
      <c r="DG125" s="29" t="str">
        <f t="shared" si="118"/>
        <v>0</v>
      </c>
      <c r="DH125" s="29" t="str">
        <f t="shared" si="118"/>
        <v>0</v>
      </c>
      <c r="DI125" s="29" t="str">
        <f t="shared" si="118"/>
        <v>0</v>
      </c>
      <c r="DJ125" s="29" t="str">
        <f t="shared" si="118"/>
        <v>0</v>
      </c>
      <c r="DK125" s="29" t="str">
        <f t="shared" si="118"/>
        <v>0</v>
      </c>
      <c r="DL125" s="29" t="str">
        <f t="shared" si="118"/>
        <v>0</v>
      </c>
      <c r="DM125" s="29" t="str">
        <f t="shared" si="118"/>
        <v>0</v>
      </c>
      <c r="DN125" s="29" t="str">
        <f t="shared" si="118"/>
        <v>0</v>
      </c>
      <c r="DO125" s="29" t="str">
        <f t="shared" si="118"/>
        <v>0</v>
      </c>
      <c r="DP125" s="29" t="str">
        <f t="shared" si="118"/>
        <v>0</v>
      </c>
      <c r="DQ125" s="29" t="str">
        <f t="shared" si="118"/>
        <v>0</v>
      </c>
      <c r="DR125" s="29"/>
      <c r="DS125" s="25">
        <v>0</v>
      </c>
      <c r="EE125" s="25" t="str">
        <f t="shared" si="20"/>
        <v>0</v>
      </c>
    </row>
    <row r="126" spans="1:135">
      <c r="A126" s="48">
        <v>1001048</v>
      </c>
      <c r="B126" s="49" t="s">
        <v>910</v>
      </c>
      <c r="C126" s="25">
        <v>48</v>
      </c>
      <c r="D126" s="25">
        <f t="array" ref="D126">INDEX(C$5:C$67,MATCH($B126,$B$5:$B$67,0))</f>
        <v>3600</v>
      </c>
      <c r="E126" s="25">
        <f t="array" ref="E126">INDEX(D$5:D$67,MATCH($B126,$B$5:$B$67,0))</f>
        <v>288</v>
      </c>
      <c r="F126" s="25">
        <f t="array" ref="F126">INDEX(E$5:E$67,MATCH($B126,$B$5:$B$67,0))</f>
        <v>1320</v>
      </c>
      <c r="G126" s="25">
        <f t="array" ref="G126">INDEX(F$5:F$67,MATCH($B126,$B$5:$B$67,0))</f>
        <v>105.6</v>
      </c>
      <c r="H126" s="25">
        <f t="array" ref="H126">INDEX(G$5:G$66,MATCH($B126,$B$5:$B$67,0))</f>
        <v>1056</v>
      </c>
      <c r="I126" s="25">
        <f t="array" ref="I126">INDEX(H$5:H$67,MATCH($B126,$B$5:$B$67,0))</f>
        <v>84.48</v>
      </c>
      <c r="J126" s="25">
        <f t="array" ref="J126">INDEX(I$5:I$67,MATCH($B126,$B$5:$B$67,0))</f>
        <v>800</v>
      </c>
      <c r="K126" s="25">
        <f t="array" ref="K126">INDEX(J$5:J$67,MATCH($B126,$B$5:$B$67,0))</f>
        <v>64</v>
      </c>
      <c r="L126" s="25">
        <f t="shared" si="0"/>
        <v>17424</v>
      </c>
      <c r="M126" s="25">
        <f t="shared" si="1"/>
        <v>6389</v>
      </c>
      <c r="N126" s="25">
        <f t="shared" si="2"/>
        <v>5111</v>
      </c>
      <c r="O126" s="25">
        <f t="shared" si="3"/>
        <v>3872</v>
      </c>
      <c r="R126" s="50">
        <f t="array" ref="R126">INDEX($B$46:$B$68,MATCH(S126,$C$46:$C$68,0))*1000+T126</f>
        <v>1002021</v>
      </c>
      <c r="S126" s="51" t="s">
        <v>318</v>
      </c>
      <c r="T126" s="29">
        <f t="shared" si="78"/>
        <v>21</v>
      </c>
      <c r="U126" s="25">
        <f t="array" ref="U126">INDEX(K$5:K$67,MATCH($S126,$B$5:$B$67,0))</f>
        <v>477.12</v>
      </c>
      <c r="V126" s="25">
        <f t="array" ref="V126">INDEX(L$5:L$67,MATCH($S126,$B$5:$B$67,0))</f>
        <v>61.44</v>
      </c>
      <c r="W126" s="25">
        <f t="array" ref="W126">INDEX(M$5:M$67,MATCH($S126,$B$5:$B$67,0))</f>
        <v>49.15</v>
      </c>
      <c r="X126" s="25">
        <f t="array" ref="X126">INDEX(N$5:N$67,MATCH($S126,$B$5:$B$67,0))</f>
        <v>68</v>
      </c>
      <c r="Y126" s="25">
        <f t="shared" si="4"/>
        <v>10020</v>
      </c>
      <c r="Z126" s="25">
        <f t="shared" si="5"/>
        <v>1290</v>
      </c>
      <c r="AA126" s="25">
        <f t="shared" si="6"/>
        <v>1032</v>
      </c>
      <c r="AB126" s="25">
        <f t="shared" si="7"/>
        <v>1428</v>
      </c>
      <c r="AF126" s="25">
        <v>48</v>
      </c>
      <c r="AG126" s="25">
        <f t="array" ref="AG126">INDEX($AE$79:$AE$116,QUOTIENT(AF126-1,8)+1)</f>
        <v>1006</v>
      </c>
      <c r="AH126" s="25">
        <f t="shared" si="37"/>
        <v>8</v>
      </c>
      <c r="AI126" s="25">
        <f t="shared" si="8"/>
        <v>10068</v>
      </c>
      <c r="AJ126" s="25" t="str">
        <f t="shared" si="9"/>
        <v>莉莉娅</v>
      </c>
      <c r="AK126" s="25">
        <f t="shared" si="38"/>
        <v>3</v>
      </c>
      <c r="AL126" s="25" t="str">
        <f t="array" ref="AL126">INDEX($O$5:$O$42,MATCH(AJ126,$B$5:$B$42,0))</f>
        <v>攻击百分比</v>
      </c>
      <c r="AM126" s="25" t="str">
        <f t="array" ref="AM126">INDEX($P$5:$P$42,MATCH(AJ126,$B$5:$B$42,0))</f>
        <v>技能伤害加成</v>
      </c>
      <c r="AN126" s="25" t="str">
        <f t="array" ref="AN126">INDEX($Q$5:$Q$42,MATCH(AJ126,$B$5:$B$42,0))</f>
        <v>能量回复等级</v>
      </c>
      <c r="AO126" s="25" t="str">
        <f t="array" ref="AO126">INDEX(AL126:AN126,0,AK126)</f>
        <v>能量回复等级</v>
      </c>
      <c r="AP126" s="25">
        <f>1950*$G$46/VLOOKUP(AO126,$F$46:$G$72,2,0)</f>
        <v>0.216666666666667</v>
      </c>
      <c r="AQ126" s="25">
        <f t="shared" si="11"/>
        <v>1950</v>
      </c>
      <c r="AR126" s="25" t="str">
        <f t="shared" ref="AR126:BZ126" si="119">IF(AR$78=$AO126,$AQ126,"0")</f>
        <v>0</v>
      </c>
      <c r="AS126" s="25" t="str">
        <f t="shared" si="119"/>
        <v>0</v>
      </c>
      <c r="AT126" s="25" t="str">
        <f t="shared" si="119"/>
        <v>0</v>
      </c>
      <c r="AU126" s="25" t="str">
        <f t="shared" si="119"/>
        <v>0</v>
      </c>
      <c r="AV126" s="25" t="str">
        <f t="shared" si="119"/>
        <v>0</v>
      </c>
      <c r="AW126" s="25" t="str">
        <f t="shared" si="119"/>
        <v>0</v>
      </c>
      <c r="AX126" s="25" t="str">
        <f t="shared" si="119"/>
        <v>0</v>
      </c>
      <c r="AY126" s="25" t="str">
        <f t="shared" si="119"/>
        <v>0</v>
      </c>
      <c r="AZ126" s="25" t="str">
        <f t="shared" si="119"/>
        <v>0</v>
      </c>
      <c r="BA126" s="25" t="str">
        <f t="shared" si="119"/>
        <v>0</v>
      </c>
      <c r="BB126" s="25" t="str">
        <f t="shared" si="119"/>
        <v>0</v>
      </c>
      <c r="BC126" s="25" t="str">
        <f t="shared" si="119"/>
        <v>0</v>
      </c>
      <c r="BD126" s="25" t="str">
        <f t="shared" si="119"/>
        <v>0</v>
      </c>
      <c r="BE126" s="25" t="str">
        <f t="shared" si="119"/>
        <v>0</v>
      </c>
      <c r="BF126" s="25" t="str">
        <f t="shared" si="119"/>
        <v>0</v>
      </c>
      <c r="BG126" s="25" t="str">
        <f t="shared" si="119"/>
        <v>0</v>
      </c>
      <c r="BH126" s="25" t="str">
        <f t="shared" si="119"/>
        <v>0</v>
      </c>
      <c r="BI126" s="25" t="str">
        <f t="shared" si="119"/>
        <v>0</v>
      </c>
      <c r="BJ126" s="25" t="str">
        <f t="shared" si="119"/>
        <v>0</v>
      </c>
      <c r="BK126" s="25" t="str">
        <f t="shared" si="119"/>
        <v>0</v>
      </c>
      <c r="BL126" s="25" t="str">
        <f t="shared" si="119"/>
        <v>0</v>
      </c>
      <c r="BM126" s="25" t="str">
        <f t="shared" si="119"/>
        <v>0</v>
      </c>
      <c r="BN126" s="25" t="str">
        <f t="shared" si="119"/>
        <v>0</v>
      </c>
      <c r="BO126" s="25" t="str">
        <f t="shared" si="119"/>
        <v>0</v>
      </c>
      <c r="BP126" s="25" t="str">
        <f t="shared" si="119"/>
        <v>0</v>
      </c>
      <c r="BQ126" s="25" t="str">
        <f t="shared" si="119"/>
        <v>0</v>
      </c>
      <c r="BR126" s="25" t="str">
        <f t="shared" si="119"/>
        <v>0</v>
      </c>
      <c r="BS126" s="25" t="str">
        <f t="shared" si="119"/>
        <v>0</v>
      </c>
      <c r="BT126" s="25" t="str">
        <f t="shared" si="119"/>
        <v>0</v>
      </c>
      <c r="BU126" s="25" t="str">
        <f t="shared" si="119"/>
        <v>0</v>
      </c>
      <c r="BV126" s="25" t="str">
        <f t="shared" si="119"/>
        <v>0</v>
      </c>
      <c r="BW126" s="25" t="str">
        <f t="shared" si="119"/>
        <v>0</v>
      </c>
      <c r="BX126" s="25" t="str">
        <f t="shared" si="119"/>
        <v>0</v>
      </c>
      <c r="BY126" s="25">
        <f t="shared" si="119"/>
        <v>1950</v>
      </c>
      <c r="BZ126" s="25" t="str">
        <f t="shared" si="119"/>
        <v>0</v>
      </c>
      <c r="CC126" s="25" t="str">
        <f t="array" ref="CC126">INDEX($C$46:$C$74,MATCH(CD126,$B$46:$B$74,0))</f>
        <v>萨萨莉安</v>
      </c>
      <c r="CD126" s="1">
        <v>1007</v>
      </c>
      <c r="CE126" s="1">
        <v>5</v>
      </c>
      <c r="CF126" s="25" t="str">
        <f t="array" ref="CF126">INDEX($T$5:$T$44,MATCH(CC126,$B$5:$B$44,0))</f>
        <v>魔法</v>
      </c>
      <c r="CG126" s="25">
        <f t="shared" si="34"/>
        <v>0.3</v>
      </c>
      <c r="CH126" s="25">
        <f t="shared" si="13"/>
        <v>1.3</v>
      </c>
      <c r="CI126" s="25">
        <f t="shared" si="14"/>
        <v>1</v>
      </c>
      <c r="CJ126" s="25">
        <f t="shared" si="15"/>
        <v>1.3</v>
      </c>
      <c r="CK126" s="25">
        <f t="shared" si="16"/>
        <v>1.3</v>
      </c>
      <c r="CL126" s="25" t="str">
        <f t="array" ref="CL126">INDEX($S$5:$S$43,MATCH(CC126,$B$5:$B$43,0))</f>
        <v>暴击伤害等级</v>
      </c>
      <c r="CM126" s="25">
        <f t="shared" si="35"/>
        <v>0.3</v>
      </c>
      <c r="CN126" s="25">
        <f t="shared" si="17"/>
        <v>3300</v>
      </c>
      <c r="CO126" s="25">
        <f t="shared" si="18"/>
        <v>1</v>
      </c>
      <c r="CP126" s="29" t="str">
        <f t="shared" ref="CP126:DQ126" si="120">IF($CL126=CP$78,$CN126,"0")</f>
        <v>0</v>
      </c>
      <c r="CQ126" s="29" t="str">
        <f t="shared" si="120"/>
        <v>0</v>
      </c>
      <c r="CR126" s="29" t="str">
        <f t="shared" si="120"/>
        <v>0</v>
      </c>
      <c r="CS126" s="29" t="str">
        <f t="shared" si="120"/>
        <v>0</v>
      </c>
      <c r="CT126" s="29" t="str">
        <f t="shared" si="120"/>
        <v>0</v>
      </c>
      <c r="CU126" s="29" t="str">
        <f t="shared" si="120"/>
        <v>0</v>
      </c>
      <c r="CV126" s="29" t="str">
        <f t="shared" si="120"/>
        <v>0</v>
      </c>
      <c r="CW126" s="29" t="str">
        <f t="shared" si="120"/>
        <v>0</v>
      </c>
      <c r="CX126" s="29" t="str">
        <f t="shared" si="120"/>
        <v>0</v>
      </c>
      <c r="CY126" s="29" t="str">
        <f t="shared" si="120"/>
        <v>0</v>
      </c>
      <c r="CZ126" s="29" t="str">
        <f t="shared" si="120"/>
        <v>0</v>
      </c>
      <c r="DA126" s="29" t="str">
        <f t="shared" si="120"/>
        <v>0</v>
      </c>
      <c r="DB126" s="29" t="str">
        <f t="shared" si="120"/>
        <v>0</v>
      </c>
      <c r="DC126" s="29" t="str">
        <f t="shared" si="120"/>
        <v>0</v>
      </c>
      <c r="DD126" s="29" t="str">
        <f t="shared" si="120"/>
        <v>0</v>
      </c>
      <c r="DE126" s="29" t="str">
        <f t="shared" si="120"/>
        <v>0</v>
      </c>
      <c r="DF126" s="29" t="str">
        <f t="shared" si="120"/>
        <v>0</v>
      </c>
      <c r="DG126" s="29" t="str">
        <f t="shared" si="120"/>
        <v>0</v>
      </c>
      <c r="DH126" s="29" t="str">
        <f t="shared" si="120"/>
        <v>0</v>
      </c>
      <c r="DI126" s="29" t="str">
        <f t="shared" si="120"/>
        <v>0</v>
      </c>
      <c r="DJ126" s="29" t="str">
        <f t="shared" si="120"/>
        <v>0</v>
      </c>
      <c r="DK126" s="29" t="str">
        <f t="shared" si="120"/>
        <v>0</v>
      </c>
      <c r="DL126" s="29" t="str">
        <f t="shared" si="120"/>
        <v>0</v>
      </c>
      <c r="DM126" s="29" t="str">
        <f t="shared" si="120"/>
        <v>0</v>
      </c>
      <c r="DN126" s="29" t="str">
        <f t="shared" si="120"/>
        <v>0</v>
      </c>
      <c r="DO126" s="29">
        <f t="shared" si="120"/>
        <v>3300</v>
      </c>
      <c r="DP126" s="29" t="str">
        <f t="shared" si="120"/>
        <v>0</v>
      </c>
      <c r="DQ126" s="29" t="str">
        <f t="shared" si="120"/>
        <v>0</v>
      </c>
      <c r="DR126" s="29"/>
      <c r="DS126" s="25" t="s">
        <v>1011</v>
      </c>
      <c r="DT126" s="25" t="str">
        <f>TEXT(角色升星!$F$18,"0%")</f>
        <v>15%</v>
      </c>
      <c r="DU126" s="25" t="s">
        <v>779</v>
      </c>
      <c r="DV126" s="25" t="str">
        <f>IF(CF126="物理","PhysicsAttack,+","MagicAttack,+")</f>
        <v>MagicAttack,+</v>
      </c>
      <c r="DW126" s="25" t="str">
        <f>TEXT(角色升星!$F$18,"0%")</f>
        <v>15%</v>
      </c>
      <c r="DX126" s="25" t="s">
        <v>779</v>
      </c>
      <c r="DY126" s="25" t="s">
        <v>1012</v>
      </c>
      <c r="DZ126" s="25" t="str">
        <f>TEXT(角色升星!$F$18,"0%")</f>
        <v>15%</v>
      </c>
      <c r="EA126" s="25" t="s">
        <v>779</v>
      </c>
      <c r="EB126" s="25" t="str">
        <f>VLOOKUP(CL126,$O$46:$P$73,2,0)</f>
        <v>CritDmgBonusLevel</v>
      </c>
      <c r="EC126" s="25" t="s">
        <v>1013</v>
      </c>
      <c r="ED126" s="25">
        <f>IF(CN126&gt;1,CN126,TEXT(CN126,"0%"))</f>
        <v>3300</v>
      </c>
      <c r="EE126" s="25" t="str">
        <f t="shared" si="20"/>
        <v>Hp,+15%;MagicAttack,+15%;Armor,+15%;CritDmgBonusLevel,+3300</v>
      </c>
    </row>
    <row r="127" spans="1:135">
      <c r="A127" s="48">
        <v>1001049</v>
      </c>
      <c r="B127" s="49" t="s">
        <v>910</v>
      </c>
      <c r="C127" s="25">
        <v>49</v>
      </c>
      <c r="D127" s="25">
        <f t="array" ref="D127">INDEX(C$5:C$67,MATCH($B127,$B$5:$B$67,0))</f>
        <v>3600</v>
      </c>
      <c r="E127" s="25">
        <f t="array" ref="E127">INDEX(D$5:D$67,MATCH($B127,$B$5:$B$67,0))</f>
        <v>288</v>
      </c>
      <c r="F127" s="25">
        <f t="array" ref="F127">INDEX(E$5:E$67,MATCH($B127,$B$5:$B$67,0))</f>
        <v>1320</v>
      </c>
      <c r="G127" s="25">
        <f t="array" ref="G127">INDEX(F$5:F$67,MATCH($B127,$B$5:$B$67,0))</f>
        <v>105.6</v>
      </c>
      <c r="H127" s="25">
        <f t="array" ref="H127">INDEX(G$5:G$66,MATCH($B127,$B$5:$B$67,0))</f>
        <v>1056</v>
      </c>
      <c r="I127" s="25">
        <f t="array" ref="I127">INDEX(H$5:H$67,MATCH($B127,$B$5:$B$67,0))</f>
        <v>84.48</v>
      </c>
      <c r="J127" s="25">
        <f t="array" ref="J127">INDEX(I$5:I$67,MATCH($B127,$B$5:$B$67,0))</f>
        <v>800</v>
      </c>
      <c r="K127" s="25">
        <f t="array" ref="K127">INDEX(J$5:J$67,MATCH($B127,$B$5:$B$67,0))</f>
        <v>64</v>
      </c>
      <c r="L127" s="25">
        <f t="shared" si="0"/>
        <v>17712</v>
      </c>
      <c r="M127" s="25">
        <f t="shared" si="1"/>
        <v>6494</v>
      </c>
      <c r="N127" s="25">
        <f t="shared" si="2"/>
        <v>5196</v>
      </c>
      <c r="O127" s="25">
        <f t="shared" si="3"/>
        <v>3936</v>
      </c>
      <c r="R127" s="50">
        <f t="array" ref="R127">INDEX($B$46:$B$68,MATCH(S127,$C$46:$C$68,0))*1000+T127</f>
        <v>1002022</v>
      </c>
      <c r="S127" s="51" t="s">
        <v>318</v>
      </c>
      <c r="T127" s="29">
        <f t="shared" si="78"/>
        <v>22</v>
      </c>
      <c r="U127" s="25">
        <f t="array" ref="U127">INDEX(K$5:K$67,MATCH($S127,$B$5:$B$67,0))</f>
        <v>477.12</v>
      </c>
      <c r="V127" s="25">
        <f t="array" ref="V127">INDEX(L$5:L$67,MATCH($S127,$B$5:$B$67,0))</f>
        <v>61.44</v>
      </c>
      <c r="W127" s="25">
        <f t="array" ref="W127">INDEX(M$5:M$67,MATCH($S127,$B$5:$B$67,0))</f>
        <v>49.15</v>
      </c>
      <c r="X127" s="25">
        <f t="array" ref="X127">INDEX(N$5:N$67,MATCH($S127,$B$5:$B$67,0))</f>
        <v>68</v>
      </c>
      <c r="Y127" s="25">
        <f t="shared" si="4"/>
        <v>10497</v>
      </c>
      <c r="Z127" s="25">
        <f t="shared" si="5"/>
        <v>1352</v>
      </c>
      <c r="AA127" s="25">
        <f t="shared" si="6"/>
        <v>1081</v>
      </c>
      <c r="AB127" s="25">
        <f t="shared" si="7"/>
        <v>1496</v>
      </c>
      <c r="AF127" s="25">
        <v>49</v>
      </c>
      <c r="AG127" s="25">
        <f t="array" ref="AG127">INDEX($AE$79:$AE$116,QUOTIENT(AF127-1,8)+1)</f>
        <v>1007</v>
      </c>
      <c r="AH127" s="25">
        <f t="shared" si="37"/>
        <v>1</v>
      </c>
      <c r="AI127" s="25">
        <f t="shared" si="8"/>
        <v>10071</v>
      </c>
      <c r="AJ127" s="25" t="str">
        <f t="shared" si="9"/>
        <v>萨萨莉安</v>
      </c>
      <c r="AK127" s="25">
        <f t="shared" si="38"/>
        <v>1</v>
      </c>
      <c r="AL127" s="25" t="str">
        <f t="array" ref="AL127">INDEX($O$5:$O$42,MATCH(AJ127,$B$5:$B$42,0))</f>
        <v>攻击百分比</v>
      </c>
      <c r="AM127" s="25" t="str">
        <f t="array" ref="AM127">INDEX($P$5:$P$42,MATCH(AJ127,$B$5:$B$42,0))</f>
        <v>暴击伤害等级</v>
      </c>
      <c r="AN127" s="25" t="str">
        <f t="array" ref="AN127">INDEX($Q$5:$Q$42,MATCH(AJ127,$B$5:$B$42,0))</f>
        <v>能量回复等级</v>
      </c>
      <c r="AO127" s="25" t="str">
        <f t="array" ref="AO127">INDEX(AL127:AN127,0,AK127)</f>
        <v>攻击百分比</v>
      </c>
      <c r="AP127" s="25">
        <f t="shared" ref="AP127:AP134" si="121">AP119</f>
        <v>0.15</v>
      </c>
      <c r="AQ127" s="25">
        <f t="shared" si="11"/>
        <v>0.15</v>
      </c>
      <c r="AR127" s="25" t="str">
        <f t="shared" ref="AR127:BZ127" si="122">IF(AR$78=$AO127,$AQ127,"0")</f>
        <v>0</v>
      </c>
      <c r="AS127" s="25" t="str">
        <f t="shared" si="122"/>
        <v>0</v>
      </c>
      <c r="AT127" s="25" t="str">
        <f t="shared" si="122"/>
        <v>0</v>
      </c>
      <c r="AU127" s="25">
        <f t="shared" si="122"/>
        <v>0.15</v>
      </c>
      <c r="AV127" s="25" t="str">
        <f t="shared" si="122"/>
        <v>0</v>
      </c>
      <c r="AW127" s="25">
        <f t="shared" si="122"/>
        <v>0.15</v>
      </c>
      <c r="AX127" s="25" t="str">
        <f t="shared" si="122"/>
        <v>0</v>
      </c>
      <c r="AY127" s="25" t="str">
        <f t="shared" si="122"/>
        <v>0</v>
      </c>
      <c r="AZ127" s="25" t="str">
        <f t="shared" si="122"/>
        <v>0</v>
      </c>
      <c r="BA127" s="25" t="str">
        <f t="shared" si="122"/>
        <v>0</v>
      </c>
      <c r="BB127" s="25" t="str">
        <f t="shared" si="122"/>
        <v>0</v>
      </c>
      <c r="BC127" s="25" t="str">
        <f t="shared" si="122"/>
        <v>0</v>
      </c>
      <c r="BD127" s="25" t="str">
        <f t="shared" si="122"/>
        <v>0</v>
      </c>
      <c r="BE127" s="25" t="str">
        <f t="shared" si="122"/>
        <v>0</v>
      </c>
      <c r="BF127" s="25" t="str">
        <f t="shared" si="122"/>
        <v>0</v>
      </c>
      <c r="BG127" s="25" t="str">
        <f t="shared" si="122"/>
        <v>0</v>
      </c>
      <c r="BH127" s="25" t="str">
        <f t="shared" si="122"/>
        <v>0</v>
      </c>
      <c r="BI127" s="25" t="str">
        <f t="shared" si="122"/>
        <v>0</v>
      </c>
      <c r="BJ127" s="25" t="str">
        <f t="shared" si="122"/>
        <v>0</v>
      </c>
      <c r="BK127" s="25" t="str">
        <f t="shared" si="122"/>
        <v>0</v>
      </c>
      <c r="BL127" s="25" t="str">
        <f t="shared" si="122"/>
        <v>0</v>
      </c>
      <c r="BM127" s="25" t="str">
        <f t="shared" si="122"/>
        <v>0</v>
      </c>
      <c r="BN127" s="25" t="str">
        <f t="shared" si="122"/>
        <v>0</v>
      </c>
      <c r="BO127" s="25" t="str">
        <f t="shared" si="122"/>
        <v>0</v>
      </c>
      <c r="BP127" s="25" t="str">
        <f t="shared" si="122"/>
        <v>0</v>
      </c>
      <c r="BQ127" s="25" t="str">
        <f t="shared" si="122"/>
        <v>0</v>
      </c>
      <c r="BR127" s="25" t="str">
        <f t="shared" si="122"/>
        <v>0</v>
      </c>
      <c r="BS127" s="25" t="str">
        <f t="shared" si="122"/>
        <v>0</v>
      </c>
      <c r="BT127" s="25" t="str">
        <f t="shared" si="122"/>
        <v>0</v>
      </c>
      <c r="BU127" s="25" t="str">
        <f t="shared" si="122"/>
        <v>0</v>
      </c>
      <c r="BV127" s="25" t="str">
        <f t="shared" si="122"/>
        <v>0</v>
      </c>
      <c r="BW127" s="25" t="str">
        <f t="shared" si="122"/>
        <v>0</v>
      </c>
      <c r="BX127" s="25" t="str">
        <f t="shared" si="122"/>
        <v>0</v>
      </c>
      <c r="BY127" s="25" t="str">
        <f t="shared" si="122"/>
        <v>0</v>
      </c>
      <c r="BZ127" s="25" t="str">
        <f t="shared" si="122"/>
        <v>0</v>
      </c>
      <c r="CC127" s="25" t="str">
        <f t="array" ref="CC127">INDEX($C$46:$C$74,MATCH(CD127,$B$46:$B$74,0))</f>
        <v>萨萨莉安</v>
      </c>
      <c r="CD127" s="1">
        <v>1007</v>
      </c>
      <c r="CE127" s="1">
        <v>6</v>
      </c>
      <c r="CF127" s="25" t="str">
        <f t="array" ref="CF127">INDEX($T$5:$T$44,MATCH(CC127,$B$5:$B$44,0))</f>
        <v>魔法</v>
      </c>
      <c r="CG127" s="25">
        <f t="shared" si="34"/>
        <v>0.3</v>
      </c>
      <c r="CH127" s="25">
        <f t="shared" si="13"/>
        <v>1.3</v>
      </c>
      <c r="CI127" s="25">
        <f t="shared" si="14"/>
        <v>1</v>
      </c>
      <c r="CJ127" s="25">
        <f t="shared" si="15"/>
        <v>1.3</v>
      </c>
      <c r="CK127" s="25">
        <f t="shared" si="16"/>
        <v>1.3</v>
      </c>
      <c r="CL127" s="25">
        <v>0</v>
      </c>
      <c r="CM127" s="25">
        <f t="shared" si="35"/>
        <v>0</v>
      </c>
      <c r="CN127" s="25">
        <f t="shared" si="17"/>
        <v>0</v>
      </c>
      <c r="CO127" s="25">
        <f t="shared" si="18"/>
        <v>0</v>
      </c>
      <c r="CP127" s="29" t="str">
        <f t="shared" ref="CP127:DQ127" si="123">IF($CL127=CP$78,$CN127,"0")</f>
        <v>0</v>
      </c>
      <c r="CQ127" s="29" t="str">
        <f t="shared" si="123"/>
        <v>0</v>
      </c>
      <c r="CR127" s="29" t="str">
        <f t="shared" si="123"/>
        <v>0</v>
      </c>
      <c r="CS127" s="29" t="str">
        <f t="shared" si="123"/>
        <v>0</v>
      </c>
      <c r="CT127" s="29" t="str">
        <f t="shared" si="123"/>
        <v>0</v>
      </c>
      <c r="CU127" s="29" t="str">
        <f t="shared" si="123"/>
        <v>0</v>
      </c>
      <c r="CV127" s="29" t="str">
        <f t="shared" si="123"/>
        <v>0</v>
      </c>
      <c r="CW127" s="29" t="str">
        <f t="shared" si="123"/>
        <v>0</v>
      </c>
      <c r="CX127" s="29" t="str">
        <f t="shared" si="123"/>
        <v>0</v>
      </c>
      <c r="CY127" s="29" t="str">
        <f t="shared" si="123"/>
        <v>0</v>
      </c>
      <c r="CZ127" s="29" t="str">
        <f t="shared" si="123"/>
        <v>0</v>
      </c>
      <c r="DA127" s="29" t="str">
        <f t="shared" si="123"/>
        <v>0</v>
      </c>
      <c r="DB127" s="29" t="str">
        <f t="shared" si="123"/>
        <v>0</v>
      </c>
      <c r="DC127" s="29" t="str">
        <f t="shared" si="123"/>
        <v>0</v>
      </c>
      <c r="DD127" s="29" t="str">
        <f t="shared" si="123"/>
        <v>0</v>
      </c>
      <c r="DE127" s="29" t="str">
        <f t="shared" si="123"/>
        <v>0</v>
      </c>
      <c r="DF127" s="29" t="str">
        <f t="shared" si="123"/>
        <v>0</v>
      </c>
      <c r="DG127" s="29" t="str">
        <f t="shared" si="123"/>
        <v>0</v>
      </c>
      <c r="DH127" s="29" t="str">
        <f t="shared" si="123"/>
        <v>0</v>
      </c>
      <c r="DI127" s="29" t="str">
        <f t="shared" si="123"/>
        <v>0</v>
      </c>
      <c r="DJ127" s="29" t="str">
        <f t="shared" si="123"/>
        <v>0</v>
      </c>
      <c r="DK127" s="29" t="str">
        <f t="shared" si="123"/>
        <v>0</v>
      </c>
      <c r="DL127" s="29" t="str">
        <f t="shared" si="123"/>
        <v>0</v>
      </c>
      <c r="DM127" s="29" t="str">
        <f t="shared" si="123"/>
        <v>0</v>
      </c>
      <c r="DN127" s="29" t="str">
        <f t="shared" si="123"/>
        <v>0</v>
      </c>
      <c r="DO127" s="29" t="str">
        <f t="shared" si="123"/>
        <v>0</v>
      </c>
      <c r="DP127" s="29" t="str">
        <f t="shared" si="123"/>
        <v>0</v>
      </c>
      <c r="DQ127" s="29" t="str">
        <f t="shared" si="123"/>
        <v>0</v>
      </c>
      <c r="DR127" s="29"/>
      <c r="DS127" s="25">
        <v>0</v>
      </c>
      <c r="EE127" s="25" t="str">
        <f t="shared" si="20"/>
        <v>0</v>
      </c>
    </row>
    <row r="128" spans="1:135">
      <c r="A128" s="48">
        <v>1001050</v>
      </c>
      <c r="B128" s="49" t="s">
        <v>910</v>
      </c>
      <c r="C128" s="25">
        <v>50</v>
      </c>
      <c r="D128" s="25">
        <f t="array" ref="D128">INDEX(C$5:C$67,MATCH($B128,$B$5:$B$67,0))</f>
        <v>3600</v>
      </c>
      <c r="E128" s="25">
        <f t="array" ref="E128">INDEX(D$5:D$67,MATCH($B128,$B$5:$B$67,0))</f>
        <v>288</v>
      </c>
      <c r="F128" s="25">
        <f t="array" ref="F128">INDEX(E$5:E$67,MATCH($B128,$B$5:$B$67,0))</f>
        <v>1320</v>
      </c>
      <c r="G128" s="25">
        <f t="array" ref="G128">INDEX(F$5:F$67,MATCH($B128,$B$5:$B$67,0))</f>
        <v>105.6</v>
      </c>
      <c r="H128" s="25">
        <f t="array" ref="H128">INDEX(G$5:G$66,MATCH($B128,$B$5:$B$67,0))</f>
        <v>1056</v>
      </c>
      <c r="I128" s="25">
        <f t="array" ref="I128">INDEX(H$5:H$67,MATCH($B128,$B$5:$B$67,0))</f>
        <v>84.48</v>
      </c>
      <c r="J128" s="25">
        <f t="array" ref="J128">INDEX(I$5:I$67,MATCH($B128,$B$5:$B$67,0))</f>
        <v>800</v>
      </c>
      <c r="K128" s="25">
        <f t="array" ref="K128">INDEX(J$5:J$67,MATCH($B128,$B$5:$B$67,0))</f>
        <v>64</v>
      </c>
      <c r="L128" s="25">
        <f t="shared" si="0"/>
        <v>18000</v>
      </c>
      <c r="M128" s="25">
        <f t="shared" si="1"/>
        <v>6600</v>
      </c>
      <c r="N128" s="25">
        <f t="shared" si="2"/>
        <v>5280</v>
      </c>
      <c r="O128" s="25">
        <f t="shared" si="3"/>
        <v>4000</v>
      </c>
      <c r="R128" s="50">
        <f t="array" ref="R128">INDEX($B$46:$B$68,MATCH(S128,$C$46:$C$68,0))*1000+T128</f>
        <v>1002023</v>
      </c>
      <c r="S128" s="51" t="s">
        <v>318</v>
      </c>
      <c r="T128" s="29">
        <f t="shared" si="78"/>
        <v>23</v>
      </c>
      <c r="U128" s="25">
        <f t="array" ref="U128">INDEX(K$5:K$67,MATCH($S128,$B$5:$B$67,0))</f>
        <v>477.12</v>
      </c>
      <c r="V128" s="25">
        <f t="array" ref="V128">INDEX(L$5:L$67,MATCH($S128,$B$5:$B$67,0))</f>
        <v>61.44</v>
      </c>
      <c r="W128" s="25">
        <f t="array" ref="W128">INDEX(M$5:M$67,MATCH($S128,$B$5:$B$67,0))</f>
        <v>49.15</v>
      </c>
      <c r="X128" s="25">
        <f t="array" ref="X128">INDEX(N$5:N$67,MATCH($S128,$B$5:$B$67,0))</f>
        <v>68</v>
      </c>
      <c r="Y128" s="25">
        <f t="shared" si="4"/>
        <v>10974</v>
      </c>
      <c r="Z128" s="25">
        <f t="shared" si="5"/>
        <v>1413</v>
      </c>
      <c r="AA128" s="25">
        <f t="shared" si="6"/>
        <v>1130</v>
      </c>
      <c r="AB128" s="25">
        <f t="shared" si="7"/>
        <v>1564</v>
      </c>
      <c r="AF128" s="25">
        <v>50</v>
      </c>
      <c r="AG128" s="25">
        <f t="array" ref="AG128">INDEX($AE$79:$AE$116,QUOTIENT(AF128-1,8)+1)</f>
        <v>1007</v>
      </c>
      <c r="AH128" s="25">
        <f t="shared" si="37"/>
        <v>2</v>
      </c>
      <c r="AI128" s="25">
        <f t="shared" si="8"/>
        <v>10072</v>
      </c>
      <c r="AJ128" s="25" t="str">
        <f t="shared" si="9"/>
        <v>萨萨莉安</v>
      </c>
      <c r="AK128" s="25">
        <f t="shared" si="38"/>
        <v>2</v>
      </c>
      <c r="AL128" s="25" t="str">
        <f t="array" ref="AL128">INDEX($O$5:$O$42,MATCH(AJ128,$B$5:$B$42,0))</f>
        <v>攻击百分比</v>
      </c>
      <c r="AM128" s="25" t="str">
        <f t="array" ref="AM128">INDEX($P$5:$P$42,MATCH(AJ128,$B$5:$B$42,0))</f>
        <v>暴击伤害等级</v>
      </c>
      <c r="AN128" s="25" t="str">
        <f t="array" ref="AN128">INDEX($Q$5:$Q$42,MATCH(AJ128,$B$5:$B$42,0))</f>
        <v>能量回复等级</v>
      </c>
      <c r="AO128" s="25" t="str">
        <f t="array" ref="AO128">INDEX(AL128:AN128,0,AK128)</f>
        <v>暴击伤害等级</v>
      </c>
      <c r="AP128" s="25">
        <f t="shared" si="121"/>
        <v>0.15</v>
      </c>
      <c r="AQ128" s="25">
        <f t="shared" si="11"/>
        <v>1650</v>
      </c>
      <c r="AR128" s="25" t="str">
        <f t="shared" ref="AR128:BZ128" si="124">IF(AR$78=$AO128,$AQ128,"0")</f>
        <v>0</v>
      </c>
      <c r="AS128" s="25" t="str">
        <f t="shared" si="124"/>
        <v>0</v>
      </c>
      <c r="AT128" s="25" t="str">
        <f t="shared" si="124"/>
        <v>0</v>
      </c>
      <c r="AU128" s="25" t="str">
        <f t="shared" si="124"/>
        <v>0</v>
      </c>
      <c r="AV128" s="25" t="str">
        <f t="shared" si="124"/>
        <v>0</v>
      </c>
      <c r="AW128" s="25" t="str">
        <f t="shared" si="124"/>
        <v>0</v>
      </c>
      <c r="AX128" s="25" t="str">
        <f t="shared" si="124"/>
        <v>0</v>
      </c>
      <c r="AY128" s="25" t="str">
        <f t="shared" si="124"/>
        <v>0</v>
      </c>
      <c r="AZ128" s="25" t="str">
        <f t="shared" si="124"/>
        <v>0</v>
      </c>
      <c r="BA128" s="25" t="str">
        <f t="shared" si="124"/>
        <v>0</v>
      </c>
      <c r="BB128" s="25" t="str">
        <f t="shared" si="124"/>
        <v>0</v>
      </c>
      <c r="BC128" s="25" t="str">
        <f t="shared" si="124"/>
        <v>0</v>
      </c>
      <c r="BD128" s="25" t="str">
        <f t="shared" si="124"/>
        <v>0</v>
      </c>
      <c r="BE128" s="25" t="str">
        <f t="shared" si="124"/>
        <v>0</v>
      </c>
      <c r="BF128" s="25" t="str">
        <f t="shared" si="124"/>
        <v>0</v>
      </c>
      <c r="BG128" s="25" t="str">
        <f t="shared" si="124"/>
        <v>0</v>
      </c>
      <c r="BH128" s="25" t="str">
        <f t="shared" si="124"/>
        <v>0</v>
      </c>
      <c r="BI128" s="25" t="str">
        <f t="shared" si="124"/>
        <v>0</v>
      </c>
      <c r="BJ128" s="25" t="str">
        <f t="shared" si="124"/>
        <v>0</v>
      </c>
      <c r="BK128" s="25" t="str">
        <f t="shared" si="124"/>
        <v>0</v>
      </c>
      <c r="BL128" s="25" t="str">
        <f t="shared" si="124"/>
        <v>0</v>
      </c>
      <c r="BM128" s="25" t="str">
        <f t="shared" si="124"/>
        <v>0</v>
      </c>
      <c r="BN128" s="25" t="str">
        <f t="shared" si="124"/>
        <v>0</v>
      </c>
      <c r="BO128" s="25" t="str">
        <f t="shared" si="124"/>
        <v>0</v>
      </c>
      <c r="BP128" s="25" t="str">
        <f t="shared" si="124"/>
        <v>0</v>
      </c>
      <c r="BQ128" s="25" t="str">
        <f t="shared" si="124"/>
        <v>0</v>
      </c>
      <c r="BR128" s="25" t="str">
        <f t="shared" si="124"/>
        <v>0</v>
      </c>
      <c r="BS128" s="25" t="str">
        <f t="shared" si="124"/>
        <v>0</v>
      </c>
      <c r="BT128" s="25" t="str">
        <f t="shared" si="124"/>
        <v>0</v>
      </c>
      <c r="BU128" s="25" t="str">
        <f t="shared" si="124"/>
        <v>0</v>
      </c>
      <c r="BV128" s="25" t="str">
        <f t="shared" si="124"/>
        <v>0</v>
      </c>
      <c r="BW128" s="25" t="str">
        <f t="shared" si="124"/>
        <v>0</v>
      </c>
      <c r="BX128" s="25">
        <f t="shared" si="124"/>
        <v>1650</v>
      </c>
      <c r="BY128" s="25" t="str">
        <f t="shared" si="124"/>
        <v>0</v>
      </c>
      <c r="BZ128" s="25" t="str">
        <f t="shared" si="124"/>
        <v>0</v>
      </c>
      <c r="CC128" s="25" t="str">
        <f t="array" ref="CC128">INDEX($C$46:$C$74,MATCH(CD128,$B$46:$B$74,0))</f>
        <v>薇</v>
      </c>
      <c r="CD128" s="1">
        <v>1008</v>
      </c>
      <c r="CE128" s="1">
        <v>0</v>
      </c>
      <c r="CF128" s="25" t="str">
        <f t="array" ref="CF128">INDEX($T$5:$T$44,MATCH(CC128,$B$5:$B$44,0))</f>
        <v>混合</v>
      </c>
      <c r="CG128" s="25">
        <f t="shared" si="34"/>
        <v>0</v>
      </c>
      <c r="CH128" s="25">
        <f t="shared" si="13"/>
        <v>1</v>
      </c>
      <c r="CI128" s="25">
        <f t="shared" si="14"/>
        <v>1</v>
      </c>
      <c r="CJ128" s="25">
        <f t="shared" si="15"/>
        <v>1</v>
      </c>
      <c r="CK128" s="25">
        <f t="shared" si="16"/>
        <v>1</v>
      </c>
      <c r="CL128" s="25">
        <v>0</v>
      </c>
      <c r="CM128" s="25">
        <f t="shared" si="35"/>
        <v>0</v>
      </c>
      <c r="CN128" s="25">
        <f t="shared" si="17"/>
        <v>0</v>
      </c>
      <c r="CO128" s="25">
        <f t="shared" si="18"/>
        <v>0</v>
      </c>
      <c r="CP128" s="29" t="str">
        <f t="shared" ref="CP128:DQ128" si="125">IF($CL128=CP$78,$CN128,"0")</f>
        <v>0</v>
      </c>
      <c r="CQ128" s="29" t="str">
        <f t="shared" si="125"/>
        <v>0</v>
      </c>
      <c r="CR128" s="29" t="str">
        <f t="shared" si="125"/>
        <v>0</v>
      </c>
      <c r="CS128" s="29" t="str">
        <f t="shared" si="125"/>
        <v>0</v>
      </c>
      <c r="CT128" s="29" t="str">
        <f t="shared" si="125"/>
        <v>0</v>
      </c>
      <c r="CU128" s="29" t="str">
        <f t="shared" si="125"/>
        <v>0</v>
      </c>
      <c r="CV128" s="29" t="str">
        <f t="shared" si="125"/>
        <v>0</v>
      </c>
      <c r="CW128" s="29" t="str">
        <f t="shared" si="125"/>
        <v>0</v>
      </c>
      <c r="CX128" s="29" t="str">
        <f t="shared" si="125"/>
        <v>0</v>
      </c>
      <c r="CY128" s="29" t="str">
        <f t="shared" si="125"/>
        <v>0</v>
      </c>
      <c r="CZ128" s="29" t="str">
        <f t="shared" si="125"/>
        <v>0</v>
      </c>
      <c r="DA128" s="29" t="str">
        <f t="shared" si="125"/>
        <v>0</v>
      </c>
      <c r="DB128" s="29" t="str">
        <f t="shared" si="125"/>
        <v>0</v>
      </c>
      <c r="DC128" s="29" t="str">
        <f t="shared" si="125"/>
        <v>0</v>
      </c>
      <c r="DD128" s="29" t="str">
        <f t="shared" si="125"/>
        <v>0</v>
      </c>
      <c r="DE128" s="29" t="str">
        <f t="shared" si="125"/>
        <v>0</v>
      </c>
      <c r="DF128" s="29" t="str">
        <f t="shared" si="125"/>
        <v>0</v>
      </c>
      <c r="DG128" s="29" t="str">
        <f t="shared" si="125"/>
        <v>0</v>
      </c>
      <c r="DH128" s="29" t="str">
        <f t="shared" si="125"/>
        <v>0</v>
      </c>
      <c r="DI128" s="29" t="str">
        <f t="shared" si="125"/>
        <v>0</v>
      </c>
      <c r="DJ128" s="29" t="str">
        <f t="shared" si="125"/>
        <v>0</v>
      </c>
      <c r="DK128" s="29" t="str">
        <f t="shared" si="125"/>
        <v>0</v>
      </c>
      <c r="DL128" s="29" t="str">
        <f t="shared" si="125"/>
        <v>0</v>
      </c>
      <c r="DM128" s="29" t="str">
        <f t="shared" si="125"/>
        <v>0</v>
      </c>
      <c r="DN128" s="29" t="str">
        <f t="shared" si="125"/>
        <v>0</v>
      </c>
      <c r="DO128" s="29" t="str">
        <f t="shared" si="125"/>
        <v>0</v>
      </c>
      <c r="DP128" s="29" t="str">
        <f t="shared" si="125"/>
        <v>0</v>
      </c>
      <c r="DQ128" s="29" t="str">
        <f t="shared" si="125"/>
        <v>0</v>
      </c>
      <c r="DR128" s="29"/>
      <c r="DS128" s="25">
        <v>0</v>
      </c>
      <c r="EE128" s="25" t="str">
        <f t="shared" si="20"/>
        <v>0</v>
      </c>
    </row>
    <row r="129" spans="1:135">
      <c r="A129" s="48">
        <v>1001051</v>
      </c>
      <c r="B129" s="49" t="s">
        <v>910</v>
      </c>
      <c r="C129" s="25">
        <v>51</v>
      </c>
      <c r="D129" s="25">
        <f t="array" ref="D129">INDEX(C$5:C$67,MATCH($B129,$B$5:$B$67,0))</f>
        <v>3600</v>
      </c>
      <c r="E129" s="25">
        <f t="array" ref="E129">INDEX(D$5:D$67,MATCH($B129,$B$5:$B$67,0))</f>
        <v>288</v>
      </c>
      <c r="F129" s="25">
        <f t="array" ref="F129">INDEX(E$5:E$67,MATCH($B129,$B$5:$B$67,0))</f>
        <v>1320</v>
      </c>
      <c r="G129" s="25">
        <f t="array" ref="G129">INDEX(F$5:F$67,MATCH($B129,$B$5:$B$67,0))</f>
        <v>105.6</v>
      </c>
      <c r="H129" s="25">
        <f t="array" ref="H129">INDEX(G$5:G$66,MATCH($B129,$B$5:$B$67,0))</f>
        <v>1056</v>
      </c>
      <c r="I129" s="25">
        <f t="array" ref="I129">INDEX(H$5:H$67,MATCH($B129,$B$5:$B$67,0))</f>
        <v>84.48</v>
      </c>
      <c r="J129" s="25">
        <f t="array" ref="J129">INDEX(I$5:I$67,MATCH($B129,$B$5:$B$67,0))</f>
        <v>800</v>
      </c>
      <c r="K129" s="25">
        <f t="array" ref="K129">INDEX(J$5:J$67,MATCH($B129,$B$5:$B$67,0))</f>
        <v>64</v>
      </c>
      <c r="L129" s="25">
        <f t="shared" si="0"/>
        <v>18288</v>
      </c>
      <c r="M129" s="25">
        <f t="shared" si="1"/>
        <v>6706</v>
      </c>
      <c r="N129" s="25">
        <f t="shared" si="2"/>
        <v>5364</v>
      </c>
      <c r="O129" s="25">
        <f t="shared" si="3"/>
        <v>4064</v>
      </c>
      <c r="R129" s="50">
        <f t="array" ref="R129">INDEX($B$46:$B$68,MATCH(S129,$C$46:$C$68,0))*1000+T129</f>
        <v>1002024</v>
      </c>
      <c r="S129" s="51" t="s">
        <v>318</v>
      </c>
      <c r="T129" s="29">
        <f t="shared" si="78"/>
        <v>24</v>
      </c>
      <c r="U129" s="25">
        <f t="array" ref="U129">INDEX(K$5:K$67,MATCH($S129,$B$5:$B$67,0))</f>
        <v>477.12</v>
      </c>
      <c r="V129" s="25">
        <f t="array" ref="V129">INDEX(L$5:L$67,MATCH($S129,$B$5:$B$67,0))</f>
        <v>61.44</v>
      </c>
      <c r="W129" s="25">
        <f t="array" ref="W129">INDEX(M$5:M$67,MATCH($S129,$B$5:$B$67,0))</f>
        <v>49.15</v>
      </c>
      <c r="X129" s="25">
        <f t="array" ref="X129">INDEX(N$5:N$67,MATCH($S129,$B$5:$B$67,0))</f>
        <v>68</v>
      </c>
      <c r="Y129" s="25">
        <f t="shared" si="4"/>
        <v>11451</v>
      </c>
      <c r="Z129" s="25">
        <f t="shared" si="5"/>
        <v>1475</v>
      </c>
      <c r="AA129" s="25">
        <f t="shared" si="6"/>
        <v>1180</v>
      </c>
      <c r="AB129" s="25">
        <f t="shared" si="7"/>
        <v>1632</v>
      </c>
      <c r="AF129" s="25">
        <v>51</v>
      </c>
      <c r="AG129" s="25">
        <f t="array" ref="AG129">INDEX($AE$79:$AE$116,QUOTIENT(AF129-1,8)+1)</f>
        <v>1007</v>
      </c>
      <c r="AH129" s="25">
        <f t="shared" si="37"/>
        <v>3</v>
      </c>
      <c r="AI129" s="25">
        <f t="shared" si="8"/>
        <v>10073</v>
      </c>
      <c r="AJ129" s="25" t="str">
        <f t="shared" si="9"/>
        <v>萨萨莉安</v>
      </c>
      <c r="AK129" s="25">
        <f t="shared" si="38"/>
        <v>3</v>
      </c>
      <c r="AL129" s="25" t="str">
        <f t="array" ref="AL129">INDEX($O$5:$O$42,MATCH(AJ129,$B$5:$B$42,0))</f>
        <v>攻击百分比</v>
      </c>
      <c r="AM129" s="25" t="str">
        <f t="array" ref="AM129">INDEX($P$5:$P$42,MATCH(AJ129,$B$5:$B$42,0))</f>
        <v>暴击伤害等级</v>
      </c>
      <c r="AN129" s="25" t="str">
        <f t="array" ref="AN129">INDEX($Q$5:$Q$42,MATCH(AJ129,$B$5:$B$42,0))</f>
        <v>能量回复等级</v>
      </c>
      <c r="AO129" s="25" t="str">
        <f t="array" ref="AO129">INDEX(AL129:AN129,0,AK129)</f>
        <v>能量回复等级</v>
      </c>
      <c r="AP129" s="25">
        <f t="shared" si="121"/>
        <v>0.216666666666667</v>
      </c>
      <c r="AQ129" s="25">
        <f t="shared" si="11"/>
        <v>1950</v>
      </c>
      <c r="AR129" s="25" t="str">
        <f t="shared" ref="AR129:BZ129" si="126">IF(AR$78=$AO129,$AQ129,"0")</f>
        <v>0</v>
      </c>
      <c r="AS129" s="25" t="str">
        <f t="shared" si="126"/>
        <v>0</v>
      </c>
      <c r="AT129" s="25" t="str">
        <f t="shared" si="126"/>
        <v>0</v>
      </c>
      <c r="AU129" s="25" t="str">
        <f t="shared" si="126"/>
        <v>0</v>
      </c>
      <c r="AV129" s="25" t="str">
        <f t="shared" si="126"/>
        <v>0</v>
      </c>
      <c r="AW129" s="25" t="str">
        <f t="shared" si="126"/>
        <v>0</v>
      </c>
      <c r="AX129" s="25" t="str">
        <f t="shared" si="126"/>
        <v>0</v>
      </c>
      <c r="AY129" s="25" t="str">
        <f t="shared" si="126"/>
        <v>0</v>
      </c>
      <c r="AZ129" s="25" t="str">
        <f t="shared" si="126"/>
        <v>0</v>
      </c>
      <c r="BA129" s="25" t="str">
        <f t="shared" si="126"/>
        <v>0</v>
      </c>
      <c r="BB129" s="25" t="str">
        <f t="shared" si="126"/>
        <v>0</v>
      </c>
      <c r="BC129" s="25" t="str">
        <f t="shared" si="126"/>
        <v>0</v>
      </c>
      <c r="BD129" s="25" t="str">
        <f t="shared" si="126"/>
        <v>0</v>
      </c>
      <c r="BE129" s="25" t="str">
        <f t="shared" si="126"/>
        <v>0</v>
      </c>
      <c r="BF129" s="25" t="str">
        <f t="shared" si="126"/>
        <v>0</v>
      </c>
      <c r="BG129" s="25" t="str">
        <f t="shared" si="126"/>
        <v>0</v>
      </c>
      <c r="BH129" s="25" t="str">
        <f t="shared" si="126"/>
        <v>0</v>
      </c>
      <c r="BI129" s="25" t="str">
        <f t="shared" si="126"/>
        <v>0</v>
      </c>
      <c r="BJ129" s="25" t="str">
        <f t="shared" si="126"/>
        <v>0</v>
      </c>
      <c r="BK129" s="25" t="str">
        <f t="shared" si="126"/>
        <v>0</v>
      </c>
      <c r="BL129" s="25" t="str">
        <f t="shared" si="126"/>
        <v>0</v>
      </c>
      <c r="BM129" s="25" t="str">
        <f t="shared" si="126"/>
        <v>0</v>
      </c>
      <c r="BN129" s="25" t="str">
        <f t="shared" si="126"/>
        <v>0</v>
      </c>
      <c r="BO129" s="25" t="str">
        <f t="shared" si="126"/>
        <v>0</v>
      </c>
      <c r="BP129" s="25" t="str">
        <f t="shared" si="126"/>
        <v>0</v>
      </c>
      <c r="BQ129" s="25" t="str">
        <f t="shared" si="126"/>
        <v>0</v>
      </c>
      <c r="BR129" s="25" t="str">
        <f t="shared" si="126"/>
        <v>0</v>
      </c>
      <c r="BS129" s="25" t="str">
        <f t="shared" si="126"/>
        <v>0</v>
      </c>
      <c r="BT129" s="25" t="str">
        <f t="shared" si="126"/>
        <v>0</v>
      </c>
      <c r="BU129" s="25" t="str">
        <f t="shared" si="126"/>
        <v>0</v>
      </c>
      <c r="BV129" s="25" t="str">
        <f t="shared" si="126"/>
        <v>0</v>
      </c>
      <c r="BW129" s="25" t="str">
        <f t="shared" si="126"/>
        <v>0</v>
      </c>
      <c r="BX129" s="25" t="str">
        <f t="shared" si="126"/>
        <v>0</v>
      </c>
      <c r="BY129" s="25">
        <f t="shared" si="126"/>
        <v>1950</v>
      </c>
      <c r="BZ129" s="25" t="str">
        <f t="shared" si="126"/>
        <v>0</v>
      </c>
      <c r="CC129" s="25" t="str">
        <f t="array" ref="CC129">INDEX($C$46:$C$74,MATCH(CD129,$B$46:$B$74,0))</f>
        <v>薇</v>
      </c>
      <c r="CD129" s="1">
        <v>1008</v>
      </c>
      <c r="CE129" s="1">
        <v>1</v>
      </c>
      <c r="CF129" s="25" t="str">
        <f t="array" ref="CF129">INDEX($T$5:$T$44,MATCH(CC129,$B$5:$B$44,0))</f>
        <v>混合</v>
      </c>
      <c r="CG129" s="25">
        <f t="shared" si="34"/>
        <v>0</v>
      </c>
      <c r="CH129" s="25">
        <f t="shared" si="13"/>
        <v>1</v>
      </c>
      <c r="CI129" s="25">
        <f t="shared" si="14"/>
        <v>1</v>
      </c>
      <c r="CJ129" s="25">
        <f t="shared" si="15"/>
        <v>1</v>
      </c>
      <c r="CK129" s="25">
        <f t="shared" si="16"/>
        <v>1</v>
      </c>
      <c r="CL129" s="25">
        <v>0</v>
      </c>
      <c r="CM129" s="25">
        <f t="shared" si="35"/>
        <v>0</v>
      </c>
      <c r="CN129" s="25">
        <f t="shared" si="17"/>
        <v>0</v>
      </c>
      <c r="CO129" s="25">
        <f t="shared" si="18"/>
        <v>0</v>
      </c>
      <c r="CP129" s="29" t="str">
        <f t="shared" ref="CP129:DQ129" si="127">IF($CL129=CP$78,$CN129,"0")</f>
        <v>0</v>
      </c>
      <c r="CQ129" s="29" t="str">
        <f t="shared" si="127"/>
        <v>0</v>
      </c>
      <c r="CR129" s="29" t="str">
        <f t="shared" si="127"/>
        <v>0</v>
      </c>
      <c r="CS129" s="29" t="str">
        <f t="shared" si="127"/>
        <v>0</v>
      </c>
      <c r="CT129" s="29" t="str">
        <f t="shared" si="127"/>
        <v>0</v>
      </c>
      <c r="CU129" s="29" t="str">
        <f t="shared" si="127"/>
        <v>0</v>
      </c>
      <c r="CV129" s="29" t="str">
        <f t="shared" si="127"/>
        <v>0</v>
      </c>
      <c r="CW129" s="29" t="str">
        <f t="shared" si="127"/>
        <v>0</v>
      </c>
      <c r="CX129" s="29" t="str">
        <f t="shared" si="127"/>
        <v>0</v>
      </c>
      <c r="CY129" s="29" t="str">
        <f t="shared" si="127"/>
        <v>0</v>
      </c>
      <c r="CZ129" s="29" t="str">
        <f t="shared" si="127"/>
        <v>0</v>
      </c>
      <c r="DA129" s="29" t="str">
        <f t="shared" si="127"/>
        <v>0</v>
      </c>
      <c r="DB129" s="29" t="str">
        <f t="shared" si="127"/>
        <v>0</v>
      </c>
      <c r="DC129" s="29" t="str">
        <f t="shared" si="127"/>
        <v>0</v>
      </c>
      <c r="DD129" s="29" t="str">
        <f t="shared" si="127"/>
        <v>0</v>
      </c>
      <c r="DE129" s="29" t="str">
        <f t="shared" si="127"/>
        <v>0</v>
      </c>
      <c r="DF129" s="29" t="str">
        <f t="shared" si="127"/>
        <v>0</v>
      </c>
      <c r="DG129" s="29" t="str">
        <f t="shared" si="127"/>
        <v>0</v>
      </c>
      <c r="DH129" s="29" t="str">
        <f t="shared" si="127"/>
        <v>0</v>
      </c>
      <c r="DI129" s="29" t="str">
        <f t="shared" si="127"/>
        <v>0</v>
      </c>
      <c r="DJ129" s="29" t="str">
        <f t="shared" si="127"/>
        <v>0</v>
      </c>
      <c r="DK129" s="29" t="str">
        <f t="shared" si="127"/>
        <v>0</v>
      </c>
      <c r="DL129" s="29" t="str">
        <f t="shared" si="127"/>
        <v>0</v>
      </c>
      <c r="DM129" s="29" t="str">
        <f t="shared" si="127"/>
        <v>0</v>
      </c>
      <c r="DN129" s="29" t="str">
        <f t="shared" si="127"/>
        <v>0</v>
      </c>
      <c r="DO129" s="29" t="str">
        <f t="shared" si="127"/>
        <v>0</v>
      </c>
      <c r="DP129" s="29" t="str">
        <f t="shared" si="127"/>
        <v>0</v>
      </c>
      <c r="DQ129" s="29" t="str">
        <f t="shared" si="127"/>
        <v>0</v>
      </c>
      <c r="DR129" s="29"/>
      <c r="DS129" s="25">
        <v>0</v>
      </c>
      <c r="EE129" s="25" t="str">
        <f t="shared" si="20"/>
        <v>0</v>
      </c>
    </row>
    <row r="130" spans="1:135">
      <c r="A130" s="48">
        <v>1001052</v>
      </c>
      <c r="B130" s="49" t="s">
        <v>910</v>
      </c>
      <c r="C130" s="25">
        <v>52</v>
      </c>
      <c r="D130" s="25">
        <f t="array" ref="D130">INDEX(C$5:C$67,MATCH($B130,$B$5:$B$67,0))</f>
        <v>3600</v>
      </c>
      <c r="E130" s="25">
        <f t="array" ref="E130">INDEX(D$5:D$67,MATCH($B130,$B$5:$B$67,0))</f>
        <v>288</v>
      </c>
      <c r="F130" s="25">
        <f t="array" ref="F130">INDEX(E$5:E$67,MATCH($B130,$B$5:$B$67,0))</f>
        <v>1320</v>
      </c>
      <c r="G130" s="25">
        <f t="array" ref="G130">INDEX(F$5:F$67,MATCH($B130,$B$5:$B$67,0))</f>
        <v>105.6</v>
      </c>
      <c r="H130" s="25">
        <f t="array" ref="H130">INDEX(G$5:G$66,MATCH($B130,$B$5:$B$67,0))</f>
        <v>1056</v>
      </c>
      <c r="I130" s="25">
        <f t="array" ref="I130">INDEX(H$5:H$67,MATCH($B130,$B$5:$B$67,0))</f>
        <v>84.48</v>
      </c>
      <c r="J130" s="25">
        <f t="array" ref="J130">INDEX(I$5:I$67,MATCH($B130,$B$5:$B$67,0))</f>
        <v>800</v>
      </c>
      <c r="K130" s="25">
        <f t="array" ref="K130">INDEX(J$5:J$67,MATCH($B130,$B$5:$B$67,0))</f>
        <v>64</v>
      </c>
      <c r="L130" s="25">
        <f t="shared" si="0"/>
        <v>18576</v>
      </c>
      <c r="M130" s="25">
        <f t="shared" si="1"/>
        <v>6811</v>
      </c>
      <c r="N130" s="25">
        <f t="shared" si="2"/>
        <v>5449</v>
      </c>
      <c r="O130" s="25">
        <f t="shared" si="3"/>
        <v>4128</v>
      </c>
      <c r="R130" s="50">
        <f t="array" ref="R130">INDEX($B$46:$B$68,MATCH(S130,$C$46:$C$68,0))*1000+T130</f>
        <v>1002025</v>
      </c>
      <c r="S130" s="51" t="s">
        <v>318</v>
      </c>
      <c r="T130" s="29">
        <f t="shared" si="78"/>
        <v>25</v>
      </c>
      <c r="U130" s="25">
        <f t="array" ref="U130">INDEX(K$5:K$67,MATCH($S130,$B$5:$B$67,0))</f>
        <v>477.12</v>
      </c>
      <c r="V130" s="25">
        <f t="array" ref="V130">INDEX(L$5:L$67,MATCH($S130,$B$5:$B$67,0))</f>
        <v>61.44</v>
      </c>
      <c r="W130" s="25">
        <f t="array" ref="W130">INDEX(M$5:M$67,MATCH($S130,$B$5:$B$67,0))</f>
        <v>49.15</v>
      </c>
      <c r="X130" s="25">
        <f t="array" ref="X130">INDEX(N$5:N$67,MATCH($S130,$B$5:$B$67,0))</f>
        <v>68</v>
      </c>
      <c r="Y130" s="25">
        <f t="shared" si="4"/>
        <v>11928</v>
      </c>
      <c r="Z130" s="25">
        <f t="shared" si="5"/>
        <v>1536</v>
      </c>
      <c r="AA130" s="25">
        <f t="shared" si="6"/>
        <v>1229</v>
      </c>
      <c r="AB130" s="25">
        <f t="shared" si="7"/>
        <v>1700</v>
      </c>
      <c r="AF130" s="25">
        <v>52</v>
      </c>
      <c r="AG130" s="25">
        <f t="array" ref="AG130">INDEX($AE$79:$AE$116,QUOTIENT(AF130-1,8)+1)</f>
        <v>1007</v>
      </c>
      <c r="AH130" s="25">
        <f t="shared" si="37"/>
        <v>4</v>
      </c>
      <c r="AI130" s="25">
        <f t="shared" si="8"/>
        <v>10074</v>
      </c>
      <c r="AJ130" s="25" t="str">
        <f t="shared" si="9"/>
        <v>萨萨莉安</v>
      </c>
      <c r="AK130" s="25">
        <f t="shared" si="38"/>
        <v>2</v>
      </c>
      <c r="AL130" s="25" t="str">
        <f t="array" ref="AL130">INDEX($O$5:$O$42,MATCH(AJ130,$B$5:$B$42,0))</f>
        <v>攻击百分比</v>
      </c>
      <c r="AM130" s="25" t="str">
        <f t="array" ref="AM130">INDEX($P$5:$P$42,MATCH(AJ130,$B$5:$B$42,0))</f>
        <v>暴击伤害等级</v>
      </c>
      <c r="AN130" s="25" t="str">
        <f t="array" ref="AN130">INDEX($Q$5:$Q$42,MATCH(AJ130,$B$5:$B$42,0))</f>
        <v>能量回复等级</v>
      </c>
      <c r="AO130" s="25" t="str">
        <f t="array" ref="AO130">INDEX(AL130:AN130,0,AK130)</f>
        <v>暴击伤害等级</v>
      </c>
      <c r="AP130" s="25">
        <f t="shared" si="121"/>
        <v>0.15</v>
      </c>
      <c r="AQ130" s="25">
        <f t="shared" si="11"/>
        <v>1650</v>
      </c>
      <c r="AR130" s="25" t="str">
        <f t="shared" ref="AR130:BZ130" si="128">IF(AR$78=$AO130,$AQ130,"0")</f>
        <v>0</v>
      </c>
      <c r="AS130" s="25" t="str">
        <f t="shared" si="128"/>
        <v>0</v>
      </c>
      <c r="AT130" s="25" t="str">
        <f t="shared" si="128"/>
        <v>0</v>
      </c>
      <c r="AU130" s="25" t="str">
        <f t="shared" si="128"/>
        <v>0</v>
      </c>
      <c r="AV130" s="25" t="str">
        <f t="shared" si="128"/>
        <v>0</v>
      </c>
      <c r="AW130" s="25" t="str">
        <f t="shared" si="128"/>
        <v>0</v>
      </c>
      <c r="AX130" s="25" t="str">
        <f t="shared" si="128"/>
        <v>0</v>
      </c>
      <c r="AY130" s="25" t="str">
        <f t="shared" si="128"/>
        <v>0</v>
      </c>
      <c r="AZ130" s="25" t="str">
        <f t="shared" si="128"/>
        <v>0</v>
      </c>
      <c r="BA130" s="25" t="str">
        <f t="shared" si="128"/>
        <v>0</v>
      </c>
      <c r="BB130" s="25" t="str">
        <f t="shared" si="128"/>
        <v>0</v>
      </c>
      <c r="BC130" s="25" t="str">
        <f t="shared" si="128"/>
        <v>0</v>
      </c>
      <c r="BD130" s="25" t="str">
        <f t="shared" si="128"/>
        <v>0</v>
      </c>
      <c r="BE130" s="25" t="str">
        <f t="shared" si="128"/>
        <v>0</v>
      </c>
      <c r="BF130" s="25" t="str">
        <f t="shared" si="128"/>
        <v>0</v>
      </c>
      <c r="BG130" s="25" t="str">
        <f t="shared" si="128"/>
        <v>0</v>
      </c>
      <c r="BH130" s="25" t="str">
        <f t="shared" si="128"/>
        <v>0</v>
      </c>
      <c r="BI130" s="25" t="str">
        <f t="shared" si="128"/>
        <v>0</v>
      </c>
      <c r="BJ130" s="25" t="str">
        <f t="shared" si="128"/>
        <v>0</v>
      </c>
      <c r="BK130" s="25" t="str">
        <f t="shared" si="128"/>
        <v>0</v>
      </c>
      <c r="BL130" s="25" t="str">
        <f t="shared" si="128"/>
        <v>0</v>
      </c>
      <c r="BM130" s="25" t="str">
        <f t="shared" si="128"/>
        <v>0</v>
      </c>
      <c r="BN130" s="25" t="str">
        <f t="shared" si="128"/>
        <v>0</v>
      </c>
      <c r="BO130" s="25" t="str">
        <f t="shared" si="128"/>
        <v>0</v>
      </c>
      <c r="BP130" s="25" t="str">
        <f t="shared" si="128"/>
        <v>0</v>
      </c>
      <c r="BQ130" s="25" t="str">
        <f t="shared" si="128"/>
        <v>0</v>
      </c>
      <c r="BR130" s="25" t="str">
        <f t="shared" si="128"/>
        <v>0</v>
      </c>
      <c r="BS130" s="25" t="str">
        <f t="shared" si="128"/>
        <v>0</v>
      </c>
      <c r="BT130" s="25" t="str">
        <f t="shared" si="128"/>
        <v>0</v>
      </c>
      <c r="BU130" s="25" t="str">
        <f t="shared" si="128"/>
        <v>0</v>
      </c>
      <c r="BV130" s="25" t="str">
        <f t="shared" si="128"/>
        <v>0</v>
      </c>
      <c r="BW130" s="25" t="str">
        <f t="shared" si="128"/>
        <v>0</v>
      </c>
      <c r="BX130" s="25">
        <f t="shared" si="128"/>
        <v>1650</v>
      </c>
      <c r="BY130" s="25" t="str">
        <f t="shared" si="128"/>
        <v>0</v>
      </c>
      <c r="BZ130" s="25" t="str">
        <f t="shared" si="128"/>
        <v>0</v>
      </c>
      <c r="CC130" s="25" t="str">
        <f t="array" ref="CC130">INDEX($C$46:$C$74,MATCH(CD130,$B$46:$B$74,0))</f>
        <v>薇</v>
      </c>
      <c r="CD130" s="1">
        <v>1008</v>
      </c>
      <c r="CE130" s="1">
        <v>2</v>
      </c>
      <c r="CF130" s="25" t="str">
        <f t="array" ref="CF130">INDEX($T$5:$T$44,MATCH(CC130,$B$5:$B$44,0))</f>
        <v>混合</v>
      </c>
      <c r="CG130" s="25">
        <f t="shared" si="34"/>
        <v>0</v>
      </c>
      <c r="CH130" s="25">
        <f t="shared" si="13"/>
        <v>1</v>
      </c>
      <c r="CI130" s="25">
        <f t="shared" si="14"/>
        <v>1</v>
      </c>
      <c r="CJ130" s="25">
        <f t="shared" si="15"/>
        <v>1</v>
      </c>
      <c r="CK130" s="25">
        <f t="shared" si="16"/>
        <v>1</v>
      </c>
      <c r="CL130" s="25">
        <v>0</v>
      </c>
      <c r="CM130" s="25">
        <f t="shared" si="35"/>
        <v>0</v>
      </c>
      <c r="CN130" s="25">
        <f t="shared" si="17"/>
        <v>0</v>
      </c>
      <c r="CO130" s="25">
        <f t="shared" si="18"/>
        <v>0</v>
      </c>
      <c r="CP130" s="29" t="str">
        <f t="shared" ref="CP130:DQ130" si="129">IF($CL130=CP$78,$CN130,"0")</f>
        <v>0</v>
      </c>
      <c r="CQ130" s="29" t="str">
        <f t="shared" si="129"/>
        <v>0</v>
      </c>
      <c r="CR130" s="29" t="str">
        <f t="shared" si="129"/>
        <v>0</v>
      </c>
      <c r="CS130" s="29" t="str">
        <f t="shared" si="129"/>
        <v>0</v>
      </c>
      <c r="CT130" s="29" t="str">
        <f t="shared" si="129"/>
        <v>0</v>
      </c>
      <c r="CU130" s="29" t="str">
        <f t="shared" si="129"/>
        <v>0</v>
      </c>
      <c r="CV130" s="29" t="str">
        <f t="shared" si="129"/>
        <v>0</v>
      </c>
      <c r="CW130" s="29" t="str">
        <f t="shared" si="129"/>
        <v>0</v>
      </c>
      <c r="CX130" s="29" t="str">
        <f t="shared" si="129"/>
        <v>0</v>
      </c>
      <c r="CY130" s="29" t="str">
        <f t="shared" si="129"/>
        <v>0</v>
      </c>
      <c r="CZ130" s="29" t="str">
        <f t="shared" si="129"/>
        <v>0</v>
      </c>
      <c r="DA130" s="29" t="str">
        <f t="shared" si="129"/>
        <v>0</v>
      </c>
      <c r="DB130" s="29" t="str">
        <f t="shared" si="129"/>
        <v>0</v>
      </c>
      <c r="DC130" s="29" t="str">
        <f t="shared" si="129"/>
        <v>0</v>
      </c>
      <c r="DD130" s="29" t="str">
        <f t="shared" si="129"/>
        <v>0</v>
      </c>
      <c r="DE130" s="29" t="str">
        <f t="shared" si="129"/>
        <v>0</v>
      </c>
      <c r="DF130" s="29" t="str">
        <f t="shared" si="129"/>
        <v>0</v>
      </c>
      <c r="DG130" s="29" t="str">
        <f t="shared" si="129"/>
        <v>0</v>
      </c>
      <c r="DH130" s="29" t="str">
        <f t="shared" si="129"/>
        <v>0</v>
      </c>
      <c r="DI130" s="29" t="str">
        <f t="shared" si="129"/>
        <v>0</v>
      </c>
      <c r="DJ130" s="29" t="str">
        <f t="shared" si="129"/>
        <v>0</v>
      </c>
      <c r="DK130" s="29" t="str">
        <f t="shared" si="129"/>
        <v>0</v>
      </c>
      <c r="DL130" s="29" t="str">
        <f t="shared" si="129"/>
        <v>0</v>
      </c>
      <c r="DM130" s="29" t="str">
        <f t="shared" si="129"/>
        <v>0</v>
      </c>
      <c r="DN130" s="29" t="str">
        <f t="shared" si="129"/>
        <v>0</v>
      </c>
      <c r="DO130" s="29" t="str">
        <f t="shared" si="129"/>
        <v>0</v>
      </c>
      <c r="DP130" s="29" t="str">
        <f t="shared" si="129"/>
        <v>0</v>
      </c>
      <c r="DQ130" s="29" t="str">
        <f t="shared" si="129"/>
        <v>0</v>
      </c>
      <c r="DR130" s="29"/>
      <c r="DS130" s="25">
        <v>0</v>
      </c>
      <c r="EE130" s="25" t="str">
        <f t="shared" si="20"/>
        <v>0</v>
      </c>
    </row>
    <row r="131" spans="1:135">
      <c r="A131" s="48">
        <v>1001053</v>
      </c>
      <c r="B131" s="49" t="s">
        <v>910</v>
      </c>
      <c r="C131" s="25">
        <v>53</v>
      </c>
      <c r="D131" s="25">
        <f t="array" ref="D131">INDEX(C$5:C$67,MATCH($B131,$B$5:$B$67,0))</f>
        <v>3600</v>
      </c>
      <c r="E131" s="25">
        <f t="array" ref="E131">INDEX(D$5:D$67,MATCH($B131,$B$5:$B$67,0))</f>
        <v>288</v>
      </c>
      <c r="F131" s="25">
        <f t="array" ref="F131">INDEX(E$5:E$67,MATCH($B131,$B$5:$B$67,0))</f>
        <v>1320</v>
      </c>
      <c r="G131" s="25">
        <f t="array" ref="G131">INDEX(F$5:F$67,MATCH($B131,$B$5:$B$67,0))</f>
        <v>105.6</v>
      </c>
      <c r="H131" s="25">
        <f t="array" ref="H131">INDEX(G$5:G$66,MATCH($B131,$B$5:$B$67,0))</f>
        <v>1056</v>
      </c>
      <c r="I131" s="25">
        <f t="array" ref="I131">INDEX(H$5:H$67,MATCH($B131,$B$5:$B$67,0))</f>
        <v>84.48</v>
      </c>
      <c r="J131" s="25">
        <f t="array" ref="J131">INDEX(I$5:I$67,MATCH($B131,$B$5:$B$67,0))</f>
        <v>800</v>
      </c>
      <c r="K131" s="25">
        <f t="array" ref="K131">INDEX(J$5:J$67,MATCH($B131,$B$5:$B$67,0))</f>
        <v>64</v>
      </c>
      <c r="L131" s="25">
        <f t="shared" si="0"/>
        <v>18864</v>
      </c>
      <c r="M131" s="25">
        <f t="shared" si="1"/>
        <v>6917</v>
      </c>
      <c r="N131" s="25">
        <f t="shared" si="2"/>
        <v>5533</v>
      </c>
      <c r="O131" s="25">
        <f t="shared" si="3"/>
        <v>4192</v>
      </c>
      <c r="R131" s="50">
        <f t="array" ref="R131">INDEX($B$46:$B$68,MATCH(S131,$C$46:$C$68,0))*1000+T131</f>
        <v>1002026</v>
      </c>
      <c r="S131" s="51" t="s">
        <v>318</v>
      </c>
      <c r="T131" s="29">
        <f t="shared" si="78"/>
        <v>26</v>
      </c>
      <c r="U131" s="25">
        <f t="array" ref="U131">INDEX(K$5:K$67,MATCH($S131,$B$5:$B$67,0))</f>
        <v>477.12</v>
      </c>
      <c r="V131" s="25">
        <f t="array" ref="V131">INDEX(L$5:L$67,MATCH($S131,$B$5:$B$67,0))</f>
        <v>61.44</v>
      </c>
      <c r="W131" s="25">
        <f t="array" ref="W131">INDEX(M$5:M$67,MATCH($S131,$B$5:$B$67,0))</f>
        <v>49.15</v>
      </c>
      <c r="X131" s="25">
        <f t="array" ref="X131">INDEX(N$5:N$67,MATCH($S131,$B$5:$B$67,0))</f>
        <v>68</v>
      </c>
      <c r="Y131" s="25">
        <f t="shared" si="4"/>
        <v>12405</v>
      </c>
      <c r="Z131" s="25">
        <f t="shared" si="5"/>
        <v>1597</v>
      </c>
      <c r="AA131" s="25">
        <f t="shared" si="6"/>
        <v>1278</v>
      </c>
      <c r="AB131" s="25">
        <f t="shared" si="7"/>
        <v>1768</v>
      </c>
      <c r="AF131" s="25">
        <v>53</v>
      </c>
      <c r="AG131" s="25">
        <f t="array" ref="AG131">INDEX($AE$79:$AE$116,QUOTIENT(AF131-1,8)+1)</f>
        <v>1007</v>
      </c>
      <c r="AH131" s="25">
        <f t="shared" si="37"/>
        <v>5</v>
      </c>
      <c r="AI131" s="25">
        <f t="shared" si="8"/>
        <v>10075</v>
      </c>
      <c r="AJ131" s="25" t="str">
        <f t="shared" si="9"/>
        <v>萨萨莉安</v>
      </c>
      <c r="AK131" s="25">
        <f t="shared" si="38"/>
        <v>3</v>
      </c>
      <c r="AL131" s="25" t="str">
        <f t="array" ref="AL131">INDEX($O$5:$O$42,MATCH(AJ131,$B$5:$B$42,0))</f>
        <v>攻击百分比</v>
      </c>
      <c r="AM131" s="25" t="str">
        <f t="array" ref="AM131">INDEX($P$5:$P$42,MATCH(AJ131,$B$5:$B$42,0))</f>
        <v>暴击伤害等级</v>
      </c>
      <c r="AN131" s="25" t="str">
        <f t="array" ref="AN131">INDEX($Q$5:$Q$42,MATCH(AJ131,$B$5:$B$42,0))</f>
        <v>能量回复等级</v>
      </c>
      <c r="AO131" s="25" t="str">
        <f t="array" ref="AO131">INDEX(AL131:AN131,0,AK131)</f>
        <v>能量回复等级</v>
      </c>
      <c r="AP131" s="25">
        <f t="shared" si="121"/>
        <v>0.216666666666667</v>
      </c>
      <c r="AQ131" s="25">
        <f t="shared" si="11"/>
        <v>1950</v>
      </c>
      <c r="AR131" s="25" t="str">
        <f t="shared" ref="AR131:BZ131" si="130">IF(AR$78=$AO131,$AQ131,"0")</f>
        <v>0</v>
      </c>
      <c r="AS131" s="25" t="str">
        <f t="shared" si="130"/>
        <v>0</v>
      </c>
      <c r="AT131" s="25" t="str">
        <f t="shared" si="130"/>
        <v>0</v>
      </c>
      <c r="AU131" s="25" t="str">
        <f t="shared" si="130"/>
        <v>0</v>
      </c>
      <c r="AV131" s="25" t="str">
        <f t="shared" si="130"/>
        <v>0</v>
      </c>
      <c r="AW131" s="25" t="str">
        <f t="shared" si="130"/>
        <v>0</v>
      </c>
      <c r="AX131" s="25" t="str">
        <f t="shared" si="130"/>
        <v>0</v>
      </c>
      <c r="AY131" s="25" t="str">
        <f t="shared" si="130"/>
        <v>0</v>
      </c>
      <c r="AZ131" s="25" t="str">
        <f t="shared" si="130"/>
        <v>0</v>
      </c>
      <c r="BA131" s="25" t="str">
        <f t="shared" si="130"/>
        <v>0</v>
      </c>
      <c r="BB131" s="25" t="str">
        <f t="shared" si="130"/>
        <v>0</v>
      </c>
      <c r="BC131" s="25" t="str">
        <f t="shared" si="130"/>
        <v>0</v>
      </c>
      <c r="BD131" s="25" t="str">
        <f t="shared" si="130"/>
        <v>0</v>
      </c>
      <c r="BE131" s="25" t="str">
        <f t="shared" si="130"/>
        <v>0</v>
      </c>
      <c r="BF131" s="25" t="str">
        <f t="shared" si="130"/>
        <v>0</v>
      </c>
      <c r="BG131" s="25" t="str">
        <f t="shared" si="130"/>
        <v>0</v>
      </c>
      <c r="BH131" s="25" t="str">
        <f t="shared" si="130"/>
        <v>0</v>
      </c>
      <c r="BI131" s="25" t="str">
        <f t="shared" si="130"/>
        <v>0</v>
      </c>
      <c r="BJ131" s="25" t="str">
        <f t="shared" si="130"/>
        <v>0</v>
      </c>
      <c r="BK131" s="25" t="str">
        <f t="shared" si="130"/>
        <v>0</v>
      </c>
      <c r="BL131" s="25" t="str">
        <f t="shared" si="130"/>
        <v>0</v>
      </c>
      <c r="BM131" s="25" t="str">
        <f t="shared" si="130"/>
        <v>0</v>
      </c>
      <c r="BN131" s="25" t="str">
        <f t="shared" si="130"/>
        <v>0</v>
      </c>
      <c r="BO131" s="25" t="str">
        <f t="shared" si="130"/>
        <v>0</v>
      </c>
      <c r="BP131" s="25" t="str">
        <f t="shared" si="130"/>
        <v>0</v>
      </c>
      <c r="BQ131" s="25" t="str">
        <f t="shared" si="130"/>
        <v>0</v>
      </c>
      <c r="BR131" s="25" t="str">
        <f t="shared" si="130"/>
        <v>0</v>
      </c>
      <c r="BS131" s="25" t="str">
        <f t="shared" si="130"/>
        <v>0</v>
      </c>
      <c r="BT131" s="25" t="str">
        <f t="shared" si="130"/>
        <v>0</v>
      </c>
      <c r="BU131" s="25" t="str">
        <f t="shared" si="130"/>
        <v>0</v>
      </c>
      <c r="BV131" s="25" t="str">
        <f t="shared" si="130"/>
        <v>0</v>
      </c>
      <c r="BW131" s="25" t="str">
        <f t="shared" si="130"/>
        <v>0</v>
      </c>
      <c r="BX131" s="25" t="str">
        <f t="shared" si="130"/>
        <v>0</v>
      </c>
      <c r="BY131" s="25">
        <f t="shared" si="130"/>
        <v>1950</v>
      </c>
      <c r="BZ131" s="25" t="str">
        <f t="shared" si="130"/>
        <v>0</v>
      </c>
      <c r="CC131" s="25" t="str">
        <f t="array" ref="CC131">INDEX($C$46:$C$74,MATCH(CD131,$B$46:$B$74,0))</f>
        <v>薇</v>
      </c>
      <c r="CD131" s="1">
        <v>1008</v>
      </c>
      <c r="CE131" s="1">
        <v>3</v>
      </c>
      <c r="CF131" s="25" t="str">
        <f t="array" ref="CF131">INDEX($T$5:$T$44,MATCH(CC131,$B$5:$B$44,0))</f>
        <v>混合</v>
      </c>
      <c r="CG131" s="25">
        <f t="shared" si="34"/>
        <v>0.15</v>
      </c>
      <c r="CH131" s="25">
        <f t="shared" si="13"/>
        <v>1.15</v>
      </c>
      <c r="CI131" s="25">
        <f t="shared" si="14"/>
        <v>1.15</v>
      </c>
      <c r="CJ131" s="25">
        <f t="shared" si="15"/>
        <v>1.15</v>
      </c>
      <c r="CK131" s="25">
        <f t="shared" si="16"/>
        <v>1.15</v>
      </c>
      <c r="CL131" s="25" t="str">
        <f t="array" ref="CL131">INDEX($R$5:$R$43,MATCH(CC131,$B$5:$B$43,0))</f>
        <v>物理伤害加成</v>
      </c>
      <c r="CM131" s="25">
        <f t="shared" si="35"/>
        <v>0.3</v>
      </c>
      <c r="CN131" s="25">
        <f t="shared" si="17"/>
        <v>0.12</v>
      </c>
      <c r="CO131" s="25">
        <f t="shared" si="18"/>
        <v>1</v>
      </c>
      <c r="CP131" s="29" t="str">
        <f t="shared" ref="CP131:DQ131" si="131">IF($CL131=CP$78,$CN131,"0")</f>
        <v>0</v>
      </c>
      <c r="CQ131" s="29" t="str">
        <f t="shared" si="131"/>
        <v>0</v>
      </c>
      <c r="CR131" s="29" t="str">
        <f t="shared" si="131"/>
        <v>0</v>
      </c>
      <c r="CS131" s="29" t="str">
        <f t="shared" si="131"/>
        <v>0</v>
      </c>
      <c r="CT131" s="29" t="str">
        <f t="shared" si="131"/>
        <v>0</v>
      </c>
      <c r="CU131" s="29" t="str">
        <f t="shared" si="131"/>
        <v>0</v>
      </c>
      <c r="CV131" s="29" t="str">
        <f t="shared" si="131"/>
        <v>0</v>
      </c>
      <c r="CW131" s="29" t="str">
        <f t="shared" si="131"/>
        <v>0</v>
      </c>
      <c r="CX131" s="29" t="str">
        <f t="shared" si="131"/>
        <v>0</v>
      </c>
      <c r="CY131" s="29" t="str">
        <f t="shared" si="131"/>
        <v>0</v>
      </c>
      <c r="CZ131" s="29" t="str">
        <f t="shared" si="131"/>
        <v>0</v>
      </c>
      <c r="DA131" s="29" t="str">
        <f t="shared" si="131"/>
        <v>0</v>
      </c>
      <c r="DB131" s="29">
        <f t="shared" si="131"/>
        <v>0.12</v>
      </c>
      <c r="DC131" s="29" t="str">
        <f t="shared" si="131"/>
        <v>0</v>
      </c>
      <c r="DD131" s="29" t="str">
        <f t="shared" si="131"/>
        <v>0</v>
      </c>
      <c r="DE131" s="29" t="str">
        <f t="shared" si="131"/>
        <v>0</v>
      </c>
      <c r="DF131" s="29" t="str">
        <f t="shared" si="131"/>
        <v>0</v>
      </c>
      <c r="DG131" s="29" t="str">
        <f t="shared" si="131"/>
        <v>0</v>
      </c>
      <c r="DH131" s="29" t="str">
        <f t="shared" si="131"/>
        <v>0</v>
      </c>
      <c r="DI131" s="29" t="str">
        <f t="shared" si="131"/>
        <v>0</v>
      </c>
      <c r="DJ131" s="29" t="str">
        <f t="shared" si="131"/>
        <v>0</v>
      </c>
      <c r="DK131" s="29" t="str">
        <f t="shared" si="131"/>
        <v>0</v>
      </c>
      <c r="DL131" s="29" t="str">
        <f t="shared" si="131"/>
        <v>0</v>
      </c>
      <c r="DM131" s="29" t="str">
        <f t="shared" si="131"/>
        <v>0</v>
      </c>
      <c r="DN131" s="29" t="str">
        <f t="shared" si="131"/>
        <v>0</v>
      </c>
      <c r="DO131" s="29" t="str">
        <f t="shared" si="131"/>
        <v>0</v>
      </c>
      <c r="DP131" s="29" t="str">
        <f t="shared" si="131"/>
        <v>0</v>
      </c>
      <c r="DQ131" s="29" t="str">
        <f t="shared" si="131"/>
        <v>0</v>
      </c>
      <c r="DR131" s="29"/>
      <c r="DS131" s="25" t="s">
        <v>1011</v>
      </c>
      <c r="DT131" s="25" t="str">
        <f>TEXT(角色升星!$F$18,"0%")</f>
        <v>15%</v>
      </c>
      <c r="DU131" s="25" t="s">
        <v>779</v>
      </c>
      <c r="DV131" s="25" t="str">
        <f>IF(CF131="物理","PhysicsAttack,+","MagicAttack,+")</f>
        <v>MagicAttack,+</v>
      </c>
      <c r="DW131" s="25" t="str">
        <f>TEXT(角色升星!$F$18,"0%")</f>
        <v>15%</v>
      </c>
      <c r="DX131" s="25" t="s">
        <v>779</v>
      </c>
      <c r="DY131" s="25" t="s">
        <v>1012</v>
      </c>
      <c r="DZ131" s="25" t="str">
        <f>TEXT(角色升星!$F$18,"0%")</f>
        <v>15%</v>
      </c>
      <c r="EA131" s="25" t="s">
        <v>779</v>
      </c>
      <c r="EB131" s="25" t="str">
        <f>VLOOKUP(CL131,$O$46:$P$73,2,0)</f>
        <v>PhysicsDmgBonus</v>
      </c>
      <c r="EC131" s="25" t="s">
        <v>1013</v>
      </c>
      <c r="ED131" s="25" t="str">
        <f>IF(CN131&gt;1,CN131,TEXT(CN131,"0%"))</f>
        <v>12%</v>
      </c>
      <c r="EE131" s="25" t="str">
        <f t="shared" si="20"/>
        <v>Hp,+15%;MagicAttack,+15%;Armor,+15%;PhysicsDmgBonus,+12%</v>
      </c>
    </row>
    <row r="132" spans="1:135">
      <c r="A132" s="48">
        <v>1001054</v>
      </c>
      <c r="B132" s="49" t="s">
        <v>910</v>
      </c>
      <c r="C132" s="25">
        <v>54</v>
      </c>
      <c r="D132" s="25">
        <f t="array" ref="D132">INDEX(C$5:C$67,MATCH($B132,$B$5:$B$67,0))</f>
        <v>3600</v>
      </c>
      <c r="E132" s="25">
        <f t="array" ref="E132">INDEX(D$5:D$67,MATCH($B132,$B$5:$B$67,0))</f>
        <v>288</v>
      </c>
      <c r="F132" s="25">
        <f t="array" ref="F132">INDEX(E$5:E$67,MATCH($B132,$B$5:$B$67,0))</f>
        <v>1320</v>
      </c>
      <c r="G132" s="25">
        <f t="array" ref="G132">INDEX(F$5:F$67,MATCH($B132,$B$5:$B$67,0))</f>
        <v>105.6</v>
      </c>
      <c r="H132" s="25">
        <f t="array" ref="H132">INDEX(G$5:G$66,MATCH($B132,$B$5:$B$67,0))</f>
        <v>1056</v>
      </c>
      <c r="I132" s="25">
        <f t="array" ref="I132">INDEX(H$5:H$67,MATCH($B132,$B$5:$B$67,0))</f>
        <v>84.48</v>
      </c>
      <c r="J132" s="25">
        <f t="array" ref="J132">INDEX(I$5:I$67,MATCH($B132,$B$5:$B$67,0))</f>
        <v>800</v>
      </c>
      <c r="K132" s="25">
        <f t="array" ref="K132">INDEX(J$5:J$67,MATCH($B132,$B$5:$B$67,0))</f>
        <v>64</v>
      </c>
      <c r="L132" s="25">
        <f t="shared" si="0"/>
        <v>19152</v>
      </c>
      <c r="M132" s="25">
        <f t="shared" si="1"/>
        <v>7022</v>
      </c>
      <c r="N132" s="25">
        <f t="shared" si="2"/>
        <v>5618</v>
      </c>
      <c r="O132" s="25">
        <f t="shared" si="3"/>
        <v>4256</v>
      </c>
      <c r="R132" s="50">
        <f t="array" ref="R132">INDEX($B$46:$B$68,MATCH(S132,$C$46:$C$68,0))*1000+T132</f>
        <v>1002027</v>
      </c>
      <c r="S132" s="51" t="s">
        <v>318</v>
      </c>
      <c r="T132" s="29">
        <f t="shared" si="78"/>
        <v>27</v>
      </c>
      <c r="U132" s="25">
        <f t="array" ref="U132">INDEX(K$5:K$67,MATCH($S132,$B$5:$B$67,0))</f>
        <v>477.12</v>
      </c>
      <c r="V132" s="25">
        <f t="array" ref="V132">INDEX(L$5:L$67,MATCH($S132,$B$5:$B$67,0))</f>
        <v>61.44</v>
      </c>
      <c r="W132" s="25">
        <f t="array" ref="W132">INDEX(M$5:M$67,MATCH($S132,$B$5:$B$67,0))</f>
        <v>49.15</v>
      </c>
      <c r="X132" s="25">
        <f t="array" ref="X132">INDEX(N$5:N$67,MATCH($S132,$B$5:$B$67,0))</f>
        <v>68</v>
      </c>
      <c r="Y132" s="25">
        <f t="shared" si="4"/>
        <v>12882</v>
      </c>
      <c r="Z132" s="25">
        <f t="shared" si="5"/>
        <v>1659</v>
      </c>
      <c r="AA132" s="25">
        <f t="shared" si="6"/>
        <v>1327</v>
      </c>
      <c r="AB132" s="25">
        <f t="shared" si="7"/>
        <v>1836</v>
      </c>
      <c r="AF132" s="25">
        <v>54</v>
      </c>
      <c r="AG132" s="25">
        <f t="array" ref="AG132">INDEX($AE$79:$AE$116,QUOTIENT(AF132-1,8)+1)</f>
        <v>1007</v>
      </c>
      <c r="AH132" s="25">
        <f t="shared" si="37"/>
        <v>6</v>
      </c>
      <c r="AI132" s="25">
        <f t="shared" si="8"/>
        <v>10076</v>
      </c>
      <c r="AJ132" s="25" t="str">
        <f t="shared" si="9"/>
        <v>萨萨莉安</v>
      </c>
      <c r="AK132" s="25">
        <f t="shared" si="38"/>
        <v>1</v>
      </c>
      <c r="AL132" s="25" t="str">
        <f t="array" ref="AL132">INDEX($O$5:$O$42,MATCH(AJ132,$B$5:$B$42,0))</f>
        <v>攻击百分比</v>
      </c>
      <c r="AM132" s="25" t="str">
        <f t="array" ref="AM132">INDEX($P$5:$P$42,MATCH(AJ132,$B$5:$B$42,0))</f>
        <v>暴击伤害等级</v>
      </c>
      <c r="AN132" s="25" t="str">
        <f t="array" ref="AN132">INDEX($Q$5:$Q$42,MATCH(AJ132,$B$5:$B$42,0))</f>
        <v>能量回复等级</v>
      </c>
      <c r="AO132" s="25" t="str">
        <f t="array" ref="AO132">INDEX(AL132:AN132,0,AK132)</f>
        <v>攻击百分比</v>
      </c>
      <c r="AP132" s="25">
        <f t="shared" si="121"/>
        <v>0.15</v>
      </c>
      <c r="AQ132" s="25">
        <f t="shared" si="11"/>
        <v>0.15</v>
      </c>
      <c r="AR132" s="25" t="str">
        <f t="shared" ref="AR132:BZ132" si="132">IF(AR$78=$AO132,$AQ132,"0")</f>
        <v>0</v>
      </c>
      <c r="AS132" s="25" t="str">
        <f t="shared" si="132"/>
        <v>0</v>
      </c>
      <c r="AT132" s="25" t="str">
        <f t="shared" si="132"/>
        <v>0</v>
      </c>
      <c r="AU132" s="25">
        <f t="shared" si="132"/>
        <v>0.15</v>
      </c>
      <c r="AV132" s="25" t="str">
        <f t="shared" si="132"/>
        <v>0</v>
      </c>
      <c r="AW132" s="25">
        <f t="shared" si="132"/>
        <v>0.15</v>
      </c>
      <c r="AX132" s="25" t="str">
        <f t="shared" si="132"/>
        <v>0</v>
      </c>
      <c r="AY132" s="25" t="str">
        <f t="shared" si="132"/>
        <v>0</v>
      </c>
      <c r="AZ132" s="25" t="str">
        <f t="shared" si="132"/>
        <v>0</v>
      </c>
      <c r="BA132" s="25" t="str">
        <f t="shared" si="132"/>
        <v>0</v>
      </c>
      <c r="BB132" s="25" t="str">
        <f t="shared" si="132"/>
        <v>0</v>
      </c>
      <c r="BC132" s="25" t="str">
        <f t="shared" si="132"/>
        <v>0</v>
      </c>
      <c r="BD132" s="25" t="str">
        <f t="shared" si="132"/>
        <v>0</v>
      </c>
      <c r="BE132" s="25" t="str">
        <f t="shared" si="132"/>
        <v>0</v>
      </c>
      <c r="BF132" s="25" t="str">
        <f t="shared" si="132"/>
        <v>0</v>
      </c>
      <c r="BG132" s="25" t="str">
        <f t="shared" si="132"/>
        <v>0</v>
      </c>
      <c r="BH132" s="25" t="str">
        <f t="shared" si="132"/>
        <v>0</v>
      </c>
      <c r="BI132" s="25" t="str">
        <f t="shared" si="132"/>
        <v>0</v>
      </c>
      <c r="BJ132" s="25" t="str">
        <f t="shared" si="132"/>
        <v>0</v>
      </c>
      <c r="BK132" s="25" t="str">
        <f t="shared" si="132"/>
        <v>0</v>
      </c>
      <c r="BL132" s="25" t="str">
        <f t="shared" si="132"/>
        <v>0</v>
      </c>
      <c r="BM132" s="25" t="str">
        <f t="shared" si="132"/>
        <v>0</v>
      </c>
      <c r="BN132" s="25" t="str">
        <f t="shared" si="132"/>
        <v>0</v>
      </c>
      <c r="BO132" s="25" t="str">
        <f t="shared" si="132"/>
        <v>0</v>
      </c>
      <c r="BP132" s="25" t="str">
        <f t="shared" si="132"/>
        <v>0</v>
      </c>
      <c r="BQ132" s="25" t="str">
        <f t="shared" si="132"/>
        <v>0</v>
      </c>
      <c r="BR132" s="25" t="str">
        <f t="shared" si="132"/>
        <v>0</v>
      </c>
      <c r="BS132" s="25" t="str">
        <f t="shared" si="132"/>
        <v>0</v>
      </c>
      <c r="BT132" s="25" t="str">
        <f t="shared" si="132"/>
        <v>0</v>
      </c>
      <c r="BU132" s="25" t="str">
        <f t="shared" si="132"/>
        <v>0</v>
      </c>
      <c r="BV132" s="25" t="str">
        <f t="shared" si="132"/>
        <v>0</v>
      </c>
      <c r="BW132" s="25" t="str">
        <f t="shared" si="132"/>
        <v>0</v>
      </c>
      <c r="BX132" s="25" t="str">
        <f t="shared" si="132"/>
        <v>0</v>
      </c>
      <c r="BY132" s="25" t="str">
        <f t="shared" si="132"/>
        <v>0</v>
      </c>
      <c r="BZ132" s="25" t="str">
        <f t="shared" si="132"/>
        <v>0</v>
      </c>
      <c r="CC132" s="25" t="str">
        <f t="array" ref="CC132">INDEX($C$46:$C$74,MATCH(CD132,$B$46:$B$74,0))</f>
        <v>薇</v>
      </c>
      <c r="CD132" s="1">
        <v>1008</v>
      </c>
      <c r="CE132" s="1">
        <v>4</v>
      </c>
      <c r="CF132" s="25" t="str">
        <f t="array" ref="CF132">INDEX($T$5:$T$44,MATCH(CC132,$B$5:$B$44,0))</f>
        <v>混合</v>
      </c>
      <c r="CG132" s="25">
        <f t="shared" si="34"/>
        <v>0.15</v>
      </c>
      <c r="CH132" s="25">
        <f t="shared" si="13"/>
        <v>1.15</v>
      </c>
      <c r="CI132" s="25">
        <f t="shared" si="14"/>
        <v>1.15</v>
      </c>
      <c r="CJ132" s="25">
        <f t="shared" si="15"/>
        <v>1.15</v>
      </c>
      <c r="CK132" s="25">
        <f t="shared" si="16"/>
        <v>1.15</v>
      </c>
      <c r="CL132" s="25">
        <v>0</v>
      </c>
      <c r="CM132" s="25">
        <f t="shared" si="35"/>
        <v>0</v>
      </c>
      <c r="CN132" s="25">
        <f t="shared" si="17"/>
        <v>0</v>
      </c>
      <c r="CO132" s="25">
        <f t="shared" si="18"/>
        <v>0</v>
      </c>
      <c r="CP132" s="29" t="str">
        <f t="shared" ref="CP132:DQ132" si="133">IF($CL132=CP$78,$CN132,"0")</f>
        <v>0</v>
      </c>
      <c r="CQ132" s="29" t="str">
        <f t="shared" si="133"/>
        <v>0</v>
      </c>
      <c r="CR132" s="29" t="str">
        <f t="shared" si="133"/>
        <v>0</v>
      </c>
      <c r="CS132" s="29" t="str">
        <f t="shared" si="133"/>
        <v>0</v>
      </c>
      <c r="CT132" s="29" t="str">
        <f t="shared" si="133"/>
        <v>0</v>
      </c>
      <c r="CU132" s="29" t="str">
        <f t="shared" si="133"/>
        <v>0</v>
      </c>
      <c r="CV132" s="29" t="str">
        <f t="shared" si="133"/>
        <v>0</v>
      </c>
      <c r="CW132" s="29" t="str">
        <f t="shared" si="133"/>
        <v>0</v>
      </c>
      <c r="CX132" s="29" t="str">
        <f t="shared" si="133"/>
        <v>0</v>
      </c>
      <c r="CY132" s="29" t="str">
        <f t="shared" si="133"/>
        <v>0</v>
      </c>
      <c r="CZ132" s="29" t="str">
        <f t="shared" si="133"/>
        <v>0</v>
      </c>
      <c r="DA132" s="29" t="str">
        <f t="shared" si="133"/>
        <v>0</v>
      </c>
      <c r="DB132" s="29" t="str">
        <f t="shared" si="133"/>
        <v>0</v>
      </c>
      <c r="DC132" s="29" t="str">
        <f t="shared" si="133"/>
        <v>0</v>
      </c>
      <c r="DD132" s="29" t="str">
        <f t="shared" si="133"/>
        <v>0</v>
      </c>
      <c r="DE132" s="29" t="str">
        <f t="shared" si="133"/>
        <v>0</v>
      </c>
      <c r="DF132" s="29" t="str">
        <f t="shared" si="133"/>
        <v>0</v>
      </c>
      <c r="DG132" s="29" t="str">
        <f t="shared" si="133"/>
        <v>0</v>
      </c>
      <c r="DH132" s="29" t="str">
        <f t="shared" si="133"/>
        <v>0</v>
      </c>
      <c r="DI132" s="29" t="str">
        <f t="shared" si="133"/>
        <v>0</v>
      </c>
      <c r="DJ132" s="29" t="str">
        <f t="shared" si="133"/>
        <v>0</v>
      </c>
      <c r="DK132" s="29" t="str">
        <f t="shared" si="133"/>
        <v>0</v>
      </c>
      <c r="DL132" s="29" t="str">
        <f t="shared" si="133"/>
        <v>0</v>
      </c>
      <c r="DM132" s="29" t="str">
        <f t="shared" si="133"/>
        <v>0</v>
      </c>
      <c r="DN132" s="29" t="str">
        <f t="shared" si="133"/>
        <v>0</v>
      </c>
      <c r="DO132" s="29" t="str">
        <f t="shared" si="133"/>
        <v>0</v>
      </c>
      <c r="DP132" s="29" t="str">
        <f t="shared" si="133"/>
        <v>0</v>
      </c>
      <c r="DQ132" s="29" t="str">
        <f t="shared" si="133"/>
        <v>0</v>
      </c>
      <c r="DR132" s="29"/>
      <c r="DS132" s="25">
        <v>0</v>
      </c>
      <c r="EE132" s="25" t="str">
        <f t="shared" si="20"/>
        <v>0</v>
      </c>
    </row>
    <row r="133" spans="1:135">
      <c r="A133" s="48">
        <v>1001055</v>
      </c>
      <c r="B133" s="49" t="s">
        <v>910</v>
      </c>
      <c r="C133" s="25">
        <v>55</v>
      </c>
      <c r="D133" s="25">
        <f t="array" ref="D133">INDEX(C$5:C$67,MATCH($B133,$B$5:$B$67,0))</f>
        <v>3600</v>
      </c>
      <c r="E133" s="25">
        <f t="array" ref="E133">INDEX(D$5:D$67,MATCH($B133,$B$5:$B$67,0))</f>
        <v>288</v>
      </c>
      <c r="F133" s="25">
        <f t="array" ref="F133">INDEX(E$5:E$67,MATCH($B133,$B$5:$B$67,0))</f>
        <v>1320</v>
      </c>
      <c r="G133" s="25">
        <f t="array" ref="G133">INDEX(F$5:F$67,MATCH($B133,$B$5:$B$67,0))</f>
        <v>105.6</v>
      </c>
      <c r="H133" s="25">
        <f t="array" ref="H133">INDEX(G$5:G$66,MATCH($B133,$B$5:$B$67,0))</f>
        <v>1056</v>
      </c>
      <c r="I133" s="25">
        <f t="array" ref="I133">INDEX(H$5:H$67,MATCH($B133,$B$5:$B$67,0))</f>
        <v>84.48</v>
      </c>
      <c r="J133" s="25">
        <f t="array" ref="J133">INDEX(I$5:I$67,MATCH($B133,$B$5:$B$67,0))</f>
        <v>800</v>
      </c>
      <c r="K133" s="25">
        <f t="array" ref="K133">INDEX(J$5:J$67,MATCH($B133,$B$5:$B$67,0))</f>
        <v>64</v>
      </c>
      <c r="L133" s="25">
        <f t="shared" si="0"/>
        <v>19440</v>
      </c>
      <c r="M133" s="25">
        <f t="shared" si="1"/>
        <v>7128</v>
      </c>
      <c r="N133" s="25">
        <f t="shared" si="2"/>
        <v>5702</v>
      </c>
      <c r="O133" s="25">
        <f t="shared" si="3"/>
        <v>4320</v>
      </c>
      <c r="R133" s="50">
        <f t="array" ref="R133">INDEX($B$46:$B$68,MATCH(S133,$C$46:$C$68,0))*1000+T133</f>
        <v>1003001</v>
      </c>
      <c r="S133" s="51" t="s">
        <v>321</v>
      </c>
      <c r="T133" s="29">
        <f t="shared" si="78"/>
        <v>1</v>
      </c>
      <c r="U133" s="25">
        <f t="array" ref="U133">INDEX(K$5:K$67,MATCH($S133,$B$5:$B$67,0))</f>
        <v>656.04</v>
      </c>
      <c r="V133" s="25">
        <f t="array" ref="V133">INDEX(L$5:L$67,MATCH($S133,$B$5:$B$67,0))</f>
        <v>62.67</v>
      </c>
      <c r="W133" s="25">
        <f t="array" ref="W133">INDEX(M$5:M$67,MATCH($S133,$B$5:$B$67,0))</f>
        <v>78.34</v>
      </c>
      <c r="X133" s="25">
        <f t="array" ref="X133">INDEX(N$5:N$67,MATCH($S133,$B$5:$B$67,0))</f>
        <v>76.5</v>
      </c>
      <c r="Y133" s="25">
        <f t="shared" si="4"/>
        <v>656</v>
      </c>
      <c r="Z133" s="25">
        <f t="shared" si="5"/>
        <v>63</v>
      </c>
      <c r="AA133" s="25">
        <f t="shared" si="6"/>
        <v>78</v>
      </c>
      <c r="AB133" s="25">
        <f t="shared" si="7"/>
        <v>77</v>
      </c>
      <c r="AF133" s="25">
        <v>55</v>
      </c>
      <c r="AG133" s="25">
        <f t="array" ref="AG133">INDEX($AE$79:$AE$116,QUOTIENT(AF133-1,8)+1)</f>
        <v>1007</v>
      </c>
      <c r="AH133" s="25">
        <f t="shared" si="37"/>
        <v>7</v>
      </c>
      <c r="AI133" s="25">
        <f t="shared" si="8"/>
        <v>10077</v>
      </c>
      <c r="AJ133" s="25" t="str">
        <f t="shared" si="9"/>
        <v>萨萨莉安</v>
      </c>
      <c r="AK133" s="25">
        <f t="shared" si="38"/>
        <v>2</v>
      </c>
      <c r="AL133" s="25" t="str">
        <f t="array" ref="AL133">INDEX($O$5:$O$42,MATCH(AJ133,$B$5:$B$42,0))</f>
        <v>攻击百分比</v>
      </c>
      <c r="AM133" s="25" t="str">
        <f t="array" ref="AM133">INDEX($P$5:$P$42,MATCH(AJ133,$B$5:$B$42,0))</f>
        <v>暴击伤害等级</v>
      </c>
      <c r="AN133" s="25" t="str">
        <f t="array" ref="AN133">INDEX($Q$5:$Q$42,MATCH(AJ133,$B$5:$B$42,0))</f>
        <v>能量回复等级</v>
      </c>
      <c r="AO133" s="25" t="str">
        <f t="array" ref="AO133">INDEX(AL133:AN133,0,AK133)</f>
        <v>暴击伤害等级</v>
      </c>
      <c r="AP133" s="25">
        <f t="shared" si="121"/>
        <v>0.15</v>
      </c>
      <c r="AQ133" s="25">
        <f t="shared" si="11"/>
        <v>1650</v>
      </c>
      <c r="AR133" s="25" t="str">
        <f t="shared" ref="AR133:BZ133" si="134">IF(AR$78=$AO133,$AQ133,"0")</f>
        <v>0</v>
      </c>
      <c r="AS133" s="25" t="str">
        <f t="shared" si="134"/>
        <v>0</v>
      </c>
      <c r="AT133" s="25" t="str">
        <f t="shared" si="134"/>
        <v>0</v>
      </c>
      <c r="AU133" s="25" t="str">
        <f t="shared" si="134"/>
        <v>0</v>
      </c>
      <c r="AV133" s="25" t="str">
        <f t="shared" si="134"/>
        <v>0</v>
      </c>
      <c r="AW133" s="25" t="str">
        <f t="shared" si="134"/>
        <v>0</v>
      </c>
      <c r="AX133" s="25" t="str">
        <f t="shared" si="134"/>
        <v>0</v>
      </c>
      <c r="AY133" s="25" t="str">
        <f t="shared" si="134"/>
        <v>0</v>
      </c>
      <c r="AZ133" s="25" t="str">
        <f t="shared" si="134"/>
        <v>0</v>
      </c>
      <c r="BA133" s="25" t="str">
        <f t="shared" si="134"/>
        <v>0</v>
      </c>
      <c r="BB133" s="25" t="str">
        <f t="shared" si="134"/>
        <v>0</v>
      </c>
      <c r="BC133" s="25" t="str">
        <f t="shared" si="134"/>
        <v>0</v>
      </c>
      <c r="BD133" s="25" t="str">
        <f t="shared" si="134"/>
        <v>0</v>
      </c>
      <c r="BE133" s="25" t="str">
        <f t="shared" si="134"/>
        <v>0</v>
      </c>
      <c r="BF133" s="25" t="str">
        <f t="shared" si="134"/>
        <v>0</v>
      </c>
      <c r="BG133" s="25" t="str">
        <f t="shared" si="134"/>
        <v>0</v>
      </c>
      <c r="BH133" s="25" t="str">
        <f t="shared" si="134"/>
        <v>0</v>
      </c>
      <c r="BI133" s="25" t="str">
        <f t="shared" si="134"/>
        <v>0</v>
      </c>
      <c r="BJ133" s="25" t="str">
        <f t="shared" si="134"/>
        <v>0</v>
      </c>
      <c r="BK133" s="25" t="str">
        <f t="shared" si="134"/>
        <v>0</v>
      </c>
      <c r="BL133" s="25" t="str">
        <f t="shared" si="134"/>
        <v>0</v>
      </c>
      <c r="BM133" s="25" t="str">
        <f t="shared" si="134"/>
        <v>0</v>
      </c>
      <c r="BN133" s="25" t="str">
        <f t="shared" si="134"/>
        <v>0</v>
      </c>
      <c r="BO133" s="25" t="str">
        <f t="shared" si="134"/>
        <v>0</v>
      </c>
      <c r="BP133" s="25" t="str">
        <f t="shared" si="134"/>
        <v>0</v>
      </c>
      <c r="BQ133" s="25" t="str">
        <f t="shared" si="134"/>
        <v>0</v>
      </c>
      <c r="BR133" s="25" t="str">
        <f t="shared" si="134"/>
        <v>0</v>
      </c>
      <c r="BS133" s="25" t="str">
        <f t="shared" si="134"/>
        <v>0</v>
      </c>
      <c r="BT133" s="25" t="str">
        <f t="shared" si="134"/>
        <v>0</v>
      </c>
      <c r="BU133" s="25" t="str">
        <f t="shared" si="134"/>
        <v>0</v>
      </c>
      <c r="BV133" s="25" t="str">
        <f t="shared" si="134"/>
        <v>0</v>
      </c>
      <c r="BW133" s="25" t="str">
        <f t="shared" si="134"/>
        <v>0</v>
      </c>
      <c r="BX133" s="25">
        <f t="shared" si="134"/>
        <v>1650</v>
      </c>
      <c r="BY133" s="25" t="str">
        <f t="shared" si="134"/>
        <v>0</v>
      </c>
      <c r="BZ133" s="25" t="str">
        <f t="shared" si="134"/>
        <v>0</v>
      </c>
      <c r="CC133" s="25" t="str">
        <f t="array" ref="CC133">INDEX($C$46:$C$74,MATCH(CD133,$B$46:$B$74,0))</f>
        <v>薇</v>
      </c>
      <c r="CD133" s="1">
        <v>1008</v>
      </c>
      <c r="CE133" s="1">
        <v>5</v>
      </c>
      <c r="CF133" s="25" t="str">
        <f t="array" ref="CF133">INDEX($T$5:$T$44,MATCH(CC133,$B$5:$B$44,0))</f>
        <v>混合</v>
      </c>
      <c r="CG133" s="25">
        <f t="shared" si="34"/>
        <v>0.3</v>
      </c>
      <c r="CH133" s="25">
        <f t="shared" si="13"/>
        <v>1.3</v>
      </c>
      <c r="CI133" s="25">
        <f t="shared" si="14"/>
        <v>1.3</v>
      </c>
      <c r="CJ133" s="25">
        <f t="shared" si="15"/>
        <v>1.3</v>
      </c>
      <c r="CK133" s="25">
        <f t="shared" si="16"/>
        <v>1.3</v>
      </c>
      <c r="CL133" s="25" t="str">
        <f t="array" ref="CL133">INDEX($S$5:$S$43,MATCH(CC133,$B$5:$B$43,0))</f>
        <v>暴击等级</v>
      </c>
      <c r="CM133" s="25">
        <f t="shared" si="35"/>
        <v>0.3</v>
      </c>
      <c r="CN133" s="25">
        <f t="shared" si="17"/>
        <v>2700</v>
      </c>
      <c r="CO133" s="25">
        <f t="shared" si="18"/>
        <v>1</v>
      </c>
      <c r="CP133" s="29" t="str">
        <f t="shared" ref="CP133:DQ133" si="135">IF($CL133=CP$78,$CN133,"0")</f>
        <v>0</v>
      </c>
      <c r="CQ133" s="29" t="str">
        <f t="shared" si="135"/>
        <v>0</v>
      </c>
      <c r="CR133" s="29" t="str">
        <f t="shared" si="135"/>
        <v>0</v>
      </c>
      <c r="CS133" s="29" t="str">
        <f t="shared" si="135"/>
        <v>0</v>
      </c>
      <c r="CT133" s="29" t="str">
        <f t="shared" si="135"/>
        <v>0</v>
      </c>
      <c r="CU133" s="29" t="str">
        <f t="shared" si="135"/>
        <v>0</v>
      </c>
      <c r="CV133" s="29" t="str">
        <f t="shared" si="135"/>
        <v>0</v>
      </c>
      <c r="CW133" s="29" t="str">
        <f t="shared" si="135"/>
        <v>0</v>
      </c>
      <c r="CX133" s="29" t="str">
        <f t="shared" si="135"/>
        <v>0</v>
      </c>
      <c r="CY133" s="29" t="str">
        <f t="shared" si="135"/>
        <v>0</v>
      </c>
      <c r="CZ133" s="29" t="str">
        <f t="shared" si="135"/>
        <v>0</v>
      </c>
      <c r="DA133" s="29" t="str">
        <f t="shared" si="135"/>
        <v>0</v>
      </c>
      <c r="DB133" s="29" t="str">
        <f t="shared" si="135"/>
        <v>0</v>
      </c>
      <c r="DC133" s="29" t="str">
        <f t="shared" si="135"/>
        <v>0</v>
      </c>
      <c r="DD133" s="29" t="str">
        <f t="shared" si="135"/>
        <v>0</v>
      </c>
      <c r="DE133" s="29" t="str">
        <f t="shared" si="135"/>
        <v>0</v>
      </c>
      <c r="DF133" s="29" t="str">
        <f t="shared" si="135"/>
        <v>0</v>
      </c>
      <c r="DG133" s="29" t="str">
        <f t="shared" si="135"/>
        <v>0</v>
      </c>
      <c r="DH133" s="29" t="str">
        <f t="shared" si="135"/>
        <v>0</v>
      </c>
      <c r="DI133" s="29" t="str">
        <f t="shared" si="135"/>
        <v>0</v>
      </c>
      <c r="DJ133" s="29" t="str">
        <f t="shared" si="135"/>
        <v>0</v>
      </c>
      <c r="DK133" s="29" t="str">
        <f t="shared" si="135"/>
        <v>0</v>
      </c>
      <c r="DL133" s="29" t="str">
        <f t="shared" si="135"/>
        <v>0</v>
      </c>
      <c r="DM133" s="29" t="str">
        <f t="shared" si="135"/>
        <v>0</v>
      </c>
      <c r="DN133" s="29">
        <f t="shared" si="135"/>
        <v>2700</v>
      </c>
      <c r="DO133" s="29" t="str">
        <f t="shared" si="135"/>
        <v>0</v>
      </c>
      <c r="DP133" s="29" t="str">
        <f t="shared" si="135"/>
        <v>0</v>
      </c>
      <c r="DQ133" s="29" t="str">
        <f t="shared" si="135"/>
        <v>0</v>
      </c>
      <c r="DR133" s="29"/>
      <c r="DS133" s="25" t="s">
        <v>1011</v>
      </c>
      <c r="DT133" s="25" t="str">
        <f>TEXT(角色升星!$F$18,"0%")</f>
        <v>15%</v>
      </c>
      <c r="DU133" s="25" t="s">
        <v>779</v>
      </c>
      <c r="DV133" s="25" t="str">
        <f>IF(CF133="物理","PhysicsAttack,+","MagicAttack,+")</f>
        <v>MagicAttack,+</v>
      </c>
      <c r="DW133" s="25" t="str">
        <f>TEXT(角色升星!$F$18,"0%")</f>
        <v>15%</v>
      </c>
      <c r="DX133" s="25" t="s">
        <v>779</v>
      </c>
      <c r="DY133" s="25" t="s">
        <v>1012</v>
      </c>
      <c r="DZ133" s="25" t="str">
        <f>TEXT(角色升星!$F$18,"0%")</f>
        <v>15%</v>
      </c>
      <c r="EA133" s="25" t="s">
        <v>779</v>
      </c>
      <c r="EB133" s="25" t="str">
        <f>VLOOKUP(CL133,$O$46:$P$73,2,0)</f>
        <v>CritLevel</v>
      </c>
      <c r="EC133" s="25" t="s">
        <v>1013</v>
      </c>
      <c r="ED133" s="25">
        <f>IF(CN133&gt;1,CN133,TEXT(CN133,"0%"))</f>
        <v>2700</v>
      </c>
      <c r="EE133" s="25" t="str">
        <f t="shared" si="20"/>
        <v>Hp,+15%;MagicAttack,+15%;Armor,+15%;CritLevel,+2700</v>
      </c>
    </row>
    <row r="134" spans="1:135">
      <c r="A134" s="48">
        <v>1001056</v>
      </c>
      <c r="B134" s="49" t="s">
        <v>910</v>
      </c>
      <c r="C134" s="25">
        <v>56</v>
      </c>
      <c r="D134" s="25">
        <f t="array" ref="D134">INDEX(C$5:C$67,MATCH($B134,$B$5:$B$67,0))</f>
        <v>3600</v>
      </c>
      <c r="E134" s="25">
        <f t="array" ref="E134">INDEX(D$5:D$67,MATCH($B134,$B$5:$B$67,0))</f>
        <v>288</v>
      </c>
      <c r="F134" s="25">
        <f t="array" ref="F134">INDEX(E$5:E$67,MATCH($B134,$B$5:$B$67,0))</f>
        <v>1320</v>
      </c>
      <c r="G134" s="25">
        <f t="array" ref="G134">INDEX(F$5:F$67,MATCH($B134,$B$5:$B$67,0))</f>
        <v>105.6</v>
      </c>
      <c r="H134" s="25">
        <f t="array" ref="H134">INDEX(G$5:G$66,MATCH($B134,$B$5:$B$67,0))</f>
        <v>1056</v>
      </c>
      <c r="I134" s="25">
        <f t="array" ref="I134">INDEX(H$5:H$67,MATCH($B134,$B$5:$B$67,0))</f>
        <v>84.48</v>
      </c>
      <c r="J134" s="25">
        <f t="array" ref="J134">INDEX(I$5:I$67,MATCH($B134,$B$5:$B$67,0))</f>
        <v>800</v>
      </c>
      <c r="K134" s="25">
        <f t="array" ref="K134">INDEX(J$5:J$67,MATCH($B134,$B$5:$B$67,0))</f>
        <v>64</v>
      </c>
      <c r="L134" s="25">
        <f t="shared" si="0"/>
        <v>19728</v>
      </c>
      <c r="M134" s="25">
        <f t="shared" si="1"/>
        <v>7234</v>
      </c>
      <c r="N134" s="25">
        <f t="shared" si="2"/>
        <v>5787</v>
      </c>
      <c r="O134" s="25">
        <f t="shared" si="3"/>
        <v>4384</v>
      </c>
      <c r="R134" s="50">
        <f t="array" ref="R134">INDEX($B$46:$B$68,MATCH(S134,$C$46:$C$68,0))*1000+T134</f>
        <v>1003002</v>
      </c>
      <c r="S134" s="51" t="s">
        <v>321</v>
      </c>
      <c r="T134" s="29">
        <f t="shared" si="78"/>
        <v>2</v>
      </c>
      <c r="U134" s="25">
        <f t="array" ref="U134">INDEX(K$5:K$67,MATCH($S134,$B$5:$B$67,0))</f>
        <v>656.04</v>
      </c>
      <c r="V134" s="25">
        <f t="array" ref="V134">INDEX(L$5:L$67,MATCH($S134,$B$5:$B$67,0))</f>
        <v>62.67</v>
      </c>
      <c r="W134" s="25">
        <f t="array" ref="W134">INDEX(M$5:M$67,MATCH($S134,$B$5:$B$67,0))</f>
        <v>78.34</v>
      </c>
      <c r="X134" s="25">
        <f t="array" ref="X134">INDEX(N$5:N$67,MATCH($S134,$B$5:$B$67,0))</f>
        <v>76.5</v>
      </c>
      <c r="Y134" s="25">
        <f t="shared" si="4"/>
        <v>1312</v>
      </c>
      <c r="Z134" s="25">
        <f t="shared" si="5"/>
        <v>125</v>
      </c>
      <c r="AA134" s="25">
        <f t="shared" si="6"/>
        <v>157</v>
      </c>
      <c r="AB134" s="25">
        <f t="shared" si="7"/>
        <v>153</v>
      </c>
      <c r="AF134" s="25">
        <v>56</v>
      </c>
      <c r="AG134" s="25">
        <f t="array" ref="AG134">INDEX($AE$79:$AE$116,QUOTIENT(AF134-1,8)+1)</f>
        <v>1007</v>
      </c>
      <c r="AH134" s="25">
        <f t="shared" si="37"/>
        <v>8</v>
      </c>
      <c r="AI134" s="25">
        <f t="shared" si="8"/>
        <v>10078</v>
      </c>
      <c r="AJ134" s="25" t="str">
        <f t="shared" si="9"/>
        <v>萨萨莉安</v>
      </c>
      <c r="AK134" s="25">
        <f t="shared" si="38"/>
        <v>3</v>
      </c>
      <c r="AL134" s="25" t="str">
        <f t="array" ref="AL134">INDEX($O$5:$O$42,MATCH(AJ134,$B$5:$B$42,0))</f>
        <v>攻击百分比</v>
      </c>
      <c r="AM134" s="25" t="str">
        <f t="array" ref="AM134">INDEX($P$5:$P$42,MATCH(AJ134,$B$5:$B$42,0))</f>
        <v>暴击伤害等级</v>
      </c>
      <c r="AN134" s="25" t="str">
        <f t="array" ref="AN134">INDEX($Q$5:$Q$42,MATCH(AJ134,$B$5:$B$42,0))</f>
        <v>能量回复等级</v>
      </c>
      <c r="AO134" s="25" t="str">
        <f t="array" ref="AO134">INDEX(AL134:AN134,0,AK134)</f>
        <v>能量回复等级</v>
      </c>
      <c r="AP134" s="25">
        <f t="shared" si="121"/>
        <v>0.216666666666667</v>
      </c>
      <c r="AQ134" s="25">
        <f t="shared" si="11"/>
        <v>1950</v>
      </c>
      <c r="AR134" s="25" t="str">
        <f t="shared" ref="AR134:BZ134" si="136">IF(AR$78=$AO134,$AQ134,"0")</f>
        <v>0</v>
      </c>
      <c r="AS134" s="25" t="str">
        <f t="shared" si="136"/>
        <v>0</v>
      </c>
      <c r="AT134" s="25" t="str">
        <f t="shared" si="136"/>
        <v>0</v>
      </c>
      <c r="AU134" s="25" t="str">
        <f t="shared" si="136"/>
        <v>0</v>
      </c>
      <c r="AV134" s="25" t="str">
        <f t="shared" si="136"/>
        <v>0</v>
      </c>
      <c r="AW134" s="25" t="str">
        <f t="shared" si="136"/>
        <v>0</v>
      </c>
      <c r="AX134" s="25" t="str">
        <f t="shared" si="136"/>
        <v>0</v>
      </c>
      <c r="AY134" s="25" t="str">
        <f t="shared" si="136"/>
        <v>0</v>
      </c>
      <c r="AZ134" s="25" t="str">
        <f t="shared" si="136"/>
        <v>0</v>
      </c>
      <c r="BA134" s="25" t="str">
        <f t="shared" si="136"/>
        <v>0</v>
      </c>
      <c r="BB134" s="25" t="str">
        <f t="shared" si="136"/>
        <v>0</v>
      </c>
      <c r="BC134" s="25" t="str">
        <f t="shared" si="136"/>
        <v>0</v>
      </c>
      <c r="BD134" s="25" t="str">
        <f t="shared" si="136"/>
        <v>0</v>
      </c>
      <c r="BE134" s="25" t="str">
        <f t="shared" si="136"/>
        <v>0</v>
      </c>
      <c r="BF134" s="25" t="str">
        <f t="shared" si="136"/>
        <v>0</v>
      </c>
      <c r="BG134" s="25" t="str">
        <f t="shared" si="136"/>
        <v>0</v>
      </c>
      <c r="BH134" s="25" t="str">
        <f t="shared" si="136"/>
        <v>0</v>
      </c>
      <c r="BI134" s="25" t="str">
        <f t="shared" si="136"/>
        <v>0</v>
      </c>
      <c r="BJ134" s="25" t="str">
        <f t="shared" si="136"/>
        <v>0</v>
      </c>
      <c r="BK134" s="25" t="str">
        <f t="shared" si="136"/>
        <v>0</v>
      </c>
      <c r="BL134" s="25" t="str">
        <f t="shared" si="136"/>
        <v>0</v>
      </c>
      <c r="BM134" s="25" t="str">
        <f t="shared" si="136"/>
        <v>0</v>
      </c>
      <c r="BN134" s="25" t="str">
        <f t="shared" si="136"/>
        <v>0</v>
      </c>
      <c r="BO134" s="25" t="str">
        <f t="shared" si="136"/>
        <v>0</v>
      </c>
      <c r="BP134" s="25" t="str">
        <f t="shared" si="136"/>
        <v>0</v>
      </c>
      <c r="BQ134" s="25" t="str">
        <f t="shared" si="136"/>
        <v>0</v>
      </c>
      <c r="BR134" s="25" t="str">
        <f t="shared" si="136"/>
        <v>0</v>
      </c>
      <c r="BS134" s="25" t="str">
        <f t="shared" si="136"/>
        <v>0</v>
      </c>
      <c r="BT134" s="25" t="str">
        <f t="shared" si="136"/>
        <v>0</v>
      </c>
      <c r="BU134" s="25" t="str">
        <f t="shared" si="136"/>
        <v>0</v>
      </c>
      <c r="BV134" s="25" t="str">
        <f t="shared" si="136"/>
        <v>0</v>
      </c>
      <c r="BW134" s="25" t="str">
        <f t="shared" si="136"/>
        <v>0</v>
      </c>
      <c r="BX134" s="25" t="str">
        <f t="shared" si="136"/>
        <v>0</v>
      </c>
      <c r="BY134" s="25">
        <f t="shared" si="136"/>
        <v>1950</v>
      </c>
      <c r="BZ134" s="25" t="str">
        <f t="shared" si="136"/>
        <v>0</v>
      </c>
      <c r="CC134" s="25" t="str">
        <f t="array" ref="CC134">INDEX($C$46:$C$74,MATCH(CD134,$B$46:$B$74,0))</f>
        <v>薇</v>
      </c>
      <c r="CD134" s="1">
        <v>1008</v>
      </c>
      <c r="CE134" s="1">
        <v>6</v>
      </c>
      <c r="CF134" s="25" t="str">
        <f t="array" ref="CF134">INDEX($T$5:$T$44,MATCH(CC134,$B$5:$B$44,0))</f>
        <v>混合</v>
      </c>
      <c r="CG134" s="25">
        <f t="shared" si="34"/>
        <v>0.3</v>
      </c>
      <c r="CH134" s="25">
        <f t="shared" si="13"/>
        <v>1.3</v>
      </c>
      <c r="CI134" s="25">
        <f t="shared" si="14"/>
        <v>1.3</v>
      </c>
      <c r="CJ134" s="25">
        <f t="shared" si="15"/>
        <v>1.3</v>
      </c>
      <c r="CK134" s="25">
        <f t="shared" si="16"/>
        <v>1.3</v>
      </c>
      <c r="CL134" s="25">
        <v>0</v>
      </c>
      <c r="CM134" s="25">
        <f t="shared" si="35"/>
        <v>0</v>
      </c>
      <c r="CN134" s="25">
        <f t="shared" si="17"/>
        <v>0</v>
      </c>
      <c r="CO134" s="25">
        <f t="shared" si="18"/>
        <v>0</v>
      </c>
      <c r="CP134" s="29" t="str">
        <f t="shared" ref="CP134:DQ134" si="137">IF($CL134=CP$78,$CN134,"0")</f>
        <v>0</v>
      </c>
      <c r="CQ134" s="29" t="str">
        <f t="shared" si="137"/>
        <v>0</v>
      </c>
      <c r="CR134" s="29" t="str">
        <f t="shared" si="137"/>
        <v>0</v>
      </c>
      <c r="CS134" s="29" t="str">
        <f t="shared" si="137"/>
        <v>0</v>
      </c>
      <c r="CT134" s="29" t="str">
        <f t="shared" si="137"/>
        <v>0</v>
      </c>
      <c r="CU134" s="29" t="str">
        <f t="shared" si="137"/>
        <v>0</v>
      </c>
      <c r="CV134" s="29" t="str">
        <f t="shared" si="137"/>
        <v>0</v>
      </c>
      <c r="CW134" s="29" t="str">
        <f t="shared" si="137"/>
        <v>0</v>
      </c>
      <c r="CX134" s="29" t="str">
        <f t="shared" si="137"/>
        <v>0</v>
      </c>
      <c r="CY134" s="29" t="str">
        <f t="shared" si="137"/>
        <v>0</v>
      </c>
      <c r="CZ134" s="29" t="str">
        <f t="shared" si="137"/>
        <v>0</v>
      </c>
      <c r="DA134" s="29" t="str">
        <f t="shared" si="137"/>
        <v>0</v>
      </c>
      <c r="DB134" s="29" t="str">
        <f t="shared" si="137"/>
        <v>0</v>
      </c>
      <c r="DC134" s="29" t="str">
        <f t="shared" si="137"/>
        <v>0</v>
      </c>
      <c r="DD134" s="29" t="str">
        <f t="shared" si="137"/>
        <v>0</v>
      </c>
      <c r="DE134" s="29" t="str">
        <f t="shared" si="137"/>
        <v>0</v>
      </c>
      <c r="DF134" s="29" t="str">
        <f t="shared" si="137"/>
        <v>0</v>
      </c>
      <c r="DG134" s="29" t="str">
        <f t="shared" si="137"/>
        <v>0</v>
      </c>
      <c r="DH134" s="29" t="str">
        <f t="shared" si="137"/>
        <v>0</v>
      </c>
      <c r="DI134" s="29" t="str">
        <f t="shared" si="137"/>
        <v>0</v>
      </c>
      <c r="DJ134" s="29" t="str">
        <f t="shared" si="137"/>
        <v>0</v>
      </c>
      <c r="DK134" s="29" t="str">
        <f t="shared" si="137"/>
        <v>0</v>
      </c>
      <c r="DL134" s="29" t="str">
        <f t="shared" si="137"/>
        <v>0</v>
      </c>
      <c r="DM134" s="29" t="str">
        <f t="shared" si="137"/>
        <v>0</v>
      </c>
      <c r="DN134" s="29" t="str">
        <f t="shared" si="137"/>
        <v>0</v>
      </c>
      <c r="DO134" s="29" t="str">
        <f t="shared" si="137"/>
        <v>0</v>
      </c>
      <c r="DP134" s="29" t="str">
        <f t="shared" si="137"/>
        <v>0</v>
      </c>
      <c r="DQ134" s="29" t="str">
        <f t="shared" si="137"/>
        <v>0</v>
      </c>
      <c r="DR134" s="29"/>
      <c r="DS134" s="25">
        <v>0</v>
      </c>
      <c r="EE134" s="25" t="str">
        <f t="shared" si="20"/>
        <v>0</v>
      </c>
    </row>
    <row r="135" spans="1:135">
      <c r="A135" s="48">
        <v>1001057</v>
      </c>
      <c r="B135" s="49" t="s">
        <v>910</v>
      </c>
      <c r="C135" s="25">
        <v>57</v>
      </c>
      <c r="D135" s="25">
        <f t="array" ref="D135">INDEX(C$5:C$67,MATCH($B135,$B$5:$B$67,0))</f>
        <v>3600</v>
      </c>
      <c r="E135" s="25">
        <f t="array" ref="E135">INDEX(D$5:D$67,MATCH($B135,$B$5:$B$67,0))</f>
        <v>288</v>
      </c>
      <c r="F135" s="25">
        <f t="array" ref="F135">INDEX(E$5:E$67,MATCH($B135,$B$5:$B$67,0))</f>
        <v>1320</v>
      </c>
      <c r="G135" s="25">
        <f t="array" ref="G135">INDEX(F$5:F$67,MATCH($B135,$B$5:$B$67,0))</f>
        <v>105.6</v>
      </c>
      <c r="H135" s="25">
        <f t="array" ref="H135">INDEX(G$5:G$66,MATCH($B135,$B$5:$B$67,0))</f>
        <v>1056</v>
      </c>
      <c r="I135" s="25">
        <f t="array" ref="I135">INDEX(H$5:H$67,MATCH($B135,$B$5:$B$67,0))</f>
        <v>84.48</v>
      </c>
      <c r="J135" s="25">
        <f t="array" ref="J135">INDEX(I$5:I$67,MATCH($B135,$B$5:$B$67,0))</f>
        <v>800</v>
      </c>
      <c r="K135" s="25">
        <f t="array" ref="K135">INDEX(J$5:J$67,MATCH($B135,$B$5:$B$67,0))</f>
        <v>64</v>
      </c>
      <c r="L135" s="25">
        <f t="shared" si="0"/>
        <v>20016</v>
      </c>
      <c r="M135" s="25">
        <f t="shared" si="1"/>
        <v>7339</v>
      </c>
      <c r="N135" s="25">
        <f t="shared" si="2"/>
        <v>5871</v>
      </c>
      <c r="O135" s="25">
        <f t="shared" si="3"/>
        <v>4448</v>
      </c>
      <c r="R135" s="50">
        <f t="array" ref="R135">INDEX($B$46:$B$68,MATCH(S135,$C$46:$C$68,0))*1000+T135</f>
        <v>1003003</v>
      </c>
      <c r="S135" s="51" t="s">
        <v>321</v>
      </c>
      <c r="T135" s="29">
        <f t="shared" si="78"/>
        <v>3</v>
      </c>
      <c r="U135" s="25">
        <f t="array" ref="U135">INDEX(K$5:K$67,MATCH($S135,$B$5:$B$67,0))</f>
        <v>656.04</v>
      </c>
      <c r="V135" s="25">
        <f t="array" ref="V135">INDEX(L$5:L$67,MATCH($S135,$B$5:$B$67,0))</f>
        <v>62.67</v>
      </c>
      <c r="W135" s="25">
        <f t="array" ref="W135">INDEX(M$5:M$67,MATCH($S135,$B$5:$B$67,0))</f>
        <v>78.34</v>
      </c>
      <c r="X135" s="25">
        <f t="array" ref="X135">INDEX(N$5:N$67,MATCH($S135,$B$5:$B$67,0))</f>
        <v>76.5</v>
      </c>
      <c r="Y135" s="25">
        <f t="shared" si="4"/>
        <v>1968</v>
      </c>
      <c r="Z135" s="25">
        <f t="shared" si="5"/>
        <v>188</v>
      </c>
      <c r="AA135" s="25">
        <f t="shared" si="6"/>
        <v>235</v>
      </c>
      <c r="AB135" s="25">
        <f t="shared" si="7"/>
        <v>230</v>
      </c>
      <c r="AF135" s="25">
        <v>57</v>
      </c>
      <c r="AG135" s="25">
        <f t="array" ref="AG135">INDEX($AE$79:$AE$116,QUOTIENT(AF135-1,8)+1)</f>
        <v>1008</v>
      </c>
      <c r="AH135" s="25">
        <f t="shared" si="37"/>
        <v>1</v>
      </c>
      <c r="AI135" s="25">
        <f t="shared" si="8"/>
        <v>10081</v>
      </c>
      <c r="AJ135" s="25" t="str">
        <f t="shared" si="9"/>
        <v>薇</v>
      </c>
      <c r="AK135" s="25">
        <f t="shared" si="38"/>
        <v>1</v>
      </c>
      <c r="AL135" s="25" t="str">
        <f t="array" ref="AL135">INDEX($O$5:$O$42,MATCH(AJ135,$B$5:$B$42,0))</f>
        <v>能量回复等级</v>
      </c>
      <c r="AM135" s="25" t="str">
        <f t="array" ref="AM135">INDEX($P$5:$P$42,MATCH(AJ135,$B$5:$B$42,0))</f>
        <v>攻击百分比</v>
      </c>
      <c r="AN135" s="25" t="str">
        <f t="array" ref="AN135">INDEX($Q$5:$Q$42,MATCH(AJ135,$B$5:$B$42,0))</f>
        <v>攻击百分比</v>
      </c>
      <c r="AO135" s="25" t="str">
        <f t="array" ref="AO135">INDEX(AL135:AN135,0,AK135)</f>
        <v>能量回复等级</v>
      </c>
      <c r="AP135" s="25">
        <f>1950*$G$46/VLOOKUP(AO135,$F$46:$G$72,2,0)</f>
        <v>0.216666666666667</v>
      </c>
      <c r="AQ135" s="25">
        <f t="shared" si="11"/>
        <v>1950</v>
      </c>
      <c r="AR135" s="25" t="str">
        <f t="shared" ref="AR135:BZ135" si="138">IF(AR$78=$AO135,$AQ135,"0")</f>
        <v>0</v>
      </c>
      <c r="AS135" s="25" t="str">
        <f t="shared" si="138"/>
        <v>0</v>
      </c>
      <c r="AT135" s="25" t="str">
        <f t="shared" si="138"/>
        <v>0</v>
      </c>
      <c r="AU135" s="25" t="str">
        <f t="shared" si="138"/>
        <v>0</v>
      </c>
      <c r="AV135" s="25" t="str">
        <f t="shared" si="138"/>
        <v>0</v>
      </c>
      <c r="AW135" s="25" t="str">
        <f t="shared" si="138"/>
        <v>0</v>
      </c>
      <c r="AX135" s="25" t="str">
        <f t="shared" si="138"/>
        <v>0</v>
      </c>
      <c r="AY135" s="25" t="str">
        <f t="shared" si="138"/>
        <v>0</v>
      </c>
      <c r="AZ135" s="25" t="str">
        <f t="shared" si="138"/>
        <v>0</v>
      </c>
      <c r="BA135" s="25" t="str">
        <f t="shared" si="138"/>
        <v>0</v>
      </c>
      <c r="BB135" s="25" t="str">
        <f t="shared" si="138"/>
        <v>0</v>
      </c>
      <c r="BC135" s="25" t="str">
        <f t="shared" si="138"/>
        <v>0</v>
      </c>
      <c r="BD135" s="25" t="str">
        <f t="shared" si="138"/>
        <v>0</v>
      </c>
      <c r="BE135" s="25" t="str">
        <f t="shared" si="138"/>
        <v>0</v>
      </c>
      <c r="BF135" s="25" t="str">
        <f t="shared" si="138"/>
        <v>0</v>
      </c>
      <c r="BG135" s="25" t="str">
        <f t="shared" si="138"/>
        <v>0</v>
      </c>
      <c r="BH135" s="25" t="str">
        <f t="shared" si="138"/>
        <v>0</v>
      </c>
      <c r="BI135" s="25" t="str">
        <f t="shared" si="138"/>
        <v>0</v>
      </c>
      <c r="BJ135" s="25" t="str">
        <f t="shared" si="138"/>
        <v>0</v>
      </c>
      <c r="BK135" s="25" t="str">
        <f t="shared" si="138"/>
        <v>0</v>
      </c>
      <c r="BL135" s="25" t="str">
        <f t="shared" si="138"/>
        <v>0</v>
      </c>
      <c r="BM135" s="25" t="str">
        <f t="shared" si="138"/>
        <v>0</v>
      </c>
      <c r="BN135" s="25" t="str">
        <f t="shared" si="138"/>
        <v>0</v>
      </c>
      <c r="BO135" s="25" t="str">
        <f t="shared" si="138"/>
        <v>0</v>
      </c>
      <c r="BP135" s="25" t="str">
        <f t="shared" si="138"/>
        <v>0</v>
      </c>
      <c r="BQ135" s="25" t="str">
        <f t="shared" si="138"/>
        <v>0</v>
      </c>
      <c r="BR135" s="25" t="str">
        <f t="shared" si="138"/>
        <v>0</v>
      </c>
      <c r="BS135" s="25" t="str">
        <f t="shared" si="138"/>
        <v>0</v>
      </c>
      <c r="BT135" s="25" t="str">
        <f t="shared" si="138"/>
        <v>0</v>
      </c>
      <c r="BU135" s="25" t="str">
        <f t="shared" si="138"/>
        <v>0</v>
      </c>
      <c r="BV135" s="25" t="str">
        <f t="shared" si="138"/>
        <v>0</v>
      </c>
      <c r="BW135" s="25" t="str">
        <f t="shared" si="138"/>
        <v>0</v>
      </c>
      <c r="BX135" s="25" t="str">
        <f t="shared" si="138"/>
        <v>0</v>
      </c>
      <c r="BY135" s="25">
        <f t="shared" si="138"/>
        <v>1950</v>
      </c>
      <c r="BZ135" s="25" t="str">
        <f t="shared" si="138"/>
        <v>0</v>
      </c>
      <c r="CC135" s="25" t="str">
        <f t="array" ref="CC135">INDEX($C$46:$C$74,MATCH(CD135,$B$46:$B$74,0))</f>
        <v>约瑟夫</v>
      </c>
      <c r="CD135" s="52">
        <v>1009</v>
      </c>
      <c r="CE135" s="52">
        <v>0</v>
      </c>
      <c r="CF135" s="25" t="str">
        <f t="array" ref="CF135">INDEX($T$5:$T$44,MATCH(CC135,$B$5:$B$44,0))</f>
        <v>魔法</v>
      </c>
      <c r="CG135" s="25">
        <f t="shared" si="34"/>
        <v>0</v>
      </c>
      <c r="CH135" s="25">
        <f t="shared" si="13"/>
        <v>1</v>
      </c>
      <c r="CI135" s="25">
        <f t="shared" si="14"/>
        <v>1</v>
      </c>
      <c r="CJ135" s="25">
        <f t="shared" si="15"/>
        <v>1</v>
      </c>
      <c r="CK135" s="25">
        <f t="shared" si="16"/>
        <v>1</v>
      </c>
      <c r="CL135" s="25">
        <v>0</v>
      </c>
      <c r="CM135" s="25">
        <f t="shared" si="35"/>
        <v>0</v>
      </c>
      <c r="CN135" s="25">
        <f t="shared" si="17"/>
        <v>0</v>
      </c>
      <c r="CO135" s="25">
        <f t="shared" si="18"/>
        <v>0</v>
      </c>
      <c r="CP135" s="29" t="str">
        <f t="shared" ref="CP135:DQ135" si="139">IF($CL135=CP$78,$CN135,"0")</f>
        <v>0</v>
      </c>
      <c r="CQ135" s="29" t="str">
        <f t="shared" si="139"/>
        <v>0</v>
      </c>
      <c r="CR135" s="29" t="str">
        <f t="shared" si="139"/>
        <v>0</v>
      </c>
      <c r="CS135" s="29" t="str">
        <f t="shared" si="139"/>
        <v>0</v>
      </c>
      <c r="CT135" s="29" t="str">
        <f t="shared" si="139"/>
        <v>0</v>
      </c>
      <c r="CU135" s="29" t="str">
        <f t="shared" si="139"/>
        <v>0</v>
      </c>
      <c r="CV135" s="29" t="str">
        <f t="shared" si="139"/>
        <v>0</v>
      </c>
      <c r="CW135" s="29" t="str">
        <f t="shared" si="139"/>
        <v>0</v>
      </c>
      <c r="CX135" s="29" t="str">
        <f t="shared" si="139"/>
        <v>0</v>
      </c>
      <c r="CY135" s="29" t="str">
        <f t="shared" si="139"/>
        <v>0</v>
      </c>
      <c r="CZ135" s="29" t="str">
        <f t="shared" si="139"/>
        <v>0</v>
      </c>
      <c r="DA135" s="29" t="str">
        <f t="shared" si="139"/>
        <v>0</v>
      </c>
      <c r="DB135" s="29" t="str">
        <f t="shared" si="139"/>
        <v>0</v>
      </c>
      <c r="DC135" s="29" t="str">
        <f t="shared" si="139"/>
        <v>0</v>
      </c>
      <c r="DD135" s="29" t="str">
        <f t="shared" si="139"/>
        <v>0</v>
      </c>
      <c r="DE135" s="29" t="str">
        <f t="shared" si="139"/>
        <v>0</v>
      </c>
      <c r="DF135" s="29" t="str">
        <f t="shared" si="139"/>
        <v>0</v>
      </c>
      <c r="DG135" s="29" t="str">
        <f t="shared" si="139"/>
        <v>0</v>
      </c>
      <c r="DH135" s="29" t="str">
        <f t="shared" si="139"/>
        <v>0</v>
      </c>
      <c r="DI135" s="29" t="str">
        <f t="shared" si="139"/>
        <v>0</v>
      </c>
      <c r="DJ135" s="29" t="str">
        <f t="shared" si="139"/>
        <v>0</v>
      </c>
      <c r="DK135" s="29" t="str">
        <f t="shared" si="139"/>
        <v>0</v>
      </c>
      <c r="DL135" s="29" t="str">
        <f t="shared" si="139"/>
        <v>0</v>
      </c>
      <c r="DM135" s="29" t="str">
        <f t="shared" si="139"/>
        <v>0</v>
      </c>
      <c r="DN135" s="29" t="str">
        <f t="shared" si="139"/>
        <v>0</v>
      </c>
      <c r="DO135" s="29" t="str">
        <f t="shared" si="139"/>
        <v>0</v>
      </c>
      <c r="DP135" s="29" t="str">
        <f t="shared" si="139"/>
        <v>0</v>
      </c>
      <c r="DQ135" s="29" t="str">
        <f t="shared" si="139"/>
        <v>0</v>
      </c>
      <c r="DR135" s="29"/>
      <c r="DS135" s="25">
        <v>0</v>
      </c>
      <c r="EE135" s="25" t="str">
        <f t="shared" si="20"/>
        <v>0</v>
      </c>
    </row>
    <row r="136" spans="1:135">
      <c r="A136" s="48">
        <v>1001058</v>
      </c>
      <c r="B136" s="49" t="s">
        <v>910</v>
      </c>
      <c r="C136" s="25">
        <v>58</v>
      </c>
      <c r="D136" s="25">
        <f t="array" ref="D136">INDEX(C$5:C$67,MATCH($B136,$B$5:$B$67,0))</f>
        <v>3600</v>
      </c>
      <c r="E136" s="25">
        <f t="array" ref="E136">INDEX(D$5:D$67,MATCH($B136,$B$5:$B$67,0))</f>
        <v>288</v>
      </c>
      <c r="F136" s="25">
        <f t="array" ref="F136">INDEX(E$5:E$67,MATCH($B136,$B$5:$B$67,0))</f>
        <v>1320</v>
      </c>
      <c r="G136" s="25">
        <f t="array" ref="G136">INDEX(F$5:F$67,MATCH($B136,$B$5:$B$67,0))</f>
        <v>105.6</v>
      </c>
      <c r="H136" s="25">
        <f t="array" ref="H136">INDEX(G$5:G$66,MATCH($B136,$B$5:$B$67,0))</f>
        <v>1056</v>
      </c>
      <c r="I136" s="25">
        <f t="array" ref="I136">INDEX(H$5:H$67,MATCH($B136,$B$5:$B$67,0))</f>
        <v>84.48</v>
      </c>
      <c r="J136" s="25">
        <f t="array" ref="J136">INDEX(I$5:I$67,MATCH($B136,$B$5:$B$67,0))</f>
        <v>800</v>
      </c>
      <c r="K136" s="25">
        <f t="array" ref="K136">INDEX(J$5:J$67,MATCH($B136,$B$5:$B$67,0))</f>
        <v>64</v>
      </c>
      <c r="L136" s="25">
        <f t="shared" si="0"/>
        <v>20304</v>
      </c>
      <c r="M136" s="25">
        <f t="shared" si="1"/>
        <v>7445</v>
      </c>
      <c r="N136" s="25">
        <f t="shared" si="2"/>
        <v>5956</v>
      </c>
      <c r="O136" s="25">
        <f t="shared" si="3"/>
        <v>4512</v>
      </c>
      <c r="R136" s="50">
        <f t="array" ref="R136">INDEX($B$46:$B$68,MATCH(S136,$C$46:$C$68,0))*1000+T136</f>
        <v>1003004</v>
      </c>
      <c r="S136" s="51" t="s">
        <v>321</v>
      </c>
      <c r="T136" s="29">
        <f t="shared" si="78"/>
        <v>4</v>
      </c>
      <c r="U136" s="25">
        <f t="array" ref="U136">INDEX(K$5:K$67,MATCH($S136,$B$5:$B$67,0))</f>
        <v>656.04</v>
      </c>
      <c r="V136" s="25">
        <f t="array" ref="V136">INDEX(L$5:L$67,MATCH($S136,$B$5:$B$67,0))</f>
        <v>62.67</v>
      </c>
      <c r="W136" s="25">
        <f t="array" ref="W136">INDEX(M$5:M$67,MATCH($S136,$B$5:$B$67,0))</f>
        <v>78.34</v>
      </c>
      <c r="X136" s="25">
        <f t="array" ref="X136">INDEX(N$5:N$67,MATCH($S136,$B$5:$B$67,0))</f>
        <v>76.5</v>
      </c>
      <c r="Y136" s="25">
        <f t="shared" si="4"/>
        <v>2624</v>
      </c>
      <c r="Z136" s="25">
        <f t="shared" si="5"/>
        <v>251</v>
      </c>
      <c r="AA136" s="25">
        <f t="shared" si="6"/>
        <v>313</v>
      </c>
      <c r="AB136" s="25">
        <f t="shared" si="7"/>
        <v>306</v>
      </c>
      <c r="AF136" s="25">
        <v>58</v>
      </c>
      <c r="AG136" s="25">
        <f t="array" ref="AG136">INDEX($AE$79:$AE$116,QUOTIENT(AF136-1,8)+1)</f>
        <v>1008</v>
      </c>
      <c r="AH136" s="25">
        <f t="shared" si="37"/>
        <v>2</v>
      </c>
      <c r="AI136" s="25">
        <f t="shared" si="8"/>
        <v>10082</v>
      </c>
      <c r="AJ136" s="25" t="str">
        <f t="shared" si="9"/>
        <v>薇</v>
      </c>
      <c r="AK136" s="25">
        <f t="shared" si="38"/>
        <v>2</v>
      </c>
      <c r="AL136" s="25" t="str">
        <f t="array" ref="AL136">INDEX($O$5:$O$42,MATCH(AJ136,$B$5:$B$42,0))</f>
        <v>能量回复等级</v>
      </c>
      <c r="AM136" s="25" t="str">
        <f t="array" ref="AM136">INDEX($P$5:$P$42,MATCH(AJ136,$B$5:$B$42,0))</f>
        <v>攻击百分比</v>
      </c>
      <c r="AN136" s="25" t="str">
        <f t="array" ref="AN136">INDEX($Q$5:$Q$42,MATCH(AJ136,$B$5:$B$42,0))</f>
        <v>攻击百分比</v>
      </c>
      <c r="AO136" s="25" t="str">
        <f t="array" ref="AO136">INDEX(AL136:AN136,0,AK136)</f>
        <v>攻击百分比</v>
      </c>
      <c r="AP136" s="25">
        <f>AP128</f>
        <v>0.15</v>
      </c>
      <c r="AQ136" s="25">
        <f t="shared" si="11"/>
        <v>0.15</v>
      </c>
      <c r="AR136" s="25" t="str">
        <f t="shared" ref="AR136:BZ136" si="140">IF(AR$78=$AO136,$AQ136,"0")</f>
        <v>0</v>
      </c>
      <c r="AS136" s="25" t="str">
        <f t="shared" si="140"/>
        <v>0</v>
      </c>
      <c r="AT136" s="25" t="str">
        <f t="shared" si="140"/>
        <v>0</v>
      </c>
      <c r="AU136" s="25">
        <f t="shared" si="140"/>
        <v>0.15</v>
      </c>
      <c r="AV136" s="25" t="str">
        <f t="shared" si="140"/>
        <v>0</v>
      </c>
      <c r="AW136" s="25">
        <f t="shared" si="140"/>
        <v>0.15</v>
      </c>
      <c r="AX136" s="25" t="str">
        <f t="shared" si="140"/>
        <v>0</v>
      </c>
      <c r="AY136" s="25" t="str">
        <f t="shared" si="140"/>
        <v>0</v>
      </c>
      <c r="AZ136" s="25" t="str">
        <f t="shared" si="140"/>
        <v>0</v>
      </c>
      <c r="BA136" s="25" t="str">
        <f t="shared" si="140"/>
        <v>0</v>
      </c>
      <c r="BB136" s="25" t="str">
        <f t="shared" si="140"/>
        <v>0</v>
      </c>
      <c r="BC136" s="25" t="str">
        <f t="shared" si="140"/>
        <v>0</v>
      </c>
      <c r="BD136" s="25" t="str">
        <f t="shared" si="140"/>
        <v>0</v>
      </c>
      <c r="BE136" s="25" t="str">
        <f t="shared" si="140"/>
        <v>0</v>
      </c>
      <c r="BF136" s="25" t="str">
        <f t="shared" si="140"/>
        <v>0</v>
      </c>
      <c r="BG136" s="25" t="str">
        <f t="shared" si="140"/>
        <v>0</v>
      </c>
      <c r="BH136" s="25" t="str">
        <f t="shared" si="140"/>
        <v>0</v>
      </c>
      <c r="BI136" s="25" t="str">
        <f t="shared" si="140"/>
        <v>0</v>
      </c>
      <c r="BJ136" s="25" t="str">
        <f t="shared" si="140"/>
        <v>0</v>
      </c>
      <c r="BK136" s="25" t="str">
        <f t="shared" si="140"/>
        <v>0</v>
      </c>
      <c r="BL136" s="25" t="str">
        <f t="shared" si="140"/>
        <v>0</v>
      </c>
      <c r="BM136" s="25" t="str">
        <f t="shared" si="140"/>
        <v>0</v>
      </c>
      <c r="BN136" s="25" t="str">
        <f t="shared" si="140"/>
        <v>0</v>
      </c>
      <c r="BO136" s="25" t="str">
        <f t="shared" si="140"/>
        <v>0</v>
      </c>
      <c r="BP136" s="25" t="str">
        <f t="shared" si="140"/>
        <v>0</v>
      </c>
      <c r="BQ136" s="25" t="str">
        <f t="shared" si="140"/>
        <v>0</v>
      </c>
      <c r="BR136" s="25" t="str">
        <f t="shared" si="140"/>
        <v>0</v>
      </c>
      <c r="BS136" s="25" t="str">
        <f t="shared" si="140"/>
        <v>0</v>
      </c>
      <c r="BT136" s="25" t="str">
        <f t="shared" si="140"/>
        <v>0</v>
      </c>
      <c r="BU136" s="25" t="str">
        <f t="shared" si="140"/>
        <v>0</v>
      </c>
      <c r="BV136" s="25" t="str">
        <f t="shared" si="140"/>
        <v>0</v>
      </c>
      <c r="BW136" s="25" t="str">
        <f t="shared" si="140"/>
        <v>0</v>
      </c>
      <c r="BX136" s="25" t="str">
        <f t="shared" si="140"/>
        <v>0</v>
      </c>
      <c r="BY136" s="25" t="str">
        <f t="shared" si="140"/>
        <v>0</v>
      </c>
      <c r="BZ136" s="25" t="str">
        <f t="shared" si="140"/>
        <v>0</v>
      </c>
      <c r="CC136" s="25" t="str">
        <f t="array" ref="CC136">INDEX($C$46:$C$74,MATCH(CD136,$B$46:$B$74,0))</f>
        <v>约瑟夫</v>
      </c>
      <c r="CD136" s="52">
        <v>1009</v>
      </c>
      <c r="CE136" s="1">
        <v>1</v>
      </c>
      <c r="CF136" s="25" t="str">
        <f t="array" ref="CF136">INDEX($T$5:$T$44,MATCH(CC136,$B$5:$B$44,0))</f>
        <v>魔法</v>
      </c>
      <c r="CG136" s="25">
        <f t="shared" si="34"/>
        <v>0</v>
      </c>
      <c r="CH136" s="25">
        <f t="shared" si="13"/>
        <v>1</v>
      </c>
      <c r="CI136" s="25">
        <f t="shared" si="14"/>
        <v>1</v>
      </c>
      <c r="CJ136" s="25">
        <f t="shared" si="15"/>
        <v>1</v>
      </c>
      <c r="CK136" s="25">
        <f t="shared" si="16"/>
        <v>1</v>
      </c>
      <c r="CL136" s="25">
        <v>0</v>
      </c>
      <c r="CM136" s="25">
        <f t="shared" si="35"/>
        <v>0</v>
      </c>
      <c r="CN136" s="25">
        <f t="shared" si="17"/>
        <v>0</v>
      </c>
      <c r="CO136" s="25">
        <f t="shared" si="18"/>
        <v>0</v>
      </c>
      <c r="CP136" s="29" t="str">
        <f t="shared" ref="CP136:DQ136" si="141">IF($CL136=CP$78,$CN136,"0")</f>
        <v>0</v>
      </c>
      <c r="CQ136" s="29" t="str">
        <f t="shared" si="141"/>
        <v>0</v>
      </c>
      <c r="CR136" s="29" t="str">
        <f t="shared" si="141"/>
        <v>0</v>
      </c>
      <c r="CS136" s="29" t="str">
        <f t="shared" si="141"/>
        <v>0</v>
      </c>
      <c r="CT136" s="29" t="str">
        <f t="shared" si="141"/>
        <v>0</v>
      </c>
      <c r="CU136" s="29" t="str">
        <f t="shared" si="141"/>
        <v>0</v>
      </c>
      <c r="CV136" s="29" t="str">
        <f t="shared" si="141"/>
        <v>0</v>
      </c>
      <c r="CW136" s="29" t="str">
        <f t="shared" si="141"/>
        <v>0</v>
      </c>
      <c r="CX136" s="29" t="str">
        <f t="shared" si="141"/>
        <v>0</v>
      </c>
      <c r="CY136" s="29" t="str">
        <f t="shared" si="141"/>
        <v>0</v>
      </c>
      <c r="CZ136" s="29" t="str">
        <f t="shared" si="141"/>
        <v>0</v>
      </c>
      <c r="DA136" s="29" t="str">
        <f t="shared" si="141"/>
        <v>0</v>
      </c>
      <c r="DB136" s="29" t="str">
        <f t="shared" si="141"/>
        <v>0</v>
      </c>
      <c r="DC136" s="29" t="str">
        <f t="shared" si="141"/>
        <v>0</v>
      </c>
      <c r="DD136" s="29" t="str">
        <f t="shared" si="141"/>
        <v>0</v>
      </c>
      <c r="DE136" s="29" t="str">
        <f t="shared" si="141"/>
        <v>0</v>
      </c>
      <c r="DF136" s="29" t="str">
        <f t="shared" si="141"/>
        <v>0</v>
      </c>
      <c r="DG136" s="29" t="str">
        <f t="shared" si="141"/>
        <v>0</v>
      </c>
      <c r="DH136" s="29" t="str">
        <f t="shared" si="141"/>
        <v>0</v>
      </c>
      <c r="DI136" s="29" t="str">
        <f t="shared" si="141"/>
        <v>0</v>
      </c>
      <c r="DJ136" s="29" t="str">
        <f t="shared" si="141"/>
        <v>0</v>
      </c>
      <c r="DK136" s="29" t="str">
        <f t="shared" si="141"/>
        <v>0</v>
      </c>
      <c r="DL136" s="29" t="str">
        <f t="shared" si="141"/>
        <v>0</v>
      </c>
      <c r="DM136" s="29" t="str">
        <f t="shared" si="141"/>
        <v>0</v>
      </c>
      <c r="DN136" s="29" t="str">
        <f t="shared" si="141"/>
        <v>0</v>
      </c>
      <c r="DO136" s="29" t="str">
        <f t="shared" si="141"/>
        <v>0</v>
      </c>
      <c r="DP136" s="29" t="str">
        <f t="shared" si="141"/>
        <v>0</v>
      </c>
      <c r="DQ136" s="29" t="str">
        <f t="shared" si="141"/>
        <v>0</v>
      </c>
      <c r="DR136" s="29"/>
      <c r="DS136" s="25">
        <v>0</v>
      </c>
      <c r="EE136" s="25" t="str">
        <f t="shared" si="20"/>
        <v>0</v>
      </c>
    </row>
    <row r="137" spans="1:135">
      <c r="A137" s="48">
        <v>1001059</v>
      </c>
      <c r="B137" s="49" t="s">
        <v>910</v>
      </c>
      <c r="C137" s="25">
        <v>59</v>
      </c>
      <c r="D137" s="25">
        <f t="array" ref="D137">INDEX(C$5:C$67,MATCH($B137,$B$5:$B$67,0))</f>
        <v>3600</v>
      </c>
      <c r="E137" s="25">
        <f t="array" ref="E137">INDEX(D$5:D$67,MATCH($B137,$B$5:$B$67,0))</f>
        <v>288</v>
      </c>
      <c r="F137" s="25">
        <f t="array" ref="F137">INDEX(E$5:E$67,MATCH($B137,$B$5:$B$67,0))</f>
        <v>1320</v>
      </c>
      <c r="G137" s="25">
        <f t="array" ref="G137">INDEX(F$5:F$67,MATCH($B137,$B$5:$B$67,0))</f>
        <v>105.6</v>
      </c>
      <c r="H137" s="25">
        <f t="array" ref="H137">INDEX(G$5:G$66,MATCH($B137,$B$5:$B$67,0))</f>
        <v>1056</v>
      </c>
      <c r="I137" s="25">
        <f t="array" ref="I137">INDEX(H$5:H$67,MATCH($B137,$B$5:$B$67,0))</f>
        <v>84.48</v>
      </c>
      <c r="J137" s="25">
        <f t="array" ref="J137">INDEX(I$5:I$67,MATCH($B137,$B$5:$B$67,0))</f>
        <v>800</v>
      </c>
      <c r="K137" s="25">
        <f t="array" ref="K137">INDEX(J$5:J$67,MATCH($B137,$B$5:$B$67,0))</f>
        <v>64</v>
      </c>
      <c r="L137" s="25">
        <f t="shared" si="0"/>
        <v>20592</v>
      </c>
      <c r="M137" s="25">
        <f t="shared" si="1"/>
        <v>7550</v>
      </c>
      <c r="N137" s="25">
        <f t="shared" si="2"/>
        <v>6040</v>
      </c>
      <c r="O137" s="25">
        <f t="shared" si="3"/>
        <v>4576</v>
      </c>
      <c r="R137" s="50">
        <f t="array" ref="R137">INDEX($B$46:$B$68,MATCH(S137,$C$46:$C$68,0))*1000+T137</f>
        <v>1003005</v>
      </c>
      <c r="S137" s="51" t="s">
        <v>321</v>
      </c>
      <c r="T137" s="29">
        <f t="shared" si="78"/>
        <v>5</v>
      </c>
      <c r="U137" s="25">
        <f t="array" ref="U137">INDEX(K$5:K$67,MATCH($S137,$B$5:$B$67,0))</f>
        <v>656.04</v>
      </c>
      <c r="V137" s="25">
        <f t="array" ref="V137">INDEX(L$5:L$67,MATCH($S137,$B$5:$B$67,0))</f>
        <v>62.67</v>
      </c>
      <c r="W137" s="25">
        <f t="array" ref="W137">INDEX(M$5:M$67,MATCH($S137,$B$5:$B$67,0))</f>
        <v>78.34</v>
      </c>
      <c r="X137" s="25">
        <f t="array" ref="X137">INDEX(N$5:N$67,MATCH($S137,$B$5:$B$67,0))</f>
        <v>76.5</v>
      </c>
      <c r="Y137" s="25">
        <f t="shared" si="4"/>
        <v>3280</v>
      </c>
      <c r="Z137" s="25">
        <f t="shared" si="5"/>
        <v>313</v>
      </c>
      <c r="AA137" s="25">
        <f t="shared" si="6"/>
        <v>392</v>
      </c>
      <c r="AB137" s="25">
        <f t="shared" si="7"/>
        <v>383</v>
      </c>
      <c r="AF137" s="25">
        <v>59</v>
      </c>
      <c r="AG137" s="25">
        <f t="array" ref="AG137">INDEX($AE$79:$AE$116,QUOTIENT(AF137-1,8)+1)</f>
        <v>1008</v>
      </c>
      <c r="AH137" s="25">
        <f t="shared" si="37"/>
        <v>3</v>
      </c>
      <c r="AI137" s="25">
        <f t="shared" si="8"/>
        <v>10083</v>
      </c>
      <c r="AJ137" s="25" t="str">
        <f t="shared" si="9"/>
        <v>薇</v>
      </c>
      <c r="AK137" s="25">
        <f t="shared" si="38"/>
        <v>3</v>
      </c>
      <c r="AL137" s="25" t="str">
        <f t="array" ref="AL137">INDEX($O$5:$O$42,MATCH(AJ137,$B$5:$B$42,0))</f>
        <v>能量回复等级</v>
      </c>
      <c r="AM137" s="25" t="str">
        <f t="array" ref="AM137">INDEX($P$5:$P$42,MATCH(AJ137,$B$5:$B$42,0))</f>
        <v>攻击百分比</v>
      </c>
      <c r="AN137" s="25" t="str">
        <f t="array" ref="AN137">INDEX($Q$5:$Q$42,MATCH(AJ137,$B$5:$B$42,0))</f>
        <v>攻击百分比</v>
      </c>
      <c r="AO137" s="25" t="str">
        <f t="array" ref="AO137">INDEX(AL137:AN137,0,AK137)</f>
        <v>攻击百分比</v>
      </c>
      <c r="AP137" s="25">
        <f>AP129</f>
        <v>0.216666666666667</v>
      </c>
      <c r="AQ137" s="25">
        <f t="shared" si="11"/>
        <v>0.216666666666667</v>
      </c>
      <c r="AR137" s="25" t="str">
        <f t="shared" ref="AR137:BZ137" si="142">IF(AR$78=$AO137,$AQ137,"0")</f>
        <v>0</v>
      </c>
      <c r="AS137" s="25" t="str">
        <f t="shared" si="142"/>
        <v>0</v>
      </c>
      <c r="AT137" s="25" t="str">
        <f t="shared" si="142"/>
        <v>0</v>
      </c>
      <c r="AU137" s="25">
        <f t="shared" si="142"/>
        <v>0.216666666666667</v>
      </c>
      <c r="AV137" s="25" t="str">
        <f t="shared" si="142"/>
        <v>0</v>
      </c>
      <c r="AW137" s="25">
        <f t="shared" si="142"/>
        <v>0.216666666666667</v>
      </c>
      <c r="AX137" s="25" t="str">
        <f t="shared" si="142"/>
        <v>0</v>
      </c>
      <c r="AY137" s="25" t="str">
        <f t="shared" si="142"/>
        <v>0</v>
      </c>
      <c r="AZ137" s="25" t="str">
        <f t="shared" si="142"/>
        <v>0</v>
      </c>
      <c r="BA137" s="25" t="str">
        <f t="shared" si="142"/>
        <v>0</v>
      </c>
      <c r="BB137" s="25" t="str">
        <f t="shared" si="142"/>
        <v>0</v>
      </c>
      <c r="BC137" s="25" t="str">
        <f t="shared" si="142"/>
        <v>0</v>
      </c>
      <c r="BD137" s="25" t="str">
        <f t="shared" si="142"/>
        <v>0</v>
      </c>
      <c r="BE137" s="25" t="str">
        <f t="shared" si="142"/>
        <v>0</v>
      </c>
      <c r="BF137" s="25" t="str">
        <f t="shared" si="142"/>
        <v>0</v>
      </c>
      <c r="BG137" s="25" t="str">
        <f t="shared" si="142"/>
        <v>0</v>
      </c>
      <c r="BH137" s="25" t="str">
        <f t="shared" si="142"/>
        <v>0</v>
      </c>
      <c r="BI137" s="25" t="str">
        <f t="shared" si="142"/>
        <v>0</v>
      </c>
      <c r="BJ137" s="25" t="str">
        <f t="shared" si="142"/>
        <v>0</v>
      </c>
      <c r="BK137" s="25" t="str">
        <f t="shared" si="142"/>
        <v>0</v>
      </c>
      <c r="BL137" s="25" t="str">
        <f t="shared" si="142"/>
        <v>0</v>
      </c>
      <c r="BM137" s="25" t="str">
        <f t="shared" si="142"/>
        <v>0</v>
      </c>
      <c r="BN137" s="25" t="str">
        <f t="shared" si="142"/>
        <v>0</v>
      </c>
      <c r="BO137" s="25" t="str">
        <f t="shared" si="142"/>
        <v>0</v>
      </c>
      <c r="BP137" s="25" t="str">
        <f t="shared" si="142"/>
        <v>0</v>
      </c>
      <c r="BQ137" s="25" t="str">
        <f t="shared" si="142"/>
        <v>0</v>
      </c>
      <c r="BR137" s="25" t="str">
        <f t="shared" si="142"/>
        <v>0</v>
      </c>
      <c r="BS137" s="25" t="str">
        <f t="shared" si="142"/>
        <v>0</v>
      </c>
      <c r="BT137" s="25" t="str">
        <f t="shared" si="142"/>
        <v>0</v>
      </c>
      <c r="BU137" s="25" t="str">
        <f t="shared" si="142"/>
        <v>0</v>
      </c>
      <c r="BV137" s="25" t="str">
        <f t="shared" si="142"/>
        <v>0</v>
      </c>
      <c r="BW137" s="25" t="str">
        <f t="shared" si="142"/>
        <v>0</v>
      </c>
      <c r="BX137" s="25" t="str">
        <f t="shared" si="142"/>
        <v>0</v>
      </c>
      <c r="BY137" s="25" t="str">
        <f t="shared" si="142"/>
        <v>0</v>
      </c>
      <c r="BZ137" s="25" t="str">
        <f t="shared" si="142"/>
        <v>0</v>
      </c>
      <c r="CC137" s="25" t="str">
        <f t="array" ref="CC137">INDEX($C$46:$C$74,MATCH(CD137,$B$46:$B$74,0))</f>
        <v>约瑟夫</v>
      </c>
      <c r="CD137" s="52">
        <v>1009</v>
      </c>
      <c r="CE137" s="1">
        <v>2</v>
      </c>
      <c r="CF137" s="25" t="str">
        <f t="array" ref="CF137">INDEX($T$5:$T$44,MATCH(CC137,$B$5:$B$44,0))</f>
        <v>魔法</v>
      </c>
      <c r="CG137" s="25">
        <f t="shared" si="34"/>
        <v>0</v>
      </c>
      <c r="CH137" s="25">
        <f t="shared" si="13"/>
        <v>1</v>
      </c>
      <c r="CI137" s="25">
        <f t="shared" si="14"/>
        <v>1</v>
      </c>
      <c r="CJ137" s="25">
        <f t="shared" si="15"/>
        <v>1</v>
      </c>
      <c r="CK137" s="25">
        <f t="shared" si="16"/>
        <v>1</v>
      </c>
      <c r="CL137" s="25">
        <v>0</v>
      </c>
      <c r="CM137" s="25">
        <f t="shared" si="35"/>
        <v>0</v>
      </c>
      <c r="CN137" s="25">
        <f t="shared" si="17"/>
        <v>0</v>
      </c>
      <c r="CO137" s="25">
        <f t="shared" si="18"/>
        <v>0</v>
      </c>
      <c r="CP137" s="29" t="str">
        <f t="shared" ref="CP137:DQ137" si="143">IF($CL137=CP$78,$CN137,"0")</f>
        <v>0</v>
      </c>
      <c r="CQ137" s="29" t="str">
        <f t="shared" si="143"/>
        <v>0</v>
      </c>
      <c r="CR137" s="29" t="str">
        <f t="shared" si="143"/>
        <v>0</v>
      </c>
      <c r="CS137" s="29" t="str">
        <f t="shared" si="143"/>
        <v>0</v>
      </c>
      <c r="CT137" s="29" t="str">
        <f t="shared" si="143"/>
        <v>0</v>
      </c>
      <c r="CU137" s="29" t="str">
        <f t="shared" si="143"/>
        <v>0</v>
      </c>
      <c r="CV137" s="29" t="str">
        <f t="shared" si="143"/>
        <v>0</v>
      </c>
      <c r="CW137" s="29" t="str">
        <f t="shared" si="143"/>
        <v>0</v>
      </c>
      <c r="CX137" s="29" t="str">
        <f t="shared" si="143"/>
        <v>0</v>
      </c>
      <c r="CY137" s="29" t="str">
        <f t="shared" si="143"/>
        <v>0</v>
      </c>
      <c r="CZ137" s="29" t="str">
        <f t="shared" si="143"/>
        <v>0</v>
      </c>
      <c r="DA137" s="29" t="str">
        <f t="shared" si="143"/>
        <v>0</v>
      </c>
      <c r="DB137" s="29" t="str">
        <f t="shared" si="143"/>
        <v>0</v>
      </c>
      <c r="DC137" s="29" t="str">
        <f t="shared" si="143"/>
        <v>0</v>
      </c>
      <c r="DD137" s="29" t="str">
        <f t="shared" si="143"/>
        <v>0</v>
      </c>
      <c r="DE137" s="29" t="str">
        <f t="shared" si="143"/>
        <v>0</v>
      </c>
      <c r="DF137" s="29" t="str">
        <f t="shared" si="143"/>
        <v>0</v>
      </c>
      <c r="DG137" s="29" t="str">
        <f t="shared" si="143"/>
        <v>0</v>
      </c>
      <c r="DH137" s="29" t="str">
        <f t="shared" si="143"/>
        <v>0</v>
      </c>
      <c r="DI137" s="29" t="str">
        <f t="shared" si="143"/>
        <v>0</v>
      </c>
      <c r="DJ137" s="29" t="str">
        <f t="shared" si="143"/>
        <v>0</v>
      </c>
      <c r="DK137" s="29" t="str">
        <f t="shared" si="143"/>
        <v>0</v>
      </c>
      <c r="DL137" s="29" t="str">
        <f t="shared" si="143"/>
        <v>0</v>
      </c>
      <c r="DM137" s="29" t="str">
        <f t="shared" si="143"/>
        <v>0</v>
      </c>
      <c r="DN137" s="29" t="str">
        <f t="shared" si="143"/>
        <v>0</v>
      </c>
      <c r="DO137" s="29" t="str">
        <f t="shared" si="143"/>
        <v>0</v>
      </c>
      <c r="DP137" s="29" t="str">
        <f t="shared" si="143"/>
        <v>0</v>
      </c>
      <c r="DQ137" s="29" t="str">
        <f t="shared" si="143"/>
        <v>0</v>
      </c>
      <c r="DR137" s="29"/>
      <c r="DS137" s="25">
        <v>0</v>
      </c>
      <c r="EE137" s="25" t="str">
        <f t="shared" si="20"/>
        <v>0</v>
      </c>
    </row>
    <row r="138" spans="1:135">
      <c r="A138" s="48">
        <v>1001060</v>
      </c>
      <c r="B138" s="49" t="s">
        <v>910</v>
      </c>
      <c r="C138" s="25">
        <v>60</v>
      </c>
      <c r="D138" s="25">
        <f t="array" ref="D138">INDEX(C$5:C$67,MATCH($B138,$B$5:$B$67,0))</f>
        <v>3600</v>
      </c>
      <c r="E138" s="25">
        <f t="array" ref="E138">INDEX(D$5:D$67,MATCH($B138,$B$5:$B$67,0))</f>
        <v>288</v>
      </c>
      <c r="F138" s="25">
        <f t="array" ref="F138">INDEX(E$5:E$67,MATCH($B138,$B$5:$B$67,0))</f>
        <v>1320</v>
      </c>
      <c r="G138" s="25">
        <f t="array" ref="G138">INDEX(F$5:F$67,MATCH($B138,$B$5:$B$67,0))</f>
        <v>105.6</v>
      </c>
      <c r="H138" s="25">
        <f t="array" ref="H138">INDEX(G$5:G$66,MATCH($B138,$B$5:$B$67,0))</f>
        <v>1056</v>
      </c>
      <c r="I138" s="25">
        <f t="array" ref="I138">INDEX(H$5:H$67,MATCH($B138,$B$5:$B$67,0))</f>
        <v>84.48</v>
      </c>
      <c r="J138" s="25">
        <f t="array" ref="J138">INDEX(I$5:I$67,MATCH($B138,$B$5:$B$67,0))</f>
        <v>800</v>
      </c>
      <c r="K138" s="25">
        <f t="array" ref="K138">INDEX(J$5:J$67,MATCH($B138,$B$5:$B$67,0))</f>
        <v>64</v>
      </c>
      <c r="L138" s="25">
        <f t="shared" si="0"/>
        <v>20880</v>
      </c>
      <c r="M138" s="25">
        <f t="shared" si="1"/>
        <v>7656</v>
      </c>
      <c r="N138" s="25">
        <f t="shared" si="2"/>
        <v>6125</v>
      </c>
      <c r="O138" s="25">
        <f t="shared" si="3"/>
        <v>4640</v>
      </c>
      <c r="R138" s="50">
        <f t="array" ref="R138">INDEX($B$46:$B$68,MATCH(S138,$C$46:$C$68,0))*1000+T138</f>
        <v>1003006</v>
      </c>
      <c r="S138" s="51" t="s">
        <v>321</v>
      </c>
      <c r="T138" s="29">
        <f t="shared" si="78"/>
        <v>6</v>
      </c>
      <c r="U138" s="25">
        <f t="array" ref="U138">INDEX(K$5:K$67,MATCH($S138,$B$5:$B$67,0))</f>
        <v>656.04</v>
      </c>
      <c r="V138" s="25">
        <f t="array" ref="V138">INDEX(L$5:L$67,MATCH($S138,$B$5:$B$67,0))</f>
        <v>62.67</v>
      </c>
      <c r="W138" s="25">
        <f t="array" ref="W138">INDEX(M$5:M$67,MATCH($S138,$B$5:$B$67,0))</f>
        <v>78.34</v>
      </c>
      <c r="X138" s="25">
        <f t="array" ref="X138">INDEX(N$5:N$67,MATCH($S138,$B$5:$B$67,0))</f>
        <v>76.5</v>
      </c>
      <c r="Y138" s="25">
        <f t="shared" si="4"/>
        <v>3936</v>
      </c>
      <c r="Z138" s="25">
        <f t="shared" si="5"/>
        <v>376</v>
      </c>
      <c r="AA138" s="25">
        <f t="shared" si="6"/>
        <v>470</v>
      </c>
      <c r="AB138" s="25">
        <f t="shared" si="7"/>
        <v>459</v>
      </c>
      <c r="AF138" s="25">
        <v>60</v>
      </c>
      <c r="AG138" s="25">
        <f t="array" ref="AG138">INDEX($AE$79:$AE$116,QUOTIENT(AF138-1,8)+1)</f>
        <v>1008</v>
      </c>
      <c r="AH138" s="25">
        <f t="shared" si="37"/>
        <v>4</v>
      </c>
      <c r="AI138" s="25">
        <f t="shared" si="8"/>
        <v>10084</v>
      </c>
      <c r="AJ138" s="25" t="str">
        <f t="shared" si="9"/>
        <v>薇</v>
      </c>
      <c r="AK138" s="25">
        <f t="shared" si="38"/>
        <v>2</v>
      </c>
      <c r="AL138" s="25" t="str">
        <f t="array" ref="AL138">INDEX($O$5:$O$42,MATCH(AJ138,$B$5:$B$42,0))</f>
        <v>能量回复等级</v>
      </c>
      <c r="AM138" s="25" t="str">
        <f t="array" ref="AM138">INDEX($P$5:$P$42,MATCH(AJ138,$B$5:$B$42,0))</f>
        <v>攻击百分比</v>
      </c>
      <c r="AN138" s="25" t="str">
        <f t="array" ref="AN138">INDEX($Q$5:$Q$42,MATCH(AJ138,$B$5:$B$42,0))</f>
        <v>攻击百分比</v>
      </c>
      <c r="AO138" s="25" t="str">
        <f t="array" ref="AO138">INDEX(AL138:AN138,0,AK138)</f>
        <v>攻击百分比</v>
      </c>
      <c r="AP138" s="25">
        <f>AP130</f>
        <v>0.15</v>
      </c>
      <c r="AQ138" s="25">
        <f t="shared" si="11"/>
        <v>0.15</v>
      </c>
      <c r="AR138" s="25" t="str">
        <f t="shared" ref="AR138:BZ138" si="144">IF(AR$78=$AO138,$AQ138,"0")</f>
        <v>0</v>
      </c>
      <c r="AS138" s="25" t="str">
        <f t="shared" si="144"/>
        <v>0</v>
      </c>
      <c r="AT138" s="25" t="str">
        <f t="shared" si="144"/>
        <v>0</v>
      </c>
      <c r="AU138" s="25">
        <f t="shared" si="144"/>
        <v>0.15</v>
      </c>
      <c r="AV138" s="25" t="str">
        <f t="shared" si="144"/>
        <v>0</v>
      </c>
      <c r="AW138" s="25">
        <f t="shared" si="144"/>
        <v>0.15</v>
      </c>
      <c r="AX138" s="25" t="str">
        <f t="shared" si="144"/>
        <v>0</v>
      </c>
      <c r="AY138" s="25" t="str">
        <f t="shared" si="144"/>
        <v>0</v>
      </c>
      <c r="AZ138" s="25" t="str">
        <f t="shared" si="144"/>
        <v>0</v>
      </c>
      <c r="BA138" s="25" t="str">
        <f t="shared" si="144"/>
        <v>0</v>
      </c>
      <c r="BB138" s="25" t="str">
        <f t="shared" si="144"/>
        <v>0</v>
      </c>
      <c r="BC138" s="25" t="str">
        <f t="shared" si="144"/>
        <v>0</v>
      </c>
      <c r="BD138" s="25" t="str">
        <f t="shared" si="144"/>
        <v>0</v>
      </c>
      <c r="BE138" s="25" t="str">
        <f t="shared" si="144"/>
        <v>0</v>
      </c>
      <c r="BF138" s="25" t="str">
        <f t="shared" si="144"/>
        <v>0</v>
      </c>
      <c r="BG138" s="25" t="str">
        <f t="shared" si="144"/>
        <v>0</v>
      </c>
      <c r="BH138" s="25" t="str">
        <f t="shared" si="144"/>
        <v>0</v>
      </c>
      <c r="BI138" s="25" t="str">
        <f t="shared" si="144"/>
        <v>0</v>
      </c>
      <c r="BJ138" s="25" t="str">
        <f t="shared" si="144"/>
        <v>0</v>
      </c>
      <c r="BK138" s="25" t="str">
        <f t="shared" si="144"/>
        <v>0</v>
      </c>
      <c r="BL138" s="25" t="str">
        <f t="shared" si="144"/>
        <v>0</v>
      </c>
      <c r="BM138" s="25" t="str">
        <f t="shared" si="144"/>
        <v>0</v>
      </c>
      <c r="BN138" s="25" t="str">
        <f t="shared" si="144"/>
        <v>0</v>
      </c>
      <c r="BO138" s="25" t="str">
        <f t="shared" si="144"/>
        <v>0</v>
      </c>
      <c r="BP138" s="25" t="str">
        <f t="shared" si="144"/>
        <v>0</v>
      </c>
      <c r="BQ138" s="25" t="str">
        <f t="shared" si="144"/>
        <v>0</v>
      </c>
      <c r="BR138" s="25" t="str">
        <f t="shared" si="144"/>
        <v>0</v>
      </c>
      <c r="BS138" s="25" t="str">
        <f t="shared" si="144"/>
        <v>0</v>
      </c>
      <c r="BT138" s="25" t="str">
        <f t="shared" si="144"/>
        <v>0</v>
      </c>
      <c r="BU138" s="25" t="str">
        <f t="shared" si="144"/>
        <v>0</v>
      </c>
      <c r="BV138" s="25" t="str">
        <f t="shared" si="144"/>
        <v>0</v>
      </c>
      <c r="BW138" s="25" t="str">
        <f t="shared" si="144"/>
        <v>0</v>
      </c>
      <c r="BX138" s="25" t="str">
        <f t="shared" si="144"/>
        <v>0</v>
      </c>
      <c r="BY138" s="25" t="str">
        <f t="shared" si="144"/>
        <v>0</v>
      </c>
      <c r="BZ138" s="25" t="str">
        <f t="shared" si="144"/>
        <v>0</v>
      </c>
      <c r="CC138" s="25" t="str">
        <f t="array" ref="CC138">INDEX($C$46:$C$74,MATCH(CD138,$B$46:$B$74,0))</f>
        <v>约瑟夫</v>
      </c>
      <c r="CD138" s="52">
        <v>1009</v>
      </c>
      <c r="CE138" s="1">
        <v>3</v>
      </c>
      <c r="CF138" s="25" t="str">
        <f t="array" ref="CF138">INDEX($T$5:$T$44,MATCH(CC138,$B$5:$B$44,0))</f>
        <v>魔法</v>
      </c>
      <c r="CG138" s="25">
        <f t="shared" si="34"/>
        <v>0.15</v>
      </c>
      <c r="CH138" s="25">
        <f t="shared" si="13"/>
        <v>1.15</v>
      </c>
      <c r="CI138" s="25">
        <f t="shared" si="14"/>
        <v>1</v>
      </c>
      <c r="CJ138" s="25">
        <f t="shared" si="15"/>
        <v>1.15</v>
      </c>
      <c r="CK138" s="25">
        <f t="shared" si="16"/>
        <v>1.15</v>
      </c>
      <c r="CL138" s="25" t="str">
        <f t="array" ref="CL138">INDEX($R$5:$R$43,MATCH(CC138,$B$5:$B$43,0))</f>
        <v>魔法伤害加成</v>
      </c>
      <c r="CM138" s="25">
        <f t="shared" si="35"/>
        <v>0.3</v>
      </c>
      <c r="CN138" s="25">
        <f t="shared" si="17"/>
        <v>0.12</v>
      </c>
      <c r="CO138" s="25">
        <f t="shared" si="18"/>
        <v>1</v>
      </c>
      <c r="CP138" s="29" t="str">
        <f t="shared" ref="CP138:DQ138" si="145">IF($CL138=CP$78,$CN138,"0")</f>
        <v>0</v>
      </c>
      <c r="CQ138" s="29" t="str">
        <f t="shared" si="145"/>
        <v>0</v>
      </c>
      <c r="CR138" s="29" t="str">
        <f t="shared" si="145"/>
        <v>0</v>
      </c>
      <c r="CS138" s="29" t="str">
        <f t="shared" si="145"/>
        <v>0</v>
      </c>
      <c r="CT138" s="29" t="str">
        <f t="shared" si="145"/>
        <v>0</v>
      </c>
      <c r="CU138" s="29" t="str">
        <f t="shared" si="145"/>
        <v>0</v>
      </c>
      <c r="CV138" s="29" t="str">
        <f t="shared" si="145"/>
        <v>0</v>
      </c>
      <c r="CW138" s="29" t="str">
        <f t="shared" si="145"/>
        <v>0</v>
      </c>
      <c r="CX138" s="29" t="str">
        <f t="shared" si="145"/>
        <v>0</v>
      </c>
      <c r="CY138" s="29" t="str">
        <f t="shared" si="145"/>
        <v>0</v>
      </c>
      <c r="CZ138" s="29" t="str">
        <f t="shared" si="145"/>
        <v>0</v>
      </c>
      <c r="DA138" s="29" t="str">
        <f t="shared" si="145"/>
        <v>0</v>
      </c>
      <c r="DB138" s="29" t="str">
        <f t="shared" si="145"/>
        <v>0</v>
      </c>
      <c r="DC138" s="29">
        <f t="shared" si="145"/>
        <v>0.12</v>
      </c>
      <c r="DD138" s="29" t="str">
        <f t="shared" si="145"/>
        <v>0</v>
      </c>
      <c r="DE138" s="29" t="str">
        <f t="shared" si="145"/>
        <v>0</v>
      </c>
      <c r="DF138" s="29" t="str">
        <f t="shared" si="145"/>
        <v>0</v>
      </c>
      <c r="DG138" s="29" t="str">
        <f t="shared" si="145"/>
        <v>0</v>
      </c>
      <c r="DH138" s="29" t="str">
        <f t="shared" si="145"/>
        <v>0</v>
      </c>
      <c r="DI138" s="29" t="str">
        <f t="shared" si="145"/>
        <v>0</v>
      </c>
      <c r="DJ138" s="29" t="str">
        <f t="shared" si="145"/>
        <v>0</v>
      </c>
      <c r="DK138" s="29" t="str">
        <f t="shared" si="145"/>
        <v>0</v>
      </c>
      <c r="DL138" s="29" t="str">
        <f t="shared" si="145"/>
        <v>0</v>
      </c>
      <c r="DM138" s="29" t="str">
        <f t="shared" si="145"/>
        <v>0</v>
      </c>
      <c r="DN138" s="29" t="str">
        <f t="shared" si="145"/>
        <v>0</v>
      </c>
      <c r="DO138" s="29" t="str">
        <f t="shared" si="145"/>
        <v>0</v>
      </c>
      <c r="DP138" s="29" t="str">
        <f t="shared" si="145"/>
        <v>0</v>
      </c>
      <c r="DQ138" s="29" t="str">
        <f t="shared" si="145"/>
        <v>0</v>
      </c>
      <c r="DR138" s="29"/>
      <c r="DS138" s="25" t="s">
        <v>1011</v>
      </c>
      <c r="DT138" s="25" t="str">
        <f>TEXT(角色升星!$F$18,"0%")</f>
        <v>15%</v>
      </c>
      <c r="DU138" s="25" t="s">
        <v>779</v>
      </c>
      <c r="DV138" s="25" t="str">
        <f>IF(CF138="物理","PhysicsAttack,+","MagicAttack,+")</f>
        <v>MagicAttack,+</v>
      </c>
      <c r="DW138" s="25" t="str">
        <f>TEXT(角色升星!$F$18,"0%")</f>
        <v>15%</v>
      </c>
      <c r="DX138" s="25" t="s">
        <v>779</v>
      </c>
      <c r="DY138" s="25" t="s">
        <v>1012</v>
      </c>
      <c r="DZ138" s="25" t="str">
        <f>TEXT(角色升星!$F$18,"0%")</f>
        <v>15%</v>
      </c>
      <c r="EA138" s="25" t="s">
        <v>779</v>
      </c>
      <c r="EB138" s="25" t="str">
        <f>VLOOKUP(CL138,$O$46:$P$73,2,0)</f>
        <v>MagicDmgBonus</v>
      </c>
      <c r="EC138" s="25" t="s">
        <v>1013</v>
      </c>
      <c r="ED138" s="25" t="str">
        <f>IF(CN138&gt;1,CN138,TEXT(CN138,"0%"))</f>
        <v>12%</v>
      </c>
      <c r="EE138" s="25" t="str">
        <f t="shared" si="20"/>
        <v>Hp,+15%;MagicAttack,+15%;Armor,+15%;MagicDmgBonus,+12%</v>
      </c>
    </row>
    <row r="139" spans="1:135">
      <c r="A139" s="53">
        <v>1002001</v>
      </c>
      <c r="B139" s="49" t="s">
        <v>318</v>
      </c>
      <c r="C139" s="25">
        <f t="shared" ref="C139:C202" si="146">C79</f>
        <v>1</v>
      </c>
      <c r="D139" s="25">
        <f t="array" ref="D139">INDEX(C$5:C$67,MATCH($B139,$B$5:$B$67,0))</f>
        <v>5600</v>
      </c>
      <c r="E139" s="25">
        <f t="array" ref="E139">INDEX(D$5:D$67,MATCH($B139,$B$5:$B$67,0))</f>
        <v>448</v>
      </c>
      <c r="F139" s="25">
        <f t="array" ref="F139">INDEX(E$5:E$67,MATCH($B139,$B$5:$B$67,0))</f>
        <v>720</v>
      </c>
      <c r="G139" s="25">
        <f t="array" ref="G139">INDEX(F$5:F$67,MATCH($B139,$B$5:$B$67,0))</f>
        <v>57.6</v>
      </c>
      <c r="H139" s="25">
        <f t="array" ref="H139">INDEX(G$5:G$66,MATCH($B139,$B$5:$B$67,0))</f>
        <v>576</v>
      </c>
      <c r="I139" s="25">
        <f t="array" ref="I139">INDEX(H$5:H$67,MATCH($B139,$B$5:$B$67,0))</f>
        <v>46.08</v>
      </c>
      <c r="J139" s="25">
        <f t="array" ref="J139">INDEX(I$5:I$67,MATCH($B139,$B$5:$B$67,0))</f>
        <v>800</v>
      </c>
      <c r="K139" s="25">
        <f t="array" ref="K139">INDEX(J$5:J$67,MATCH($B139,$B$5:$B$67,0))</f>
        <v>64</v>
      </c>
      <c r="L139" s="25">
        <f t="shared" si="0"/>
        <v>6048</v>
      </c>
      <c r="M139" s="25">
        <f t="shared" si="1"/>
        <v>778</v>
      </c>
      <c r="N139" s="25">
        <f t="shared" si="2"/>
        <v>622</v>
      </c>
      <c r="O139" s="25">
        <f t="shared" si="3"/>
        <v>864</v>
      </c>
      <c r="R139" s="50">
        <f t="array" ref="R139">INDEX($B$46:$B$68,MATCH(S139,$C$46:$C$68,0))*1000+T139</f>
        <v>1003007</v>
      </c>
      <c r="S139" s="51" t="s">
        <v>321</v>
      </c>
      <c r="T139" s="29">
        <f t="shared" si="78"/>
        <v>7</v>
      </c>
      <c r="U139" s="25">
        <f t="array" ref="U139">INDEX(K$5:K$67,MATCH($S139,$B$5:$B$67,0))</f>
        <v>656.04</v>
      </c>
      <c r="V139" s="25">
        <f t="array" ref="V139">INDEX(L$5:L$67,MATCH($S139,$B$5:$B$67,0))</f>
        <v>62.67</v>
      </c>
      <c r="W139" s="25">
        <f t="array" ref="W139">INDEX(M$5:M$67,MATCH($S139,$B$5:$B$67,0))</f>
        <v>78.34</v>
      </c>
      <c r="X139" s="25">
        <f t="array" ref="X139">INDEX(N$5:N$67,MATCH($S139,$B$5:$B$67,0))</f>
        <v>76.5</v>
      </c>
      <c r="Y139" s="25">
        <f t="shared" si="4"/>
        <v>4592</v>
      </c>
      <c r="Z139" s="25">
        <f t="shared" si="5"/>
        <v>439</v>
      </c>
      <c r="AA139" s="25">
        <f t="shared" si="6"/>
        <v>548</v>
      </c>
      <c r="AB139" s="25">
        <f t="shared" si="7"/>
        <v>536</v>
      </c>
      <c r="AF139" s="25">
        <v>61</v>
      </c>
      <c r="AG139" s="25">
        <f t="array" ref="AG139">INDEX($AE$79:$AE$116,QUOTIENT(AF139-1,8)+1)</f>
        <v>1008</v>
      </c>
      <c r="AH139" s="25">
        <f t="shared" si="37"/>
        <v>5</v>
      </c>
      <c r="AI139" s="25">
        <f t="shared" si="8"/>
        <v>10085</v>
      </c>
      <c r="AJ139" s="25" t="str">
        <f t="shared" si="9"/>
        <v>薇</v>
      </c>
      <c r="AK139" s="25">
        <f t="shared" si="38"/>
        <v>3</v>
      </c>
      <c r="AL139" s="25" t="str">
        <f t="array" ref="AL139">INDEX($O$5:$O$42,MATCH(AJ139,$B$5:$B$42,0))</f>
        <v>能量回复等级</v>
      </c>
      <c r="AM139" s="25" t="str">
        <f t="array" ref="AM139">INDEX($P$5:$P$42,MATCH(AJ139,$B$5:$B$42,0))</f>
        <v>攻击百分比</v>
      </c>
      <c r="AN139" s="25" t="str">
        <f t="array" ref="AN139">INDEX($Q$5:$Q$42,MATCH(AJ139,$B$5:$B$42,0))</f>
        <v>攻击百分比</v>
      </c>
      <c r="AO139" s="25" t="str">
        <f t="array" ref="AO139">INDEX(AL139:AN139,0,AK139)</f>
        <v>攻击百分比</v>
      </c>
      <c r="AP139" s="25">
        <f>AP131</f>
        <v>0.216666666666667</v>
      </c>
      <c r="AQ139" s="25">
        <f t="shared" si="11"/>
        <v>0.216666666666667</v>
      </c>
      <c r="AR139" s="25" t="str">
        <f t="shared" ref="AR139:BZ139" si="147">IF(AR$78=$AO139,$AQ139,"0")</f>
        <v>0</v>
      </c>
      <c r="AS139" s="25" t="str">
        <f t="shared" si="147"/>
        <v>0</v>
      </c>
      <c r="AT139" s="25" t="str">
        <f t="shared" si="147"/>
        <v>0</v>
      </c>
      <c r="AU139" s="25">
        <f t="shared" si="147"/>
        <v>0.216666666666667</v>
      </c>
      <c r="AV139" s="25" t="str">
        <f t="shared" si="147"/>
        <v>0</v>
      </c>
      <c r="AW139" s="25">
        <f t="shared" si="147"/>
        <v>0.216666666666667</v>
      </c>
      <c r="AX139" s="25" t="str">
        <f t="shared" si="147"/>
        <v>0</v>
      </c>
      <c r="AY139" s="25" t="str">
        <f t="shared" si="147"/>
        <v>0</v>
      </c>
      <c r="AZ139" s="25" t="str">
        <f t="shared" si="147"/>
        <v>0</v>
      </c>
      <c r="BA139" s="25" t="str">
        <f t="shared" si="147"/>
        <v>0</v>
      </c>
      <c r="BB139" s="25" t="str">
        <f t="shared" si="147"/>
        <v>0</v>
      </c>
      <c r="BC139" s="25" t="str">
        <f t="shared" si="147"/>
        <v>0</v>
      </c>
      <c r="BD139" s="25" t="str">
        <f t="shared" si="147"/>
        <v>0</v>
      </c>
      <c r="BE139" s="25" t="str">
        <f t="shared" si="147"/>
        <v>0</v>
      </c>
      <c r="BF139" s="25" t="str">
        <f t="shared" si="147"/>
        <v>0</v>
      </c>
      <c r="BG139" s="25" t="str">
        <f t="shared" si="147"/>
        <v>0</v>
      </c>
      <c r="BH139" s="25" t="str">
        <f t="shared" si="147"/>
        <v>0</v>
      </c>
      <c r="BI139" s="25" t="str">
        <f t="shared" si="147"/>
        <v>0</v>
      </c>
      <c r="BJ139" s="25" t="str">
        <f t="shared" si="147"/>
        <v>0</v>
      </c>
      <c r="BK139" s="25" t="str">
        <f t="shared" si="147"/>
        <v>0</v>
      </c>
      <c r="BL139" s="25" t="str">
        <f t="shared" si="147"/>
        <v>0</v>
      </c>
      <c r="BM139" s="25" t="str">
        <f t="shared" si="147"/>
        <v>0</v>
      </c>
      <c r="BN139" s="25" t="str">
        <f t="shared" si="147"/>
        <v>0</v>
      </c>
      <c r="BO139" s="25" t="str">
        <f t="shared" si="147"/>
        <v>0</v>
      </c>
      <c r="BP139" s="25" t="str">
        <f t="shared" si="147"/>
        <v>0</v>
      </c>
      <c r="BQ139" s="25" t="str">
        <f t="shared" si="147"/>
        <v>0</v>
      </c>
      <c r="BR139" s="25" t="str">
        <f t="shared" si="147"/>
        <v>0</v>
      </c>
      <c r="BS139" s="25" t="str">
        <f t="shared" si="147"/>
        <v>0</v>
      </c>
      <c r="BT139" s="25" t="str">
        <f t="shared" si="147"/>
        <v>0</v>
      </c>
      <c r="BU139" s="25" t="str">
        <f t="shared" si="147"/>
        <v>0</v>
      </c>
      <c r="BV139" s="25" t="str">
        <f t="shared" si="147"/>
        <v>0</v>
      </c>
      <c r="BW139" s="25" t="str">
        <f t="shared" si="147"/>
        <v>0</v>
      </c>
      <c r="BX139" s="25" t="str">
        <f t="shared" si="147"/>
        <v>0</v>
      </c>
      <c r="BY139" s="25" t="str">
        <f t="shared" si="147"/>
        <v>0</v>
      </c>
      <c r="BZ139" s="25" t="str">
        <f t="shared" si="147"/>
        <v>0</v>
      </c>
      <c r="CC139" s="25" t="str">
        <f t="array" ref="CC139">INDEX($C$46:$C$74,MATCH(CD139,$B$46:$B$74,0))</f>
        <v>约瑟夫</v>
      </c>
      <c r="CD139" s="52">
        <v>1009</v>
      </c>
      <c r="CE139" s="1">
        <v>4</v>
      </c>
      <c r="CF139" s="25" t="str">
        <f t="array" ref="CF139">INDEX($T$5:$T$44,MATCH(CC139,$B$5:$B$44,0))</f>
        <v>魔法</v>
      </c>
      <c r="CG139" s="25">
        <f t="shared" si="34"/>
        <v>0.15</v>
      </c>
      <c r="CH139" s="25">
        <f t="shared" si="13"/>
        <v>1.15</v>
      </c>
      <c r="CI139" s="25">
        <f t="shared" si="14"/>
        <v>1</v>
      </c>
      <c r="CJ139" s="25">
        <f t="shared" si="15"/>
        <v>1.15</v>
      </c>
      <c r="CK139" s="25">
        <f t="shared" si="16"/>
        <v>1.15</v>
      </c>
      <c r="CL139" s="25">
        <v>0</v>
      </c>
      <c r="CM139" s="25">
        <f t="shared" si="35"/>
        <v>0</v>
      </c>
      <c r="CN139" s="25">
        <f t="shared" si="17"/>
        <v>0</v>
      </c>
      <c r="CO139" s="25">
        <f t="shared" si="18"/>
        <v>0</v>
      </c>
      <c r="CP139" s="29" t="str">
        <f t="shared" ref="CP139:DQ139" si="148">IF($CL139=CP$78,$CN139,"0")</f>
        <v>0</v>
      </c>
      <c r="CQ139" s="29" t="str">
        <f t="shared" si="148"/>
        <v>0</v>
      </c>
      <c r="CR139" s="29" t="str">
        <f t="shared" si="148"/>
        <v>0</v>
      </c>
      <c r="CS139" s="29" t="str">
        <f t="shared" si="148"/>
        <v>0</v>
      </c>
      <c r="CT139" s="29" t="str">
        <f t="shared" si="148"/>
        <v>0</v>
      </c>
      <c r="CU139" s="29" t="str">
        <f t="shared" si="148"/>
        <v>0</v>
      </c>
      <c r="CV139" s="29" t="str">
        <f t="shared" si="148"/>
        <v>0</v>
      </c>
      <c r="CW139" s="29" t="str">
        <f t="shared" si="148"/>
        <v>0</v>
      </c>
      <c r="CX139" s="29" t="str">
        <f t="shared" si="148"/>
        <v>0</v>
      </c>
      <c r="CY139" s="29" t="str">
        <f t="shared" si="148"/>
        <v>0</v>
      </c>
      <c r="CZ139" s="29" t="str">
        <f t="shared" si="148"/>
        <v>0</v>
      </c>
      <c r="DA139" s="29" t="str">
        <f t="shared" si="148"/>
        <v>0</v>
      </c>
      <c r="DB139" s="29" t="str">
        <f t="shared" si="148"/>
        <v>0</v>
      </c>
      <c r="DC139" s="29" t="str">
        <f t="shared" si="148"/>
        <v>0</v>
      </c>
      <c r="DD139" s="29" t="str">
        <f t="shared" si="148"/>
        <v>0</v>
      </c>
      <c r="DE139" s="29" t="str">
        <f t="shared" si="148"/>
        <v>0</v>
      </c>
      <c r="DF139" s="29" t="str">
        <f t="shared" si="148"/>
        <v>0</v>
      </c>
      <c r="DG139" s="29" t="str">
        <f t="shared" si="148"/>
        <v>0</v>
      </c>
      <c r="DH139" s="29" t="str">
        <f t="shared" si="148"/>
        <v>0</v>
      </c>
      <c r="DI139" s="29" t="str">
        <f t="shared" si="148"/>
        <v>0</v>
      </c>
      <c r="DJ139" s="29" t="str">
        <f t="shared" si="148"/>
        <v>0</v>
      </c>
      <c r="DK139" s="29" t="str">
        <f t="shared" si="148"/>
        <v>0</v>
      </c>
      <c r="DL139" s="29" t="str">
        <f t="shared" si="148"/>
        <v>0</v>
      </c>
      <c r="DM139" s="29" t="str">
        <f t="shared" si="148"/>
        <v>0</v>
      </c>
      <c r="DN139" s="29" t="str">
        <f t="shared" si="148"/>
        <v>0</v>
      </c>
      <c r="DO139" s="29" t="str">
        <f t="shared" si="148"/>
        <v>0</v>
      </c>
      <c r="DP139" s="29" t="str">
        <f t="shared" si="148"/>
        <v>0</v>
      </c>
      <c r="DQ139" s="29" t="str">
        <f t="shared" si="148"/>
        <v>0</v>
      </c>
      <c r="DR139" s="29"/>
      <c r="DS139" s="25">
        <v>0</v>
      </c>
      <c r="EE139" s="25" t="str">
        <f t="shared" si="20"/>
        <v>0</v>
      </c>
    </row>
    <row r="140" spans="1:135">
      <c r="A140" s="53">
        <v>1002002</v>
      </c>
      <c r="B140" s="49" t="s">
        <v>318</v>
      </c>
      <c r="C140" s="25">
        <f t="shared" si="146"/>
        <v>2</v>
      </c>
      <c r="D140" s="25">
        <f t="array" ref="D140">INDEX(C$5:C$67,MATCH($B140,$B$5:$B$67,0))</f>
        <v>5600</v>
      </c>
      <c r="E140" s="25">
        <f t="array" ref="E140">INDEX(D$5:D$67,MATCH($B140,$B$5:$B$67,0))</f>
        <v>448</v>
      </c>
      <c r="F140" s="25">
        <f t="array" ref="F140">INDEX(E$5:E$67,MATCH($B140,$B$5:$B$67,0))</f>
        <v>720</v>
      </c>
      <c r="G140" s="25">
        <f t="array" ref="G140">INDEX(F$5:F$67,MATCH($B140,$B$5:$B$67,0))</f>
        <v>57.6</v>
      </c>
      <c r="H140" s="25">
        <f t="array" ref="H140">INDEX(G$5:G$66,MATCH($B140,$B$5:$B$67,0))</f>
        <v>576</v>
      </c>
      <c r="I140" s="25">
        <f t="array" ref="I140">INDEX(H$5:H$67,MATCH($B140,$B$5:$B$67,0))</f>
        <v>46.08</v>
      </c>
      <c r="J140" s="25">
        <f t="array" ref="J140">INDEX(I$5:I$67,MATCH($B140,$B$5:$B$67,0))</f>
        <v>800</v>
      </c>
      <c r="K140" s="25">
        <f t="array" ref="K140">INDEX(J$5:J$67,MATCH($B140,$B$5:$B$67,0))</f>
        <v>64</v>
      </c>
      <c r="L140" s="25">
        <f t="shared" si="0"/>
        <v>6496</v>
      </c>
      <c r="M140" s="25">
        <f t="shared" si="1"/>
        <v>835</v>
      </c>
      <c r="N140" s="25">
        <f t="shared" si="2"/>
        <v>668</v>
      </c>
      <c r="O140" s="25">
        <f t="shared" si="3"/>
        <v>928</v>
      </c>
      <c r="R140" s="50">
        <f t="array" ref="R140">INDEX($B$46:$B$68,MATCH(S140,$C$46:$C$68,0))*1000+T140</f>
        <v>1003008</v>
      </c>
      <c r="S140" s="51" t="s">
        <v>321</v>
      </c>
      <c r="T140" s="29">
        <f t="shared" si="78"/>
        <v>8</v>
      </c>
      <c r="U140" s="25">
        <f t="array" ref="U140">INDEX(K$5:K$67,MATCH($S140,$B$5:$B$67,0))</f>
        <v>656.04</v>
      </c>
      <c r="V140" s="25">
        <f t="array" ref="V140">INDEX(L$5:L$67,MATCH($S140,$B$5:$B$67,0))</f>
        <v>62.67</v>
      </c>
      <c r="W140" s="25">
        <f t="array" ref="W140">INDEX(M$5:M$67,MATCH($S140,$B$5:$B$67,0))</f>
        <v>78.34</v>
      </c>
      <c r="X140" s="25">
        <f t="array" ref="X140">INDEX(N$5:N$67,MATCH($S140,$B$5:$B$67,0))</f>
        <v>76.5</v>
      </c>
      <c r="Y140" s="25">
        <f t="shared" si="4"/>
        <v>5248</v>
      </c>
      <c r="Z140" s="25">
        <f t="shared" si="5"/>
        <v>501</v>
      </c>
      <c r="AA140" s="25">
        <f t="shared" si="6"/>
        <v>627</v>
      </c>
      <c r="AB140" s="25">
        <f t="shared" si="7"/>
        <v>612</v>
      </c>
      <c r="AF140" s="25">
        <v>62</v>
      </c>
      <c r="AG140" s="25">
        <f t="array" ref="AG140">INDEX($AE$79:$AE$116,QUOTIENT(AF140-1,8)+1)</f>
        <v>1008</v>
      </c>
      <c r="AH140" s="25">
        <f t="shared" si="37"/>
        <v>6</v>
      </c>
      <c r="AI140" s="25">
        <f t="shared" si="8"/>
        <v>10086</v>
      </c>
      <c r="AJ140" s="25" t="str">
        <f t="shared" si="9"/>
        <v>薇</v>
      </c>
      <c r="AK140" s="25">
        <f t="shared" si="38"/>
        <v>1</v>
      </c>
      <c r="AL140" s="25" t="str">
        <f t="array" ref="AL140">INDEX($O$5:$O$42,MATCH(AJ140,$B$5:$B$42,0))</f>
        <v>能量回复等级</v>
      </c>
      <c r="AM140" s="25" t="str">
        <f t="array" ref="AM140">INDEX($P$5:$P$42,MATCH(AJ140,$B$5:$B$42,0))</f>
        <v>攻击百分比</v>
      </c>
      <c r="AN140" s="25" t="str">
        <f t="array" ref="AN140">INDEX($Q$5:$Q$42,MATCH(AJ140,$B$5:$B$42,0))</f>
        <v>攻击百分比</v>
      </c>
      <c r="AO140" s="25" t="str">
        <f t="array" ref="AO140">INDEX(AL140:AN140,0,AK140)</f>
        <v>能量回复等级</v>
      </c>
      <c r="AP140" s="25">
        <f>1950*$G$46/VLOOKUP(AO140,$F$46:$G$72,2,0)</f>
        <v>0.216666666666667</v>
      </c>
      <c r="AQ140" s="25">
        <f t="shared" si="11"/>
        <v>1950</v>
      </c>
      <c r="AR140" s="25" t="str">
        <f t="shared" ref="AR140:BZ140" si="149">IF(AR$78=$AO140,$AQ140,"0")</f>
        <v>0</v>
      </c>
      <c r="AS140" s="25" t="str">
        <f t="shared" si="149"/>
        <v>0</v>
      </c>
      <c r="AT140" s="25" t="str">
        <f t="shared" si="149"/>
        <v>0</v>
      </c>
      <c r="AU140" s="25" t="str">
        <f t="shared" si="149"/>
        <v>0</v>
      </c>
      <c r="AV140" s="25" t="str">
        <f t="shared" si="149"/>
        <v>0</v>
      </c>
      <c r="AW140" s="25" t="str">
        <f t="shared" si="149"/>
        <v>0</v>
      </c>
      <c r="AX140" s="25" t="str">
        <f t="shared" si="149"/>
        <v>0</v>
      </c>
      <c r="AY140" s="25" t="str">
        <f t="shared" si="149"/>
        <v>0</v>
      </c>
      <c r="AZ140" s="25" t="str">
        <f t="shared" si="149"/>
        <v>0</v>
      </c>
      <c r="BA140" s="25" t="str">
        <f t="shared" si="149"/>
        <v>0</v>
      </c>
      <c r="BB140" s="25" t="str">
        <f t="shared" si="149"/>
        <v>0</v>
      </c>
      <c r="BC140" s="25" t="str">
        <f t="shared" si="149"/>
        <v>0</v>
      </c>
      <c r="BD140" s="25" t="str">
        <f t="shared" si="149"/>
        <v>0</v>
      </c>
      <c r="BE140" s="25" t="str">
        <f t="shared" si="149"/>
        <v>0</v>
      </c>
      <c r="BF140" s="25" t="str">
        <f t="shared" si="149"/>
        <v>0</v>
      </c>
      <c r="BG140" s="25" t="str">
        <f t="shared" si="149"/>
        <v>0</v>
      </c>
      <c r="BH140" s="25" t="str">
        <f t="shared" si="149"/>
        <v>0</v>
      </c>
      <c r="BI140" s="25" t="str">
        <f t="shared" si="149"/>
        <v>0</v>
      </c>
      <c r="BJ140" s="25" t="str">
        <f t="shared" si="149"/>
        <v>0</v>
      </c>
      <c r="BK140" s="25" t="str">
        <f t="shared" si="149"/>
        <v>0</v>
      </c>
      <c r="BL140" s="25" t="str">
        <f t="shared" si="149"/>
        <v>0</v>
      </c>
      <c r="BM140" s="25" t="str">
        <f t="shared" si="149"/>
        <v>0</v>
      </c>
      <c r="BN140" s="25" t="str">
        <f t="shared" si="149"/>
        <v>0</v>
      </c>
      <c r="BO140" s="25" t="str">
        <f t="shared" si="149"/>
        <v>0</v>
      </c>
      <c r="BP140" s="25" t="str">
        <f t="shared" si="149"/>
        <v>0</v>
      </c>
      <c r="BQ140" s="25" t="str">
        <f t="shared" si="149"/>
        <v>0</v>
      </c>
      <c r="BR140" s="25" t="str">
        <f t="shared" si="149"/>
        <v>0</v>
      </c>
      <c r="BS140" s="25" t="str">
        <f t="shared" si="149"/>
        <v>0</v>
      </c>
      <c r="BT140" s="25" t="str">
        <f t="shared" si="149"/>
        <v>0</v>
      </c>
      <c r="BU140" s="25" t="str">
        <f t="shared" si="149"/>
        <v>0</v>
      </c>
      <c r="BV140" s="25" t="str">
        <f t="shared" si="149"/>
        <v>0</v>
      </c>
      <c r="BW140" s="25" t="str">
        <f t="shared" si="149"/>
        <v>0</v>
      </c>
      <c r="BX140" s="25" t="str">
        <f t="shared" si="149"/>
        <v>0</v>
      </c>
      <c r="BY140" s="25">
        <f t="shared" si="149"/>
        <v>1950</v>
      </c>
      <c r="BZ140" s="25" t="str">
        <f t="shared" si="149"/>
        <v>0</v>
      </c>
      <c r="CC140" s="25" t="str">
        <f t="array" ref="CC140">INDEX($C$46:$C$74,MATCH(CD140,$B$46:$B$74,0))</f>
        <v>约瑟夫</v>
      </c>
      <c r="CD140" s="52">
        <v>1009</v>
      </c>
      <c r="CE140" s="1">
        <v>5</v>
      </c>
      <c r="CF140" s="25" t="str">
        <f t="array" ref="CF140">INDEX($T$5:$T$44,MATCH(CC140,$B$5:$B$44,0))</f>
        <v>魔法</v>
      </c>
      <c r="CG140" s="25">
        <f t="shared" si="34"/>
        <v>0.3</v>
      </c>
      <c r="CH140" s="25">
        <f t="shared" si="13"/>
        <v>1.3</v>
      </c>
      <c r="CI140" s="25">
        <f t="shared" si="14"/>
        <v>1</v>
      </c>
      <c r="CJ140" s="25">
        <f t="shared" si="15"/>
        <v>1.3</v>
      </c>
      <c r="CK140" s="25">
        <f t="shared" si="16"/>
        <v>1.3</v>
      </c>
      <c r="CL140" s="25" t="str">
        <f t="array" ref="CL140">INDEX($S$5:$S$43,MATCH(CC140,$B$5:$B$43,0))</f>
        <v>技能冷却等级</v>
      </c>
      <c r="CM140" s="25">
        <f t="shared" si="35"/>
        <v>0.3</v>
      </c>
      <c r="CN140" s="25">
        <f t="shared" si="17"/>
        <v>3900</v>
      </c>
      <c r="CO140" s="25">
        <f t="shared" si="18"/>
        <v>1</v>
      </c>
      <c r="CP140" s="29" t="str">
        <f t="shared" ref="CP140:DQ140" si="150">IF($CL140=CP$78,$CN140,"0")</f>
        <v>0</v>
      </c>
      <c r="CQ140" s="29" t="str">
        <f t="shared" si="150"/>
        <v>0</v>
      </c>
      <c r="CR140" s="29" t="str">
        <f t="shared" si="150"/>
        <v>0</v>
      </c>
      <c r="CS140" s="29" t="str">
        <f t="shared" si="150"/>
        <v>0</v>
      </c>
      <c r="CT140" s="29" t="str">
        <f t="shared" si="150"/>
        <v>0</v>
      </c>
      <c r="CU140" s="29" t="str">
        <f t="shared" si="150"/>
        <v>0</v>
      </c>
      <c r="CV140" s="29" t="str">
        <f t="shared" si="150"/>
        <v>0</v>
      </c>
      <c r="CW140" s="29" t="str">
        <f t="shared" si="150"/>
        <v>0</v>
      </c>
      <c r="CX140" s="29" t="str">
        <f t="shared" si="150"/>
        <v>0</v>
      </c>
      <c r="CY140" s="29" t="str">
        <f t="shared" si="150"/>
        <v>0</v>
      </c>
      <c r="CZ140" s="29" t="str">
        <f t="shared" si="150"/>
        <v>0</v>
      </c>
      <c r="DA140" s="29" t="str">
        <f t="shared" si="150"/>
        <v>0</v>
      </c>
      <c r="DB140" s="29" t="str">
        <f t="shared" si="150"/>
        <v>0</v>
      </c>
      <c r="DC140" s="29" t="str">
        <f t="shared" si="150"/>
        <v>0</v>
      </c>
      <c r="DD140" s="29" t="str">
        <f t="shared" si="150"/>
        <v>0</v>
      </c>
      <c r="DE140" s="29" t="str">
        <f t="shared" si="150"/>
        <v>0</v>
      </c>
      <c r="DF140" s="29" t="str">
        <f t="shared" si="150"/>
        <v>0</v>
      </c>
      <c r="DG140" s="29" t="str">
        <f t="shared" si="150"/>
        <v>0</v>
      </c>
      <c r="DH140" s="29" t="str">
        <f t="shared" si="150"/>
        <v>0</v>
      </c>
      <c r="DI140" s="29" t="str">
        <f t="shared" si="150"/>
        <v>0</v>
      </c>
      <c r="DJ140" s="29" t="str">
        <f t="shared" si="150"/>
        <v>0</v>
      </c>
      <c r="DK140" s="29" t="str">
        <f t="shared" si="150"/>
        <v>0</v>
      </c>
      <c r="DL140" s="29" t="str">
        <f t="shared" si="150"/>
        <v>0</v>
      </c>
      <c r="DM140" s="29" t="str">
        <f t="shared" si="150"/>
        <v>0</v>
      </c>
      <c r="DN140" s="29" t="str">
        <f t="shared" si="150"/>
        <v>0</v>
      </c>
      <c r="DO140" s="29" t="str">
        <f t="shared" si="150"/>
        <v>0</v>
      </c>
      <c r="DP140" s="29" t="str">
        <f t="shared" si="150"/>
        <v>0</v>
      </c>
      <c r="DQ140" s="29">
        <f t="shared" si="150"/>
        <v>3900</v>
      </c>
      <c r="DR140" s="29"/>
      <c r="DS140" s="25" t="s">
        <v>1011</v>
      </c>
      <c r="DT140" s="25" t="str">
        <f>TEXT(角色升星!$F$18,"0%")</f>
        <v>15%</v>
      </c>
      <c r="DU140" s="25" t="s">
        <v>779</v>
      </c>
      <c r="DV140" s="25" t="str">
        <f>IF(CF140="物理","PhysicsAttack,+","MagicAttack,+")</f>
        <v>MagicAttack,+</v>
      </c>
      <c r="DW140" s="25" t="str">
        <f>TEXT(角色升星!$F$18,"0%")</f>
        <v>15%</v>
      </c>
      <c r="DX140" s="25" t="s">
        <v>779</v>
      </c>
      <c r="DY140" s="25" t="s">
        <v>1012</v>
      </c>
      <c r="DZ140" s="25" t="str">
        <f>TEXT(角色升星!$F$18,"0%")</f>
        <v>15%</v>
      </c>
      <c r="EA140" s="25" t="s">
        <v>779</v>
      </c>
      <c r="EB140" s="25" t="str">
        <f>VLOOKUP(CL140,$O$46:$P$73,2,0)</f>
        <v>CoolDownReduceLevel</v>
      </c>
      <c r="EC140" s="25" t="s">
        <v>1013</v>
      </c>
      <c r="ED140" s="25">
        <f>IF(CN140&gt;1,CN140,TEXT(CN140,"0%"))</f>
        <v>3900</v>
      </c>
      <c r="EE140" s="25" t="str">
        <f t="shared" si="20"/>
        <v>Hp,+15%;MagicAttack,+15%;Armor,+15%;CoolDownReduceLevel,+3900</v>
      </c>
    </row>
    <row r="141" spans="1:135">
      <c r="A141" s="53">
        <v>1002003</v>
      </c>
      <c r="B141" s="49" t="s">
        <v>318</v>
      </c>
      <c r="C141" s="25">
        <f t="shared" si="146"/>
        <v>3</v>
      </c>
      <c r="D141" s="25">
        <f t="array" ref="D141">INDEX(C$5:C$67,MATCH($B141,$B$5:$B$67,0))</f>
        <v>5600</v>
      </c>
      <c r="E141" s="25">
        <f t="array" ref="E141">INDEX(D$5:D$67,MATCH($B141,$B$5:$B$67,0))</f>
        <v>448</v>
      </c>
      <c r="F141" s="25">
        <f t="array" ref="F141">INDEX(E$5:E$67,MATCH($B141,$B$5:$B$67,0))</f>
        <v>720</v>
      </c>
      <c r="G141" s="25">
        <f t="array" ref="G141">INDEX(F$5:F$67,MATCH($B141,$B$5:$B$67,0))</f>
        <v>57.6</v>
      </c>
      <c r="H141" s="25">
        <f t="array" ref="H141">INDEX(G$5:G$66,MATCH($B141,$B$5:$B$67,0))</f>
        <v>576</v>
      </c>
      <c r="I141" s="25">
        <f t="array" ref="I141">INDEX(H$5:H$67,MATCH($B141,$B$5:$B$67,0))</f>
        <v>46.08</v>
      </c>
      <c r="J141" s="25">
        <f t="array" ref="J141">INDEX(I$5:I$67,MATCH($B141,$B$5:$B$67,0))</f>
        <v>800</v>
      </c>
      <c r="K141" s="25">
        <f t="array" ref="K141">INDEX(J$5:J$67,MATCH($B141,$B$5:$B$67,0))</f>
        <v>64</v>
      </c>
      <c r="L141" s="25">
        <f t="shared" si="0"/>
        <v>6944</v>
      </c>
      <c r="M141" s="25">
        <f t="shared" si="1"/>
        <v>893</v>
      </c>
      <c r="N141" s="25">
        <f t="shared" si="2"/>
        <v>714</v>
      </c>
      <c r="O141" s="25">
        <f t="shared" si="3"/>
        <v>992</v>
      </c>
      <c r="R141" s="50">
        <f t="array" ref="R141">INDEX($B$46:$B$68,MATCH(S141,$C$46:$C$68,0))*1000+T141</f>
        <v>1003009</v>
      </c>
      <c r="S141" s="51" t="s">
        <v>321</v>
      </c>
      <c r="T141" s="29">
        <f t="shared" si="78"/>
        <v>9</v>
      </c>
      <c r="U141" s="25">
        <f t="array" ref="U141">INDEX(K$5:K$67,MATCH($S141,$B$5:$B$67,0))</f>
        <v>656.04</v>
      </c>
      <c r="V141" s="25">
        <f t="array" ref="V141">INDEX(L$5:L$67,MATCH($S141,$B$5:$B$67,0))</f>
        <v>62.67</v>
      </c>
      <c r="W141" s="25">
        <f t="array" ref="W141">INDEX(M$5:M$67,MATCH($S141,$B$5:$B$67,0))</f>
        <v>78.34</v>
      </c>
      <c r="X141" s="25">
        <f t="array" ref="X141">INDEX(N$5:N$67,MATCH($S141,$B$5:$B$67,0))</f>
        <v>76.5</v>
      </c>
      <c r="Y141" s="25">
        <f t="shared" si="4"/>
        <v>5904</v>
      </c>
      <c r="Z141" s="25">
        <f t="shared" si="5"/>
        <v>564</v>
      </c>
      <c r="AA141" s="25">
        <f t="shared" si="6"/>
        <v>705</v>
      </c>
      <c r="AB141" s="25">
        <f t="shared" si="7"/>
        <v>689</v>
      </c>
      <c r="AF141" s="25">
        <v>63</v>
      </c>
      <c r="AG141" s="25">
        <f t="array" ref="AG141">INDEX($AE$79:$AE$116,QUOTIENT(AF141-1,8)+1)</f>
        <v>1008</v>
      </c>
      <c r="AH141" s="25">
        <f t="shared" si="37"/>
        <v>7</v>
      </c>
      <c r="AI141" s="25">
        <f t="shared" si="8"/>
        <v>10087</v>
      </c>
      <c r="AJ141" s="25" t="str">
        <f t="shared" si="9"/>
        <v>薇</v>
      </c>
      <c r="AK141" s="25">
        <f t="shared" si="38"/>
        <v>2</v>
      </c>
      <c r="AL141" s="25" t="str">
        <f t="array" ref="AL141">INDEX($O$5:$O$42,MATCH(AJ141,$B$5:$B$42,0))</f>
        <v>能量回复等级</v>
      </c>
      <c r="AM141" s="25" t="str">
        <f t="array" ref="AM141">INDEX($P$5:$P$42,MATCH(AJ141,$B$5:$B$42,0))</f>
        <v>攻击百分比</v>
      </c>
      <c r="AN141" s="25" t="str">
        <f t="array" ref="AN141">INDEX($Q$5:$Q$42,MATCH(AJ141,$B$5:$B$42,0))</f>
        <v>攻击百分比</v>
      </c>
      <c r="AO141" s="25" t="str">
        <f t="array" ref="AO141">INDEX(AL141:AN141,0,AK141)</f>
        <v>攻击百分比</v>
      </c>
      <c r="AP141" s="25">
        <f t="shared" ref="AP141:AP204" si="151">AP133</f>
        <v>0.15</v>
      </c>
      <c r="AQ141" s="25">
        <f t="shared" si="11"/>
        <v>0.15</v>
      </c>
      <c r="AR141" s="25" t="str">
        <f t="shared" ref="AR141:BZ141" si="152">IF(AR$78=$AO141,$AQ141,"0")</f>
        <v>0</v>
      </c>
      <c r="AS141" s="25" t="str">
        <f t="shared" si="152"/>
        <v>0</v>
      </c>
      <c r="AT141" s="25" t="str">
        <f t="shared" si="152"/>
        <v>0</v>
      </c>
      <c r="AU141" s="25">
        <f t="shared" si="152"/>
        <v>0.15</v>
      </c>
      <c r="AV141" s="25" t="str">
        <f t="shared" si="152"/>
        <v>0</v>
      </c>
      <c r="AW141" s="25">
        <f t="shared" si="152"/>
        <v>0.15</v>
      </c>
      <c r="AX141" s="25" t="str">
        <f t="shared" si="152"/>
        <v>0</v>
      </c>
      <c r="AY141" s="25" t="str">
        <f t="shared" si="152"/>
        <v>0</v>
      </c>
      <c r="AZ141" s="25" t="str">
        <f t="shared" si="152"/>
        <v>0</v>
      </c>
      <c r="BA141" s="25" t="str">
        <f t="shared" si="152"/>
        <v>0</v>
      </c>
      <c r="BB141" s="25" t="str">
        <f t="shared" si="152"/>
        <v>0</v>
      </c>
      <c r="BC141" s="25" t="str">
        <f t="shared" si="152"/>
        <v>0</v>
      </c>
      <c r="BD141" s="25" t="str">
        <f t="shared" si="152"/>
        <v>0</v>
      </c>
      <c r="BE141" s="25" t="str">
        <f t="shared" si="152"/>
        <v>0</v>
      </c>
      <c r="BF141" s="25" t="str">
        <f t="shared" si="152"/>
        <v>0</v>
      </c>
      <c r="BG141" s="25" t="str">
        <f t="shared" si="152"/>
        <v>0</v>
      </c>
      <c r="BH141" s="25" t="str">
        <f t="shared" si="152"/>
        <v>0</v>
      </c>
      <c r="BI141" s="25" t="str">
        <f t="shared" si="152"/>
        <v>0</v>
      </c>
      <c r="BJ141" s="25" t="str">
        <f t="shared" si="152"/>
        <v>0</v>
      </c>
      <c r="BK141" s="25" t="str">
        <f t="shared" si="152"/>
        <v>0</v>
      </c>
      <c r="BL141" s="25" t="str">
        <f t="shared" si="152"/>
        <v>0</v>
      </c>
      <c r="BM141" s="25" t="str">
        <f t="shared" si="152"/>
        <v>0</v>
      </c>
      <c r="BN141" s="25" t="str">
        <f t="shared" si="152"/>
        <v>0</v>
      </c>
      <c r="BO141" s="25" t="str">
        <f t="shared" si="152"/>
        <v>0</v>
      </c>
      <c r="BP141" s="25" t="str">
        <f t="shared" si="152"/>
        <v>0</v>
      </c>
      <c r="BQ141" s="25" t="str">
        <f t="shared" si="152"/>
        <v>0</v>
      </c>
      <c r="BR141" s="25" t="str">
        <f t="shared" si="152"/>
        <v>0</v>
      </c>
      <c r="BS141" s="25" t="str">
        <f t="shared" si="152"/>
        <v>0</v>
      </c>
      <c r="BT141" s="25" t="str">
        <f t="shared" si="152"/>
        <v>0</v>
      </c>
      <c r="BU141" s="25" t="str">
        <f t="shared" si="152"/>
        <v>0</v>
      </c>
      <c r="BV141" s="25" t="str">
        <f t="shared" si="152"/>
        <v>0</v>
      </c>
      <c r="BW141" s="25" t="str">
        <f t="shared" si="152"/>
        <v>0</v>
      </c>
      <c r="BX141" s="25" t="str">
        <f t="shared" si="152"/>
        <v>0</v>
      </c>
      <c r="BY141" s="25" t="str">
        <f t="shared" si="152"/>
        <v>0</v>
      </c>
      <c r="BZ141" s="25" t="str">
        <f t="shared" si="152"/>
        <v>0</v>
      </c>
      <c r="CC141" s="25" t="str">
        <f t="array" ref="CC141">INDEX($C$46:$C$74,MATCH(CD141,$B$46:$B$74,0))</f>
        <v>约瑟夫</v>
      </c>
      <c r="CD141" s="52">
        <v>1009</v>
      </c>
      <c r="CE141" s="1">
        <v>6</v>
      </c>
      <c r="CF141" s="25" t="str">
        <f t="array" ref="CF141">INDEX($T$5:$T$44,MATCH(CC141,$B$5:$B$44,0))</f>
        <v>魔法</v>
      </c>
      <c r="CG141" s="25">
        <f t="shared" si="34"/>
        <v>0.3</v>
      </c>
      <c r="CH141" s="25">
        <f t="shared" si="13"/>
        <v>1.3</v>
      </c>
      <c r="CI141" s="25">
        <f t="shared" si="14"/>
        <v>1</v>
      </c>
      <c r="CJ141" s="25">
        <f t="shared" si="15"/>
        <v>1.3</v>
      </c>
      <c r="CK141" s="25">
        <f t="shared" si="16"/>
        <v>1.3</v>
      </c>
      <c r="CL141" s="25">
        <v>0</v>
      </c>
      <c r="CM141" s="25">
        <f t="shared" si="35"/>
        <v>0</v>
      </c>
      <c r="CN141" s="25">
        <f t="shared" si="17"/>
        <v>0</v>
      </c>
      <c r="CO141" s="25">
        <f t="shared" si="18"/>
        <v>0</v>
      </c>
      <c r="CP141" s="29" t="str">
        <f t="shared" ref="CP141:DQ141" si="153">IF($CL141=CP$78,$CN141,"0")</f>
        <v>0</v>
      </c>
      <c r="CQ141" s="29" t="str">
        <f t="shared" si="153"/>
        <v>0</v>
      </c>
      <c r="CR141" s="29" t="str">
        <f t="shared" si="153"/>
        <v>0</v>
      </c>
      <c r="CS141" s="29" t="str">
        <f t="shared" si="153"/>
        <v>0</v>
      </c>
      <c r="CT141" s="29" t="str">
        <f t="shared" si="153"/>
        <v>0</v>
      </c>
      <c r="CU141" s="29" t="str">
        <f t="shared" si="153"/>
        <v>0</v>
      </c>
      <c r="CV141" s="29" t="str">
        <f t="shared" si="153"/>
        <v>0</v>
      </c>
      <c r="CW141" s="29" t="str">
        <f t="shared" si="153"/>
        <v>0</v>
      </c>
      <c r="CX141" s="29" t="str">
        <f t="shared" si="153"/>
        <v>0</v>
      </c>
      <c r="CY141" s="29" t="str">
        <f t="shared" si="153"/>
        <v>0</v>
      </c>
      <c r="CZ141" s="29" t="str">
        <f t="shared" si="153"/>
        <v>0</v>
      </c>
      <c r="DA141" s="29" t="str">
        <f t="shared" si="153"/>
        <v>0</v>
      </c>
      <c r="DB141" s="29" t="str">
        <f t="shared" si="153"/>
        <v>0</v>
      </c>
      <c r="DC141" s="29" t="str">
        <f t="shared" si="153"/>
        <v>0</v>
      </c>
      <c r="DD141" s="29" t="str">
        <f t="shared" si="153"/>
        <v>0</v>
      </c>
      <c r="DE141" s="29" t="str">
        <f t="shared" si="153"/>
        <v>0</v>
      </c>
      <c r="DF141" s="29" t="str">
        <f t="shared" si="153"/>
        <v>0</v>
      </c>
      <c r="DG141" s="29" t="str">
        <f t="shared" si="153"/>
        <v>0</v>
      </c>
      <c r="DH141" s="29" t="str">
        <f t="shared" si="153"/>
        <v>0</v>
      </c>
      <c r="DI141" s="29" t="str">
        <f t="shared" si="153"/>
        <v>0</v>
      </c>
      <c r="DJ141" s="29" t="str">
        <f t="shared" si="153"/>
        <v>0</v>
      </c>
      <c r="DK141" s="29" t="str">
        <f t="shared" si="153"/>
        <v>0</v>
      </c>
      <c r="DL141" s="29" t="str">
        <f t="shared" si="153"/>
        <v>0</v>
      </c>
      <c r="DM141" s="29" t="str">
        <f t="shared" si="153"/>
        <v>0</v>
      </c>
      <c r="DN141" s="29" t="str">
        <f t="shared" si="153"/>
        <v>0</v>
      </c>
      <c r="DO141" s="29" t="str">
        <f t="shared" si="153"/>
        <v>0</v>
      </c>
      <c r="DP141" s="29" t="str">
        <f t="shared" si="153"/>
        <v>0</v>
      </c>
      <c r="DQ141" s="29" t="str">
        <f t="shared" si="153"/>
        <v>0</v>
      </c>
      <c r="DR141" s="29"/>
      <c r="DS141" s="25">
        <v>0</v>
      </c>
      <c r="EE141" s="25" t="str">
        <f t="shared" si="20"/>
        <v>0</v>
      </c>
    </row>
    <row r="142" spans="1:135">
      <c r="A142" s="53">
        <v>1002004</v>
      </c>
      <c r="B142" s="49" t="s">
        <v>318</v>
      </c>
      <c r="C142" s="25">
        <f t="shared" si="146"/>
        <v>4</v>
      </c>
      <c r="D142" s="25">
        <f t="array" ref="D142">INDEX(C$5:C$67,MATCH($B142,$B$5:$B$67,0))</f>
        <v>5600</v>
      </c>
      <c r="E142" s="25">
        <f t="array" ref="E142">INDEX(D$5:D$67,MATCH($B142,$B$5:$B$67,0))</f>
        <v>448</v>
      </c>
      <c r="F142" s="25">
        <f t="array" ref="F142">INDEX(E$5:E$67,MATCH($B142,$B$5:$B$67,0))</f>
        <v>720</v>
      </c>
      <c r="G142" s="25">
        <f t="array" ref="G142">INDEX(F$5:F$67,MATCH($B142,$B$5:$B$67,0))</f>
        <v>57.6</v>
      </c>
      <c r="H142" s="25">
        <f t="array" ref="H142">INDEX(G$5:G$66,MATCH($B142,$B$5:$B$67,0))</f>
        <v>576</v>
      </c>
      <c r="I142" s="25">
        <f t="array" ref="I142">INDEX(H$5:H$67,MATCH($B142,$B$5:$B$67,0))</f>
        <v>46.08</v>
      </c>
      <c r="J142" s="25">
        <f t="array" ref="J142">INDEX(I$5:I$67,MATCH($B142,$B$5:$B$67,0))</f>
        <v>800</v>
      </c>
      <c r="K142" s="25">
        <f t="array" ref="K142">INDEX(J$5:J$67,MATCH($B142,$B$5:$B$67,0))</f>
        <v>64</v>
      </c>
      <c r="L142" s="25">
        <f t="shared" si="0"/>
        <v>7392</v>
      </c>
      <c r="M142" s="25">
        <f t="shared" si="1"/>
        <v>950</v>
      </c>
      <c r="N142" s="25">
        <f t="shared" si="2"/>
        <v>760</v>
      </c>
      <c r="O142" s="25">
        <f t="shared" si="3"/>
        <v>1056</v>
      </c>
      <c r="R142" s="50">
        <f t="array" ref="R142">INDEX($B$46:$B$68,MATCH(S142,$C$46:$C$68,0))*1000+T142</f>
        <v>1003010</v>
      </c>
      <c r="S142" s="51" t="s">
        <v>321</v>
      </c>
      <c r="T142" s="29">
        <f t="shared" si="78"/>
        <v>10</v>
      </c>
      <c r="U142" s="25">
        <f t="array" ref="U142">INDEX(K$5:K$67,MATCH($S142,$B$5:$B$67,0))</f>
        <v>656.04</v>
      </c>
      <c r="V142" s="25">
        <f t="array" ref="V142">INDEX(L$5:L$67,MATCH($S142,$B$5:$B$67,0))</f>
        <v>62.67</v>
      </c>
      <c r="W142" s="25">
        <f t="array" ref="W142">INDEX(M$5:M$67,MATCH($S142,$B$5:$B$67,0))</f>
        <v>78.34</v>
      </c>
      <c r="X142" s="25">
        <f t="array" ref="X142">INDEX(N$5:N$67,MATCH($S142,$B$5:$B$67,0))</f>
        <v>76.5</v>
      </c>
      <c r="Y142" s="25">
        <f t="shared" si="4"/>
        <v>6560</v>
      </c>
      <c r="Z142" s="25">
        <f t="shared" si="5"/>
        <v>627</v>
      </c>
      <c r="AA142" s="25">
        <f t="shared" si="6"/>
        <v>783</v>
      </c>
      <c r="AB142" s="25">
        <f t="shared" si="7"/>
        <v>765</v>
      </c>
      <c r="AF142" s="25">
        <v>64</v>
      </c>
      <c r="AG142" s="25">
        <f t="array" ref="AG142">INDEX($AE$79:$AE$116,QUOTIENT(AF142-1,8)+1)</f>
        <v>1008</v>
      </c>
      <c r="AH142" s="25">
        <f t="shared" si="37"/>
        <v>8</v>
      </c>
      <c r="AI142" s="25">
        <f t="shared" si="8"/>
        <v>10088</v>
      </c>
      <c r="AJ142" s="25" t="str">
        <f t="shared" si="9"/>
        <v>薇</v>
      </c>
      <c r="AK142" s="25">
        <f t="shared" si="38"/>
        <v>3</v>
      </c>
      <c r="AL142" s="25" t="str">
        <f t="array" ref="AL142">INDEX($O$5:$O$42,MATCH(AJ142,$B$5:$B$42,0))</f>
        <v>能量回复等级</v>
      </c>
      <c r="AM142" s="25" t="str">
        <f t="array" ref="AM142">INDEX($P$5:$P$42,MATCH(AJ142,$B$5:$B$42,0))</f>
        <v>攻击百分比</v>
      </c>
      <c r="AN142" s="25" t="str">
        <f t="array" ref="AN142">INDEX($Q$5:$Q$42,MATCH(AJ142,$B$5:$B$42,0))</f>
        <v>攻击百分比</v>
      </c>
      <c r="AO142" s="25" t="str">
        <f t="array" ref="AO142">INDEX(AL142:AN142,0,AK142)</f>
        <v>攻击百分比</v>
      </c>
      <c r="AP142" s="25">
        <f t="shared" si="151"/>
        <v>0.216666666666667</v>
      </c>
      <c r="AQ142" s="25">
        <f t="shared" si="11"/>
        <v>0.216666666666667</v>
      </c>
      <c r="AR142" s="25" t="str">
        <f t="shared" ref="AR142:BZ142" si="154">IF(AR$78=$AO142,$AQ142,"0")</f>
        <v>0</v>
      </c>
      <c r="AS142" s="25" t="str">
        <f t="shared" si="154"/>
        <v>0</v>
      </c>
      <c r="AT142" s="25" t="str">
        <f t="shared" si="154"/>
        <v>0</v>
      </c>
      <c r="AU142" s="25">
        <f t="shared" si="154"/>
        <v>0.216666666666667</v>
      </c>
      <c r="AV142" s="25" t="str">
        <f t="shared" si="154"/>
        <v>0</v>
      </c>
      <c r="AW142" s="25">
        <f t="shared" si="154"/>
        <v>0.216666666666667</v>
      </c>
      <c r="AX142" s="25" t="str">
        <f t="shared" si="154"/>
        <v>0</v>
      </c>
      <c r="AY142" s="25" t="str">
        <f t="shared" si="154"/>
        <v>0</v>
      </c>
      <c r="AZ142" s="25" t="str">
        <f t="shared" si="154"/>
        <v>0</v>
      </c>
      <c r="BA142" s="25" t="str">
        <f t="shared" si="154"/>
        <v>0</v>
      </c>
      <c r="BB142" s="25" t="str">
        <f t="shared" si="154"/>
        <v>0</v>
      </c>
      <c r="BC142" s="25" t="str">
        <f t="shared" si="154"/>
        <v>0</v>
      </c>
      <c r="BD142" s="25" t="str">
        <f t="shared" si="154"/>
        <v>0</v>
      </c>
      <c r="BE142" s="25" t="str">
        <f t="shared" si="154"/>
        <v>0</v>
      </c>
      <c r="BF142" s="25" t="str">
        <f t="shared" si="154"/>
        <v>0</v>
      </c>
      <c r="BG142" s="25" t="str">
        <f t="shared" si="154"/>
        <v>0</v>
      </c>
      <c r="BH142" s="25" t="str">
        <f t="shared" si="154"/>
        <v>0</v>
      </c>
      <c r="BI142" s="25" t="str">
        <f t="shared" si="154"/>
        <v>0</v>
      </c>
      <c r="BJ142" s="25" t="str">
        <f t="shared" si="154"/>
        <v>0</v>
      </c>
      <c r="BK142" s="25" t="str">
        <f t="shared" si="154"/>
        <v>0</v>
      </c>
      <c r="BL142" s="25" t="str">
        <f t="shared" si="154"/>
        <v>0</v>
      </c>
      <c r="BM142" s="25" t="str">
        <f t="shared" si="154"/>
        <v>0</v>
      </c>
      <c r="BN142" s="25" t="str">
        <f t="shared" si="154"/>
        <v>0</v>
      </c>
      <c r="BO142" s="25" t="str">
        <f t="shared" si="154"/>
        <v>0</v>
      </c>
      <c r="BP142" s="25" t="str">
        <f t="shared" si="154"/>
        <v>0</v>
      </c>
      <c r="BQ142" s="25" t="str">
        <f t="shared" si="154"/>
        <v>0</v>
      </c>
      <c r="BR142" s="25" t="str">
        <f t="shared" si="154"/>
        <v>0</v>
      </c>
      <c r="BS142" s="25" t="str">
        <f t="shared" si="154"/>
        <v>0</v>
      </c>
      <c r="BT142" s="25" t="str">
        <f t="shared" si="154"/>
        <v>0</v>
      </c>
      <c r="BU142" s="25" t="str">
        <f t="shared" si="154"/>
        <v>0</v>
      </c>
      <c r="BV142" s="25" t="str">
        <f t="shared" si="154"/>
        <v>0</v>
      </c>
      <c r="BW142" s="25" t="str">
        <f t="shared" si="154"/>
        <v>0</v>
      </c>
      <c r="BX142" s="25" t="str">
        <f t="shared" si="154"/>
        <v>0</v>
      </c>
      <c r="BY142" s="25" t="str">
        <f t="shared" si="154"/>
        <v>0</v>
      </c>
      <c r="BZ142" s="25" t="str">
        <f t="shared" si="154"/>
        <v>0</v>
      </c>
      <c r="CC142" s="25" t="str">
        <f t="array" ref="CC142">INDEX($C$46:$C$74,MATCH(CD142,$B$46:$B$74,0))</f>
        <v>陈双双</v>
      </c>
      <c r="CD142" s="1">
        <v>1011</v>
      </c>
      <c r="CE142" s="1">
        <v>0</v>
      </c>
      <c r="CF142" s="25" t="str">
        <f t="array" ref="CF142">INDEX($T$5:$T$44,MATCH(CC142,$B$5:$B$44,0))</f>
        <v>魔法</v>
      </c>
      <c r="CG142" s="25">
        <f t="shared" si="34"/>
        <v>0</v>
      </c>
      <c r="CH142" s="25">
        <f t="shared" si="13"/>
        <v>1</v>
      </c>
      <c r="CI142" s="25">
        <f t="shared" si="14"/>
        <v>1</v>
      </c>
      <c r="CJ142" s="25">
        <f t="shared" si="15"/>
        <v>1</v>
      </c>
      <c r="CK142" s="25">
        <f t="shared" si="16"/>
        <v>1</v>
      </c>
      <c r="CL142" s="25">
        <v>0</v>
      </c>
      <c r="CM142" s="25">
        <f t="shared" si="35"/>
        <v>0</v>
      </c>
      <c r="CN142" s="25">
        <f t="shared" si="17"/>
        <v>0</v>
      </c>
      <c r="CO142" s="25">
        <f t="shared" si="18"/>
        <v>0</v>
      </c>
      <c r="CP142" s="29" t="str">
        <f t="shared" ref="CP142:DQ142" si="155">IF($CL142=CP$78,$CN142,"0")</f>
        <v>0</v>
      </c>
      <c r="CQ142" s="29" t="str">
        <f t="shared" si="155"/>
        <v>0</v>
      </c>
      <c r="CR142" s="29" t="str">
        <f t="shared" si="155"/>
        <v>0</v>
      </c>
      <c r="CS142" s="29" t="str">
        <f t="shared" si="155"/>
        <v>0</v>
      </c>
      <c r="CT142" s="29" t="str">
        <f t="shared" si="155"/>
        <v>0</v>
      </c>
      <c r="CU142" s="29" t="str">
        <f t="shared" si="155"/>
        <v>0</v>
      </c>
      <c r="CV142" s="29" t="str">
        <f t="shared" si="155"/>
        <v>0</v>
      </c>
      <c r="CW142" s="29" t="str">
        <f t="shared" si="155"/>
        <v>0</v>
      </c>
      <c r="CX142" s="29" t="str">
        <f t="shared" si="155"/>
        <v>0</v>
      </c>
      <c r="CY142" s="29" t="str">
        <f t="shared" si="155"/>
        <v>0</v>
      </c>
      <c r="CZ142" s="29" t="str">
        <f t="shared" si="155"/>
        <v>0</v>
      </c>
      <c r="DA142" s="29" t="str">
        <f t="shared" si="155"/>
        <v>0</v>
      </c>
      <c r="DB142" s="29" t="str">
        <f t="shared" si="155"/>
        <v>0</v>
      </c>
      <c r="DC142" s="29" t="str">
        <f t="shared" si="155"/>
        <v>0</v>
      </c>
      <c r="DD142" s="29" t="str">
        <f t="shared" si="155"/>
        <v>0</v>
      </c>
      <c r="DE142" s="29" t="str">
        <f t="shared" si="155"/>
        <v>0</v>
      </c>
      <c r="DF142" s="29" t="str">
        <f t="shared" si="155"/>
        <v>0</v>
      </c>
      <c r="DG142" s="29" t="str">
        <f t="shared" si="155"/>
        <v>0</v>
      </c>
      <c r="DH142" s="29" t="str">
        <f t="shared" si="155"/>
        <v>0</v>
      </c>
      <c r="DI142" s="29" t="str">
        <f t="shared" si="155"/>
        <v>0</v>
      </c>
      <c r="DJ142" s="29" t="str">
        <f t="shared" si="155"/>
        <v>0</v>
      </c>
      <c r="DK142" s="29" t="str">
        <f t="shared" si="155"/>
        <v>0</v>
      </c>
      <c r="DL142" s="29" t="str">
        <f t="shared" si="155"/>
        <v>0</v>
      </c>
      <c r="DM142" s="29" t="str">
        <f t="shared" si="155"/>
        <v>0</v>
      </c>
      <c r="DN142" s="29" t="str">
        <f t="shared" si="155"/>
        <v>0</v>
      </c>
      <c r="DO142" s="29" t="str">
        <f t="shared" si="155"/>
        <v>0</v>
      </c>
      <c r="DP142" s="29" t="str">
        <f t="shared" si="155"/>
        <v>0</v>
      </c>
      <c r="DQ142" s="29" t="str">
        <f t="shared" si="155"/>
        <v>0</v>
      </c>
      <c r="DR142" s="29"/>
      <c r="DS142" s="25">
        <v>0</v>
      </c>
      <c r="EE142" s="25" t="str">
        <f t="shared" si="20"/>
        <v>0</v>
      </c>
    </row>
    <row r="143" spans="1:135">
      <c r="A143" s="53">
        <v>1002005</v>
      </c>
      <c r="B143" s="49" t="s">
        <v>318</v>
      </c>
      <c r="C143" s="25">
        <f t="shared" si="146"/>
        <v>5</v>
      </c>
      <c r="D143" s="25">
        <f t="array" ref="D143">INDEX(C$5:C$67,MATCH($B143,$B$5:$B$67,0))</f>
        <v>5600</v>
      </c>
      <c r="E143" s="25">
        <f t="array" ref="E143">INDEX(D$5:D$67,MATCH($B143,$B$5:$B$67,0))</f>
        <v>448</v>
      </c>
      <c r="F143" s="25">
        <f t="array" ref="F143">INDEX(E$5:E$67,MATCH($B143,$B$5:$B$67,0))</f>
        <v>720</v>
      </c>
      <c r="G143" s="25">
        <f t="array" ref="G143">INDEX(F$5:F$67,MATCH($B143,$B$5:$B$67,0))</f>
        <v>57.6</v>
      </c>
      <c r="H143" s="25">
        <f t="array" ref="H143">INDEX(G$5:G$66,MATCH($B143,$B$5:$B$67,0))</f>
        <v>576</v>
      </c>
      <c r="I143" s="25">
        <f t="array" ref="I143">INDEX(H$5:H$67,MATCH($B143,$B$5:$B$67,0))</f>
        <v>46.08</v>
      </c>
      <c r="J143" s="25">
        <f t="array" ref="J143">INDEX(I$5:I$67,MATCH($B143,$B$5:$B$67,0))</f>
        <v>800</v>
      </c>
      <c r="K143" s="25">
        <f t="array" ref="K143">INDEX(J$5:J$67,MATCH($B143,$B$5:$B$67,0))</f>
        <v>64</v>
      </c>
      <c r="L143" s="25">
        <f t="shared" ref="L143:L206" si="156">ROUND(D143+E143*$C143,0)</f>
        <v>7840</v>
      </c>
      <c r="M143" s="25">
        <f t="shared" ref="M143:M206" si="157">ROUND(F143+G143*$C143,0)</f>
        <v>1008</v>
      </c>
      <c r="N143" s="25">
        <f t="shared" ref="N143:N206" si="158">ROUND(H143+I143*$C143,0)</f>
        <v>806</v>
      </c>
      <c r="O143" s="25">
        <f t="shared" ref="O143:O206" si="159">ROUND(J143+K143*$C143,0)</f>
        <v>1120</v>
      </c>
      <c r="R143" s="50">
        <f t="array" ref="R143">INDEX($B$46:$B$68,MATCH(S143,$C$46:$C$68,0))*1000+T143</f>
        <v>1003011</v>
      </c>
      <c r="S143" s="51" t="s">
        <v>321</v>
      </c>
      <c r="T143" s="29">
        <f t="shared" si="78"/>
        <v>11</v>
      </c>
      <c r="U143" s="25">
        <f t="array" ref="U143">INDEX(K$5:K$67,MATCH($S143,$B$5:$B$67,0))</f>
        <v>656.04</v>
      </c>
      <c r="V143" s="25">
        <f t="array" ref="V143">INDEX(L$5:L$67,MATCH($S143,$B$5:$B$67,0))</f>
        <v>62.67</v>
      </c>
      <c r="W143" s="25">
        <f t="array" ref="W143">INDEX(M$5:M$67,MATCH($S143,$B$5:$B$67,0))</f>
        <v>78.34</v>
      </c>
      <c r="X143" s="25">
        <f t="array" ref="X143">INDEX(N$5:N$67,MATCH($S143,$B$5:$B$67,0))</f>
        <v>76.5</v>
      </c>
      <c r="Y143" s="25">
        <f t="shared" ref="Y143:Y206" si="160">ROUND($T143*U143,0)</f>
        <v>7216</v>
      </c>
      <c r="Z143" s="25">
        <f t="shared" ref="Z143:Z206" si="161">ROUND($T143*V143,0)</f>
        <v>689</v>
      </c>
      <c r="AA143" s="25">
        <f t="shared" ref="AA143:AA206" si="162">ROUND($T143*W143,0)</f>
        <v>862</v>
      </c>
      <c r="AB143" s="25">
        <f t="shared" ref="AB143:AB206" si="163">ROUND($T143*X143,0)</f>
        <v>842</v>
      </c>
      <c r="AF143" s="25">
        <v>65</v>
      </c>
      <c r="AG143" s="25">
        <f t="array" ref="AG143">INDEX($AE$79:$AE$116,QUOTIENT(AF143-1,8)+1)</f>
        <v>1009</v>
      </c>
      <c r="AH143" s="25">
        <f t="shared" si="37"/>
        <v>1</v>
      </c>
      <c r="AI143" s="25">
        <f t="shared" ref="AI143:AI206" si="164">AG143*10+AH143</f>
        <v>10091</v>
      </c>
      <c r="AJ143" s="25" t="str">
        <f t="shared" ref="AJ143:AJ206" si="165">VLOOKUP(AG143,$B$46:$C$76,2,0)</f>
        <v>约瑟夫</v>
      </c>
      <c r="AK143" s="25">
        <f t="shared" si="38"/>
        <v>1</v>
      </c>
      <c r="AL143" s="25" t="str">
        <f t="array" ref="AL143">INDEX($O$5:$O$42,MATCH(AJ143,$B$5:$B$42,0))</f>
        <v>攻击百分比</v>
      </c>
      <c r="AM143" s="25" t="str">
        <f t="array" ref="AM143">INDEX($P$5:$P$42,MATCH(AJ143,$B$5:$B$42,0))</f>
        <v>技能伤害加成</v>
      </c>
      <c r="AN143" s="25" t="str">
        <f t="array" ref="AN143">INDEX($Q$5:$Q$42,MATCH(AJ143,$B$5:$B$42,0))</f>
        <v>技能冷却等级</v>
      </c>
      <c r="AO143" s="25" t="str">
        <f t="array" ref="AO143">INDEX(AL143:AN143,0,AK143)</f>
        <v>攻击百分比</v>
      </c>
      <c r="AP143" s="25">
        <f t="shared" si="151"/>
        <v>0.216666666666667</v>
      </c>
      <c r="AQ143" s="25">
        <f t="shared" ref="AQ143:AQ206" si="166">VLOOKUP(AO143,$F$46:$G$72,2,0)*AP143/$G$46</f>
        <v>0.216666666666667</v>
      </c>
      <c r="AR143" s="25" t="str">
        <f t="shared" ref="AR143:BZ143" si="167">IF(AR$78=$AO143,$AQ143,"0")</f>
        <v>0</v>
      </c>
      <c r="AS143" s="25" t="str">
        <f t="shared" si="167"/>
        <v>0</v>
      </c>
      <c r="AT143" s="25" t="str">
        <f t="shared" si="167"/>
        <v>0</v>
      </c>
      <c r="AU143" s="25">
        <f t="shared" si="167"/>
        <v>0.216666666666667</v>
      </c>
      <c r="AV143" s="25" t="str">
        <f t="shared" si="167"/>
        <v>0</v>
      </c>
      <c r="AW143" s="25">
        <f t="shared" si="167"/>
        <v>0.216666666666667</v>
      </c>
      <c r="AX143" s="25" t="str">
        <f t="shared" si="167"/>
        <v>0</v>
      </c>
      <c r="AY143" s="25" t="str">
        <f t="shared" si="167"/>
        <v>0</v>
      </c>
      <c r="AZ143" s="25" t="str">
        <f t="shared" si="167"/>
        <v>0</v>
      </c>
      <c r="BA143" s="25" t="str">
        <f t="shared" si="167"/>
        <v>0</v>
      </c>
      <c r="BB143" s="25" t="str">
        <f t="shared" si="167"/>
        <v>0</v>
      </c>
      <c r="BC143" s="25" t="str">
        <f t="shared" si="167"/>
        <v>0</v>
      </c>
      <c r="BD143" s="25" t="str">
        <f t="shared" si="167"/>
        <v>0</v>
      </c>
      <c r="BE143" s="25" t="str">
        <f t="shared" si="167"/>
        <v>0</v>
      </c>
      <c r="BF143" s="25" t="str">
        <f t="shared" si="167"/>
        <v>0</v>
      </c>
      <c r="BG143" s="25" t="str">
        <f t="shared" si="167"/>
        <v>0</v>
      </c>
      <c r="BH143" s="25" t="str">
        <f t="shared" si="167"/>
        <v>0</v>
      </c>
      <c r="BI143" s="25" t="str">
        <f t="shared" si="167"/>
        <v>0</v>
      </c>
      <c r="BJ143" s="25" t="str">
        <f t="shared" si="167"/>
        <v>0</v>
      </c>
      <c r="BK143" s="25" t="str">
        <f t="shared" si="167"/>
        <v>0</v>
      </c>
      <c r="BL143" s="25" t="str">
        <f t="shared" si="167"/>
        <v>0</v>
      </c>
      <c r="BM143" s="25" t="str">
        <f t="shared" si="167"/>
        <v>0</v>
      </c>
      <c r="BN143" s="25" t="str">
        <f t="shared" si="167"/>
        <v>0</v>
      </c>
      <c r="BO143" s="25" t="str">
        <f t="shared" si="167"/>
        <v>0</v>
      </c>
      <c r="BP143" s="25" t="str">
        <f t="shared" si="167"/>
        <v>0</v>
      </c>
      <c r="BQ143" s="25" t="str">
        <f t="shared" si="167"/>
        <v>0</v>
      </c>
      <c r="BR143" s="25" t="str">
        <f t="shared" si="167"/>
        <v>0</v>
      </c>
      <c r="BS143" s="25" t="str">
        <f t="shared" si="167"/>
        <v>0</v>
      </c>
      <c r="BT143" s="25" t="str">
        <f t="shared" si="167"/>
        <v>0</v>
      </c>
      <c r="BU143" s="25" t="str">
        <f t="shared" si="167"/>
        <v>0</v>
      </c>
      <c r="BV143" s="25" t="str">
        <f t="shared" si="167"/>
        <v>0</v>
      </c>
      <c r="BW143" s="25" t="str">
        <f t="shared" si="167"/>
        <v>0</v>
      </c>
      <c r="BX143" s="25" t="str">
        <f t="shared" si="167"/>
        <v>0</v>
      </c>
      <c r="BY143" s="25" t="str">
        <f t="shared" si="167"/>
        <v>0</v>
      </c>
      <c r="BZ143" s="25" t="str">
        <f t="shared" si="167"/>
        <v>0</v>
      </c>
      <c r="CC143" s="25" t="str">
        <f t="array" ref="CC143">INDEX($C$46:$C$74,MATCH(CD143,$B$46:$B$74,0))</f>
        <v>陈双双</v>
      </c>
      <c r="CD143" s="1">
        <v>1011</v>
      </c>
      <c r="CE143" s="1">
        <v>1</v>
      </c>
      <c r="CF143" s="25" t="str">
        <f t="array" ref="CF143">INDEX($T$5:$T$44,MATCH(CC143,$B$5:$B$44,0))</f>
        <v>魔法</v>
      </c>
      <c r="CG143" s="25">
        <f t="shared" si="34"/>
        <v>0</v>
      </c>
      <c r="CH143" s="25">
        <f t="shared" ref="CH143:CH206" si="168">1+$CG143</f>
        <v>1</v>
      </c>
      <c r="CI143" s="25">
        <f t="shared" ref="CI143:CI206" si="169">IF(OR(CF143="物理",CF143="混合"),1+$CG143,1)</f>
        <v>1</v>
      </c>
      <c r="CJ143" s="25">
        <f t="shared" ref="CJ143:CJ206" si="170">IF(OR(CF143="魔法",CF143="混合"),1+$CG143,1)</f>
        <v>1</v>
      </c>
      <c r="CK143" s="25">
        <f t="shared" ref="CK143:CK206" si="171">1+$CG143</f>
        <v>1</v>
      </c>
      <c r="CL143" s="25">
        <v>0</v>
      </c>
      <c r="CM143" s="25">
        <f t="shared" si="35"/>
        <v>0</v>
      </c>
      <c r="CN143" s="25">
        <f t="shared" ref="CN143:CN206" si="172">ROUNDDOWN(_xlfn.IFNA(VLOOKUP(CL143,$F$46:$G$66,2,0)*CM143/$G$46,0),2)</f>
        <v>0</v>
      </c>
      <c r="CO143" s="25">
        <f t="shared" ref="CO143:CO206" si="173">COUNTIF($CP$78:$DQ$78,CL143)</f>
        <v>0</v>
      </c>
      <c r="CP143" s="29" t="str">
        <f t="shared" ref="CP143:DQ143" si="174">IF($CL143=CP$78,$CN143,"0")</f>
        <v>0</v>
      </c>
      <c r="CQ143" s="29" t="str">
        <f t="shared" si="174"/>
        <v>0</v>
      </c>
      <c r="CR143" s="29" t="str">
        <f t="shared" si="174"/>
        <v>0</v>
      </c>
      <c r="CS143" s="29" t="str">
        <f t="shared" si="174"/>
        <v>0</v>
      </c>
      <c r="CT143" s="29" t="str">
        <f t="shared" si="174"/>
        <v>0</v>
      </c>
      <c r="CU143" s="29" t="str">
        <f t="shared" si="174"/>
        <v>0</v>
      </c>
      <c r="CV143" s="29" t="str">
        <f t="shared" si="174"/>
        <v>0</v>
      </c>
      <c r="CW143" s="29" t="str">
        <f t="shared" si="174"/>
        <v>0</v>
      </c>
      <c r="CX143" s="29" t="str">
        <f t="shared" si="174"/>
        <v>0</v>
      </c>
      <c r="CY143" s="29" t="str">
        <f t="shared" si="174"/>
        <v>0</v>
      </c>
      <c r="CZ143" s="29" t="str">
        <f t="shared" si="174"/>
        <v>0</v>
      </c>
      <c r="DA143" s="29" t="str">
        <f t="shared" si="174"/>
        <v>0</v>
      </c>
      <c r="DB143" s="29" t="str">
        <f t="shared" si="174"/>
        <v>0</v>
      </c>
      <c r="DC143" s="29" t="str">
        <f t="shared" si="174"/>
        <v>0</v>
      </c>
      <c r="DD143" s="29" t="str">
        <f t="shared" si="174"/>
        <v>0</v>
      </c>
      <c r="DE143" s="29" t="str">
        <f t="shared" si="174"/>
        <v>0</v>
      </c>
      <c r="DF143" s="29" t="str">
        <f t="shared" si="174"/>
        <v>0</v>
      </c>
      <c r="DG143" s="29" t="str">
        <f t="shared" si="174"/>
        <v>0</v>
      </c>
      <c r="DH143" s="29" t="str">
        <f t="shared" si="174"/>
        <v>0</v>
      </c>
      <c r="DI143" s="29" t="str">
        <f t="shared" si="174"/>
        <v>0</v>
      </c>
      <c r="DJ143" s="29" t="str">
        <f t="shared" si="174"/>
        <v>0</v>
      </c>
      <c r="DK143" s="29" t="str">
        <f t="shared" si="174"/>
        <v>0</v>
      </c>
      <c r="DL143" s="29" t="str">
        <f t="shared" si="174"/>
        <v>0</v>
      </c>
      <c r="DM143" s="29" t="str">
        <f t="shared" si="174"/>
        <v>0</v>
      </c>
      <c r="DN143" s="29" t="str">
        <f t="shared" si="174"/>
        <v>0</v>
      </c>
      <c r="DO143" s="29" t="str">
        <f t="shared" si="174"/>
        <v>0</v>
      </c>
      <c r="DP143" s="29" t="str">
        <f t="shared" si="174"/>
        <v>0</v>
      </c>
      <c r="DQ143" s="29" t="str">
        <f t="shared" si="174"/>
        <v>0</v>
      </c>
      <c r="DR143" s="29"/>
      <c r="DS143" s="25">
        <v>0</v>
      </c>
      <c r="EE143" s="25" t="str">
        <f t="shared" ref="EE143:EE206" si="175">_xlfn.CONCAT(DS143,DT143,DU143,DV143,DW143,DX143,DY143,DZ143,EA143,EB143,EC143,ED143)</f>
        <v>0</v>
      </c>
    </row>
    <row r="144" spans="1:135">
      <c r="A144" s="53">
        <v>1002006</v>
      </c>
      <c r="B144" s="49" t="s">
        <v>318</v>
      </c>
      <c r="C144" s="25">
        <f t="shared" si="146"/>
        <v>6</v>
      </c>
      <c r="D144" s="25">
        <f t="array" ref="D144">INDEX(C$5:C$67,MATCH($B144,$B$5:$B$67,0))</f>
        <v>5600</v>
      </c>
      <c r="E144" s="25">
        <f t="array" ref="E144">INDEX(D$5:D$67,MATCH($B144,$B$5:$B$67,0))</f>
        <v>448</v>
      </c>
      <c r="F144" s="25">
        <f t="array" ref="F144">INDEX(E$5:E$67,MATCH($B144,$B$5:$B$67,0))</f>
        <v>720</v>
      </c>
      <c r="G144" s="25">
        <f t="array" ref="G144">INDEX(F$5:F$67,MATCH($B144,$B$5:$B$67,0))</f>
        <v>57.6</v>
      </c>
      <c r="H144" s="25">
        <f t="array" ref="H144">INDEX(G$5:G$66,MATCH($B144,$B$5:$B$67,0))</f>
        <v>576</v>
      </c>
      <c r="I144" s="25">
        <f t="array" ref="I144">INDEX(H$5:H$67,MATCH($B144,$B$5:$B$67,0))</f>
        <v>46.08</v>
      </c>
      <c r="J144" s="25">
        <f t="array" ref="J144">INDEX(I$5:I$67,MATCH($B144,$B$5:$B$67,0))</f>
        <v>800</v>
      </c>
      <c r="K144" s="25">
        <f t="array" ref="K144">INDEX(J$5:J$67,MATCH($B144,$B$5:$B$67,0))</f>
        <v>64</v>
      </c>
      <c r="L144" s="25">
        <f t="shared" si="156"/>
        <v>8288</v>
      </c>
      <c r="M144" s="25">
        <f t="shared" si="157"/>
        <v>1066</v>
      </c>
      <c r="N144" s="25">
        <f t="shared" si="158"/>
        <v>852</v>
      </c>
      <c r="O144" s="25">
        <f t="shared" si="159"/>
        <v>1184</v>
      </c>
      <c r="R144" s="50">
        <f t="array" ref="R144">INDEX($B$46:$B$68,MATCH(S144,$C$46:$C$68,0))*1000+T144</f>
        <v>1003012</v>
      </c>
      <c r="S144" s="51" t="s">
        <v>321</v>
      </c>
      <c r="T144" s="29">
        <f t="shared" si="78"/>
        <v>12</v>
      </c>
      <c r="U144" s="25">
        <f t="array" ref="U144">INDEX(K$5:K$67,MATCH($S144,$B$5:$B$67,0))</f>
        <v>656.04</v>
      </c>
      <c r="V144" s="25">
        <f t="array" ref="V144">INDEX(L$5:L$67,MATCH($S144,$B$5:$B$67,0))</f>
        <v>62.67</v>
      </c>
      <c r="W144" s="25">
        <f t="array" ref="W144">INDEX(M$5:M$67,MATCH($S144,$B$5:$B$67,0))</f>
        <v>78.34</v>
      </c>
      <c r="X144" s="25">
        <f t="array" ref="X144">INDEX(N$5:N$67,MATCH($S144,$B$5:$B$67,0))</f>
        <v>76.5</v>
      </c>
      <c r="Y144" s="25">
        <f t="shared" si="160"/>
        <v>7872</v>
      </c>
      <c r="Z144" s="25">
        <f t="shared" si="161"/>
        <v>752</v>
      </c>
      <c r="AA144" s="25">
        <f t="shared" si="162"/>
        <v>940</v>
      </c>
      <c r="AB144" s="25">
        <f t="shared" si="163"/>
        <v>918</v>
      </c>
      <c r="AF144" s="25">
        <v>66</v>
      </c>
      <c r="AG144" s="25">
        <f t="array" ref="AG144">INDEX($AE$79:$AE$116,QUOTIENT(AF144-1,8)+1)</f>
        <v>1009</v>
      </c>
      <c r="AH144" s="25">
        <f t="shared" si="37"/>
        <v>2</v>
      </c>
      <c r="AI144" s="25">
        <f t="shared" si="164"/>
        <v>10092</v>
      </c>
      <c r="AJ144" s="25" t="str">
        <f t="shared" si="165"/>
        <v>约瑟夫</v>
      </c>
      <c r="AK144" s="25">
        <f t="shared" si="38"/>
        <v>2</v>
      </c>
      <c r="AL144" s="25" t="str">
        <f t="array" ref="AL144">INDEX($O$5:$O$42,MATCH(AJ144,$B$5:$B$42,0))</f>
        <v>攻击百分比</v>
      </c>
      <c r="AM144" s="25" t="str">
        <f t="array" ref="AM144">INDEX($P$5:$P$42,MATCH(AJ144,$B$5:$B$42,0))</f>
        <v>技能伤害加成</v>
      </c>
      <c r="AN144" s="25" t="str">
        <f t="array" ref="AN144">INDEX($Q$5:$Q$42,MATCH(AJ144,$B$5:$B$42,0))</f>
        <v>技能冷却等级</v>
      </c>
      <c r="AO144" s="25" t="str">
        <f t="array" ref="AO144">INDEX(AL144:AN144,0,AK144)</f>
        <v>技能伤害加成</v>
      </c>
      <c r="AP144" s="25">
        <f t="shared" si="151"/>
        <v>0.15</v>
      </c>
      <c r="AQ144" s="25">
        <f t="shared" si="166"/>
        <v>0.18</v>
      </c>
      <c r="AR144" s="25" t="str">
        <f t="shared" ref="AR144:BZ144" si="176">IF(AR$78=$AO144,$AQ144,"0")</f>
        <v>0</v>
      </c>
      <c r="AS144" s="25" t="str">
        <f t="shared" si="176"/>
        <v>0</v>
      </c>
      <c r="AT144" s="25" t="str">
        <f t="shared" si="176"/>
        <v>0</v>
      </c>
      <c r="AU144" s="25" t="str">
        <f t="shared" si="176"/>
        <v>0</v>
      </c>
      <c r="AV144" s="25" t="str">
        <f t="shared" si="176"/>
        <v>0</v>
      </c>
      <c r="AW144" s="25" t="str">
        <f t="shared" si="176"/>
        <v>0</v>
      </c>
      <c r="AX144" s="25" t="str">
        <f t="shared" si="176"/>
        <v>0</v>
      </c>
      <c r="AY144" s="25" t="str">
        <f t="shared" si="176"/>
        <v>0</v>
      </c>
      <c r="AZ144" s="25" t="str">
        <f t="shared" si="176"/>
        <v>0</v>
      </c>
      <c r="BA144" s="25" t="str">
        <f t="shared" si="176"/>
        <v>0</v>
      </c>
      <c r="BB144" s="25" t="str">
        <f t="shared" si="176"/>
        <v>0</v>
      </c>
      <c r="BC144" s="25" t="str">
        <f t="shared" si="176"/>
        <v>0</v>
      </c>
      <c r="BD144" s="25" t="str">
        <f t="shared" si="176"/>
        <v>0</v>
      </c>
      <c r="BE144" s="25" t="str">
        <f t="shared" si="176"/>
        <v>0</v>
      </c>
      <c r="BF144" s="25" t="str">
        <f t="shared" si="176"/>
        <v>0</v>
      </c>
      <c r="BG144" s="25" t="str">
        <f t="shared" si="176"/>
        <v>0</v>
      </c>
      <c r="BH144" s="25" t="str">
        <f t="shared" si="176"/>
        <v>0</v>
      </c>
      <c r="BI144" s="25" t="str">
        <f t="shared" si="176"/>
        <v>0</v>
      </c>
      <c r="BJ144" s="25" t="str">
        <f t="shared" si="176"/>
        <v>0</v>
      </c>
      <c r="BK144" s="25" t="str">
        <f t="shared" si="176"/>
        <v>0</v>
      </c>
      <c r="BL144" s="25" t="str">
        <f t="shared" si="176"/>
        <v>0</v>
      </c>
      <c r="BM144" s="25" t="str">
        <f t="shared" si="176"/>
        <v>0</v>
      </c>
      <c r="BN144" s="25">
        <f t="shared" si="176"/>
        <v>0.18</v>
      </c>
      <c r="BO144" s="25" t="str">
        <f t="shared" si="176"/>
        <v>0</v>
      </c>
      <c r="BP144" s="25" t="str">
        <f t="shared" si="176"/>
        <v>0</v>
      </c>
      <c r="BQ144" s="25" t="str">
        <f t="shared" si="176"/>
        <v>0</v>
      </c>
      <c r="BR144" s="25" t="str">
        <f t="shared" si="176"/>
        <v>0</v>
      </c>
      <c r="BS144" s="25" t="str">
        <f t="shared" si="176"/>
        <v>0</v>
      </c>
      <c r="BT144" s="25" t="str">
        <f t="shared" si="176"/>
        <v>0</v>
      </c>
      <c r="BU144" s="25" t="str">
        <f t="shared" si="176"/>
        <v>0</v>
      </c>
      <c r="BV144" s="25" t="str">
        <f t="shared" si="176"/>
        <v>0</v>
      </c>
      <c r="BW144" s="25" t="str">
        <f t="shared" si="176"/>
        <v>0</v>
      </c>
      <c r="BX144" s="25" t="str">
        <f t="shared" si="176"/>
        <v>0</v>
      </c>
      <c r="BY144" s="25" t="str">
        <f t="shared" si="176"/>
        <v>0</v>
      </c>
      <c r="BZ144" s="25" t="str">
        <f t="shared" si="176"/>
        <v>0</v>
      </c>
      <c r="CC144" s="25" t="str">
        <f t="array" ref="CC144">INDEX($C$46:$C$74,MATCH(CD144,$B$46:$B$74,0))</f>
        <v>陈双双</v>
      </c>
      <c r="CD144" s="1">
        <v>1011</v>
      </c>
      <c r="CE144" s="1">
        <v>2</v>
      </c>
      <c r="CF144" s="25" t="str">
        <f t="array" ref="CF144">INDEX($T$5:$T$44,MATCH(CC144,$B$5:$B$44,0))</f>
        <v>魔法</v>
      </c>
      <c r="CG144" s="25">
        <f t="shared" si="34"/>
        <v>0</v>
      </c>
      <c r="CH144" s="25">
        <f t="shared" si="168"/>
        <v>1</v>
      </c>
      <c r="CI144" s="25">
        <f t="shared" si="169"/>
        <v>1</v>
      </c>
      <c r="CJ144" s="25">
        <f t="shared" si="170"/>
        <v>1</v>
      </c>
      <c r="CK144" s="25">
        <f t="shared" si="171"/>
        <v>1</v>
      </c>
      <c r="CL144" s="25">
        <v>0</v>
      </c>
      <c r="CM144" s="25">
        <f t="shared" si="35"/>
        <v>0</v>
      </c>
      <c r="CN144" s="25">
        <f t="shared" si="172"/>
        <v>0</v>
      </c>
      <c r="CO144" s="25">
        <f t="shared" si="173"/>
        <v>0</v>
      </c>
      <c r="CP144" s="29" t="str">
        <f t="shared" ref="CP144:DQ144" si="177">IF($CL144=CP$78,$CN144,"0")</f>
        <v>0</v>
      </c>
      <c r="CQ144" s="29" t="str">
        <f t="shared" si="177"/>
        <v>0</v>
      </c>
      <c r="CR144" s="29" t="str">
        <f t="shared" si="177"/>
        <v>0</v>
      </c>
      <c r="CS144" s="29" t="str">
        <f t="shared" si="177"/>
        <v>0</v>
      </c>
      <c r="CT144" s="29" t="str">
        <f t="shared" si="177"/>
        <v>0</v>
      </c>
      <c r="CU144" s="29" t="str">
        <f t="shared" si="177"/>
        <v>0</v>
      </c>
      <c r="CV144" s="29" t="str">
        <f t="shared" si="177"/>
        <v>0</v>
      </c>
      <c r="CW144" s="29" t="str">
        <f t="shared" si="177"/>
        <v>0</v>
      </c>
      <c r="CX144" s="29" t="str">
        <f t="shared" si="177"/>
        <v>0</v>
      </c>
      <c r="CY144" s="29" t="str">
        <f t="shared" si="177"/>
        <v>0</v>
      </c>
      <c r="CZ144" s="29" t="str">
        <f t="shared" si="177"/>
        <v>0</v>
      </c>
      <c r="DA144" s="29" t="str">
        <f t="shared" si="177"/>
        <v>0</v>
      </c>
      <c r="DB144" s="29" t="str">
        <f t="shared" si="177"/>
        <v>0</v>
      </c>
      <c r="DC144" s="29" t="str">
        <f t="shared" si="177"/>
        <v>0</v>
      </c>
      <c r="DD144" s="29" t="str">
        <f t="shared" si="177"/>
        <v>0</v>
      </c>
      <c r="DE144" s="29" t="str">
        <f t="shared" si="177"/>
        <v>0</v>
      </c>
      <c r="DF144" s="29" t="str">
        <f t="shared" si="177"/>
        <v>0</v>
      </c>
      <c r="DG144" s="29" t="str">
        <f t="shared" si="177"/>
        <v>0</v>
      </c>
      <c r="DH144" s="29" t="str">
        <f t="shared" si="177"/>
        <v>0</v>
      </c>
      <c r="DI144" s="29" t="str">
        <f t="shared" si="177"/>
        <v>0</v>
      </c>
      <c r="DJ144" s="29" t="str">
        <f t="shared" si="177"/>
        <v>0</v>
      </c>
      <c r="DK144" s="29" t="str">
        <f t="shared" si="177"/>
        <v>0</v>
      </c>
      <c r="DL144" s="29" t="str">
        <f t="shared" si="177"/>
        <v>0</v>
      </c>
      <c r="DM144" s="29" t="str">
        <f t="shared" si="177"/>
        <v>0</v>
      </c>
      <c r="DN144" s="29" t="str">
        <f t="shared" si="177"/>
        <v>0</v>
      </c>
      <c r="DO144" s="29" t="str">
        <f t="shared" si="177"/>
        <v>0</v>
      </c>
      <c r="DP144" s="29" t="str">
        <f t="shared" si="177"/>
        <v>0</v>
      </c>
      <c r="DQ144" s="29" t="str">
        <f t="shared" si="177"/>
        <v>0</v>
      </c>
      <c r="DR144" s="29"/>
      <c r="DS144" s="25">
        <v>0</v>
      </c>
      <c r="EE144" s="25" t="str">
        <f t="shared" si="175"/>
        <v>0</v>
      </c>
    </row>
    <row r="145" spans="1:135">
      <c r="A145" s="53">
        <v>1002007</v>
      </c>
      <c r="B145" s="49" t="s">
        <v>318</v>
      </c>
      <c r="C145" s="25">
        <f t="shared" si="146"/>
        <v>7</v>
      </c>
      <c r="D145" s="25">
        <f t="array" ref="D145">INDEX(C$5:C$67,MATCH($B145,$B$5:$B$67,0))</f>
        <v>5600</v>
      </c>
      <c r="E145" s="25">
        <f t="array" ref="E145">INDEX(D$5:D$67,MATCH($B145,$B$5:$B$67,0))</f>
        <v>448</v>
      </c>
      <c r="F145" s="25">
        <f t="array" ref="F145">INDEX(E$5:E$67,MATCH($B145,$B$5:$B$67,0))</f>
        <v>720</v>
      </c>
      <c r="G145" s="25">
        <f t="array" ref="G145">INDEX(F$5:F$67,MATCH($B145,$B$5:$B$67,0))</f>
        <v>57.6</v>
      </c>
      <c r="H145" s="25">
        <f t="array" ref="H145">INDEX(G$5:G$66,MATCH($B145,$B$5:$B$67,0))</f>
        <v>576</v>
      </c>
      <c r="I145" s="25">
        <f t="array" ref="I145">INDEX(H$5:H$67,MATCH($B145,$B$5:$B$67,0))</f>
        <v>46.08</v>
      </c>
      <c r="J145" s="25">
        <f t="array" ref="J145">INDEX(I$5:I$67,MATCH($B145,$B$5:$B$67,0))</f>
        <v>800</v>
      </c>
      <c r="K145" s="25">
        <f t="array" ref="K145">INDEX(J$5:J$67,MATCH($B145,$B$5:$B$67,0))</f>
        <v>64</v>
      </c>
      <c r="L145" s="25">
        <f t="shared" si="156"/>
        <v>8736</v>
      </c>
      <c r="M145" s="25">
        <f t="shared" si="157"/>
        <v>1123</v>
      </c>
      <c r="N145" s="25">
        <f t="shared" si="158"/>
        <v>899</v>
      </c>
      <c r="O145" s="25">
        <f t="shared" si="159"/>
        <v>1248</v>
      </c>
      <c r="R145" s="50">
        <f t="array" ref="R145">INDEX($B$46:$B$68,MATCH(S145,$C$46:$C$68,0))*1000+T145</f>
        <v>1003013</v>
      </c>
      <c r="S145" s="51" t="s">
        <v>321</v>
      </c>
      <c r="T145" s="29">
        <f t="shared" si="78"/>
        <v>13</v>
      </c>
      <c r="U145" s="25">
        <f t="array" ref="U145">INDEX(K$5:K$67,MATCH($S145,$B$5:$B$67,0))</f>
        <v>656.04</v>
      </c>
      <c r="V145" s="25">
        <f t="array" ref="V145">INDEX(L$5:L$67,MATCH($S145,$B$5:$B$67,0))</f>
        <v>62.67</v>
      </c>
      <c r="W145" s="25">
        <f t="array" ref="W145">INDEX(M$5:M$67,MATCH($S145,$B$5:$B$67,0))</f>
        <v>78.34</v>
      </c>
      <c r="X145" s="25">
        <f t="array" ref="X145">INDEX(N$5:N$67,MATCH($S145,$B$5:$B$67,0))</f>
        <v>76.5</v>
      </c>
      <c r="Y145" s="25">
        <f t="shared" si="160"/>
        <v>8529</v>
      </c>
      <c r="Z145" s="25">
        <f t="shared" si="161"/>
        <v>815</v>
      </c>
      <c r="AA145" s="25">
        <f t="shared" si="162"/>
        <v>1018</v>
      </c>
      <c r="AB145" s="25">
        <f t="shared" si="163"/>
        <v>995</v>
      </c>
      <c r="AF145" s="25">
        <v>67</v>
      </c>
      <c r="AG145" s="25">
        <f t="array" ref="AG145">INDEX($AE$79:$AE$116,QUOTIENT(AF145-1,8)+1)</f>
        <v>1009</v>
      </c>
      <c r="AH145" s="25">
        <f t="shared" si="37"/>
        <v>3</v>
      </c>
      <c r="AI145" s="25">
        <f t="shared" si="164"/>
        <v>10093</v>
      </c>
      <c r="AJ145" s="25" t="str">
        <f t="shared" si="165"/>
        <v>约瑟夫</v>
      </c>
      <c r="AK145" s="25">
        <f t="shared" si="38"/>
        <v>3</v>
      </c>
      <c r="AL145" s="25" t="str">
        <f t="array" ref="AL145">INDEX($O$5:$O$42,MATCH(AJ145,$B$5:$B$42,0))</f>
        <v>攻击百分比</v>
      </c>
      <c r="AM145" s="25" t="str">
        <f t="array" ref="AM145">INDEX($P$5:$P$42,MATCH(AJ145,$B$5:$B$42,0))</f>
        <v>技能伤害加成</v>
      </c>
      <c r="AN145" s="25" t="str">
        <f t="array" ref="AN145">INDEX($Q$5:$Q$42,MATCH(AJ145,$B$5:$B$42,0))</f>
        <v>技能冷却等级</v>
      </c>
      <c r="AO145" s="25" t="str">
        <f t="array" ref="AO145">INDEX(AL145:AN145,0,AK145)</f>
        <v>技能冷却等级</v>
      </c>
      <c r="AP145" s="25">
        <f t="shared" si="151"/>
        <v>0.216666666666667</v>
      </c>
      <c r="AQ145" s="25">
        <f t="shared" si="166"/>
        <v>2816.66666666667</v>
      </c>
      <c r="AR145" s="25" t="str">
        <f t="shared" ref="AR145:BZ145" si="178">IF(AR$78=$AO145,$AQ145,"0")</f>
        <v>0</v>
      </c>
      <c r="AS145" s="25" t="str">
        <f t="shared" si="178"/>
        <v>0</v>
      </c>
      <c r="AT145" s="25" t="str">
        <f t="shared" si="178"/>
        <v>0</v>
      </c>
      <c r="AU145" s="25" t="str">
        <f t="shared" si="178"/>
        <v>0</v>
      </c>
      <c r="AV145" s="25" t="str">
        <f t="shared" si="178"/>
        <v>0</v>
      </c>
      <c r="AW145" s="25" t="str">
        <f t="shared" si="178"/>
        <v>0</v>
      </c>
      <c r="AX145" s="25" t="str">
        <f t="shared" si="178"/>
        <v>0</v>
      </c>
      <c r="AY145" s="25" t="str">
        <f t="shared" si="178"/>
        <v>0</v>
      </c>
      <c r="AZ145" s="25" t="str">
        <f t="shared" si="178"/>
        <v>0</v>
      </c>
      <c r="BA145" s="25" t="str">
        <f t="shared" si="178"/>
        <v>0</v>
      </c>
      <c r="BB145" s="25" t="str">
        <f t="shared" si="178"/>
        <v>0</v>
      </c>
      <c r="BC145" s="25" t="str">
        <f t="shared" si="178"/>
        <v>0</v>
      </c>
      <c r="BD145" s="25" t="str">
        <f t="shared" si="178"/>
        <v>0</v>
      </c>
      <c r="BE145" s="25" t="str">
        <f t="shared" si="178"/>
        <v>0</v>
      </c>
      <c r="BF145" s="25" t="str">
        <f t="shared" si="178"/>
        <v>0</v>
      </c>
      <c r="BG145" s="25" t="str">
        <f t="shared" si="178"/>
        <v>0</v>
      </c>
      <c r="BH145" s="25" t="str">
        <f t="shared" si="178"/>
        <v>0</v>
      </c>
      <c r="BI145" s="25" t="str">
        <f t="shared" si="178"/>
        <v>0</v>
      </c>
      <c r="BJ145" s="25" t="str">
        <f t="shared" si="178"/>
        <v>0</v>
      </c>
      <c r="BK145" s="25" t="str">
        <f t="shared" si="178"/>
        <v>0</v>
      </c>
      <c r="BL145" s="25" t="str">
        <f t="shared" si="178"/>
        <v>0</v>
      </c>
      <c r="BM145" s="25" t="str">
        <f t="shared" si="178"/>
        <v>0</v>
      </c>
      <c r="BN145" s="25" t="str">
        <f t="shared" si="178"/>
        <v>0</v>
      </c>
      <c r="BO145" s="25" t="str">
        <f t="shared" si="178"/>
        <v>0</v>
      </c>
      <c r="BP145" s="25" t="str">
        <f t="shared" si="178"/>
        <v>0</v>
      </c>
      <c r="BQ145" s="25" t="str">
        <f t="shared" si="178"/>
        <v>0</v>
      </c>
      <c r="BR145" s="25" t="str">
        <f t="shared" si="178"/>
        <v>0</v>
      </c>
      <c r="BS145" s="25" t="str">
        <f t="shared" si="178"/>
        <v>0</v>
      </c>
      <c r="BT145" s="25" t="str">
        <f t="shared" si="178"/>
        <v>0</v>
      </c>
      <c r="BU145" s="25" t="str">
        <f t="shared" si="178"/>
        <v>0</v>
      </c>
      <c r="BV145" s="25" t="str">
        <f t="shared" si="178"/>
        <v>0</v>
      </c>
      <c r="BW145" s="25" t="str">
        <f t="shared" si="178"/>
        <v>0</v>
      </c>
      <c r="BX145" s="25" t="str">
        <f t="shared" si="178"/>
        <v>0</v>
      </c>
      <c r="BY145" s="25" t="str">
        <f t="shared" si="178"/>
        <v>0</v>
      </c>
      <c r="BZ145" s="25">
        <f t="shared" si="178"/>
        <v>2816.66666666667</v>
      </c>
      <c r="CC145" s="25" t="str">
        <f t="array" ref="CC145">INDEX($C$46:$C$74,MATCH(CD145,$B$46:$B$74,0))</f>
        <v>陈双双</v>
      </c>
      <c r="CD145" s="1">
        <v>1011</v>
      </c>
      <c r="CE145" s="1">
        <v>3</v>
      </c>
      <c r="CF145" s="25" t="str">
        <f t="array" ref="CF145">INDEX($T$5:$T$44,MATCH(CC145,$B$5:$B$44,0))</f>
        <v>魔法</v>
      </c>
      <c r="CG145" s="25">
        <f t="shared" si="34"/>
        <v>0.15</v>
      </c>
      <c r="CH145" s="25">
        <f t="shared" si="168"/>
        <v>1.15</v>
      </c>
      <c r="CI145" s="25">
        <f t="shared" si="169"/>
        <v>1</v>
      </c>
      <c r="CJ145" s="25">
        <f t="shared" si="170"/>
        <v>1.15</v>
      </c>
      <c r="CK145" s="25">
        <f t="shared" si="171"/>
        <v>1.15</v>
      </c>
      <c r="CL145" s="25" t="str">
        <f t="array" ref="CL145">INDEX($R$5:$R$43,MATCH(CC145,$B$5:$B$43,0))</f>
        <v>魔法伤害加成</v>
      </c>
      <c r="CM145" s="25">
        <f t="shared" si="35"/>
        <v>0.3</v>
      </c>
      <c r="CN145" s="25">
        <f t="shared" si="172"/>
        <v>0.12</v>
      </c>
      <c r="CO145" s="25">
        <f t="shared" si="173"/>
        <v>1</v>
      </c>
      <c r="CP145" s="29" t="str">
        <f t="shared" ref="CP145:DQ145" si="179">IF($CL145=CP$78,$CN145,"0")</f>
        <v>0</v>
      </c>
      <c r="CQ145" s="29" t="str">
        <f t="shared" si="179"/>
        <v>0</v>
      </c>
      <c r="CR145" s="29" t="str">
        <f t="shared" si="179"/>
        <v>0</v>
      </c>
      <c r="CS145" s="29" t="str">
        <f t="shared" si="179"/>
        <v>0</v>
      </c>
      <c r="CT145" s="29" t="str">
        <f t="shared" si="179"/>
        <v>0</v>
      </c>
      <c r="CU145" s="29" t="str">
        <f t="shared" si="179"/>
        <v>0</v>
      </c>
      <c r="CV145" s="29" t="str">
        <f t="shared" si="179"/>
        <v>0</v>
      </c>
      <c r="CW145" s="29" t="str">
        <f t="shared" si="179"/>
        <v>0</v>
      </c>
      <c r="CX145" s="29" t="str">
        <f t="shared" si="179"/>
        <v>0</v>
      </c>
      <c r="CY145" s="29" t="str">
        <f t="shared" si="179"/>
        <v>0</v>
      </c>
      <c r="CZ145" s="29" t="str">
        <f t="shared" si="179"/>
        <v>0</v>
      </c>
      <c r="DA145" s="29" t="str">
        <f t="shared" si="179"/>
        <v>0</v>
      </c>
      <c r="DB145" s="29" t="str">
        <f t="shared" si="179"/>
        <v>0</v>
      </c>
      <c r="DC145" s="29">
        <f t="shared" si="179"/>
        <v>0.12</v>
      </c>
      <c r="DD145" s="29" t="str">
        <f t="shared" si="179"/>
        <v>0</v>
      </c>
      <c r="DE145" s="29" t="str">
        <f t="shared" si="179"/>
        <v>0</v>
      </c>
      <c r="DF145" s="29" t="str">
        <f t="shared" si="179"/>
        <v>0</v>
      </c>
      <c r="DG145" s="29" t="str">
        <f t="shared" si="179"/>
        <v>0</v>
      </c>
      <c r="DH145" s="29" t="str">
        <f t="shared" si="179"/>
        <v>0</v>
      </c>
      <c r="DI145" s="29" t="str">
        <f t="shared" si="179"/>
        <v>0</v>
      </c>
      <c r="DJ145" s="29" t="str">
        <f t="shared" si="179"/>
        <v>0</v>
      </c>
      <c r="DK145" s="29" t="str">
        <f t="shared" si="179"/>
        <v>0</v>
      </c>
      <c r="DL145" s="29" t="str">
        <f t="shared" si="179"/>
        <v>0</v>
      </c>
      <c r="DM145" s="29" t="str">
        <f t="shared" si="179"/>
        <v>0</v>
      </c>
      <c r="DN145" s="29" t="str">
        <f t="shared" si="179"/>
        <v>0</v>
      </c>
      <c r="DO145" s="29" t="str">
        <f t="shared" si="179"/>
        <v>0</v>
      </c>
      <c r="DP145" s="29" t="str">
        <f t="shared" si="179"/>
        <v>0</v>
      </c>
      <c r="DQ145" s="29" t="str">
        <f t="shared" si="179"/>
        <v>0</v>
      </c>
      <c r="DR145" s="29"/>
      <c r="DS145" s="25" t="s">
        <v>1011</v>
      </c>
      <c r="DT145" s="25" t="str">
        <f>TEXT(角色升星!$F$18,"0%")</f>
        <v>15%</v>
      </c>
      <c r="DU145" s="25" t="s">
        <v>779</v>
      </c>
      <c r="DV145" s="25" t="str">
        <f>IF(CF145="物理","PhysicsAttack,+","MagicAttack,+")</f>
        <v>MagicAttack,+</v>
      </c>
      <c r="DW145" s="25" t="str">
        <f>TEXT(角色升星!$F$18,"0%")</f>
        <v>15%</v>
      </c>
      <c r="DX145" s="25" t="s">
        <v>779</v>
      </c>
      <c r="DY145" s="25" t="s">
        <v>1012</v>
      </c>
      <c r="DZ145" s="25" t="str">
        <f>TEXT(角色升星!$F$18,"0%")</f>
        <v>15%</v>
      </c>
      <c r="EA145" s="25" t="s">
        <v>779</v>
      </c>
      <c r="EB145" s="25" t="str">
        <f>VLOOKUP(CL145,$O$46:$P$73,2,0)</f>
        <v>MagicDmgBonus</v>
      </c>
      <c r="EC145" s="25" t="s">
        <v>1013</v>
      </c>
      <c r="ED145" s="25" t="str">
        <f>IF(CN145&gt;1,CN145,TEXT(CN145,"0%"))</f>
        <v>12%</v>
      </c>
      <c r="EE145" s="25" t="str">
        <f t="shared" si="175"/>
        <v>Hp,+15%;MagicAttack,+15%;Armor,+15%;MagicDmgBonus,+12%</v>
      </c>
    </row>
    <row r="146" spans="1:135">
      <c r="A146" s="53">
        <v>1002008</v>
      </c>
      <c r="B146" s="49" t="s">
        <v>318</v>
      </c>
      <c r="C146" s="25">
        <f t="shared" si="146"/>
        <v>8</v>
      </c>
      <c r="D146" s="25">
        <f t="array" ref="D146">INDEX(C$5:C$67,MATCH($B146,$B$5:$B$67,0))</f>
        <v>5600</v>
      </c>
      <c r="E146" s="25">
        <f t="array" ref="E146">INDEX(D$5:D$67,MATCH($B146,$B$5:$B$67,0))</f>
        <v>448</v>
      </c>
      <c r="F146" s="25">
        <f t="array" ref="F146">INDEX(E$5:E$67,MATCH($B146,$B$5:$B$67,0))</f>
        <v>720</v>
      </c>
      <c r="G146" s="25">
        <f t="array" ref="G146">INDEX(F$5:F$67,MATCH($B146,$B$5:$B$67,0))</f>
        <v>57.6</v>
      </c>
      <c r="H146" s="25">
        <f t="array" ref="H146">INDEX(G$5:G$66,MATCH($B146,$B$5:$B$67,0))</f>
        <v>576</v>
      </c>
      <c r="I146" s="25">
        <f t="array" ref="I146">INDEX(H$5:H$67,MATCH($B146,$B$5:$B$67,0))</f>
        <v>46.08</v>
      </c>
      <c r="J146" s="25">
        <f t="array" ref="J146">INDEX(I$5:I$67,MATCH($B146,$B$5:$B$67,0))</f>
        <v>800</v>
      </c>
      <c r="K146" s="25">
        <f t="array" ref="K146">INDEX(J$5:J$67,MATCH($B146,$B$5:$B$67,0))</f>
        <v>64</v>
      </c>
      <c r="L146" s="25">
        <f t="shared" si="156"/>
        <v>9184</v>
      </c>
      <c r="M146" s="25">
        <f t="shared" si="157"/>
        <v>1181</v>
      </c>
      <c r="N146" s="25">
        <f t="shared" si="158"/>
        <v>945</v>
      </c>
      <c r="O146" s="25">
        <f t="shared" si="159"/>
        <v>1312</v>
      </c>
      <c r="R146" s="50">
        <f t="array" ref="R146">INDEX($B$46:$B$68,MATCH(S146,$C$46:$C$68,0))*1000+T146</f>
        <v>1003014</v>
      </c>
      <c r="S146" s="51" t="s">
        <v>321</v>
      </c>
      <c r="T146" s="29">
        <f t="shared" si="78"/>
        <v>14</v>
      </c>
      <c r="U146" s="25">
        <f t="array" ref="U146">INDEX(K$5:K$67,MATCH($S146,$B$5:$B$67,0))</f>
        <v>656.04</v>
      </c>
      <c r="V146" s="25">
        <f t="array" ref="V146">INDEX(L$5:L$67,MATCH($S146,$B$5:$B$67,0))</f>
        <v>62.67</v>
      </c>
      <c r="W146" s="25">
        <f t="array" ref="W146">INDEX(M$5:M$67,MATCH($S146,$B$5:$B$67,0))</f>
        <v>78.34</v>
      </c>
      <c r="X146" s="25">
        <f t="array" ref="X146">INDEX(N$5:N$67,MATCH($S146,$B$5:$B$67,0))</f>
        <v>76.5</v>
      </c>
      <c r="Y146" s="25">
        <f t="shared" si="160"/>
        <v>9185</v>
      </c>
      <c r="Z146" s="25">
        <f t="shared" si="161"/>
        <v>877</v>
      </c>
      <c r="AA146" s="25">
        <f t="shared" si="162"/>
        <v>1097</v>
      </c>
      <c r="AB146" s="25">
        <f t="shared" si="163"/>
        <v>1071</v>
      </c>
      <c r="AF146" s="25">
        <v>68</v>
      </c>
      <c r="AG146" s="25">
        <f t="array" ref="AG146">INDEX($AE$79:$AE$116,QUOTIENT(AF146-1,8)+1)</f>
        <v>1009</v>
      </c>
      <c r="AH146" s="25">
        <f t="shared" si="37"/>
        <v>4</v>
      </c>
      <c r="AI146" s="25">
        <f t="shared" si="164"/>
        <v>10094</v>
      </c>
      <c r="AJ146" s="25" t="str">
        <f t="shared" si="165"/>
        <v>约瑟夫</v>
      </c>
      <c r="AK146" s="25">
        <f t="shared" si="38"/>
        <v>2</v>
      </c>
      <c r="AL146" s="25" t="str">
        <f t="array" ref="AL146">INDEX($O$5:$O$42,MATCH(AJ146,$B$5:$B$42,0))</f>
        <v>攻击百分比</v>
      </c>
      <c r="AM146" s="25" t="str">
        <f t="array" ref="AM146">INDEX($P$5:$P$42,MATCH(AJ146,$B$5:$B$42,0))</f>
        <v>技能伤害加成</v>
      </c>
      <c r="AN146" s="25" t="str">
        <f t="array" ref="AN146">INDEX($Q$5:$Q$42,MATCH(AJ146,$B$5:$B$42,0))</f>
        <v>技能冷却等级</v>
      </c>
      <c r="AO146" s="25" t="str">
        <f t="array" ref="AO146">INDEX(AL146:AN146,0,AK146)</f>
        <v>技能伤害加成</v>
      </c>
      <c r="AP146" s="25">
        <f t="shared" si="151"/>
        <v>0.15</v>
      </c>
      <c r="AQ146" s="25">
        <f t="shared" si="166"/>
        <v>0.18</v>
      </c>
      <c r="AR146" s="25" t="str">
        <f t="shared" ref="AR146:BZ146" si="180">IF(AR$78=$AO146,$AQ146,"0")</f>
        <v>0</v>
      </c>
      <c r="AS146" s="25" t="str">
        <f t="shared" si="180"/>
        <v>0</v>
      </c>
      <c r="AT146" s="25" t="str">
        <f t="shared" si="180"/>
        <v>0</v>
      </c>
      <c r="AU146" s="25" t="str">
        <f t="shared" si="180"/>
        <v>0</v>
      </c>
      <c r="AV146" s="25" t="str">
        <f t="shared" si="180"/>
        <v>0</v>
      </c>
      <c r="AW146" s="25" t="str">
        <f t="shared" si="180"/>
        <v>0</v>
      </c>
      <c r="AX146" s="25" t="str">
        <f t="shared" si="180"/>
        <v>0</v>
      </c>
      <c r="AY146" s="25" t="str">
        <f t="shared" si="180"/>
        <v>0</v>
      </c>
      <c r="AZ146" s="25" t="str">
        <f t="shared" si="180"/>
        <v>0</v>
      </c>
      <c r="BA146" s="25" t="str">
        <f t="shared" si="180"/>
        <v>0</v>
      </c>
      <c r="BB146" s="25" t="str">
        <f t="shared" si="180"/>
        <v>0</v>
      </c>
      <c r="BC146" s="25" t="str">
        <f t="shared" si="180"/>
        <v>0</v>
      </c>
      <c r="BD146" s="25" t="str">
        <f t="shared" si="180"/>
        <v>0</v>
      </c>
      <c r="BE146" s="25" t="str">
        <f t="shared" si="180"/>
        <v>0</v>
      </c>
      <c r="BF146" s="25" t="str">
        <f t="shared" si="180"/>
        <v>0</v>
      </c>
      <c r="BG146" s="25" t="str">
        <f t="shared" si="180"/>
        <v>0</v>
      </c>
      <c r="BH146" s="25" t="str">
        <f t="shared" si="180"/>
        <v>0</v>
      </c>
      <c r="BI146" s="25" t="str">
        <f t="shared" si="180"/>
        <v>0</v>
      </c>
      <c r="BJ146" s="25" t="str">
        <f t="shared" si="180"/>
        <v>0</v>
      </c>
      <c r="BK146" s="25" t="str">
        <f t="shared" si="180"/>
        <v>0</v>
      </c>
      <c r="BL146" s="25" t="str">
        <f t="shared" si="180"/>
        <v>0</v>
      </c>
      <c r="BM146" s="25" t="str">
        <f t="shared" si="180"/>
        <v>0</v>
      </c>
      <c r="BN146" s="25">
        <f t="shared" si="180"/>
        <v>0.18</v>
      </c>
      <c r="BO146" s="25" t="str">
        <f t="shared" si="180"/>
        <v>0</v>
      </c>
      <c r="BP146" s="25" t="str">
        <f t="shared" si="180"/>
        <v>0</v>
      </c>
      <c r="BQ146" s="25" t="str">
        <f t="shared" si="180"/>
        <v>0</v>
      </c>
      <c r="BR146" s="25" t="str">
        <f t="shared" si="180"/>
        <v>0</v>
      </c>
      <c r="BS146" s="25" t="str">
        <f t="shared" si="180"/>
        <v>0</v>
      </c>
      <c r="BT146" s="25" t="str">
        <f t="shared" si="180"/>
        <v>0</v>
      </c>
      <c r="BU146" s="25" t="str">
        <f t="shared" si="180"/>
        <v>0</v>
      </c>
      <c r="BV146" s="25" t="str">
        <f t="shared" si="180"/>
        <v>0</v>
      </c>
      <c r="BW146" s="25" t="str">
        <f t="shared" si="180"/>
        <v>0</v>
      </c>
      <c r="BX146" s="25" t="str">
        <f t="shared" si="180"/>
        <v>0</v>
      </c>
      <c r="BY146" s="25" t="str">
        <f t="shared" si="180"/>
        <v>0</v>
      </c>
      <c r="BZ146" s="25" t="str">
        <f t="shared" si="180"/>
        <v>0</v>
      </c>
      <c r="CC146" s="25" t="str">
        <f t="array" ref="CC146">INDEX($C$46:$C$74,MATCH(CD146,$B$46:$B$74,0))</f>
        <v>陈双双</v>
      </c>
      <c r="CD146" s="1">
        <v>1011</v>
      </c>
      <c r="CE146" s="1">
        <v>4</v>
      </c>
      <c r="CF146" s="25" t="str">
        <f t="array" ref="CF146">INDEX($T$5:$T$44,MATCH(CC146,$B$5:$B$44,0))</f>
        <v>魔法</v>
      </c>
      <c r="CG146" s="25">
        <f t="shared" si="34"/>
        <v>0.15</v>
      </c>
      <c r="CH146" s="25">
        <f t="shared" si="168"/>
        <v>1.15</v>
      </c>
      <c r="CI146" s="25">
        <f t="shared" si="169"/>
        <v>1</v>
      </c>
      <c r="CJ146" s="25">
        <f t="shared" si="170"/>
        <v>1.15</v>
      </c>
      <c r="CK146" s="25">
        <f t="shared" si="171"/>
        <v>1.15</v>
      </c>
      <c r="CL146" s="25">
        <v>0</v>
      </c>
      <c r="CM146" s="25">
        <f t="shared" si="35"/>
        <v>0</v>
      </c>
      <c r="CN146" s="25">
        <f t="shared" si="172"/>
        <v>0</v>
      </c>
      <c r="CO146" s="25">
        <f t="shared" si="173"/>
        <v>0</v>
      </c>
      <c r="CP146" s="29" t="str">
        <f t="shared" ref="CP146:DQ146" si="181">IF($CL146=CP$78,$CN146,"0")</f>
        <v>0</v>
      </c>
      <c r="CQ146" s="29" t="str">
        <f t="shared" si="181"/>
        <v>0</v>
      </c>
      <c r="CR146" s="29" t="str">
        <f t="shared" si="181"/>
        <v>0</v>
      </c>
      <c r="CS146" s="29" t="str">
        <f t="shared" si="181"/>
        <v>0</v>
      </c>
      <c r="CT146" s="29" t="str">
        <f t="shared" si="181"/>
        <v>0</v>
      </c>
      <c r="CU146" s="29" t="str">
        <f t="shared" si="181"/>
        <v>0</v>
      </c>
      <c r="CV146" s="29" t="str">
        <f t="shared" si="181"/>
        <v>0</v>
      </c>
      <c r="CW146" s="29" t="str">
        <f t="shared" si="181"/>
        <v>0</v>
      </c>
      <c r="CX146" s="29" t="str">
        <f t="shared" si="181"/>
        <v>0</v>
      </c>
      <c r="CY146" s="29" t="str">
        <f t="shared" si="181"/>
        <v>0</v>
      </c>
      <c r="CZ146" s="29" t="str">
        <f t="shared" si="181"/>
        <v>0</v>
      </c>
      <c r="DA146" s="29" t="str">
        <f t="shared" si="181"/>
        <v>0</v>
      </c>
      <c r="DB146" s="29" t="str">
        <f t="shared" si="181"/>
        <v>0</v>
      </c>
      <c r="DC146" s="29" t="str">
        <f t="shared" si="181"/>
        <v>0</v>
      </c>
      <c r="DD146" s="29" t="str">
        <f t="shared" si="181"/>
        <v>0</v>
      </c>
      <c r="DE146" s="29" t="str">
        <f t="shared" si="181"/>
        <v>0</v>
      </c>
      <c r="DF146" s="29" t="str">
        <f t="shared" si="181"/>
        <v>0</v>
      </c>
      <c r="DG146" s="29" t="str">
        <f t="shared" si="181"/>
        <v>0</v>
      </c>
      <c r="DH146" s="29" t="str">
        <f t="shared" si="181"/>
        <v>0</v>
      </c>
      <c r="DI146" s="29" t="str">
        <f t="shared" si="181"/>
        <v>0</v>
      </c>
      <c r="DJ146" s="29" t="str">
        <f t="shared" si="181"/>
        <v>0</v>
      </c>
      <c r="DK146" s="29" t="str">
        <f t="shared" si="181"/>
        <v>0</v>
      </c>
      <c r="DL146" s="29" t="str">
        <f t="shared" si="181"/>
        <v>0</v>
      </c>
      <c r="DM146" s="29" t="str">
        <f t="shared" si="181"/>
        <v>0</v>
      </c>
      <c r="DN146" s="29" t="str">
        <f t="shared" si="181"/>
        <v>0</v>
      </c>
      <c r="DO146" s="29" t="str">
        <f t="shared" si="181"/>
        <v>0</v>
      </c>
      <c r="DP146" s="29" t="str">
        <f t="shared" si="181"/>
        <v>0</v>
      </c>
      <c r="DQ146" s="29" t="str">
        <f t="shared" si="181"/>
        <v>0</v>
      </c>
      <c r="DR146" s="29"/>
      <c r="DS146" s="25">
        <v>0</v>
      </c>
      <c r="EE146" s="25" t="str">
        <f t="shared" si="175"/>
        <v>0</v>
      </c>
    </row>
    <row r="147" spans="1:135">
      <c r="A147" s="53">
        <v>1002009</v>
      </c>
      <c r="B147" s="49" t="s">
        <v>318</v>
      </c>
      <c r="C147" s="25">
        <f t="shared" si="146"/>
        <v>9</v>
      </c>
      <c r="D147" s="25">
        <f t="array" ref="D147">INDEX(C$5:C$67,MATCH($B147,$B$5:$B$67,0))</f>
        <v>5600</v>
      </c>
      <c r="E147" s="25">
        <f t="array" ref="E147">INDEX(D$5:D$67,MATCH($B147,$B$5:$B$67,0))</f>
        <v>448</v>
      </c>
      <c r="F147" s="25">
        <f t="array" ref="F147">INDEX(E$5:E$67,MATCH($B147,$B$5:$B$67,0))</f>
        <v>720</v>
      </c>
      <c r="G147" s="25">
        <f t="array" ref="G147">INDEX(F$5:F$67,MATCH($B147,$B$5:$B$67,0))</f>
        <v>57.6</v>
      </c>
      <c r="H147" s="25">
        <f t="array" ref="H147">INDEX(G$5:G$66,MATCH($B147,$B$5:$B$67,0))</f>
        <v>576</v>
      </c>
      <c r="I147" s="25">
        <f t="array" ref="I147">INDEX(H$5:H$67,MATCH($B147,$B$5:$B$67,0))</f>
        <v>46.08</v>
      </c>
      <c r="J147" s="25">
        <f t="array" ref="J147">INDEX(I$5:I$67,MATCH($B147,$B$5:$B$67,0))</f>
        <v>800</v>
      </c>
      <c r="K147" s="25">
        <f t="array" ref="K147">INDEX(J$5:J$67,MATCH($B147,$B$5:$B$67,0))</f>
        <v>64</v>
      </c>
      <c r="L147" s="25">
        <f t="shared" si="156"/>
        <v>9632</v>
      </c>
      <c r="M147" s="25">
        <f t="shared" si="157"/>
        <v>1238</v>
      </c>
      <c r="N147" s="25">
        <f t="shared" si="158"/>
        <v>991</v>
      </c>
      <c r="O147" s="25">
        <f t="shared" si="159"/>
        <v>1376</v>
      </c>
      <c r="R147" s="50">
        <f t="array" ref="R147">INDEX($B$46:$B$68,MATCH(S147,$C$46:$C$68,0))*1000+T147</f>
        <v>1003015</v>
      </c>
      <c r="S147" s="51" t="s">
        <v>321</v>
      </c>
      <c r="T147" s="29">
        <f t="shared" si="78"/>
        <v>15</v>
      </c>
      <c r="U147" s="25">
        <f t="array" ref="U147">INDEX(K$5:K$67,MATCH($S147,$B$5:$B$67,0))</f>
        <v>656.04</v>
      </c>
      <c r="V147" s="25">
        <f t="array" ref="V147">INDEX(L$5:L$67,MATCH($S147,$B$5:$B$67,0))</f>
        <v>62.67</v>
      </c>
      <c r="W147" s="25">
        <f t="array" ref="W147">INDEX(M$5:M$67,MATCH($S147,$B$5:$B$67,0))</f>
        <v>78.34</v>
      </c>
      <c r="X147" s="25">
        <f t="array" ref="X147">INDEX(N$5:N$67,MATCH($S147,$B$5:$B$67,0))</f>
        <v>76.5</v>
      </c>
      <c r="Y147" s="25">
        <f t="shared" si="160"/>
        <v>9841</v>
      </c>
      <c r="Z147" s="25">
        <f t="shared" si="161"/>
        <v>940</v>
      </c>
      <c r="AA147" s="25">
        <f t="shared" si="162"/>
        <v>1175</v>
      </c>
      <c r="AB147" s="25">
        <f t="shared" si="163"/>
        <v>1148</v>
      </c>
      <c r="AF147" s="25">
        <v>69</v>
      </c>
      <c r="AG147" s="25">
        <f t="array" ref="AG147">INDEX($AE$79:$AE$116,QUOTIENT(AF147-1,8)+1)</f>
        <v>1009</v>
      </c>
      <c r="AH147" s="25">
        <f t="shared" si="37"/>
        <v>5</v>
      </c>
      <c r="AI147" s="25">
        <f t="shared" si="164"/>
        <v>10095</v>
      </c>
      <c r="AJ147" s="25" t="str">
        <f t="shared" si="165"/>
        <v>约瑟夫</v>
      </c>
      <c r="AK147" s="25">
        <f t="shared" si="38"/>
        <v>3</v>
      </c>
      <c r="AL147" s="25" t="str">
        <f t="array" ref="AL147">INDEX($O$5:$O$42,MATCH(AJ147,$B$5:$B$42,0))</f>
        <v>攻击百分比</v>
      </c>
      <c r="AM147" s="25" t="str">
        <f t="array" ref="AM147">INDEX($P$5:$P$42,MATCH(AJ147,$B$5:$B$42,0))</f>
        <v>技能伤害加成</v>
      </c>
      <c r="AN147" s="25" t="str">
        <f t="array" ref="AN147">INDEX($Q$5:$Q$42,MATCH(AJ147,$B$5:$B$42,0))</f>
        <v>技能冷却等级</v>
      </c>
      <c r="AO147" s="25" t="str">
        <f t="array" ref="AO147">INDEX(AL147:AN147,0,AK147)</f>
        <v>技能冷却等级</v>
      </c>
      <c r="AP147" s="25">
        <f t="shared" si="151"/>
        <v>0.216666666666667</v>
      </c>
      <c r="AQ147" s="25">
        <f t="shared" si="166"/>
        <v>2816.66666666667</v>
      </c>
      <c r="AR147" s="25" t="str">
        <f t="shared" ref="AR147:BZ147" si="182">IF(AR$78=$AO147,$AQ147,"0")</f>
        <v>0</v>
      </c>
      <c r="AS147" s="25" t="str">
        <f t="shared" si="182"/>
        <v>0</v>
      </c>
      <c r="AT147" s="25" t="str">
        <f t="shared" si="182"/>
        <v>0</v>
      </c>
      <c r="AU147" s="25" t="str">
        <f t="shared" si="182"/>
        <v>0</v>
      </c>
      <c r="AV147" s="25" t="str">
        <f t="shared" si="182"/>
        <v>0</v>
      </c>
      <c r="AW147" s="25" t="str">
        <f t="shared" si="182"/>
        <v>0</v>
      </c>
      <c r="AX147" s="25" t="str">
        <f t="shared" si="182"/>
        <v>0</v>
      </c>
      <c r="AY147" s="25" t="str">
        <f t="shared" si="182"/>
        <v>0</v>
      </c>
      <c r="AZ147" s="25" t="str">
        <f t="shared" si="182"/>
        <v>0</v>
      </c>
      <c r="BA147" s="25" t="str">
        <f t="shared" si="182"/>
        <v>0</v>
      </c>
      <c r="BB147" s="25" t="str">
        <f t="shared" si="182"/>
        <v>0</v>
      </c>
      <c r="BC147" s="25" t="str">
        <f t="shared" si="182"/>
        <v>0</v>
      </c>
      <c r="BD147" s="25" t="str">
        <f t="shared" si="182"/>
        <v>0</v>
      </c>
      <c r="BE147" s="25" t="str">
        <f t="shared" si="182"/>
        <v>0</v>
      </c>
      <c r="BF147" s="25" t="str">
        <f t="shared" si="182"/>
        <v>0</v>
      </c>
      <c r="BG147" s="25" t="str">
        <f t="shared" si="182"/>
        <v>0</v>
      </c>
      <c r="BH147" s="25" t="str">
        <f t="shared" si="182"/>
        <v>0</v>
      </c>
      <c r="BI147" s="25" t="str">
        <f t="shared" si="182"/>
        <v>0</v>
      </c>
      <c r="BJ147" s="25" t="str">
        <f t="shared" si="182"/>
        <v>0</v>
      </c>
      <c r="BK147" s="25" t="str">
        <f t="shared" si="182"/>
        <v>0</v>
      </c>
      <c r="BL147" s="25" t="str">
        <f t="shared" si="182"/>
        <v>0</v>
      </c>
      <c r="BM147" s="25" t="str">
        <f t="shared" si="182"/>
        <v>0</v>
      </c>
      <c r="BN147" s="25" t="str">
        <f t="shared" si="182"/>
        <v>0</v>
      </c>
      <c r="BO147" s="25" t="str">
        <f t="shared" si="182"/>
        <v>0</v>
      </c>
      <c r="BP147" s="25" t="str">
        <f t="shared" si="182"/>
        <v>0</v>
      </c>
      <c r="BQ147" s="25" t="str">
        <f t="shared" si="182"/>
        <v>0</v>
      </c>
      <c r="BR147" s="25" t="str">
        <f t="shared" si="182"/>
        <v>0</v>
      </c>
      <c r="BS147" s="25" t="str">
        <f t="shared" si="182"/>
        <v>0</v>
      </c>
      <c r="BT147" s="25" t="str">
        <f t="shared" si="182"/>
        <v>0</v>
      </c>
      <c r="BU147" s="25" t="str">
        <f t="shared" si="182"/>
        <v>0</v>
      </c>
      <c r="BV147" s="25" t="str">
        <f t="shared" si="182"/>
        <v>0</v>
      </c>
      <c r="BW147" s="25" t="str">
        <f t="shared" si="182"/>
        <v>0</v>
      </c>
      <c r="BX147" s="25" t="str">
        <f t="shared" si="182"/>
        <v>0</v>
      </c>
      <c r="BY147" s="25" t="str">
        <f t="shared" si="182"/>
        <v>0</v>
      </c>
      <c r="BZ147" s="25">
        <f t="shared" si="182"/>
        <v>2816.66666666667</v>
      </c>
      <c r="CC147" s="25" t="str">
        <f t="array" ref="CC147">INDEX($C$46:$C$74,MATCH(CD147,$B$46:$B$74,0))</f>
        <v>陈双双</v>
      </c>
      <c r="CD147" s="1">
        <v>1011</v>
      </c>
      <c r="CE147" s="1">
        <v>5</v>
      </c>
      <c r="CF147" s="25" t="str">
        <f t="array" ref="CF147">INDEX($T$5:$T$44,MATCH(CC147,$B$5:$B$44,0))</f>
        <v>魔法</v>
      </c>
      <c r="CG147" s="25">
        <f t="shared" si="34"/>
        <v>0.3</v>
      </c>
      <c r="CH147" s="25">
        <f t="shared" si="168"/>
        <v>1.3</v>
      </c>
      <c r="CI147" s="25">
        <f t="shared" si="169"/>
        <v>1</v>
      </c>
      <c r="CJ147" s="25">
        <f t="shared" si="170"/>
        <v>1.3</v>
      </c>
      <c r="CK147" s="25">
        <f t="shared" si="171"/>
        <v>1.3</v>
      </c>
      <c r="CL147" s="25" t="str">
        <f t="array" ref="CL147">INDEX($S$5:$S$43,MATCH(CC147,$B$5:$B$43,0))</f>
        <v>治疗率</v>
      </c>
      <c r="CM147" s="25">
        <f t="shared" si="35"/>
        <v>0.3</v>
      </c>
      <c r="CN147" s="25">
        <f t="shared" si="172"/>
        <v>0.15</v>
      </c>
      <c r="CO147" s="25">
        <f t="shared" si="173"/>
        <v>1</v>
      </c>
      <c r="CP147" s="29" t="str">
        <f t="shared" ref="CP147:DQ147" si="183">IF($CL147=CP$78,$CN147,"0")</f>
        <v>0</v>
      </c>
      <c r="CQ147" s="29" t="str">
        <f t="shared" si="183"/>
        <v>0</v>
      </c>
      <c r="CR147" s="29" t="str">
        <f t="shared" si="183"/>
        <v>0</v>
      </c>
      <c r="CS147" s="29">
        <f t="shared" si="183"/>
        <v>0.15</v>
      </c>
      <c r="CT147" s="29" t="str">
        <f t="shared" si="183"/>
        <v>0</v>
      </c>
      <c r="CU147" s="29" t="str">
        <f t="shared" si="183"/>
        <v>0</v>
      </c>
      <c r="CV147" s="29" t="str">
        <f t="shared" si="183"/>
        <v>0</v>
      </c>
      <c r="CW147" s="29" t="str">
        <f t="shared" si="183"/>
        <v>0</v>
      </c>
      <c r="CX147" s="29" t="str">
        <f t="shared" si="183"/>
        <v>0</v>
      </c>
      <c r="CY147" s="29" t="str">
        <f t="shared" si="183"/>
        <v>0</v>
      </c>
      <c r="CZ147" s="29" t="str">
        <f t="shared" si="183"/>
        <v>0</v>
      </c>
      <c r="DA147" s="29" t="str">
        <f t="shared" si="183"/>
        <v>0</v>
      </c>
      <c r="DB147" s="29" t="str">
        <f t="shared" si="183"/>
        <v>0</v>
      </c>
      <c r="DC147" s="29" t="str">
        <f t="shared" si="183"/>
        <v>0</v>
      </c>
      <c r="DD147" s="29" t="str">
        <f t="shared" si="183"/>
        <v>0</v>
      </c>
      <c r="DE147" s="29" t="str">
        <f t="shared" si="183"/>
        <v>0</v>
      </c>
      <c r="DF147" s="29" t="str">
        <f t="shared" si="183"/>
        <v>0</v>
      </c>
      <c r="DG147" s="29" t="str">
        <f t="shared" si="183"/>
        <v>0</v>
      </c>
      <c r="DH147" s="29" t="str">
        <f t="shared" si="183"/>
        <v>0</v>
      </c>
      <c r="DI147" s="29" t="str">
        <f t="shared" si="183"/>
        <v>0</v>
      </c>
      <c r="DJ147" s="29" t="str">
        <f t="shared" si="183"/>
        <v>0</v>
      </c>
      <c r="DK147" s="29" t="str">
        <f t="shared" si="183"/>
        <v>0</v>
      </c>
      <c r="DL147" s="29" t="str">
        <f t="shared" si="183"/>
        <v>0</v>
      </c>
      <c r="DM147" s="29" t="str">
        <f t="shared" si="183"/>
        <v>0</v>
      </c>
      <c r="DN147" s="29" t="str">
        <f t="shared" si="183"/>
        <v>0</v>
      </c>
      <c r="DO147" s="29" t="str">
        <f t="shared" si="183"/>
        <v>0</v>
      </c>
      <c r="DP147" s="29" t="str">
        <f t="shared" si="183"/>
        <v>0</v>
      </c>
      <c r="DQ147" s="29" t="str">
        <f t="shared" si="183"/>
        <v>0</v>
      </c>
      <c r="DR147" s="29"/>
      <c r="DS147" s="25" t="s">
        <v>1011</v>
      </c>
      <c r="DT147" s="25" t="str">
        <f>TEXT(角色升星!$F$18,"0%")</f>
        <v>15%</v>
      </c>
      <c r="DU147" s="25" t="s">
        <v>779</v>
      </c>
      <c r="DV147" s="25" t="str">
        <f>IF(CF147="物理","PhysicsAttack,+","MagicAttack,+")</f>
        <v>MagicAttack,+</v>
      </c>
      <c r="DW147" s="25" t="str">
        <f>TEXT(角色升星!$F$18,"0%")</f>
        <v>15%</v>
      </c>
      <c r="DX147" s="25" t="s">
        <v>779</v>
      </c>
      <c r="DY147" s="25" t="s">
        <v>1012</v>
      </c>
      <c r="DZ147" s="25" t="str">
        <f>TEXT(角色升星!$F$18,"0%")</f>
        <v>15%</v>
      </c>
      <c r="EA147" s="25" t="s">
        <v>779</v>
      </c>
      <c r="EB147" s="25" t="str">
        <f>VLOOKUP(CL147,$O$46:$P$73,2,0)</f>
        <v>Heal</v>
      </c>
      <c r="EC147" s="25" t="s">
        <v>1013</v>
      </c>
      <c r="ED147" s="25" t="str">
        <f>IF(CN147&gt;1,CN147,TEXT(CN147,"0%"))</f>
        <v>15%</v>
      </c>
      <c r="EE147" s="25" t="str">
        <f t="shared" si="175"/>
        <v>Hp,+15%;MagicAttack,+15%;Armor,+15%;Heal,+15%</v>
      </c>
    </row>
    <row r="148" spans="1:135">
      <c r="A148" s="53">
        <v>1002010</v>
      </c>
      <c r="B148" s="49" t="s">
        <v>318</v>
      </c>
      <c r="C148" s="25">
        <f t="shared" si="146"/>
        <v>10</v>
      </c>
      <c r="D148" s="25">
        <f t="array" ref="D148">INDEX(C$5:C$67,MATCH($B148,$B$5:$B$67,0))</f>
        <v>5600</v>
      </c>
      <c r="E148" s="25">
        <f t="array" ref="E148">INDEX(D$5:D$67,MATCH($B148,$B$5:$B$67,0))</f>
        <v>448</v>
      </c>
      <c r="F148" s="25">
        <f t="array" ref="F148">INDEX(E$5:E$67,MATCH($B148,$B$5:$B$67,0))</f>
        <v>720</v>
      </c>
      <c r="G148" s="25">
        <f t="array" ref="G148">INDEX(F$5:F$67,MATCH($B148,$B$5:$B$67,0))</f>
        <v>57.6</v>
      </c>
      <c r="H148" s="25">
        <f t="array" ref="H148">INDEX(G$5:G$66,MATCH($B148,$B$5:$B$67,0))</f>
        <v>576</v>
      </c>
      <c r="I148" s="25">
        <f t="array" ref="I148">INDEX(H$5:H$67,MATCH($B148,$B$5:$B$67,0))</f>
        <v>46.08</v>
      </c>
      <c r="J148" s="25">
        <f t="array" ref="J148">INDEX(I$5:I$67,MATCH($B148,$B$5:$B$67,0))</f>
        <v>800</v>
      </c>
      <c r="K148" s="25">
        <f t="array" ref="K148">INDEX(J$5:J$67,MATCH($B148,$B$5:$B$67,0))</f>
        <v>64</v>
      </c>
      <c r="L148" s="25">
        <f t="shared" si="156"/>
        <v>10080</v>
      </c>
      <c r="M148" s="25">
        <f t="shared" si="157"/>
        <v>1296</v>
      </c>
      <c r="N148" s="25">
        <f t="shared" si="158"/>
        <v>1037</v>
      </c>
      <c r="O148" s="25">
        <f t="shared" si="159"/>
        <v>1440</v>
      </c>
      <c r="R148" s="50">
        <f t="array" ref="R148">INDEX($B$46:$B$68,MATCH(S148,$C$46:$C$68,0))*1000+T148</f>
        <v>1003016</v>
      </c>
      <c r="S148" s="51" t="s">
        <v>321</v>
      </c>
      <c r="T148" s="29">
        <f t="shared" si="78"/>
        <v>16</v>
      </c>
      <c r="U148" s="25">
        <f t="array" ref="U148">INDEX(K$5:K$67,MATCH($S148,$B$5:$B$67,0))</f>
        <v>656.04</v>
      </c>
      <c r="V148" s="25">
        <f t="array" ref="V148">INDEX(L$5:L$67,MATCH($S148,$B$5:$B$67,0))</f>
        <v>62.67</v>
      </c>
      <c r="W148" s="25">
        <f t="array" ref="W148">INDEX(M$5:M$67,MATCH($S148,$B$5:$B$67,0))</f>
        <v>78.34</v>
      </c>
      <c r="X148" s="25">
        <f t="array" ref="X148">INDEX(N$5:N$67,MATCH($S148,$B$5:$B$67,0))</f>
        <v>76.5</v>
      </c>
      <c r="Y148" s="25">
        <f t="shared" si="160"/>
        <v>10497</v>
      </c>
      <c r="Z148" s="25">
        <f t="shared" si="161"/>
        <v>1003</v>
      </c>
      <c r="AA148" s="25">
        <f t="shared" si="162"/>
        <v>1253</v>
      </c>
      <c r="AB148" s="25">
        <f t="shared" si="163"/>
        <v>1224</v>
      </c>
      <c r="AF148" s="25">
        <v>70</v>
      </c>
      <c r="AG148" s="25">
        <f t="array" ref="AG148">INDEX($AE$79:$AE$116,QUOTIENT(AF148-1,8)+1)</f>
        <v>1009</v>
      </c>
      <c r="AH148" s="25">
        <f t="shared" si="37"/>
        <v>6</v>
      </c>
      <c r="AI148" s="25">
        <f t="shared" si="164"/>
        <v>10096</v>
      </c>
      <c r="AJ148" s="25" t="str">
        <f t="shared" si="165"/>
        <v>约瑟夫</v>
      </c>
      <c r="AK148" s="25">
        <f t="shared" si="38"/>
        <v>1</v>
      </c>
      <c r="AL148" s="25" t="str">
        <f t="array" ref="AL148">INDEX($O$5:$O$42,MATCH(AJ148,$B$5:$B$42,0))</f>
        <v>攻击百分比</v>
      </c>
      <c r="AM148" s="25" t="str">
        <f t="array" ref="AM148">INDEX($P$5:$P$42,MATCH(AJ148,$B$5:$B$42,0))</f>
        <v>技能伤害加成</v>
      </c>
      <c r="AN148" s="25" t="str">
        <f t="array" ref="AN148">INDEX($Q$5:$Q$42,MATCH(AJ148,$B$5:$B$42,0))</f>
        <v>技能冷却等级</v>
      </c>
      <c r="AO148" s="25" t="str">
        <f t="array" ref="AO148">INDEX(AL148:AN148,0,AK148)</f>
        <v>攻击百分比</v>
      </c>
      <c r="AP148" s="25">
        <f t="shared" si="151"/>
        <v>0.216666666666667</v>
      </c>
      <c r="AQ148" s="25">
        <f t="shared" si="166"/>
        <v>0.216666666666667</v>
      </c>
      <c r="AR148" s="25" t="str">
        <f t="shared" ref="AR148:BZ148" si="184">IF(AR$78=$AO148,$AQ148,"0")</f>
        <v>0</v>
      </c>
      <c r="AS148" s="25" t="str">
        <f t="shared" si="184"/>
        <v>0</v>
      </c>
      <c r="AT148" s="25" t="str">
        <f t="shared" si="184"/>
        <v>0</v>
      </c>
      <c r="AU148" s="25">
        <f t="shared" si="184"/>
        <v>0.216666666666667</v>
      </c>
      <c r="AV148" s="25" t="str">
        <f t="shared" si="184"/>
        <v>0</v>
      </c>
      <c r="AW148" s="25">
        <f t="shared" si="184"/>
        <v>0.216666666666667</v>
      </c>
      <c r="AX148" s="25" t="str">
        <f t="shared" si="184"/>
        <v>0</v>
      </c>
      <c r="AY148" s="25" t="str">
        <f t="shared" si="184"/>
        <v>0</v>
      </c>
      <c r="AZ148" s="25" t="str">
        <f t="shared" si="184"/>
        <v>0</v>
      </c>
      <c r="BA148" s="25" t="str">
        <f t="shared" si="184"/>
        <v>0</v>
      </c>
      <c r="BB148" s="25" t="str">
        <f t="shared" si="184"/>
        <v>0</v>
      </c>
      <c r="BC148" s="25" t="str">
        <f t="shared" si="184"/>
        <v>0</v>
      </c>
      <c r="BD148" s="25" t="str">
        <f t="shared" si="184"/>
        <v>0</v>
      </c>
      <c r="BE148" s="25" t="str">
        <f t="shared" si="184"/>
        <v>0</v>
      </c>
      <c r="BF148" s="25" t="str">
        <f t="shared" si="184"/>
        <v>0</v>
      </c>
      <c r="BG148" s="25" t="str">
        <f t="shared" si="184"/>
        <v>0</v>
      </c>
      <c r="BH148" s="25" t="str">
        <f t="shared" si="184"/>
        <v>0</v>
      </c>
      <c r="BI148" s="25" t="str">
        <f t="shared" si="184"/>
        <v>0</v>
      </c>
      <c r="BJ148" s="25" t="str">
        <f t="shared" si="184"/>
        <v>0</v>
      </c>
      <c r="BK148" s="25" t="str">
        <f t="shared" si="184"/>
        <v>0</v>
      </c>
      <c r="BL148" s="25" t="str">
        <f t="shared" si="184"/>
        <v>0</v>
      </c>
      <c r="BM148" s="25" t="str">
        <f t="shared" si="184"/>
        <v>0</v>
      </c>
      <c r="BN148" s="25" t="str">
        <f t="shared" si="184"/>
        <v>0</v>
      </c>
      <c r="BO148" s="25" t="str">
        <f t="shared" si="184"/>
        <v>0</v>
      </c>
      <c r="BP148" s="25" t="str">
        <f t="shared" si="184"/>
        <v>0</v>
      </c>
      <c r="BQ148" s="25" t="str">
        <f t="shared" si="184"/>
        <v>0</v>
      </c>
      <c r="BR148" s="25" t="str">
        <f t="shared" si="184"/>
        <v>0</v>
      </c>
      <c r="BS148" s="25" t="str">
        <f t="shared" si="184"/>
        <v>0</v>
      </c>
      <c r="BT148" s="25" t="str">
        <f t="shared" si="184"/>
        <v>0</v>
      </c>
      <c r="BU148" s="25" t="str">
        <f t="shared" si="184"/>
        <v>0</v>
      </c>
      <c r="BV148" s="25" t="str">
        <f t="shared" si="184"/>
        <v>0</v>
      </c>
      <c r="BW148" s="25" t="str">
        <f t="shared" si="184"/>
        <v>0</v>
      </c>
      <c r="BX148" s="25" t="str">
        <f t="shared" si="184"/>
        <v>0</v>
      </c>
      <c r="BY148" s="25" t="str">
        <f t="shared" si="184"/>
        <v>0</v>
      </c>
      <c r="BZ148" s="25" t="str">
        <f t="shared" si="184"/>
        <v>0</v>
      </c>
      <c r="CC148" s="25" t="str">
        <f t="array" ref="CC148">INDEX($C$46:$C$74,MATCH(CD148,$B$46:$B$74,0))</f>
        <v>陈双双</v>
      </c>
      <c r="CD148" s="1">
        <v>1011</v>
      </c>
      <c r="CE148" s="1">
        <v>6</v>
      </c>
      <c r="CF148" s="25" t="str">
        <f t="array" ref="CF148">INDEX($T$5:$T$44,MATCH(CC148,$B$5:$B$44,0))</f>
        <v>魔法</v>
      </c>
      <c r="CG148" s="25">
        <f t="shared" si="34"/>
        <v>0.3</v>
      </c>
      <c r="CH148" s="25">
        <f t="shared" si="168"/>
        <v>1.3</v>
      </c>
      <c r="CI148" s="25">
        <f t="shared" si="169"/>
        <v>1</v>
      </c>
      <c r="CJ148" s="25">
        <f t="shared" si="170"/>
        <v>1.3</v>
      </c>
      <c r="CK148" s="25">
        <f t="shared" si="171"/>
        <v>1.3</v>
      </c>
      <c r="CL148" s="25">
        <v>0</v>
      </c>
      <c r="CM148" s="25">
        <f t="shared" si="35"/>
        <v>0</v>
      </c>
      <c r="CN148" s="25">
        <f t="shared" si="172"/>
        <v>0</v>
      </c>
      <c r="CO148" s="25">
        <f t="shared" si="173"/>
        <v>0</v>
      </c>
      <c r="CP148" s="29" t="str">
        <f t="shared" ref="CP148:DQ148" si="185">IF($CL148=CP$78,$CN148,"0")</f>
        <v>0</v>
      </c>
      <c r="CQ148" s="29" t="str">
        <f t="shared" si="185"/>
        <v>0</v>
      </c>
      <c r="CR148" s="29" t="str">
        <f t="shared" si="185"/>
        <v>0</v>
      </c>
      <c r="CS148" s="29" t="str">
        <f t="shared" si="185"/>
        <v>0</v>
      </c>
      <c r="CT148" s="29" t="str">
        <f t="shared" si="185"/>
        <v>0</v>
      </c>
      <c r="CU148" s="29" t="str">
        <f t="shared" si="185"/>
        <v>0</v>
      </c>
      <c r="CV148" s="29" t="str">
        <f t="shared" si="185"/>
        <v>0</v>
      </c>
      <c r="CW148" s="29" t="str">
        <f t="shared" si="185"/>
        <v>0</v>
      </c>
      <c r="CX148" s="29" t="str">
        <f t="shared" si="185"/>
        <v>0</v>
      </c>
      <c r="CY148" s="29" t="str">
        <f t="shared" si="185"/>
        <v>0</v>
      </c>
      <c r="CZ148" s="29" t="str">
        <f t="shared" si="185"/>
        <v>0</v>
      </c>
      <c r="DA148" s="29" t="str">
        <f t="shared" si="185"/>
        <v>0</v>
      </c>
      <c r="DB148" s="29" t="str">
        <f t="shared" si="185"/>
        <v>0</v>
      </c>
      <c r="DC148" s="29" t="str">
        <f t="shared" si="185"/>
        <v>0</v>
      </c>
      <c r="DD148" s="29" t="str">
        <f t="shared" si="185"/>
        <v>0</v>
      </c>
      <c r="DE148" s="29" t="str">
        <f t="shared" si="185"/>
        <v>0</v>
      </c>
      <c r="DF148" s="29" t="str">
        <f t="shared" si="185"/>
        <v>0</v>
      </c>
      <c r="DG148" s="29" t="str">
        <f t="shared" si="185"/>
        <v>0</v>
      </c>
      <c r="DH148" s="29" t="str">
        <f t="shared" si="185"/>
        <v>0</v>
      </c>
      <c r="DI148" s="29" t="str">
        <f t="shared" si="185"/>
        <v>0</v>
      </c>
      <c r="DJ148" s="29" t="str">
        <f t="shared" si="185"/>
        <v>0</v>
      </c>
      <c r="DK148" s="29" t="str">
        <f t="shared" si="185"/>
        <v>0</v>
      </c>
      <c r="DL148" s="29" t="str">
        <f t="shared" si="185"/>
        <v>0</v>
      </c>
      <c r="DM148" s="29" t="str">
        <f t="shared" si="185"/>
        <v>0</v>
      </c>
      <c r="DN148" s="29" t="str">
        <f t="shared" si="185"/>
        <v>0</v>
      </c>
      <c r="DO148" s="29" t="str">
        <f t="shared" si="185"/>
        <v>0</v>
      </c>
      <c r="DP148" s="29" t="str">
        <f t="shared" si="185"/>
        <v>0</v>
      </c>
      <c r="DQ148" s="29" t="str">
        <f t="shared" si="185"/>
        <v>0</v>
      </c>
      <c r="DR148" s="29"/>
      <c r="DS148" s="25">
        <v>0</v>
      </c>
      <c r="EE148" s="25" t="str">
        <f t="shared" si="175"/>
        <v>0</v>
      </c>
    </row>
    <row r="149" spans="1:135">
      <c r="A149" s="53">
        <v>1002011</v>
      </c>
      <c r="B149" s="49" t="s">
        <v>318</v>
      </c>
      <c r="C149" s="25">
        <f t="shared" si="146"/>
        <v>11</v>
      </c>
      <c r="D149" s="25">
        <f t="array" ref="D149">INDEX(C$5:C$67,MATCH($B149,$B$5:$B$67,0))</f>
        <v>5600</v>
      </c>
      <c r="E149" s="25">
        <f t="array" ref="E149">INDEX(D$5:D$67,MATCH($B149,$B$5:$B$67,0))</f>
        <v>448</v>
      </c>
      <c r="F149" s="25">
        <f t="array" ref="F149">INDEX(E$5:E$67,MATCH($B149,$B$5:$B$67,0))</f>
        <v>720</v>
      </c>
      <c r="G149" s="25">
        <f t="array" ref="G149">INDEX(F$5:F$67,MATCH($B149,$B$5:$B$67,0))</f>
        <v>57.6</v>
      </c>
      <c r="H149" s="25">
        <f t="array" ref="H149">INDEX(G$5:G$66,MATCH($B149,$B$5:$B$67,0))</f>
        <v>576</v>
      </c>
      <c r="I149" s="25">
        <f t="array" ref="I149">INDEX(H$5:H$67,MATCH($B149,$B$5:$B$67,0))</f>
        <v>46.08</v>
      </c>
      <c r="J149" s="25">
        <f t="array" ref="J149">INDEX(I$5:I$67,MATCH($B149,$B$5:$B$67,0))</f>
        <v>800</v>
      </c>
      <c r="K149" s="25">
        <f t="array" ref="K149">INDEX(J$5:J$67,MATCH($B149,$B$5:$B$67,0))</f>
        <v>64</v>
      </c>
      <c r="L149" s="25">
        <f t="shared" si="156"/>
        <v>10528</v>
      </c>
      <c r="M149" s="25">
        <f t="shared" si="157"/>
        <v>1354</v>
      </c>
      <c r="N149" s="25">
        <f t="shared" si="158"/>
        <v>1083</v>
      </c>
      <c r="O149" s="25">
        <f t="shared" si="159"/>
        <v>1504</v>
      </c>
      <c r="R149" s="50">
        <f t="array" ref="R149">INDEX($B$46:$B$68,MATCH(S149,$C$46:$C$68,0))*1000+T149</f>
        <v>1003017</v>
      </c>
      <c r="S149" s="51" t="s">
        <v>321</v>
      </c>
      <c r="T149" s="29">
        <f t="shared" si="78"/>
        <v>17</v>
      </c>
      <c r="U149" s="25">
        <f t="array" ref="U149">INDEX(K$5:K$67,MATCH($S149,$B$5:$B$67,0))</f>
        <v>656.04</v>
      </c>
      <c r="V149" s="25">
        <f t="array" ref="V149">INDEX(L$5:L$67,MATCH($S149,$B$5:$B$67,0))</f>
        <v>62.67</v>
      </c>
      <c r="W149" s="25">
        <f t="array" ref="W149">INDEX(M$5:M$67,MATCH($S149,$B$5:$B$67,0))</f>
        <v>78.34</v>
      </c>
      <c r="X149" s="25">
        <f t="array" ref="X149">INDEX(N$5:N$67,MATCH($S149,$B$5:$B$67,0))</f>
        <v>76.5</v>
      </c>
      <c r="Y149" s="25">
        <f t="shared" si="160"/>
        <v>11153</v>
      </c>
      <c r="Z149" s="25">
        <f t="shared" si="161"/>
        <v>1065</v>
      </c>
      <c r="AA149" s="25">
        <f t="shared" si="162"/>
        <v>1332</v>
      </c>
      <c r="AB149" s="25">
        <f t="shared" si="163"/>
        <v>1301</v>
      </c>
      <c r="AF149" s="25">
        <v>71</v>
      </c>
      <c r="AG149" s="25">
        <f t="array" ref="AG149">INDEX($AE$79:$AE$116,QUOTIENT(AF149-1,8)+1)</f>
        <v>1009</v>
      </c>
      <c r="AH149" s="25">
        <f t="shared" si="37"/>
        <v>7</v>
      </c>
      <c r="AI149" s="25">
        <f t="shared" si="164"/>
        <v>10097</v>
      </c>
      <c r="AJ149" s="25" t="str">
        <f t="shared" si="165"/>
        <v>约瑟夫</v>
      </c>
      <c r="AK149" s="25">
        <f t="shared" si="38"/>
        <v>2</v>
      </c>
      <c r="AL149" s="25" t="str">
        <f t="array" ref="AL149">INDEX($O$5:$O$42,MATCH(AJ149,$B$5:$B$42,0))</f>
        <v>攻击百分比</v>
      </c>
      <c r="AM149" s="25" t="str">
        <f t="array" ref="AM149">INDEX($P$5:$P$42,MATCH(AJ149,$B$5:$B$42,0))</f>
        <v>技能伤害加成</v>
      </c>
      <c r="AN149" s="25" t="str">
        <f t="array" ref="AN149">INDEX($Q$5:$Q$42,MATCH(AJ149,$B$5:$B$42,0))</f>
        <v>技能冷却等级</v>
      </c>
      <c r="AO149" s="25" t="str">
        <f t="array" ref="AO149">INDEX(AL149:AN149,0,AK149)</f>
        <v>技能伤害加成</v>
      </c>
      <c r="AP149" s="25">
        <f t="shared" si="151"/>
        <v>0.15</v>
      </c>
      <c r="AQ149" s="25">
        <f t="shared" si="166"/>
        <v>0.18</v>
      </c>
      <c r="AR149" s="25" t="str">
        <f t="shared" ref="AR149:BZ149" si="186">IF(AR$78=$AO149,$AQ149,"0")</f>
        <v>0</v>
      </c>
      <c r="AS149" s="25" t="str">
        <f t="shared" si="186"/>
        <v>0</v>
      </c>
      <c r="AT149" s="25" t="str">
        <f t="shared" si="186"/>
        <v>0</v>
      </c>
      <c r="AU149" s="25" t="str">
        <f t="shared" si="186"/>
        <v>0</v>
      </c>
      <c r="AV149" s="25" t="str">
        <f t="shared" si="186"/>
        <v>0</v>
      </c>
      <c r="AW149" s="25" t="str">
        <f t="shared" si="186"/>
        <v>0</v>
      </c>
      <c r="AX149" s="25" t="str">
        <f t="shared" si="186"/>
        <v>0</v>
      </c>
      <c r="AY149" s="25" t="str">
        <f t="shared" si="186"/>
        <v>0</v>
      </c>
      <c r="AZ149" s="25" t="str">
        <f t="shared" si="186"/>
        <v>0</v>
      </c>
      <c r="BA149" s="25" t="str">
        <f t="shared" si="186"/>
        <v>0</v>
      </c>
      <c r="BB149" s="25" t="str">
        <f t="shared" si="186"/>
        <v>0</v>
      </c>
      <c r="BC149" s="25" t="str">
        <f t="shared" si="186"/>
        <v>0</v>
      </c>
      <c r="BD149" s="25" t="str">
        <f t="shared" si="186"/>
        <v>0</v>
      </c>
      <c r="BE149" s="25" t="str">
        <f t="shared" si="186"/>
        <v>0</v>
      </c>
      <c r="BF149" s="25" t="str">
        <f t="shared" si="186"/>
        <v>0</v>
      </c>
      <c r="BG149" s="25" t="str">
        <f t="shared" si="186"/>
        <v>0</v>
      </c>
      <c r="BH149" s="25" t="str">
        <f t="shared" si="186"/>
        <v>0</v>
      </c>
      <c r="BI149" s="25" t="str">
        <f t="shared" si="186"/>
        <v>0</v>
      </c>
      <c r="BJ149" s="25" t="str">
        <f t="shared" si="186"/>
        <v>0</v>
      </c>
      <c r="BK149" s="25" t="str">
        <f t="shared" si="186"/>
        <v>0</v>
      </c>
      <c r="BL149" s="25" t="str">
        <f t="shared" si="186"/>
        <v>0</v>
      </c>
      <c r="BM149" s="25" t="str">
        <f t="shared" si="186"/>
        <v>0</v>
      </c>
      <c r="BN149" s="25">
        <f t="shared" si="186"/>
        <v>0.18</v>
      </c>
      <c r="BO149" s="25" t="str">
        <f t="shared" si="186"/>
        <v>0</v>
      </c>
      <c r="BP149" s="25" t="str">
        <f t="shared" si="186"/>
        <v>0</v>
      </c>
      <c r="BQ149" s="25" t="str">
        <f t="shared" si="186"/>
        <v>0</v>
      </c>
      <c r="BR149" s="25" t="str">
        <f t="shared" si="186"/>
        <v>0</v>
      </c>
      <c r="BS149" s="25" t="str">
        <f t="shared" si="186"/>
        <v>0</v>
      </c>
      <c r="BT149" s="25" t="str">
        <f t="shared" si="186"/>
        <v>0</v>
      </c>
      <c r="BU149" s="25" t="str">
        <f t="shared" si="186"/>
        <v>0</v>
      </c>
      <c r="BV149" s="25" t="str">
        <f t="shared" si="186"/>
        <v>0</v>
      </c>
      <c r="BW149" s="25" t="str">
        <f t="shared" si="186"/>
        <v>0</v>
      </c>
      <c r="BX149" s="25" t="str">
        <f t="shared" si="186"/>
        <v>0</v>
      </c>
      <c r="BY149" s="25" t="str">
        <f t="shared" si="186"/>
        <v>0</v>
      </c>
      <c r="BZ149" s="25" t="str">
        <f t="shared" si="186"/>
        <v>0</v>
      </c>
      <c r="CC149" s="25" t="str">
        <f t="array" ref="CC149">INDEX($C$46:$C$74,MATCH(CD149,$B$46:$B$74,0))</f>
        <v>艾德琳</v>
      </c>
      <c r="CD149" s="1">
        <v>1012</v>
      </c>
      <c r="CE149" s="1">
        <v>0</v>
      </c>
      <c r="CF149" s="25" t="str">
        <f t="array" ref="CF149">INDEX($T$5:$T$44,MATCH(CC149,$B$5:$B$44,0))</f>
        <v>魔法</v>
      </c>
      <c r="CG149" s="25">
        <f t="shared" si="34"/>
        <v>0</v>
      </c>
      <c r="CH149" s="25">
        <f t="shared" si="168"/>
        <v>1</v>
      </c>
      <c r="CI149" s="25">
        <f t="shared" si="169"/>
        <v>1</v>
      </c>
      <c r="CJ149" s="25">
        <f t="shared" si="170"/>
        <v>1</v>
      </c>
      <c r="CK149" s="25">
        <f t="shared" si="171"/>
        <v>1</v>
      </c>
      <c r="CL149" s="25">
        <v>0</v>
      </c>
      <c r="CM149" s="25">
        <f t="shared" si="35"/>
        <v>0</v>
      </c>
      <c r="CN149" s="25">
        <f t="shared" si="172"/>
        <v>0</v>
      </c>
      <c r="CO149" s="25">
        <f t="shared" si="173"/>
        <v>0</v>
      </c>
      <c r="CP149" s="29" t="str">
        <f t="shared" ref="CP149:DQ149" si="187">IF($CL149=CP$78,$CN149,"0")</f>
        <v>0</v>
      </c>
      <c r="CQ149" s="29" t="str">
        <f t="shared" si="187"/>
        <v>0</v>
      </c>
      <c r="CR149" s="29" t="str">
        <f t="shared" si="187"/>
        <v>0</v>
      </c>
      <c r="CS149" s="29" t="str">
        <f t="shared" si="187"/>
        <v>0</v>
      </c>
      <c r="CT149" s="29" t="str">
        <f t="shared" si="187"/>
        <v>0</v>
      </c>
      <c r="CU149" s="29" t="str">
        <f t="shared" si="187"/>
        <v>0</v>
      </c>
      <c r="CV149" s="29" t="str">
        <f t="shared" si="187"/>
        <v>0</v>
      </c>
      <c r="CW149" s="29" t="str">
        <f t="shared" si="187"/>
        <v>0</v>
      </c>
      <c r="CX149" s="29" t="str">
        <f t="shared" si="187"/>
        <v>0</v>
      </c>
      <c r="CY149" s="29" t="str">
        <f t="shared" si="187"/>
        <v>0</v>
      </c>
      <c r="CZ149" s="29" t="str">
        <f t="shared" si="187"/>
        <v>0</v>
      </c>
      <c r="DA149" s="29" t="str">
        <f t="shared" si="187"/>
        <v>0</v>
      </c>
      <c r="DB149" s="29" t="str">
        <f t="shared" si="187"/>
        <v>0</v>
      </c>
      <c r="DC149" s="29" t="str">
        <f t="shared" si="187"/>
        <v>0</v>
      </c>
      <c r="DD149" s="29" t="str">
        <f t="shared" si="187"/>
        <v>0</v>
      </c>
      <c r="DE149" s="29" t="str">
        <f t="shared" si="187"/>
        <v>0</v>
      </c>
      <c r="DF149" s="29" t="str">
        <f t="shared" si="187"/>
        <v>0</v>
      </c>
      <c r="DG149" s="29" t="str">
        <f t="shared" si="187"/>
        <v>0</v>
      </c>
      <c r="DH149" s="29" t="str">
        <f t="shared" si="187"/>
        <v>0</v>
      </c>
      <c r="DI149" s="29" t="str">
        <f t="shared" si="187"/>
        <v>0</v>
      </c>
      <c r="DJ149" s="29" t="str">
        <f t="shared" si="187"/>
        <v>0</v>
      </c>
      <c r="DK149" s="29" t="str">
        <f t="shared" si="187"/>
        <v>0</v>
      </c>
      <c r="DL149" s="29" t="str">
        <f t="shared" si="187"/>
        <v>0</v>
      </c>
      <c r="DM149" s="29" t="str">
        <f t="shared" si="187"/>
        <v>0</v>
      </c>
      <c r="DN149" s="29" t="str">
        <f t="shared" si="187"/>
        <v>0</v>
      </c>
      <c r="DO149" s="29" t="str">
        <f t="shared" si="187"/>
        <v>0</v>
      </c>
      <c r="DP149" s="29" t="str">
        <f t="shared" si="187"/>
        <v>0</v>
      </c>
      <c r="DQ149" s="29" t="str">
        <f t="shared" si="187"/>
        <v>0</v>
      </c>
      <c r="DR149" s="29"/>
      <c r="DS149" s="25">
        <v>0</v>
      </c>
      <c r="EE149" s="25" t="str">
        <f t="shared" si="175"/>
        <v>0</v>
      </c>
    </row>
    <row r="150" spans="1:135">
      <c r="A150" s="53">
        <v>1002012</v>
      </c>
      <c r="B150" s="49" t="s">
        <v>318</v>
      </c>
      <c r="C150" s="25">
        <f t="shared" si="146"/>
        <v>12</v>
      </c>
      <c r="D150" s="25">
        <f t="array" ref="D150">INDEX(C$5:C$67,MATCH($B150,$B$5:$B$67,0))</f>
        <v>5600</v>
      </c>
      <c r="E150" s="25">
        <f t="array" ref="E150">INDEX(D$5:D$67,MATCH($B150,$B$5:$B$67,0))</f>
        <v>448</v>
      </c>
      <c r="F150" s="25">
        <f t="array" ref="F150">INDEX(E$5:E$67,MATCH($B150,$B$5:$B$67,0))</f>
        <v>720</v>
      </c>
      <c r="G150" s="25">
        <f t="array" ref="G150">INDEX(F$5:F$67,MATCH($B150,$B$5:$B$67,0))</f>
        <v>57.6</v>
      </c>
      <c r="H150" s="25">
        <f t="array" ref="H150">INDEX(G$5:G$66,MATCH($B150,$B$5:$B$67,0))</f>
        <v>576</v>
      </c>
      <c r="I150" s="25">
        <f t="array" ref="I150">INDEX(H$5:H$67,MATCH($B150,$B$5:$B$67,0))</f>
        <v>46.08</v>
      </c>
      <c r="J150" s="25">
        <f t="array" ref="J150">INDEX(I$5:I$67,MATCH($B150,$B$5:$B$67,0))</f>
        <v>800</v>
      </c>
      <c r="K150" s="25">
        <f t="array" ref="K150">INDEX(J$5:J$67,MATCH($B150,$B$5:$B$67,0))</f>
        <v>64</v>
      </c>
      <c r="L150" s="25">
        <f t="shared" si="156"/>
        <v>10976</v>
      </c>
      <c r="M150" s="25">
        <f t="shared" si="157"/>
        <v>1411</v>
      </c>
      <c r="N150" s="25">
        <f t="shared" si="158"/>
        <v>1129</v>
      </c>
      <c r="O150" s="25">
        <f t="shared" si="159"/>
        <v>1568</v>
      </c>
      <c r="R150" s="50">
        <f t="array" ref="R150">INDEX($B$46:$B$68,MATCH(S150,$C$46:$C$68,0))*1000+T150</f>
        <v>1003018</v>
      </c>
      <c r="S150" s="51" t="s">
        <v>321</v>
      </c>
      <c r="T150" s="29">
        <f t="shared" si="78"/>
        <v>18</v>
      </c>
      <c r="U150" s="25">
        <f t="array" ref="U150">INDEX(K$5:K$67,MATCH($S150,$B$5:$B$67,0))</f>
        <v>656.04</v>
      </c>
      <c r="V150" s="25">
        <f t="array" ref="V150">INDEX(L$5:L$67,MATCH($S150,$B$5:$B$67,0))</f>
        <v>62.67</v>
      </c>
      <c r="W150" s="25">
        <f t="array" ref="W150">INDEX(M$5:M$67,MATCH($S150,$B$5:$B$67,0))</f>
        <v>78.34</v>
      </c>
      <c r="X150" s="25">
        <f t="array" ref="X150">INDEX(N$5:N$67,MATCH($S150,$B$5:$B$67,0))</f>
        <v>76.5</v>
      </c>
      <c r="Y150" s="25">
        <f t="shared" si="160"/>
        <v>11809</v>
      </c>
      <c r="Z150" s="25">
        <f t="shared" si="161"/>
        <v>1128</v>
      </c>
      <c r="AA150" s="25">
        <f t="shared" si="162"/>
        <v>1410</v>
      </c>
      <c r="AB150" s="25">
        <f t="shared" si="163"/>
        <v>1377</v>
      </c>
      <c r="AF150" s="25">
        <v>72</v>
      </c>
      <c r="AG150" s="25">
        <f t="array" ref="AG150">INDEX($AE$79:$AE$116,QUOTIENT(AF150-1,8)+1)</f>
        <v>1009</v>
      </c>
      <c r="AH150" s="25">
        <f t="shared" si="37"/>
        <v>8</v>
      </c>
      <c r="AI150" s="25">
        <f t="shared" si="164"/>
        <v>10098</v>
      </c>
      <c r="AJ150" s="25" t="str">
        <f t="shared" si="165"/>
        <v>约瑟夫</v>
      </c>
      <c r="AK150" s="25">
        <f t="shared" si="38"/>
        <v>3</v>
      </c>
      <c r="AL150" s="25" t="str">
        <f t="array" ref="AL150">INDEX($O$5:$O$42,MATCH(AJ150,$B$5:$B$42,0))</f>
        <v>攻击百分比</v>
      </c>
      <c r="AM150" s="25" t="str">
        <f t="array" ref="AM150">INDEX($P$5:$P$42,MATCH(AJ150,$B$5:$B$42,0))</f>
        <v>技能伤害加成</v>
      </c>
      <c r="AN150" s="25" t="str">
        <f t="array" ref="AN150">INDEX($Q$5:$Q$42,MATCH(AJ150,$B$5:$B$42,0))</f>
        <v>技能冷却等级</v>
      </c>
      <c r="AO150" s="25" t="str">
        <f t="array" ref="AO150">INDEX(AL150:AN150,0,AK150)</f>
        <v>技能冷却等级</v>
      </c>
      <c r="AP150" s="25">
        <f t="shared" si="151"/>
        <v>0.216666666666667</v>
      </c>
      <c r="AQ150" s="25">
        <f t="shared" si="166"/>
        <v>2816.66666666667</v>
      </c>
      <c r="AR150" s="25" t="str">
        <f t="shared" ref="AR150:BZ150" si="188">IF(AR$78=$AO150,$AQ150,"0")</f>
        <v>0</v>
      </c>
      <c r="AS150" s="25" t="str">
        <f t="shared" si="188"/>
        <v>0</v>
      </c>
      <c r="AT150" s="25" t="str">
        <f t="shared" si="188"/>
        <v>0</v>
      </c>
      <c r="AU150" s="25" t="str">
        <f t="shared" si="188"/>
        <v>0</v>
      </c>
      <c r="AV150" s="25" t="str">
        <f t="shared" si="188"/>
        <v>0</v>
      </c>
      <c r="AW150" s="25" t="str">
        <f t="shared" si="188"/>
        <v>0</v>
      </c>
      <c r="AX150" s="25" t="str">
        <f t="shared" si="188"/>
        <v>0</v>
      </c>
      <c r="AY150" s="25" t="str">
        <f t="shared" si="188"/>
        <v>0</v>
      </c>
      <c r="AZ150" s="25" t="str">
        <f t="shared" si="188"/>
        <v>0</v>
      </c>
      <c r="BA150" s="25" t="str">
        <f t="shared" si="188"/>
        <v>0</v>
      </c>
      <c r="BB150" s="25" t="str">
        <f t="shared" si="188"/>
        <v>0</v>
      </c>
      <c r="BC150" s="25" t="str">
        <f t="shared" si="188"/>
        <v>0</v>
      </c>
      <c r="BD150" s="25" t="str">
        <f t="shared" si="188"/>
        <v>0</v>
      </c>
      <c r="BE150" s="25" t="str">
        <f t="shared" si="188"/>
        <v>0</v>
      </c>
      <c r="BF150" s="25" t="str">
        <f t="shared" si="188"/>
        <v>0</v>
      </c>
      <c r="BG150" s="25" t="str">
        <f t="shared" si="188"/>
        <v>0</v>
      </c>
      <c r="BH150" s="25" t="str">
        <f t="shared" si="188"/>
        <v>0</v>
      </c>
      <c r="BI150" s="25" t="str">
        <f t="shared" si="188"/>
        <v>0</v>
      </c>
      <c r="BJ150" s="25" t="str">
        <f t="shared" si="188"/>
        <v>0</v>
      </c>
      <c r="BK150" s="25" t="str">
        <f t="shared" si="188"/>
        <v>0</v>
      </c>
      <c r="BL150" s="25" t="str">
        <f t="shared" si="188"/>
        <v>0</v>
      </c>
      <c r="BM150" s="25" t="str">
        <f t="shared" si="188"/>
        <v>0</v>
      </c>
      <c r="BN150" s="25" t="str">
        <f t="shared" si="188"/>
        <v>0</v>
      </c>
      <c r="BO150" s="25" t="str">
        <f t="shared" si="188"/>
        <v>0</v>
      </c>
      <c r="BP150" s="25" t="str">
        <f t="shared" si="188"/>
        <v>0</v>
      </c>
      <c r="BQ150" s="25" t="str">
        <f t="shared" si="188"/>
        <v>0</v>
      </c>
      <c r="BR150" s="25" t="str">
        <f t="shared" si="188"/>
        <v>0</v>
      </c>
      <c r="BS150" s="25" t="str">
        <f t="shared" si="188"/>
        <v>0</v>
      </c>
      <c r="BT150" s="25" t="str">
        <f t="shared" si="188"/>
        <v>0</v>
      </c>
      <c r="BU150" s="25" t="str">
        <f t="shared" si="188"/>
        <v>0</v>
      </c>
      <c r="BV150" s="25" t="str">
        <f t="shared" si="188"/>
        <v>0</v>
      </c>
      <c r="BW150" s="25" t="str">
        <f t="shared" si="188"/>
        <v>0</v>
      </c>
      <c r="BX150" s="25" t="str">
        <f t="shared" si="188"/>
        <v>0</v>
      </c>
      <c r="BY150" s="25" t="str">
        <f t="shared" si="188"/>
        <v>0</v>
      </c>
      <c r="BZ150" s="25">
        <f t="shared" si="188"/>
        <v>2816.66666666667</v>
      </c>
      <c r="CC150" s="25" t="str">
        <f t="array" ref="CC150">INDEX($C$46:$C$74,MATCH(CD150,$B$46:$B$74,0))</f>
        <v>艾德琳</v>
      </c>
      <c r="CD150" s="1">
        <v>1012</v>
      </c>
      <c r="CE150" s="1">
        <v>1</v>
      </c>
      <c r="CF150" s="25" t="str">
        <f t="array" ref="CF150">INDEX($T$5:$T$44,MATCH(CC150,$B$5:$B$44,0))</f>
        <v>魔法</v>
      </c>
      <c r="CG150" s="25">
        <f t="shared" ref="CG150:CG213" si="189">CG143</f>
        <v>0</v>
      </c>
      <c r="CH150" s="25">
        <f t="shared" si="168"/>
        <v>1</v>
      </c>
      <c r="CI150" s="25">
        <f t="shared" si="169"/>
        <v>1</v>
      </c>
      <c r="CJ150" s="25">
        <f t="shared" si="170"/>
        <v>1</v>
      </c>
      <c r="CK150" s="25">
        <f t="shared" si="171"/>
        <v>1</v>
      </c>
      <c r="CL150" s="25">
        <v>0</v>
      </c>
      <c r="CM150" s="25">
        <f t="shared" ref="CM150:CM213" si="190">CM143</f>
        <v>0</v>
      </c>
      <c r="CN150" s="25">
        <f t="shared" si="172"/>
        <v>0</v>
      </c>
      <c r="CO150" s="25">
        <f t="shared" si="173"/>
        <v>0</v>
      </c>
      <c r="CP150" s="29" t="str">
        <f t="shared" ref="CP150:DQ150" si="191">IF($CL150=CP$78,$CN150,"0")</f>
        <v>0</v>
      </c>
      <c r="CQ150" s="29" t="str">
        <f t="shared" si="191"/>
        <v>0</v>
      </c>
      <c r="CR150" s="29" t="str">
        <f t="shared" si="191"/>
        <v>0</v>
      </c>
      <c r="CS150" s="29" t="str">
        <f t="shared" si="191"/>
        <v>0</v>
      </c>
      <c r="CT150" s="29" t="str">
        <f t="shared" si="191"/>
        <v>0</v>
      </c>
      <c r="CU150" s="29" t="str">
        <f t="shared" si="191"/>
        <v>0</v>
      </c>
      <c r="CV150" s="29" t="str">
        <f t="shared" si="191"/>
        <v>0</v>
      </c>
      <c r="CW150" s="29" t="str">
        <f t="shared" si="191"/>
        <v>0</v>
      </c>
      <c r="CX150" s="29" t="str">
        <f t="shared" si="191"/>
        <v>0</v>
      </c>
      <c r="CY150" s="29" t="str">
        <f t="shared" si="191"/>
        <v>0</v>
      </c>
      <c r="CZ150" s="29" t="str">
        <f t="shared" si="191"/>
        <v>0</v>
      </c>
      <c r="DA150" s="29" t="str">
        <f t="shared" si="191"/>
        <v>0</v>
      </c>
      <c r="DB150" s="29" t="str">
        <f t="shared" si="191"/>
        <v>0</v>
      </c>
      <c r="DC150" s="29" t="str">
        <f t="shared" si="191"/>
        <v>0</v>
      </c>
      <c r="DD150" s="29" t="str">
        <f t="shared" si="191"/>
        <v>0</v>
      </c>
      <c r="DE150" s="29" t="str">
        <f t="shared" si="191"/>
        <v>0</v>
      </c>
      <c r="DF150" s="29" t="str">
        <f t="shared" si="191"/>
        <v>0</v>
      </c>
      <c r="DG150" s="29" t="str">
        <f t="shared" si="191"/>
        <v>0</v>
      </c>
      <c r="DH150" s="29" t="str">
        <f t="shared" si="191"/>
        <v>0</v>
      </c>
      <c r="DI150" s="29" t="str">
        <f t="shared" si="191"/>
        <v>0</v>
      </c>
      <c r="DJ150" s="29" t="str">
        <f t="shared" si="191"/>
        <v>0</v>
      </c>
      <c r="DK150" s="29" t="str">
        <f t="shared" si="191"/>
        <v>0</v>
      </c>
      <c r="DL150" s="29" t="str">
        <f t="shared" si="191"/>
        <v>0</v>
      </c>
      <c r="DM150" s="29" t="str">
        <f t="shared" si="191"/>
        <v>0</v>
      </c>
      <c r="DN150" s="29" t="str">
        <f t="shared" si="191"/>
        <v>0</v>
      </c>
      <c r="DO150" s="29" t="str">
        <f t="shared" si="191"/>
        <v>0</v>
      </c>
      <c r="DP150" s="29" t="str">
        <f t="shared" si="191"/>
        <v>0</v>
      </c>
      <c r="DQ150" s="29" t="str">
        <f t="shared" si="191"/>
        <v>0</v>
      </c>
      <c r="DR150" s="29"/>
      <c r="DS150" s="25">
        <v>0</v>
      </c>
      <c r="EE150" s="25" t="str">
        <f t="shared" si="175"/>
        <v>0</v>
      </c>
    </row>
    <row r="151" spans="1:135">
      <c r="A151" s="53">
        <v>1002013</v>
      </c>
      <c r="B151" s="49" t="s">
        <v>318</v>
      </c>
      <c r="C151" s="25">
        <f t="shared" si="146"/>
        <v>13</v>
      </c>
      <c r="D151" s="25">
        <f t="array" ref="D151">INDEX(C$5:C$67,MATCH($B151,$B$5:$B$67,0))</f>
        <v>5600</v>
      </c>
      <c r="E151" s="25">
        <f t="array" ref="E151">INDEX(D$5:D$67,MATCH($B151,$B$5:$B$67,0))</f>
        <v>448</v>
      </c>
      <c r="F151" s="25">
        <f t="array" ref="F151">INDEX(E$5:E$67,MATCH($B151,$B$5:$B$67,0))</f>
        <v>720</v>
      </c>
      <c r="G151" s="25">
        <f t="array" ref="G151">INDEX(F$5:F$67,MATCH($B151,$B$5:$B$67,0))</f>
        <v>57.6</v>
      </c>
      <c r="H151" s="25">
        <f t="array" ref="H151">INDEX(G$5:G$66,MATCH($B151,$B$5:$B$67,0))</f>
        <v>576</v>
      </c>
      <c r="I151" s="25">
        <f t="array" ref="I151">INDEX(H$5:H$67,MATCH($B151,$B$5:$B$67,0))</f>
        <v>46.08</v>
      </c>
      <c r="J151" s="25">
        <f t="array" ref="J151">INDEX(I$5:I$67,MATCH($B151,$B$5:$B$67,0))</f>
        <v>800</v>
      </c>
      <c r="K151" s="25">
        <f t="array" ref="K151">INDEX(J$5:J$67,MATCH($B151,$B$5:$B$67,0))</f>
        <v>64</v>
      </c>
      <c r="L151" s="25">
        <f t="shared" si="156"/>
        <v>11424</v>
      </c>
      <c r="M151" s="25">
        <f t="shared" si="157"/>
        <v>1469</v>
      </c>
      <c r="N151" s="25">
        <f t="shared" si="158"/>
        <v>1175</v>
      </c>
      <c r="O151" s="25">
        <f t="shared" si="159"/>
        <v>1632</v>
      </c>
      <c r="R151" s="50">
        <f t="array" ref="R151">INDEX($B$46:$B$68,MATCH(S151,$C$46:$C$68,0))*1000+T151</f>
        <v>1003019</v>
      </c>
      <c r="S151" s="51" t="s">
        <v>321</v>
      </c>
      <c r="T151" s="29">
        <f t="shared" si="78"/>
        <v>19</v>
      </c>
      <c r="U151" s="25">
        <f t="array" ref="U151">INDEX(K$5:K$67,MATCH($S151,$B$5:$B$67,0))</f>
        <v>656.04</v>
      </c>
      <c r="V151" s="25">
        <f t="array" ref="V151">INDEX(L$5:L$67,MATCH($S151,$B$5:$B$67,0))</f>
        <v>62.67</v>
      </c>
      <c r="W151" s="25">
        <f t="array" ref="W151">INDEX(M$5:M$67,MATCH($S151,$B$5:$B$67,0))</f>
        <v>78.34</v>
      </c>
      <c r="X151" s="25">
        <f t="array" ref="X151">INDEX(N$5:N$67,MATCH($S151,$B$5:$B$67,0))</f>
        <v>76.5</v>
      </c>
      <c r="Y151" s="25">
        <f t="shared" si="160"/>
        <v>12465</v>
      </c>
      <c r="Z151" s="25">
        <f t="shared" si="161"/>
        <v>1191</v>
      </c>
      <c r="AA151" s="25">
        <f t="shared" si="162"/>
        <v>1488</v>
      </c>
      <c r="AB151" s="25">
        <f t="shared" si="163"/>
        <v>1454</v>
      </c>
      <c r="AF151" s="25">
        <v>73</v>
      </c>
      <c r="AG151" s="25">
        <f t="array" ref="AG151">INDEX($AE$79:$AE$116,QUOTIENT(AF151-1,8)+1)</f>
        <v>1011</v>
      </c>
      <c r="AH151" s="25">
        <f t="shared" ref="AH151:AH214" si="192">AH143</f>
        <v>1</v>
      </c>
      <c r="AI151" s="25">
        <f t="shared" si="164"/>
        <v>10111</v>
      </c>
      <c r="AJ151" s="25" t="str">
        <f t="shared" si="165"/>
        <v>陈双双</v>
      </c>
      <c r="AK151" s="25">
        <f t="shared" ref="AK151:AK214" si="193">AK143</f>
        <v>1</v>
      </c>
      <c r="AL151" s="25" t="str">
        <f t="array" ref="AL151">INDEX($O$5:$O$42,MATCH(AJ151,$B$5:$B$42,0))</f>
        <v>攻击百分比</v>
      </c>
      <c r="AM151" s="25" t="str">
        <f t="array" ref="AM151">INDEX($P$5:$P$42,MATCH(AJ151,$B$5:$B$42,0))</f>
        <v>治疗率</v>
      </c>
      <c r="AN151" s="25" t="str">
        <f t="array" ref="AN151">INDEX($Q$5:$Q$42,MATCH(AJ151,$B$5:$B$42,0))</f>
        <v>能量回复等级</v>
      </c>
      <c r="AO151" s="25" t="str">
        <f t="array" ref="AO151">INDEX(AL151:AN151,0,AK151)</f>
        <v>攻击百分比</v>
      </c>
      <c r="AP151" s="25">
        <f t="shared" si="151"/>
        <v>0.216666666666667</v>
      </c>
      <c r="AQ151" s="25">
        <f t="shared" si="166"/>
        <v>0.216666666666667</v>
      </c>
      <c r="AR151" s="25" t="str">
        <f t="shared" ref="AR151:BZ151" si="194">IF(AR$78=$AO151,$AQ151,"0")</f>
        <v>0</v>
      </c>
      <c r="AS151" s="25" t="str">
        <f t="shared" si="194"/>
        <v>0</v>
      </c>
      <c r="AT151" s="25" t="str">
        <f t="shared" si="194"/>
        <v>0</v>
      </c>
      <c r="AU151" s="25">
        <f t="shared" si="194"/>
        <v>0.216666666666667</v>
      </c>
      <c r="AV151" s="25" t="str">
        <f t="shared" si="194"/>
        <v>0</v>
      </c>
      <c r="AW151" s="25">
        <f t="shared" si="194"/>
        <v>0.216666666666667</v>
      </c>
      <c r="AX151" s="25" t="str">
        <f t="shared" si="194"/>
        <v>0</v>
      </c>
      <c r="AY151" s="25" t="str">
        <f t="shared" si="194"/>
        <v>0</v>
      </c>
      <c r="AZ151" s="25" t="str">
        <f t="shared" si="194"/>
        <v>0</v>
      </c>
      <c r="BA151" s="25" t="str">
        <f t="shared" si="194"/>
        <v>0</v>
      </c>
      <c r="BB151" s="25" t="str">
        <f t="shared" si="194"/>
        <v>0</v>
      </c>
      <c r="BC151" s="25" t="str">
        <f t="shared" si="194"/>
        <v>0</v>
      </c>
      <c r="BD151" s="25" t="str">
        <f t="shared" si="194"/>
        <v>0</v>
      </c>
      <c r="BE151" s="25" t="str">
        <f t="shared" si="194"/>
        <v>0</v>
      </c>
      <c r="BF151" s="25" t="str">
        <f t="shared" si="194"/>
        <v>0</v>
      </c>
      <c r="BG151" s="25" t="str">
        <f t="shared" si="194"/>
        <v>0</v>
      </c>
      <c r="BH151" s="25" t="str">
        <f t="shared" si="194"/>
        <v>0</v>
      </c>
      <c r="BI151" s="25" t="str">
        <f t="shared" si="194"/>
        <v>0</v>
      </c>
      <c r="BJ151" s="25" t="str">
        <f t="shared" si="194"/>
        <v>0</v>
      </c>
      <c r="BK151" s="25" t="str">
        <f t="shared" si="194"/>
        <v>0</v>
      </c>
      <c r="BL151" s="25" t="str">
        <f t="shared" si="194"/>
        <v>0</v>
      </c>
      <c r="BM151" s="25" t="str">
        <f t="shared" si="194"/>
        <v>0</v>
      </c>
      <c r="BN151" s="25" t="str">
        <f t="shared" si="194"/>
        <v>0</v>
      </c>
      <c r="BO151" s="25" t="str">
        <f t="shared" si="194"/>
        <v>0</v>
      </c>
      <c r="BP151" s="25" t="str">
        <f t="shared" si="194"/>
        <v>0</v>
      </c>
      <c r="BQ151" s="25" t="str">
        <f t="shared" si="194"/>
        <v>0</v>
      </c>
      <c r="BR151" s="25" t="str">
        <f t="shared" si="194"/>
        <v>0</v>
      </c>
      <c r="BS151" s="25" t="str">
        <f t="shared" si="194"/>
        <v>0</v>
      </c>
      <c r="BT151" s="25" t="str">
        <f t="shared" si="194"/>
        <v>0</v>
      </c>
      <c r="BU151" s="25" t="str">
        <f t="shared" si="194"/>
        <v>0</v>
      </c>
      <c r="BV151" s="25" t="str">
        <f t="shared" si="194"/>
        <v>0</v>
      </c>
      <c r="BW151" s="25" t="str">
        <f t="shared" si="194"/>
        <v>0</v>
      </c>
      <c r="BX151" s="25" t="str">
        <f t="shared" si="194"/>
        <v>0</v>
      </c>
      <c r="BY151" s="25" t="str">
        <f t="shared" si="194"/>
        <v>0</v>
      </c>
      <c r="BZ151" s="25" t="str">
        <f t="shared" si="194"/>
        <v>0</v>
      </c>
      <c r="CC151" s="25" t="str">
        <f t="array" ref="CC151">INDEX($C$46:$C$74,MATCH(CD151,$B$46:$B$74,0))</f>
        <v>艾德琳</v>
      </c>
      <c r="CD151" s="1">
        <v>1012</v>
      </c>
      <c r="CE151" s="1">
        <v>2</v>
      </c>
      <c r="CF151" s="25" t="str">
        <f t="array" ref="CF151">INDEX($T$5:$T$44,MATCH(CC151,$B$5:$B$44,0))</f>
        <v>魔法</v>
      </c>
      <c r="CG151" s="25">
        <f t="shared" si="189"/>
        <v>0</v>
      </c>
      <c r="CH151" s="25">
        <f t="shared" si="168"/>
        <v>1</v>
      </c>
      <c r="CI151" s="25">
        <f t="shared" si="169"/>
        <v>1</v>
      </c>
      <c r="CJ151" s="25">
        <f t="shared" si="170"/>
        <v>1</v>
      </c>
      <c r="CK151" s="25">
        <f t="shared" si="171"/>
        <v>1</v>
      </c>
      <c r="CL151" s="25">
        <v>0</v>
      </c>
      <c r="CM151" s="25">
        <f t="shared" si="190"/>
        <v>0</v>
      </c>
      <c r="CN151" s="25">
        <f t="shared" si="172"/>
        <v>0</v>
      </c>
      <c r="CO151" s="25">
        <f t="shared" si="173"/>
        <v>0</v>
      </c>
      <c r="CP151" s="29" t="str">
        <f t="shared" ref="CP151:DQ151" si="195">IF($CL151=CP$78,$CN151,"0")</f>
        <v>0</v>
      </c>
      <c r="CQ151" s="29" t="str">
        <f t="shared" si="195"/>
        <v>0</v>
      </c>
      <c r="CR151" s="29" t="str">
        <f t="shared" si="195"/>
        <v>0</v>
      </c>
      <c r="CS151" s="29" t="str">
        <f t="shared" si="195"/>
        <v>0</v>
      </c>
      <c r="CT151" s="29" t="str">
        <f t="shared" si="195"/>
        <v>0</v>
      </c>
      <c r="CU151" s="29" t="str">
        <f t="shared" si="195"/>
        <v>0</v>
      </c>
      <c r="CV151" s="29" t="str">
        <f t="shared" si="195"/>
        <v>0</v>
      </c>
      <c r="CW151" s="29" t="str">
        <f t="shared" si="195"/>
        <v>0</v>
      </c>
      <c r="CX151" s="29" t="str">
        <f t="shared" si="195"/>
        <v>0</v>
      </c>
      <c r="CY151" s="29" t="str">
        <f t="shared" si="195"/>
        <v>0</v>
      </c>
      <c r="CZ151" s="29" t="str">
        <f t="shared" si="195"/>
        <v>0</v>
      </c>
      <c r="DA151" s="29" t="str">
        <f t="shared" si="195"/>
        <v>0</v>
      </c>
      <c r="DB151" s="29" t="str">
        <f t="shared" si="195"/>
        <v>0</v>
      </c>
      <c r="DC151" s="29" t="str">
        <f t="shared" si="195"/>
        <v>0</v>
      </c>
      <c r="DD151" s="29" t="str">
        <f t="shared" si="195"/>
        <v>0</v>
      </c>
      <c r="DE151" s="29" t="str">
        <f t="shared" si="195"/>
        <v>0</v>
      </c>
      <c r="DF151" s="29" t="str">
        <f t="shared" si="195"/>
        <v>0</v>
      </c>
      <c r="DG151" s="29" t="str">
        <f t="shared" si="195"/>
        <v>0</v>
      </c>
      <c r="DH151" s="29" t="str">
        <f t="shared" si="195"/>
        <v>0</v>
      </c>
      <c r="DI151" s="29" t="str">
        <f t="shared" si="195"/>
        <v>0</v>
      </c>
      <c r="DJ151" s="29" t="str">
        <f t="shared" si="195"/>
        <v>0</v>
      </c>
      <c r="DK151" s="29" t="str">
        <f t="shared" si="195"/>
        <v>0</v>
      </c>
      <c r="DL151" s="29" t="str">
        <f t="shared" si="195"/>
        <v>0</v>
      </c>
      <c r="DM151" s="29" t="str">
        <f t="shared" si="195"/>
        <v>0</v>
      </c>
      <c r="DN151" s="29" t="str">
        <f t="shared" si="195"/>
        <v>0</v>
      </c>
      <c r="DO151" s="29" t="str">
        <f t="shared" si="195"/>
        <v>0</v>
      </c>
      <c r="DP151" s="29" t="str">
        <f t="shared" si="195"/>
        <v>0</v>
      </c>
      <c r="DQ151" s="29" t="str">
        <f t="shared" si="195"/>
        <v>0</v>
      </c>
      <c r="DR151" s="29"/>
      <c r="DS151" s="25">
        <v>0</v>
      </c>
      <c r="EE151" s="25" t="str">
        <f t="shared" si="175"/>
        <v>0</v>
      </c>
    </row>
    <row r="152" spans="1:135">
      <c r="A152" s="53">
        <v>1002014</v>
      </c>
      <c r="B152" s="49" t="s">
        <v>318</v>
      </c>
      <c r="C152" s="25">
        <f t="shared" si="146"/>
        <v>14</v>
      </c>
      <c r="D152" s="25">
        <f t="array" ref="D152">INDEX(C$5:C$67,MATCH($B152,$B$5:$B$67,0))</f>
        <v>5600</v>
      </c>
      <c r="E152" s="25">
        <f t="array" ref="E152">INDEX(D$5:D$67,MATCH($B152,$B$5:$B$67,0))</f>
        <v>448</v>
      </c>
      <c r="F152" s="25">
        <f t="array" ref="F152">INDEX(E$5:E$67,MATCH($B152,$B$5:$B$67,0))</f>
        <v>720</v>
      </c>
      <c r="G152" s="25">
        <f t="array" ref="G152">INDEX(F$5:F$67,MATCH($B152,$B$5:$B$67,0))</f>
        <v>57.6</v>
      </c>
      <c r="H152" s="25">
        <f t="array" ref="H152">INDEX(G$5:G$66,MATCH($B152,$B$5:$B$67,0))</f>
        <v>576</v>
      </c>
      <c r="I152" s="25">
        <f t="array" ref="I152">INDEX(H$5:H$67,MATCH($B152,$B$5:$B$67,0))</f>
        <v>46.08</v>
      </c>
      <c r="J152" s="25">
        <f t="array" ref="J152">INDEX(I$5:I$67,MATCH($B152,$B$5:$B$67,0))</f>
        <v>800</v>
      </c>
      <c r="K152" s="25">
        <f t="array" ref="K152">INDEX(J$5:J$67,MATCH($B152,$B$5:$B$67,0))</f>
        <v>64</v>
      </c>
      <c r="L152" s="25">
        <f t="shared" si="156"/>
        <v>11872</v>
      </c>
      <c r="M152" s="25">
        <f t="shared" si="157"/>
        <v>1526</v>
      </c>
      <c r="N152" s="25">
        <f t="shared" si="158"/>
        <v>1221</v>
      </c>
      <c r="O152" s="25">
        <f t="shared" si="159"/>
        <v>1696</v>
      </c>
      <c r="R152" s="50">
        <f t="array" ref="R152">INDEX($B$46:$B$68,MATCH(S152,$C$46:$C$68,0))*1000+T152</f>
        <v>1003020</v>
      </c>
      <c r="S152" s="51" t="s">
        <v>321</v>
      </c>
      <c r="T152" s="29">
        <f t="shared" si="78"/>
        <v>20</v>
      </c>
      <c r="U152" s="25">
        <f t="array" ref="U152">INDEX(K$5:K$67,MATCH($S152,$B$5:$B$67,0))</f>
        <v>656.04</v>
      </c>
      <c r="V152" s="25">
        <f t="array" ref="V152">INDEX(L$5:L$67,MATCH($S152,$B$5:$B$67,0))</f>
        <v>62.67</v>
      </c>
      <c r="W152" s="25">
        <f t="array" ref="W152">INDEX(M$5:M$67,MATCH($S152,$B$5:$B$67,0))</f>
        <v>78.34</v>
      </c>
      <c r="X152" s="25">
        <f t="array" ref="X152">INDEX(N$5:N$67,MATCH($S152,$B$5:$B$67,0))</f>
        <v>76.5</v>
      </c>
      <c r="Y152" s="25">
        <f t="shared" si="160"/>
        <v>13121</v>
      </c>
      <c r="Z152" s="25">
        <f t="shared" si="161"/>
        <v>1253</v>
      </c>
      <c r="AA152" s="25">
        <f t="shared" si="162"/>
        <v>1567</v>
      </c>
      <c r="AB152" s="25">
        <f t="shared" si="163"/>
        <v>1530</v>
      </c>
      <c r="AF152" s="25">
        <v>74</v>
      </c>
      <c r="AG152" s="25">
        <f t="array" ref="AG152">INDEX($AE$79:$AE$116,QUOTIENT(AF152-1,8)+1)</f>
        <v>1011</v>
      </c>
      <c r="AH152" s="25">
        <f t="shared" si="192"/>
        <v>2</v>
      </c>
      <c r="AI152" s="25">
        <f t="shared" si="164"/>
        <v>10112</v>
      </c>
      <c r="AJ152" s="25" t="str">
        <f t="shared" si="165"/>
        <v>陈双双</v>
      </c>
      <c r="AK152" s="25">
        <f t="shared" si="193"/>
        <v>2</v>
      </c>
      <c r="AL152" s="25" t="str">
        <f t="array" ref="AL152">INDEX($O$5:$O$42,MATCH(AJ152,$B$5:$B$42,0))</f>
        <v>攻击百分比</v>
      </c>
      <c r="AM152" s="25" t="str">
        <f t="array" ref="AM152">INDEX($P$5:$P$42,MATCH(AJ152,$B$5:$B$42,0))</f>
        <v>治疗率</v>
      </c>
      <c r="AN152" s="25" t="str">
        <f t="array" ref="AN152">INDEX($Q$5:$Q$42,MATCH(AJ152,$B$5:$B$42,0))</f>
        <v>能量回复等级</v>
      </c>
      <c r="AO152" s="25" t="str">
        <f t="array" ref="AO152">INDEX(AL152:AN152,0,AK152)</f>
        <v>治疗率</v>
      </c>
      <c r="AP152" s="25">
        <f t="shared" si="151"/>
        <v>0.15</v>
      </c>
      <c r="AQ152" s="25">
        <f t="shared" si="166"/>
        <v>0.075</v>
      </c>
      <c r="AR152" s="25" t="str">
        <f t="shared" ref="AR152:BZ152" si="196">IF(AR$78=$AO152,$AQ152,"0")</f>
        <v>0</v>
      </c>
      <c r="AS152" s="25" t="str">
        <f t="shared" si="196"/>
        <v>0</v>
      </c>
      <c r="AT152" s="25" t="str">
        <f t="shared" si="196"/>
        <v>0</v>
      </c>
      <c r="AU152" s="25" t="str">
        <f t="shared" si="196"/>
        <v>0</v>
      </c>
      <c r="AV152" s="25" t="str">
        <f t="shared" si="196"/>
        <v>0</v>
      </c>
      <c r="AW152" s="25" t="str">
        <f t="shared" si="196"/>
        <v>0</v>
      </c>
      <c r="AX152" s="25" t="str">
        <f t="shared" si="196"/>
        <v>0</v>
      </c>
      <c r="AY152" s="25" t="str">
        <f t="shared" si="196"/>
        <v>0</v>
      </c>
      <c r="AZ152" s="25" t="str">
        <f t="shared" si="196"/>
        <v>0</v>
      </c>
      <c r="BA152" s="25" t="str">
        <f t="shared" si="196"/>
        <v>0</v>
      </c>
      <c r="BB152" s="25" t="str">
        <f t="shared" si="196"/>
        <v>0</v>
      </c>
      <c r="BC152" s="25" t="str">
        <f t="shared" si="196"/>
        <v>0</v>
      </c>
      <c r="BD152" s="25" t="str">
        <f t="shared" si="196"/>
        <v>0</v>
      </c>
      <c r="BE152" s="25" t="str">
        <f t="shared" si="196"/>
        <v>0</v>
      </c>
      <c r="BF152" s="25" t="str">
        <f t="shared" si="196"/>
        <v>0</v>
      </c>
      <c r="BG152" s="25" t="str">
        <f t="shared" si="196"/>
        <v>0</v>
      </c>
      <c r="BH152" s="25" t="str">
        <f t="shared" si="196"/>
        <v>0</v>
      </c>
      <c r="BI152" s="25" t="str">
        <f t="shared" si="196"/>
        <v>0</v>
      </c>
      <c r="BJ152" s="25">
        <f t="shared" si="196"/>
        <v>0.075</v>
      </c>
      <c r="BK152" s="25" t="str">
        <f t="shared" si="196"/>
        <v>0</v>
      </c>
      <c r="BL152" s="25" t="str">
        <f t="shared" si="196"/>
        <v>0</v>
      </c>
      <c r="BM152" s="25" t="str">
        <f t="shared" si="196"/>
        <v>0</v>
      </c>
      <c r="BN152" s="25" t="str">
        <f t="shared" si="196"/>
        <v>0</v>
      </c>
      <c r="BO152" s="25" t="str">
        <f t="shared" si="196"/>
        <v>0</v>
      </c>
      <c r="BP152" s="25" t="str">
        <f t="shared" si="196"/>
        <v>0</v>
      </c>
      <c r="BQ152" s="25" t="str">
        <f t="shared" si="196"/>
        <v>0</v>
      </c>
      <c r="BR152" s="25" t="str">
        <f t="shared" si="196"/>
        <v>0</v>
      </c>
      <c r="BS152" s="25" t="str">
        <f t="shared" si="196"/>
        <v>0</v>
      </c>
      <c r="BT152" s="25" t="str">
        <f t="shared" si="196"/>
        <v>0</v>
      </c>
      <c r="BU152" s="25" t="str">
        <f t="shared" si="196"/>
        <v>0</v>
      </c>
      <c r="BV152" s="25" t="str">
        <f t="shared" si="196"/>
        <v>0</v>
      </c>
      <c r="BW152" s="25" t="str">
        <f t="shared" si="196"/>
        <v>0</v>
      </c>
      <c r="BX152" s="25" t="str">
        <f t="shared" si="196"/>
        <v>0</v>
      </c>
      <c r="BY152" s="25" t="str">
        <f t="shared" si="196"/>
        <v>0</v>
      </c>
      <c r="BZ152" s="25" t="str">
        <f t="shared" si="196"/>
        <v>0</v>
      </c>
      <c r="CC152" s="25" t="str">
        <f t="array" ref="CC152">INDEX($C$46:$C$74,MATCH(CD152,$B$46:$B$74,0))</f>
        <v>艾德琳</v>
      </c>
      <c r="CD152" s="1">
        <v>1012</v>
      </c>
      <c r="CE152" s="1">
        <v>3</v>
      </c>
      <c r="CF152" s="25" t="str">
        <f t="array" ref="CF152">INDEX($T$5:$T$44,MATCH(CC152,$B$5:$B$44,0))</f>
        <v>魔法</v>
      </c>
      <c r="CG152" s="25">
        <f t="shared" si="189"/>
        <v>0.15</v>
      </c>
      <c r="CH152" s="25">
        <f t="shared" si="168"/>
        <v>1.15</v>
      </c>
      <c r="CI152" s="25">
        <f t="shared" si="169"/>
        <v>1</v>
      </c>
      <c r="CJ152" s="25">
        <f t="shared" si="170"/>
        <v>1.15</v>
      </c>
      <c r="CK152" s="25">
        <f t="shared" si="171"/>
        <v>1.15</v>
      </c>
      <c r="CL152" s="25" t="str">
        <f t="array" ref="CL152">INDEX($R$5:$R$43,MATCH(CC152,$B$5:$B$43,0))</f>
        <v>魔法伤害加成</v>
      </c>
      <c r="CM152" s="25">
        <f t="shared" si="190"/>
        <v>0.3</v>
      </c>
      <c r="CN152" s="25">
        <f t="shared" si="172"/>
        <v>0.12</v>
      </c>
      <c r="CO152" s="25">
        <f t="shared" si="173"/>
        <v>1</v>
      </c>
      <c r="CP152" s="29" t="str">
        <f t="shared" ref="CP152:DQ152" si="197">IF($CL152=CP$78,$CN152,"0")</f>
        <v>0</v>
      </c>
      <c r="CQ152" s="29" t="str">
        <f t="shared" si="197"/>
        <v>0</v>
      </c>
      <c r="CR152" s="29" t="str">
        <f t="shared" si="197"/>
        <v>0</v>
      </c>
      <c r="CS152" s="29" t="str">
        <f t="shared" si="197"/>
        <v>0</v>
      </c>
      <c r="CT152" s="29" t="str">
        <f t="shared" si="197"/>
        <v>0</v>
      </c>
      <c r="CU152" s="29" t="str">
        <f t="shared" si="197"/>
        <v>0</v>
      </c>
      <c r="CV152" s="29" t="str">
        <f t="shared" si="197"/>
        <v>0</v>
      </c>
      <c r="CW152" s="29" t="str">
        <f t="shared" si="197"/>
        <v>0</v>
      </c>
      <c r="CX152" s="29" t="str">
        <f t="shared" si="197"/>
        <v>0</v>
      </c>
      <c r="CY152" s="29" t="str">
        <f t="shared" si="197"/>
        <v>0</v>
      </c>
      <c r="CZ152" s="29" t="str">
        <f t="shared" si="197"/>
        <v>0</v>
      </c>
      <c r="DA152" s="29" t="str">
        <f t="shared" si="197"/>
        <v>0</v>
      </c>
      <c r="DB152" s="29" t="str">
        <f t="shared" si="197"/>
        <v>0</v>
      </c>
      <c r="DC152" s="29">
        <f t="shared" si="197"/>
        <v>0.12</v>
      </c>
      <c r="DD152" s="29" t="str">
        <f t="shared" si="197"/>
        <v>0</v>
      </c>
      <c r="DE152" s="29" t="str">
        <f t="shared" si="197"/>
        <v>0</v>
      </c>
      <c r="DF152" s="29" t="str">
        <f t="shared" si="197"/>
        <v>0</v>
      </c>
      <c r="DG152" s="29" t="str">
        <f t="shared" si="197"/>
        <v>0</v>
      </c>
      <c r="DH152" s="29" t="str">
        <f t="shared" si="197"/>
        <v>0</v>
      </c>
      <c r="DI152" s="29" t="str">
        <f t="shared" si="197"/>
        <v>0</v>
      </c>
      <c r="DJ152" s="29" t="str">
        <f t="shared" si="197"/>
        <v>0</v>
      </c>
      <c r="DK152" s="29" t="str">
        <f t="shared" si="197"/>
        <v>0</v>
      </c>
      <c r="DL152" s="29" t="str">
        <f t="shared" si="197"/>
        <v>0</v>
      </c>
      <c r="DM152" s="29" t="str">
        <f t="shared" si="197"/>
        <v>0</v>
      </c>
      <c r="DN152" s="29" t="str">
        <f t="shared" si="197"/>
        <v>0</v>
      </c>
      <c r="DO152" s="29" t="str">
        <f t="shared" si="197"/>
        <v>0</v>
      </c>
      <c r="DP152" s="29" t="str">
        <f t="shared" si="197"/>
        <v>0</v>
      </c>
      <c r="DQ152" s="29" t="str">
        <f t="shared" si="197"/>
        <v>0</v>
      </c>
      <c r="DR152" s="29"/>
      <c r="DS152" s="25" t="s">
        <v>1011</v>
      </c>
      <c r="DT152" s="25" t="str">
        <f>TEXT(角色升星!$F$18,"0%")</f>
        <v>15%</v>
      </c>
      <c r="DU152" s="25" t="s">
        <v>779</v>
      </c>
      <c r="DV152" s="25" t="str">
        <f>IF(CF152="物理","PhysicsAttack,+","MagicAttack,+")</f>
        <v>MagicAttack,+</v>
      </c>
      <c r="DW152" s="25" t="str">
        <f>TEXT(角色升星!$F$18,"0%")</f>
        <v>15%</v>
      </c>
      <c r="DX152" s="25" t="s">
        <v>779</v>
      </c>
      <c r="DY152" s="25" t="s">
        <v>1012</v>
      </c>
      <c r="DZ152" s="25" t="str">
        <f>TEXT(角色升星!$F$18,"0%")</f>
        <v>15%</v>
      </c>
      <c r="EA152" s="25" t="s">
        <v>779</v>
      </c>
      <c r="EB152" s="25" t="str">
        <f>VLOOKUP(CL152,$O$46:$P$73,2,0)</f>
        <v>MagicDmgBonus</v>
      </c>
      <c r="EC152" s="25" t="s">
        <v>1013</v>
      </c>
      <c r="ED152" s="25" t="str">
        <f>IF(CN152&gt;1,CN152,TEXT(CN152,"0%"))</f>
        <v>12%</v>
      </c>
      <c r="EE152" s="25" t="str">
        <f t="shared" si="175"/>
        <v>Hp,+15%;MagicAttack,+15%;Armor,+15%;MagicDmgBonus,+12%</v>
      </c>
    </row>
    <row r="153" spans="1:135">
      <c r="A153" s="53">
        <v>1002015</v>
      </c>
      <c r="B153" s="49" t="s">
        <v>318</v>
      </c>
      <c r="C153" s="25">
        <f t="shared" si="146"/>
        <v>15</v>
      </c>
      <c r="D153" s="25">
        <f t="array" ref="D153">INDEX(C$5:C$67,MATCH($B153,$B$5:$B$67,0))</f>
        <v>5600</v>
      </c>
      <c r="E153" s="25">
        <f t="array" ref="E153">INDEX(D$5:D$67,MATCH($B153,$B$5:$B$67,0))</f>
        <v>448</v>
      </c>
      <c r="F153" s="25">
        <f t="array" ref="F153">INDEX(E$5:E$67,MATCH($B153,$B$5:$B$67,0))</f>
        <v>720</v>
      </c>
      <c r="G153" s="25">
        <f t="array" ref="G153">INDEX(F$5:F$67,MATCH($B153,$B$5:$B$67,0))</f>
        <v>57.6</v>
      </c>
      <c r="H153" s="25">
        <f t="array" ref="H153">INDEX(G$5:G$66,MATCH($B153,$B$5:$B$67,0))</f>
        <v>576</v>
      </c>
      <c r="I153" s="25">
        <f t="array" ref="I153">INDEX(H$5:H$67,MATCH($B153,$B$5:$B$67,0))</f>
        <v>46.08</v>
      </c>
      <c r="J153" s="25">
        <f t="array" ref="J153">INDEX(I$5:I$67,MATCH($B153,$B$5:$B$67,0))</f>
        <v>800</v>
      </c>
      <c r="K153" s="25">
        <f t="array" ref="K153">INDEX(J$5:J$67,MATCH($B153,$B$5:$B$67,0))</f>
        <v>64</v>
      </c>
      <c r="L153" s="25">
        <f t="shared" si="156"/>
        <v>12320</v>
      </c>
      <c r="M153" s="25">
        <f t="shared" si="157"/>
        <v>1584</v>
      </c>
      <c r="N153" s="25">
        <f t="shared" si="158"/>
        <v>1267</v>
      </c>
      <c r="O153" s="25">
        <f t="shared" si="159"/>
        <v>1760</v>
      </c>
      <c r="R153" s="50">
        <f t="array" ref="R153">INDEX($B$46:$B$68,MATCH(S153,$C$46:$C$68,0))*1000+T153</f>
        <v>1003021</v>
      </c>
      <c r="S153" s="51" t="s">
        <v>321</v>
      </c>
      <c r="T153" s="29">
        <f t="shared" si="78"/>
        <v>21</v>
      </c>
      <c r="U153" s="25">
        <f t="array" ref="U153">INDEX(K$5:K$67,MATCH($S153,$B$5:$B$67,0))</f>
        <v>656.04</v>
      </c>
      <c r="V153" s="25">
        <f t="array" ref="V153">INDEX(L$5:L$67,MATCH($S153,$B$5:$B$67,0))</f>
        <v>62.67</v>
      </c>
      <c r="W153" s="25">
        <f t="array" ref="W153">INDEX(M$5:M$67,MATCH($S153,$B$5:$B$67,0))</f>
        <v>78.34</v>
      </c>
      <c r="X153" s="25">
        <f t="array" ref="X153">INDEX(N$5:N$67,MATCH($S153,$B$5:$B$67,0))</f>
        <v>76.5</v>
      </c>
      <c r="Y153" s="25">
        <f t="shared" si="160"/>
        <v>13777</v>
      </c>
      <c r="Z153" s="25">
        <f t="shared" si="161"/>
        <v>1316</v>
      </c>
      <c r="AA153" s="25">
        <f t="shared" si="162"/>
        <v>1645</v>
      </c>
      <c r="AB153" s="25">
        <f t="shared" si="163"/>
        <v>1607</v>
      </c>
      <c r="AF153" s="25">
        <v>75</v>
      </c>
      <c r="AG153" s="25">
        <f t="array" ref="AG153">INDEX($AE$79:$AE$116,QUOTIENT(AF153-1,8)+1)</f>
        <v>1011</v>
      </c>
      <c r="AH153" s="25">
        <f t="shared" si="192"/>
        <v>3</v>
      </c>
      <c r="AI153" s="25">
        <f t="shared" si="164"/>
        <v>10113</v>
      </c>
      <c r="AJ153" s="25" t="str">
        <f t="shared" si="165"/>
        <v>陈双双</v>
      </c>
      <c r="AK153" s="25">
        <f t="shared" si="193"/>
        <v>3</v>
      </c>
      <c r="AL153" s="25" t="str">
        <f t="array" ref="AL153">INDEX($O$5:$O$42,MATCH(AJ153,$B$5:$B$42,0))</f>
        <v>攻击百分比</v>
      </c>
      <c r="AM153" s="25" t="str">
        <f t="array" ref="AM153">INDEX($P$5:$P$42,MATCH(AJ153,$B$5:$B$42,0))</f>
        <v>治疗率</v>
      </c>
      <c r="AN153" s="25" t="str">
        <f t="array" ref="AN153">INDEX($Q$5:$Q$42,MATCH(AJ153,$B$5:$B$42,0))</f>
        <v>能量回复等级</v>
      </c>
      <c r="AO153" s="25" t="str">
        <f t="array" ref="AO153">INDEX(AL153:AN153,0,AK153)</f>
        <v>能量回复等级</v>
      </c>
      <c r="AP153" s="25">
        <f t="shared" si="151"/>
        <v>0.216666666666667</v>
      </c>
      <c r="AQ153" s="25">
        <f t="shared" si="166"/>
        <v>1950</v>
      </c>
      <c r="AR153" s="25" t="str">
        <f t="shared" ref="AR153:BZ153" si="198">IF(AR$78=$AO153,$AQ153,"0")</f>
        <v>0</v>
      </c>
      <c r="AS153" s="25" t="str">
        <f t="shared" si="198"/>
        <v>0</v>
      </c>
      <c r="AT153" s="25" t="str">
        <f t="shared" si="198"/>
        <v>0</v>
      </c>
      <c r="AU153" s="25" t="str">
        <f t="shared" si="198"/>
        <v>0</v>
      </c>
      <c r="AV153" s="25" t="str">
        <f t="shared" si="198"/>
        <v>0</v>
      </c>
      <c r="AW153" s="25" t="str">
        <f t="shared" si="198"/>
        <v>0</v>
      </c>
      <c r="AX153" s="25" t="str">
        <f t="shared" si="198"/>
        <v>0</v>
      </c>
      <c r="AY153" s="25" t="str">
        <f t="shared" si="198"/>
        <v>0</v>
      </c>
      <c r="AZ153" s="25" t="str">
        <f t="shared" si="198"/>
        <v>0</v>
      </c>
      <c r="BA153" s="25" t="str">
        <f t="shared" si="198"/>
        <v>0</v>
      </c>
      <c r="BB153" s="25" t="str">
        <f t="shared" si="198"/>
        <v>0</v>
      </c>
      <c r="BC153" s="25" t="str">
        <f t="shared" si="198"/>
        <v>0</v>
      </c>
      <c r="BD153" s="25" t="str">
        <f t="shared" si="198"/>
        <v>0</v>
      </c>
      <c r="BE153" s="25" t="str">
        <f t="shared" si="198"/>
        <v>0</v>
      </c>
      <c r="BF153" s="25" t="str">
        <f t="shared" si="198"/>
        <v>0</v>
      </c>
      <c r="BG153" s="25" t="str">
        <f t="shared" si="198"/>
        <v>0</v>
      </c>
      <c r="BH153" s="25" t="str">
        <f t="shared" si="198"/>
        <v>0</v>
      </c>
      <c r="BI153" s="25" t="str">
        <f t="shared" si="198"/>
        <v>0</v>
      </c>
      <c r="BJ153" s="25" t="str">
        <f t="shared" si="198"/>
        <v>0</v>
      </c>
      <c r="BK153" s="25" t="str">
        <f t="shared" si="198"/>
        <v>0</v>
      </c>
      <c r="BL153" s="25" t="str">
        <f t="shared" si="198"/>
        <v>0</v>
      </c>
      <c r="BM153" s="25" t="str">
        <f t="shared" si="198"/>
        <v>0</v>
      </c>
      <c r="BN153" s="25" t="str">
        <f t="shared" si="198"/>
        <v>0</v>
      </c>
      <c r="BO153" s="25" t="str">
        <f t="shared" si="198"/>
        <v>0</v>
      </c>
      <c r="BP153" s="25" t="str">
        <f t="shared" si="198"/>
        <v>0</v>
      </c>
      <c r="BQ153" s="25" t="str">
        <f t="shared" si="198"/>
        <v>0</v>
      </c>
      <c r="BR153" s="25" t="str">
        <f t="shared" si="198"/>
        <v>0</v>
      </c>
      <c r="BS153" s="25" t="str">
        <f t="shared" si="198"/>
        <v>0</v>
      </c>
      <c r="BT153" s="25" t="str">
        <f t="shared" si="198"/>
        <v>0</v>
      </c>
      <c r="BU153" s="25" t="str">
        <f t="shared" si="198"/>
        <v>0</v>
      </c>
      <c r="BV153" s="25" t="str">
        <f t="shared" si="198"/>
        <v>0</v>
      </c>
      <c r="BW153" s="25" t="str">
        <f t="shared" si="198"/>
        <v>0</v>
      </c>
      <c r="BX153" s="25" t="str">
        <f t="shared" si="198"/>
        <v>0</v>
      </c>
      <c r="BY153" s="25">
        <f t="shared" si="198"/>
        <v>1950</v>
      </c>
      <c r="BZ153" s="25" t="str">
        <f t="shared" si="198"/>
        <v>0</v>
      </c>
      <c r="CC153" s="25" t="str">
        <f t="array" ref="CC153">INDEX($C$46:$C$74,MATCH(CD153,$B$46:$B$74,0))</f>
        <v>艾德琳</v>
      </c>
      <c r="CD153" s="1">
        <v>1012</v>
      </c>
      <c r="CE153" s="1">
        <v>4</v>
      </c>
      <c r="CF153" s="25" t="str">
        <f t="array" ref="CF153">INDEX($T$5:$T$44,MATCH(CC153,$B$5:$B$44,0))</f>
        <v>魔法</v>
      </c>
      <c r="CG153" s="25">
        <f t="shared" si="189"/>
        <v>0.15</v>
      </c>
      <c r="CH153" s="25">
        <f t="shared" si="168"/>
        <v>1.15</v>
      </c>
      <c r="CI153" s="25">
        <f t="shared" si="169"/>
        <v>1</v>
      </c>
      <c r="CJ153" s="25">
        <f t="shared" si="170"/>
        <v>1.15</v>
      </c>
      <c r="CK153" s="25">
        <f t="shared" si="171"/>
        <v>1.15</v>
      </c>
      <c r="CL153" s="25">
        <v>0</v>
      </c>
      <c r="CM153" s="25">
        <f t="shared" si="190"/>
        <v>0</v>
      </c>
      <c r="CN153" s="25">
        <f t="shared" si="172"/>
        <v>0</v>
      </c>
      <c r="CO153" s="25">
        <f t="shared" si="173"/>
        <v>0</v>
      </c>
      <c r="CP153" s="29" t="str">
        <f t="shared" ref="CP153:DQ153" si="199">IF($CL153=CP$78,$CN153,"0")</f>
        <v>0</v>
      </c>
      <c r="CQ153" s="29" t="str">
        <f t="shared" si="199"/>
        <v>0</v>
      </c>
      <c r="CR153" s="29" t="str">
        <f t="shared" si="199"/>
        <v>0</v>
      </c>
      <c r="CS153" s="29" t="str">
        <f t="shared" si="199"/>
        <v>0</v>
      </c>
      <c r="CT153" s="29" t="str">
        <f t="shared" si="199"/>
        <v>0</v>
      </c>
      <c r="CU153" s="29" t="str">
        <f t="shared" si="199"/>
        <v>0</v>
      </c>
      <c r="CV153" s="29" t="str">
        <f t="shared" si="199"/>
        <v>0</v>
      </c>
      <c r="CW153" s="29" t="str">
        <f t="shared" si="199"/>
        <v>0</v>
      </c>
      <c r="CX153" s="29" t="str">
        <f t="shared" si="199"/>
        <v>0</v>
      </c>
      <c r="CY153" s="29" t="str">
        <f t="shared" si="199"/>
        <v>0</v>
      </c>
      <c r="CZ153" s="29" t="str">
        <f t="shared" si="199"/>
        <v>0</v>
      </c>
      <c r="DA153" s="29" t="str">
        <f t="shared" si="199"/>
        <v>0</v>
      </c>
      <c r="DB153" s="29" t="str">
        <f t="shared" si="199"/>
        <v>0</v>
      </c>
      <c r="DC153" s="29" t="str">
        <f t="shared" si="199"/>
        <v>0</v>
      </c>
      <c r="DD153" s="29" t="str">
        <f t="shared" si="199"/>
        <v>0</v>
      </c>
      <c r="DE153" s="29" t="str">
        <f t="shared" si="199"/>
        <v>0</v>
      </c>
      <c r="DF153" s="29" t="str">
        <f t="shared" si="199"/>
        <v>0</v>
      </c>
      <c r="DG153" s="29" t="str">
        <f t="shared" si="199"/>
        <v>0</v>
      </c>
      <c r="DH153" s="29" t="str">
        <f t="shared" si="199"/>
        <v>0</v>
      </c>
      <c r="DI153" s="29" t="str">
        <f t="shared" si="199"/>
        <v>0</v>
      </c>
      <c r="DJ153" s="29" t="str">
        <f t="shared" si="199"/>
        <v>0</v>
      </c>
      <c r="DK153" s="29" t="str">
        <f t="shared" si="199"/>
        <v>0</v>
      </c>
      <c r="DL153" s="29" t="str">
        <f t="shared" si="199"/>
        <v>0</v>
      </c>
      <c r="DM153" s="29" t="str">
        <f t="shared" si="199"/>
        <v>0</v>
      </c>
      <c r="DN153" s="29" t="str">
        <f t="shared" si="199"/>
        <v>0</v>
      </c>
      <c r="DO153" s="29" t="str">
        <f t="shared" si="199"/>
        <v>0</v>
      </c>
      <c r="DP153" s="29" t="str">
        <f t="shared" si="199"/>
        <v>0</v>
      </c>
      <c r="DQ153" s="29" t="str">
        <f t="shared" si="199"/>
        <v>0</v>
      </c>
      <c r="DR153" s="29"/>
      <c r="DS153" s="25">
        <v>0</v>
      </c>
      <c r="EE153" s="25" t="str">
        <f t="shared" si="175"/>
        <v>0</v>
      </c>
    </row>
    <row r="154" spans="1:135">
      <c r="A154" s="53">
        <v>1002016</v>
      </c>
      <c r="B154" s="49" t="s">
        <v>318</v>
      </c>
      <c r="C154" s="25">
        <f t="shared" si="146"/>
        <v>16</v>
      </c>
      <c r="D154" s="25">
        <f t="array" ref="D154">INDEX(C$5:C$67,MATCH($B154,$B$5:$B$67,0))</f>
        <v>5600</v>
      </c>
      <c r="E154" s="25">
        <f t="array" ref="E154">INDEX(D$5:D$67,MATCH($B154,$B$5:$B$67,0))</f>
        <v>448</v>
      </c>
      <c r="F154" s="25">
        <f t="array" ref="F154">INDEX(E$5:E$67,MATCH($B154,$B$5:$B$67,0))</f>
        <v>720</v>
      </c>
      <c r="G154" s="25">
        <f t="array" ref="G154">INDEX(F$5:F$67,MATCH($B154,$B$5:$B$67,0))</f>
        <v>57.6</v>
      </c>
      <c r="H154" s="25">
        <f t="array" ref="H154">INDEX(G$5:G$66,MATCH($B154,$B$5:$B$67,0))</f>
        <v>576</v>
      </c>
      <c r="I154" s="25">
        <f t="array" ref="I154">INDEX(H$5:H$67,MATCH($B154,$B$5:$B$67,0))</f>
        <v>46.08</v>
      </c>
      <c r="J154" s="25">
        <f t="array" ref="J154">INDEX(I$5:I$67,MATCH($B154,$B$5:$B$67,0))</f>
        <v>800</v>
      </c>
      <c r="K154" s="25">
        <f t="array" ref="K154">INDEX(J$5:J$67,MATCH($B154,$B$5:$B$67,0))</f>
        <v>64</v>
      </c>
      <c r="L154" s="25">
        <f t="shared" si="156"/>
        <v>12768</v>
      </c>
      <c r="M154" s="25">
        <f t="shared" si="157"/>
        <v>1642</v>
      </c>
      <c r="N154" s="25">
        <f t="shared" si="158"/>
        <v>1313</v>
      </c>
      <c r="O154" s="25">
        <f t="shared" si="159"/>
        <v>1824</v>
      </c>
      <c r="R154" s="50">
        <f t="array" ref="R154">INDEX($B$46:$B$68,MATCH(S154,$C$46:$C$68,0))*1000+T154</f>
        <v>1003022</v>
      </c>
      <c r="S154" s="51" t="s">
        <v>321</v>
      </c>
      <c r="T154" s="29">
        <f t="shared" si="78"/>
        <v>22</v>
      </c>
      <c r="U154" s="25">
        <f t="array" ref="U154">INDEX(K$5:K$67,MATCH($S154,$B$5:$B$67,0))</f>
        <v>656.04</v>
      </c>
      <c r="V154" s="25">
        <f t="array" ref="V154">INDEX(L$5:L$67,MATCH($S154,$B$5:$B$67,0))</f>
        <v>62.67</v>
      </c>
      <c r="W154" s="25">
        <f t="array" ref="W154">INDEX(M$5:M$67,MATCH($S154,$B$5:$B$67,0))</f>
        <v>78.34</v>
      </c>
      <c r="X154" s="25">
        <f t="array" ref="X154">INDEX(N$5:N$67,MATCH($S154,$B$5:$B$67,0))</f>
        <v>76.5</v>
      </c>
      <c r="Y154" s="25">
        <f t="shared" si="160"/>
        <v>14433</v>
      </c>
      <c r="Z154" s="25">
        <f t="shared" si="161"/>
        <v>1379</v>
      </c>
      <c r="AA154" s="25">
        <f t="shared" si="162"/>
        <v>1723</v>
      </c>
      <c r="AB154" s="25">
        <f t="shared" si="163"/>
        <v>1683</v>
      </c>
      <c r="AF154" s="25">
        <v>76</v>
      </c>
      <c r="AG154" s="25">
        <f t="array" ref="AG154">INDEX($AE$79:$AE$116,QUOTIENT(AF154-1,8)+1)</f>
        <v>1011</v>
      </c>
      <c r="AH154" s="25">
        <f t="shared" si="192"/>
        <v>4</v>
      </c>
      <c r="AI154" s="25">
        <f t="shared" si="164"/>
        <v>10114</v>
      </c>
      <c r="AJ154" s="25" t="str">
        <f t="shared" si="165"/>
        <v>陈双双</v>
      </c>
      <c r="AK154" s="25">
        <f t="shared" si="193"/>
        <v>2</v>
      </c>
      <c r="AL154" s="25" t="str">
        <f t="array" ref="AL154">INDEX($O$5:$O$42,MATCH(AJ154,$B$5:$B$42,0))</f>
        <v>攻击百分比</v>
      </c>
      <c r="AM154" s="25" t="str">
        <f t="array" ref="AM154">INDEX($P$5:$P$42,MATCH(AJ154,$B$5:$B$42,0))</f>
        <v>治疗率</v>
      </c>
      <c r="AN154" s="25" t="str">
        <f t="array" ref="AN154">INDEX($Q$5:$Q$42,MATCH(AJ154,$B$5:$B$42,0))</f>
        <v>能量回复等级</v>
      </c>
      <c r="AO154" s="25" t="str">
        <f t="array" ref="AO154">INDEX(AL154:AN154,0,AK154)</f>
        <v>治疗率</v>
      </c>
      <c r="AP154" s="25">
        <f t="shared" si="151"/>
        <v>0.15</v>
      </c>
      <c r="AQ154" s="25">
        <f t="shared" si="166"/>
        <v>0.075</v>
      </c>
      <c r="AR154" s="25" t="str">
        <f t="shared" ref="AR154:BZ154" si="200">IF(AR$78=$AO154,$AQ154,"0")</f>
        <v>0</v>
      </c>
      <c r="AS154" s="25" t="str">
        <f t="shared" si="200"/>
        <v>0</v>
      </c>
      <c r="AT154" s="25" t="str">
        <f t="shared" si="200"/>
        <v>0</v>
      </c>
      <c r="AU154" s="25" t="str">
        <f t="shared" si="200"/>
        <v>0</v>
      </c>
      <c r="AV154" s="25" t="str">
        <f t="shared" si="200"/>
        <v>0</v>
      </c>
      <c r="AW154" s="25" t="str">
        <f t="shared" si="200"/>
        <v>0</v>
      </c>
      <c r="AX154" s="25" t="str">
        <f t="shared" si="200"/>
        <v>0</v>
      </c>
      <c r="AY154" s="25" t="str">
        <f t="shared" si="200"/>
        <v>0</v>
      </c>
      <c r="AZ154" s="25" t="str">
        <f t="shared" si="200"/>
        <v>0</v>
      </c>
      <c r="BA154" s="25" t="str">
        <f t="shared" si="200"/>
        <v>0</v>
      </c>
      <c r="BB154" s="25" t="str">
        <f t="shared" si="200"/>
        <v>0</v>
      </c>
      <c r="BC154" s="25" t="str">
        <f t="shared" si="200"/>
        <v>0</v>
      </c>
      <c r="BD154" s="25" t="str">
        <f t="shared" si="200"/>
        <v>0</v>
      </c>
      <c r="BE154" s="25" t="str">
        <f t="shared" si="200"/>
        <v>0</v>
      </c>
      <c r="BF154" s="25" t="str">
        <f t="shared" si="200"/>
        <v>0</v>
      </c>
      <c r="BG154" s="25" t="str">
        <f t="shared" si="200"/>
        <v>0</v>
      </c>
      <c r="BH154" s="25" t="str">
        <f t="shared" si="200"/>
        <v>0</v>
      </c>
      <c r="BI154" s="25" t="str">
        <f t="shared" si="200"/>
        <v>0</v>
      </c>
      <c r="BJ154" s="25">
        <f t="shared" si="200"/>
        <v>0.075</v>
      </c>
      <c r="BK154" s="25" t="str">
        <f t="shared" si="200"/>
        <v>0</v>
      </c>
      <c r="BL154" s="25" t="str">
        <f t="shared" si="200"/>
        <v>0</v>
      </c>
      <c r="BM154" s="25" t="str">
        <f t="shared" si="200"/>
        <v>0</v>
      </c>
      <c r="BN154" s="25" t="str">
        <f t="shared" si="200"/>
        <v>0</v>
      </c>
      <c r="BO154" s="25" t="str">
        <f t="shared" si="200"/>
        <v>0</v>
      </c>
      <c r="BP154" s="25" t="str">
        <f t="shared" si="200"/>
        <v>0</v>
      </c>
      <c r="BQ154" s="25" t="str">
        <f t="shared" si="200"/>
        <v>0</v>
      </c>
      <c r="BR154" s="25" t="str">
        <f t="shared" si="200"/>
        <v>0</v>
      </c>
      <c r="BS154" s="25" t="str">
        <f t="shared" si="200"/>
        <v>0</v>
      </c>
      <c r="BT154" s="25" t="str">
        <f t="shared" si="200"/>
        <v>0</v>
      </c>
      <c r="BU154" s="25" t="str">
        <f t="shared" si="200"/>
        <v>0</v>
      </c>
      <c r="BV154" s="25" t="str">
        <f t="shared" si="200"/>
        <v>0</v>
      </c>
      <c r="BW154" s="25" t="str">
        <f t="shared" si="200"/>
        <v>0</v>
      </c>
      <c r="BX154" s="25" t="str">
        <f t="shared" si="200"/>
        <v>0</v>
      </c>
      <c r="BY154" s="25" t="str">
        <f t="shared" si="200"/>
        <v>0</v>
      </c>
      <c r="BZ154" s="25" t="str">
        <f t="shared" si="200"/>
        <v>0</v>
      </c>
      <c r="CC154" s="25" t="str">
        <f t="array" ref="CC154">INDEX($C$46:$C$74,MATCH(CD154,$B$46:$B$74,0))</f>
        <v>艾德琳</v>
      </c>
      <c r="CD154" s="1">
        <v>1012</v>
      </c>
      <c r="CE154" s="1">
        <v>5</v>
      </c>
      <c r="CF154" s="25" t="str">
        <f t="array" ref="CF154">INDEX($T$5:$T$44,MATCH(CC154,$B$5:$B$44,0))</f>
        <v>魔法</v>
      </c>
      <c r="CG154" s="25">
        <f t="shared" si="189"/>
        <v>0.3</v>
      </c>
      <c r="CH154" s="25">
        <f t="shared" si="168"/>
        <v>1.3</v>
      </c>
      <c r="CI154" s="25">
        <f t="shared" si="169"/>
        <v>1</v>
      </c>
      <c r="CJ154" s="25">
        <f t="shared" si="170"/>
        <v>1.3</v>
      </c>
      <c r="CK154" s="25">
        <f t="shared" si="171"/>
        <v>1.3</v>
      </c>
      <c r="CL154" s="25" t="str">
        <f t="array" ref="CL154">INDEX($S$5:$S$43,MATCH(CC154,$B$5:$B$43,0))</f>
        <v>能量回复等级</v>
      </c>
      <c r="CM154" s="25">
        <f t="shared" si="190"/>
        <v>0.3</v>
      </c>
      <c r="CN154" s="25">
        <f t="shared" si="172"/>
        <v>2700</v>
      </c>
      <c r="CO154" s="25">
        <f t="shared" si="173"/>
        <v>1</v>
      </c>
      <c r="CP154" s="29" t="str">
        <f t="shared" ref="CP154:DQ154" si="201">IF($CL154=CP$78,$CN154,"0")</f>
        <v>0</v>
      </c>
      <c r="CQ154" s="29" t="str">
        <f t="shared" si="201"/>
        <v>0</v>
      </c>
      <c r="CR154" s="29" t="str">
        <f t="shared" si="201"/>
        <v>0</v>
      </c>
      <c r="CS154" s="29" t="str">
        <f t="shared" si="201"/>
        <v>0</v>
      </c>
      <c r="CT154" s="29" t="str">
        <f t="shared" si="201"/>
        <v>0</v>
      </c>
      <c r="CU154" s="29" t="str">
        <f t="shared" si="201"/>
        <v>0</v>
      </c>
      <c r="CV154" s="29" t="str">
        <f t="shared" si="201"/>
        <v>0</v>
      </c>
      <c r="CW154" s="29" t="str">
        <f t="shared" si="201"/>
        <v>0</v>
      </c>
      <c r="CX154" s="29" t="str">
        <f t="shared" si="201"/>
        <v>0</v>
      </c>
      <c r="CY154" s="29" t="str">
        <f t="shared" si="201"/>
        <v>0</v>
      </c>
      <c r="CZ154" s="29" t="str">
        <f t="shared" si="201"/>
        <v>0</v>
      </c>
      <c r="DA154" s="29" t="str">
        <f t="shared" si="201"/>
        <v>0</v>
      </c>
      <c r="DB154" s="29" t="str">
        <f t="shared" si="201"/>
        <v>0</v>
      </c>
      <c r="DC154" s="29" t="str">
        <f t="shared" si="201"/>
        <v>0</v>
      </c>
      <c r="DD154" s="29" t="str">
        <f t="shared" si="201"/>
        <v>0</v>
      </c>
      <c r="DE154" s="29" t="str">
        <f t="shared" si="201"/>
        <v>0</v>
      </c>
      <c r="DF154" s="29" t="str">
        <f t="shared" si="201"/>
        <v>0</v>
      </c>
      <c r="DG154" s="29" t="str">
        <f t="shared" si="201"/>
        <v>0</v>
      </c>
      <c r="DH154" s="29" t="str">
        <f t="shared" si="201"/>
        <v>0</v>
      </c>
      <c r="DI154" s="29" t="str">
        <f t="shared" si="201"/>
        <v>0</v>
      </c>
      <c r="DJ154" s="29" t="str">
        <f t="shared" si="201"/>
        <v>0</v>
      </c>
      <c r="DK154" s="29" t="str">
        <f t="shared" si="201"/>
        <v>0</v>
      </c>
      <c r="DL154" s="29" t="str">
        <f t="shared" si="201"/>
        <v>0</v>
      </c>
      <c r="DM154" s="29" t="str">
        <f t="shared" si="201"/>
        <v>0</v>
      </c>
      <c r="DN154" s="29" t="str">
        <f t="shared" si="201"/>
        <v>0</v>
      </c>
      <c r="DO154" s="29" t="str">
        <f t="shared" si="201"/>
        <v>0</v>
      </c>
      <c r="DP154" s="29">
        <f t="shared" si="201"/>
        <v>2700</v>
      </c>
      <c r="DQ154" s="29" t="str">
        <f t="shared" si="201"/>
        <v>0</v>
      </c>
      <c r="DR154" s="29"/>
      <c r="DS154" s="25" t="s">
        <v>1011</v>
      </c>
      <c r="DT154" s="25" t="str">
        <f>TEXT(角色升星!$F$18,"0%")</f>
        <v>15%</v>
      </c>
      <c r="DU154" s="25" t="s">
        <v>779</v>
      </c>
      <c r="DV154" s="25" t="str">
        <f>IF(CF154="物理","PhysicsAttack,+","MagicAttack,+")</f>
        <v>MagicAttack,+</v>
      </c>
      <c r="DW154" s="25" t="str">
        <f>TEXT(角色升星!$F$18,"0%")</f>
        <v>15%</v>
      </c>
      <c r="DX154" s="25" t="s">
        <v>779</v>
      </c>
      <c r="DY154" s="25" t="s">
        <v>1012</v>
      </c>
      <c r="DZ154" s="25" t="str">
        <f>TEXT(角色升星!$F$18,"0%")</f>
        <v>15%</v>
      </c>
      <c r="EA154" s="25" t="s">
        <v>779</v>
      </c>
      <c r="EB154" s="25" t="str">
        <f>VLOOKUP(CL154,$O$46:$P$73,2,0)</f>
        <v>EnergyPreAddBonusLevel</v>
      </c>
      <c r="EC154" s="25" t="s">
        <v>1013</v>
      </c>
      <c r="ED154" s="25">
        <f>IF(CN154&gt;1,CN154,TEXT(CN154,"0%"))</f>
        <v>2700</v>
      </c>
      <c r="EE154" s="25" t="str">
        <f t="shared" si="175"/>
        <v>Hp,+15%;MagicAttack,+15%;Armor,+15%;EnergyPreAddBonusLevel,+2700</v>
      </c>
    </row>
    <row r="155" spans="1:135">
      <c r="A155" s="53">
        <v>1002017</v>
      </c>
      <c r="B155" s="49" t="s">
        <v>318</v>
      </c>
      <c r="C155" s="25">
        <f t="shared" si="146"/>
        <v>17</v>
      </c>
      <c r="D155" s="25">
        <f t="array" ref="D155">INDEX(C$5:C$67,MATCH($B155,$B$5:$B$67,0))</f>
        <v>5600</v>
      </c>
      <c r="E155" s="25">
        <f t="array" ref="E155">INDEX(D$5:D$67,MATCH($B155,$B$5:$B$67,0))</f>
        <v>448</v>
      </c>
      <c r="F155" s="25">
        <f t="array" ref="F155">INDEX(E$5:E$67,MATCH($B155,$B$5:$B$67,0))</f>
        <v>720</v>
      </c>
      <c r="G155" s="25">
        <f t="array" ref="G155">INDEX(F$5:F$67,MATCH($B155,$B$5:$B$67,0))</f>
        <v>57.6</v>
      </c>
      <c r="H155" s="25">
        <f t="array" ref="H155">INDEX(G$5:G$66,MATCH($B155,$B$5:$B$67,0))</f>
        <v>576</v>
      </c>
      <c r="I155" s="25">
        <f t="array" ref="I155">INDEX(H$5:H$67,MATCH($B155,$B$5:$B$67,0))</f>
        <v>46.08</v>
      </c>
      <c r="J155" s="25">
        <f t="array" ref="J155">INDEX(I$5:I$67,MATCH($B155,$B$5:$B$67,0))</f>
        <v>800</v>
      </c>
      <c r="K155" s="25">
        <f t="array" ref="K155">INDEX(J$5:J$67,MATCH($B155,$B$5:$B$67,0))</f>
        <v>64</v>
      </c>
      <c r="L155" s="25">
        <f t="shared" si="156"/>
        <v>13216</v>
      </c>
      <c r="M155" s="25">
        <f t="shared" si="157"/>
        <v>1699</v>
      </c>
      <c r="N155" s="25">
        <f t="shared" si="158"/>
        <v>1359</v>
      </c>
      <c r="O155" s="25">
        <f t="shared" si="159"/>
        <v>1888</v>
      </c>
      <c r="R155" s="50">
        <f t="array" ref="R155">INDEX($B$46:$B$68,MATCH(S155,$C$46:$C$68,0))*1000+T155</f>
        <v>1003023</v>
      </c>
      <c r="S155" s="51" t="s">
        <v>321</v>
      </c>
      <c r="T155" s="29">
        <f t="shared" si="78"/>
        <v>23</v>
      </c>
      <c r="U155" s="25">
        <f t="array" ref="U155">INDEX(K$5:K$67,MATCH($S155,$B$5:$B$67,0))</f>
        <v>656.04</v>
      </c>
      <c r="V155" s="25">
        <f t="array" ref="V155">INDEX(L$5:L$67,MATCH($S155,$B$5:$B$67,0))</f>
        <v>62.67</v>
      </c>
      <c r="W155" s="25">
        <f t="array" ref="W155">INDEX(M$5:M$67,MATCH($S155,$B$5:$B$67,0))</f>
        <v>78.34</v>
      </c>
      <c r="X155" s="25">
        <f t="array" ref="X155">INDEX(N$5:N$67,MATCH($S155,$B$5:$B$67,0))</f>
        <v>76.5</v>
      </c>
      <c r="Y155" s="25">
        <f t="shared" si="160"/>
        <v>15089</v>
      </c>
      <c r="Z155" s="25">
        <f t="shared" si="161"/>
        <v>1441</v>
      </c>
      <c r="AA155" s="25">
        <f t="shared" si="162"/>
        <v>1802</v>
      </c>
      <c r="AB155" s="25">
        <f t="shared" si="163"/>
        <v>1760</v>
      </c>
      <c r="AF155" s="25">
        <v>77</v>
      </c>
      <c r="AG155" s="25">
        <f t="array" ref="AG155">INDEX($AE$79:$AE$116,QUOTIENT(AF155-1,8)+1)</f>
        <v>1011</v>
      </c>
      <c r="AH155" s="25">
        <f t="shared" si="192"/>
        <v>5</v>
      </c>
      <c r="AI155" s="25">
        <f t="shared" si="164"/>
        <v>10115</v>
      </c>
      <c r="AJ155" s="25" t="str">
        <f t="shared" si="165"/>
        <v>陈双双</v>
      </c>
      <c r="AK155" s="25">
        <f t="shared" si="193"/>
        <v>3</v>
      </c>
      <c r="AL155" s="25" t="str">
        <f t="array" ref="AL155">INDEX($O$5:$O$42,MATCH(AJ155,$B$5:$B$42,0))</f>
        <v>攻击百分比</v>
      </c>
      <c r="AM155" s="25" t="str">
        <f t="array" ref="AM155">INDEX($P$5:$P$42,MATCH(AJ155,$B$5:$B$42,0))</f>
        <v>治疗率</v>
      </c>
      <c r="AN155" s="25" t="str">
        <f t="array" ref="AN155">INDEX($Q$5:$Q$42,MATCH(AJ155,$B$5:$B$42,0))</f>
        <v>能量回复等级</v>
      </c>
      <c r="AO155" s="25" t="str">
        <f t="array" ref="AO155">INDEX(AL155:AN155,0,AK155)</f>
        <v>能量回复等级</v>
      </c>
      <c r="AP155" s="25">
        <f t="shared" si="151"/>
        <v>0.216666666666667</v>
      </c>
      <c r="AQ155" s="25">
        <f t="shared" si="166"/>
        <v>1950</v>
      </c>
      <c r="AR155" s="25" t="str">
        <f t="shared" ref="AR155:BZ155" si="202">IF(AR$78=$AO155,$AQ155,"0")</f>
        <v>0</v>
      </c>
      <c r="AS155" s="25" t="str">
        <f t="shared" si="202"/>
        <v>0</v>
      </c>
      <c r="AT155" s="25" t="str">
        <f t="shared" si="202"/>
        <v>0</v>
      </c>
      <c r="AU155" s="25" t="str">
        <f t="shared" si="202"/>
        <v>0</v>
      </c>
      <c r="AV155" s="25" t="str">
        <f t="shared" si="202"/>
        <v>0</v>
      </c>
      <c r="AW155" s="25" t="str">
        <f t="shared" si="202"/>
        <v>0</v>
      </c>
      <c r="AX155" s="25" t="str">
        <f t="shared" si="202"/>
        <v>0</v>
      </c>
      <c r="AY155" s="25" t="str">
        <f t="shared" si="202"/>
        <v>0</v>
      </c>
      <c r="AZ155" s="25" t="str">
        <f t="shared" si="202"/>
        <v>0</v>
      </c>
      <c r="BA155" s="25" t="str">
        <f t="shared" si="202"/>
        <v>0</v>
      </c>
      <c r="BB155" s="25" t="str">
        <f t="shared" si="202"/>
        <v>0</v>
      </c>
      <c r="BC155" s="25" t="str">
        <f t="shared" si="202"/>
        <v>0</v>
      </c>
      <c r="BD155" s="25" t="str">
        <f t="shared" si="202"/>
        <v>0</v>
      </c>
      <c r="BE155" s="25" t="str">
        <f t="shared" si="202"/>
        <v>0</v>
      </c>
      <c r="BF155" s="25" t="str">
        <f t="shared" si="202"/>
        <v>0</v>
      </c>
      <c r="BG155" s="25" t="str">
        <f t="shared" si="202"/>
        <v>0</v>
      </c>
      <c r="BH155" s="25" t="str">
        <f t="shared" si="202"/>
        <v>0</v>
      </c>
      <c r="BI155" s="25" t="str">
        <f t="shared" si="202"/>
        <v>0</v>
      </c>
      <c r="BJ155" s="25" t="str">
        <f t="shared" si="202"/>
        <v>0</v>
      </c>
      <c r="BK155" s="25" t="str">
        <f t="shared" si="202"/>
        <v>0</v>
      </c>
      <c r="BL155" s="25" t="str">
        <f t="shared" si="202"/>
        <v>0</v>
      </c>
      <c r="BM155" s="25" t="str">
        <f t="shared" si="202"/>
        <v>0</v>
      </c>
      <c r="BN155" s="25" t="str">
        <f t="shared" si="202"/>
        <v>0</v>
      </c>
      <c r="BO155" s="25" t="str">
        <f t="shared" si="202"/>
        <v>0</v>
      </c>
      <c r="BP155" s="25" t="str">
        <f t="shared" si="202"/>
        <v>0</v>
      </c>
      <c r="BQ155" s="25" t="str">
        <f t="shared" si="202"/>
        <v>0</v>
      </c>
      <c r="BR155" s="25" t="str">
        <f t="shared" si="202"/>
        <v>0</v>
      </c>
      <c r="BS155" s="25" t="str">
        <f t="shared" si="202"/>
        <v>0</v>
      </c>
      <c r="BT155" s="25" t="str">
        <f t="shared" si="202"/>
        <v>0</v>
      </c>
      <c r="BU155" s="25" t="str">
        <f t="shared" si="202"/>
        <v>0</v>
      </c>
      <c r="BV155" s="25" t="str">
        <f t="shared" si="202"/>
        <v>0</v>
      </c>
      <c r="BW155" s="25" t="str">
        <f t="shared" si="202"/>
        <v>0</v>
      </c>
      <c r="BX155" s="25" t="str">
        <f t="shared" si="202"/>
        <v>0</v>
      </c>
      <c r="BY155" s="25">
        <f t="shared" si="202"/>
        <v>1950</v>
      </c>
      <c r="BZ155" s="25" t="str">
        <f t="shared" si="202"/>
        <v>0</v>
      </c>
      <c r="CC155" s="25" t="str">
        <f t="array" ref="CC155">INDEX($C$46:$C$74,MATCH(CD155,$B$46:$B$74,0))</f>
        <v>艾德琳</v>
      </c>
      <c r="CD155" s="1">
        <v>1012</v>
      </c>
      <c r="CE155" s="1">
        <v>6</v>
      </c>
      <c r="CF155" s="25" t="str">
        <f t="array" ref="CF155">INDEX($T$5:$T$44,MATCH(CC155,$B$5:$B$44,0))</f>
        <v>魔法</v>
      </c>
      <c r="CG155" s="25">
        <f t="shared" si="189"/>
        <v>0.3</v>
      </c>
      <c r="CH155" s="25">
        <f t="shared" si="168"/>
        <v>1.3</v>
      </c>
      <c r="CI155" s="25">
        <f t="shared" si="169"/>
        <v>1</v>
      </c>
      <c r="CJ155" s="25">
        <f t="shared" si="170"/>
        <v>1.3</v>
      </c>
      <c r="CK155" s="25">
        <f t="shared" si="171"/>
        <v>1.3</v>
      </c>
      <c r="CL155" s="25">
        <v>0</v>
      </c>
      <c r="CM155" s="25">
        <f t="shared" si="190"/>
        <v>0</v>
      </c>
      <c r="CN155" s="25">
        <f t="shared" si="172"/>
        <v>0</v>
      </c>
      <c r="CO155" s="25">
        <f t="shared" si="173"/>
        <v>0</v>
      </c>
      <c r="CP155" s="29" t="str">
        <f t="shared" ref="CP155:DQ155" si="203">IF($CL155=CP$78,$CN155,"0")</f>
        <v>0</v>
      </c>
      <c r="CQ155" s="29" t="str">
        <f t="shared" si="203"/>
        <v>0</v>
      </c>
      <c r="CR155" s="29" t="str">
        <f t="shared" si="203"/>
        <v>0</v>
      </c>
      <c r="CS155" s="29" t="str">
        <f t="shared" si="203"/>
        <v>0</v>
      </c>
      <c r="CT155" s="29" t="str">
        <f t="shared" si="203"/>
        <v>0</v>
      </c>
      <c r="CU155" s="29" t="str">
        <f t="shared" si="203"/>
        <v>0</v>
      </c>
      <c r="CV155" s="29" t="str">
        <f t="shared" si="203"/>
        <v>0</v>
      </c>
      <c r="CW155" s="29" t="str">
        <f t="shared" si="203"/>
        <v>0</v>
      </c>
      <c r="CX155" s="29" t="str">
        <f t="shared" si="203"/>
        <v>0</v>
      </c>
      <c r="CY155" s="29" t="str">
        <f t="shared" si="203"/>
        <v>0</v>
      </c>
      <c r="CZ155" s="29" t="str">
        <f t="shared" si="203"/>
        <v>0</v>
      </c>
      <c r="DA155" s="29" t="str">
        <f t="shared" si="203"/>
        <v>0</v>
      </c>
      <c r="DB155" s="29" t="str">
        <f t="shared" si="203"/>
        <v>0</v>
      </c>
      <c r="DC155" s="29" t="str">
        <f t="shared" si="203"/>
        <v>0</v>
      </c>
      <c r="DD155" s="29" t="str">
        <f t="shared" si="203"/>
        <v>0</v>
      </c>
      <c r="DE155" s="29" t="str">
        <f t="shared" si="203"/>
        <v>0</v>
      </c>
      <c r="DF155" s="29" t="str">
        <f t="shared" si="203"/>
        <v>0</v>
      </c>
      <c r="DG155" s="29" t="str">
        <f t="shared" si="203"/>
        <v>0</v>
      </c>
      <c r="DH155" s="29" t="str">
        <f t="shared" si="203"/>
        <v>0</v>
      </c>
      <c r="DI155" s="29" t="str">
        <f t="shared" si="203"/>
        <v>0</v>
      </c>
      <c r="DJ155" s="29" t="str">
        <f t="shared" si="203"/>
        <v>0</v>
      </c>
      <c r="DK155" s="29" t="str">
        <f t="shared" si="203"/>
        <v>0</v>
      </c>
      <c r="DL155" s="29" t="str">
        <f t="shared" si="203"/>
        <v>0</v>
      </c>
      <c r="DM155" s="29" t="str">
        <f t="shared" si="203"/>
        <v>0</v>
      </c>
      <c r="DN155" s="29" t="str">
        <f t="shared" si="203"/>
        <v>0</v>
      </c>
      <c r="DO155" s="29" t="str">
        <f t="shared" si="203"/>
        <v>0</v>
      </c>
      <c r="DP155" s="29" t="str">
        <f t="shared" si="203"/>
        <v>0</v>
      </c>
      <c r="DQ155" s="29" t="str">
        <f t="shared" si="203"/>
        <v>0</v>
      </c>
      <c r="DR155" s="29"/>
      <c r="DS155" s="25">
        <v>0</v>
      </c>
      <c r="EE155" s="25" t="str">
        <f t="shared" si="175"/>
        <v>0</v>
      </c>
    </row>
    <row r="156" spans="1:135">
      <c r="A156" s="53">
        <v>1002018</v>
      </c>
      <c r="B156" s="49" t="s">
        <v>318</v>
      </c>
      <c r="C156" s="25">
        <f t="shared" si="146"/>
        <v>18</v>
      </c>
      <c r="D156" s="25">
        <f t="array" ref="D156">INDEX(C$5:C$67,MATCH($B156,$B$5:$B$67,0))</f>
        <v>5600</v>
      </c>
      <c r="E156" s="25">
        <f t="array" ref="E156">INDEX(D$5:D$67,MATCH($B156,$B$5:$B$67,0))</f>
        <v>448</v>
      </c>
      <c r="F156" s="25">
        <f t="array" ref="F156">INDEX(E$5:E$67,MATCH($B156,$B$5:$B$67,0))</f>
        <v>720</v>
      </c>
      <c r="G156" s="25">
        <f t="array" ref="G156">INDEX(F$5:F$67,MATCH($B156,$B$5:$B$67,0))</f>
        <v>57.6</v>
      </c>
      <c r="H156" s="25">
        <f t="array" ref="H156">INDEX(G$5:G$66,MATCH($B156,$B$5:$B$67,0))</f>
        <v>576</v>
      </c>
      <c r="I156" s="25">
        <f t="array" ref="I156">INDEX(H$5:H$67,MATCH($B156,$B$5:$B$67,0))</f>
        <v>46.08</v>
      </c>
      <c r="J156" s="25">
        <f t="array" ref="J156">INDEX(I$5:I$67,MATCH($B156,$B$5:$B$67,0))</f>
        <v>800</v>
      </c>
      <c r="K156" s="25">
        <f t="array" ref="K156">INDEX(J$5:J$67,MATCH($B156,$B$5:$B$67,0))</f>
        <v>64</v>
      </c>
      <c r="L156" s="25">
        <f t="shared" si="156"/>
        <v>13664</v>
      </c>
      <c r="M156" s="25">
        <f t="shared" si="157"/>
        <v>1757</v>
      </c>
      <c r="N156" s="25">
        <f t="shared" si="158"/>
        <v>1405</v>
      </c>
      <c r="O156" s="25">
        <f t="shared" si="159"/>
        <v>1952</v>
      </c>
      <c r="R156" s="50">
        <f t="array" ref="R156">INDEX($B$46:$B$68,MATCH(S156,$C$46:$C$68,0))*1000+T156</f>
        <v>1003024</v>
      </c>
      <c r="S156" s="51" t="s">
        <v>321</v>
      </c>
      <c r="T156" s="29">
        <f t="shared" si="78"/>
        <v>24</v>
      </c>
      <c r="U156" s="25">
        <f t="array" ref="U156">INDEX(K$5:K$67,MATCH($S156,$B$5:$B$67,0))</f>
        <v>656.04</v>
      </c>
      <c r="V156" s="25">
        <f t="array" ref="V156">INDEX(L$5:L$67,MATCH($S156,$B$5:$B$67,0))</f>
        <v>62.67</v>
      </c>
      <c r="W156" s="25">
        <f t="array" ref="W156">INDEX(M$5:M$67,MATCH($S156,$B$5:$B$67,0))</f>
        <v>78.34</v>
      </c>
      <c r="X156" s="25">
        <f t="array" ref="X156">INDEX(N$5:N$67,MATCH($S156,$B$5:$B$67,0))</f>
        <v>76.5</v>
      </c>
      <c r="Y156" s="25">
        <f t="shared" si="160"/>
        <v>15745</v>
      </c>
      <c r="Z156" s="25">
        <f t="shared" si="161"/>
        <v>1504</v>
      </c>
      <c r="AA156" s="25">
        <f t="shared" si="162"/>
        <v>1880</v>
      </c>
      <c r="AB156" s="25">
        <f t="shared" si="163"/>
        <v>1836</v>
      </c>
      <c r="AF156" s="25">
        <v>78</v>
      </c>
      <c r="AG156" s="25">
        <f t="array" ref="AG156">INDEX($AE$79:$AE$116,QUOTIENT(AF156-1,8)+1)</f>
        <v>1011</v>
      </c>
      <c r="AH156" s="25">
        <f t="shared" si="192"/>
        <v>6</v>
      </c>
      <c r="AI156" s="25">
        <f t="shared" si="164"/>
        <v>10116</v>
      </c>
      <c r="AJ156" s="25" t="str">
        <f t="shared" si="165"/>
        <v>陈双双</v>
      </c>
      <c r="AK156" s="25">
        <f t="shared" si="193"/>
        <v>1</v>
      </c>
      <c r="AL156" s="25" t="str">
        <f t="array" ref="AL156">INDEX($O$5:$O$42,MATCH(AJ156,$B$5:$B$42,0))</f>
        <v>攻击百分比</v>
      </c>
      <c r="AM156" s="25" t="str">
        <f t="array" ref="AM156">INDEX($P$5:$P$42,MATCH(AJ156,$B$5:$B$42,0))</f>
        <v>治疗率</v>
      </c>
      <c r="AN156" s="25" t="str">
        <f t="array" ref="AN156">INDEX($Q$5:$Q$42,MATCH(AJ156,$B$5:$B$42,0))</f>
        <v>能量回复等级</v>
      </c>
      <c r="AO156" s="25" t="str">
        <f t="array" ref="AO156">INDEX(AL156:AN156,0,AK156)</f>
        <v>攻击百分比</v>
      </c>
      <c r="AP156" s="25">
        <f t="shared" si="151"/>
        <v>0.216666666666667</v>
      </c>
      <c r="AQ156" s="25">
        <f t="shared" si="166"/>
        <v>0.216666666666667</v>
      </c>
      <c r="AR156" s="25" t="str">
        <f t="shared" ref="AR156:BZ156" si="204">IF(AR$78=$AO156,$AQ156,"0")</f>
        <v>0</v>
      </c>
      <c r="AS156" s="25" t="str">
        <f t="shared" si="204"/>
        <v>0</v>
      </c>
      <c r="AT156" s="25" t="str">
        <f t="shared" si="204"/>
        <v>0</v>
      </c>
      <c r="AU156" s="25">
        <f t="shared" si="204"/>
        <v>0.216666666666667</v>
      </c>
      <c r="AV156" s="25" t="str">
        <f t="shared" si="204"/>
        <v>0</v>
      </c>
      <c r="AW156" s="25">
        <f t="shared" si="204"/>
        <v>0.216666666666667</v>
      </c>
      <c r="AX156" s="25" t="str">
        <f t="shared" si="204"/>
        <v>0</v>
      </c>
      <c r="AY156" s="25" t="str">
        <f t="shared" si="204"/>
        <v>0</v>
      </c>
      <c r="AZ156" s="25" t="str">
        <f t="shared" si="204"/>
        <v>0</v>
      </c>
      <c r="BA156" s="25" t="str">
        <f t="shared" si="204"/>
        <v>0</v>
      </c>
      <c r="BB156" s="25" t="str">
        <f t="shared" si="204"/>
        <v>0</v>
      </c>
      <c r="BC156" s="25" t="str">
        <f t="shared" si="204"/>
        <v>0</v>
      </c>
      <c r="BD156" s="25" t="str">
        <f t="shared" si="204"/>
        <v>0</v>
      </c>
      <c r="BE156" s="25" t="str">
        <f t="shared" si="204"/>
        <v>0</v>
      </c>
      <c r="BF156" s="25" t="str">
        <f t="shared" si="204"/>
        <v>0</v>
      </c>
      <c r="BG156" s="25" t="str">
        <f t="shared" si="204"/>
        <v>0</v>
      </c>
      <c r="BH156" s="25" t="str">
        <f t="shared" si="204"/>
        <v>0</v>
      </c>
      <c r="BI156" s="25" t="str">
        <f t="shared" si="204"/>
        <v>0</v>
      </c>
      <c r="BJ156" s="25" t="str">
        <f t="shared" si="204"/>
        <v>0</v>
      </c>
      <c r="BK156" s="25" t="str">
        <f t="shared" si="204"/>
        <v>0</v>
      </c>
      <c r="BL156" s="25" t="str">
        <f t="shared" si="204"/>
        <v>0</v>
      </c>
      <c r="BM156" s="25" t="str">
        <f t="shared" si="204"/>
        <v>0</v>
      </c>
      <c r="BN156" s="25" t="str">
        <f t="shared" si="204"/>
        <v>0</v>
      </c>
      <c r="BO156" s="25" t="str">
        <f t="shared" si="204"/>
        <v>0</v>
      </c>
      <c r="BP156" s="25" t="str">
        <f t="shared" si="204"/>
        <v>0</v>
      </c>
      <c r="BQ156" s="25" t="str">
        <f t="shared" si="204"/>
        <v>0</v>
      </c>
      <c r="BR156" s="25" t="str">
        <f t="shared" si="204"/>
        <v>0</v>
      </c>
      <c r="BS156" s="25" t="str">
        <f t="shared" si="204"/>
        <v>0</v>
      </c>
      <c r="BT156" s="25" t="str">
        <f t="shared" si="204"/>
        <v>0</v>
      </c>
      <c r="BU156" s="25" t="str">
        <f t="shared" si="204"/>
        <v>0</v>
      </c>
      <c r="BV156" s="25" t="str">
        <f t="shared" si="204"/>
        <v>0</v>
      </c>
      <c r="BW156" s="25" t="str">
        <f t="shared" si="204"/>
        <v>0</v>
      </c>
      <c r="BX156" s="25" t="str">
        <f t="shared" si="204"/>
        <v>0</v>
      </c>
      <c r="BY156" s="25" t="str">
        <f t="shared" si="204"/>
        <v>0</v>
      </c>
      <c r="BZ156" s="25" t="str">
        <f t="shared" si="204"/>
        <v>0</v>
      </c>
      <c r="CC156" s="25" t="str">
        <f t="array" ref="CC156">INDEX($C$46:$C$74,MATCH(CD156,$B$46:$B$74,0))</f>
        <v>夏提拉</v>
      </c>
      <c r="CD156" s="1">
        <v>1013</v>
      </c>
      <c r="CE156" s="1">
        <v>0</v>
      </c>
      <c r="CF156" s="25" t="str">
        <f t="array" ref="CF156">INDEX($T$5:$T$44,MATCH(CC156,$B$5:$B$44,0))</f>
        <v>魔法</v>
      </c>
      <c r="CG156" s="25">
        <f t="shared" si="189"/>
        <v>0</v>
      </c>
      <c r="CH156" s="25">
        <f t="shared" si="168"/>
        <v>1</v>
      </c>
      <c r="CI156" s="25">
        <f t="shared" si="169"/>
        <v>1</v>
      </c>
      <c r="CJ156" s="25">
        <f t="shared" si="170"/>
        <v>1</v>
      </c>
      <c r="CK156" s="25">
        <f t="shared" si="171"/>
        <v>1</v>
      </c>
      <c r="CL156" s="25">
        <v>0</v>
      </c>
      <c r="CM156" s="25">
        <f t="shared" si="190"/>
        <v>0</v>
      </c>
      <c r="CN156" s="25">
        <f t="shared" si="172"/>
        <v>0</v>
      </c>
      <c r="CO156" s="25">
        <f t="shared" si="173"/>
        <v>0</v>
      </c>
      <c r="CP156" s="29" t="str">
        <f t="shared" ref="CP156:DQ156" si="205">IF($CL156=CP$78,$CN156,"0")</f>
        <v>0</v>
      </c>
      <c r="CQ156" s="29" t="str">
        <f t="shared" si="205"/>
        <v>0</v>
      </c>
      <c r="CR156" s="29" t="str">
        <f t="shared" si="205"/>
        <v>0</v>
      </c>
      <c r="CS156" s="29" t="str">
        <f t="shared" si="205"/>
        <v>0</v>
      </c>
      <c r="CT156" s="29" t="str">
        <f t="shared" si="205"/>
        <v>0</v>
      </c>
      <c r="CU156" s="29" t="str">
        <f t="shared" si="205"/>
        <v>0</v>
      </c>
      <c r="CV156" s="29" t="str">
        <f t="shared" si="205"/>
        <v>0</v>
      </c>
      <c r="CW156" s="29" t="str">
        <f t="shared" si="205"/>
        <v>0</v>
      </c>
      <c r="CX156" s="29" t="str">
        <f t="shared" si="205"/>
        <v>0</v>
      </c>
      <c r="CY156" s="29" t="str">
        <f t="shared" si="205"/>
        <v>0</v>
      </c>
      <c r="CZ156" s="29" t="str">
        <f t="shared" si="205"/>
        <v>0</v>
      </c>
      <c r="DA156" s="29" t="str">
        <f t="shared" si="205"/>
        <v>0</v>
      </c>
      <c r="DB156" s="29" t="str">
        <f t="shared" si="205"/>
        <v>0</v>
      </c>
      <c r="DC156" s="29" t="str">
        <f t="shared" si="205"/>
        <v>0</v>
      </c>
      <c r="DD156" s="29" t="str">
        <f t="shared" si="205"/>
        <v>0</v>
      </c>
      <c r="DE156" s="29" t="str">
        <f t="shared" si="205"/>
        <v>0</v>
      </c>
      <c r="DF156" s="29" t="str">
        <f t="shared" si="205"/>
        <v>0</v>
      </c>
      <c r="DG156" s="29" t="str">
        <f t="shared" si="205"/>
        <v>0</v>
      </c>
      <c r="DH156" s="29" t="str">
        <f t="shared" si="205"/>
        <v>0</v>
      </c>
      <c r="DI156" s="29" t="str">
        <f t="shared" si="205"/>
        <v>0</v>
      </c>
      <c r="DJ156" s="29" t="str">
        <f t="shared" si="205"/>
        <v>0</v>
      </c>
      <c r="DK156" s="29" t="str">
        <f t="shared" si="205"/>
        <v>0</v>
      </c>
      <c r="DL156" s="29" t="str">
        <f t="shared" si="205"/>
        <v>0</v>
      </c>
      <c r="DM156" s="29" t="str">
        <f t="shared" si="205"/>
        <v>0</v>
      </c>
      <c r="DN156" s="29" t="str">
        <f t="shared" si="205"/>
        <v>0</v>
      </c>
      <c r="DO156" s="29" t="str">
        <f t="shared" si="205"/>
        <v>0</v>
      </c>
      <c r="DP156" s="29" t="str">
        <f t="shared" si="205"/>
        <v>0</v>
      </c>
      <c r="DQ156" s="29" t="str">
        <f t="shared" si="205"/>
        <v>0</v>
      </c>
      <c r="DR156" s="29"/>
      <c r="DS156" s="25">
        <v>0</v>
      </c>
      <c r="EE156" s="25" t="str">
        <f t="shared" si="175"/>
        <v>0</v>
      </c>
    </row>
    <row r="157" spans="1:135">
      <c r="A157" s="53">
        <v>1002019</v>
      </c>
      <c r="B157" s="49" t="s">
        <v>318</v>
      </c>
      <c r="C157" s="25">
        <f t="shared" si="146"/>
        <v>19</v>
      </c>
      <c r="D157" s="25">
        <f t="array" ref="D157">INDEX(C$5:C$67,MATCH($B157,$B$5:$B$67,0))</f>
        <v>5600</v>
      </c>
      <c r="E157" s="25">
        <f t="array" ref="E157">INDEX(D$5:D$67,MATCH($B157,$B$5:$B$67,0))</f>
        <v>448</v>
      </c>
      <c r="F157" s="25">
        <f t="array" ref="F157">INDEX(E$5:E$67,MATCH($B157,$B$5:$B$67,0))</f>
        <v>720</v>
      </c>
      <c r="G157" s="25">
        <f t="array" ref="G157">INDEX(F$5:F$67,MATCH($B157,$B$5:$B$67,0))</f>
        <v>57.6</v>
      </c>
      <c r="H157" s="25">
        <f t="array" ref="H157">INDEX(G$5:G$66,MATCH($B157,$B$5:$B$67,0))</f>
        <v>576</v>
      </c>
      <c r="I157" s="25">
        <f t="array" ref="I157">INDEX(H$5:H$67,MATCH($B157,$B$5:$B$67,0))</f>
        <v>46.08</v>
      </c>
      <c r="J157" s="25">
        <f t="array" ref="J157">INDEX(I$5:I$67,MATCH($B157,$B$5:$B$67,0))</f>
        <v>800</v>
      </c>
      <c r="K157" s="25">
        <f t="array" ref="K157">INDEX(J$5:J$67,MATCH($B157,$B$5:$B$67,0))</f>
        <v>64</v>
      </c>
      <c r="L157" s="25">
        <f t="shared" si="156"/>
        <v>14112</v>
      </c>
      <c r="M157" s="25">
        <f t="shared" si="157"/>
        <v>1814</v>
      </c>
      <c r="N157" s="25">
        <f t="shared" si="158"/>
        <v>1452</v>
      </c>
      <c r="O157" s="25">
        <f t="shared" si="159"/>
        <v>2016</v>
      </c>
      <c r="R157" s="50">
        <f t="array" ref="R157">INDEX($B$46:$B$68,MATCH(S157,$C$46:$C$68,0))*1000+T157</f>
        <v>1003025</v>
      </c>
      <c r="S157" s="51" t="s">
        <v>321</v>
      </c>
      <c r="T157" s="29">
        <f t="shared" si="78"/>
        <v>25</v>
      </c>
      <c r="U157" s="25">
        <f t="array" ref="U157">INDEX(K$5:K$67,MATCH($S157,$B$5:$B$67,0))</f>
        <v>656.04</v>
      </c>
      <c r="V157" s="25">
        <f t="array" ref="V157">INDEX(L$5:L$67,MATCH($S157,$B$5:$B$67,0))</f>
        <v>62.67</v>
      </c>
      <c r="W157" s="25">
        <f t="array" ref="W157">INDEX(M$5:M$67,MATCH($S157,$B$5:$B$67,0))</f>
        <v>78.34</v>
      </c>
      <c r="X157" s="25">
        <f t="array" ref="X157">INDEX(N$5:N$67,MATCH($S157,$B$5:$B$67,0))</f>
        <v>76.5</v>
      </c>
      <c r="Y157" s="25">
        <f t="shared" si="160"/>
        <v>16401</v>
      </c>
      <c r="Z157" s="25">
        <f t="shared" si="161"/>
        <v>1567</v>
      </c>
      <c r="AA157" s="25">
        <f t="shared" si="162"/>
        <v>1959</v>
      </c>
      <c r="AB157" s="25">
        <f t="shared" si="163"/>
        <v>1913</v>
      </c>
      <c r="AF157" s="25">
        <v>79</v>
      </c>
      <c r="AG157" s="25">
        <f t="array" ref="AG157">INDEX($AE$79:$AE$116,QUOTIENT(AF157-1,8)+1)</f>
        <v>1011</v>
      </c>
      <c r="AH157" s="25">
        <f t="shared" si="192"/>
        <v>7</v>
      </c>
      <c r="AI157" s="25">
        <f t="shared" si="164"/>
        <v>10117</v>
      </c>
      <c r="AJ157" s="25" t="str">
        <f t="shared" si="165"/>
        <v>陈双双</v>
      </c>
      <c r="AK157" s="25">
        <f t="shared" si="193"/>
        <v>2</v>
      </c>
      <c r="AL157" s="25" t="str">
        <f t="array" ref="AL157">INDEX($O$5:$O$42,MATCH(AJ157,$B$5:$B$42,0))</f>
        <v>攻击百分比</v>
      </c>
      <c r="AM157" s="25" t="str">
        <f t="array" ref="AM157">INDEX($P$5:$P$42,MATCH(AJ157,$B$5:$B$42,0))</f>
        <v>治疗率</v>
      </c>
      <c r="AN157" s="25" t="str">
        <f t="array" ref="AN157">INDEX($Q$5:$Q$42,MATCH(AJ157,$B$5:$B$42,0))</f>
        <v>能量回复等级</v>
      </c>
      <c r="AO157" s="25" t="str">
        <f t="array" ref="AO157">INDEX(AL157:AN157,0,AK157)</f>
        <v>治疗率</v>
      </c>
      <c r="AP157" s="25">
        <f t="shared" si="151"/>
        <v>0.15</v>
      </c>
      <c r="AQ157" s="25">
        <f t="shared" si="166"/>
        <v>0.075</v>
      </c>
      <c r="AR157" s="25" t="str">
        <f t="shared" ref="AR157:BZ157" si="206">IF(AR$78=$AO157,$AQ157,"0")</f>
        <v>0</v>
      </c>
      <c r="AS157" s="25" t="str">
        <f t="shared" si="206"/>
        <v>0</v>
      </c>
      <c r="AT157" s="25" t="str">
        <f t="shared" si="206"/>
        <v>0</v>
      </c>
      <c r="AU157" s="25" t="str">
        <f t="shared" si="206"/>
        <v>0</v>
      </c>
      <c r="AV157" s="25" t="str">
        <f t="shared" si="206"/>
        <v>0</v>
      </c>
      <c r="AW157" s="25" t="str">
        <f t="shared" si="206"/>
        <v>0</v>
      </c>
      <c r="AX157" s="25" t="str">
        <f t="shared" si="206"/>
        <v>0</v>
      </c>
      <c r="AY157" s="25" t="str">
        <f t="shared" si="206"/>
        <v>0</v>
      </c>
      <c r="AZ157" s="25" t="str">
        <f t="shared" si="206"/>
        <v>0</v>
      </c>
      <c r="BA157" s="25" t="str">
        <f t="shared" si="206"/>
        <v>0</v>
      </c>
      <c r="BB157" s="25" t="str">
        <f t="shared" si="206"/>
        <v>0</v>
      </c>
      <c r="BC157" s="25" t="str">
        <f t="shared" si="206"/>
        <v>0</v>
      </c>
      <c r="BD157" s="25" t="str">
        <f t="shared" si="206"/>
        <v>0</v>
      </c>
      <c r="BE157" s="25" t="str">
        <f t="shared" si="206"/>
        <v>0</v>
      </c>
      <c r="BF157" s="25" t="str">
        <f t="shared" si="206"/>
        <v>0</v>
      </c>
      <c r="BG157" s="25" t="str">
        <f t="shared" si="206"/>
        <v>0</v>
      </c>
      <c r="BH157" s="25" t="str">
        <f t="shared" si="206"/>
        <v>0</v>
      </c>
      <c r="BI157" s="25" t="str">
        <f t="shared" si="206"/>
        <v>0</v>
      </c>
      <c r="BJ157" s="25">
        <f t="shared" si="206"/>
        <v>0.075</v>
      </c>
      <c r="BK157" s="25" t="str">
        <f t="shared" si="206"/>
        <v>0</v>
      </c>
      <c r="BL157" s="25" t="str">
        <f t="shared" si="206"/>
        <v>0</v>
      </c>
      <c r="BM157" s="25" t="str">
        <f t="shared" si="206"/>
        <v>0</v>
      </c>
      <c r="BN157" s="25" t="str">
        <f t="shared" si="206"/>
        <v>0</v>
      </c>
      <c r="BO157" s="25" t="str">
        <f t="shared" si="206"/>
        <v>0</v>
      </c>
      <c r="BP157" s="25" t="str">
        <f t="shared" si="206"/>
        <v>0</v>
      </c>
      <c r="BQ157" s="25" t="str">
        <f t="shared" si="206"/>
        <v>0</v>
      </c>
      <c r="BR157" s="25" t="str">
        <f t="shared" si="206"/>
        <v>0</v>
      </c>
      <c r="BS157" s="25" t="str">
        <f t="shared" si="206"/>
        <v>0</v>
      </c>
      <c r="BT157" s="25" t="str">
        <f t="shared" si="206"/>
        <v>0</v>
      </c>
      <c r="BU157" s="25" t="str">
        <f t="shared" si="206"/>
        <v>0</v>
      </c>
      <c r="BV157" s="25" t="str">
        <f t="shared" si="206"/>
        <v>0</v>
      </c>
      <c r="BW157" s="25" t="str">
        <f t="shared" si="206"/>
        <v>0</v>
      </c>
      <c r="BX157" s="25" t="str">
        <f t="shared" si="206"/>
        <v>0</v>
      </c>
      <c r="BY157" s="25" t="str">
        <f t="shared" si="206"/>
        <v>0</v>
      </c>
      <c r="BZ157" s="25" t="str">
        <f t="shared" si="206"/>
        <v>0</v>
      </c>
      <c r="CC157" s="25" t="str">
        <f t="array" ref="CC157">INDEX($C$46:$C$74,MATCH(CD157,$B$46:$B$74,0))</f>
        <v>夏提拉</v>
      </c>
      <c r="CD157" s="1">
        <v>1013</v>
      </c>
      <c r="CE157" s="1">
        <v>1</v>
      </c>
      <c r="CF157" s="25" t="str">
        <f t="array" ref="CF157">INDEX($T$5:$T$44,MATCH(CC157,$B$5:$B$44,0))</f>
        <v>魔法</v>
      </c>
      <c r="CG157" s="25">
        <f t="shared" si="189"/>
        <v>0</v>
      </c>
      <c r="CH157" s="25">
        <f t="shared" si="168"/>
        <v>1</v>
      </c>
      <c r="CI157" s="25">
        <f t="shared" si="169"/>
        <v>1</v>
      </c>
      <c r="CJ157" s="25">
        <f t="shared" si="170"/>
        <v>1</v>
      </c>
      <c r="CK157" s="25">
        <f t="shared" si="171"/>
        <v>1</v>
      </c>
      <c r="CL157" s="25">
        <v>0</v>
      </c>
      <c r="CM157" s="25">
        <f t="shared" si="190"/>
        <v>0</v>
      </c>
      <c r="CN157" s="25">
        <f t="shared" si="172"/>
        <v>0</v>
      </c>
      <c r="CO157" s="25">
        <f t="shared" si="173"/>
        <v>0</v>
      </c>
      <c r="CP157" s="29" t="str">
        <f t="shared" ref="CP157:DQ157" si="207">IF($CL157=CP$78,$CN157,"0")</f>
        <v>0</v>
      </c>
      <c r="CQ157" s="29" t="str">
        <f t="shared" si="207"/>
        <v>0</v>
      </c>
      <c r="CR157" s="29" t="str">
        <f t="shared" si="207"/>
        <v>0</v>
      </c>
      <c r="CS157" s="29" t="str">
        <f t="shared" si="207"/>
        <v>0</v>
      </c>
      <c r="CT157" s="29" t="str">
        <f t="shared" si="207"/>
        <v>0</v>
      </c>
      <c r="CU157" s="29" t="str">
        <f t="shared" si="207"/>
        <v>0</v>
      </c>
      <c r="CV157" s="29" t="str">
        <f t="shared" si="207"/>
        <v>0</v>
      </c>
      <c r="CW157" s="29" t="str">
        <f t="shared" si="207"/>
        <v>0</v>
      </c>
      <c r="CX157" s="29" t="str">
        <f t="shared" si="207"/>
        <v>0</v>
      </c>
      <c r="CY157" s="29" t="str">
        <f t="shared" si="207"/>
        <v>0</v>
      </c>
      <c r="CZ157" s="29" t="str">
        <f t="shared" si="207"/>
        <v>0</v>
      </c>
      <c r="DA157" s="29" t="str">
        <f t="shared" si="207"/>
        <v>0</v>
      </c>
      <c r="DB157" s="29" t="str">
        <f t="shared" si="207"/>
        <v>0</v>
      </c>
      <c r="DC157" s="29" t="str">
        <f t="shared" si="207"/>
        <v>0</v>
      </c>
      <c r="DD157" s="29" t="str">
        <f t="shared" si="207"/>
        <v>0</v>
      </c>
      <c r="DE157" s="29" t="str">
        <f t="shared" si="207"/>
        <v>0</v>
      </c>
      <c r="DF157" s="29" t="str">
        <f t="shared" si="207"/>
        <v>0</v>
      </c>
      <c r="DG157" s="29" t="str">
        <f t="shared" si="207"/>
        <v>0</v>
      </c>
      <c r="DH157" s="29" t="str">
        <f t="shared" si="207"/>
        <v>0</v>
      </c>
      <c r="DI157" s="29" t="str">
        <f t="shared" si="207"/>
        <v>0</v>
      </c>
      <c r="DJ157" s="29" t="str">
        <f t="shared" si="207"/>
        <v>0</v>
      </c>
      <c r="DK157" s="29" t="str">
        <f t="shared" si="207"/>
        <v>0</v>
      </c>
      <c r="DL157" s="29" t="str">
        <f t="shared" si="207"/>
        <v>0</v>
      </c>
      <c r="DM157" s="29" t="str">
        <f t="shared" si="207"/>
        <v>0</v>
      </c>
      <c r="DN157" s="29" t="str">
        <f t="shared" si="207"/>
        <v>0</v>
      </c>
      <c r="DO157" s="29" t="str">
        <f t="shared" si="207"/>
        <v>0</v>
      </c>
      <c r="DP157" s="29" t="str">
        <f t="shared" si="207"/>
        <v>0</v>
      </c>
      <c r="DQ157" s="29" t="str">
        <f t="shared" si="207"/>
        <v>0</v>
      </c>
      <c r="DR157" s="29"/>
      <c r="DS157" s="25">
        <v>0</v>
      </c>
      <c r="EE157" s="25" t="str">
        <f t="shared" si="175"/>
        <v>0</v>
      </c>
    </row>
    <row r="158" spans="1:135">
      <c r="A158" s="53">
        <v>1002020</v>
      </c>
      <c r="B158" s="49" t="s">
        <v>318</v>
      </c>
      <c r="C158" s="25">
        <f t="shared" si="146"/>
        <v>20</v>
      </c>
      <c r="D158" s="25">
        <f t="array" ref="D158">INDEX(C$5:C$67,MATCH($B158,$B$5:$B$67,0))</f>
        <v>5600</v>
      </c>
      <c r="E158" s="25">
        <f t="array" ref="E158">INDEX(D$5:D$67,MATCH($B158,$B$5:$B$67,0))</f>
        <v>448</v>
      </c>
      <c r="F158" s="25">
        <f t="array" ref="F158">INDEX(E$5:E$67,MATCH($B158,$B$5:$B$67,0))</f>
        <v>720</v>
      </c>
      <c r="G158" s="25">
        <f t="array" ref="G158">INDEX(F$5:F$67,MATCH($B158,$B$5:$B$67,0))</f>
        <v>57.6</v>
      </c>
      <c r="H158" s="25">
        <f t="array" ref="H158">INDEX(G$5:G$66,MATCH($B158,$B$5:$B$67,0))</f>
        <v>576</v>
      </c>
      <c r="I158" s="25">
        <f t="array" ref="I158">INDEX(H$5:H$67,MATCH($B158,$B$5:$B$67,0))</f>
        <v>46.08</v>
      </c>
      <c r="J158" s="25">
        <f t="array" ref="J158">INDEX(I$5:I$67,MATCH($B158,$B$5:$B$67,0))</f>
        <v>800</v>
      </c>
      <c r="K158" s="25">
        <f t="array" ref="K158">INDEX(J$5:J$67,MATCH($B158,$B$5:$B$67,0))</f>
        <v>64</v>
      </c>
      <c r="L158" s="25">
        <f t="shared" si="156"/>
        <v>14560</v>
      </c>
      <c r="M158" s="25">
        <f t="shared" si="157"/>
        <v>1872</v>
      </c>
      <c r="N158" s="25">
        <f t="shared" si="158"/>
        <v>1498</v>
      </c>
      <c r="O158" s="25">
        <f t="shared" si="159"/>
        <v>2080</v>
      </c>
      <c r="R158" s="50">
        <f t="array" ref="R158">INDEX($B$46:$B$68,MATCH(S158,$C$46:$C$68,0))*1000+T158</f>
        <v>1003026</v>
      </c>
      <c r="S158" s="51" t="s">
        <v>321</v>
      </c>
      <c r="T158" s="29">
        <f t="shared" si="78"/>
        <v>26</v>
      </c>
      <c r="U158" s="25">
        <f t="array" ref="U158">INDEX(K$5:K$67,MATCH($S158,$B$5:$B$67,0))</f>
        <v>656.04</v>
      </c>
      <c r="V158" s="25">
        <f t="array" ref="V158">INDEX(L$5:L$67,MATCH($S158,$B$5:$B$67,0))</f>
        <v>62.67</v>
      </c>
      <c r="W158" s="25">
        <f t="array" ref="W158">INDEX(M$5:M$67,MATCH($S158,$B$5:$B$67,0))</f>
        <v>78.34</v>
      </c>
      <c r="X158" s="25">
        <f t="array" ref="X158">INDEX(N$5:N$67,MATCH($S158,$B$5:$B$67,0))</f>
        <v>76.5</v>
      </c>
      <c r="Y158" s="25">
        <f t="shared" si="160"/>
        <v>17057</v>
      </c>
      <c r="Z158" s="25">
        <f t="shared" si="161"/>
        <v>1629</v>
      </c>
      <c r="AA158" s="25">
        <f t="shared" si="162"/>
        <v>2037</v>
      </c>
      <c r="AB158" s="25">
        <f t="shared" si="163"/>
        <v>1989</v>
      </c>
      <c r="AF158" s="25">
        <v>80</v>
      </c>
      <c r="AG158" s="25">
        <f t="array" ref="AG158">INDEX($AE$79:$AE$116,QUOTIENT(AF158-1,8)+1)</f>
        <v>1011</v>
      </c>
      <c r="AH158" s="25">
        <f t="shared" si="192"/>
        <v>8</v>
      </c>
      <c r="AI158" s="25">
        <f t="shared" si="164"/>
        <v>10118</v>
      </c>
      <c r="AJ158" s="25" t="str">
        <f t="shared" si="165"/>
        <v>陈双双</v>
      </c>
      <c r="AK158" s="25">
        <f t="shared" si="193"/>
        <v>3</v>
      </c>
      <c r="AL158" s="25" t="str">
        <f t="array" ref="AL158">INDEX($O$5:$O$42,MATCH(AJ158,$B$5:$B$42,0))</f>
        <v>攻击百分比</v>
      </c>
      <c r="AM158" s="25" t="str">
        <f t="array" ref="AM158">INDEX($P$5:$P$42,MATCH(AJ158,$B$5:$B$42,0))</f>
        <v>治疗率</v>
      </c>
      <c r="AN158" s="25" t="str">
        <f t="array" ref="AN158">INDEX($Q$5:$Q$42,MATCH(AJ158,$B$5:$B$42,0))</f>
        <v>能量回复等级</v>
      </c>
      <c r="AO158" s="25" t="str">
        <f t="array" ref="AO158">INDEX(AL158:AN158,0,AK158)</f>
        <v>能量回复等级</v>
      </c>
      <c r="AP158" s="25">
        <f t="shared" si="151"/>
        <v>0.216666666666667</v>
      </c>
      <c r="AQ158" s="25">
        <f t="shared" si="166"/>
        <v>1950</v>
      </c>
      <c r="AR158" s="25" t="str">
        <f t="shared" ref="AR158:BZ158" si="208">IF(AR$78=$AO158,$AQ158,"0")</f>
        <v>0</v>
      </c>
      <c r="AS158" s="25" t="str">
        <f t="shared" si="208"/>
        <v>0</v>
      </c>
      <c r="AT158" s="25" t="str">
        <f t="shared" si="208"/>
        <v>0</v>
      </c>
      <c r="AU158" s="25" t="str">
        <f t="shared" si="208"/>
        <v>0</v>
      </c>
      <c r="AV158" s="25" t="str">
        <f t="shared" si="208"/>
        <v>0</v>
      </c>
      <c r="AW158" s="25" t="str">
        <f t="shared" si="208"/>
        <v>0</v>
      </c>
      <c r="AX158" s="25" t="str">
        <f t="shared" si="208"/>
        <v>0</v>
      </c>
      <c r="AY158" s="25" t="str">
        <f t="shared" si="208"/>
        <v>0</v>
      </c>
      <c r="AZ158" s="25" t="str">
        <f t="shared" si="208"/>
        <v>0</v>
      </c>
      <c r="BA158" s="25" t="str">
        <f t="shared" si="208"/>
        <v>0</v>
      </c>
      <c r="BB158" s="25" t="str">
        <f t="shared" si="208"/>
        <v>0</v>
      </c>
      <c r="BC158" s="25" t="str">
        <f t="shared" si="208"/>
        <v>0</v>
      </c>
      <c r="BD158" s="25" t="str">
        <f t="shared" si="208"/>
        <v>0</v>
      </c>
      <c r="BE158" s="25" t="str">
        <f t="shared" si="208"/>
        <v>0</v>
      </c>
      <c r="BF158" s="25" t="str">
        <f t="shared" si="208"/>
        <v>0</v>
      </c>
      <c r="BG158" s="25" t="str">
        <f t="shared" si="208"/>
        <v>0</v>
      </c>
      <c r="BH158" s="25" t="str">
        <f t="shared" si="208"/>
        <v>0</v>
      </c>
      <c r="BI158" s="25" t="str">
        <f t="shared" si="208"/>
        <v>0</v>
      </c>
      <c r="BJ158" s="25" t="str">
        <f t="shared" si="208"/>
        <v>0</v>
      </c>
      <c r="BK158" s="25" t="str">
        <f t="shared" si="208"/>
        <v>0</v>
      </c>
      <c r="BL158" s="25" t="str">
        <f t="shared" si="208"/>
        <v>0</v>
      </c>
      <c r="BM158" s="25" t="str">
        <f t="shared" si="208"/>
        <v>0</v>
      </c>
      <c r="BN158" s="25" t="str">
        <f t="shared" si="208"/>
        <v>0</v>
      </c>
      <c r="BO158" s="25" t="str">
        <f t="shared" si="208"/>
        <v>0</v>
      </c>
      <c r="BP158" s="25" t="str">
        <f t="shared" si="208"/>
        <v>0</v>
      </c>
      <c r="BQ158" s="25" t="str">
        <f t="shared" si="208"/>
        <v>0</v>
      </c>
      <c r="BR158" s="25" t="str">
        <f t="shared" si="208"/>
        <v>0</v>
      </c>
      <c r="BS158" s="25" t="str">
        <f t="shared" si="208"/>
        <v>0</v>
      </c>
      <c r="BT158" s="25" t="str">
        <f t="shared" si="208"/>
        <v>0</v>
      </c>
      <c r="BU158" s="25" t="str">
        <f t="shared" si="208"/>
        <v>0</v>
      </c>
      <c r="BV158" s="25" t="str">
        <f t="shared" si="208"/>
        <v>0</v>
      </c>
      <c r="BW158" s="25" t="str">
        <f t="shared" si="208"/>
        <v>0</v>
      </c>
      <c r="BX158" s="25" t="str">
        <f t="shared" si="208"/>
        <v>0</v>
      </c>
      <c r="BY158" s="25">
        <f t="shared" si="208"/>
        <v>1950</v>
      </c>
      <c r="BZ158" s="25" t="str">
        <f t="shared" si="208"/>
        <v>0</v>
      </c>
      <c r="CC158" s="25" t="str">
        <f t="array" ref="CC158">INDEX($C$46:$C$74,MATCH(CD158,$B$46:$B$74,0))</f>
        <v>夏提拉</v>
      </c>
      <c r="CD158" s="1">
        <v>1013</v>
      </c>
      <c r="CE158" s="1">
        <v>2</v>
      </c>
      <c r="CF158" s="25" t="str">
        <f t="array" ref="CF158">INDEX($T$5:$T$44,MATCH(CC158,$B$5:$B$44,0))</f>
        <v>魔法</v>
      </c>
      <c r="CG158" s="25">
        <f t="shared" si="189"/>
        <v>0</v>
      </c>
      <c r="CH158" s="25">
        <f t="shared" si="168"/>
        <v>1</v>
      </c>
      <c r="CI158" s="25">
        <f t="shared" si="169"/>
        <v>1</v>
      </c>
      <c r="CJ158" s="25">
        <f t="shared" si="170"/>
        <v>1</v>
      </c>
      <c r="CK158" s="25">
        <f t="shared" si="171"/>
        <v>1</v>
      </c>
      <c r="CL158" s="25">
        <v>0</v>
      </c>
      <c r="CM158" s="25">
        <f t="shared" si="190"/>
        <v>0</v>
      </c>
      <c r="CN158" s="25">
        <f t="shared" si="172"/>
        <v>0</v>
      </c>
      <c r="CO158" s="25">
        <f t="shared" si="173"/>
        <v>0</v>
      </c>
      <c r="CP158" s="29" t="str">
        <f t="shared" ref="CP158:DQ158" si="209">IF($CL158=CP$78,$CN158,"0")</f>
        <v>0</v>
      </c>
      <c r="CQ158" s="29" t="str">
        <f t="shared" si="209"/>
        <v>0</v>
      </c>
      <c r="CR158" s="29" t="str">
        <f t="shared" si="209"/>
        <v>0</v>
      </c>
      <c r="CS158" s="29" t="str">
        <f t="shared" si="209"/>
        <v>0</v>
      </c>
      <c r="CT158" s="29" t="str">
        <f t="shared" si="209"/>
        <v>0</v>
      </c>
      <c r="CU158" s="29" t="str">
        <f t="shared" si="209"/>
        <v>0</v>
      </c>
      <c r="CV158" s="29" t="str">
        <f t="shared" si="209"/>
        <v>0</v>
      </c>
      <c r="CW158" s="29" t="str">
        <f t="shared" si="209"/>
        <v>0</v>
      </c>
      <c r="CX158" s="29" t="str">
        <f t="shared" si="209"/>
        <v>0</v>
      </c>
      <c r="CY158" s="29" t="str">
        <f t="shared" si="209"/>
        <v>0</v>
      </c>
      <c r="CZ158" s="29" t="str">
        <f t="shared" si="209"/>
        <v>0</v>
      </c>
      <c r="DA158" s="29" t="str">
        <f t="shared" si="209"/>
        <v>0</v>
      </c>
      <c r="DB158" s="29" t="str">
        <f t="shared" si="209"/>
        <v>0</v>
      </c>
      <c r="DC158" s="29" t="str">
        <f t="shared" si="209"/>
        <v>0</v>
      </c>
      <c r="DD158" s="29" t="str">
        <f t="shared" si="209"/>
        <v>0</v>
      </c>
      <c r="DE158" s="29" t="str">
        <f t="shared" si="209"/>
        <v>0</v>
      </c>
      <c r="DF158" s="29" t="str">
        <f t="shared" si="209"/>
        <v>0</v>
      </c>
      <c r="DG158" s="29" t="str">
        <f t="shared" si="209"/>
        <v>0</v>
      </c>
      <c r="DH158" s="29" t="str">
        <f t="shared" si="209"/>
        <v>0</v>
      </c>
      <c r="DI158" s="29" t="str">
        <f t="shared" si="209"/>
        <v>0</v>
      </c>
      <c r="DJ158" s="29" t="str">
        <f t="shared" si="209"/>
        <v>0</v>
      </c>
      <c r="DK158" s="29" t="str">
        <f t="shared" si="209"/>
        <v>0</v>
      </c>
      <c r="DL158" s="29" t="str">
        <f t="shared" si="209"/>
        <v>0</v>
      </c>
      <c r="DM158" s="29" t="str">
        <f t="shared" si="209"/>
        <v>0</v>
      </c>
      <c r="DN158" s="29" t="str">
        <f t="shared" si="209"/>
        <v>0</v>
      </c>
      <c r="DO158" s="29" t="str">
        <f t="shared" si="209"/>
        <v>0</v>
      </c>
      <c r="DP158" s="29" t="str">
        <f t="shared" si="209"/>
        <v>0</v>
      </c>
      <c r="DQ158" s="29" t="str">
        <f t="shared" si="209"/>
        <v>0</v>
      </c>
      <c r="DR158" s="29"/>
      <c r="DS158" s="25">
        <v>0</v>
      </c>
      <c r="EE158" s="25" t="str">
        <f t="shared" si="175"/>
        <v>0</v>
      </c>
    </row>
    <row r="159" spans="1:135">
      <c r="A159" s="53">
        <v>1002021</v>
      </c>
      <c r="B159" s="49" t="s">
        <v>318</v>
      </c>
      <c r="C159" s="25">
        <f t="shared" si="146"/>
        <v>21</v>
      </c>
      <c r="D159" s="25">
        <f t="array" ref="D159">INDEX(C$5:C$67,MATCH($B159,$B$5:$B$67,0))</f>
        <v>5600</v>
      </c>
      <c r="E159" s="25">
        <f t="array" ref="E159">INDEX(D$5:D$67,MATCH($B159,$B$5:$B$67,0))</f>
        <v>448</v>
      </c>
      <c r="F159" s="25">
        <f t="array" ref="F159">INDEX(E$5:E$67,MATCH($B159,$B$5:$B$67,0))</f>
        <v>720</v>
      </c>
      <c r="G159" s="25">
        <f t="array" ref="G159">INDEX(F$5:F$67,MATCH($B159,$B$5:$B$67,0))</f>
        <v>57.6</v>
      </c>
      <c r="H159" s="25">
        <f t="array" ref="H159">INDEX(G$5:G$66,MATCH($B159,$B$5:$B$67,0))</f>
        <v>576</v>
      </c>
      <c r="I159" s="25">
        <f t="array" ref="I159">INDEX(H$5:H$67,MATCH($B159,$B$5:$B$67,0))</f>
        <v>46.08</v>
      </c>
      <c r="J159" s="25">
        <f t="array" ref="J159">INDEX(I$5:I$67,MATCH($B159,$B$5:$B$67,0))</f>
        <v>800</v>
      </c>
      <c r="K159" s="25">
        <f t="array" ref="K159">INDEX(J$5:J$67,MATCH($B159,$B$5:$B$67,0))</f>
        <v>64</v>
      </c>
      <c r="L159" s="25">
        <f t="shared" si="156"/>
        <v>15008</v>
      </c>
      <c r="M159" s="25">
        <f t="shared" si="157"/>
        <v>1930</v>
      </c>
      <c r="N159" s="25">
        <f t="shared" si="158"/>
        <v>1544</v>
      </c>
      <c r="O159" s="25">
        <f t="shared" si="159"/>
        <v>2144</v>
      </c>
      <c r="R159" s="50">
        <f t="array" ref="R159">INDEX($B$46:$B$68,MATCH(S159,$C$46:$C$68,0))*1000+T159</f>
        <v>1003027</v>
      </c>
      <c r="S159" s="51" t="s">
        <v>321</v>
      </c>
      <c r="T159" s="29">
        <f t="shared" si="78"/>
        <v>27</v>
      </c>
      <c r="U159" s="25">
        <f t="array" ref="U159">INDEX(K$5:K$67,MATCH($S159,$B$5:$B$67,0))</f>
        <v>656.04</v>
      </c>
      <c r="V159" s="25">
        <f t="array" ref="V159">INDEX(L$5:L$67,MATCH($S159,$B$5:$B$67,0))</f>
        <v>62.67</v>
      </c>
      <c r="W159" s="25">
        <f t="array" ref="W159">INDEX(M$5:M$67,MATCH($S159,$B$5:$B$67,0))</f>
        <v>78.34</v>
      </c>
      <c r="X159" s="25">
        <f t="array" ref="X159">INDEX(N$5:N$67,MATCH($S159,$B$5:$B$67,0))</f>
        <v>76.5</v>
      </c>
      <c r="Y159" s="25">
        <f t="shared" si="160"/>
        <v>17713</v>
      </c>
      <c r="Z159" s="25">
        <f t="shared" si="161"/>
        <v>1692</v>
      </c>
      <c r="AA159" s="25">
        <f t="shared" si="162"/>
        <v>2115</v>
      </c>
      <c r="AB159" s="25">
        <f t="shared" si="163"/>
        <v>2066</v>
      </c>
      <c r="AF159" s="25">
        <v>81</v>
      </c>
      <c r="AG159" s="25">
        <f t="array" ref="AG159">INDEX($AE$79:$AE$116,QUOTIENT(AF159-1,8)+1)</f>
        <v>1012</v>
      </c>
      <c r="AH159" s="25">
        <f t="shared" si="192"/>
        <v>1</v>
      </c>
      <c r="AI159" s="25">
        <f t="shared" si="164"/>
        <v>10121</v>
      </c>
      <c r="AJ159" s="25" t="str">
        <f t="shared" si="165"/>
        <v>艾德琳</v>
      </c>
      <c r="AK159" s="25">
        <f t="shared" si="193"/>
        <v>1</v>
      </c>
      <c r="AL159" s="25" t="str">
        <f t="array" ref="AL159">INDEX($O$5:$O$42,MATCH(AJ159,$B$5:$B$42,0))</f>
        <v>攻击百分比</v>
      </c>
      <c r="AM159" s="25" t="str">
        <f t="array" ref="AM159">INDEX($P$5:$P$42,MATCH(AJ159,$B$5:$B$42,0))</f>
        <v>能量回复等级</v>
      </c>
      <c r="AN159" s="25" t="str">
        <f t="array" ref="AN159">INDEX($Q$5:$Q$42,MATCH(AJ159,$B$5:$B$42,0))</f>
        <v>技能冷却等级</v>
      </c>
      <c r="AO159" s="25" t="str">
        <f t="array" ref="AO159">INDEX(AL159:AN159,0,AK159)</f>
        <v>攻击百分比</v>
      </c>
      <c r="AP159" s="25">
        <f t="shared" si="151"/>
        <v>0.216666666666667</v>
      </c>
      <c r="AQ159" s="25">
        <f t="shared" si="166"/>
        <v>0.216666666666667</v>
      </c>
      <c r="AR159" s="25" t="str">
        <f t="shared" ref="AR159:BZ159" si="210">IF(AR$78=$AO159,$AQ159,"0")</f>
        <v>0</v>
      </c>
      <c r="AS159" s="25" t="str">
        <f t="shared" si="210"/>
        <v>0</v>
      </c>
      <c r="AT159" s="25" t="str">
        <f t="shared" si="210"/>
        <v>0</v>
      </c>
      <c r="AU159" s="25">
        <f t="shared" si="210"/>
        <v>0.216666666666667</v>
      </c>
      <c r="AV159" s="25" t="str">
        <f t="shared" si="210"/>
        <v>0</v>
      </c>
      <c r="AW159" s="25">
        <f t="shared" si="210"/>
        <v>0.216666666666667</v>
      </c>
      <c r="AX159" s="25" t="str">
        <f t="shared" si="210"/>
        <v>0</v>
      </c>
      <c r="AY159" s="25" t="str">
        <f t="shared" si="210"/>
        <v>0</v>
      </c>
      <c r="AZ159" s="25" t="str">
        <f t="shared" si="210"/>
        <v>0</v>
      </c>
      <c r="BA159" s="25" t="str">
        <f t="shared" si="210"/>
        <v>0</v>
      </c>
      <c r="BB159" s="25" t="str">
        <f t="shared" si="210"/>
        <v>0</v>
      </c>
      <c r="BC159" s="25" t="str">
        <f t="shared" si="210"/>
        <v>0</v>
      </c>
      <c r="BD159" s="25" t="str">
        <f t="shared" si="210"/>
        <v>0</v>
      </c>
      <c r="BE159" s="25" t="str">
        <f t="shared" si="210"/>
        <v>0</v>
      </c>
      <c r="BF159" s="25" t="str">
        <f t="shared" si="210"/>
        <v>0</v>
      </c>
      <c r="BG159" s="25" t="str">
        <f t="shared" si="210"/>
        <v>0</v>
      </c>
      <c r="BH159" s="25" t="str">
        <f t="shared" si="210"/>
        <v>0</v>
      </c>
      <c r="BI159" s="25" t="str">
        <f t="shared" si="210"/>
        <v>0</v>
      </c>
      <c r="BJ159" s="25" t="str">
        <f t="shared" si="210"/>
        <v>0</v>
      </c>
      <c r="BK159" s="25" t="str">
        <f t="shared" si="210"/>
        <v>0</v>
      </c>
      <c r="BL159" s="25" t="str">
        <f t="shared" si="210"/>
        <v>0</v>
      </c>
      <c r="BM159" s="25" t="str">
        <f t="shared" si="210"/>
        <v>0</v>
      </c>
      <c r="BN159" s="25" t="str">
        <f t="shared" si="210"/>
        <v>0</v>
      </c>
      <c r="BO159" s="25" t="str">
        <f t="shared" si="210"/>
        <v>0</v>
      </c>
      <c r="BP159" s="25" t="str">
        <f t="shared" si="210"/>
        <v>0</v>
      </c>
      <c r="BQ159" s="25" t="str">
        <f t="shared" si="210"/>
        <v>0</v>
      </c>
      <c r="BR159" s="25" t="str">
        <f t="shared" si="210"/>
        <v>0</v>
      </c>
      <c r="BS159" s="25" t="str">
        <f t="shared" si="210"/>
        <v>0</v>
      </c>
      <c r="BT159" s="25" t="str">
        <f t="shared" si="210"/>
        <v>0</v>
      </c>
      <c r="BU159" s="25" t="str">
        <f t="shared" si="210"/>
        <v>0</v>
      </c>
      <c r="BV159" s="25" t="str">
        <f t="shared" si="210"/>
        <v>0</v>
      </c>
      <c r="BW159" s="25" t="str">
        <f t="shared" si="210"/>
        <v>0</v>
      </c>
      <c r="BX159" s="25" t="str">
        <f t="shared" si="210"/>
        <v>0</v>
      </c>
      <c r="BY159" s="25" t="str">
        <f t="shared" si="210"/>
        <v>0</v>
      </c>
      <c r="BZ159" s="25" t="str">
        <f t="shared" si="210"/>
        <v>0</v>
      </c>
      <c r="CC159" s="25" t="str">
        <f t="array" ref="CC159">INDEX($C$46:$C$74,MATCH(CD159,$B$46:$B$74,0))</f>
        <v>夏提拉</v>
      </c>
      <c r="CD159" s="1">
        <v>1013</v>
      </c>
      <c r="CE159" s="1">
        <v>3</v>
      </c>
      <c r="CF159" s="25" t="str">
        <f t="array" ref="CF159">INDEX($T$5:$T$44,MATCH(CC159,$B$5:$B$44,0))</f>
        <v>魔法</v>
      </c>
      <c r="CG159" s="25">
        <f t="shared" si="189"/>
        <v>0.15</v>
      </c>
      <c r="CH159" s="25">
        <f t="shared" si="168"/>
        <v>1.15</v>
      </c>
      <c r="CI159" s="25">
        <f t="shared" si="169"/>
        <v>1</v>
      </c>
      <c r="CJ159" s="25">
        <f t="shared" si="170"/>
        <v>1.15</v>
      </c>
      <c r="CK159" s="25">
        <f t="shared" si="171"/>
        <v>1.15</v>
      </c>
      <c r="CL159" s="25" t="str">
        <f t="array" ref="CL159">INDEX($R$5:$R$43,MATCH(CC159,$B$5:$B$43,0))</f>
        <v>魔法伤害加成</v>
      </c>
      <c r="CM159" s="25">
        <f t="shared" si="190"/>
        <v>0.3</v>
      </c>
      <c r="CN159" s="25">
        <f t="shared" si="172"/>
        <v>0.12</v>
      </c>
      <c r="CO159" s="25">
        <f t="shared" si="173"/>
        <v>1</v>
      </c>
      <c r="CP159" s="29" t="str">
        <f t="shared" ref="CP159:DQ159" si="211">IF($CL159=CP$78,$CN159,"0")</f>
        <v>0</v>
      </c>
      <c r="CQ159" s="29" t="str">
        <f t="shared" si="211"/>
        <v>0</v>
      </c>
      <c r="CR159" s="29" t="str">
        <f t="shared" si="211"/>
        <v>0</v>
      </c>
      <c r="CS159" s="29" t="str">
        <f t="shared" si="211"/>
        <v>0</v>
      </c>
      <c r="CT159" s="29" t="str">
        <f t="shared" si="211"/>
        <v>0</v>
      </c>
      <c r="CU159" s="29" t="str">
        <f t="shared" si="211"/>
        <v>0</v>
      </c>
      <c r="CV159" s="29" t="str">
        <f t="shared" si="211"/>
        <v>0</v>
      </c>
      <c r="CW159" s="29" t="str">
        <f t="shared" si="211"/>
        <v>0</v>
      </c>
      <c r="CX159" s="29" t="str">
        <f t="shared" si="211"/>
        <v>0</v>
      </c>
      <c r="CY159" s="29" t="str">
        <f t="shared" si="211"/>
        <v>0</v>
      </c>
      <c r="CZ159" s="29" t="str">
        <f t="shared" si="211"/>
        <v>0</v>
      </c>
      <c r="DA159" s="29" t="str">
        <f t="shared" si="211"/>
        <v>0</v>
      </c>
      <c r="DB159" s="29" t="str">
        <f t="shared" si="211"/>
        <v>0</v>
      </c>
      <c r="DC159" s="29">
        <f t="shared" si="211"/>
        <v>0.12</v>
      </c>
      <c r="DD159" s="29" t="str">
        <f t="shared" si="211"/>
        <v>0</v>
      </c>
      <c r="DE159" s="29" t="str">
        <f t="shared" si="211"/>
        <v>0</v>
      </c>
      <c r="DF159" s="29" t="str">
        <f t="shared" si="211"/>
        <v>0</v>
      </c>
      <c r="DG159" s="29" t="str">
        <f t="shared" si="211"/>
        <v>0</v>
      </c>
      <c r="DH159" s="29" t="str">
        <f t="shared" si="211"/>
        <v>0</v>
      </c>
      <c r="DI159" s="29" t="str">
        <f t="shared" si="211"/>
        <v>0</v>
      </c>
      <c r="DJ159" s="29" t="str">
        <f t="shared" si="211"/>
        <v>0</v>
      </c>
      <c r="DK159" s="29" t="str">
        <f t="shared" si="211"/>
        <v>0</v>
      </c>
      <c r="DL159" s="29" t="str">
        <f t="shared" si="211"/>
        <v>0</v>
      </c>
      <c r="DM159" s="29" t="str">
        <f t="shared" si="211"/>
        <v>0</v>
      </c>
      <c r="DN159" s="29" t="str">
        <f t="shared" si="211"/>
        <v>0</v>
      </c>
      <c r="DO159" s="29" t="str">
        <f t="shared" si="211"/>
        <v>0</v>
      </c>
      <c r="DP159" s="29" t="str">
        <f t="shared" si="211"/>
        <v>0</v>
      </c>
      <c r="DQ159" s="29" t="str">
        <f t="shared" si="211"/>
        <v>0</v>
      </c>
      <c r="DR159" s="29"/>
      <c r="DS159" s="25" t="s">
        <v>1011</v>
      </c>
      <c r="DT159" s="25" t="str">
        <f>TEXT(角色升星!$F$18,"0%")</f>
        <v>15%</v>
      </c>
      <c r="DU159" s="25" t="s">
        <v>779</v>
      </c>
      <c r="DV159" s="25" t="str">
        <f>IF(CF159="物理","PhysicsAttack,+","MagicAttack,+")</f>
        <v>MagicAttack,+</v>
      </c>
      <c r="DW159" s="25" t="str">
        <f>TEXT(角色升星!$F$18,"0%")</f>
        <v>15%</v>
      </c>
      <c r="DX159" s="25" t="s">
        <v>779</v>
      </c>
      <c r="DY159" s="25" t="s">
        <v>1012</v>
      </c>
      <c r="DZ159" s="25" t="str">
        <f>TEXT(角色升星!$F$18,"0%")</f>
        <v>15%</v>
      </c>
      <c r="EA159" s="25" t="s">
        <v>779</v>
      </c>
      <c r="EB159" s="25" t="str">
        <f>VLOOKUP(CL159,$O$46:$P$73,2,0)</f>
        <v>MagicDmgBonus</v>
      </c>
      <c r="EC159" s="25" t="s">
        <v>1013</v>
      </c>
      <c r="ED159" s="25" t="str">
        <f>IF(CN159&gt;1,CN159,TEXT(CN159,"0%"))</f>
        <v>12%</v>
      </c>
      <c r="EE159" s="25" t="str">
        <f t="shared" si="175"/>
        <v>Hp,+15%;MagicAttack,+15%;Armor,+15%;MagicDmgBonus,+12%</v>
      </c>
    </row>
    <row r="160" spans="1:135">
      <c r="A160" s="53">
        <v>1002022</v>
      </c>
      <c r="B160" s="49" t="s">
        <v>318</v>
      </c>
      <c r="C160" s="25">
        <f t="shared" si="146"/>
        <v>22</v>
      </c>
      <c r="D160" s="25">
        <f t="array" ref="D160">INDEX(C$5:C$67,MATCH($B160,$B$5:$B$67,0))</f>
        <v>5600</v>
      </c>
      <c r="E160" s="25">
        <f t="array" ref="E160">INDEX(D$5:D$67,MATCH($B160,$B$5:$B$67,0))</f>
        <v>448</v>
      </c>
      <c r="F160" s="25">
        <f t="array" ref="F160">INDEX(E$5:E$67,MATCH($B160,$B$5:$B$67,0))</f>
        <v>720</v>
      </c>
      <c r="G160" s="25">
        <f t="array" ref="G160">INDEX(F$5:F$67,MATCH($B160,$B$5:$B$67,0))</f>
        <v>57.6</v>
      </c>
      <c r="H160" s="25">
        <f t="array" ref="H160">INDEX(G$5:G$66,MATCH($B160,$B$5:$B$67,0))</f>
        <v>576</v>
      </c>
      <c r="I160" s="25">
        <f t="array" ref="I160">INDEX(H$5:H$67,MATCH($B160,$B$5:$B$67,0))</f>
        <v>46.08</v>
      </c>
      <c r="J160" s="25">
        <f t="array" ref="J160">INDEX(I$5:I$67,MATCH($B160,$B$5:$B$67,0))</f>
        <v>800</v>
      </c>
      <c r="K160" s="25">
        <f t="array" ref="K160">INDEX(J$5:J$67,MATCH($B160,$B$5:$B$67,0))</f>
        <v>64</v>
      </c>
      <c r="L160" s="25">
        <f t="shared" si="156"/>
        <v>15456</v>
      </c>
      <c r="M160" s="25">
        <f t="shared" si="157"/>
        <v>1987</v>
      </c>
      <c r="N160" s="25">
        <f t="shared" si="158"/>
        <v>1590</v>
      </c>
      <c r="O160" s="25">
        <f t="shared" si="159"/>
        <v>2208</v>
      </c>
      <c r="R160" s="50">
        <f t="array" ref="R160">INDEX($B$46:$B$68,MATCH(S160,$C$46:$C$68,0))*1000+T160</f>
        <v>1004001</v>
      </c>
      <c r="S160" s="51" t="s">
        <v>324</v>
      </c>
      <c r="T160" s="29">
        <f t="shared" si="78"/>
        <v>1</v>
      </c>
      <c r="U160" s="25">
        <f t="array" ref="U160">INDEX(K$5:K$67,MATCH($S160,$B$5:$B$67,0))</f>
        <v>506.09</v>
      </c>
      <c r="V160" s="25">
        <f t="array" ref="V160">INDEX(L$5:L$67,MATCH($S160,$B$5:$B$67,0))</f>
        <v>72.4</v>
      </c>
      <c r="W160" s="25">
        <f t="array" ref="W160">INDEX(M$5:M$67,MATCH($S160,$B$5:$B$67,0))</f>
        <v>94.08</v>
      </c>
      <c r="X160" s="25">
        <f t="array" ref="X160">INDEX(N$5:N$67,MATCH($S160,$B$5:$B$67,0))</f>
        <v>88.83</v>
      </c>
      <c r="Y160" s="25">
        <f t="shared" si="160"/>
        <v>506</v>
      </c>
      <c r="Z160" s="25">
        <f t="shared" si="161"/>
        <v>72</v>
      </c>
      <c r="AA160" s="25">
        <f t="shared" si="162"/>
        <v>94</v>
      </c>
      <c r="AB160" s="25">
        <f t="shared" si="163"/>
        <v>89</v>
      </c>
      <c r="AF160" s="25">
        <v>82</v>
      </c>
      <c r="AG160" s="25">
        <f t="array" ref="AG160">INDEX($AE$79:$AE$116,QUOTIENT(AF160-1,8)+1)</f>
        <v>1012</v>
      </c>
      <c r="AH160" s="25">
        <f t="shared" si="192"/>
        <v>2</v>
      </c>
      <c r="AI160" s="25">
        <f t="shared" si="164"/>
        <v>10122</v>
      </c>
      <c r="AJ160" s="25" t="str">
        <f t="shared" si="165"/>
        <v>艾德琳</v>
      </c>
      <c r="AK160" s="25">
        <f t="shared" si="193"/>
        <v>2</v>
      </c>
      <c r="AL160" s="25" t="str">
        <f t="array" ref="AL160">INDEX($O$5:$O$42,MATCH(AJ160,$B$5:$B$42,0))</f>
        <v>攻击百分比</v>
      </c>
      <c r="AM160" s="25" t="str">
        <f t="array" ref="AM160">INDEX($P$5:$P$42,MATCH(AJ160,$B$5:$B$42,0))</f>
        <v>能量回复等级</v>
      </c>
      <c r="AN160" s="25" t="str">
        <f t="array" ref="AN160">INDEX($Q$5:$Q$42,MATCH(AJ160,$B$5:$B$42,0))</f>
        <v>技能冷却等级</v>
      </c>
      <c r="AO160" s="25" t="str">
        <f t="array" ref="AO160">INDEX(AL160:AN160,0,AK160)</f>
        <v>能量回复等级</v>
      </c>
      <c r="AP160" s="25">
        <f t="shared" si="151"/>
        <v>0.15</v>
      </c>
      <c r="AQ160" s="25">
        <f t="shared" si="166"/>
        <v>1350</v>
      </c>
      <c r="AR160" s="25" t="str">
        <f t="shared" ref="AR160:BZ160" si="212">IF(AR$78=$AO160,$AQ160,"0")</f>
        <v>0</v>
      </c>
      <c r="AS160" s="25" t="str">
        <f t="shared" si="212"/>
        <v>0</v>
      </c>
      <c r="AT160" s="25" t="str">
        <f t="shared" si="212"/>
        <v>0</v>
      </c>
      <c r="AU160" s="25" t="str">
        <f t="shared" si="212"/>
        <v>0</v>
      </c>
      <c r="AV160" s="25" t="str">
        <f t="shared" si="212"/>
        <v>0</v>
      </c>
      <c r="AW160" s="25" t="str">
        <f t="shared" si="212"/>
        <v>0</v>
      </c>
      <c r="AX160" s="25" t="str">
        <f t="shared" si="212"/>
        <v>0</v>
      </c>
      <c r="AY160" s="25" t="str">
        <f t="shared" si="212"/>
        <v>0</v>
      </c>
      <c r="AZ160" s="25" t="str">
        <f t="shared" si="212"/>
        <v>0</v>
      </c>
      <c r="BA160" s="25" t="str">
        <f t="shared" si="212"/>
        <v>0</v>
      </c>
      <c r="BB160" s="25" t="str">
        <f t="shared" si="212"/>
        <v>0</v>
      </c>
      <c r="BC160" s="25" t="str">
        <f t="shared" si="212"/>
        <v>0</v>
      </c>
      <c r="BD160" s="25" t="str">
        <f t="shared" si="212"/>
        <v>0</v>
      </c>
      <c r="BE160" s="25" t="str">
        <f t="shared" si="212"/>
        <v>0</v>
      </c>
      <c r="BF160" s="25" t="str">
        <f t="shared" si="212"/>
        <v>0</v>
      </c>
      <c r="BG160" s="25" t="str">
        <f t="shared" si="212"/>
        <v>0</v>
      </c>
      <c r="BH160" s="25" t="str">
        <f t="shared" si="212"/>
        <v>0</v>
      </c>
      <c r="BI160" s="25" t="str">
        <f t="shared" si="212"/>
        <v>0</v>
      </c>
      <c r="BJ160" s="25" t="str">
        <f t="shared" si="212"/>
        <v>0</v>
      </c>
      <c r="BK160" s="25" t="str">
        <f t="shared" si="212"/>
        <v>0</v>
      </c>
      <c r="BL160" s="25" t="str">
        <f t="shared" si="212"/>
        <v>0</v>
      </c>
      <c r="BM160" s="25" t="str">
        <f t="shared" si="212"/>
        <v>0</v>
      </c>
      <c r="BN160" s="25" t="str">
        <f t="shared" si="212"/>
        <v>0</v>
      </c>
      <c r="BO160" s="25" t="str">
        <f t="shared" si="212"/>
        <v>0</v>
      </c>
      <c r="BP160" s="25" t="str">
        <f t="shared" si="212"/>
        <v>0</v>
      </c>
      <c r="BQ160" s="25" t="str">
        <f t="shared" si="212"/>
        <v>0</v>
      </c>
      <c r="BR160" s="25" t="str">
        <f t="shared" si="212"/>
        <v>0</v>
      </c>
      <c r="BS160" s="25" t="str">
        <f t="shared" si="212"/>
        <v>0</v>
      </c>
      <c r="BT160" s="25" t="str">
        <f t="shared" si="212"/>
        <v>0</v>
      </c>
      <c r="BU160" s="25" t="str">
        <f t="shared" si="212"/>
        <v>0</v>
      </c>
      <c r="BV160" s="25" t="str">
        <f t="shared" si="212"/>
        <v>0</v>
      </c>
      <c r="BW160" s="25" t="str">
        <f t="shared" si="212"/>
        <v>0</v>
      </c>
      <c r="BX160" s="25" t="str">
        <f t="shared" si="212"/>
        <v>0</v>
      </c>
      <c r="BY160" s="25">
        <f t="shared" si="212"/>
        <v>1350</v>
      </c>
      <c r="BZ160" s="25" t="str">
        <f t="shared" si="212"/>
        <v>0</v>
      </c>
      <c r="CC160" s="25" t="str">
        <f t="array" ref="CC160">INDEX($C$46:$C$74,MATCH(CD160,$B$46:$B$74,0))</f>
        <v>夏提拉</v>
      </c>
      <c r="CD160" s="1">
        <v>1013</v>
      </c>
      <c r="CE160" s="1">
        <v>4</v>
      </c>
      <c r="CF160" s="25" t="str">
        <f t="array" ref="CF160">INDEX($T$5:$T$44,MATCH(CC160,$B$5:$B$44,0))</f>
        <v>魔法</v>
      </c>
      <c r="CG160" s="25">
        <f t="shared" si="189"/>
        <v>0.15</v>
      </c>
      <c r="CH160" s="25">
        <f t="shared" si="168"/>
        <v>1.15</v>
      </c>
      <c r="CI160" s="25">
        <f t="shared" si="169"/>
        <v>1</v>
      </c>
      <c r="CJ160" s="25">
        <f t="shared" si="170"/>
        <v>1.15</v>
      </c>
      <c r="CK160" s="25">
        <f t="shared" si="171"/>
        <v>1.15</v>
      </c>
      <c r="CL160" s="25">
        <v>0</v>
      </c>
      <c r="CM160" s="25">
        <f t="shared" si="190"/>
        <v>0</v>
      </c>
      <c r="CN160" s="25">
        <f t="shared" si="172"/>
        <v>0</v>
      </c>
      <c r="CO160" s="25">
        <f t="shared" si="173"/>
        <v>0</v>
      </c>
      <c r="CP160" s="29" t="str">
        <f t="shared" ref="CP160:DQ160" si="213">IF($CL160=CP$78,$CN160,"0")</f>
        <v>0</v>
      </c>
      <c r="CQ160" s="29" t="str">
        <f t="shared" si="213"/>
        <v>0</v>
      </c>
      <c r="CR160" s="29" t="str">
        <f t="shared" si="213"/>
        <v>0</v>
      </c>
      <c r="CS160" s="29" t="str">
        <f t="shared" si="213"/>
        <v>0</v>
      </c>
      <c r="CT160" s="29" t="str">
        <f t="shared" si="213"/>
        <v>0</v>
      </c>
      <c r="CU160" s="29" t="str">
        <f t="shared" si="213"/>
        <v>0</v>
      </c>
      <c r="CV160" s="29" t="str">
        <f t="shared" si="213"/>
        <v>0</v>
      </c>
      <c r="CW160" s="29" t="str">
        <f t="shared" si="213"/>
        <v>0</v>
      </c>
      <c r="CX160" s="29" t="str">
        <f t="shared" si="213"/>
        <v>0</v>
      </c>
      <c r="CY160" s="29" t="str">
        <f t="shared" si="213"/>
        <v>0</v>
      </c>
      <c r="CZ160" s="29" t="str">
        <f t="shared" si="213"/>
        <v>0</v>
      </c>
      <c r="DA160" s="29" t="str">
        <f t="shared" si="213"/>
        <v>0</v>
      </c>
      <c r="DB160" s="29" t="str">
        <f t="shared" si="213"/>
        <v>0</v>
      </c>
      <c r="DC160" s="29" t="str">
        <f t="shared" si="213"/>
        <v>0</v>
      </c>
      <c r="DD160" s="29" t="str">
        <f t="shared" si="213"/>
        <v>0</v>
      </c>
      <c r="DE160" s="29" t="str">
        <f t="shared" si="213"/>
        <v>0</v>
      </c>
      <c r="DF160" s="29" t="str">
        <f t="shared" si="213"/>
        <v>0</v>
      </c>
      <c r="DG160" s="29" t="str">
        <f t="shared" si="213"/>
        <v>0</v>
      </c>
      <c r="DH160" s="29" t="str">
        <f t="shared" si="213"/>
        <v>0</v>
      </c>
      <c r="DI160" s="29" t="str">
        <f t="shared" si="213"/>
        <v>0</v>
      </c>
      <c r="DJ160" s="29" t="str">
        <f t="shared" si="213"/>
        <v>0</v>
      </c>
      <c r="DK160" s="29" t="str">
        <f t="shared" si="213"/>
        <v>0</v>
      </c>
      <c r="DL160" s="29" t="str">
        <f t="shared" si="213"/>
        <v>0</v>
      </c>
      <c r="DM160" s="29" t="str">
        <f t="shared" si="213"/>
        <v>0</v>
      </c>
      <c r="DN160" s="29" t="str">
        <f t="shared" si="213"/>
        <v>0</v>
      </c>
      <c r="DO160" s="29" t="str">
        <f t="shared" si="213"/>
        <v>0</v>
      </c>
      <c r="DP160" s="29" t="str">
        <f t="shared" si="213"/>
        <v>0</v>
      </c>
      <c r="DQ160" s="29" t="str">
        <f t="shared" si="213"/>
        <v>0</v>
      </c>
      <c r="DR160" s="29"/>
      <c r="DS160" s="25">
        <v>0</v>
      </c>
      <c r="EE160" s="25" t="str">
        <f t="shared" si="175"/>
        <v>0</v>
      </c>
    </row>
    <row r="161" spans="1:135">
      <c r="A161" s="53">
        <v>1002023</v>
      </c>
      <c r="B161" s="49" t="s">
        <v>318</v>
      </c>
      <c r="C161" s="25">
        <f t="shared" si="146"/>
        <v>23</v>
      </c>
      <c r="D161" s="25">
        <f t="array" ref="D161">INDEX(C$5:C$67,MATCH($B161,$B$5:$B$67,0))</f>
        <v>5600</v>
      </c>
      <c r="E161" s="25">
        <f t="array" ref="E161">INDEX(D$5:D$67,MATCH($B161,$B$5:$B$67,0))</f>
        <v>448</v>
      </c>
      <c r="F161" s="25">
        <f t="array" ref="F161">INDEX(E$5:E$67,MATCH($B161,$B$5:$B$67,0))</f>
        <v>720</v>
      </c>
      <c r="G161" s="25">
        <f t="array" ref="G161">INDEX(F$5:F$67,MATCH($B161,$B$5:$B$67,0))</f>
        <v>57.6</v>
      </c>
      <c r="H161" s="25">
        <f t="array" ref="H161">INDEX(G$5:G$66,MATCH($B161,$B$5:$B$67,0))</f>
        <v>576</v>
      </c>
      <c r="I161" s="25">
        <f t="array" ref="I161">INDEX(H$5:H$67,MATCH($B161,$B$5:$B$67,0))</f>
        <v>46.08</v>
      </c>
      <c r="J161" s="25">
        <f t="array" ref="J161">INDEX(I$5:I$67,MATCH($B161,$B$5:$B$67,0))</f>
        <v>800</v>
      </c>
      <c r="K161" s="25">
        <f t="array" ref="K161">INDEX(J$5:J$67,MATCH($B161,$B$5:$B$67,0))</f>
        <v>64</v>
      </c>
      <c r="L161" s="25">
        <f t="shared" si="156"/>
        <v>15904</v>
      </c>
      <c r="M161" s="25">
        <f t="shared" si="157"/>
        <v>2045</v>
      </c>
      <c r="N161" s="25">
        <f t="shared" si="158"/>
        <v>1636</v>
      </c>
      <c r="O161" s="25">
        <f t="shared" si="159"/>
        <v>2272</v>
      </c>
      <c r="R161" s="50">
        <f t="array" ref="R161">INDEX($B$46:$B$68,MATCH(S161,$C$46:$C$68,0))*1000+T161</f>
        <v>1004002</v>
      </c>
      <c r="S161" s="51" t="s">
        <v>324</v>
      </c>
      <c r="T161" s="29">
        <f t="shared" si="78"/>
        <v>2</v>
      </c>
      <c r="U161" s="25">
        <f t="array" ref="U161">INDEX(K$5:K$67,MATCH($S161,$B$5:$B$67,0))</f>
        <v>506.09</v>
      </c>
      <c r="V161" s="25">
        <f t="array" ref="V161">INDEX(L$5:L$67,MATCH($S161,$B$5:$B$67,0))</f>
        <v>72.4</v>
      </c>
      <c r="W161" s="25">
        <f t="array" ref="W161">INDEX(M$5:M$67,MATCH($S161,$B$5:$B$67,0))</f>
        <v>94.08</v>
      </c>
      <c r="X161" s="25">
        <f t="array" ref="X161">INDEX(N$5:N$67,MATCH($S161,$B$5:$B$67,0))</f>
        <v>88.83</v>
      </c>
      <c r="Y161" s="25">
        <f t="shared" si="160"/>
        <v>1012</v>
      </c>
      <c r="Z161" s="25">
        <f t="shared" si="161"/>
        <v>145</v>
      </c>
      <c r="AA161" s="25">
        <f t="shared" si="162"/>
        <v>188</v>
      </c>
      <c r="AB161" s="25">
        <f t="shared" si="163"/>
        <v>178</v>
      </c>
      <c r="AF161" s="25">
        <v>83</v>
      </c>
      <c r="AG161" s="25">
        <f t="array" ref="AG161">INDEX($AE$79:$AE$116,QUOTIENT(AF161-1,8)+1)</f>
        <v>1012</v>
      </c>
      <c r="AH161" s="25">
        <f t="shared" si="192"/>
        <v>3</v>
      </c>
      <c r="AI161" s="25">
        <f t="shared" si="164"/>
        <v>10123</v>
      </c>
      <c r="AJ161" s="25" t="str">
        <f t="shared" si="165"/>
        <v>艾德琳</v>
      </c>
      <c r="AK161" s="25">
        <f t="shared" si="193"/>
        <v>3</v>
      </c>
      <c r="AL161" s="25" t="str">
        <f t="array" ref="AL161">INDEX($O$5:$O$42,MATCH(AJ161,$B$5:$B$42,0))</f>
        <v>攻击百分比</v>
      </c>
      <c r="AM161" s="25" t="str">
        <f t="array" ref="AM161">INDEX($P$5:$P$42,MATCH(AJ161,$B$5:$B$42,0))</f>
        <v>能量回复等级</v>
      </c>
      <c r="AN161" s="25" t="str">
        <f t="array" ref="AN161">INDEX($Q$5:$Q$42,MATCH(AJ161,$B$5:$B$42,0))</f>
        <v>技能冷却等级</v>
      </c>
      <c r="AO161" s="25" t="str">
        <f t="array" ref="AO161">INDEX(AL161:AN161,0,AK161)</f>
        <v>技能冷却等级</v>
      </c>
      <c r="AP161" s="25">
        <f t="shared" si="151"/>
        <v>0.216666666666667</v>
      </c>
      <c r="AQ161" s="25">
        <f t="shared" si="166"/>
        <v>2816.66666666667</v>
      </c>
      <c r="AR161" s="25" t="str">
        <f t="shared" ref="AR161:BZ161" si="214">IF(AR$78=$AO161,$AQ161,"0")</f>
        <v>0</v>
      </c>
      <c r="AS161" s="25" t="str">
        <f t="shared" si="214"/>
        <v>0</v>
      </c>
      <c r="AT161" s="25" t="str">
        <f t="shared" si="214"/>
        <v>0</v>
      </c>
      <c r="AU161" s="25" t="str">
        <f t="shared" si="214"/>
        <v>0</v>
      </c>
      <c r="AV161" s="25" t="str">
        <f t="shared" si="214"/>
        <v>0</v>
      </c>
      <c r="AW161" s="25" t="str">
        <f t="shared" si="214"/>
        <v>0</v>
      </c>
      <c r="AX161" s="25" t="str">
        <f t="shared" si="214"/>
        <v>0</v>
      </c>
      <c r="AY161" s="25" t="str">
        <f t="shared" si="214"/>
        <v>0</v>
      </c>
      <c r="AZ161" s="25" t="str">
        <f t="shared" si="214"/>
        <v>0</v>
      </c>
      <c r="BA161" s="25" t="str">
        <f t="shared" si="214"/>
        <v>0</v>
      </c>
      <c r="BB161" s="25" t="str">
        <f t="shared" si="214"/>
        <v>0</v>
      </c>
      <c r="BC161" s="25" t="str">
        <f t="shared" si="214"/>
        <v>0</v>
      </c>
      <c r="BD161" s="25" t="str">
        <f t="shared" si="214"/>
        <v>0</v>
      </c>
      <c r="BE161" s="25" t="str">
        <f t="shared" si="214"/>
        <v>0</v>
      </c>
      <c r="BF161" s="25" t="str">
        <f t="shared" si="214"/>
        <v>0</v>
      </c>
      <c r="BG161" s="25" t="str">
        <f t="shared" si="214"/>
        <v>0</v>
      </c>
      <c r="BH161" s="25" t="str">
        <f t="shared" si="214"/>
        <v>0</v>
      </c>
      <c r="BI161" s="25" t="str">
        <f t="shared" si="214"/>
        <v>0</v>
      </c>
      <c r="BJ161" s="25" t="str">
        <f t="shared" si="214"/>
        <v>0</v>
      </c>
      <c r="BK161" s="25" t="str">
        <f t="shared" si="214"/>
        <v>0</v>
      </c>
      <c r="BL161" s="25" t="str">
        <f t="shared" si="214"/>
        <v>0</v>
      </c>
      <c r="BM161" s="25" t="str">
        <f t="shared" si="214"/>
        <v>0</v>
      </c>
      <c r="BN161" s="25" t="str">
        <f t="shared" si="214"/>
        <v>0</v>
      </c>
      <c r="BO161" s="25" t="str">
        <f t="shared" si="214"/>
        <v>0</v>
      </c>
      <c r="BP161" s="25" t="str">
        <f t="shared" si="214"/>
        <v>0</v>
      </c>
      <c r="BQ161" s="25" t="str">
        <f t="shared" si="214"/>
        <v>0</v>
      </c>
      <c r="BR161" s="25" t="str">
        <f t="shared" si="214"/>
        <v>0</v>
      </c>
      <c r="BS161" s="25" t="str">
        <f t="shared" si="214"/>
        <v>0</v>
      </c>
      <c r="BT161" s="25" t="str">
        <f t="shared" si="214"/>
        <v>0</v>
      </c>
      <c r="BU161" s="25" t="str">
        <f t="shared" si="214"/>
        <v>0</v>
      </c>
      <c r="BV161" s="25" t="str">
        <f t="shared" si="214"/>
        <v>0</v>
      </c>
      <c r="BW161" s="25" t="str">
        <f t="shared" si="214"/>
        <v>0</v>
      </c>
      <c r="BX161" s="25" t="str">
        <f t="shared" si="214"/>
        <v>0</v>
      </c>
      <c r="BY161" s="25" t="str">
        <f t="shared" si="214"/>
        <v>0</v>
      </c>
      <c r="BZ161" s="25">
        <f t="shared" si="214"/>
        <v>2816.66666666667</v>
      </c>
      <c r="CC161" s="25" t="str">
        <f t="array" ref="CC161">INDEX($C$46:$C$74,MATCH(CD161,$B$46:$B$74,0))</f>
        <v>夏提拉</v>
      </c>
      <c r="CD161" s="1">
        <v>1013</v>
      </c>
      <c r="CE161" s="1">
        <v>5</v>
      </c>
      <c r="CF161" s="25" t="str">
        <f t="array" ref="CF161">INDEX($T$5:$T$44,MATCH(CC161,$B$5:$B$44,0))</f>
        <v>魔法</v>
      </c>
      <c r="CG161" s="25">
        <f t="shared" si="189"/>
        <v>0.3</v>
      </c>
      <c r="CH161" s="25">
        <f t="shared" si="168"/>
        <v>1.3</v>
      </c>
      <c r="CI161" s="25">
        <f t="shared" si="169"/>
        <v>1</v>
      </c>
      <c r="CJ161" s="25">
        <f t="shared" si="170"/>
        <v>1.3</v>
      </c>
      <c r="CK161" s="25">
        <f t="shared" si="171"/>
        <v>1.3</v>
      </c>
      <c r="CL161" s="25" t="str">
        <f t="array" ref="CL161">INDEX($S$5:$S$43,MATCH(CC161,$B$5:$B$43,0))</f>
        <v>暴击伤害等级</v>
      </c>
      <c r="CM161" s="25">
        <f t="shared" si="190"/>
        <v>0.3</v>
      </c>
      <c r="CN161" s="25">
        <f t="shared" si="172"/>
        <v>3300</v>
      </c>
      <c r="CO161" s="25">
        <f t="shared" si="173"/>
        <v>1</v>
      </c>
      <c r="CP161" s="29" t="str">
        <f t="shared" ref="CP161:DQ161" si="215">IF($CL161=CP$78,$CN161,"0")</f>
        <v>0</v>
      </c>
      <c r="CQ161" s="29" t="str">
        <f t="shared" si="215"/>
        <v>0</v>
      </c>
      <c r="CR161" s="29" t="str">
        <f t="shared" si="215"/>
        <v>0</v>
      </c>
      <c r="CS161" s="29" t="str">
        <f t="shared" si="215"/>
        <v>0</v>
      </c>
      <c r="CT161" s="29" t="str">
        <f t="shared" si="215"/>
        <v>0</v>
      </c>
      <c r="CU161" s="29" t="str">
        <f t="shared" si="215"/>
        <v>0</v>
      </c>
      <c r="CV161" s="29" t="str">
        <f t="shared" si="215"/>
        <v>0</v>
      </c>
      <c r="CW161" s="29" t="str">
        <f t="shared" si="215"/>
        <v>0</v>
      </c>
      <c r="CX161" s="29" t="str">
        <f t="shared" si="215"/>
        <v>0</v>
      </c>
      <c r="CY161" s="29" t="str">
        <f t="shared" si="215"/>
        <v>0</v>
      </c>
      <c r="CZ161" s="29" t="str">
        <f t="shared" si="215"/>
        <v>0</v>
      </c>
      <c r="DA161" s="29" t="str">
        <f t="shared" si="215"/>
        <v>0</v>
      </c>
      <c r="DB161" s="29" t="str">
        <f t="shared" si="215"/>
        <v>0</v>
      </c>
      <c r="DC161" s="29" t="str">
        <f t="shared" si="215"/>
        <v>0</v>
      </c>
      <c r="DD161" s="29" t="str">
        <f t="shared" si="215"/>
        <v>0</v>
      </c>
      <c r="DE161" s="29" t="str">
        <f t="shared" si="215"/>
        <v>0</v>
      </c>
      <c r="DF161" s="29" t="str">
        <f t="shared" si="215"/>
        <v>0</v>
      </c>
      <c r="DG161" s="29" t="str">
        <f t="shared" si="215"/>
        <v>0</v>
      </c>
      <c r="DH161" s="29" t="str">
        <f t="shared" si="215"/>
        <v>0</v>
      </c>
      <c r="DI161" s="29" t="str">
        <f t="shared" si="215"/>
        <v>0</v>
      </c>
      <c r="DJ161" s="29" t="str">
        <f t="shared" si="215"/>
        <v>0</v>
      </c>
      <c r="DK161" s="29" t="str">
        <f t="shared" si="215"/>
        <v>0</v>
      </c>
      <c r="DL161" s="29" t="str">
        <f t="shared" si="215"/>
        <v>0</v>
      </c>
      <c r="DM161" s="29" t="str">
        <f t="shared" si="215"/>
        <v>0</v>
      </c>
      <c r="DN161" s="29" t="str">
        <f t="shared" si="215"/>
        <v>0</v>
      </c>
      <c r="DO161" s="29">
        <f t="shared" si="215"/>
        <v>3300</v>
      </c>
      <c r="DP161" s="29" t="str">
        <f t="shared" si="215"/>
        <v>0</v>
      </c>
      <c r="DQ161" s="29" t="str">
        <f t="shared" si="215"/>
        <v>0</v>
      </c>
      <c r="DR161" s="29"/>
      <c r="DS161" s="25" t="s">
        <v>1011</v>
      </c>
      <c r="DT161" s="25" t="str">
        <f>TEXT(角色升星!$F$18,"0%")</f>
        <v>15%</v>
      </c>
      <c r="DU161" s="25" t="s">
        <v>779</v>
      </c>
      <c r="DV161" s="25" t="str">
        <f>IF(CF161="物理","PhysicsAttack,+","MagicAttack,+")</f>
        <v>MagicAttack,+</v>
      </c>
      <c r="DW161" s="25" t="str">
        <f>TEXT(角色升星!$F$18,"0%")</f>
        <v>15%</v>
      </c>
      <c r="DX161" s="25" t="s">
        <v>779</v>
      </c>
      <c r="DY161" s="25" t="s">
        <v>1012</v>
      </c>
      <c r="DZ161" s="25" t="str">
        <f>TEXT(角色升星!$F$18,"0%")</f>
        <v>15%</v>
      </c>
      <c r="EA161" s="25" t="s">
        <v>779</v>
      </c>
      <c r="EB161" s="25" t="str">
        <f>VLOOKUP(CL161,$O$46:$P$73,2,0)</f>
        <v>CritDmgBonusLevel</v>
      </c>
      <c r="EC161" s="25" t="s">
        <v>1013</v>
      </c>
      <c r="ED161" s="25">
        <f>IF(CN161&gt;1,CN161,TEXT(CN161,"0%"))</f>
        <v>3300</v>
      </c>
      <c r="EE161" s="25" t="str">
        <f t="shared" si="175"/>
        <v>Hp,+15%;MagicAttack,+15%;Armor,+15%;CritDmgBonusLevel,+3300</v>
      </c>
    </row>
    <row r="162" spans="1:135">
      <c r="A162" s="53">
        <v>1002024</v>
      </c>
      <c r="B162" s="49" t="s">
        <v>318</v>
      </c>
      <c r="C162" s="25">
        <f t="shared" si="146"/>
        <v>24</v>
      </c>
      <c r="D162" s="25">
        <f t="array" ref="D162">INDEX(C$5:C$67,MATCH($B162,$B$5:$B$67,0))</f>
        <v>5600</v>
      </c>
      <c r="E162" s="25">
        <f t="array" ref="E162">INDEX(D$5:D$67,MATCH($B162,$B$5:$B$67,0))</f>
        <v>448</v>
      </c>
      <c r="F162" s="25">
        <f t="array" ref="F162">INDEX(E$5:E$67,MATCH($B162,$B$5:$B$67,0))</f>
        <v>720</v>
      </c>
      <c r="G162" s="25">
        <f t="array" ref="G162">INDEX(F$5:F$67,MATCH($B162,$B$5:$B$67,0))</f>
        <v>57.6</v>
      </c>
      <c r="H162" s="25">
        <f t="array" ref="H162">INDEX(G$5:G$66,MATCH($B162,$B$5:$B$67,0))</f>
        <v>576</v>
      </c>
      <c r="I162" s="25">
        <f t="array" ref="I162">INDEX(H$5:H$67,MATCH($B162,$B$5:$B$67,0))</f>
        <v>46.08</v>
      </c>
      <c r="J162" s="25">
        <f t="array" ref="J162">INDEX(I$5:I$67,MATCH($B162,$B$5:$B$67,0))</f>
        <v>800</v>
      </c>
      <c r="K162" s="25">
        <f t="array" ref="K162">INDEX(J$5:J$67,MATCH($B162,$B$5:$B$67,0))</f>
        <v>64</v>
      </c>
      <c r="L162" s="25">
        <f t="shared" si="156"/>
        <v>16352</v>
      </c>
      <c r="M162" s="25">
        <f t="shared" si="157"/>
        <v>2102</v>
      </c>
      <c r="N162" s="25">
        <f t="shared" si="158"/>
        <v>1682</v>
      </c>
      <c r="O162" s="25">
        <f t="shared" si="159"/>
        <v>2336</v>
      </c>
      <c r="R162" s="50">
        <f t="array" ref="R162">INDEX($B$46:$B$68,MATCH(S162,$C$46:$C$68,0))*1000+T162</f>
        <v>1004003</v>
      </c>
      <c r="S162" s="51" t="s">
        <v>324</v>
      </c>
      <c r="T162" s="29">
        <f t="shared" si="78"/>
        <v>3</v>
      </c>
      <c r="U162" s="25">
        <f t="array" ref="U162">INDEX(K$5:K$67,MATCH($S162,$B$5:$B$67,0))</f>
        <v>506.09</v>
      </c>
      <c r="V162" s="25">
        <f t="array" ref="V162">INDEX(L$5:L$67,MATCH($S162,$B$5:$B$67,0))</f>
        <v>72.4</v>
      </c>
      <c r="W162" s="25">
        <f t="array" ref="W162">INDEX(M$5:M$67,MATCH($S162,$B$5:$B$67,0))</f>
        <v>94.08</v>
      </c>
      <c r="X162" s="25">
        <f t="array" ref="X162">INDEX(N$5:N$67,MATCH($S162,$B$5:$B$67,0))</f>
        <v>88.83</v>
      </c>
      <c r="Y162" s="25">
        <f t="shared" si="160"/>
        <v>1518</v>
      </c>
      <c r="Z162" s="25">
        <f t="shared" si="161"/>
        <v>217</v>
      </c>
      <c r="AA162" s="25">
        <f t="shared" si="162"/>
        <v>282</v>
      </c>
      <c r="AB162" s="25">
        <f t="shared" si="163"/>
        <v>266</v>
      </c>
      <c r="AF162" s="25">
        <v>84</v>
      </c>
      <c r="AG162" s="25">
        <f t="array" ref="AG162">INDEX($AE$79:$AE$116,QUOTIENT(AF162-1,8)+1)</f>
        <v>1012</v>
      </c>
      <c r="AH162" s="25">
        <f t="shared" si="192"/>
        <v>4</v>
      </c>
      <c r="AI162" s="25">
        <f t="shared" si="164"/>
        <v>10124</v>
      </c>
      <c r="AJ162" s="25" t="str">
        <f t="shared" si="165"/>
        <v>艾德琳</v>
      </c>
      <c r="AK162" s="25">
        <f t="shared" si="193"/>
        <v>2</v>
      </c>
      <c r="AL162" s="25" t="str">
        <f t="array" ref="AL162">INDEX($O$5:$O$42,MATCH(AJ162,$B$5:$B$42,0))</f>
        <v>攻击百分比</v>
      </c>
      <c r="AM162" s="25" t="str">
        <f t="array" ref="AM162">INDEX($P$5:$P$42,MATCH(AJ162,$B$5:$B$42,0))</f>
        <v>能量回复等级</v>
      </c>
      <c r="AN162" s="25" t="str">
        <f t="array" ref="AN162">INDEX($Q$5:$Q$42,MATCH(AJ162,$B$5:$B$42,0))</f>
        <v>技能冷却等级</v>
      </c>
      <c r="AO162" s="25" t="str">
        <f t="array" ref="AO162">INDEX(AL162:AN162,0,AK162)</f>
        <v>能量回复等级</v>
      </c>
      <c r="AP162" s="25">
        <f t="shared" si="151"/>
        <v>0.15</v>
      </c>
      <c r="AQ162" s="25">
        <f t="shared" si="166"/>
        <v>1350</v>
      </c>
      <c r="AR162" s="25" t="str">
        <f t="shared" ref="AR162:BZ162" si="216">IF(AR$78=$AO162,$AQ162,"0")</f>
        <v>0</v>
      </c>
      <c r="AS162" s="25" t="str">
        <f t="shared" si="216"/>
        <v>0</v>
      </c>
      <c r="AT162" s="25" t="str">
        <f t="shared" si="216"/>
        <v>0</v>
      </c>
      <c r="AU162" s="25" t="str">
        <f t="shared" si="216"/>
        <v>0</v>
      </c>
      <c r="AV162" s="25" t="str">
        <f t="shared" si="216"/>
        <v>0</v>
      </c>
      <c r="AW162" s="25" t="str">
        <f t="shared" si="216"/>
        <v>0</v>
      </c>
      <c r="AX162" s="25" t="str">
        <f t="shared" si="216"/>
        <v>0</v>
      </c>
      <c r="AY162" s="25" t="str">
        <f t="shared" si="216"/>
        <v>0</v>
      </c>
      <c r="AZ162" s="25" t="str">
        <f t="shared" si="216"/>
        <v>0</v>
      </c>
      <c r="BA162" s="25" t="str">
        <f t="shared" si="216"/>
        <v>0</v>
      </c>
      <c r="BB162" s="25" t="str">
        <f t="shared" si="216"/>
        <v>0</v>
      </c>
      <c r="BC162" s="25" t="str">
        <f t="shared" si="216"/>
        <v>0</v>
      </c>
      <c r="BD162" s="25" t="str">
        <f t="shared" si="216"/>
        <v>0</v>
      </c>
      <c r="BE162" s="25" t="str">
        <f t="shared" si="216"/>
        <v>0</v>
      </c>
      <c r="BF162" s="25" t="str">
        <f t="shared" si="216"/>
        <v>0</v>
      </c>
      <c r="BG162" s="25" t="str">
        <f t="shared" si="216"/>
        <v>0</v>
      </c>
      <c r="BH162" s="25" t="str">
        <f t="shared" si="216"/>
        <v>0</v>
      </c>
      <c r="BI162" s="25" t="str">
        <f t="shared" si="216"/>
        <v>0</v>
      </c>
      <c r="BJ162" s="25" t="str">
        <f t="shared" si="216"/>
        <v>0</v>
      </c>
      <c r="BK162" s="25" t="str">
        <f t="shared" si="216"/>
        <v>0</v>
      </c>
      <c r="BL162" s="25" t="str">
        <f t="shared" si="216"/>
        <v>0</v>
      </c>
      <c r="BM162" s="25" t="str">
        <f t="shared" si="216"/>
        <v>0</v>
      </c>
      <c r="BN162" s="25" t="str">
        <f t="shared" si="216"/>
        <v>0</v>
      </c>
      <c r="BO162" s="25" t="str">
        <f t="shared" si="216"/>
        <v>0</v>
      </c>
      <c r="BP162" s="25" t="str">
        <f t="shared" si="216"/>
        <v>0</v>
      </c>
      <c r="BQ162" s="25" t="str">
        <f t="shared" si="216"/>
        <v>0</v>
      </c>
      <c r="BR162" s="25" t="str">
        <f t="shared" si="216"/>
        <v>0</v>
      </c>
      <c r="BS162" s="25" t="str">
        <f t="shared" si="216"/>
        <v>0</v>
      </c>
      <c r="BT162" s="25" t="str">
        <f t="shared" si="216"/>
        <v>0</v>
      </c>
      <c r="BU162" s="25" t="str">
        <f t="shared" si="216"/>
        <v>0</v>
      </c>
      <c r="BV162" s="25" t="str">
        <f t="shared" si="216"/>
        <v>0</v>
      </c>
      <c r="BW162" s="25" t="str">
        <f t="shared" si="216"/>
        <v>0</v>
      </c>
      <c r="BX162" s="25" t="str">
        <f t="shared" si="216"/>
        <v>0</v>
      </c>
      <c r="BY162" s="25">
        <f t="shared" si="216"/>
        <v>1350</v>
      </c>
      <c r="BZ162" s="25" t="str">
        <f t="shared" si="216"/>
        <v>0</v>
      </c>
      <c r="CC162" s="25" t="str">
        <f t="array" ref="CC162">INDEX($C$46:$C$74,MATCH(CD162,$B$46:$B$74,0))</f>
        <v>夏提拉</v>
      </c>
      <c r="CD162" s="1">
        <v>1013</v>
      </c>
      <c r="CE162" s="1">
        <v>6</v>
      </c>
      <c r="CF162" s="25" t="str">
        <f t="array" ref="CF162">INDEX($T$5:$T$44,MATCH(CC162,$B$5:$B$44,0))</f>
        <v>魔法</v>
      </c>
      <c r="CG162" s="25">
        <f t="shared" si="189"/>
        <v>0.3</v>
      </c>
      <c r="CH162" s="25">
        <f t="shared" si="168"/>
        <v>1.3</v>
      </c>
      <c r="CI162" s="25">
        <f t="shared" si="169"/>
        <v>1</v>
      </c>
      <c r="CJ162" s="25">
        <f t="shared" si="170"/>
        <v>1.3</v>
      </c>
      <c r="CK162" s="25">
        <f t="shared" si="171"/>
        <v>1.3</v>
      </c>
      <c r="CL162" s="25">
        <v>0</v>
      </c>
      <c r="CM162" s="25">
        <f t="shared" si="190"/>
        <v>0</v>
      </c>
      <c r="CN162" s="25">
        <f t="shared" si="172"/>
        <v>0</v>
      </c>
      <c r="CO162" s="25">
        <f t="shared" si="173"/>
        <v>0</v>
      </c>
      <c r="CP162" s="29" t="str">
        <f t="shared" ref="CP162:DQ162" si="217">IF($CL162=CP$78,$CN162,"0")</f>
        <v>0</v>
      </c>
      <c r="CQ162" s="29" t="str">
        <f t="shared" si="217"/>
        <v>0</v>
      </c>
      <c r="CR162" s="29" t="str">
        <f t="shared" si="217"/>
        <v>0</v>
      </c>
      <c r="CS162" s="29" t="str">
        <f t="shared" si="217"/>
        <v>0</v>
      </c>
      <c r="CT162" s="29" t="str">
        <f t="shared" si="217"/>
        <v>0</v>
      </c>
      <c r="CU162" s="29" t="str">
        <f t="shared" si="217"/>
        <v>0</v>
      </c>
      <c r="CV162" s="29" t="str">
        <f t="shared" si="217"/>
        <v>0</v>
      </c>
      <c r="CW162" s="29" t="str">
        <f t="shared" si="217"/>
        <v>0</v>
      </c>
      <c r="CX162" s="29" t="str">
        <f t="shared" si="217"/>
        <v>0</v>
      </c>
      <c r="CY162" s="29" t="str">
        <f t="shared" si="217"/>
        <v>0</v>
      </c>
      <c r="CZ162" s="29" t="str">
        <f t="shared" si="217"/>
        <v>0</v>
      </c>
      <c r="DA162" s="29" t="str">
        <f t="shared" si="217"/>
        <v>0</v>
      </c>
      <c r="DB162" s="29" t="str">
        <f t="shared" si="217"/>
        <v>0</v>
      </c>
      <c r="DC162" s="29" t="str">
        <f t="shared" si="217"/>
        <v>0</v>
      </c>
      <c r="DD162" s="29" t="str">
        <f t="shared" si="217"/>
        <v>0</v>
      </c>
      <c r="DE162" s="29" t="str">
        <f t="shared" si="217"/>
        <v>0</v>
      </c>
      <c r="DF162" s="29" t="str">
        <f t="shared" si="217"/>
        <v>0</v>
      </c>
      <c r="DG162" s="29" t="str">
        <f t="shared" si="217"/>
        <v>0</v>
      </c>
      <c r="DH162" s="29" t="str">
        <f t="shared" si="217"/>
        <v>0</v>
      </c>
      <c r="DI162" s="29" t="str">
        <f t="shared" si="217"/>
        <v>0</v>
      </c>
      <c r="DJ162" s="29" t="str">
        <f t="shared" si="217"/>
        <v>0</v>
      </c>
      <c r="DK162" s="29" t="str">
        <f t="shared" si="217"/>
        <v>0</v>
      </c>
      <c r="DL162" s="29" t="str">
        <f t="shared" si="217"/>
        <v>0</v>
      </c>
      <c r="DM162" s="29" t="str">
        <f t="shared" si="217"/>
        <v>0</v>
      </c>
      <c r="DN162" s="29" t="str">
        <f t="shared" si="217"/>
        <v>0</v>
      </c>
      <c r="DO162" s="29" t="str">
        <f t="shared" si="217"/>
        <v>0</v>
      </c>
      <c r="DP162" s="29" t="str">
        <f t="shared" si="217"/>
        <v>0</v>
      </c>
      <c r="DQ162" s="29" t="str">
        <f t="shared" si="217"/>
        <v>0</v>
      </c>
      <c r="DR162" s="29"/>
      <c r="DS162" s="25">
        <v>0</v>
      </c>
      <c r="EE162" s="25" t="str">
        <f t="shared" si="175"/>
        <v>0</v>
      </c>
    </row>
    <row r="163" spans="1:135">
      <c r="A163" s="53">
        <v>1002025</v>
      </c>
      <c r="B163" s="49" t="s">
        <v>318</v>
      </c>
      <c r="C163" s="25">
        <f t="shared" si="146"/>
        <v>25</v>
      </c>
      <c r="D163" s="25">
        <f t="array" ref="D163">INDEX(C$5:C$67,MATCH($B163,$B$5:$B$67,0))</f>
        <v>5600</v>
      </c>
      <c r="E163" s="25">
        <f t="array" ref="E163">INDEX(D$5:D$67,MATCH($B163,$B$5:$B$67,0))</f>
        <v>448</v>
      </c>
      <c r="F163" s="25">
        <f t="array" ref="F163">INDEX(E$5:E$67,MATCH($B163,$B$5:$B$67,0))</f>
        <v>720</v>
      </c>
      <c r="G163" s="25">
        <f t="array" ref="G163">INDEX(F$5:F$67,MATCH($B163,$B$5:$B$67,0))</f>
        <v>57.6</v>
      </c>
      <c r="H163" s="25">
        <f t="array" ref="H163">INDEX(G$5:G$66,MATCH($B163,$B$5:$B$67,0))</f>
        <v>576</v>
      </c>
      <c r="I163" s="25">
        <f t="array" ref="I163">INDEX(H$5:H$67,MATCH($B163,$B$5:$B$67,0))</f>
        <v>46.08</v>
      </c>
      <c r="J163" s="25">
        <f t="array" ref="J163">INDEX(I$5:I$67,MATCH($B163,$B$5:$B$67,0))</f>
        <v>800</v>
      </c>
      <c r="K163" s="25">
        <f t="array" ref="K163">INDEX(J$5:J$67,MATCH($B163,$B$5:$B$67,0))</f>
        <v>64</v>
      </c>
      <c r="L163" s="25">
        <f t="shared" si="156"/>
        <v>16800</v>
      </c>
      <c r="M163" s="25">
        <f t="shared" si="157"/>
        <v>2160</v>
      </c>
      <c r="N163" s="25">
        <f t="shared" si="158"/>
        <v>1728</v>
      </c>
      <c r="O163" s="25">
        <f t="shared" si="159"/>
        <v>2400</v>
      </c>
      <c r="R163" s="50">
        <f t="array" ref="R163">INDEX($B$46:$B$68,MATCH(S163,$C$46:$C$68,0))*1000+T163</f>
        <v>1004004</v>
      </c>
      <c r="S163" s="51" t="s">
        <v>324</v>
      </c>
      <c r="T163" s="29">
        <f t="shared" si="78"/>
        <v>4</v>
      </c>
      <c r="U163" s="25">
        <f t="array" ref="U163">INDEX(K$5:K$67,MATCH($S163,$B$5:$B$67,0))</f>
        <v>506.09</v>
      </c>
      <c r="V163" s="25">
        <f t="array" ref="V163">INDEX(L$5:L$67,MATCH($S163,$B$5:$B$67,0))</f>
        <v>72.4</v>
      </c>
      <c r="W163" s="25">
        <f t="array" ref="W163">INDEX(M$5:M$67,MATCH($S163,$B$5:$B$67,0))</f>
        <v>94.08</v>
      </c>
      <c r="X163" s="25">
        <f t="array" ref="X163">INDEX(N$5:N$67,MATCH($S163,$B$5:$B$67,0))</f>
        <v>88.83</v>
      </c>
      <c r="Y163" s="25">
        <f t="shared" si="160"/>
        <v>2024</v>
      </c>
      <c r="Z163" s="25">
        <f t="shared" si="161"/>
        <v>290</v>
      </c>
      <c r="AA163" s="25">
        <f t="shared" si="162"/>
        <v>376</v>
      </c>
      <c r="AB163" s="25">
        <f t="shared" si="163"/>
        <v>355</v>
      </c>
      <c r="AF163" s="25">
        <v>85</v>
      </c>
      <c r="AG163" s="25">
        <f t="array" ref="AG163">INDEX($AE$79:$AE$116,QUOTIENT(AF163-1,8)+1)</f>
        <v>1012</v>
      </c>
      <c r="AH163" s="25">
        <f t="shared" si="192"/>
        <v>5</v>
      </c>
      <c r="AI163" s="25">
        <f t="shared" si="164"/>
        <v>10125</v>
      </c>
      <c r="AJ163" s="25" t="str">
        <f t="shared" si="165"/>
        <v>艾德琳</v>
      </c>
      <c r="AK163" s="25">
        <f t="shared" si="193"/>
        <v>3</v>
      </c>
      <c r="AL163" s="25" t="str">
        <f t="array" ref="AL163">INDEX($O$5:$O$42,MATCH(AJ163,$B$5:$B$42,0))</f>
        <v>攻击百分比</v>
      </c>
      <c r="AM163" s="25" t="str">
        <f t="array" ref="AM163">INDEX($P$5:$P$42,MATCH(AJ163,$B$5:$B$42,0))</f>
        <v>能量回复等级</v>
      </c>
      <c r="AN163" s="25" t="str">
        <f t="array" ref="AN163">INDEX($Q$5:$Q$42,MATCH(AJ163,$B$5:$B$42,0))</f>
        <v>技能冷却等级</v>
      </c>
      <c r="AO163" s="25" t="str">
        <f t="array" ref="AO163">INDEX(AL163:AN163,0,AK163)</f>
        <v>技能冷却等级</v>
      </c>
      <c r="AP163" s="25">
        <f t="shared" si="151"/>
        <v>0.216666666666667</v>
      </c>
      <c r="AQ163" s="25">
        <f t="shared" si="166"/>
        <v>2816.66666666667</v>
      </c>
      <c r="AR163" s="25" t="str">
        <f t="shared" ref="AR163:BZ163" si="218">IF(AR$78=$AO163,$AQ163,"0")</f>
        <v>0</v>
      </c>
      <c r="AS163" s="25" t="str">
        <f t="shared" si="218"/>
        <v>0</v>
      </c>
      <c r="AT163" s="25" t="str">
        <f t="shared" si="218"/>
        <v>0</v>
      </c>
      <c r="AU163" s="25" t="str">
        <f t="shared" si="218"/>
        <v>0</v>
      </c>
      <c r="AV163" s="25" t="str">
        <f t="shared" si="218"/>
        <v>0</v>
      </c>
      <c r="AW163" s="25" t="str">
        <f t="shared" si="218"/>
        <v>0</v>
      </c>
      <c r="AX163" s="25" t="str">
        <f t="shared" si="218"/>
        <v>0</v>
      </c>
      <c r="AY163" s="25" t="str">
        <f t="shared" si="218"/>
        <v>0</v>
      </c>
      <c r="AZ163" s="25" t="str">
        <f t="shared" si="218"/>
        <v>0</v>
      </c>
      <c r="BA163" s="25" t="str">
        <f t="shared" si="218"/>
        <v>0</v>
      </c>
      <c r="BB163" s="25" t="str">
        <f t="shared" si="218"/>
        <v>0</v>
      </c>
      <c r="BC163" s="25" t="str">
        <f t="shared" si="218"/>
        <v>0</v>
      </c>
      <c r="BD163" s="25" t="str">
        <f t="shared" si="218"/>
        <v>0</v>
      </c>
      <c r="BE163" s="25" t="str">
        <f t="shared" si="218"/>
        <v>0</v>
      </c>
      <c r="BF163" s="25" t="str">
        <f t="shared" si="218"/>
        <v>0</v>
      </c>
      <c r="BG163" s="25" t="str">
        <f t="shared" si="218"/>
        <v>0</v>
      </c>
      <c r="BH163" s="25" t="str">
        <f t="shared" si="218"/>
        <v>0</v>
      </c>
      <c r="BI163" s="25" t="str">
        <f t="shared" si="218"/>
        <v>0</v>
      </c>
      <c r="BJ163" s="25" t="str">
        <f t="shared" si="218"/>
        <v>0</v>
      </c>
      <c r="BK163" s="25" t="str">
        <f t="shared" si="218"/>
        <v>0</v>
      </c>
      <c r="BL163" s="25" t="str">
        <f t="shared" si="218"/>
        <v>0</v>
      </c>
      <c r="BM163" s="25" t="str">
        <f t="shared" si="218"/>
        <v>0</v>
      </c>
      <c r="BN163" s="25" t="str">
        <f t="shared" si="218"/>
        <v>0</v>
      </c>
      <c r="BO163" s="25" t="str">
        <f t="shared" si="218"/>
        <v>0</v>
      </c>
      <c r="BP163" s="25" t="str">
        <f t="shared" si="218"/>
        <v>0</v>
      </c>
      <c r="BQ163" s="25" t="str">
        <f t="shared" si="218"/>
        <v>0</v>
      </c>
      <c r="BR163" s="25" t="str">
        <f t="shared" si="218"/>
        <v>0</v>
      </c>
      <c r="BS163" s="25" t="str">
        <f t="shared" si="218"/>
        <v>0</v>
      </c>
      <c r="BT163" s="25" t="str">
        <f t="shared" si="218"/>
        <v>0</v>
      </c>
      <c r="BU163" s="25" t="str">
        <f t="shared" si="218"/>
        <v>0</v>
      </c>
      <c r="BV163" s="25" t="str">
        <f t="shared" si="218"/>
        <v>0</v>
      </c>
      <c r="BW163" s="25" t="str">
        <f t="shared" si="218"/>
        <v>0</v>
      </c>
      <c r="BX163" s="25" t="str">
        <f t="shared" si="218"/>
        <v>0</v>
      </c>
      <c r="BY163" s="25" t="str">
        <f t="shared" si="218"/>
        <v>0</v>
      </c>
      <c r="BZ163" s="25">
        <f t="shared" si="218"/>
        <v>2816.66666666667</v>
      </c>
      <c r="CC163" s="25" t="str">
        <f t="array" ref="CC163">INDEX($C$46:$C$74,MATCH(CD163,$B$46:$B$74,0))</f>
        <v>克莉丝汀</v>
      </c>
      <c r="CD163" s="1">
        <v>1014</v>
      </c>
      <c r="CE163" s="1">
        <v>0</v>
      </c>
      <c r="CF163" s="25" t="str">
        <f t="array" ref="CF163">INDEX($T$5:$T$44,MATCH(CC163,$B$5:$B$44,0))</f>
        <v>物理</v>
      </c>
      <c r="CG163" s="25">
        <f t="shared" si="189"/>
        <v>0</v>
      </c>
      <c r="CH163" s="25">
        <f t="shared" si="168"/>
        <v>1</v>
      </c>
      <c r="CI163" s="25">
        <f t="shared" si="169"/>
        <v>1</v>
      </c>
      <c r="CJ163" s="25">
        <f t="shared" si="170"/>
        <v>1</v>
      </c>
      <c r="CK163" s="25">
        <f t="shared" si="171"/>
        <v>1</v>
      </c>
      <c r="CL163" s="25">
        <v>0</v>
      </c>
      <c r="CM163" s="25">
        <f t="shared" si="190"/>
        <v>0</v>
      </c>
      <c r="CN163" s="25">
        <f t="shared" si="172"/>
        <v>0</v>
      </c>
      <c r="CO163" s="25">
        <f t="shared" si="173"/>
        <v>0</v>
      </c>
      <c r="CP163" s="29" t="str">
        <f t="shared" ref="CP163:DQ163" si="219">IF($CL163=CP$78,$CN163,"0")</f>
        <v>0</v>
      </c>
      <c r="CQ163" s="29" t="str">
        <f t="shared" si="219"/>
        <v>0</v>
      </c>
      <c r="CR163" s="29" t="str">
        <f t="shared" si="219"/>
        <v>0</v>
      </c>
      <c r="CS163" s="29" t="str">
        <f t="shared" si="219"/>
        <v>0</v>
      </c>
      <c r="CT163" s="29" t="str">
        <f t="shared" si="219"/>
        <v>0</v>
      </c>
      <c r="CU163" s="29" t="str">
        <f t="shared" si="219"/>
        <v>0</v>
      </c>
      <c r="CV163" s="29" t="str">
        <f t="shared" si="219"/>
        <v>0</v>
      </c>
      <c r="CW163" s="29" t="str">
        <f t="shared" si="219"/>
        <v>0</v>
      </c>
      <c r="CX163" s="29" t="str">
        <f t="shared" si="219"/>
        <v>0</v>
      </c>
      <c r="CY163" s="29" t="str">
        <f t="shared" si="219"/>
        <v>0</v>
      </c>
      <c r="CZ163" s="29" t="str">
        <f t="shared" si="219"/>
        <v>0</v>
      </c>
      <c r="DA163" s="29" t="str">
        <f t="shared" si="219"/>
        <v>0</v>
      </c>
      <c r="DB163" s="29" t="str">
        <f t="shared" si="219"/>
        <v>0</v>
      </c>
      <c r="DC163" s="29" t="str">
        <f t="shared" si="219"/>
        <v>0</v>
      </c>
      <c r="DD163" s="29" t="str">
        <f t="shared" si="219"/>
        <v>0</v>
      </c>
      <c r="DE163" s="29" t="str">
        <f t="shared" si="219"/>
        <v>0</v>
      </c>
      <c r="DF163" s="29" t="str">
        <f t="shared" si="219"/>
        <v>0</v>
      </c>
      <c r="DG163" s="29" t="str">
        <f t="shared" si="219"/>
        <v>0</v>
      </c>
      <c r="DH163" s="29" t="str">
        <f t="shared" si="219"/>
        <v>0</v>
      </c>
      <c r="DI163" s="29" t="str">
        <f t="shared" si="219"/>
        <v>0</v>
      </c>
      <c r="DJ163" s="29" t="str">
        <f t="shared" si="219"/>
        <v>0</v>
      </c>
      <c r="DK163" s="29" t="str">
        <f t="shared" si="219"/>
        <v>0</v>
      </c>
      <c r="DL163" s="29" t="str">
        <f t="shared" si="219"/>
        <v>0</v>
      </c>
      <c r="DM163" s="29" t="str">
        <f t="shared" si="219"/>
        <v>0</v>
      </c>
      <c r="DN163" s="29" t="str">
        <f t="shared" si="219"/>
        <v>0</v>
      </c>
      <c r="DO163" s="29" t="str">
        <f t="shared" si="219"/>
        <v>0</v>
      </c>
      <c r="DP163" s="29" t="str">
        <f t="shared" si="219"/>
        <v>0</v>
      </c>
      <c r="DQ163" s="29" t="str">
        <f t="shared" si="219"/>
        <v>0</v>
      </c>
      <c r="DR163" s="29"/>
      <c r="DS163" s="25">
        <v>0</v>
      </c>
      <c r="EE163" s="25" t="str">
        <f t="shared" si="175"/>
        <v>0</v>
      </c>
    </row>
    <row r="164" spans="1:135">
      <c r="A164" s="53">
        <v>1002026</v>
      </c>
      <c r="B164" s="49" t="s">
        <v>318</v>
      </c>
      <c r="C164" s="25">
        <f t="shared" si="146"/>
        <v>26</v>
      </c>
      <c r="D164" s="25">
        <f t="array" ref="D164">INDEX(C$5:C$67,MATCH($B164,$B$5:$B$67,0))</f>
        <v>5600</v>
      </c>
      <c r="E164" s="25">
        <f t="array" ref="E164">INDEX(D$5:D$67,MATCH($B164,$B$5:$B$67,0))</f>
        <v>448</v>
      </c>
      <c r="F164" s="25">
        <f t="array" ref="F164">INDEX(E$5:E$67,MATCH($B164,$B$5:$B$67,0))</f>
        <v>720</v>
      </c>
      <c r="G164" s="25">
        <f t="array" ref="G164">INDEX(F$5:F$67,MATCH($B164,$B$5:$B$67,0))</f>
        <v>57.6</v>
      </c>
      <c r="H164" s="25">
        <f t="array" ref="H164">INDEX(G$5:G$66,MATCH($B164,$B$5:$B$67,0))</f>
        <v>576</v>
      </c>
      <c r="I164" s="25">
        <f t="array" ref="I164">INDEX(H$5:H$67,MATCH($B164,$B$5:$B$67,0))</f>
        <v>46.08</v>
      </c>
      <c r="J164" s="25">
        <f t="array" ref="J164">INDEX(I$5:I$67,MATCH($B164,$B$5:$B$67,0))</f>
        <v>800</v>
      </c>
      <c r="K164" s="25">
        <f t="array" ref="K164">INDEX(J$5:J$67,MATCH($B164,$B$5:$B$67,0))</f>
        <v>64</v>
      </c>
      <c r="L164" s="25">
        <f t="shared" si="156"/>
        <v>17248</v>
      </c>
      <c r="M164" s="25">
        <f t="shared" si="157"/>
        <v>2218</v>
      </c>
      <c r="N164" s="25">
        <f t="shared" si="158"/>
        <v>1774</v>
      </c>
      <c r="O164" s="25">
        <f t="shared" si="159"/>
        <v>2464</v>
      </c>
      <c r="R164" s="50">
        <f t="array" ref="R164">INDEX($B$46:$B$68,MATCH(S164,$C$46:$C$68,0))*1000+T164</f>
        <v>1004005</v>
      </c>
      <c r="S164" s="51" t="s">
        <v>324</v>
      </c>
      <c r="T164" s="29">
        <f t="shared" si="78"/>
        <v>5</v>
      </c>
      <c r="U164" s="25">
        <f t="array" ref="U164">INDEX(K$5:K$67,MATCH($S164,$B$5:$B$67,0))</f>
        <v>506.09</v>
      </c>
      <c r="V164" s="25">
        <f t="array" ref="V164">INDEX(L$5:L$67,MATCH($S164,$B$5:$B$67,0))</f>
        <v>72.4</v>
      </c>
      <c r="W164" s="25">
        <f t="array" ref="W164">INDEX(M$5:M$67,MATCH($S164,$B$5:$B$67,0))</f>
        <v>94.08</v>
      </c>
      <c r="X164" s="25">
        <f t="array" ref="X164">INDEX(N$5:N$67,MATCH($S164,$B$5:$B$67,0))</f>
        <v>88.83</v>
      </c>
      <c r="Y164" s="25">
        <f t="shared" si="160"/>
        <v>2530</v>
      </c>
      <c r="Z164" s="25">
        <f t="shared" si="161"/>
        <v>362</v>
      </c>
      <c r="AA164" s="25">
        <f t="shared" si="162"/>
        <v>470</v>
      </c>
      <c r="AB164" s="25">
        <f t="shared" si="163"/>
        <v>444</v>
      </c>
      <c r="AF164" s="25">
        <v>86</v>
      </c>
      <c r="AG164" s="25">
        <f t="array" ref="AG164">INDEX($AE$79:$AE$116,QUOTIENT(AF164-1,8)+1)</f>
        <v>1012</v>
      </c>
      <c r="AH164" s="25">
        <f t="shared" si="192"/>
        <v>6</v>
      </c>
      <c r="AI164" s="25">
        <f t="shared" si="164"/>
        <v>10126</v>
      </c>
      <c r="AJ164" s="25" t="str">
        <f t="shared" si="165"/>
        <v>艾德琳</v>
      </c>
      <c r="AK164" s="25">
        <f t="shared" si="193"/>
        <v>1</v>
      </c>
      <c r="AL164" s="25" t="str">
        <f t="array" ref="AL164">INDEX($O$5:$O$42,MATCH(AJ164,$B$5:$B$42,0))</f>
        <v>攻击百分比</v>
      </c>
      <c r="AM164" s="25" t="str">
        <f t="array" ref="AM164">INDEX($P$5:$P$42,MATCH(AJ164,$B$5:$B$42,0))</f>
        <v>能量回复等级</v>
      </c>
      <c r="AN164" s="25" t="str">
        <f t="array" ref="AN164">INDEX($Q$5:$Q$42,MATCH(AJ164,$B$5:$B$42,0))</f>
        <v>技能冷却等级</v>
      </c>
      <c r="AO164" s="25" t="str">
        <f t="array" ref="AO164">INDEX(AL164:AN164,0,AK164)</f>
        <v>攻击百分比</v>
      </c>
      <c r="AP164" s="25">
        <f t="shared" si="151"/>
        <v>0.216666666666667</v>
      </c>
      <c r="AQ164" s="25">
        <f t="shared" si="166"/>
        <v>0.216666666666667</v>
      </c>
      <c r="AR164" s="25" t="str">
        <f t="shared" ref="AR164:BZ164" si="220">IF(AR$78=$AO164,$AQ164,"0")</f>
        <v>0</v>
      </c>
      <c r="AS164" s="25" t="str">
        <f t="shared" si="220"/>
        <v>0</v>
      </c>
      <c r="AT164" s="25" t="str">
        <f t="shared" si="220"/>
        <v>0</v>
      </c>
      <c r="AU164" s="25">
        <f t="shared" si="220"/>
        <v>0.216666666666667</v>
      </c>
      <c r="AV164" s="25" t="str">
        <f t="shared" si="220"/>
        <v>0</v>
      </c>
      <c r="AW164" s="25">
        <f t="shared" si="220"/>
        <v>0.216666666666667</v>
      </c>
      <c r="AX164" s="25" t="str">
        <f t="shared" si="220"/>
        <v>0</v>
      </c>
      <c r="AY164" s="25" t="str">
        <f t="shared" si="220"/>
        <v>0</v>
      </c>
      <c r="AZ164" s="25" t="str">
        <f t="shared" si="220"/>
        <v>0</v>
      </c>
      <c r="BA164" s="25" t="str">
        <f t="shared" si="220"/>
        <v>0</v>
      </c>
      <c r="BB164" s="25" t="str">
        <f t="shared" si="220"/>
        <v>0</v>
      </c>
      <c r="BC164" s="25" t="str">
        <f t="shared" si="220"/>
        <v>0</v>
      </c>
      <c r="BD164" s="25" t="str">
        <f t="shared" si="220"/>
        <v>0</v>
      </c>
      <c r="BE164" s="25" t="str">
        <f t="shared" si="220"/>
        <v>0</v>
      </c>
      <c r="BF164" s="25" t="str">
        <f t="shared" si="220"/>
        <v>0</v>
      </c>
      <c r="BG164" s="25" t="str">
        <f t="shared" si="220"/>
        <v>0</v>
      </c>
      <c r="BH164" s="25" t="str">
        <f t="shared" si="220"/>
        <v>0</v>
      </c>
      <c r="BI164" s="25" t="str">
        <f t="shared" si="220"/>
        <v>0</v>
      </c>
      <c r="BJ164" s="25" t="str">
        <f t="shared" si="220"/>
        <v>0</v>
      </c>
      <c r="BK164" s="25" t="str">
        <f t="shared" si="220"/>
        <v>0</v>
      </c>
      <c r="BL164" s="25" t="str">
        <f t="shared" si="220"/>
        <v>0</v>
      </c>
      <c r="BM164" s="25" t="str">
        <f t="shared" si="220"/>
        <v>0</v>
      </c>
      <c r="BN164" s="25" t="str">
        <f t="shared" si="220"/>
        <v>0</v>
      </c>
      <c r="BO164" s="25" t="str">
        <f t="shared" si="220"/>
        <v>0</v>
      </c>
      <c r="BP164" s="25" t="str">
        <f t="shared" si="220"/>
        <v>0</v>
      </c>
      <c r="BQ164" s="25" t="str">
        <f t="shared" si="220"/>
        <v>0</v>
      </c>
      <c r="BR164" s="25" t="str">
        <f t="shared" si="220"/>
        <v>0</v>
      </c>
      <c r="BS164" s="25" t="str">
        <f t="shared" si="220"/>
        <v>0</v>
      </c>
      <c r="BT164" s="25" t="str">
        <f t="shared" si="220"/>
        <v>0</v>
      </c>
      <c r="BU164" s="25" t="str">
        <f t="shared" si="220"/>
        <v>0</v>
      </c>
      <c r="BV164" s="25" t="str">
        <f t="shared" si="220"/>
        <v>0</v>
      </c>
      <c r="BW164" s="25" t="str">
        <f t="shared" si="220"/>
        <v>0</v>
      </c>
      <c r="BX164" s="25" t="str">
        <f t="shared" si="220"/>
        <v>0</v>
      </c>
      <c r="BY164" s="25" t="str">
        <f t="shared" si="220"/>
        <v>0</v>
      </c>
      <c r="BZ164" s="25" t="str">
        <f t="shared" si="220"/>
        <v>0</v>
      </c>
      <c r="CC164" s="25" t="str">
        <f t="array" ref="CC164">INDEX($C$46:$C$74,MATCH(CD164,$B$46:$B$74,0))</f>
        <v>克莉丝汀</v>
      </c>
      <c r="CD164" s="1">
        <v>1014</v>
      </c>
      <c r="CE164" s="1">
        <v>1</v>
      </c>
      <c r="CF164" s="25" t="str">
        <f t="array" ref="CF164">INDEX($T$5:$T$44,MATCH(CC164,$B$5:$B$44,0))</f>
        <v>物理</v>
      </c>
      <c r="CG164" s="25">
        <f t="shared" si="189"/>
        <v>0</v>
      </c>
      <c r="CH164" s="25">
        <f t="shared" si="168"/>
        <v>1</v>
      </c>
      <c r="CI164" s="25">
        <f t="shared" si="169"/>
        <v>1</v>
      </c>
      <c r="CJ164" s="25">
        <f t="shared" si="170"/>
        <v>1</v>
      </c>
      <c r="CK164" s="25">
        <f t="shared" si="171"/>
        <v>1</v>
      </c>
      <c r="CL164" s="25">
        <v>0</v>
      </c>
      <c r="CM164" s="25">
        <f t="shared" si="190"/>
        <v>0</v>
      </c>
      <c r="CN164" s="25">
        <f t="shared" si="172"/>
        <v>0</v>
      </c>
      <c r="CO164" s="25">
        <f t="shared" si="173"/>
        <v>0</v>
      </c>
      <c r="CP164" s="29" t="str">
        <f t="shared" ref="CP164:DQ164" si="221">IF($CL164=CP$78,$CN164,"0")</f>
        <v>0</v>
      </c>
      <c r="CQ164" s="29" t="str">
        <f t="shared" si="221"/>
        <v>0</v>
      </c>
      <c r="CR164" s="29" t="str">
        <f t="shared" si="221"/>
        <v>0</v>
      </c>
      <c r="CS164" s="29" t="str">
        <f t="shared" si="221"/>
        <v>0</v>
      </c>
      <c r="CT164" s="29" t="str">
        <f t="shared" si="221"/>
        <v>0</v>
      </c>
      <c r="CU164" s="29" t="str">
        <f t="shared" si="221"/>
        <v>0</v>
      </c>
      <c r="CV164" s="29" t="str">
        <f t="shared" si="221"/>
        <v>0</v>
      </c>
      <c r="CW164" s="29" t="str">
        <f t="shared" si="221"/>
        <v>0</v>
      </c>
      <c r="CX164" s="29" t="str">
        <f t="shared" si="221"/>
        <v>0</v>
      </c>
      <c r="CY164" s="29" t="str">
        <f t="shared" si="221"/>
        <v>0</v>
      </c>
      <c r="CZ164" s="29" t="str">
        <f t="shared" si="221"/>
        <v>0</v>
      </c>
      <c r="DA164" s="29" t="str">
        <f t="shared" si="221"/>
        <v>0</v>
      </c>
      <c r="DB164" s="29" t="str">
        <f t="shared" si="221"/>
        <v>0</v>
      </c>
      <c r="DC164" s="29" t="str">
        <f t="shared" si="221"/>
        <v>0</v>
      </c>
      <c r="DD164" s="29" t="str">
        <f t="shared" si="221"/>
        <v>0</v>
      </c>
      <c r="DE164" s="29" t="str">
        <f t="shared" si="221"/>
        <v>0</v>
      </c>
      <c r="DF164" s="29" t="str">
        <f t="shared" si="221"/>
        <v>0</v>
      </c>
      <c r="DG164" s="29" t="str">
        <f t="shared" si="221"/>
        <v>0</v>
      </c>
      <c r="DH164" s="29" t="str">
        <f t="shared" si="221"/>
        <v>0</v>
      </c>
      <c r="DI164" s="29" t="str">
        <f t="shared" si="221"/>
        <v>0</v>
      </c>
      <c r="DJ164" s="29" t="str">
        <f t="shared" si="221"/>
        <v>0</v>
      </c>
      <c r="DK164" s="29" t="str">
        <f t="shared" si="221"/>
        <v>0</v>
      </c>
      <c r="DL164" s="29" t="str">
        <f t="shared" si="221"/>
        <v>0</v>
      </c>
      <c r="DM164" s="29" t="str">
        <f t="shared" si="221"/>
        <v>0</v>
      </c>
      <c r="DN164" s="29" t="str">
        <f t="shared" si="221"/>
        <v>0</v>
      </c>
      <c r="DO164" s="29" t="str">
        <f t="shared" si="221"/>
        <v>0</v>
      </c>
      <c r="DP164" s="29" t="str">
        <f t="shared" si="221"/>
        <v>0</v>
      </c>
      <c r="DQ164" s="29" t="str">
        <f t="shared" si="221"/>
        <v>0</v>
      </c>
      <c r="DR164" s="29"/>
      <c r="DS164" s="25">
        <v>0</v>
      </c>
      <c r="EE164" s="25" t="str">
        <f t="shared" si="175"/>
        <v>0</v>
      </c>
    </row>
    <row r="165" spans="1:135">
      <c r="A165" s="53">
        <v>1002027</v>
      </c>
      <c r="B165" s="49" t="s">
        <v>318</v>
      </c>
      <c r="C165" s="25">
        <f t="shared" si="146"/>
        <v>27</v>
      </c>
      <c r="D165" s="25">
        <f t="array" ref="D165">INDEX(C$5:C$67,MATCH($B165,$B$5:$B$67,0))</f>
        <v>5600</v>
      </c>
      <c r="E165" s="25">
        <f t="array" ref="E165">INDEX(D$5:D$67,MATCH($B165,$B$5:$B$67,0))</f>
        <v>448</v>
      </c>
      <c r="F165" s="25">
        <f t="array" ref="F165">INDEX(E$5:E$67,MATCH($B165,$B$5:$B$67,0))</f>
        <v>720</v>
      </c>
      <c r="G165" s="25">
        <f t="array" ref="G165">INDEX(F$5:F$67,MATCH($B165,$B$5:$B$67,0))</f>
        <v>57.6</v>
      </c>
      <c r="H165" s="25">
        <f t="array" ref="H165">INDEX(G$5:G$66,MATCH($B165,$B$5:$B$67,0))</f>
        <v>576</v>
      </c>
      <c r="I165" s="25">
        <f t="array" ref="I165">INDEX(H$5:H$67,MATCH($B165,$B$5:$B$67,0))</f>
        <v>46.08</v>
      </c>
      <c r="J165" s="25">
        <f t="array" ref="J165">INDEX(I$5:I$67,MATCH($B165,$B$5:$B$67,0))</f>
        <v>800</v>
      </c>
      <c r="K165" s="25">
        <f t="array" ref="K165">INDEX(J$5:J$67,MATCH($B165,$B$5:$B$67,0))</f>
        <v>64</v>
      </c>
      <c r="L165" s="25">
        <f t="shared" si="156"/>
        <v>17696</v>
      </c>
      <c r="M165" s="25">
        <f t="shared" si="157"/>
        <v>2275</v>
      </c>
      <c r="N165" s="25">
        <f t="shared" si="158"/>
        <v>1820</v>
      </c>
      <c r="O165" s="25">
        <f t="shared" si="159"/>
        <v>2528</v>
      </c>
      <c r="R165" s="50">
        <f t="array" ref="R165">INDEX($B$46:$B$68,MATCH(S165,$C$46:$C$68,0))*1000+T165</f>
        <v>1004006</v>
      </c>
      <c r="S165" s="51" t="s">
        <v>324</v>
      </c>
      <c r="T165" s="29">
        <f t="shared" si="78"/>
        <v>6</v>
      </c>
      <c r="U165" s="25">
        <f t="array" ref="U165">INDEX(K$5:K$67,MATCH($S165,$B$5:$B$67,0))</f>
        <v>506.09</v>
      </c>
      <c r="V165" s="25">
        <f t="array" ref="V165">INDEX(L$5:L$67,MATCH($S165,$B$5:$B$67,0))</f>
        <v>72.4</v>
      </c>
      <c r="W165" s="25">
        <f t="array" ref="W165">INDEX(M$5:M$67,MATCH($S165,$B$5:$B$67,0))</f>
        <v>94.08</v>
      </c>
      <c r="X165" s="25">
        <f t="array" ref="X165">INDEX(N$5:N$67,MATCH($S165,$B$5:$B$67,0))</f>
        <v>88.83</v>
      </c>
      <c r="Y165" s="25">
        <f t="shared" si="160"/>
        <v>3037</v>
      </c>
      <c r="Z165" s="25">
        <f t="shared" si="161"/>
        <v>434</v>
      </c>
      <c r="AA165" s="25">
        <f t="shared" si="162"/>
        <v>564</v>
      </c>
      <c r="AB165" s="25">
        <f t="shared" si="163"/>
        <v>533</v>
      </c>
      <c r="AF165" s="25">
        <v>87</v>
      </c>
      <c r="AG165" s="25">
        <f t="array" ref="AG165">INDEX($AE$79:$AE$116,QUOTIENT(AF165-1,8)+1)</f>
        <v>1012</v>
      </c>
      <c r="AH165" s="25">
        <f t="shared" si="192"/>
        <v>7</v>
      </c>
      <c r="AI165" s="25">
        <f t="shared" si="164"/>
        <v>10127</v>
      </c>
      <c r="AJ165" s="25" t="str">
        <f t="shared" si="165"/>
        <v>艾德琳</v>
      </c>
      <c r="AK165" s="25">
        <f t="shared" si="193"/>
        <v>2</v>
      </c>
      <c r="AL165" s="25" t="str">
        <f t="array" ref="AL165">INDEX($O$5:$O$42,MATCH(AJ165,$B$5:$B$42,0))</f>
        <v>攻击百分比</v>
      </c>
      <c r="AM165" s="25" t="str">
        <f t="array" ref="AM165">INDEX($P$5:$P$42,MATCH(AJ165,$B$5:$B$42,0))</f>
        <v>能量回复等级</v>
      </c>
      <c r="AN165" s="25" t="str">
        <f t="array" ref="AN165">INDEX($Q$5:$Q$42,MATCH(AJ165,$B$5:$B$42,0))</f>
        <v>技能冷却等级</v>
      </c>
      <c r="AO165" s="25" t="str">
        <f t="array" ref="AO165">INDEX(AL165:AN165,0,AK165)</f>
        <v>能量回复等级</v>
      </c>
      <c r="AP165" s="25">
        <f t="shared" si="151"/>
        <v>0.15</v>
      </c>
      <c r="AQ165" s="25">
        <f t="shared" si="166"/>
        <v>1350</v>
      </c>
      <c r="AR165" s="25" t="str">
        <f t="shared" ref="AR165:BZ165" si="222">IF(AR$78=$AO165,$AQ165,"0")</f>
        <v>0</v>
      </c>
      <c r="AS165" s="25" t="str">
        <f t="shared" si="222"/>
        <v>0</v>
      </c>
      <c r="AT165" s="25" t="str">
        <f t="shared" si="222"/>
        <v>0</v>
      </c>
      <c r="AU165" s="25" t="str">
        <f t="shared" si="222"/>
        <v>0</v>
      </c>
      <c r="AV165" s="25" t="str">
        <f t="shared" si="222"/>
        <v>0</v>
      </c>
      <c r="AW165" s="25" t="str">
        <f t="shared" si="222"/>
        <v>0</v>
      </c>
      <c r="AX165" s="25" t="str">
        <f t="shared" si="222"/>
        <v>0</v>
      </c>
      <c r="AY165" s="25" t="str">
        <f t="shared" si="222"/>
        <v>0</v>
      </c>
      <c r="AZ165" s="25" t="str">
        <f t="shared" si="222"/>
        <v>0</v>
      </c>
      <c r="BA165" s="25" t="str">
        <f t="shared" si="222"/>
        <v>0</v>
      </c>
      <c r="BB165" s="25" t="str">
        <f t="shared" si="222"/>
        <v>0</v>
      </c>
      <c r="BC165" s="25" t="str">
        <f t="shared" si="222"/>
        <v>0</v>
      </c>
      <c r="BD165" s="25" t="str">
        <f t="shared" si="222"/>
        <v>0</v>
      </c>
      <c r="BE165" s="25" t="str">
        <f t="shared" si="222"/>
        <v>0</v>
      </c>
      <c r="BF165" s="25" t="str">
        <f t="shared" si="222"/>
        <v>0</v>
      </c>
      <c r="BG165" s="25" t="str">
        <f t="shared" si="222"/>
        <v>0</v>
      </c>
      <c r="BH165" s="25" t="str">
        <f t="shared" si="222"/>
        <v>0</v>
      </c>
      <c r="BI165" s="25" t="str">
        <f t="shared" si="222"/>
        <v>0</v>
      </c>
      <c r="BJ165" s="25" t="str">
        <f t="shared" si="222"/>
        <v>0</v>
      </c>
      <c r="BK165" s="25" t="str">
        <f t="shared" si="222"/>
        <v>0</v>
      </c>
      <c r="BL165" s="25" t="str">
        <f t="shared" si="222"/>
        <v>0</v>
      </c>
      <c r="BM165" s="25" t="str">
        <f t="shared" si="222"/>
        <v>0</v>
      </c>
      <c r="BN165" s="25" t="str">
        <f t="shared" si="222"/>
        <v>0</v>
      </c>
      <c r="BO165" s="25" t="str">
        <f t="shared" si="222"/>
        <v>0</v>
      </c>
      <c r="BP165" s="25" t="str">
        <f t="shared" si="222"/>
        <v>0</v>
      </c>
      <c r="BQ165" s="25" t="str">
        <f t="shared" si="222"/>
        <v>0</v>
      </c>
      <c r="BR165" s="25" t="str">
        <f t="shared" si="222"/>
        <v>0</v>
      </c>
      <c r="BS165" s="25" t="str">
        <f t="shared" si="222"/>
        <v>0</v>
      </c>
      <c r="BT165" s="25" t="str">
        <f t="shared" si="222"/>
        <v>0</v>
      </c>
      <c r="BU165" s="25" t="str">
        <f t="shared" si="222"/>
        <v>0</v>
      </c>
      <c r="BV165" s="25" t="str">
        <f t="shared" si="222"/>
        <v>0</v>
      </c>
      <c r="BW165" s="25" t="str">
        <f t="shared" si="222"/>
        <v>0</v>
      </c>
      <c r="BX165" s="25" t="str">
        <f t="shared" si="222"/>
        <v>0</v>
      </c>
      <c r="BY165" s="25">
        <f t="shared" si="222"/>
        <v>1350</v>
      </c>
      <c r="BZ165" s="25" t="str">
        <f t="shared" si="222"/>
        <v>0</v>
      </c>
      <c r="CC165" s="25" t="str">
        <f t="array" ref="CC165">INDEX($C$46:$C$74,MATCH(CD165,$B$46:$B$74,0))</f>
        <v>克莉丝汀</v>
      </c>
      <c r="CD165" s="1">
        <v>1014</v>
      </c>
      <c r="CE165" s="1">
        <v>2</v>
      </c>
      <c r="CF165" s="25" t="str">
        <f t="array" ref="CF165">INDEX($T$5:$T$44,MATCH(CC165,$B$5:$B$44,0))</f>
        <v>物理</v>
      </c>
      <c r="CG165" s="25">
        <f t="shared" si="189"/>
        <v>0</v>
      </c>
      <c r="CH165" s="25">
        <f t="shared" si="168"/>
        <v>1</v>
      </c>
      <c r="CI165" s="25">
        <f t="shared" si="169"/>
        <v>1</v>
      </c>
      <c r="CJ165" s="25">
        <f t="shared" si="170"/>
        <v>1</v>
      </c>
      <c r="CK165" s="25">
        <f t="shared" si="171"/>
        <v>1</v>
      </c>
      <c r="CL165" s="25">
        <v>0</v>
      </c>
      <c r="CM165" s="25">
        <f t="shared" si="190"/>
        <v>0</v>
      </c>
      <c r="CN165" s="25">
        <f t="shared" si="172"/>
        <v>0</v>
      </c>
      <c r="CO165" s="25">
        <f t="shared" si="173"/>
        <v>0</v>
      </c>
      <c r="CP165" s="29" t="str">
        <f t="shared" ref="CP165:DQ165" si="223">IF($CL165=CP$78,$CN165,"0")</f>
        <v>0</v>
      </c>
      <c r="CQ165" s="29" t="str">
        <f t="shared" si="223"/>
        <v>0</v>
      </c>
      <c r="CR165" s="29" t="str">
        <f t="shared" si="223"/>
        <v>0</v>
      </c>
      <c r="CS165" s="29" t="str">
        <f t="shared" si="223"/>
        <v>0</v>
      </c>
      <c r="CT165" s="29" t="str">
        <f t="shared" si="223"/>
        <v>0</v>
      </c>
      <c r="CU165" s="29" t="str">
        <f t="shared" si="223"/>
        <v>0</v>
      </c>
      <c r="CV165" s="29" t="str">
        <f t="shared" si="223"/>
        <v>0</v>
      </c>
      <c r="CW165" s="29" t="str">
        <f t="shared" si="223"/>
        <v>0</v>
      </c>
      <c r="CX165" s="29" t="str">
        <f t="shared" si="223"/>
        <v>0</v>
      </c>
      <c r="CY165" s="29" t="str">
        <f t="shared" si="223"/>
        <v>0</v>
      </c>
      <c r="CZ165" s="29" t="str">
        <f t="shared" si="223"/>
        <v>0</v>
      </c>
      <c r="DA165" s="29" t="str">
        <f t="shared" si="223"/>
        <v>0</v>
      </c>
      <c r="DB165" s="29" t="str">
        <f t="shared" si="223"/>
        <v>0</v>
      </c>
      <c r="DC165" s="29" t="str">
        <f t="shared" si="223"/>
        <v>0</v>
      </c>
      <c r="DD165" s="29" t="str">
        <f t="shared" si="223"/>
        <v>0</v>
      </c>
      <c r="DE165" s="29" t="str">
        <f t="shared" si="223"/>
        <v>0</v>
      </c>
      <c r="DF165" s="29" t="str">
        <f t="shared" si="223"/>
        <v>0</v>
      </c>
      <c r="DG165" s="29" t="str">
        <f t="shared" si="223"/>
        <v>0</v>
      </c>
      <c r="DH165" s="29" t="str">
        <f t="shared" si="223"/>
        <v>0</v>
      </c>
      <c r="DI165" s="29" t="str">
        <f t="shared" si="223"/>
        <v>0</v>
      </c>
      <c r="DJ165" s="29" t="str">
        <f t="shared" si="223"/>
        <v>0</v>
      </c>
      <c r="DK165" s="29" t="str">
        <f t="shared" si="223"/>
        <v>0</v>
      </c>
      <c r="DL165" s="29" t="str">
        <f t="shared" si="223"/>
        <v>0</v>
      </c>
      <c r="DM165" s="29" t="str">
        <f t="shared" si="223"/>
        <v>0</v>
      </c>
      <c r="DN165" s="29" t="str">
        <f t="shared" si="223"/>
        <v>0</v>
      </c>
      <c r="DO165" s="29" t="str">
        <f t="shared" si="223"/>
        <v>0</v>
      </c>
      <c r="DP165" s="29" t="str">
        <f t="shared" si="223"/>
        <v>0</v>
      </c>
      <c r="DQ165" s="29" t="str">
        <f t="shared" si="223"/>
        <v>0</v>
      </c>
      <c r="DR165" s="29"/>
      <c r="DS165" s="25">
        <v>0</v>
      </c>
      <c r="EE165" s="25" t="str">
        <f t="shared" si="175"/>
        <v>0</v>
      </c>
    </row>
    <row r="166" spans="1:135">
      <c r="A166" s="53">
        <v>1002028</v>
      </c>
      <c r="B166" s="49" t="s">
        <v>318</v>
      </c>
      <c r="C166" s="25">
        <f t="shared" si="146"/>
        <v>28</v>
      </c>
      <c r="D166" s="25">
        <f t="array" ref="D166">INDEX(C$5:C$67,MATCH($B166,$B$5:$B$67,0))</f>
        <v>5600</v>
      </c>
      <c r="E166" s="25">
        <f t="array" ref="E166">INDEX(D$5:D$67,MATCH($B166,$B$5:$B$67,0))</f>
        <v>448</v>
      </c>
      <c r="F166" s="25">
        <f t="array" ref="F166">INDEX(E$5:E$67,MATCH($B166,$B$5:$B$67,0))</f>
        <v>720</v>
      </c>
      <c r="G166" s="25">
        <f t="array" ref="G166">INDEX(F$5:F$67,MATCH($B166,$B$5:$B$67,0))</f>
        <v>57.6</v>
      </c>
      <c r="H166" s="25">
        <f t="array" ref="H166">INDEX(G$5:G$66,MATCH($B166,$B$5:$B$67,0))</f>
        <v>576</v>
      </c>
      <c r="I166" s="25">
        <f t="array" ref="I166">INDEX(H$5:H$67,MATCH($B166,$B$5:$B$67,0))</f>
        <v>46.08</v>
      </c>
      <c r="J166" s="25">
        <f t="array" ref="J166">INDEX(I$5:I$67,MATCH($B166,$B$5:$B$67,0))</f>
        <v>800</v>
      </c>
      <c r="K166" s="25">
        <f t="array" ref="K166">INDEX(J$5:J$67,MATCH($B166,$B$5:$B$67,0))</f>
        <v>64</v>
      </c>
      <c r="L166" s="25">
        <f t="shared" si="156"/>
        <v>18144</v>
      </c>
      <c r="M166" s="25">
        <f t="shared" si="157"/>
        <v>2333</v>
      </c>
      <c r="N166" s="25">
        <f t="shared" si="158"/>
        <v>1866</v>
      </c>
      <c r="O166" s="25">
        <f t="shared" si="159"/>
        <v>2592</v>
      </c>
      <c r="R166" s="50">
        <f t="array" ref="R166">INDEX($B$46:$B$68,MATCH(S166,$C$46:$C$68,0))*1000+T166</f>
        <v>1004007</v>
      </c>
      <c r="S166" s="51" t="s">
        <v>324</v>
      </c>
      <c r="T166" s="29">
        <f t="shared" si="78"/>
        <v>7</v>
      </c>
      <c r="U166" s="25">
        <f t="array" ref="U166">INDEX(K$5:K$67,MATCH($S166,$B$5:$B$67,0))</f>
        <v>506.09</v>
      </c>
      <c r="V166" s="25">
        <f t="array" ref="V166">INDEX(L$5:L$67,MATCH($S166,$B$5:$B$67,0))</f>
        <v>72.4</v>
      </c>
      <c r="W166" s="25">
        <f t="array" ref="W166">INDEX(M$5:M$67,MATCH($S166,$B$5:$B$67,0))</f>
        <v>94.08</v>
      </c>
      <c r="X166" s="25">
        <f t="array" ref="X166">INDEX(N$5:N$67,MATCH($S166,$B$5:$B$67,0))</f>
        <v>88.83</v>
      </c>
      <c r="Y166" s="25">
        <f t="shared" si="160"/>
        <v>3543</v>
      </c>
      <c r="Z166" s="25">
        <f t="shared" si="161"/>
        <v>507</v>
      </c>
      <c r="AA166" s="25">
        <f t="shared" si="162"/>
        <v>659</v>
      </c>
      <c r="AB166" s="25">
        <f t="shared" si="163"/>
        <v>622</v>
      </c>
      <c r="AF166" s="25">
        <v>88</v>
      </c>
      <c r="AG166" s="25">
        <f t="array" ref="AG166">INDEX($AE$79:$AE$116,QUOTIENT(AF166-1,8)+1)</f>
        <v>1012</v>
      </c>
      <c r="AH166" s="25">
        <f t="shared" si="192"/>
        <v>8</v>
      </c>
      <c r="AI166" s="25">
        <f t="shared" si="164"/>
        <v>10128</v>
      </c>
      <c r="AJ166" s="25" t="str">
        <f t="shared" si="165"/>
        <v>艾德琳</v>
      </c>
      <c r="AK166" s="25">
        <f t="shared" si="193"/>
        <v>3</v>
      </c>
      <c r="AL166" s="25" t="str">
        <f t="array" ref="AL166">INDEX($O$5:$O$42,MATCH(AJ166,$B$5:$B$42,0))</f>
        <v>攻击百分比</v>
      </c>
      <c r="AM166" s="25" t="str">
        <f t="array" ref="AM166">INDEX($P$5:$P$42,MATCH(AJ166,$B$5:$B$42,0))</f>
        <v>能量回复等级</v>
      </c>
      <c r="AN166" s="25" t="str">
        <f t="array" ref="AN166">INDEX($Q$5:$Q$42,MATCH(AJ166,$B$5:$B$42,0))</f>
        <v>技能冷却等级</v>
      </c>
      <c r="AO166" s="25" t="str">
        <f t="array" ref="AO166">INDEX(AL166:AN166,0,AK166)</f>
        <v>技能冷却等级</v>
      </c>
      <c r="AP166" s="25">
        <f t="shared" si="151"/>
        <v>0.216666666666667</v>
      </c>
      <c r="AQ166" s="25">
        <f t="shared" si="166"/>
        <v>2816.66666666667</v>
      </c>
      <c r="AR166" s="25" t="str">
        <f t="shared" ref="AR166:BZ166" si="224">IF(AR$78=$AO166,$AQ166,"0")</f>
        <v>0</v>
      </c>
      <c r="AS166" s="25" t="str">
        <f t="shared" si="224"/>
        <v>0</v>
      </c>
      <c r="AT166" s="25" t="str">
        <f t="shared" si="224"/>
        <v>0</v>
      </c>
      <c r="AU166" s="25" t="str">
        <f t="shared" si="224"/>
        <v>0</v>
      </c>
      <c r="AV166" s="25" t="str">
        <f t="shared" si="224"/>
        <v>0</v>
      </c>
      <c r="AW166" s="25" t="str">
        <f t="shared" si="224"/>
        <v>0</v>
      </c>
      <c r="AX166" s="25" t="str">
        <f t="shared" si="224"/>
        <v>0</v>
      </c>
      <c r="AY166" s="25" t="str">
        <f t="shared" si="224"/>
        <v>0</v>
      </c>
      <c r="AZ166" s="25" t="str">
        <f t="shared" si="224"/>
        <v>0</v>
      </c>
      <c r="BA166" s="25" t="str">
        <f t="shared" si="224"/>
        <v>0</v>
      </c>
      <c r="BB166" s="25" t="str">
        <f t="shared" si="224"/>
        <v>0</v>
      </c>
      <c r="BC166" s="25" t="str">
        <f t="shared" si="224"/>
        <v>0</v>
      </c>
      <c r="BD166" s="25" t="str">
        <f t="shared" si="224"/>
        <v>0</v>
      </c>
      <c r="BE166" s="25" t="str">
        <f t="shared" si="224"/>
        <v>0</v>
      </c>
      <c r="BF166" s="25" t="str">
        <f t="shared" si="224"/>
        <v>0</v>
      </c>
      <c r="BG166" s="25" t="str">
        <f t="shared" si="224"/>
        <v>0</v>
      </c>
      <c r="BH166" s="25" t="str">
        <f t="shared" si="224"/>
        <v>0</v>
      </c>
      <c r="BI166" s="25" t="str">
        <f t="shared" si="224"/>
        <v>0</v>
      </c>
      <c r="BJ166" s="25" t="str">
        <f t="shared" si="224"/>
        <v>0</v>
      </c>
      <c r="BK166" s="25" t="str">
        <f t="shared" si="224"/>
        <v>0</v>
      </c>
      <c r="BL166" s="25" t="str">
        <f t="shared" si="224"/>
        <v>0</v>
      </c>
      <c r="BM166" s="25" t="str">
        <f t="shared" si="224"/>
        <v>0</v>
      </c>
      <c r="BN166" s="25" t="str">
        <f t="shared" si="224"/>
        <v>0</v>
      </c>
      <c r="BO166" s="25" t="str">
        <f t="shared" si="224"/>
        <v>0</v>
      </c>
      <c r="BP166" s="25" t="str">
        <f t="shared" si="224"/>
        <v>0</v>
      </c>
      <c r="BQ166" s="25" t="str">
        <f t="shared" si="224"/>
        <v>0</v>
      </c>
      <c r="BR166" s="25" t="str">
        <f t="shared" si="224"/>
        <v>0</v>
      </c>
      <c r="BS166" s="25" t="str">
        <f t="shared" si="224"/>
        <v>0</v>
      </c>
      <c r="BT166" s="25" t="str">
        <f t="shared" si="224"/>
        <v>0</v>
      </c>
      <c r="BU166" s="25" t="str">
        <f t="shared" si="224"/>
        <v>0</v>
      </c>
      <c r="BV166" s="25" t="str">
        <f t="shared" si="224"/>
        <v>0</v>
      </c>
      <c r="BW166" s="25" t="str">
        <f t="shared" si="224"/>
        <v>0</v>
      </c>
      <c r="BX166" s="25" t="str">
        <f t="shared" si="224"/>
        <v>0</v>
      </c>
      <c r="BY166" s="25" t="str">
        <f t="shared" si="224"/>
        <v>0</v>
      </c>
      <c r="BZ166" s="25">
        <f t="shared" si="224"/>
        <v>2816.66666666667</v>
      </c>
      <c r="CC166" s="25" t="str">
        <f t="array" ref="CC166">INDEX($C$46:$C$74,MATCH(CD166,$B$46:$B$74,0))</f>
        <v>克莉丝汀</v>
      </c>
      <c r="CD166" s="1">
        <v>1014</v>
      </c>
      <c r="CE166" s="1">
        <v>3</v>
      </c>
      <c r="CF166" s="25" t="str">
        <f t="array" ref="CF166">INDEX($T$5:$T$44,MATCH(CC166,$B$5:$B$44,0))</f>
        <v>物理</v>
      </c>
      <c r="CG166" s="25">
        <f t="shared" si="189"/>
        <v>0.15</v>
      </c>
      <c r="CH166" s="25">
        <f t="shared" si="168"/>
        <v>1.15</v>
      </c>
      <c r="CI166" s="25">
        <f t="shared" si="169"/>
        <v>1.15</v>
      </c>
      <c r="CJ166" s="25">
        <f t="shared" si="170"/>
        <v>1</v>
      </c>
      <c r="CK166" s="25">
        <f t="shared" si="171"/>
        <v>1.15</v>
      </c>
      <c r="CL166" s="25" t="str">
        <f t="array" ref="CL166">INDEX($R$5:$R$43,MATCH(CC166,$B$5:$B$43,0))</f>
        <v>物理伤害加成</v>
      </c>
      <c r="CM166" s="25">
        <f t="shared" si="190"/>
        <v>0.3</v>
      </c>
      <c r="CN166" s="25">
        <f t="shared" si="172"/>
        <v>0.12</v>
      </c>
      <c r="CO166" s="25">
        <f t="shared" si="173"/>
        <v>1</v>
      </c>
      <c r="CP166" s="29" t="str">
        <f t="shared" ref="CP166:DQ166" si="225">IF($CL166=CP$78,$CN166,"0")</f>
        <v>0</v>
      </c>
      <c r="CQ166" s="29" t="str">
        <f t="shared" si="225"/>
        <v>0</v>
      </c>
      <c r="CR166" s="29" t="str">
        <f t="shared" si="225"/>
        <v>0</v>
      </c>
      <c r="CS166" s="29" t="str">
        <f t="shared" si="225"/>
        <v>0</v>
      </c>
      <c r="CT166" s="29" t="str">
        <f t="shared" si="225"/>
        <v>0</v>
      </c>
      <c r="CU166" s="29" t="str">
        <f t="shared" si="225"/>
        <v>0</v>
      </c>
      <c r="CV166" s="29" t="str">
        <f t="shared" si="225"/>
        <v>0</v>
      </c>
      <c r="CW166" s="29" t="str">
        <f t="shared" si="225"/>
        <v>0</v>
      </c>
      <c r="CX166" s="29" t="str">
        <f t="shared" si="225"/>
        <v>0</v>
      </c>
      <c r="CY166" s="29" t="str">
        <f t="shared" si="225"/>
        <v>0</v>
      </c>
      <c r="CZ166" s="29" t="str">
        <f t="shared" si="225"/>
        <v>0</v>
      </c>
      <c r="DA166" s="29" t="str">
        <f t="shared" si="225"/>
        <v>0</v>
      </c>
      <c r="DB166" s="29">
        <f t="shared" si="225"/>
        <v>0.12</v>
      </c>
      <c r="DC166" s="29" t="str">
        <f t="shared" si="225"/>
        <v>0</v>
      </c>
      <c r="DD166" s="29" t="str">
        <f t="shared" si="225"/>
        <v>0</v>
      </c>
      <c r="DE166" s="29" t="str">
        <f t="shared" si="225"/>
        <v>0</v>
      </c>
      <c r="DF166" s="29" t="str">
        <f t="shared" si="225"/>
        <v>0</v>
      </c>
      <c r="DG166" s="29" t="str">
        <f t="shared" si="225"/>
        <v>0</v>
      </c>
      <c r="DH166" s="29" t="str">
        <f t="shared" si="225"/>
        <v>0</v>
      </c>
      <c r="DI166" s="29" t="str">
        <f t="shared" si="225"/>
        <v>0</v>
      </c>
      <c r="DJ166" s="29" t="str">
        <f t="shared" si="225"/>
        <v>0</v>
      </c>
      <c r="DK166" s="29" t="str">
        <f t="shared" si="225"/>
        <v>0</v>
      </c>
      <c r="DL166" s="29" t="str">
        <f t="shared" si="225"/>
        <v>0</v>
      </c>
      <c r="DM166" s="29" t="str">
        <f t="shared" si="225"/>
        <v>0</v>
      </c>
      <c r="DN166" s="29" t="str">
        <f t="shared" si="225"/>
        <v>0</v>
      </c>
      <c r="DO166" s="29" t="str">
        <f t="shared" si="225"/>
        <v>0</v>
      </c>
      <c r="DP166" s="29" t="str">
        <f t="shared" si="225"/>
        <v>0</v>
      </c>
      <c r="DQ166" s="29" t="str">
        <f t="shared" si="225"/>
        <v>0</v>
      </c>
      <c r="DR166" s="29"/>
      <c r="DS166" s="25" t="s">
        <v>1011</v>
      </c>
      <c r="DT166" s="25" t="str">
        <f>TEXT(角色升星!$F$18,"0%")</f>
        <v>15%</v>
      </c>
      <c r="DU166" s="25" t="s">
        <v>779</v>
      </c>
      <c r="DV166" s="25" t="str">
        <f>IF(CF166="物理","PhysicsAttack,+","MagicAttack,+")</f>
        <v>PhysicsAttack,+</v>
      </c>
      <c r="DW166" s="25" t="str">
        <f>TEXT(角色升星!$F$18,"0%")</f>
        <v>15%</v>
      </c>
      <c r="DX166" s="25" t="s">
        <v>779</v>
      </c>
      <c r="DY166" s="25" t="s">
        <v>1012</v>
      </c>
      <c r="DZ166" s="25" t="str">
        <f>TEXT(角色升星!$F$18,"0%")</f>
        <v>15%</v>
      </c>
      <c r="EA166" s="25" t="s">
        <v>779</v>
      </c>
      <c r="EB166" s="25" t="str">
        <f>VLOOKUP(CL166,$O$46:$P$73,2,0)</f>
        <v>PhysicsDmgBonus</v>
      </c>
      <c r="EC166" s="25" t="s">
        <v>1013</v>
      </c>
      <c r="ED166" s="25" t="str">
        <f>IF(CN166&gt;1,CN166,TEXT(CN166,"0%"))</f>
        <v>12%</v>
      </c>
      <c r="EE166" s="25" t="str">
        <f t="shared" si="175"/>
        <v>Hp,+15%;PhysicsAttack,+15%;Armor,+15%;PhysicsDmgBonus,+12%</v>
      </c>
    </row>
    <row r="167" spans="1:135">
      <c r="A167" s="53">
        <v>1002029</v>
      </c>
      <c r="B167" s="49" t="s">
        <v>318</v>
      </c>
      <c r="C167" s="25">
        <f t="shared" si="146"/>
        <v>29</v>
      </c>
      <c r="D167" s="25">
        <f t="array" ref="D167">INDEX(C$5:C$67,MATCH($B167,$B$5:$B$67,0))</f>
        <v>5600</v>
      </c>
      <c r="E167" s="25">
        <f t="array" ref="E167">INDEX(D$5:D$67,MATCH($B167,$B$5:$B$67,0))</f>
        <v>448</v>
      </c>
      <c r="F167" s="25">
        <f t="array" ref="F167">INDEX(E$5:E$67,MATCH($B167,$B$5:$B$67,0))</f>
        <v>720</v>
      </c>
      <c r="G167" s="25">
        <f t="array" ref="G167">INDEX(F$5:F$67,MATCH($B167,$B$5:$B$67,0))</f>
        <v>57.6</v>
      </c>
      <c r="H167" s="25">
        <f t="array" ref="H167">INDEX(G$5:G$66,MATCH($B167,$B$5:$B$67,0))</f>
        <v>576</v>
      </c>
      <c r="I167" s="25">
        <f t="array" ref="I167">INDEX(H$5:H$67,MATCH($B167,$B$5:$B$67,0))</f>
        <v>46.08</v>
      </c>
      <c r="J167" s="25">
        <f t="array" ref="J167">INDEX(I$5:I$67,MATCH($B167,$B$5:$B$67,0))</f>
        <v>800</v>
      </c>
      <c r="K167" s="25">
        <f t="array" ref="K167">INDEX(J$5:J$67,MATCH($B167,$B$5:$B$67,0))</f>
        <v>64</v>
      </c>
      <c r="L167" s="25">
        <f t="shared" si="156"/>
        <v>18592</v>
      </c>
      <c r="M167" s="25">
        <f t="shared" si="157"/>
        <v>2390</v>
      </c>
      <c r="N167" s="25">
        <f t="shared" si="158"/>
        <v>1912</v>
      </c>
      <c r="O167" s="25">
        <f t="shared" si="159"/>
        <v>2656</v>
      </c>
      <c r="R167" s="50">
        <f t="array" ref="R167">INDEX($B$46:$B$68,MATCH(S167,$C$46:$C$68,0))*1000+T167</f>
        <v>1004008</v>
      </c>
      <c r="S167" s="51" t="s">
        <v>324</v>
      </c>
      <c r="T167" s="29">
        <f t="shared" si="78"/>
        <v>8</v>
      </c>
      <c r="U167" s="25">
        <f t="array" ref="U167">INDEX(K$5:K$67,MATCH($S167,$B$5:$B$67,0))</f>
        <v>506.09</v>
      </c>
      <c r="V167" s="25">
        <f t="array" ref="V167">INDEX(L$5:L$67,MATCH($S167,$B$5:$B$67,0))</f>
        <v>72.4</v>
      </c>
      <c r="W167" s="25">
        <f t="array" ref="W167">INDEX(M$5:M$67,MATCH($S167,$B$5:$B$67,0))</f>
        <v>94.08</v>
      </c>
      <c r="X167" s="25">
        <f t="array" ref="X167">INDEX(N$5:N$67,MATCH($S167,$B$5:$B$67,0))</f>
        <v>88.83</v>
      </c>
      <c r="Y167" s="25">
        <f t="shared" si="160"/>
        <v>4049</v>
      </c>
      <c r="Z167" s="25">
        <f t="shared" si="161"/>
        <v>579</v>
      </c>
      <c r="AA167" s="25">
        <f t="shared" si="162"/>
        <v>753</v>
      </c>
      <c r="AB167" s="25">
        <f t="shared" si="163"/>
        <v>711</v>
      </c>
      <c r="AF167" s="25">
        <v>89</v>
      </c>
      <c r="AG167" s="25">
        <f t="array" ref="AG167">INDEX($AE$79:$AE$116,QUOTIENT(AF167-1,8)+1)</f>
        <v>1013</v>
      </c>
      <c r="AH167" s="25">
        <f t="shared" si="192"/>
        <v>1</v>
      </c>
      <c r="AI167" s="25">
        <f t="shared" si="164"/>
        <v>10131</v>
      </c>
      <c r="AJ167" s="25" t="str">
        <f t="shared" si="165"/>
        <v>夏提拉</v>
      </c>
      <c r="AK167" s="25">
        <f t="shared" si="193"/>
        <v>1</v>
      </c>
      <c r="AL167" s="25" t="str">
        <f t="array" ref="AL167">INDEX($O$5:$O$42,MATCH(AJ167,$B$5:$B$42,0))</f>
        <v>攻击百分比</v>
      </c>
      <c r="AM167" s="25" t="str">
        <f t="array" ref="AM167">INDEX($P$5:$P$42,MATCH(AJ167,$B$5:$B$42,0))</f>
        <v>暴击等级</v>
      </c>
      <c r="AN167" s="25" t="str">
        <f t="array" ref="AN167">INDEX($Q$5:$Q$42,MATCH(AJ167,$B$5:$B$42,0))</f>
        <v>生命值百分比</v>
      </c>
      <c r="AO167" s="25" t="str">
        <f t="array" ref="AO167">INDEX(AL167:AN167,0,AK167)</f>
        <v>攻击百分比</v>
      </c>
      <c r="AP167" s="25">
        <f t="shared" si="151"/>
        <v>0.216666666666667</v>
      </c>
      <c r="AQ167" s="25">
        <f t="shared" si="166"/>
        <v>0.216666666666667</v>
      </c>
      <c r="AR167" s="25" t="str">
        <f t="shared" ref="AR167:BZ167" si="226">IF(AR$78=$AO167,$AQ167,"0")</f>
        <v>0</v>
      </c>
      <c r="AS167" s="25" t="str">
        <f t="shared" si="226"/>
        <v>0</v>
      </c>
      <c r="AT167" s="25" t="str">
        <f t="shared" si="226"/>
        <v>0</v>
      </c>
      <c r="AU167" s="25">
        <f t="shared" si="226"/>
        <v>0.216666666666667</v>
      </c>
      <c r="AV167" s="25" t="str">
        <f t="shared" si="226"/>
        <v>0</v>
      </c>
      <c r="AW167" s="25">
        <f t="shared" si="226"/>
        <v>0.216666666666667</v>
      </c>
      <c r="AX167" s="25" t="str">
        <f t="shared" si="226"/>
        <v>0</v>
      </c>
      <c r="AY167" s="25" t="str">
        <f t="shared" si="226"/>
        <v>0</v>
      </c>
      <c r="AZ167" s="25" t="str">
        <f t="shared" si="226"/>
        <v>0</v>
      </c>
      <c r="BA167" s="25" t="str">
        <f t="shared" si="226"/>
        <v>0</v>
      </c>
      <c r="BB167" s="25" t="str">
        <f t="shared" si="226"/>
        <v>0</v>
      </c>
      <c r="BC167" s="25" t="str">
        <f t="shared" si="226"/>
        <v>0</v>
      </c>
      <c r="BD167" s="25" t="str">
        <f t="shared" si="226"/>
        <v>0</v>
      </c>
      <c r="BE167" s="25" t="str">
        <f t="shared" si="226"/>
        <v>0</v>
      </c>
      <c r="BF167" s="25" t="str">
        <f t="shared" si="226"/>
        <v>0</v>
      </c>
      <c r="BG167" s="25" t="str">
        <f t="shared" si="226"/>
        <v>0</v>
      </c>
      <c r="BH167" s="25" t="str">
        <f t="shared" si="226"/>
        <v>0</v>
      </c>
      <c r="BI167" s="25" t="str">
        <f t="shared" si="226"/>
        <v>0</v>
      </c>
      <c r="BJ167" s="25" t="str">
        <f t="shared" si="226"/>
        <v>0</v>
      </c>
      <c r="BK167" s="25" t="str">
        <f t="shared" si="226"/>
        <v>0</v>
      </c>
      <c r="BL167" s="25" t="str">
        <f t="shared" si="226"/>
        <v>0</v>
      </c>
      <c r="BM167" s="25" t="str">
        <f t="shared" si="226"/>
        <v>0</v>
      </c>
      <c r="BN167" s="25" t="str">
        <f t="shared" si="226"/>
        <v>0</v>
      </c>
      <c r="BO167" s="25" t="str">
        <f t="shared" si="226"/>
        <v>0</v>
      </c>
      <c r="BP167" s="25" t="str">
        <f t="shared" si="226"/>
        <v>0</v>
      </c>
      <c r="BQ167" s="25" t="str">
        <f t="shared" si="226"/>
        <v>0</v>
      </c>
      <c r="BR167" s="25" t="str">
        <f t="shared" si="226"/>
        <v>0</v>
      </c>
      <c r="BS167" s="25" t="str">
        <f t="shared" si="226"/>
        <v>0</v>
      </c>
      <c r="BT167" s="25" t="str">
        <f t="shared" si="226"/>
        <v>0</v>
      </c>
      <c r="BU167" s="25" t="str">
        <f t="shared" si="226"/>
        <v>0</v>
      </c>
      <c r="BV167" s="25" t="str">
        <f t="shared" si="226"/>
        <v>0</v>
      </c>
      <c r="BW167" s="25" t="str">
        <f t="shared" si="226"/>
        <v>0</v>
      </c>
      <c r="BX167" s="25" t="str">
        <f t="shared" si="226"/>
        <v>0</v>
      </c>
      <c r="BY167" s="25" t="str">
        <f t="shared" si="226"/>
        <v>0</v>
      </c>
      <c r="BZ167" s="25" t="str">
        <f t="shared" si="226"/>
        <v>0</v>
      </c>
      <c r="CC167" s="25" t="str">
        <f t="array" ref="CC167">INDEX($C$46:$C$74,MATCH(CD167,$B$46:$B$74,0))</f>
        <v>克莉丝汀</v>
      </c>
      <c r="CD167" s="1">
        <v>1014</v>
      </c>
      <c r="CE167" s="1">
        <v>4</v>
      </c>
      <c r="CF167" s="25" t="str">
        <f t="array" ref="CF167">INDEX($T$5:$T$44,MATCH(CC167,$B$5:$B$44,0))</f>
        <v>物理</v>
      </c>
      <c r="CG167" s="25">
        <f t="shared" si="189"/>
        <v>0.15</v>
      </c>
      <c r="CH167" s="25">
        <f t="shared" si="168"/>
        <v>1.15</v>
      </c>
      <c r="CI167" s="25">
        <f t="shared" si="169"/>
        <v>1.15</v>
      </c>
      <c r="CJ167" s="25">
        <f t="shared" si="170"/>
        <v>1</v>
      </c>
      <c r="CK167" s="25">
        <f t="shared" si="171"/>
        <v>1.15</v>
      </c>
      <c r="CL167" s="25">
        <v>0</v>
      </c>
      <c r="CM167" s="25">
        <f t="shared" si="190"/>
        <v>0</v>
      </c>
      <c r="CN167" s="25">
        <f t="shared" si="172"/>
        <v>0</v>
      </c>
      <c r="CO167" s="25">
        <f t="shared" si="173"/>
        <v>0</v>
      </c>
      <c r="CP167" s="29" t="str">
        <f t="shared" ref="CP167:DQ167" si="227">IF($CL167=CP$78,$CN167,"0")</f>
        <v>0</v>
      </c>
      <c r="CQ167" s="29" t="str">
        <f t="shared" si="227"/>
        <v>0</v>
      </c>
      <c r="CR167" s="29" t="str">
        <f t="shared" si="227"/>
        <v>0</v>
      </c>
      <c r="CS167" s="29" t="str">
        <f t="shared" si="227"/>
        <v>0</v>
      </c>
      <c r="CT167" s="29" t="str">
        <f t="shared" si="227"/>
        <v>0</v>
      </c>
      <c r="CU167" s="29" t="str">
        <f t="shared" si="227"/>
        <v>0</v>
      </c>
      <c r="CV167" s="29" t="str">
        <f t="shared" si="227"/>
        <v>0</v>
      </c>
      <c r="CW167" s="29" t="str">
        <f t="shared" si="227"/>
        <v>0</v>
      </c>
      <c r="CX167" s="29" t="str">
        <f t="shared" si="227"/>
        <v>0</v>
      </c>
      <c r="CY167" s="29" t="str">
        <f t="shared" si="227"/>
        <v>0</v>
      </c>
      <c r="CZ167" s="29" t="str">
        <f t="shared" si="227"/>
        <v>0</v>
      </c>
      <c r="DA167" s="29" t="str">
        <f t="shared" si="227"/>
        <v>0</v>
      </c>
      <c r="DB167" s="29" t="str">
        <f t="shared" si="227"/>
        <v>0</v>
      </c>
      <c r="DC167" s="29" t="str">
        <f t="shared" si="227"/>
        <v>0</v>
      </c>
      <c r="DD167" s="29" t="str">
        <f t="shared" si="227"/>
        <v>0</v>
      </c>
      <c r="DE167" s="29" t="str">
        <f t="shared" si="227"/>
        <v>0</v>
      </c>
      <c r="DF167" s="29" t="str">
        <f t="shared" si="227"/>
        <v>0</v>
      </c>
      <c r="DG167" s="29" t="str">
        <f t="shared" si="227"/>
        <v>0</v>
      </c>
      <c r="DH167" s="29" t="str">
        <f t="shared" si="227"/>
        <v>0</v>
      </c>
      <c r="DI167" s="29" t="str">
        <f t="shared" si="227"/>
        <v>0</v>
      </c>
      <c r="DJ167" s="29" t="str">
        <f t="shared" si="227"/>
        <v>0</v>
      </c>
      <c r="DK167" s="29" t="str">
        <f t="shared" si="227"/>
        <v>0</v>
      </c>
      <c r="DL167" s="29" t="str">
        <f t="shared" si="227"/>
        <v>0</v>
      </c>
      <c r="DM167" s="29" t="str">
        <f t="shared" si="227"/>
        <v>0</v>
      </c>
      <c r="DN167" s="29" t="str">
        <f t="shared" si="227"/>
        <v>0</v>
      </c>
      <c r="DO167" s="29" t="str">
        <f t="shared" si="227"/>
        <v>0</v>
      </c>
      <c r="DP167" s="29" t="str">
        <f t="shared" si="227"/>
        <v>0</v>
      </c>
      <c r="DQ167" s="29" t="str">
        <f t="shared" si="227"/>
        <v>0</v>
      </c>
      <c r="DR167" s="29"/>
      <c r="DS167" s="25">
        <v>0</v>
      </c>
      <c r="EE167" s="25" t="str">
        <f t="shared" si="175"/>
        <v>0</v>
      </c>
    </row>
    <row r="168" spans="1:135">
      <c r="A168" s="53">
        <v>1002030</v>
      </c>
      <c r="B168" s="49" t="s">
        <v>318</v>
      </c>
      <c r="C168" s="25">
        <f t="shared" si="146"/>
        <v>30</v>
      </c>
      <c r="D168" s="25">
        <f t="array" ref="D168">INDEX(C$5:C$67,MATCH($B168,$B$5:$B$67,0))</f>
        <v>5600</v>
      </c>
      <c r="E168" s="25">
        <f t="array" ref="E168">INDEX(D$5:D$67,MATCH($B168,$B$5:$B$67,0))</f>
        <v>448</v>
      </c>
      <c r="F168" s="25">
        <f t="array" ref="F168">INDEX(E$5:E$67,MATCH($B168,$B$5:$B$67,0))</f>
        <v>720</v>
      </c>
      <c r="G168" s="25">
        <f t="array" ref="G168">INDEX(F$5:F$67,MATCH($B168,$B$5:$B$67,0))</f>
        <v>57.6</v>
      </c>
      <c r="H168" s="25">
        <f t="array" ref="H168">INDEX(G$5:G$66,MATCH($B168,$B$5:$B$67,0))</f>
        <v>576</v>
      </c>
      <c r="I168" s="25">
        <f t="array" ref="I168">INDEX(H$5:H$67,MATCH($B168,$B$5:$B$67,0))</f>
        <v>46.08</v>
      </c>
      <c r="J168" s="25">
        <f t="array" ref="J168">INDEX(I$5:I$67,MATCH($B168,$B$5:$B$67,0))</f>
        <v>800</v>
      </c>
      <c r="K168" s="25">
        <f t="array" ref="K168">INDEX(J$5:J$67,MATCH($B168,$B$5:$B$67,0))</f>
        <v>64</v>
      </c>
      <c r="L168" s="25">
        <f t="shared" si="156"/>
        <v>19040</v>
      </c>
      <c r="M168" s="25">
        <f t="shared" si="157"/>
        <v>2448</v>
      </c>
      <c r="N168" s="25">
        <f t="shared" si="158"/>
        <v>1958</v>
      </c>
      <c r="O168" s="25">
        <f t="shared" si="159"/>
        <v>2720</v>
      </c>
      <c r="R168" s="50">
        <f t="array" ref="R168">INDEX($B$46:$B$68,MATCH(S168,$C$46:$C$68,0))*1000+T168</f>
        <v>1004009</v>
      </c>
      <c r="S168" s="51" t="s">
        <v>324</v>
      </c>
      <c r="T168" s="29">
        <f t="shared" si="78"/>
        <v>9</v>
      </c>
      <c r="U168" s="25">
        <f t="array" ref="U168">INDEX(K$5:K$67,MATCH($S168,$B$5:$B$67,0))</f>
        <v>506.09</v>
      </c>
      <c r="V168" s="25">
        <f t="array" ref="V168">INDEX(L$5:L$67,MATCH($S168,$B$5:$B$67,0))</f>
        <v>72.4</v>
      </c>
      <c r="W168" s="25">
        <f t="array" ref="W168">INDEX(M$5:M$67,MATCH($S168,$B$5:$B$67,0))</f>
        <v>94.08</v>
      </c>
      <c r="X168" s="25">
        <f t="array" ref="X168">INDEX(N$5:N$67,MATCH($S168,$B$5:$B$67,0))</f>
        <v>88.83</v>
      </c>
      <c r="Y168" s="25">
        <f t="shared" si="160"/>
        <v>4555</v>
      </c>
      <c r="Z168" s="25">
        <f t="shared" si="161"/>
        <v>652</v>
      </c>
      <c r="AA168" s="25">
        <f t="shared" si="162"/>
        <v>847</v>
      </c>
      <c r="AB168" s="25">
        <f t="shared" si="163"/>
        <v>799</v>
      </c>
      <c r="AF168" s="25">
        <v>90</v>
      </c>
      <c r="AG168" s="25">
        <f t="array" ref="AG168">INDEX($AE$79:$AE$116,QUOTIENT(AF168-1,8)+1)</f>
        <v>1013</v>
      </c>
      <c r="AH168" s="25">
        <f t="shared" si="192"/>
        <v>2</v>
      </c>
      <c r="AI168" s="25">
        <f t="shared" si="164"/>
        <v>10132</v>
      </c>
      <c r="AJ168" s="25" t="str">
        <f t="shared" si="165"/>
        <v>夏提拉</v>
      </c>
      <c r="AK168" s="25">
        <f t="shared" si="193"/>
        <v>2</v>
      </c>
      <c r="AL168" s="25" t="str">
        <f t="array" ref="AL168">INDEX($O$5:$O$42,MATCH(AJ168,$B$5:$B$42,0))</f>
        <v>攻击百分比</v>
      </c>
      <c r="AM168" s="25" t="str">
        <f t="array" ref="AM168">INDEX($P$5:$P$42,MATCH(AJ168,$B$5:$B$42,0))</f>
        <v>暴击等级</v>
      </c>
      <c r="AN168" s="25" t="str">
        <f t="array" ref="AN168">INDEX($Q$5:$Q$42,MATCH(AJ168,$B$5:$B$42,0))</f>
        <v>生命值百分比</v>
      </c>
      <c r="AO168" s="25" t="str">
        <f t="array" ref="AO168">INDEX(AL168:AN168,0,AK168)</f>
        <v>暴击等级</v>
      </c>
      <c r="AP168" s="25">
        <f t="shared" si="151"/>
        <v>0.15</v>
      </c>
      <c r="AQ168" s="25">
        <f t="shared" si="166"/>
        <v>1350</v>
      </c>
      <c r="AR168" s="25" t="str">
        <f t="shared" ref="AR168:BZ168" si="228">IF(AR$78=$AO168,$AQ168,"0")</f>
        <v>0</v>
      </c>
      <c r="AS168" s="25" t="str">
        <f t="shared" si="228"/>
        <v>0</v>
      </c>
      <c r="AT168" s="25" t="str">
        <f t="shared" si="228"/>
        <v>0</v>
      </c>
      <c r="AU168" s="25" t="str">
        <f t="shared" si="228"/>
        <v>0</v>
      </c>
      <c r="AV168" s="25" t="str">
        <f t="shared" si="228"/>
        <v>0</v>
      </c>
      <c r="AW168" s="25" t="str">
        <f t="shared" si="228"/>
        <v>0</v>
      </c>
      <c r="AX168" s="25" t="str">
        <f t="shared" si="228"/>
        <v>0</v>
      </c>
      <c r="AY168" s="25" t="str">
        <f t="shared" si="228"/>
        <v>0</v>
      </c>
      <c r="AZ168" s="25" t="str">
        <f t="shared" si="228"/>
        <v>0</v>
      </c>
      <c r="BA168" s="25" t="str">
        <f t="shared" si="228"/>
        <v>0</v>
      </c>
      <c r="BB168" s="25" t="str">
        <f t="shared" si="228"/>
        <v>0</v>
      </c>
      <c r="BC168" s="25" t="str">
        <f t="shared" si="228"/>
        <v>0</v>
      </c>
      <c r="BD168" s="25" t="str">
        <f t="shared" si="228"/>
        <v>0</v>
      </c>
      <c r="BE168" s="25" t="str">
        <f t="shared" si="228"/>
        <v>0</v>
      </c>
      <c r="BF168" s="25" t="str">
        <f t="shared" si="228"/>
        <v>0</v>
      </c>
      <c r="BG168" s="25" t="str">
        <f t="shared" si="228"/>
        <v>0</v>
      </c>
      <c r="BH168" s="25" t="str">
        <f t="shared" si="228"/>
        <v>0</v>
      </c>
      <c r="BI168" s="25" t="str">
        <f t="shared" si="228"/>
        <v>0</v>
      </c>
      <c r="BJ168" s="25" t="str">
        <f t="shared" si="228"/>
        <v>0</v>
      </c>
      <c r="BK168" s="25" t="str">
        <f t="shared" si="228"/>
        <v>0</v>
      </c>
      <c r="BL168" s="25" t="str">
        <f t="shared" si="228"/>
        <v>0</v>
      </c>
      <c r="BM168" s="25" t="str">
        <f t="shared" si="228"/>
        <v>0</v>
      </c>
      <c r="BN168" s="25" t="str">
        <f t="shared" si="228"/>
        <v>0</v>
      </c>
      <c r="BO168" s="25" t="str">
        <f t="shared" si="228"/>
        <v>0</v>
      </c>
      <c r="BP168" s="25" t="str">
        <f t="shared" si="228"/>
        <v>0</v>
      </c>
      <c r="BQ168" s="25" t="str">
        <f t="shared" si="228"/>
        <v>0</v>
      </c>
      <c r="BR168" s="25" t="str">
        <f t="shared" si="228"/>
        <v>0</v>
      </c>
      <c r="BS168" s="25" t="str">
        <f t="shared" si="228"/>
        <v>0</v>
      </c>
      <c r="BT168" s="25" t="str">
        <f t="shared" si="228"/>
        <v>0</v>
      </c>
      <c r="BU168" s="25" t="str">
        <f t="shared" si="228"/>
        <v>0</v>
      </c>
      <c r="BV168" s="25" t="str">
        <f t="shared" si="228"/>
        <v>0</v>
      </c>
      <c r="BW168" s="25">
        <f t="shared" si="228"/>
        <v>1350</v>
      </c>
      <c r="BX168" s="25" t="str">
        <f t="shared" si="228"/>
        <v>0</v>
      </c>
      <c r="BY168" s="25" t="str">
        <f t="shared" si="228"/>
        <v>0</v>
      </c>
      <c r="BZ168" s="25" t="str">
        <f t="shared" si="228"/>
        <v>0</v>
      </c>
      <c r="CC168" s="25" t="str">
        <f t="array" ref="CC168">INDEX($C$46:$C$74,MATCH(CD168,$B$46:$B$74,0))</f>
        <v>克莉丝汀</v>
      </c>
      <c r="CD168" s="1">
        <v>1014</v>
      </c>
      <c r="CE168" s="1">
        <v>5</v>
      </c>
      <c r="CF168" s="25" t="str">
        <f t="array" ref="CF168">INDEX($T$5:$T$44,MATCH(CC168,$B$5:$B$44,0))</f>
        <v>物理</v>
      </c>
      <c r="CG168" s="25">
        <f t="shared" si="189"/>
        <v>0.3</v>
      </c>
      <c r="CH168" s="25">
        <f t="shared" si="168"/>
        <v>1.3</v>
      </c>
      <c r="CI168" s="25">
        <f t="shared" si="169"/>
        <v>1.3</v>
      </c>
      <c r="CJ168" s="25">
        <f t="shared" si="170"/>
        <v>1</v>
      </c>
      <c r="CK168" s="25">
        <f t="shared" si="171"/>
        <v>1.3</v>
      </c>
      <c r="CL168" s="25" t="str">
        <f t="array" ref="CL168">INDEX($S$5:$S$43,MATCH(CC168,$B$5:$B$43,0))</f>
        <v>必杀伤害加成</v>
      </c>
      <c r="CM168" s="25">
        <f t="shared" si="190"/>
        <v>0.3</v>
      </c>
      <c r="CN168" s="25">
        <f t="shared" si="172"/>
        <v>0.36</v>
      </c>
      <c r="CO168" s="25">
        <f t="shared" si="173"/>
        <v>1</v>
      </c>
      <c r="CP168" s="29" t="str">
        <f t="shared" ref="CP168:DQ168" si="229">IF($CL168=CP$78,$CN168,"0")</f>
        <v>0</v>
      </c>
      <c r="CQ168" s="29" t="str">
        <f t="shared" si="229"/>
        <v>0</v>
      </c>
      <c r="CR168" s="29" t="str">
        <f t="shared" si="229"/>
        <v>0</v>
      </c>
      <c r="CS168" s="29" t="str">
        <f t="shared" si="229"/>
        <v>0</v>
      </c>
      <c r="CT168" s="29" t="str">
        <f t="shared" si="229"/>
        <v>0</v>
      </c>
      <c r="CU168" s="29" t="str">
        <f t="shared" si="229"/>
        <v>0</v>
      </c>
      <c r="CV168" s="29" t="str">
        <f t="shared" si="229"/>
        <v>0</v>
      </c>
      <c r="CW168" s="29" t="str">
        <f t="shared" si="229"/>
        <v>0</v>
      </c>
      <c r="CX168" s="29" t="str">
        <f t="shared" si="229"/>
        <v>0</v>
      </c>
      <c r="CY168" s="29" t="str">
        <f t="shared" si="229"/>
        <v>0</v>
      </c>
      <c r="CZ168" s="29" t="str">
        <f t="shared" si="229"/>
        <v>0</v>
      </c>
      <c r="DA168" s="29" t="str">
        <f t="shared" si="229"/>
        <v>0</v>
      </c>
      <c r="DB168" s="29" t="str">
        <f t="shared" si="229"/>
        <v>0</v>
      </c>
      <c r="DC168" s="29" t="str">
        <f t="shared" si="229"/>
        <v>0</v>
      </c>
      <c r="DD168" s="29" t="str">
        <f t="shared" si="229"/>
        <v>0</v>
      </c>
      <c r="DE168" s="29" t="str">
        <f t="shared" si="229"/>
        <v>0</v>
      </c>
      <c r="DF168" s="29">
        <f t="shared" si="229"/>
        <v>0.36</v>
      </c>
      <c r="DG168" s="29" t="str">
        <f t="shared" si="229"/>
        <v>0</v>
      </c>
      <c r="DH168" s="29" t="str">
        <f t="shared" si="229"/>
        <v>0</v>
      </c>
      <c r="DI168" s="29" t="str">
        <f t="shared" si="229"/>
        <v>0</v>
      </c>
      <c r="DJ168" s="29" t="str">
        <f t="shared" si="229"/>
        <v>0</v>
      </c>
      <c r="DK168" s="29" t="str">
        <f t="shared" si="229"/>
        <v>0</v>
      </c>
      <c r="DL168" s="29" t="str">
        <f t="shared" si="229"/>
        <v>0</v>
      </c>
      <c r="DM168" s="29" t="str">
        <f t="shared" si="229"/>
        <v>0</v>
      </c>
      <c r="DN168" s="29" t="str">
        <f t="shared" si="229"/>
        <v>0</v>
      </c>
      <c r="DO168" s="29" t="str">
        <f t="shared" si="229"/>
        <v>0</v>
      </c>
      <c r="DP168" s="29" t="str">
        <f t="shared" si="229"/>
        <v>0</v>
      </c>
      <c r="DQ168" s="29" t="str">
        <f t="shared" si="229"/>
        <v>0</v>
      </c>
      <c r="DR168" s="29"/>
      <c r="DS168" s="25" t="s">
        <v>1011</v>
      </c>
      <c r="DT168" s="25" t="str">
        <f>TEXT(角色升星!$F$18,"0%")</f>
        <v>15%</v>
      </c>
      <c r="DU168" s="25" t="s">
        <v>779</v>
      </c>
      <c r="DV168" s="25" t="str">
        <f>IF(CF168="物理","PhysicsAttack,+","MagicAttack,+")</f>
        <v>PhysicsAttack,+</v>
      </c>
      <c r="DW168" s="25" t="str">
        <f>TEXT(角色升星!$F$18,"0%")</f>
        <v>15%</v>
      </c>
      <c r="DX168" s="25" t="s">
        <v>779</v>
      </c>
      <c r="DY168" s="25" t="s">
        <v>1012</v>
      </c>
      <c r="DZ168" s="25" t="str">
        <f>TEXT(角色升星!$F$18,"0%")</f>
        <v>15%</v>
      </c>
      <c r="EA168" s="25" t="s">
        <v>779</v>
      </c>
      <c r="EB168" s="25" t="str">
        <f>VLOOKUP(CL168,$O$46:$P$73,2,0)</f>
        <v>UltimateDmgBonus</v>
      </c>
      <c r="EC168" s="25" t="s">
        <v>1013</v>
      </c>
      <c r="ED168" s="25" t="str">
        <f>IF(CN168&gt;1,CN168,TEXT(CN168,"0%"))</f>
        <v>36%</v>
      </c>
      <c r="EE168" s="25" t="str">
        <f t="shared" si="175"/>
        <v>Hp,+15%;PhysicsAttack,+15%;Armor,+15%;UltimateDmgBonus,+36%</v>
      </c>
    </row>
    <row r="169" spans="1:135">
      <c r="A169" s="53">
        <v>1002031</v>
      </c>
      <c r="B169" s="49" t="s">
        <v>318</v>
      </c>
      <c r="C169" s="25">
        <f t="shared" si="146"/>
        <v>31</v>
      </c>
      <c r="D169" s="25">
        <f t="array" ref="D169">INDEX(C$5:C$67,MATCH($B169,$B$5:$B$67,0))</f>
        <v>5600</v>
      </c>
      <c r="E169" s="25">
        <f t="array" ref="E169">INDEX(D$5:D$67,MATCH($B169,$B$5:$B$67,0))</f>
        <v>448</v>
      </c>
      <c r="F169" s="25">
        <f t="array" ref="F169">INDEX(E$5:E$67,MATCH($B169,$B$5:$B$67,0))</f>
        <v>720</v>
      </c>
      <c r="G169" s="25">
        <f t="array" ref="G169">INDEX(F$5:F$67,MATCH($B169,$B$5:$B$67,0))</f>
        <v>57.6</v>
      </c>
      <c r="H169" s="25">
        <f t="array" ref="H169">INDEX(G$5:G$66,MATCH($B169,$B$5:$B$67,0))</f>
        <v>576</v>
      </c>
      <c r="I169" s="25">
        <f t="array" ref="I169">INDEX(H$5:H$67,MATCH($B169,$B$5:$B$67,0))</f>
        <v>46.08</v>
      </c>
      <c r="J169" s="25">
        <f t="array" ref="J169">INDEX(I$5:I$67,MATCH($B169,$B$5:$B$67,0))</f>
        <v>800</v>
      </c>
      <c r="K169" s="25">
        <f t="array" ref="K169">INDEX(J$5:J$67,MATCH($B169,$B$5:$B$67,0))</f>
        <v>64</v>
      </c>
      <c r="L169" s="25">
        <f t="shared" si="156"/>
        <v>19488</v>
      </c>
      <c r="M169" s="25">
        <f t="shared" si="157"/>
        <v>2506</v>
      </c>
      <c r="N169" s="25">
        <f t="shared" si="158"/>
        <v>2004</v>
      </c>
      <c r="O169" s="25">
        <f t="shared" si="159"/>
        <v>2784</v>
      </c>
      <c r="R169" s="50">
        <f t="array" ref="R169">INDEX($B$46:$B$68,MATCH(S169,$C$46:$C$68,0))*1000+T169</f>
        <v>1004010</v>
      </c>
      <c r="S169" s="51" t="s">
        <v>324</v>
      </c>
      <c r="T169" s="29">
        <f t="shared" si="78"/>
        <v>10</v>
      </c>
      <c r="U169" s="25">
        <f t="array" ref="U169">INDEX(K$5:K$67,MATCH($S169,$B$5:$B$67,0))</f>
        <v>506.09</v>
      </c>
      <c r="V169" s="25">
        <f t="array" ref="V169">INDEX(L$5:L$67,MATCH($S169,$B$5:$B$67,0))</f>
        <v>72.4</v>
      </c>
      <c r="W169" s="25">
        <f t="array" ref="W169">INDEX(M$5:M$67,MATCH($S169,$B$5:$B$67,0))</f>
        <v>94.08</v>
      </c>
      <c r="X169" s="25">
        <f t="array" ref="X169">INDEX(N$5:N$67,MATCH($S169,$B$5:$B$67,0))</f>
        <v>88.83</v>
      </c>
      <c r="Y169" s="25">
        <f t="shared" si="160"/>
        <v>5061</v>
      </c>
      <c r="Z169" s="25">
        <f t="shared" si="161"/>
        <v>724</v>
      </c>
      <c r="AA169" s="25">
        <f t="shared" si="162"/>
        <v>941</v>
      </c>
      <c r="AB169" s="25">
        <f t="shared" si="163"/>
        <v>888</v>
      </c>
      <c r="AF169" s="25">
        <v>91</v>
      </c>
      <c r="AG169" s="25">
        <f t="array" ref="AG169">INDEX($AE$79:$AE$116,QUOTIENT(AF169-1,8)+1)</f>
        <v>1013</v>
      </c>
      <c r="AH169" s="25">
        <f t="shared" si="192"/>
        <v>3</v>
      </c>
      <c r="AI169" s="25">
        <f t="shared" si="164"/>
        <v>10133</v>
      </c>
      <c r="AJ169" s="25" t="str">
        <f t="shared" si="165"/>
        <v>夏提拉</v>
      </c>
      <c r="AK169" s="25">
        <f t="shared" si="193"/>
        <v>3</v>
      </c>
      <c r="AL169" s="25" t="str">
        <f t="array" ref="AL169">INDEX($O$5:$O$42,MATCH(AJ169,$B$5:$B$42,0))</f>
        <v>攻击百分比</v>
      </c>
      <c r="AM169" s="25" t="str">
        <f t="array" ref="AM169">INDEX($P$5:$P$42,MATCH(AJ169,$B$5:$B$42,0))</f>
        <v>暴击等级</v>
      </c>
      <c r="AN169" s="25" t="str">
        <f t="array" ref="AN169">INDEX($Q$5:$Q$42,MATCH(AJ169,$B$5:$B$42,0))</f>
        <v>生命值百分比</v>
      </c>
      <c r="AO169" s="25" t="str">
        <f t="array" ref="AO169">INDEX(AL169:AN169,0,AK169)</f>
        <v>生命值百分比</v>
      </c>
      <c r="AP169" s="25">
        <f t="shared" si="151"/>
        <v>0.216666666666667</v>
      </c>
      <c r="AQ169" s="25">
        <f t="shared" si="166"/>
        <v>0.216666666666667</v>
      </c>
      <c r="AR169" s="25" t="str">
        <f t="shared" ref="AR169:BZ169" si="230">IF(AR$78=$AO169,$AQ169,"0")</f>
        <v>0</v>
      </c>
      <c r="AS169" s="25">
        <f t="shared" si="230"/>
        <v>0.216666666666667</v>
      </c>
      <c r="AT169" s="25" t="str">
        <f t="shared" si="230"/>
        <v>0</v>
      </c>
      <c r="AU169" s="25" t="str">
        <f t="shared" si="230"/>
        <v>0</v>
      </c>
      <c r="AV169" s="25" t="str">
        <f t="shared" si="230"/>
        <v>0</v>
      </c>
      <c r="AW169" s="25" t="str">
        <f t="shared" si="230"/>
        <v>0</v>
      </c>
      <c r="AX169" s="25" t="str">
        <f t="shared" si="230"/>
        <v>0</v>
      </c>
      <c r="AY169" s="25" t="str">
        <f t="shared" si="230"/>
        <v>0</v>
      </c>
      <c r="AZ169" s="25" t="str">
        <f t="shared" si="230"/>
        <v>0</v>
      </c>
      <c r="BA169" s="25" t="str">
        <f t="shared" si="230"/>
        <v>0</v>
      </c>
      <c r="BB169" s="25" t="str">
        <f t="shared" si="230"/>
        <v>0</v>
      </c>
      <c r="BC169" s="25" t="str">
        <f t="shared" si="230"/>
        <v>0</v>
      </c>
      <c r="BD169" s="25" t="str">
        <f t="shared" si="230"/>
        <v>0</v>
      </c>
      <c r="BE169" s="25" t="str">
        <f t="shared" si="230"/>
        <v>0</v>
      </c>
      <c r="BF169" s="25" t="str">
        <f t="shared" si="230"/>
        <v>0</v>
      </c>
      <c r="BG169" s="25" t="str">
        <f t="shared" si="230"/>
        <v>0</v>
      </c>
      <c r="BH169" s="25" t="str">
        <f t="shared" si="230"/>
        <v>0</v>
      </c>
      <c r="BI169" s="25" t="str">
        <f t="shared" si="230"/>
        <v>0</v>
      </c>
      <c r="BJ169" s="25" t="str">
        <f t="shared" si="230"/>
        <v>0</v>
      </c>
      <c r="BK169" s="25" t="str">
        <f t="shared" si="230"/>
        <v>0</v>
      </c>
      <c r="BL169" s="25" t="str">
        <f t="shared" si="230"/>
        <v>0</v>
      </c>
      <c r="BM169" s="25" t="str">
        <f t="shared" si="230"/>
        <v>0</v>
      </c>
      <c r="BN169" s="25" t="str">
        <f t="shared" si="230"/>
        <v>0</v>
      </c>
      <c r="BO169" s="25" t="str">
        <f t="shared" si="230"/>
        <v>0</v>
      </c>
      <c r="BP169" s="25" t="str">
        <f t="shared" si="230"/>
        <v>0</v>
      </c>
      <c r="BQ169" s="25" t="str">
        <f t="shared" si="230"/>
        <v>0</v>
      </c>
      <c r="BR169" s="25" t="str">
        <f t="shared" si="230"/>
        <v>0</v>
      </c>
      <c r="BS169" s="25" t="str">
        <f t="shared" si="230"/>
        <v>0</v>
      </c>
      <c r="BT169" s="25" t="str">
        <f t="shared" si="230"/>
        <v>0</v>
      </c>
      <c r="BU169" s="25" t="str">
        <f t="shared" si="230"/>
        <v>0</v>
      </c>
      <c r="BV169" s="25" t="str">
        <f t="shared" si="230"/>
        <v>0</v>
      </c>
      <c r="BW169" s="25" t="str">
        <f t="shared" si="230"/>
        <v>0</v>
      </c>
      <c r="BX169" s="25" t="str">
        <f t="shared" si="230"/>
        <v>0</v>
      </c>
      <c r="BY169" s="25" t="str">
        <f t="shared" si="230"/>
        <v>0</v>
      </c>
      <c r="BZ169" s="25" t="str">
        <f t="shared" si="230"/>
        <v>0</v>
      </c>
      <c r="CC169" s="25" t="str">
        <f t="array" ref="CC169">INDEX($C$46:$C$74,MATCH(CD169,$B$46:$B$74,0))</f>
        <v>克莉丝汀</v>
      </c>
      <c r="CD169" s="1">
        <v>1014</v>
      </c>
      <c r="CE169" s="1">
        <v>6</v>
      </c>
      <c r="CF169" s="25" t="str">
        <f t="array" ref="CF169">INDEX($T$5:$T$44,MATCH(CC169,$B$5:$B$44,0))</f>
        <v>物理</v>
      </c>
      <c r="CG169" s="25">
        <f t="shared" si="189"/>
        <v>0.3</v>
      </c>
      <c r="CH169" s="25">
        <f t="shared" si="168"/>
        <v>1.3</v>
      </c>
      <c r="CI169" s="25">
        <f t="shared" si="169"/>
        <v>1.3</v>
      </c>
      <c r="CJ169" s="25">
        <f t="shared" si="170"/>
        <v>1</v>
      </c>
      <c r="CK169" s="25">
        <f t="shared" si="171"/>
        <v>1.3</v>
      </c>
      <c r="CL169" s="25">
        <v>0</v>
      </c>
      <c r="CM169" s="25">
        <f t="shared" si="190"/>
        <v>0</v>
      </c>
      <c r="CN169" s="25">
        <f t="shared" si="172"/>
        <v>0</v>
      </c>
      <c r="CO169" s="25">
        <f t="shared" si="173"/>
        <v>0</v>
      </c>
      <c r="CP169" s="29" t="str">
        <f t="shared" ref="CP169:DQ169" si="231">IF($CL169=CP$78,$CN169,"0")</f>
        <v>0</v>
      </c>
      <c r="CQ169" s="29" t="str">
        <f t="shared" si="231"/>
        <v>0</v>
      </c>
      <c r="CR169" s="29" t="str">
        <f t="shared" si="231"/>
        <v>0</v>
      </c>
      <c r="CS169" s="29" t="str">
        <f t="shared" si="231"/>
        <v>0</v>
      </c>
      <c r="CT169" s="29" t="str">
        <f t="shared" si="231"/>
        <v>0</v>
      </c>
      <c r="CU169" s="29" t="str">
        <f t="shared" si="231"/>
        <v>0</v>
      </c>
      <c r="CV169" s="29" t="str">
        <f t="shared" si="231"/>
        <v>0</v>
      </c>
      <c r="CW169" s="29" t="str">
        <f t="shared" si="231"/>
        <v>0</v>
      </c>
      <c r="CX169" s="29" t="str">
        <f t="shared" si="231"/>
        <v>0</v>
      </c>
      <c r="CY169" s="29" t="str">
        <f t="shared" si="231"/>
        <v>0</v>
      </c>
      <c r="CZ169" s="29" t="str">
        <f t="shared" si="231"/>
        <v>0</v>
      </c>
      <c r="DA169" s="29" t="str">
        <f t="shared" si="231"/>
        <v>0</v>
      </c>
      <c r="DB169" s="29" t="str">
        <f t="shared" si="231"/>
        <v>0</v>
      </c>
      <c r="DC169" s="29" t="str">
        <f t="shared" si="231"/>
        <v>0</v>
      </c>
      <c r="DD169" s="29" t="str">
        <f t="shared" si="231"/>
        <v>0</v>
      </c>
      <c r="DE169" s="29" t="str">
        <f t="shared" si="231"/>
        <v>0</v>
      </c>
      <c r="DF169" s="29" t="str">
        <f t="shared" si="231"/>
        <v>0</v>
      </c>
      <c r="DG169" s="29" t="str">
        <f t="shared" si="231"/>
        <v>0</v>
      </c>
      <c r="DH169" s="29" t="str">
        <f t="shared" si="231"/>
        <v>0</v>
      </c>
      <c r="DI169" s="29" t="str">
        <f t="shared" si="231"/>
        <v>0</v>
      </c>
      <c r="DJ169" s="29" t="str">
        <f t="shared" si="231"/>
        <v>0</v>
      </c>
      <c r="DK169" s="29" t="str">
        <f t="shared" si="231"/>
        <v>0</v>
      </c>
      <c r="DL169" s="29" t="str">
        <f t="shared" si="231"/>
        <v>0</v>
      </c>
      <c r="DM169" s="29" t="str">
        <f t="shared" si="231"/>
        <v>0</v>
      </c>
      <c r="DN169" s="29" t="str">
        <f t="shared" si="231"/>
        <v>0</v>
      </c>
      <c r="DO169" s="29" t="str">
        <f t="shared" si="231"/>
        <v>0</v>
      </c>
      <c r="DP169" s="29" t="str">
        <f t="shared" si="231"/>
        <v>0</v>
      </c>
      <c r="DQ169" s="29" t="str">
        <f t="shared" si="231"/>
        <v>0</v>
      </c>
      <c r="DR169" s="29"/>
      <c r="DS169" s="25">
        <v>0</v>
      </c>
      <c r="EE169" s="25" t="str">
        <f t="shared" si="175"/>
        <v>0</v>
      </c>
    </row>
    <row r="170" spans="1:135">
      <c r="A170" s="53">
        <v>1002032</v>
      </c>
      <c r="B170" s="49" t="s">
        <v>318</v>
      </c>
      <c r="C170" s="25">
        <f t="shared" si="146"/>
        <v>32</v>
      </c>
      <c r="D170" s="25">
        <f t="array" ref="D170">INDEX(C$5:C$67,MATCH($B170,$B$5:$B$67,0))</f>
        <v>5600</v>
      </c>
      <c r="E170" s="25">
        <f t="array" ref="E170">INDEX(D$5:D$67,MATCH($B170,$B$5:$B$67,0))</f>
        <v>448</v>
      </c>
      <c r="F170" s="25">
        <f t="array" ref="F170">INDEX(E$5:E$67,MATCH($B170,$B$5:$B$67,0))</f>
        <v>720</v>
      </c>
      <c r="G170" s="25">
        <f t="array" ref="G170">INDEX(F$5:F$67,MATCH($B170,$B$5:$B$67,0))</f>
        <v>57.6</v>
      </c>
      <c r="H170" s="25">
        <f t="array" ref="H170">INDEX(G$5:G$66,MATCH($B170,$B$5:$B$67,0))</f>
        <v>576</v>
      </c>
      <c r="I170" s="25">
        <f t="array" ref="I170">INDEX(H$5:H$67,MATCH($B170,$B$5:$B$67,0))</f>
        <v>46.08</v>
      </c>
      <c r="J170" s="25">
        <f t="array" ref="J170">INDEX(I$5:I$67,MATCH($B170,$B$5:$B$67,0))</f>
        <v>800</v>
      </c>
      <c r="K170" s="25">
        <f t="array" ref="K170">INDEX(J$5:J$67,MATCH($B170,$B$5:$B$67,0))</f>
        <v>64</v>
      </c>
      <c r="L170" s="25">
        <f t="shared" si="156"/>
        <v>19936</v>
      </c>
      <c r="M170" s="25">
        <f t="shared" si="157"/>
        <v>2563</v>
      </c>
      <c r="N170" s="25">
        <f t="shared" si="158"/>
        <v>2051</v>
      </c>
      <c r="O170" s="25">
        <f t="shared" si="159"/>
        <v>2848</v>
      </c>
      <c r="R170" s="50">
        <f t="array" ref="R170">INDEX($B$46:$B$68,MATCH(S170,$C$46:$C$68,0))*1000+T170</f>
        <v>1004011</v>
      </c>
      <c r="S170" s="51" t="s">
        <v>324</v>
      </c>
      <c r="T170" s="29">
        <f t="shared" ref="T170:T233" si="232">T143</f>
        <v>11</v>
      </c>
      <c r="U170" s="25">
        <f t="array" ref="U170">INDEX(K$5:K$67,MATCH($S170,$B$5:$B$67,0))</f>
        <v>506.09</v>
      </c>
      <c r="V170" s="25">
        <f t="array" ref="V170">INDEX(L$5:L$67,MATCH($S170,$B$5:$B$67,0))</f>
        <v>72.4</v>
      </c>
      <c r="W170" s="25">
        <f t="array" ref="W170">INDEX(M$5:M$67,MATCH($S170,$B$5:$B$67,0))</f>
        <v>94.08</v>
      </c>
      <c r="X170" s="25">
        <f t="array" ref="X170">INDEX(N$5:N$67,MATCH($S170,$B$5:$B$67,0))</f>
        <v>88.83</v>
      </c>
      <c r="Y170" s="25">
        <f t="shared" si="160"/>
        <v>5567</v>
      </c>
      <c r="Z170" s="25">
        <f t="shared" si="161"/>
        <v>796</v>
      </c>
      <c r="AA170" s="25">
        <f t="shared" si="162"/>
        <v>1035</v>
      </c>
      <c r="AB170" s="25">
        <f t="shared" si="163"/>
        <v>977</v>
      </c>
      <c r="AF170" s="25">
        <v>92</v>
      </c>
      <c r="AG170" s="25">
        <f t="array" ref="AG170">INDEX($AE$79:$AE$116,QUOTIENT(AF170-1,8)+1)</f>
        <v>1013</v>
      </c>
      <c r="AH170" s="25">
        <f t="shared" si="192"/>
        <v>4</v>
      </c>
      <c r="AI170" s="25">
        <f t="shared" si="164"/>
        <v>10134</v>
      </c>
      <c r="AJ170" s="25" t="str">
        <f t="shared" si="165"/>
        <v>夏提拉</v>
      </c>
      <c r="AK170" s="25">
        <f t="shared" si="193"/>
        <v>2</v>
      </c>
      <c r="AL170" s="25" t="str">
        <f t="array" ref="AL170">INDEX($O$5:$O$42,MATCH(AJ170,$B$5:$B$42,0))</f>
        <v>攻击百分比</v>
      </c>
      <c r="AM170" s="25" t="str">
        <f t="array" ref="AM170">INDEX($P$5:$P$42,MATCH(AJ170,$B$5:$B$42,0))</f>
        <v>暴击等级</v>
      </c>
      <c r="AN170" s="25" t="str">
        <f t="array" ref="AN170">INDEX($Q$5:$Q$42,MATCH(AJ170,$B$5:$B$42,0))</f>
        <v>生命值百分比</v>
      </c>
      <c r="AO170" s="25" t="str">
        <f t="array" ref="AO170">INDEX(AL170:AN170,0,AK170)</f>
        <v>暴击等级</v>
      </c>
      <c r="AP170" s="25">
        <f t="shared" si="151"/>
        <v>0.15</v>
      </c>
      <c r="AQ170" s="25">
        <f t="shared" si="166"/>
        <v>1350</v>
      </c>
      <c r="AR170" s="25" t="str">
        <f t="shared" ref="AR170:BZ170" si="233">IF(AR$78=$AO170,$AQ170,"0")</f>
        <v>0</v>
      </c>
      <c r="AS170" s="25" t="str">
        <f t="shared" si="233"/>
        <v>0</v>
      </c>
      <c r="AT170" s="25" t="str">
        <f t="shared" si="233"/>
        <v>0</v>
      </c>
      <c r="AU170" s="25" t="str">
        <f t="shared" si="233"/>
        <v>0</v>
      </c>
      <c r="AV170" s="25" t="str">
        <f t="shared" si="233"/>
        <v>0</v>
      </c>
      <c r="AW170" s="25" t="str">
        <f t="shared" si="233"/>
        <v>0</v>
      </c>
      <c r="AX170" s="25" t="str">
        <f t="shared" si="233"/>
        <v>0</v>
      </c>
      <c r="AY170" s="25" t="str">
        <f t="shared" si="233"/>
        <v>0</v>
      </c>
      <c r="AZ170" s="25" t="str">
        <f t="shared" si="233"/>
        <v>0</v>
      </c>
      <c r="BA170" s="25" t="str">
        <f t="shared" si="233"/>
        <v>0</v>
      </c>
      <c r="BB170" s="25" t="str">
        <f t="shared" si="233"/>
        <v>0</v>
      </c>
      <c r="BC170" s="25" t="str">
        <f t="shared" si="233"/>
        <v>0</v>
      </c>
      <c r="BD170" s="25" t="str">
        <f t="shared" si="233"/>
        <v>0</v>
      </c>
      <c r="BE170" s="25" t="str">
        <f t="shared" si="233"/>
        <v>0</v>
      </c>
      <c r="BF170" s="25" t="str">
        <f t="shared" si="233"/>
        <v>0</v>
      </c>
      <c r="BG170" s="25" t="str">
        <f t="shared" si="233"/>
        <v>0</v>
      </c>
      <c r="BH170" s="25" t="str">
        <f t="shared" si="233"/>
        <v>0</v>
      </c>
      <c r="BI170" s="25" t="str">
        <f t="shared" si="233"/>
        <v>0</v>
      </c>
      <c r="BJ170" s="25" t="str">
        <f t="shared" si="233"/>
        <v>0</v>
      </c>
      <c r="BK170" s="25" t="str">
        <f t="shared" si="233"/>
        <v>0</v>
      </c>
      <c r="BL170" s="25" t="str">
        <f t="shared" si="233"/>
        <v>0</v>
      </c>
      <c r="BM170" s="25" t="str">
        <f t="shared" si="233"/>
        <v>0</v>
      </c>
      <c r="BN170" s="25" t="str">
        <f t="shared" si="233"/>
        <v>0</v>
      </c>
      <c r="BO170" s="25" t="str">
        <f t="shared" si="233"/>
        <v>0</v>
      </c>
      <c r="BP170" s="25" t="str">
        <f t="shared" si="233"/>
        <v>0</v>
      </c>
      <c r="BQ170" s="25" t="str">
        <f t="shared" si="233"/>
        <v>0</v>
      </c>
      <c r="BR170" s="25" t="str">
        <f t="shared" si="233"/>
        <v>0</v>
      </c>
      <c r="BS170" s="25" t="str">
        <f t="shared" si="233"/>
        <v>0</v>
      </c>
      <c r="BT170" s="25" t="str">
        <f t="shared" si="233"/>
        <v>0</v>
      </c>
      <c r="BU170" s="25" t="str">
        <f t="shared" si="233"/>
        <v>0</v>
      </c>
      <c r="BV170" s="25" t="str">
        <f t="shared" si="233"/>
        <v>0</v>
      </c>
      <c r="BW170" s="25">
        <f t="shared" si="233"/>
        <v>1350</v>
      </c>
      <c r="BX170" s="25" t="str">
        <f t="shared" si="233"/>
        <v>0</v>
      </c>
      <c r="BY170" s="25" t="str">
        <f t="shared" si="233"/>
        <v>0</v>
      </c>
      <c r="BZ170" s="25" t="str">
        <f t="shared" si="233"/>
        <v>0</v>
      </c>
      <c r="CC170" s="25" t="str">
        <f t="array" ref="CC170">INDEX($C$46:$C$74,MATCH(CD170,$B$46:$B$74,0))</f>
        <v>阿莱克西娅</v>
      </c>
      <c r="CD170" s="1">
        <v>1015</v>
      </c>
      <c r="CE170" s="1">
        <v>0</v>
      </c>
      <c r="CF170" s="25" t="str">
        <f t="array" ref="CF170">INDEX($T$5:$T$44,MATCH(CC170,$B$5:$B$44,0))</f>
        <v>魔法</v>
      </c>
      <c r="CG170" s="25">
        <f t="shared" si="189"/>
        <v>0</v>
      </c>
      <c r="CH170" s="25">
        <f t="shared" si="168"/>
        <v>1</v>
      </c>
      <c r="CI170" s="25">
        <f t="shared" si="169"/>
        <v>1</v>
      </c>
      <c r="CJ170" s="25">
        <f t="shared" si="170"/>
        <v>1</v>
      </c>
      <c r="CK170" s="25">
        <f t="shared" si="171"/>
        <v>1</v>
      </c>
      <c r="CL170" s="25">
        <v>0</v>
      </c>
      <c r="CM170" s="25">
        <f t="shared" si="190"/>
        <v>0</v>
      </c>
      <c r="CN170" s="25">
        <f t="shared" si="172"/>
        <v>0</v>
      </c>
      <c r="CO170" s="25">
        <f t="shared" si="173"/>
        <v>0</v>
      </c>
      <c r="CP170" s="29" t="str">
        <f t="shared" ref="CP170:DQ170" si="234">IF($CL170=CP$78,$CN170,"0")</f>
        <v>0</v>
      </c>
      <c r="CQ170" s="29" t="str">
        <f t="shared" si="234"/>
        <v>0</v>
      </c>
      <c r="CR170" s="29" t="str">
        <f t="shared" si="234"/>
        <v>0</v>
      </c>
      <c r="CS170" s="29" t="str">
        <f t="shared" si="234"/>
        <v>0</v>
      </c>
      <c r="CT170" s="29" t="str">
        <f t="shared" si="234"/>
        <v>0</v>
      </c>
      <c r="CU170" s="29" t="str">
        <f t="shared" si="234"/>
        <v>0</v>
      </c>
      <c r="CV170" s="29" t="str">
        <f t="shared" si="234"/>
        <v>0</v>
      </c>
      <c r="CW170" s="29" t="str">
        <f t="shared" si="234"/>
        <v>0</v>
      </c>
      <c r="CX170" s="29" t="str">
        <f t="shared" si="234"/>
        <v>0</v>
      </c>
      <c r="CY170" s="29" t="str">
        <f t="shared" si="234"/>
        <v>0</v>
      </c>
      <c r="CZ170" s="29" t="str">
        <f t="shared" si="234"/>
        <v>0</v>
      </c>
      <c r="DA170" s="29" t="str">
        <f t="shared" si="234"/>
        <v>0</v>
      </c>
      <c r="DB170" s="29" t="str">
        <f t="shared" si="234"/>
        <v>0</v>
      </c>
      <c r="DC170" s="29" t="str">
        <f t="shared" si="234"/>
        <v>0</v>
      </c>
      <c r="DD170" s="29" t="str">
        <f t="shared" si="234"/>
        <v>0</v>
      </c>
      <c r="DE170" s="29" t="str">
        <f t="shared" si="234"/>
        <v>0</v>
      </c>
      <c r="DF170" s="29" t="str">
        <f t="shared" si="234"/>
        <v>0</v>
      </c>
      <c r="DG170" s="29" t="str">
        <f t="shared" si="234"/>
        <v>0</v>
      </c>
      <c r="DH170" s="29" t="str">
        <f t="shared" si="234"/>
        <v>0</v>
      </c>
      <c r="DI170" s="29" t="str">
        <f t="shared" si="234"/>
        <v>0</v>
      </c>
      <c r="DJ170" s="29" t="str">
        <f t="shared" si="234"/>
        <v>0</v>
      </c>
      <c r="DK170" s="29" t="str">
        <f t="shared" si="234"/>
        <v>0</v>
      </c>
      <c r="DL170" s="29" t="str">
        <f t="shared" si="234"/>
        <v>0</v>
      </c>
      <c r="DM170" s="29" t="str">
        <f t="shared" si="234"/>
        <v>0</v>
      </c>
      <c r="DN170" s="29" t="str">
        <f t="shared" si="234"/>
        <v>0</v>
      </c>
      <c r="DO170" s="29" t="str">
        <f t="shared" si="234"/>
        <v>0</v>
      </c>
      <c r="DP170" s="29" t="str">
        <f t="shared" si="234"/>
        <v>0</v>
      </c>
      <c r="DQ170" s="29" t="str">
        <f t="shared" si="234"/>
        <v>0</v>
      </c>
      <c r="DR170" s="29"/>
      <c r="DS170" s="25">
        <v>0</v>
      </c>
      <c r="EE170" s="25" t="str">
        <f t="shared" si="175"/>
        <v>0</v>
      </c>
    </row>
    <row r="171" spans="1:135">
      <c r="A171" s="53">
        <v>1002033</v>
      </c>
      <c r="B171" s="49" t="s">
        <v>318</v>
      </c>
      <c r="C171" s="25">
        <f t="shared" si="146"/>
        <v>33</v>
      </c>
      <c r="D171" s="25">
        <f t="array" ref="D171">INDEX(C$5:C$67,MATCH($B171,$B$5:$B$67,0))</f>
        <v>5600</v>
      </c>
      <c r="E171" s="25">
        <f t="array" ref="E171">INDEX(D$5:D$67,MATCH($B171,$B$5:$B$67,0))</f>
        <v>448</v>
      </c>
      <c r="F171" s="25">
        <f t="array" ref="F171">INDEX(E$5:E$67,MATCH($B171,$B$5:$B$67,0))</f>
        <v>720</v>
      </c>
      <c r="G171" s="25">
        <f t="array" ref="G171">INDEX(F$5:F$67,MATCH($B171,$B$5:$B$67,0))</f>
        <v>57.6</v>
      </c>
      <c r="H171" s="25">
        <f t="array" ref="H171">INDEX(G$5:G$66,MATCH($B171,$B$5:$B$67,0))</f>
        <v>576</v>
      </c>
      <c r="I171" s="25">
        <f t="array" ref="I171">INDEX(H$5:H$67,MATCH($B171,$B$5:$B$67,0))</f>
        <v>46.08</v>
      </c>
      <c r="J171" s="25">
        <f t="array" ref="J171">INDEX(I$5:I$67,MATCH($B171,$B$5:$B$67,0))</f>
        <v>800</v>
      </c>
      <c r="K171" s="25">
        <f t="array" ref="K171">INDEX(J$5:J$67,MATCH($B171,$B$5:$B$67,0))</f>
        <v>64</v>
      </c>
      <c r="L171" s="25">
        <f t="shared" si="156"/>
        <v>20384</v>
      </c>
      <c r="M171" s="25">
        <f t="shared" si="157"/>
        <v>2621</v>
      </c>
      <c r="N171" s="25">
        <f t="shared" si="158"/>
        <v>2097</v>
      </c>
      <c r="O171" s="25">
        <f t="shared" si="159"/>
        <v>2912</v>
      </c>
      <c r="R171" s="50">
        <f t="array" ref="R171">INDEX($B$46:$B$68,MATCH(S171,$C$46:$C$68,0))*1000+T171</f>
        <v>1004012</v>
      </c>
      <c r="S171" s="51" t="s">
        <v>324</v>
      </c>
      <c r="T171" s="29">
        <f t="shared" si="232"/>
        <v>12</v>
      </c>
      <c r="U171" s="25">
        <f t="array" ref="U171">INDEX(K$5:K$67,MATCH($S171,$B$5:$B$67,0))</f>
        <v>506.09</v>
      </c>
      <c r="V171" s="25">
        <f t="array" ref="V171">INDEX(L$5:L$67,MATCH($S171,$B$5:$B$67,0))</f>
        <v>72.4</v>
      </c>
      <c r="W171" s="25">
        <f t="array" ref="W171">INDEX(M$5:M$67,MATCH($S171,$B$5:$B$67,0))</f>
        <v>94.08</v>
      </c>
      <c r="X171" s="25">
        <f t="array" ref="X171">INDEX(N$5:N$67,MATCH($S171,$B$5:$B$67,0))</f>
        <v>88.83</v>
      </c>
      <c r="Y171" s="25">
        <f t="shared" si="160"/>
        <v>6073</v>
      </c>
      <c r="Z171" s="25">
        <f t="shared" si="161"/>
        <v>869</v>
      </c>
      <c r="AA171" s="25">
        <f t="shared" si="162"/>
        <v>1129</v>
      </c>
      <c r="AB171" s="25">
        <f t="shared" si="163"/>
        <v>1066</v>
      </c>
      <c r="AF171" s="25">
        <v>93</v>
      </c>
      <c r="AG171" s="25">
        <f t="array" ref="AG171">INDEX($AE$79:$AE$116,QUOTIENT(AF171-1,8)+1)</f>
        <v>1013</v>
      </c>
      <c r="AH171" s="25">
        <f t="shared" si="192"/>
        <v>5</v>
      </c>
      <c r="AI171" s="25">
        <f t="shared" si="164"/>
        <v>10135</v>
      </c>
      <c r="AJ171" s="25" t="str">
        <f t="shared" si="165"/>
        <v>夏提拉</v>
      </c>
      <c r="AK171" s="25">
        <f t="shared" si="193"/>
        <v>3</v>
      </c>
      <c r="AL171" s="25" t="str">
        <f t="array" ref="AL171">INDEX($O$5:$O$42,MATCH(AJ171,$B$5:$B$42,0))</f>
        <v>攻击百分比</v>
      </c>
      <c r="AM171" s="25" t="str">
        <f t="array" ref="AM171">INDEX($P$5:$P$42,MATCH(AJ171,$B$5:$B$42,0))</f>
        <v>暴击等级</v>
      </c>
      <c r="AN171" s="25" t="str">
        <f t="array" ref="AN171">INDEX($Q$5:$Q$42,MATCH(AJ171,$B$5:$B$42,0))</f>
        <v>生命值百分比</v>
      </c>
      <c r="AO171" s="25" t="str">
        <f t="array" ref="AO171">INDEX(AL171:AN171,0,AK171)</f>
        <v>生命值百分比</v>
      </c>
      <c r="AP171" s="25">
        <f t="shared" si="151"/>
        <v>0.216666666666667</v>
      </c>
      <c r="AQ171" s="25">
        <f t="shared" si="166"/>
        <v>0.216666666666667</v>
      </c>
      <c r="AR171" s="25" t="str">
        <f t="shared" ref="AR171:BZ171" si="235">IF(AR$78=$AO171,$AQ171,"0")</f>
        <v>0</v>
      </c>
      <c r="AS171" s="25">
        <f t="shared" si="235"/>
        <v>0.216666666666667</v>
      </c>
      <c r="AT171" s="25" t="str">
        <f t="shared" si="235"/>
        <v>0</v>
      </c>
      <c r="AU171" s="25" t="str">
        <f t="shared" si="235"/>
        <v>0</v>
      </c>
      <c r="AV171" s="25" t="str">
        <f t="shared" si="235"/>
        <v>0</v>
      </c>
      <c r="AW171" s="25" t="str">
        <f t="shared" si="235"/>
        <v>0</v>
      </c>
      <c r="AX171" s="25" t="str">
        <f t="shared" si="235"/>
        <v>0</v>
      </c>
      <c r="AY171" s="25" t="str">
        <f t="shared" si="235"/>
        <v>0</v>
      </c>
      <c r="AZ171" s="25" t="str">
        <f t="shared" si="235"/>
        <v>0</v>
      </c>
      <c r="BA171" s="25" t="str">
        <f t="shared" si="235"/>
        <v>0</v>
      </c>
      <c r="BB171" s="25" t="str">
        <f t="shared" si="235"/>
        <v>0</v>
      </c>
      <c r="BC171" s="25" t="str">
        <f t="shared" si="235"/>
        <v>0</v>
      </c>
      <c r="BD171" s="25" t="str">
        <f t="shared" si="235"/>
        <v>0</v>
      </c>
      <c r="BE171" s="25" t="str">
        <f t="shared" si="235"/>
        <v>0</v>
      </c>
      <c r="BF171" s="25" t="str">
        <f t="shared" si="235"/>
        <v>0</v>
      </c>
      <c r="BG171" s="25" t="str">
        <f t="shared" si="235"/>
        <v>0</v>
      </c>
      <c r="BH171" s="25" t="str">
        <f t="shared" si="235"/>
        <v>0</v>
      </c>
      <c r="BI171" s="25" t="str">
        <f t="shared" si="235"/>
        <v>0</v>
      </c>
      <c r="BJ171" s="25" t="str">
        <f t="shared" si="235"/>
        <v>0</v>
      </c>
      <c r="BK171" s="25" t="str">
        <f t="shared" si="235"/>
        <v>0</v>
      </c>
      <c r="BL171" s="25" t="str">
        <f t="shared" si="235"/>
        <v>0</v>
      </c>
      <c r="BM171" s="25" t="str">
        <f t="shared" si="235"/>
        <v>0</v>
      </c>
      <c r="BN171" s="25" t="str">
        <f t="shared" si="235"/>
        <v>0</v>
      </c>
      <c r="BO171" s="25" t="str">
        <f t="shared" si="235"/>
        <v>0</v>
      </c>
      <c r="BP171" s="25" t="str">
        <f t="shared" si="235"/>
        <v>0</v>
      </c>
      <c r="BQ171" s="25" t="str">
        <f t="shared" si="235"/>
        <v>0</v>
      </c>
      <c r="BR171" s="25" t="str">
        <f t="shared" si="235"/>
        <v>0</v>
      </c>
      <c r="BS171" s="25" t="str">
        <f t="shared" si="235"/>
        <v>0</v>
      </c>
      <c r="BT171" s="25" t="str">
        <f t="shared" si="235"/>
        <v>0</v>
      </c>
      <c r="BU171" s="25" t="str">
        <f t="shared" si="235"/>
        <v>0</v>
      </c>
      <c r="BV171" s="25" t="str">
        <f t="shared" si="235"/>
        <v>0</v>
      </c>
      <c r="BW171" s="25" t="str">
        <f t="shared" si="235"/>
        <v>0</v>
      </c>
      <c r="BX171" s="25" t="str">
        <f t="shared" si="235"/>
        <v>0</v>
      </c>
      <c r="BY171" s="25" t="str">
        <f t="shared" si="235"/>
        <v>0</v>
      </c>
      <c r="BZ171" s="25" t="str">
        <f t="shared" si="235"/>
        <v>0</v>
      </c>
      <c r="CC171" s="25" t="str">
        <f t="array" ref="CC171">INDEX($C$46:$C$74,MATCH(CD171,$B$46:$B$74,0))</f>
        <v>阿莱克西娅</v>
      </c>
      <c r="CD171" s="1">
        <v>1015</v>
      </c>
      <c r="CE171" s="1">
        <v>1</v>
      </c>
      <c r="CF171" s="25" t="str">
        <f t="array" ref="CF171">INDEX($T$5:$T$44,MATCH(CC171,$B$5:$B$44,0))</f>
        <v>魔法</v>
      </c>
      <c r="CG171" s="25">
        <f t="shared" si="189"/>
        <v>0</v>
      </c>
      <c r="CH171" s="25">
        <f t="shared" si="168"/>
        <v>1</v>
      </c>
      <c r="CI171" s="25">
        <f t="shared" si="169"/>
        <v>1</v>
      </c>
      <c r="CJ171" s="25">
        <f t="shared" si="170"/>
        <v>1</v>
      </c>
      <c r="CK171" s="25">
        <f t="shared" si="171"/>
        <v>1</v>
      </c>
      <c r="CL171" s="25">
        <v>0</v>
      </c>
      <c r="CM171" s="25">
        <f t="shared" si="190"/>
        <v>0</v>
      </c>
      <c r="CN171" s="25">
        <f t="shared" si="172"/>
        <v>0</v>
      </c>
      <c r="CO171" s="25">
        <f t="shared" si="173"/>
        <v>0</v>
      </c>
      <c r="CP171" s="29" t="str">
        <f t="shared" ref="CP171:DQ171" si="236">IF($CL171=CP$78,$CN171,"0")</f>
        <v>0</v>
      </c>
      <c r="CQ171" s="29" t="str">
        <f t="shared" si="236"/>
        <v>0</v>
      </c>
      <c r="CR171" s="29" t="str">
        <f t="shared" si="236"/>
        <v>0</v>
      </c>
      <c r="CS171" s="29" t="str">
        <f t="shared" si="236"/>
        <v>0</v>
      </c>
      <c r="CT171" s="29" t="str">
        <f t="shared" si="236"/>
        <v>0</v>
      </c>
      <c r="CU171" s="29" t="str">
        <f t="shared" si="236"/>
        <v>0</v>
      </c>
      <c r="CV171" s="29" t="str">
        <f t="shared" si="236"/>
        <v>0</v>
      </c>
      <c r="CW171" s="29" t="str">
        <f t="shared" si="236"/>
        <v>0</v>
      </c>
      <c r="CX171" s="29" t="str">
        <f t="shared" si="236"/>
        <v>0</v>
      </c>
      <c r="CY171" s="29" t="str">
        <f t="shared" si="236"/>
        <v>0</v>
      </c>
      <c r="CZ171" s="29" t="str">
        <f t="shared" si="236"/>
        <v>0</v>
      </c>
      <c r="DA171" s="29" t="str">
        <f t="shared" si="236"/>
        <v>0</v>
      </c>
      <c r="DB171" s="29" t="str">
        <f t="shared" si="236"/>
        <v>0</v>
      </c>
      <c r="DC171" s="29" t="str">
        <f t="shared" si="236"/>
        <v>0</v>
      </c>
      <c r="DD171" s="29" t="str">
        <f t="shared" si="236"/>
        <v>0</v>
      </c>
      <c r="DE171" s="29" t="str">
        <f t="shared" si="236"/>
        <v>0</v>
      </c>
      <c r="DF171" s="29" t="str">
        <f t="shared" si="236"/>
        <v>0</v>
      </c>
      <c r="DG171" s="29" t="str">
        <f t="shared" si="236"/>
        <v>0</v>
      </c>
      <c r="DH171" s="29" t="str">
        <f t="shared" si="236"/>
        <v>0</v>
      </c>
      <c r="DI171" s="29" t="str">
        <f t="shared" si="236"/>
        <v>0</v>
      </c>
      <c r="DJ171" s="29" t="str">
        <f t="shared" si="236"/>
        <v>0</v>
      </c>
      <c r="DK171" s="29" t="str">
        <f t="shared" si="236"/>
        <v>0</v>
      </c>
      <c r="DL171" s="29" t="str">
        <f t="shared" si="236"/>
        <v>0</v>
      </c>
      <c r="DM171" s="29" t="str">
        <f t="shared" si="236"/>
        <v>0</v>
      </c>
      <c r="DN171" s="29" t="str">
        <f t="shared" si="236"/>
        <v>0</v>
      </c>
      <c r="DO171" s="29" t="str">
        <f t="shared" si="236"/>
        <v>0</v>
      </c>
      <c r="DP171" s="29" t="str">
        <f t="shared" si="236"/>
        <v>0</v>
      </c>
      <c r="DQ171" s="29" t="str">
        <f t="shared" si="236"/>
        <v>0</v>
      </c>
      <c r="DR171" s="29"/>
      <c r="DS171" s="25">
        <v>0</v>
      </c>
      <c r="EE171" s="25" t="str">
        <f t="shared" si="175"/>
        <v>0</v>
      </c>
    </row>
    <row r="172" spans="1:135">
      <c r="A172" s="53">
        <v>1002034</v>
      </c>
      <c r="B172" s="49" t="s">
        <v>318</v>
      </c>
      <c r="C172" s="25">
        <f t="shared" si="146"/>
        <v>34</v>
      </c>
      <c r="D172" s="25">
        <f t="array" ref="D172">INDEX(C$5:C$67,MATCH($B172,$B$5:$B$67,0))</f>
        <v>5600</v>
      </c>
      <c r="E172" s="25">
        <f t="array" ref="E172">INDEX(D$5:D$67,MATCH($B172,$B$5:$B$67,0))</f>
        <v>448</v>
      </c>
      <c r="F172" s="25">
        <f t="array" ref="F172">INDEX(E$5:E$67,MATCH($B172,$B$5:$B$67,0))</f>
        <v>720</v>
      </c>
      <c r="G172" s="25">
        <f t="array" ref="G172">INDEX(F$5:F$67,MATCH($B172,$B$5:$B$67,0))</f>
        <v>57.6</v>
      </c>
      <c r="H172" s="25">
        <f t="array" ref="H172">INDEX(G$5:G$66,MATCH($B172,$B$5:$B$67,0))</f>
        <v>576</v>
      </c>
      <c r="I172" s="25">
        <f t="array" ref="I172">INDEX(H$5:H$67,MATCH($B172,$B$5:$B$67,0))</f>
        <v>46.08</v>
      </c>
      <c r="J172" s="25">
        <f t="array" ref="J172">INDEX(I$5:I$67,MATCH($B172,$B$5:$B$67,0))</f>
        <v>800</v>
      </c>
      <c r="K172" s="25">
        <f t="array" ref="K172">INDEX(J$5:J$67,MATCH($B172,$B$5:$B$67,0))</f>
        <v>64</v>
      </c>
      <c r="L172" s="25">
        <f t="shared" si="156"/>
        <v>20832</v>
      </c>
      <c r="M172" s="25">
        <f t="shared" si="157"/>
        <v>2678</v>
      </c>
      <c r="N172" s="25">
        <f t="shared" si="158"/>
        <v>2143</v>
      </c>
      <c r="O172" s="25">
        <f t="shared" si="159"/>
        <v>2976</v>
      </c>
      <c r="R172" s="50">
        <f t="array" ref="R172">INDEX($B$46:$B$68,MATCH(S172,$C$46:$C$68,0))*1000+T172</f>
        <v>1004013</v>
      </c>
      <c r="S172" s="51" t="s">
        <v>324</v>
      </c>
      <c r="T172" s="29">
        <f t="shared" si="232"/>
        <v>13</v>
      </c>
      <c r="U172" s="25">
        <f t="array" ref="U172">INDEX(K$5:K$67,MATCH($S172,$B$5:$B$67,0))</f>
        <v>506.09</v>
      </c>
      <c r="V172" s="25">
        <f t="array" ref="V172">INDEX(L$5:L$67,MATCH($S172,$B$5:$B$67,0))</f>
        <v>72.4</v>
      </c>
      <c r="W172" s="25">
        <f t="array" ref="W172">INDEX(M$5:M$67,MATCH($S172,$B$5:$B$67,0))</f>
        <v>94.08</v>
      </c>
      <c r="X172" s="25">
        <f t="array" ref="X172">INDEX(N$5:N$67,MATCH($S172,$B$5:$B$67,0))</f>
        <v>88.83</v>
      </c>
      <c r="Y172" s="25">
        <f t="shared" si="160"/>
        <v>6579</v>
      </c>
      <c r="Z172" s="25">
        <f t="shared" si="161"/>
        <v>941</v>
      </c>
      <c r="AA172" s="25">
        <f t="shared" si="162"/>
        <v>1223</v>
      </c>
      <c r="AB172" s="25">
        <f t="shared" si="163"/>
        <v>1155</v>
      </c>
      <c r="AF172" s="25">
        <v>94</v>
      </c>
      <c r="AG172" s="25">
        <f t="array" ref="AG172">INDEX($AE$79:$AE$116,QUOTIENT(AF172-1,8)+1)</f>
        <v>1013</v>
      </c>
      <c r="AH172" s="25">
        <f t="shared" si="192"/>
        <v>6</v>
      </c>
      <c r="AI172" s="25">
        <f t="shared" si="164"/>
        <v>10136</v>
      </c>
      <c r="AJ172" s="25" t="str">
        <f t="shared" si="165"/>
        <v>夏提拉</v>
      </c>
      <c r="AK172" s="25">
        <f t="shared" si="193"/>
        <v>1</v>
      </c>
      <c r="AL172" s="25" t="str">
        <f t="array" ref="AL172">INDEX($O$5:$O$42,MATCH(AJ172,$B$5:$B$42,0))</f>
        <v>攻击百分比</v>
      </c>
      <c r="AM172" s="25" t="str">
        <f t="array" ref="AM172">INDEX($P$5:$P$42,MATCH(AJ172,$B$5:$B$42,0))</f>
        <v>暴击等级</v>
      </c>
      <c r="AN172" s="25" t="str">
        <f t="array" ref="AN172">INDEX($Q$5:$Q$42,MATCH(AJ172,$B$5:$B$42,0))</f>
        <v>生命值百分比</v>
      </c>
      <c r="AO172" s="25" t="str">
        <f t="array" ref="AO172">INDEX(AL172:AN172,0,AK172)</f>
        <v>攻击百分比</v>
      </c>
      <c r="AP172" s="25">
        <f t="shared" si="151"/>
        <v>0.216666666666667</v>
      </c>
      <c r="AQ172" s="25">
        <f t="shared" si="166"/>
        <v>0.216666666666667</v>
      </c>
      <c r="AR172" s="25" t="str">
        <f t="shared" ref="AR172:BZ172" si="237">IF(AR$78=$AO172,$AQ172,"0")</f>
        <v>0</v>
      </c>
      <c r="AS172" s="25" t="str">
        <f t="shared" si="237"/>
        <v>0</v>
      </c>
      <c r="AT172" s="25" t="str">
        <f t="shared" si="237"/>
        <v>0</v>
      </c>
      <c r="AU172" s="25">
        <f t="shared" si="237"/>
        <v>0.216666666666667</v>
      </c>
      <c r="AV172" s="25" t="str">
        <f t="shared" si="237"/>
        <v>0</v>
      </c>
      <c r="AW172" s="25">
        <f t="shared" si="237"/>
        <v>0.216666666666667</v>
      </c>
      <c r="AX172" s="25" t="str">
        <f t="shared" si="237"/>
        <v>0</v>
      </c>
      <c r="AY172" s="25" t="str">
        <f t="shared" si="237"/>
        <v>0</v>
      </c>
      <c r="AZ172" s="25" t="str">
        <f t="shared" si="237"/>
        <v>0</v>
      </c>
      <c r="BA172" s="25" t="str">
        <f t="shared" si="237"/>
        <v>0</v>
      </c>
      <c r="BB172" s="25" t="str">
        <f t="shared" si="237"/>
        <v>0</v>
      </c>
      <c r="BC172" s="25" t="str">
        <f t="shared" si="237"/>
        <v>0</v>
      </c>
      <c r="BD172" s="25" t="str">
        <f t="shared" si="237"/>
        <v>0</v>
      </c>
      <c r="BE172" s="25" t="str">
        <f t="shared" si="237"/>
        <v>0</v>
      </c>
      <c r="BF172" s="25" t="str">
        <f t="shared" si="237"/>
        <v>0</v>
      </c>
      <c r="BG172" s="25" t="str">
        <f t="shared" si="237"/>
        <v>0</v>
      </c>
      <c r="BH172" s="25" t="str">
        <f t="shared" si="237"/>
        <v>0</v>
      </c>
      <c r="BI172" s="25" t="str">
        <f t="shared" si="237"/>
        <v>0</v>
      </c>
      <c r="BJ172" s="25" t="str">
        <f t="shared" si="237"/>
        <v>0</v>
      </c>
      <c r="BK172" s="25" t="str">
        <f t="shared" si="237"/>
        <v>0</v>
      </c>
      <c r="BL172" s="25" t="str">
        <f t="shared" si="237"/>
        <v>0</v>
      </c>
      <c r="BM172" s="25" t="str">
        <f t="shared" si="237"/>
        <v>0</v>
      </c>
      <c r="BN172" s="25" t="str">
        <f t="shared" si="237"/>
        <v>0</v>
      </c>
      <c r="BO172" s="25" t="str">
        <f t="shared" si="237"/>
        <v>0</v>
      </c>
      <c r="BP172" s="25" t="str">
        <f t="shared" si="237"/>
        <v>0</v>
      </c>
      <c r="BQ172" s="25" t="str">
        <f t="shared" si="237"/>
        <v>0</v>
      </c>
      <c r="BR172" s="25" t="str">
        <f t="shared" si="237"/>
        <v>0</v>
      </c>
      <c r="BS172" s="25" t="str">
        <f t="shared" si="237"/>
        <v>0</v>
      </c>
      <c r="BT172" s="25" t="str">
        <f t="shared" si="237"/>
        <v>0</v>
      </c>
      <c r="BU172" s="25" t="str">
        <f t="shared" si="237"/>
        <v>0</v>
      </c>
      <c r="BV172" s="25" t="str">
        <f t="shared" si="237"/>
        <v>0</v>
      </c>
      <c r="BW172" s="25" t="str">
        <f t="shared" si="237"/>
        <v>0</v>
      </c>
      <c r="BX172" s="25" t="str">
        <f t="shared" si="237"/>
        <v>0</v>
      </c>
      <c r="BY172" s="25" t="str">
        <f t="shared" si="237"/>
        <v>0</v>
      </c>
      <c r="BZ172" s="25" t="str">
        <f t="shared" si="237"/>
        <v>0</v>
      </c>
      <c r="CC172" s="25" t="str">
        <f t="array" ref="CC172">INDEX($C$46:$C$74,MATCH(CD172,$B$46:$B$74,0))</f>
        <v>阿莱克西娅</v>
      </c>
      <c r="CD172" s="1">
        <v>1015</v>
      </c>
      <c r="CE172" s="1">
        <v>2</v>
      </c>
      <c r="CF172" s="25" t="str">
        <f t="array" ref="CF172">INDEX($T$5:$T$44,MATCH(CC172,$B$5:$B$44,0))</f>
        <v>魔法</v>
      </c>
      <c r="CG172" s="25">
        <f t="shared" si="189"/>
        <v>0</v>
      </c>
      <c r="CH172" s="25">
        <f t="shared" si="168"/>
        <v>1</v>
      </c>
      <c r="CI172" s="25">
        <f t="shared" si="169"/>
        <v>1</v>
      </c>
      <c r="CJ172" s="25">
        <f t="shared" si="170"/>
        <v>1</v>
      </c>
      <c r="CK172" s="25">
        <f t="shared" si="171"/>
        <v>1</v>
      </c>
      <c r="CL172" s="25">
        <v>0</v>
      </c>
      <c r="CM172" s="25">
        <f t="shared" si="190"/>
        <v>0</v>
      </c>
      <c r="CN172" s="25">
        <f t="shared" si="172"/>
        <v>0</v>
      </c>
      <c r="CO172" s="25">
        <f t="shared" si="173"/>
        <v>0</v>
      </c>
      <c r="CP172" s="29" t="str">
        <f t="shared" ref="CP172:DQ172" si="238">IF($CL172=CP$78,$CN172,"0")</f>
        <v>0</v>
      </c>
      <c r="CQ172" s="29" t="str">
        <f t="shared" si="238"/>
        <v>0</v>
      </c>
      <c r="CR172" s="29" t="str">
        <f t="shared" si="238"/>
        <v>0</v>
      </c>
      <c r="CS172" s="29" t="str">
        <f t="shared" si="238"/>
        <v>0</v>
      </c>
      <c r="CT172" s="29" t="str">
        <f t="shared" si="238"/>
        <v>0</v>
      </c>
      <c r="CU172" s="29" t="str">
        <f t="shared" si="238"/>
        <v>0</v>
      </c>
      <c r="CV172" s="29" t="str">
        <f t="shared" si="238"/>
        <v>0</v>
      </c>
      <c r="CW172" s="29" t="str">
        <f t="shared" si="238"/>
        <v>0</v>
      </c>
      <c r="CX172" s="29" t="str">
        <f t="shared" si="238"/>
        <v>0</v>
      </c>
      <c r="CY172" s="29" t="str">
        <f t="shared" si="238"/>
        <v>0</v>
      </c>
      <c r="CZ172" s="29" t="str">
        <f t="shared" si="238"/>
        <v>0</v>
      </c>
      <c r="DA172" s="29" t="str">
        <f t="shared" si="238"/>
        <v>0</v>
      </c>
      <c r="DB172" s="29" t="str">
        <f t="shared" si="238"/>
        <v>0</v>
      </c>
      <c r="DC172" s="29" t="str">
        <f t="shared" si="238"/>
        <v>0</v>
      </c>
      <c r="DD172" s="29" t="str">
        <f t="shared" si="238"/>
        <v>0</v>
      </c>
      <c r="DE172" s="29" t="str">
        <f t="shared" si="238"/>
        <v>0</v>
      </c>
      <c r="DF172" s="29" t="str">
        <f t="shared" si="238"/>
        <v>0</v>
      </c>
      <c r="DG172" s="29" t="str">
        <f t="shared" si="238"/>
        <v>0</v>
      </c>
      <c r="DH172" s="29" t="str">
        <f t="shared" si="238"/>
        <v>0</v>
      </c>
      <c r="DI172" s="29" t="str">
        <f t="shared" si="238"/>
        <v>0</v>
      </c>
      <c r="DJ172" s="29" t="str">
        <f t="shared" si="238"/>
        <v>0</v>
      </c>
      <c r="DK172" s="29" t="str">
        <f t="shared" si="238"/>
        <v>0</v>
      </c>
      <c r="DL172" s="29" t="str">
        <f t="shared" si="238"/>
        <v>0</v>
      </c>
      <c r="DM172" s="29" t="str">
        <f t="shared" si="238"/>
        <v>0</v>
      </c>
      <c r="DN172" s="29" t="str">
        <f t="shared" si="238"/>
        <v>0</v>
      </c>
      <c r="DO172" s="29" t="str">
        <f t="shared" si="238"/>
        <v>0</v>
      </c>
      <c r="DP172" s="29" t="str">
        <f t="shared" si="238"/>
        <v>0</v>
      </c>
      <c r="DQ172" s="29" t="str">
        <f t="shared" si="238"/>
        <v>0</v>
      </c>
      <c r="DR172" s="29"/>
      <c r="DS172" s="25">
        <v>0</v>
      </c>
      <c r="EE172" s="25" t="str">
        <f t="shared" si="175"/>
        <v>0</v>
      </c>
    </row>
    <row r="173" spans="1:135">
      <c r="A173" s="53">
        <v>1002035</v>
      </c>
      <c r="B173" s="49" t="s">
        <v>318</v>
      </c>
      <c r="C173" s="25">
        <f t="shared" si="146"/>
        <v>35</v>
      </c>
      <c r="D173" s="25">
        <f t="array" ref="D173">INDEX(C$5:C$67,MATCH($B173,$B$5:$B$67,0))</f>
        <v>5600</v>
      </c>
      <c r="E173" s="25">
        <f t="array" ref="E173">INDEX(D$5:D$67,MATCH($B173,$B$5:$B$67,0))</f>
        <v>448</v>
      </c>
      <c r="F173" s="25">
        <f t="array" ref="F173">INDEX(E$5:E$67,MATCH($B173,$B$5:$B$67,0))</f>
        <v>720</v>
      </c>
      <c r="G173" s="25">
        <f t="array" ref="G173">INDEX(F$5:F$67,MATCH($B173,$B$5:$B$67,0))</f>
        <v>57.6</v>
      </c>
      <c r="H173" s="25">
        <f t="array" ref="H173">INDEX(G$5:G$66,MATCH($B173,$B$5:$B$67,0))</f>
        <v>576</v>
      </c>
      <c r="I173" s="25">
        <f t="array" ref="I173">INDEX(H$5:H$67,MATCH($B173,$B$5:$B$67,0))</f>
        <v>46.08</v>
      </c>
      <c r="J173" s="25">
        <f t="array" ref="J173">INDEX(I$5:I$67,MATCH($B173,$B$5:$B$67,0))</f>
        <v>800</v>
      </c>
      <c r="K173" s="25">
        <f t="array" ref="K173">INDEX(J$5:J$67,MATCH($B173,$B$5:$B$67,0))</f>
        <v>64</v>
      </c>
      <c r="L173" s="25">
        <f t="shared" si="156"/>
        <v>21280</v>
      </c>
      <c r="M173" s="25">
        <f t="shared" si="157"/>
        <v>2736</v>
      </c>
      <c r="N173" s="25">
        <f t="shared" si="158"/>
        <v>2189</v>
      </c>
      <c r="O173" s="25">
        <f t="shared" si="159"/>
        <v>3040</v>
      </c>
      <c r="R173" s="50">
        <f t="array" ref="R173">INDEX($B$46:$B$68,MATCH(S173,$C$46:$C$68,0))*1000+T173</f>
        <v>1004014</v>
      </c>
      <c r="S173" s="51" t="s">
        <v>324</v>
      </c>
      <c r="T173" s="29">
        <f t="shared" si="232"/>
        <v>14</v>
      </c>
      <c r="U173" s="25">
        <f t="array" ref="U173">INDEX(K$5:K$67,MATCH($S173,$B$5:$B$67,0))</f>
        <v>506.09</v>
      </c>
      <c r="V173" s="25">
        <f t="array" ref="V173">INDEX(L$5:L$67,MATCH($S173,$B$5:$B$67,0))</f>
        <v>72.4</v>
      </c>
      <c r="W173" s="25">
        <f t="array" ref="W173">INDEX(M$5:M$67,MATCH($S173,$B$5:$B$67,0))</f>
        <v>94.08</v>
      </c>
      <c r="X173" s="25">
        <f t="array" ref="X173">INDEX(N$5:N$67,MATCH($S173,$B$5:$B$67,0))</f>
        <v>88.83</v>
      </c>
      <c r="Y173" s="25">
        <f t="shared" si="160"/>
        <v>7085</v>
      </c>
      <c r="Z173" s="25">
        <f t="shared" si="161"/>
        <v>1014</v>
      </c>
      <c r="AA173" s="25">
        <f t="shared" si="162"/>
        <v>1317</v>
      </c>
      <c r="AB173" s="25">
        <f t="shared" si="163"/>
        <v>1244</v>
      </c>
      <c r="AF173" s="25">
        <v>95</v>
      </c>
      <c r="AG173" s="25">
        <f t="array" ref="AG173">INDEX($AE$79:$AE$116,QUOTIENT(AF173-1,8)+1)</f>
        <v>1013</v>
      </c>
      <c r="AH173" s="25">
        <f t="shared" si="192"/>
        <v>7</v>
      </c>
      <c r="AI173" s="25">
        <f t="shared" si="164"/>
        <v>10137</v>
      </c>
      <c r="AJ173" s="25" t="str">
        <f t="shared" si="165"/>
        <v>夏提拉</v>
      </c>
      <c r="AK173" s="25">
        <f t="shared" si="193"/>
        <v>2</v>
      </c>
      <c r="AL173" s="25" t="str">
        <f t="array" ref="AL173">INDEX($O$5:$O$42,MATCH(AJ173,$B$5:$B$42,0))</f>
        <v>攻击百分比</v>
      </c>
      <c r="AM173" s="25" t="str">
        <f t="array" ref="AM173">INDEX($P$5:$P$42,MATCH(AJ173,$B$5:$B$42,0))</f>
        <v>暴击等级</v>
      </c>
      <c r="AN173" s="25" t="str">
        <f t="array" ref="AN173">INDEX($Q$5:$Q$42,MATCH(AJ173,$B$5:$B$42,0))</f>
        <v>生命值百分比</v>
      </c>
      <c r="AO173" s="25" t="str">
        <f t="array" ref="AO173">INDEX(AL173:AN173,0,AK173)</f>
        <v>暴击等级</v>
      </c>
      <c r="AP173" s="25">
        <f t="shared" si="151"/>
        <v>0.15</v>
      </c>
      <c r="AQ173" s="25">
        <f t="shared" si="166"/>
        <v>1350</v>
      </c>
      <c r="AR173" s="25" t="str">
        <f t="shared" ref="AR173:BZ173" si="239">IF(AR$78=$AO173,$AQ173,"0")</f>
        <v>0</v>
      </c>
      <c r="AS173" s="25" t="str">
        <f t="shared" si="239"/>
        <v>0</v>
      </c>
      <c r="AT173" s="25" t="str">
        <f t="shared" si="239"/>
        <v>0</v>
      </c>
      <c r="AU173" s="25" t="str">
        <f t="shared" si="239"/>
        <v>0</v>
      </c>
      <c r="AV173" s="25" t="str">
        <f t="shared" si="239"/>
        <v>0</v>
      </c>
      <c r="AW173" s="25" t="str">
        <f t="shared" si="239"/>
        <v>0</v>
      </c>
      <c r="AX173" s="25" t="str">
        <f t="shared" si="239"/>
        <v>0</v>
      </c>
      <c r="AY173" s="25" t="str">
        <f t="shared" si="239"/>
        <v>0</v>
      </c>
      <c r="AZ173" s="25" t="str">
        <f t="shared" si="239"/>
        <v>0</v>
      </c>
      <c r="BA173" s="25" t="str">
        <f t="shared" si="239"/>
        <v>0</v>
      </c>
      <c r="BB173" s="25" t="str">
        <f t="shared" si="239"/>
        <v>0</v>
      </c>
      <c r="BC173" s="25" t="str">
        <f t="shared" si="239"/>
        <v>0</v>
      </c>
      <c r="BD173" s="25" t="str">
        <f t="shared" si="239"/>
        <v>0</v>
      </c>
      <c r="BE173" s="25" t="str">
        <f t="shared" si="239"/>
        <v>0</v>
      </c>
      <c r="BF173" s="25" t="str">
        <f t="shared" si="239"/>
        <v>0</v>
      </c>
      <c r="BG173" s="25" t="str">
        <f t="shared" si="239"/>
        <v>0</v>
      </c>
      <c r="BH173" s="25" t="str">
        <f t="shared" si="239"/>
        <v>0</v>
      </c>
      <c r="BI173" s="25" t="str">
        <f t="shared" si="239"/>
        <v>0</v>
      </c>
      <c r="BJ173" s="25" t="str">
        <f t="shared" si="239"/>
        <v>0</v>
      </c>
      <c r="BK173" s="25" t="str">
        <f t="shared" si="239"/>
        <v>0</v>
      </c>
      <c r="BL173" s="25" t="str">
        <f t="shared" si="239"/>
        <v>0</v>
      </c>
      <c r="BM173" s="25" t="str">
        <f t="shared" si="239"/>
        <v>0</v>
      </c>
      <c r="BN173" s="25" t="str">
        <f t="shared" si="239"/>
        <v>0</v>
      </c>
      <c r="BO173" s="25" t="str">
        <f t="shared" si="239"/>
        <v>0</v>
      </c>
      <c r="BP173" s="25" t="str">
        <f t="shared" si="239"/>
        <v>0</v>
      </c>
      <c r="BQ173" s="25" t="str">
        <f t="shared" si="239"/>
        <v>0</v>
      </c>
      <c r="BR173" s="25" t="str">
        <f t="shared" si="239"/>
        <v>0</v>
      </c>
      <c r="BS173" s="25" t="str">
        <f t="shared" si="239"/>
        <v>0</v>
      </c>
      <c r="BT173" s="25" t="str">
        <f t="shared" si="239"/>
        <v>0</v>
      </c>
      <c r="BU173" s="25" t="str">
        <f t="shared" si="239"/>
        <v>0</v>
      </c>
      <c r="BV173" s="25" t="str">
        <f t="shared" si="239"/>
        <v>0</v>
      </c>
      <c r="BW173" s="25">
        <f t="shared" si="239"/>
        <v>1350</v>
      </c>
      <c r="BX173" s="25" t="str">
        <f t="shared" si="239"/>
        <v>0</v>
      </c>
      <c r="BY173" s="25" t="str">
        <f t="shared" si="239"/>
        <v>0</v>
      </c>
      <c r="BZ173" s="25" t="str">
        <f t="shared" si="239"/>
        <v>0</v>
      </c>
      <c r="CC173" s="25" t="str">
        <f t="array" ref="CC173">INDEX($C$46:$C$74,MATCH(CD173,$B$46:$B$74,0))</f>
        <v>阿莱克西娅</v>
      </c>
      <c r="CD173" s="1">
        <v>1015</v>
      </c>
      <c r="CE173" s="1">
        <v>3</v>
      </c>
      <c r="CF173" s="25" t="str">
        <f t="array" ref="CF173">INDEX($T$5:$T$44,MATCH(CC173,$B$5:$B$44,0))</f>
        <v>魔法</v>
      </c>
      <c r="CG173" s="25">
        <f t="shared" si="189"/>
        <v>0.15</v>
      </c>
      <c r="CH173" s="25">
        <f t="shared" si="168"/>
        <v>1.15</v>
      </c>
      <c r="CI173" s="25">
        <f t="shared" si="169"/>
        <v>1</v>
      </c>
      <c r="CJ173" s="25">
        <f t="shared" si="170"/>
        <v>1.15</v>
      </c>
      <c r="CK173" s="25">
        <f t="shared" si="171"/>
        <v>1.15</v>
      </c>
      <c r="CL173" s="25" t="str">
        <f t="array" ref="CL173">INDEX($R$5:$R$43,MATCH(CC173,$B$5:$B$43,0))</f>
        <v>魔法伤害加成</v>
      </c>
      <c r="CM173" s="25">
        <f t="shared" si="190"/>
        <v>0.3</v>
      </c>
      <c r="CN173" s="25">
        <f t="shared" si="172"/>
        <v>0.12</v>
      </c>
      <c r="CO173" s="25">
        <f t="shared" si="173"/>
        <v>1</v>
      </c>
      <c r="CP173" s="29" t="str">
        <f t="shared" ref="CP173:DQ173" si="240">IF($CL173=CP$78,$CN173,"0")</f>
        <v>0</v>
      </c>
      <c r="CQ173" s="29" t="str">
        <f t="shared" si="240"/>
        <v>0</v>
      </c>
      <c r="CR173" s="29" t="str">
        <f t="shared" si="240"/>
        <v>0</v>
      </c>
      <c r="CS173" s="29" t="str">
        <f t="shared" si="240"/>
        <v>0</v>
      </c>
      <c r="CT173" s="29" t="str">
        <f t="shared" si="240"/>
        <v>0</v>
      </c>
      <c r="CU173" s="29" t="str">
        <f t="shared" si="240"/>
        <v>0</v>
      </c>
      <c r="CV173" s="29" t="str">
        <f t="shared" si="240"/>
        <v>0</v>
      </c>
      <c r="CW173" s="29" t="str">
        <f t="shared" si="240"/>
        <v>0</v>
      </c>
      <c r="CX173" s="29" t="str">
        <f t="shared" si="240"/>
        <v>0</v>
      </c>
      <c r="CY173" s="29" t="str">
        <f t="shared" si="240"/>
        <v>0</v>
      </c>
      <c r="CZ173" s="29" t="str">
        <f t="shared" si="240"/>
        <v>0</v>
      </c>
      <c r="DA173" s="29" t="str">
        <f t="shared" si="240"/>
        <v>0</v>
      </c>
      <c r="DB173" s="29" t="str">
        <f t="shared" si="240"/>
        <v>0</v>
      </c>
      <c r="DC173" s="29">
        <f t="shared" si="240"/>
        <v>0.12</v>
      </c>
      <c r="DD173" s="29" t="str">
        <f t="shared" si="240"/>
        <v>0</v>
      </c>
      <c r="DE173" s="29" t="str">
        <f t="shared" si="240"/>
        <v>0</v>
      </c>
      <c r="DF173" s="29" t="str">
        <f t="shared" si="240"/>
        <v>0</v>
      </c>
      <c r="DG173" s="29" t="str">
        <f t="shared" si="240"/>
        <v>0</v>
      </c>
      <c r="DH173" s="29" t="str">
        <f t="shared" si="240"/>
        <v>0</v>
      </c>
      <c r="DI173" s="29" t="str">
        <f t="shared" si="240"/>
        <v>0</v>
      </c>
      <c r="DJ173" s="29" t="str">
        <f t="shared" si="240"/>
        <v>0</v>
      </c>
      <c r="DK173" s="29" t="str">
        <f t="shared" si="240"/>
        <v>0</v>
      </c>
      <c r="DL173" s="29" t="str">
        <f t="shared" si="240"/>
        <v>0</v>
      </c>
      <c r="DM173" s="29" t="str">
        <f t="shared" si="240"/>
        <v>0</v>
      </c>
      <c r="DN173" s="29" t="str">
        <f t="shared" si="240"/>
        <v>0</v>
      </c>
      <c r="DO173" s="29" t="str">
        <f t="shared" si="240"/>
        <v>0</v>
      </c>
      <c r="DP173" s="29" t="str">
        <f t="shared" si="240"/>
        <v>0</v>
      </c>
      <c r="DQ173" s="29" t="str">
        <f t="shared" si="240"/>
        <v>0</v>
      </c>
      <c r="DR173" s="29"/>
      <c r="DS173" s="25" t="s">
        <v>1011</v>
      </c>
      <c r="DT173" s="25" t="str">
        <f>TEXT(角色升星!$F$18,"0%")</f>
        <v>15%</v>
      </c>
      <c r="DU173" s="25" t="s">
        <v>779</v>
      </c>
      <c r="DV173" s="25" t="str">
        <f>IF(CF173="物理","PhysicsAttack,+","MagicAttack,+")</f>
        <v>MagicAttack,+</v>
      </c>
      <c r="DW173" s="25" t="str">
        <f>TEXT(角色升星!$F$18,"0%")</f>
        <v>15%</v>
      </c>
      <c r="DX173" s="25" t="s">
        <v>779</v>
      </c>
      <c r="DY173" s="25" t="s">
        <v>1012</v>
      </c>
      <c r="DZ173" s="25" t="str">
        <f>TEXT(角色升星!$F$18,"0%")</f>
        <v>15%</v>
      </c>
      <c r="EA173" s="25" t="s">
        <v>779</v>
      </c>
      <c r="EB173" s="25" t="str">
        <f>VLOOKUP(CL173,$O$46:$P$73,2,0)</f>
        <v>MagicDmgBonus</v>
      </c>
      <c r="EC173" s="25" t="s">
        <v>1013</v>
      </c>
      <c r="ED173" s="25" t="str">
        <f>IF(CN173&gt;1,CN173,TEXT(CN173,"0%"))</f>
        <v>12%</v>
      </c>
      <c r="EE173" s="25" t="str">
        <f t="shared" si="175"/>
        <v>Hp,+15%;MagicAttack,+15%;Armor,+15%;MagicDmgBonus,+12%</v>
      </c>
    </row>
    <row r="174" spans="1:135">
      <c r="A174" s="53">
        <v>1002036</v>
      </c>
      <c r="B174" s="49" t="s">
        <v>318</v>
      </c>
      <c r="C174" s="25">
        <f t="shared" si="146"/>
        <v>36</v>
      </c>
      <c r="D174" s="25">
        <f t="array" ref="D174">INDEX(C$5:C$67,MATCH($B174,$B$5:$B$67,0))</f>
        <v>5600</v>
      </c>
      <c r="E174" s="25">
        <f t="array" ref="E174">INDEX(D$5:D$67,MATCH($B174,$B$5:$B$67,0))</f>
        <v>448</v>
      </c>
      <c r="F174" s="25">
        <f t="array" ref="F174">INDEX(E$5:E$67,MATCH($B174,$B$5:$B$67,0))</f>
        <v>720</v>
      </c>
      <c r="G174" s="25">
        <f t="array" ref="G174">INDEX(F$5:F$67,MATCH($B174,$B$5:$B$67,0))</f>
        <v>57.6</v>
      </c>
      <c r="H174" s="25">
        <f t="array" ref="H174">INDEX(G$5:G$66,MATCH($B174,$B$5:$B$67,0))</f>
        <v>576</v>
      </c>
      <c r="I174" s="25">
        <f t="array" ref="I174">INDEX(H$5:H$67,MATCH($B174,$B$5:$B$67,0))</f>
        <v>46.08</v>
      </c>
      <c r="J174" s="25">
        <f t="array" ref="J174">INDEX(I$5:I$67,MATCH($B174,$B$5:$B$67,0))</f>
        <v>800</v>
      </c>
      <c r="K174" s="25">
        <f t="array" ref="K174">INDEX(J$5:J$67,MATCH($B174,$B$5:$B$67,0))</f>
        <v>64</v>
      </c>
      <c r="L174" s="25">
        <f t="shared" si="156"/>
        <v>21728</v>
      </c>
      <c r="M174" s="25">
        <f t="shared" si="157"/>
        <v>2794</v>
      </c>
      <c r="N174" s="25">
        <f t="shared" si="158"/>
        <v>2235</v>
      </c>
      <c r="O174" s="25">
        <f t="shared" si="159"/>
        <v>3104</v>
      </c>
      <c r="R174" s="50">
        <f t="array" ref="R174">INDEX($B$46:$B$68,MATCH(S174,$C$46:$C$68,0))*1000+T174</f>
        <v>1004015</v>
      </c>
      <c r="S174" s="51" t="s">
        <v>324</v>
      </c>
      <c r="T174" s="29">
        <f t="shared" si="232"/>
        <v>15</v>
      </c>
      <c r="U174" s="25">
        <f t="array" ref="U174">INDEX(K$5:K$67,MATCH($S174,$B$5:$B$67,0))</f>
        <v>506.09</v>
      </c>
      <c r="V174" s="25">
        <f t="array" ref="V174">INDEX(L$5:L$67,MATCH($S174,$B$5:$B$67,0))</f>
        <v>72.4</v>
      </c>
      <c r="W174" s="25">
        <f t="array" ref="W174">INDEX(M$5:M$67,MATCH($S174,$B$5:$B$67,0))</f>
        <v>94.08</v>
      </c>
      <c r="X174" s="25">
        <f t="array" ref="X174">INDEX(N$5:N$67,MATCH($S174,$B$5:$B$67,0))</f>
        <v>88.83</v>
      </c>
      <c r="Y174" s="25">
        <f t="shared" si="160"/>
        <v>7591</v>
      </c>
      <c r="Z174" s="25">
        <f t="shared" si="161"/>
        <v>1086</v>
      </c>
      <c r="AA174" s="25">
        <f t="shared" si="162"/>
        <v>1411</v>
      </c>
      <c r="AB174" s="25">
        <f t="shared" si="163"/>
        <v>1332</v>
      </c>
      <c r="AF174" s="25">
        <v>96</v>
      </c>
      <c r="AG174" s="25">
        <f t="array" ref="AG174">INDEX($AE$79:$AE$116,QUOTIENT(AF174-1,8)+1)</f>
        <v>1013</v>
      </c>
      <c r="AH174" s="25">
        <f t="shared" si="192"/>
        <v>8</v>
      </c>
      <c r="AI174" s="25">
        <f t="shared" si="164"/>
        <v>10138</v>
      </c>
      <c r="AJ174" s="25" t="str">
        <f t="shared" si="165"/>
        <v>夏提拉</v>
      </c>
      <c r="AK174" s="25">
        <f t="shared" si="193"/>
        <v>3</v>
      </c>
      <c r="AL174" s="25" t="str">
        <f t="array" ref="AL174">INDEX($O$5:$O$42,MATCH(AJ174,$B$5:$B$42,0))</f>
        <v>攻击百分比</v>
      </c>
      <c r="AM174" s="25" t="str">
        <f t="array" ref="AM174">INDEX($P$5:$P$42,MATCH(AJ174,$B$5:$B$42,0))</f>
        <v>暴击等级</v>
      </c>
      <c r="AN174" s="25" t="str">
        <f t="array" ref="AN174">INDEX($Q$5:$Q$42,MATCH(AJ174,$B$5:$B$42,0))</f>
        <v>生命值百分比</v>
      </c>
      <c r="AO174" s="25" t="str">
        <f t="array" ref="AO174">INDEX(AL174:AN174,0,AK174)</f>
        <v>生命值百分比</v>
      </c>
      <c r="AP174" s="25">
        <f t="shared" si="151"/>
        <v>0.216666666666667</v>
      </c>
      <c r="AQ174" s="25">
        <f t="shared" si="166"/>
        <v>0.216666666666667</v>
      </c>
      <c r="AR174" s="25" t="str">
        <f t="shared" ref="AR174:BZ174" si="241">IF(AR$78=$AO174,$AQ174,"0")</f>
        <v>0</v>
      </c>
      <c r="AS174" s="25">
        <f t="shared" si="241"/>
        <v>0.216666666666667</v>
      </c>
      <c r="AT174" s="25" t="str">
        <f t="shared" si="241"/>
        <v>0</v>
      </c>
      <c r="AU174" s="25" t="str">
        <f t="shared" si="241"/>
        <v>0</v>
      </c>
      <c r="AV174" s="25" t="str">
        <f t="shared" si="241"/>
        <v>0</v>
      </c>
      <c r="AW174" s="25" t="str">
        <f t="shared" si="241"/>
        <v>0</v>
      </c>
      <c r="AX174" s="25" t="str">
        <f t="shared" si="241"/>
        <v>0</v>
      </c>
      <c r="AY174" s="25" t="str">
        <f t="shared" si="241"/>
        <v>0</v>
      </c>
      <c r="AZ174" s="25" t="str">
        <f t="shared" si="241"/>
        <v>0</v>
      </c>
      <c r="BA174" s="25" t="str">
        <f t="shared" si="241"/>
        <v>0</v>
      </c>
      <c r="BB174" s="25" t="str">
        <f t="shared" si="241"/>
        <v>0</v>
      </c>
      <c r="BC174" s="25" t="str">
        <f t="shared" si="241"/>
        <v>0</v>
      </c>
      <c r="BD174" s="25" t="str">
        <f t="shared" si="241"/>
        <v>0</v>
      </c>
      <c r="BE174" s="25" t="str">
        <f t="shared" si="241"/>
        <v>0</v>
      </c>
      <c r="BF174" s="25" t="str">
        <f t="shared" si="241"/>
        <v>0</v>
      </c>
      <c r="BG174" s="25" t="str">
        <f t="shared" si="241"/>
        <v>0</v>
      </c>
      <c r="BH174" s="25" t="str">
        <f t="shared" si="241"/>
        <v>0</v>
      </c>
      <c r="BI174" s="25" t="str">
        <f t="shared" si="241"/>
        <v>0</v>
      </c>
      <c r="BJ174" s="25" t="str">
        <f t="shared" si="241"/>
        <v>0</v>
      </c>
      <c r="BK174" s="25" t="str">
        <f t="shared" si="241"/>
        <v>0</v>
      </c>
      <c r="BL174" s="25" t="str">
        <f t="shared" si="241"/>
        <v>0</v>
      </c>
      <c r="BM174" s="25" t="str">
        <f t="shared" si="241"/>
        <v>0</v>
      </c>
      <c r="BN174" s="25" t="str">
        <f t="shared" si="241"/>
        <v>0</v>
      </c>
      <c r="BO174" s="25" t="str">
        <f t="shared" si="241"/>
        <v>0</v>
      </c>
      <c r="BP174" s="25" t="str">
        <f t="shared" si="241"/>
        <v>0</v>
      </c>
      <c r="BQ174" s="25" t="str">
        <f t="shared" si="241"/>
        <v>0</v>
      </c>
      <c r="BR174" s="25" t="str">
        <f t="shared" si="241"/>
        <v>0</v>
      </c>
      <c r="BS174" s="25" t="str">
        <f t="shared" si="241"/>
        <v>0</v>
      </c>
      <c r="BT174" s="25" t="str">
        <f t="shared" si="241"/>
        <v>0</v>
      </c>
      <c r="BU174" s="25" t="str">
        <f t="shared" si="241"/>
        <v>0</v>
      </c>
      <c r="BV174" s="25" t="str">
        <f t="shared" si="241"/>
        <v>0</v>
      </c>
      <c r="BW174" s="25" t="str">
        <f t="shared" si="241"/>
        <v>0</v>
      </c>
      <c r="BX174" s="25" t="str">
        <f t="shared" si="241"/>
        <v>0</v>
      </c>
      <c r="BY174" s="25" t="str">
        <f t="shared" si="241"/>
        <v>0</v>
      </c>
      <c r="BZ174" s="25" t="str">
        <f t="shared" si="241"/>
        <v>0</v>
      </c>
      <c r="CC174" s="25" t="str">
        <f t="array" ref="CC174">INDEX($C$46:$C$74,MATCH(CD174,$B$46:$B$74,0))</f>
        <v>阿莱克西娅</v>
      </c>
      <c r="CD174" s="1">
        <v>1015</v>
      </c>
      <c r="CE174" s="1">
        <v>4</v>
      </c>
      <c r="CF174" s="25" t="str">
        <f t="array" ref="CF174">INDEX($T$5:$T$44,MATCH(CC174,$B$5:$B$44,0))</f>
        <v>魔法</v>
      </c>
      <c r="CG174" s="25">
        <f t="shared" si="189"/>
        <v>0.15</v>
      </c>
      <c r="CH174" s="25">
        <f t="shared" si="168"/>
        <v>1.15</v>
      </c>
      <c r="CI174" s="25">
        <f t="shared" si="169"/>
        <v>1</v>
      </c>
      <c r="CJ174" s="25">
        <f t="shared" si="170"/>
        <v>1.15</v>
      </c>
      <c r="CK174" s="25">
        <f t="shared" si="171"/>
        <v>1.15</v>
      </c>
      <c r="CL174" s="25">
        <v>0</v>
      </c>
      <c r="CM174" s="25">
        <f t="shared" si="190"/>
        <v>0</v>
      </c>
      <c r="CN174" s="25">
        <f t="shared" si="172"/>
        <v>0</v>
      </c>
      <c r="CO174" s="25">
        <f t="shared" si="173"/>
        <v>0</v>
      </c>
      <c r="CP174" s="29" t="str">
        <f t="shared" ref="CP174:DQ174" si="242">IF($CL174=CP$78,$CN174,"0")</f>
        <v>0</v>
      </c>
      <c r="CQ174" s="29" t="str">
        <f t="shared" si="242"/>
        <v>0</v>
      </c>
      <c r="CR174" s="29" t="str">
        <f t="shared" si="242"/>
        <v>0</v>
      </c>
      <c r="CS174" s="29" t="str">
        <f t="shared" si="242"/>
        <v>0</v>
      </c>
      <c r="CT174" s="29" t="str">
        <f t="shared" si="242"/>
        <v>0</v>
      </c>
      <c r="CU174" s="29" t="str">
        <f t="shared" si="242"/>
        <v>0</v>
      </c>
      <c r="CV174" s="29" t="str">
        <f t="shared" si="242"/>
        <v>0</v>
      </c>
      <c r="CW174" s="29" t="str">
        <f t="shared" si="242"/>
        <v>0</v>
      </c>
      <c r="CX174" s="29" t="str">
        <f t="shared" si="242"/>
        <v>0</v>
      </c>
      <c r="CY174" s="29" t="str">
        <f t="shared" si="242"/>
        <v>0</v>
      </c>
      <c r="CZ174" s="29" t="str">
        <f t="shared" si="242"/>
        <v>0</v>
      </c>
      <c r="DA174" s="29" t="str">
        <f t="shared" si="242"/>
        <v>0</v>
      </c>
      <c r="DB174" s="29" t="str">
        <f t="shared" si="242"/>
        <v>0</v>
      </c>
      <c r="DC174" s="29" t="str">
        <f t="shared" si="242"/>
        <v>0</v>
      </c>
      <c r="DD174" s="29" t="str">
        <f t="shared" si="242"/>
        <v>0</v>
      </c>
      <c r="DE174" s="29" t="str">
        <f t="shared" si="242"/>
        <v>0</v>
      </c>
      <c r="DF174" s="29" t="str">
        <f t="shared" si="242"/>
        <v>0</v>
      </c>
      <c r="DG174" s="29" t="str">
        <f t="shared" si="242"/>
        <v>0</v>
      </c>
      <c r="DH174" s="29" t="str">
        <f t="shared" si="242"/>
        <v>0</v>
      </c>
      <c r="DI174" s="29" t="str">
        <f t="shared" si="242"/>
        <v>0</v>
      </c>
      <c r="DJ174" s="29" t="str">
        <f t="shared" si="242"/>
        <v>0</v>
      </c>
      <c r="DK174" s="29" t="str">
        <f t="shared" si="242"/>
        <v>0</v>
      </c>
      <c r="DL174" s="29" t="str">
        <f t="shared" si="242"/>
        <v>0</v>
      </c>
      <c r="DM174" s="29" t="str">
        <f t="shared" si="242"/>
        <v>0</v>
      </c>
      <c r="DN174" s="29" t="str">
        <f t="shared" si="242"/>
        <v>0</v>
      </c>
      <c r="DO174" s="29" t="str">
        <f t="shared" si="242"/>
        <v>0</v>
      </c>
      <c r="DP174" s="29" t="str">
        <f t="shared" si="242"/>
        <v>0</v>
      </c>
      <c r="DQ174" s="29" t="str">
        <f t="shared" si="242"/>
        <v>0</v>
      </c>
      <c r="DR174" s="29"/>
      <c r="DS174" s="25">
        <v>0</v>
      </c>
      <c r="EE174" s="25" t="str">
        <f t="shared" si="175"/>
        <v>0</v>
      </c>
    </row>
    <row r="175" spans="1:135">
      <c r="A175" s="53">
        <v>1002037</v>
      </c>
      <c r="B175" s="49" t="s">
        <v>318</v>
      </c>
      <c r="C175" s="25">
        <f t="shared" si="146"/>
        <v>37</v>
      </c>
      <c r="D175" s="25">
        <f t="array" ref="D175">INDEX(C$5:C$67,MATCH($B175,$B$5:$B$67,0))</f>
        <v>5600</v>
      </c>
      <c r="E175" s="25">
        <f t="array" ref="E175">INDEX(D$5:D$67,MATCH($B175,$B$5:$B$67,0))</f>
        <v>448</v>
      </c>
      <c r="F175" s="25">
        <f t="array" ref="F175">INDEX(E$5:E$67,MATCH($B175,$B$5:$B$67,0))</f>
        <v>720</v>
      </c>
      <c r="G175" s="25">
        <f t="array" ref="G175">INDEX(F$5:F$67,MATCH($B175,$B$5:$B$67,0))</f>
        <v>57.6</v>
      </c>
      <c r="H175" s="25">
        <f t="array" ref="H175">INDEX(G$5:G$66,MATCH($B175,$B$5:$B$67,0))</f>
        <v>576</v>
      </c>
      <c r="I175" s="25">
        <f t="array" ref="I175">INDEX(H$5:H$67,MATCH($B175,$B$5:$B$67,0))</f>
        <v>46.08</v>
      </c>
      <c r="J175" s="25">
        <f t="array" ref="J175">INDEX(I$5:I$67,MATCH($B175,$B$5:$B$67,0))</f>
        <v>800</v>
      </c>
      <c r="K175" s="25">
        <f t="array" ref="K175">INDEX(J$5:J$67,MATCH($B175,$B$5:$B$67,0))</f>
        <v>64</v>
      </c>
      <c r="L175" s="25">
        <f t="shared" si="156"/>
        <v>22176</v>
      </c>
      <c r="M175" s="25">
        <f t="shared" si="157"/>
        <v>2851</v>
      </c>
      <c r="N175" s="25">
        <f t="shared" si="158"/>
        <v>2281</v>
      </c>
      <c r="O175" s="25">
        <f t="shared" si="159"/>
        <v>3168</v>
      </c>
      <c r="R175" s="50">
        <f t="array" ref="R175">INDEX($B$46:$B$68,MATCH(S175,$C$46:$C$68,0))*1000+T175</f>
        <v>1004016</v>
      </c>
      <c r="S175" s="51" t="s">
        <v>324</v>
      </c>
      <c r="T175" s="29">
        <f t="shared" si="232"/>
        <v>16</v>
      </c>
      <c r="U175" s="25">
        <f t="array" ref="U175">INDEX(K$5:K$67,MATCH($S175,$B$5:$B$67,0))</f>
        <v>506.09</v>
      </c>
      <c r="V175" s="25">
        <f t="array" ref="V175">INDEX(L$5:L$67,MATCH($S175,$B$5:$B$67,0))</f>
        <v>72.4</v>
      </c>
      <c r="W175" s="25">
        <f t="array" ref="W175">INDEX(M$5:M$67,MATCH($S175,$B$5:$B$67,0))</f>
        <v>94.08</v>
      </c>
      <c r="X175" s="25">
        <f t="array" ref="X175">INDEX(N$5:N$67,MATCH($S175,$B$5:$B$67,0))</f>
        <v>88.83</v>
      </c>
      <c r="Y175" s="25">
        <f t="shared" si="160"/>
        <v>8097</v>
      </c>
      <c r="Z175" s="25">
        <f t="shared" si="161"/>
        <v>1158</v>
      </c>
      <c r="AA175" s="25">
        <f t="shared" si="162"/>
        <v>1505</v>
      </c>
      <c r="AB175" s="25">
        <f t="shared" si="163"/>
        <v>1421</v>
      </c>
      <c r="AF175" s="25">
        <v>97</v>
      </c>
      <c r="AG175" s="25">
        <f t="array" ref="AG175">INDEX($AE$79:$AE$116,QUOTIENT(AF175-1,8)+1)</f>
        <v>1014</v>
      </c>
      <c r="AH175" s="25">
        <f t="shared" si="192"/>
        <v>1</v>
      </c>
      <c r="AI175" s="25">
        <f t="shared" si="164"/>
        <v>10141</v>
      </c>
      <c r="AJ175" s="25" t="str">
        <f t="shared" si="165"/>
        <v>克莉丝汀</v>
      </c>
      <c r="AK175" s="25">
        <f t="shared" si="193"/>
        <v>1</v>
      </c>
      <c r="AL175" s="25" t="str">
        <f t="array" ref="AL175">INDEX($O$5:$O$42,MATCH(AJ175,$B$5:$B$42,0))</f>
        <v>攻击百分比</v>
      </c>
      <c r="AM175" s="25" t="str">
        <f t="array" ref="AM175">INDEX($P$5:$P$42,MATCH(AJ175,$B$5:$B$42,0))</f>
        <v>必杀伤害加成</v>
      </c>
      <c r="AN175" s="25" t="str">
        <f t="array" ref="AN175">INDEX($Q$5:$Q$42,MATCH(AJ175,$B$5:$B$42,0))</f>
        <v>技能伤害加成</v>
      </c>
      <c r="AO175" s="25" t="str">
        <f t="array" ref="AO175">INDEX(AL175:AN175,0,AK175)</f>
        <v>攻击百分比</v>
      </c>
      <c r="AP175" s="25">
        <f t="shared" si="151"/>
        <v>0.216666666666667</v>
      </c>
      <c r="AQ175" s="25">
        <f t="shared" si="166"/>
        <v>0.216666666666667</v>
      </c>
      <c r="AR175" s="25" t="str">
        <f t="shared" ref="AR175:BZ175" si="243">IF(AR$78=$AO175,$AQ175,"0")</f>
        <v>0</v>
      </c>
      <c r="AS175" s="25" t="str">
        <f t="shared" si="243"/>
        <v>0</v>
      </c>
      <c r="AT175" s="25" t="str">
        <f t="shared" si="243"/>
        <v>0</v>
      </c>
      <c r="AU175" s="25">
        <f t="shared" si="243"/>
        <v>0.216666666666667</v>
      </c>
      <c r="AV175" s="25" t="str">
        <f t="shared" si="243"/>
        <v>0</v>
      </c>
      <c r="AW175" s="25">
        <f t="shared" si="243"/>
        <v>0.216666666666667</v>
      </c>
      <c r="AX175" s="25" t="str">
        <f t="shared" si="243"/>
        <v>0</v>
      </c>
      <c r="AY175" s="25" t="str">
        <f t="shared" si="243"/>
        <v>0</v>
      </c>
      <c r="AZ175" s="25" t="str">
        <f t="shared" si="243"/>
        <v>0</v>
      </c>
      <c r="BA175" s="25" t="str">
        <f t="shared" si="243"/>
        <v>0</v>
      </c>
      <c r="BB175" s="25" t="str">
        <f t="shared" si="243"/>
        <v>0</v>
      </c>
      <c r="BC175" s="25" t="str">
        <f t="shared" si="243"/>
        <v>0</v>
      </c>
      <c r="BD175" s="25" t="str">
        <f t="shared" si="243"/>
        <v>0</v>
      </c>
      <c r="BE175" s="25" t="str">
        <f t="shared" si="243"/>
        <v>0</v>
      </c>
      <c r="BF175" s="25" t="str">
        <f t="shared" si="243"/>
        <v>0</v>
      </c>
      <c r="BG175" s="25" t="str">
        <f t="shared" si="243"/>
        <v>0</v>
      </c>
      <c r="BH175" s="25" t="str">
        <f t="shared" si="243"/>
        <v>0</v>
      </c>
      <c r="BI175" s="25" t="str">
        <f t="shared" si="243"/>
        <v>0</v>
      </c>
      <c r="BJ175" s="25" t="str">
        <f t="shared" si="243"/>
        <v>0</v>
      </c>
      <c r="BK175" s="25" t="str">
        <f t="shared" si="243"/>
        <v>0</v>
      </c>
      <c r="BL175" s="25" t="str">
        <f t="shared" si="243"/>
        <v>0</v>
      </c>
      <c r="BM175" s="25" t="str">
        <f t="shared" si="243"/>
        <v>0</v>
      </c>
      <c r="BN175" s="25" t="str">
        <f t="shared" si="243"/>
        <v>0</v>
      </c>
      <c r="BO175" s="25" t="str">
        <f t="shared" si="243"/>
        <v>0</v>
      </c>
      <c r="BP175" s="25" t="str">
        <f t="shared" si="243"/>
        <v>0</v>
      </c>
      <c r="BQ175" s="25" t="str">
        <f t="shared" si="243"/>
        <v>0</v>
      </c>
      <c r="BR175" s="25" t="str">
        <f t="shared" si="243"/>
        <v>0</v>
      </c>
      <c r="BS175" s="25" t="str">
        <f t="shared" si="243"/>
        <v>0</v>
      </c>
      <c r="BT175" s="25" t="str">
        <f t="shared" si="243"/>
        <v>0</v>
      </c>
      <c r="BU175" s="25" t="str">
        <f t="shared" si="243"/>
        <v>0</v>
      </c>
      <c r="BV175" s="25" t="str">
        <f t="shared" si="243"/>
        <v>0</v>
      </c>
      <c r="BW175" s="25" t="str">
        <f t="shared" si="243"/>
        <v>0</v>
      </c>
      <c r="BX175" s="25" t="str">
        <f t="shared" si="243"/>
        <v>0</v>
      </c>
      <c r="BY175" s="25" t="str">
        <f t="shared" si="243"/>
        <v>0</v>
      </c>
      <c r="BZ175" s="25" t="str">
        <f t="shared" si="243"/>
        <v>0</v>
      </c>
      <c r="CC175" s="25" t="str">
        <f t="array" ref="CC175">INDEX($C$46:$C$74,MATCH(CD175,$B$46:$B$74,0))</f>
        <v>阿莱克西娅</v>
      </c>
      <c r="CD175" s="1">
        <v>1015</v>
      </c>
      <c r="CE175" s="1">
        <v>5</v>
      </c>
      <c r="CF175" s="25" t="str">
        <f t="array" ref="CF175">INDEX($T$5:$T$44,MATCH(CC175,$B$5:$B$44,0))</f>
        <v>魔法</v>
      </c>
      <c r="CG175" s="25">
        <f t="shared" si="189"/>
        <v>0.3</v>
      </c>
      <c r="CH175" s="25">
        <f t="shared" si="168"/>
        <v>1.3</v>
      </c>
      <c r="CI175" s="25">
        <f t="shared" si="169"/>
        <v>1</v>
      </c>
      <c r="CJ175" s="25">
        <f t="shared" si="170"/>
        <v>1.3</v>
      </c>
      <c r="CK175" s="25">
        <f t="shared" si="171"/>
        <v>1.3</v>
      </c>
      <c r="CL175" s="25" t="str">
        <f t="array" ref="CL175">INDEX($S$5:$S$43,MATCH(CC175,$B$5:$B$43,0))</f>
        <v>治疗率</v>
      </c>
      <c r="CM175" s="25">
        <f t="shared" si="190"/>
        <v>0.3</v>
      </c>
      <c r="CN175" s="25">
        <f t="shared" si="172"/>
        <v>0.15</v>
      </c>
      <c r="CO175" s="25">
        <f t="shared" si="173"/>
        <v>1</v>
      </c>
      <c r="CP175" s="29" t="str">
        <f t="shared" ref="CP175:DQ175" si="244">IF($CL175=CP$78,$CN175,"0")</f>
        <v>0</v>
      </c>
      <c r="CQ175" s="29" t="str">
        <f t="shared" si="244"/>
        <v>0</v>
      </c>
      <c r="CR175" s="29" t="str">
        <f t="shared" si="244"/>
        <v>0</v>
      </c>
      <c r="CS175" s="29">
        <f t="shared" si="244"/>
        <v>0.15</v>
      </c>
      <c r="CT175" s="29" t="str">
        <f t="shared" si="244"/>
        <v>0</v>
      </c>
      <c r="CU175" s="29" t="str">
        <f t="shared" si="244"/>
        <v>0</v>
      </c>
      <c r="CV175" s="29" t="str">
        <f t="shared" si="244"/>
        <v>0</v>
      </c>
      <c r="CW175" s="29" t="str">
        <f t="shared" si="244"/>
        <v>0</v>
      </c>
      <c r="CX175" s="29" t="str">
        <f t="shared" si="244"/>
        <v>0</v>
      </c>
      <c r="CY175" s="29" t="str">
        <f t="shared" si="244"/>
        <v>0</v>
      </c>
      <c r="CZ175" s="29" t="str">
        <f t="shared" si="244"/>
        <v>0</v>
      </c>
      <c r="DA175" s="29" t="str">
        <f t="shared" si="244"/>
        <v>0</v>
      </c>
      <c r="DB175" s="29" t="str">
        <f t="shared" si="244"/>
        <v>0</v>
      </c>
      <c r="DC175" s="29" t="str">
        <f t="shared" si="244"/>
        <v>0</v>
      </c>
      <c r="DD175" s="29" t="str">
        <f t="shared" si="244"/>
        <v>0</v>
      </c>
      <c r="DE175" s="29" t="str">
        <f t="shared" si="244"/>
        <v>0</v>
      </c>
      <c r="DF175" s="29" t="str">
        <f t="shared" si="244"/>
        <v>0</v>
      </c>
      <c r="DG175" s="29" t="str">
        <f t="shared" si="244"/>
        <v>0</v>
      </c>
      <c r="DH175" s="29" t="str">
        <f t="shared" si="244"/>
        <v>0</v>
      </c>
      <c r="DI175" s="29" t="str">
        <f t="shared" si="244"/>
        <v>0</v>
      </c>
      <c r="DJ175" s="29" t="str">
        <f t="shared" si="244"/>
        <v>0</v>
      </c>
      <c r="DK175" s="29" t="str">
        <f t="shared" si="244"/>
        <v>0</v>
      </c>
      <c r="DL175" s="29" t="str">
        <f t="shared" si="244"/>
        <v>0</v>
      </c>
      <c r="DM175" s="29" t="str">
        <f t="shared" si="244"/>
        <v>0</v>
      </c>
      <c r="DN175" s="29" t="str">
        <f t="shared" si="244"/>
        <v>0</v>
      </c>
      <c r="DO175" s="29" t="str">
        <f t="shared" si="244"/>
        <v>0</v>
      </c>
      <c r="DP175" s="29" t="str">
        <f t="shared" si="244"/>
        <v>0</v>
      </c>
      <c r="DQ175" s="29" t="str">
        <f t="shared" si="244"/>
        <v>0</v>
      </c>
      <c r="DR175" s="29"/>
      <c r="DS175" s="25" t="s">
        <v>1011</v>
      </c>
      <c r="DT175" s="25" t="str">
        <f>TEXT(角色升星!$F$18,"0%")</f>
        <v>15%</v>
      </c>
      <c r="DU175" s="25" t="s">
        <v>779</v>
      </c>
      <c r="DV175" s="25" t="str">
        <f>IF(CF175="物理","PhysicsAttack,+","MagicAttack,+")</f>
        <v>MagicAttack,+</v>
      </c>
      <c r="DW175" s="25" t="str">
        <f>TEXT(角色升星!$F$18,"0%")</f>
        <v>15%</v>
      </c>
      <c r="DX175" s="25" t="s">
        <v>779</v>
      </c>
      <c r="DY175" s="25" t="s">
        <v>1012</v>
      </c>
      <c r="DZ175" s="25" t="str">
        <f>TEXT(角色升星!$F$18,"0%")</f>
        <v>15%</v>
      </c>
      <c r="EA175" s="25" t="s">
        <v>779</v>
      </c>
      <c r="EB175" s="25" t="str">
        <f>VLOOKUP(CL175,$O$46:$P$73,2,0)</f>
        <v>Heal</v>
      </c>
      <c r="EC175" s="25" t="s">
        <v>1013</v>
      </c>
      <c r="ED175" s="25" t="str">
        <f>IF(CN175&gt;1,CN175,TEXT(CN175,"0%"))</f>
        <v>15%</v>
      </c>
      <c r="EE175" s="25" t="str">
        <f t="shared" si="175"/>
        <v>Hp,+15%;MagicAttack,+15%;Armor,+15%;Heal,+15%</v>
      </c>
    </row>
    <row r="176" spans="1:135">
      <c r="A176" s="53">
        <v>1002038</v>
      </c>
      <c r="B176" s="49" t="s">
        <v>318</v>
      </c>
      <c r="C176" s="25">
        <f t="shared" si="146"/>
        <v>38</v>
      </c>
      <c r="D176" s="25">
        <f t="array" ref="D176">INDEX(C$5:C$67,MATCH($B176,$B$5:$B$67,0))</f>
        <v>5600</v>
      </c>
      <c r="E176" s="25">
        <f t="array" ref="E176">INDEX(D$5:D$67,MATCH($B176,$B$5:$B$67,0))</f>
        <v>448</v>
      </c>
      <c r="F176" s="25">
        <f t="array" ref="F176">INDEX(E$5:E$67,MATCH($B176,$B$5:$B$67,0))</f>
        <v>720</v>
      </c>
      <c r="G176" s="25">
        <f t="array" ref="G176">INDEX(F$5:F$67,MATCH($B176,$B$5:$B$67,0))</f>
        <v>57.6</v>
      </c>
      <c r="H176" s="25">
        <f t="array" ref="H176">INDEX(G$5:G$66,MATCH($B176,$B$5:$B$67,0))</f>
        <v>576</v>
      </c>
      <c r="I176" s="25">
        <f t="array" ref="I176">INDEX(H$5:H$67,MATCH($B176,$B$5:$B$67,0))</f>
        <v>46.08</v>
      </c>
      <c r="J176" s="25">
        <f t="array" ref="J176">INDEX(I$5:I$67,MATCH($B176,$B$5:$B$67,0))</f>
        <v>800</v>
      </c>
      <c r="K176" s="25">
        <f t="array" ref="K176">INDEX(J$5:J$67,MATCH($B176,$B$5:$B$67,0))</f>
        <v>64</v>
      </c>
      <c r="L176" s="25">
        <f t="shared" si="156"/>
        <v>22624</v>
      </c>
      <c r="M176" s="25">
        <f t="shared" si="157"/>
        <v>2909</v>
      </c>
      <c r="N176" s="25">
        <f t="shared" si="158"/>
        <v>2327</v>
      </c>
      <c r="O176" s="25">
        <f t="shared" si="159"/>
        <v>3232</v>
      </c>
      <c r="R176" s="50">
        <f t="array" ref="R176">INDEX($B$46:$B$68,MATCH(S176,$C$46:$C$68,0))*1000+T176</f>
        <v>1004017</v>
      </c>
      <c r="S176" s="51" t="s">
        <v>324</v>
      </c>
      <c r="T176" s="29">
        <f t="shared" si="232"/>
        <v>17</v>
      </c>
      <c r="U176" s="25">
        <f t="array" ref="U176">INDEX(K$5:K$67,MATCH($S176,$B$5:$B$67,0))</f>
        <v>506.09</v>
      </c>
      <c r="V176" s="25">
        <f t="array" ref="V176">INDEX(L$5:L$67,MATCH($S176,$B$5:$B$67,0))</f>
        <v>72.4</v>
      </c>
      <c r="W176" s="25">
        <f t="array" ref="W176">INDEX(M$5:M$67,MATCH($S176,$B$5:$B$67,0))</f>
        <v>94.08</v>
      </c>
      <c r="X176" s="25">
        <f t="array" ref="X176">INDEX(N$5:N$67,MATCH($S176,$B$5:$B$67,0))</f>
        <v>88.83</v>
      </c>
      <c r="Y176" s="25">
        <f t="shared" si="160"/>
        <v>8604</v>
      </c>
      <c r="Z176" s="25">
        <f t="shared" si="161"/>
        <v>1231</v>
      </c>
      <c r="AA176" s="25">
        <f t="shared" si="162"/>
        <v>1599</v>
      </c>
      <c r="AB176" s="25">
        <f t="shared" si="163"/>
        <v>1510</v>
      </c>
      <c r="AF176" s="25">
        <v>98</v>
      </c>
      <c r="AG176" s="25">
        <f t="array" ref="AG176">INDEX($AE$79:$AE$116,QUOTIENT(AF176-1,8)+1)</f>
        <v>1014</v>
      </c>
      <c r="AH176" s="25">
        <f t="shared" si="192"/>
        <v>2</v>
      </c>
      <c r="AI176" s="25">
        <f t="shared" si="164"/>
        <v>10142</v>
      </c>
      <c r="AJ176" s="25" t="str">
        <f t="shared" si="165"/>
        <v>克莉丝汀</v>
      </c>
      <c r="AK176" s="25">
        <f t="shared" si="193"/>
        <v>2</v>
      </c>
      <c r="AL176" s="25" t="str">
        <f t="array" ref="AL176">INDEX($O$5:$O$42,MATCH(AJ176,$B$5:$B$42,0))</f>
        <v>攻击百分比</v>
      </c>
      <c r="AM176" s="25" t="str">
        <f t="array" ref="AM176">INDEX($P$5:$P$42,MATCH(AJ176,$B$5:$B$42,0))</f>
        <v>必杀伤害加成</v>
      </c>
      <c r="AN176" s="25" t="str">
        <f t="array" ref="AN176">INDEX($Q$5:$Q$42,MATCH(AJ176,$B$5:$B$42,0))</f>
        <v>技能伤害加成</v>
      </c>
      <c r="AO176" s="25" t="str">
        <f t="array" ref="AO176">INDEX(AL176:AN176,0,AK176)</f>
        <v>必杀伤害加成</v>
      </c>
      <c r="AP176" s="25">
        <f t="shared" si="151"/>
        <v>0.15</v>
      </c>
      <c r="AQ176" s="25">
        <f t="shared" si="166"/>
        <v>0.18</v>
      </c>
      <c r="AR176" s="25" t="str">
        <f t="shared" ref="AR176:BZ176" si="245">IF(AR$78=$AO176,$AQ176,"0")</f>
        <v>0</v>
      </c>
      <c r="AS176" s="25" t="str">
        <f t="shared" si="245"/>
        <v>0</v>
      </c>
      <c r="AT176" s="25" t="str">
        <f t="shared" si="245"/>
        <v>0</v>
      </c>
      <c r="AU176" s="25" t="str">
        <f t="shared" si="245"/>
        <v>0</v>
      </c>
      <c r="AV176" s="25" t="str">
        <f t="shared" si="245"/>
        <v>0</v>
      </c>
      <c r="AW176" s="25" t="str">
        <f t="shared" si="245"/>
        <v>0</v>
      </c>
      <c r="AX176" s="25" t="str">
        <f t="shared" si="245"/>
        <v>0</v>
      </c>
      <c r="AY176" s="25" t="str">
        <f t="shared" si="245"/>
        <v>0</v>
      </c>
      <c r="AZ176" s="25" t="str">
        <f t="shared" si="245"/>
        <v>0</v>
      </c>
      <c r="BA176" s="25" t="str">
        <f t="shared" si="245"/>
        <v>0</v>
      </c>
      <c r="BB176" s="25" t="str">
        <f t="shared" si="245"/>
        <v>0</v>
      </c>
      <c r="BC176" s="25" t="str">
        <f t="shared" si="245"/>
        <v>0</v>
      </c>
      <c r="BD176" s="25" t="str">
        <f t="shared" si="245"/>
        <v>0</v>
      </c>
      <c r="BE176" s="25" t="str">
        <f t="shared" si="245"/>
        <v>0</v>
      </c>
      <c r="BF176" s="25" t="str">
        <f t="shared" si="245"/>
        <v>0</v>
      </c>
      <c r="BG176" s="25" t="str">
        <f t="shared" si="245"/>
        <v>0</v>
      </c>
      <c r="BH176" s="25" t="str">
        <f t="shared" si="245"/>
        <v>0</v>
      </c>
      <c r="BI176" s="25" t="str">
        <f t="shared" si="245"/>
        <v>0</v>
      </c>
      <c r="BJ176" s="25" t="str">
        <f t="shared" si="245"/>
        <v>0</v>
      </c>
      <c r="BK176" s="25" t="str">
        <f t="shared" si="245"/>
        <v>0</v>
      </c>
      <c r="BL176" s="25" t="str">
        <f t="shared" si="245"/>
        <v>0</v>
      </c>
      <c r="BM176" s="25" t="str">
        <f t="shared" si="245"/>
        <v>0</v>
      </c>
      <c r="BN176" s="25" t="str">
        <f t="shared" si="245"/>
        <v>0</v>
      </c>
      <c r="BO176" s="25">
        <f t="shared" si="245"/>
        <v>0.18</v>
      </c>
      <c r="BP176" s="25" t="str">
        <f t="shared" si="245"/>
        <v>0</v>
      </c>
      <c r="BQ176" s="25" t="str">
        <f t="shared" si="245"/>
        <v>0</v>
      </c>
      <c r="BR176" s="25" t="str">
        <f t="shared" si="245"/>
        <v>0</v>
      </c>
      <c r="BS176" s="25" t="str">
        <f t="shared" si="245"/>
        <v>0</v>
      </c>
      <c r="BT176" s="25" t="str">
        <f t="shared" si="245"/>
        <v>0</v>
      </c>
      <c r="BU176" s="25" t="str">
        <f t="shared" si="245"/>
        <v>0</v>
      </c>
      <c r="BV176" s="25" t="str">
        <f t="shared" si="245"/>
        <v>0</v>
      </c>
      <c r="BW176" s="25" t="str">
        <f t="shared" si="245"/>
        <v>0</v>
      </c>
      <c r="BX176" s="25" t="str">
        <f t="shared" si="245"/>
        <v>0</v>
      </c>
      <c r="BY176" s="25" t="str">
        <f t="shared" si="245"/>
        <v>0</v>
      </c>
      <c r="BZ176" s="25" t="str">
        <f t="shared" si="245"/>
        <v>0</v>
      </c>
      <c r="CC176" s="25" t="str">
        <f t="array" ref="CC176">INDEX($C$46:$C$74,MATCH(CD176,$B$46:$B$74,0))</f>
        <v>阿莱克西娅</v>
      </c>
      <c r="CD176" s="1">
        <v>1015</v>
      </c>
      <c r="CE176" s="1">
        <v>6</v>
      </c>
      <c r="CF176" s="25" t="str">
        <f t="array" ref="CF176">INDEX($T$5:$T$44,MATCH(CC176,$B$5:$B$44,0))</f>
        <v>魔法</v>
      </c>
      <c r="CG176" s="25">
        <f t="shared" si="189"/>
        <v>0.3</v>
      </c>
      <c r="CH176" s="25">
        <f t="shared" si="168"/>
        <v>1.3</v>
      </c>
      <c r="CI176" s="25">
        <f t="shared" si="169"/>
        <v>1</v>
      </c>
      <c r="CJ176" s="25">
        <f t="shared" si="170"/>
        <v>1.3</v>
      </c>
      <c r="CK176" s="25">
        <f t="shared" si="171"/>
        <v>1.3</v>
      </c>
      <c r="CL176" s="25">
        <v>0</v>
      </c>
      <c r="CM176" s="25">
        <f t="shared" si="190"/>
        <v>0</v>
      </c>
      <c r="CN176" s="25">
        <f t="shared" si="172"/>
        <v>0</v>
      </c>
      <c r="CO176" s="25">
        <f t="shared" si="173"/>
        <v>0</v>
      </c>
      <c r="CP176" s="29" t="str">
        <f t="shared" ref="CP176:DQ176" si="246">IF($CL176=CP$78,$CN176,"0")</f>
        <v>0</v>
      </c>
      <c r="CQ176" s="29" t="str">
        <f t="shared" si="246"/>
        <v>0</v>
      </c>
      <c r="CR176" s="29" t="str">
        <f t="shared" si="246"/>
        <v>0</v>
      </c>
      <c r="CS176" s="29" t="str">
        <f t="shared" si="246"/>
        <v>0</v>
      </c>
      <c r="CT176" s="29" t="str">
        <f t="shared" si="246"/>
        <v>0</v>
      </c>
      <c r="CU176" s="29" t="str">
        <f t="shared" si="246"/>
        <v>0</v>
      </c>
      <c r="CV176" s="29" t="str">
        <f t="shared" si="246"/>
        <v>0</v>
      </c>
      <c r="CW176" s="29" t="str">
        <f t="shared" si="246"/>
        <v>0</v>
      </c>
      <c r="CX176" s="29" t="str">
        <f t="shared" si="246"/>
        <v>0</v>
      </c>
      <c r="CY176" s="29" t="str">
        <f t="shared" si="246"/>
        <v>0</v>
      </c>
      <c r="CZ176" s="29" t="str">
        <f t="shared" si="246"/>
        <v>0</v>
      </c>
      <c r="DA176" s="29" t="str">
        <f t="shared" si="246"/>
        <v>0</v>
      </c>
      <c r="DB176" s="29" t="str">
        <f t="shared" si="246"/>
        <v>0</v>
      </c>
      <c r="DC176" s="29" t="str">
        <f t="shared" si="246"/>
        <v>0</v>
      </c>
      <c r="DD176" s="29" t="str">
        <f t="shared" si="246"/>
        <v>0</v>
      </c>
      <c r="DE176" s="29" t="str">
        <f t="shared" si="246"/>
        <v>0</v>
      </c>
      <c r="DF176" s="29" t="str">
        <f t="shared" si="246"/>
        <v>0</v>
      </c>
      <c r="DG176" s="29" t="str">
        <f t="shared" si="246"/>
        <v>0</v>
      </c>
      <c r="DH176" s="29" t="str">
        <f t="shared" si="246"/>
        <v>0</v>
      </c>
      <c r="DI176" s="29" t="str">
        <f t="shared" si="246"/>
        <v>0</v>
      </c>
      <c r="DJ176" s="29" t="str">
        <f t="shared" si="246"/>
        <v>0</v>
      </c>
      <c r="DK176" s="29" t="str">
        <f t="shared" si="246"/>
        <v>0</v>
      </c>
      <c r="DL176" s="29" t="str">
        <f t="shared" si="246"/>
        <v>0</v>
      </c>
      <c r="DM176" s="29" t="str">
        <f t="shared" si="246"/>
        <v>0</v>
      </c>
      <c r="DN176" s="29" t="str">
        <f t="shared" si="246"/>
        <v>0</v>
      </c>
      <c r="DO176" s="29" t="str">
        <f t="shared" si="246"/>
        <v>0</v>
      </c>
      <c r="DP176" s="29" t="str">
        <f t="shared" si="246"/>
        <v>0</v>
      </c>
      <c r="DQ176" s="29" t="str">
        <f t="shared" si="246"/>
        <v>0</v>
      </c>
      <c r="DR176" s="29"/>
      <c r="DS176" s="25">
        <v>0</v>
      </c>
      <c r="EE176" s="25" t="str">
        <f t="shared" si="175"/>
        <v>0</v>
      </c>
    </row>
    <row r="177" spans="1:135">
      <c r="A177" s="53">
        <v>1002039</v>
      </c>
      <c r="B177" s="49" t="s">
        <v>318</v>
      </c>
      <c r="C177" s="25">
        <f t="shared" si="146"/>
        <v>39</v>
      </c>
      <c r="D177" s="25">
        <f t="array" ref="D177">INDEX(C$5:C$67,MATCH($B177,$B$5:$B$67,0))</f>
        <v>5600</v>
      </c>
      <c r="E177" s="25">
        <f t="array" ref="E177">INDEX(D$5:D$67,MATCH($B177,$B$5:$B$67,0))</f>
        <v>448</v>
      </c>
      <c r="F177" s="25">
        <f t="array" ref="F177">INDEX(E$5:E$67,MATCH($B177,$B$5:$B$67,0))</f>
        <v>720</v>
      </c>
      <c r="G177" s="25">
        <f t="array" ref="G177">INDEX(F$5:F$67,MATCH($B177,$B$5:$B$67,0))</f>
        <v>57.6</v>
      </c>
      <c r="H177" s="25">
        <f t="array" ref="H177">INDEX(G$5:G$66,MATCH($B177,$B$5:$B$67,0))</f>
        <v>576</v>
      </c>
      <c r="I177" s="25">
        <f t="array" ref="I177">INDEX(H$5:H$67,MATCH($B177,$B$5:$B$67,0))</f>
        <v>46.08</v>
      </c>
      <c r="J177" s="25">
        <f t="array" ref="J177">INDEX(I$5:I$67,MATCH($B177,$B$5:$B$67,0))</f>
        <v>800</v>
      </c>
      <c r="K177" s="25">
        <f t="array" ref="K177">INDEX(J$5:J$67,MATCH($B177,$B$5:$B$67,0))</f>
        <v>64</v>
      </c>
      <c r="L177" s="25">
        <f t="shared" si="156"/>
        <v>23072</v>
      </c>
      <c r="M177" s="25">
        <f t="shared" si="157"/>
        <v>2966</v>
      </c>
      <c r="N177" s="25">
        <f t="shared" si="158"/>
        <v>2373</v>
      </c>
      <c r="O177" s="25">
        <f t="shared" si="159"/>
        <v>3296</v>
      </c>
      <c r="R177" s="50">
        <f t="array" ref="R177">INDEX($B$46:$B$68,MATCH(S177,$C$46:$C$68,0))*1000+T177</f>
        <v>1004018</v>
      </c>
      <c r="S177" s="51" t="s">
        <v>324</v>
      </c>
      <c r="T177" s="29">
        <f t="shared" si="232"/>
        <v>18</v>
      </c>
      <c r="U177" s="25">
        <f t="array" ref="U177">INDEX(K$5:K$67,MATCH($S177,$B$5:$B$67,0))</f>
        <v>506.09</v>
      </c>
      <c r="V177" s="25">
        <f t="array" ref="V177">INDEX(L$5:L$67,MATCH($S177,$B$5:$B$67,0))</f>
        <v>72.4</v>
      </c>
      <c r="W177" s="25">
        <f t="array" ref="W177">INDEX(M$5:M$67,MATCH($S177,$B$5:$B$67,0))</f>
        <v>94.08</v>
      </c>
      <c r="X177" s="25">
        <f t="array" ref="X177">INDEX(N$5:N$67,MATCH($S177,$B$5:$B$67,0))</f>
        <v>88.83</v>
      </c>
      <c r="Y177" s="25">
        <f t="shared" si="160"/>
        <v>9110</v>
      </c>
      <c r="Z177" s="25">
        <f t="shared" si="161"/>
        <v>1303</v>
      </c>
      <c r="AA177" s="25">
        <f t="shared" si="162"/>
        <v>1693</v>
      </c>
      <c r="AB177" s="25">
        <f t="shared" si="163"/>
        <v>1599</v>
      </c>
      <c r="AF177" s="25">
        <v>99</v>
      </c>
      <c r="AG177" s="25">
        <f t="array" ref="AG177">INDEX($AE$79:$AE$116,QUOTIENT(AF177-1,8)+1)</f>
        <v>1014</v>
      </c>
      <c r="AH177" s="25">
        <f t="shared" si="192"/>
        <v>3</v>
      </c>
      <c r="AI177" s="25">
        <f t="shared" si="164"/>
        <v>10143</v>
      </c>
      <c r="AJ177" s="25" t="str">
        <f t="shared" si="165"/>
        <v>克莉丝汀</v>
      </c>
      <c r="AK177" s="25">
        <f t="shared" si="193"/>
        <v>3</v>
      </c>
      <c r="AL177" s="25" t="str">
        <f t="array" ref="AL177">INDEX($O$5:$O$42,MATCH(AJ177,$B$5:$B$42,0))</f>
        <v>攻击百分比</v>
      </c>
      <c r="AM177" s="25" t="str">
        <f t="array" ref="AM177">INDEX($P$5:$P$42,MATCH(AJ177,$B$5:$B$42,0))</f>
        <v>必杀伤害加成</v>
      </c>
      <c r="AN177" s="25" t="str">
        <f t="array" ref="AN177">INDEX($Q$5:$Q$42,MATCH(AJ177,$B$5:$B$42,0))</f>
        <v>技能伤害加成</v>
      </c>
      <c r="AO177" s="25" t="str">
        <f t="array" ref="AO177">INDEX(AL177:AN177,0,AK177)</f>
        <v>技能伤害加成</v>
      </c>
      <c r="AP177" s="25">
        <f t="shared" si="151"/>
        <v>0.216666666666667</v>
      </c>
      <c r="AQ177" s="25">
        <f t="shared" si="166"/>
        <v>0.26</v>
      </c>
      <c r="AR177" s="25" t="str">
        <f t="shared" ref="AR177:BZ177" si="247">IF(AR$78=$AO177,$AQ177,"0")</f>
        <v>0</v>
      </c>
      <c r="AS177" s="25" t="str">
        <f t="shared" si="247"/>
        <v>0</v>
      </c>
      <c r="AT177" s="25" t="str">
        <f t="shared" si="247"/>
        <v>0</v>
      </c>
      <c r="AU177" s="25" t="str">
        <f t="shared" si="247"/>
        <v>0</v>
      </c>
      <c r="AV177" s="25" t="str">
        <f t="shared" si="247"/>
        <v>0</v>
      </c>
      <c r="AW177" s="25" t="str">
        <f t="shared" si="247"/>
        <v>0</v>
      </c>
      <c r="AX177" s="25" t="str">
        <f t="shared" si="247"/>
        <v>0</v>
      </c>
      <c r="AY177" s="25" t="str">
        <f t="shared" si="247"/>
        <v>0</v>
      </c>
      <c r="AZ177" s="25" t="str">
        <f t="shared" si="247"/>
        <v>0</v>
      </c>
      <c r="BA177" s="25" t="str">
        <f t="shared" si="247"/>
        <v>0</v>
      </c>
      <c r="BB177" s="25" t="str">
        <f t="shared" si="247"/>
        <v>0</v>
      </c>
      <c r="BC177" s="25" t="str">
        <f t="shared" si="247"/>
        <v>0</v>
      </c>
      <c r="BD177" s="25" t="str">
        <f t="shared" si="247"/>
        <v>0</v>
      </c>
      <c r="BE177" s="25" t="str">
        <f t="shared" si="247"/>
        <v>0</v>
      </c>
      <c r="BF177" s="25" t="str">
        <f t="shared" si="247"/>
        <v>0</v>
      </c>
      <c r="BG177" s="25" t="str">
        <f t="shared" si="247"/>
        <v>0</v>
      </c>
      <c r="BH177" s="25" t="str">
        <f t="shared" si="247"/>
        <v>0</v>
      </c>
      <c r="BI177" s="25" t="str">
        <f t="shared" si="247"/>
        <v>0</v>
      </c>
      <c r="BJ177" s="25" t="str">
        <f t="shared" si="247"/>
        <v>0</v>
      </c>
      <c r="BK177" s="25" t="str">
        <f t="shared" si="247"/>
        <v>0</v>
      </c>
      <c r="BL177" s="25" t="str">
        <f t="shared" si="247"/>
        <v>0</v>
      </c>
      <c r="BM177" s="25" t="str">
        <f t="shared" si="247"/>
        <v>0</v>
      </c>
      <c r="BN177" s="25">
        <f t="shared" si="247"/>
        <v>0.26</v>
      </c>
      <c r="BO177" s="25" t="str">
        <f t="shared" si="247"/>
        <v>0</v>
      </c>
      <c r="BP177" s="25" t="str">
        <f t="shared" si="247"/>
        <v>0</v>
      </c>
      <c r="BQ177" s="25" t="str">
        <f t="shared" si="247"/>
        <v>0</v>
      </c>
      <c r="BR177" s="25" t="str">
        <f t="shared" si="247"/>
        <v>0</v>
      </c>
      <c r="BS177" s="25" t="str">
        <f t="shared" si="247"/>
        <v>0</v>
      </c>
      <c r="BT177" s="25" t="str">
        <f t="shared" si="247"/>
        <v>0</v>
      </c>
      <c r="BU177" s="25" t="str">
        <f t="shared" si="247"/>
        <v>0</v>
      </c>
      <c r="BV177" s="25" t="str">
        <f t="shared" si="247"/>
        <v>0</v>
      </c>
      <c r="BW177" s="25" t="str">
        <f t="shared" si="247"/>
        <v>0</v>
      </c>
      <c r="BX177" s="25" t="str">
        <f t="shared" si="247"/>
        <v>0</v>
      </c>
      <c r="BY177" s="25" t="str">
        <f t="shared" si="247"/>
        <v>0</v>
      </c>
      <c r="BZ177" s="25" t="str">
        <f t="shared" si="247"/>
        <v>0</v>
      </c>
      <c r="CC177" s="25" t="str">
        <f t="array" ref="CC177">INDEX($C$46:$C$74,MATCH(CD177,$B$46:$B$74,0))</f>
        <v>伊戈尔</v>
      </c>
      <c r="CD177" s="1">
        <v>1017</v>
      </c>
      <c r="CE177" s="1">
        <v>0</v>
      </c>
      <c r="CF177" s="25" t="str">
        <f t="array" ref="CF177">INDEX($T$5:$T$44,MATCH(CC177,$B$5:$B$44,0))</f>
        <v>魔法</v>
      </c>
      <c r="CG177" s="25">
        <f t="shared" si="189"/>
        <v>0</v>
      </c>
      <c r="CH177" s="25">
        <f t="shared" si="168"/>
        <v>1</v>
      </c>
      <c r="CI177" s="25">
        <f t="shared" si="169"/>
        <v>1</v>
      </c>
      <c r="CJ177" s="25">
        <f t="shared" si="170"/>
        <v>1</v>
      </c>
      <c r="CK177" s="25">
        <f t="shared" si="171"/>
        <v>1</v>
      </c>
      <c r="CL177" s="25">
        <v>0</v>
      </c>
      <c r="CM177" s="25">
        <f t="shared" si="190"/>
        <v>0</v>
      </c>
      <c r="CN177" s="25">
        <f t="shared" si="172"/>
        <v>0</v>
      </c>
      <c r="CO177" s="25">
        <f t="shared" si="173"/>
        <v>0</v>
      </c>
      <c r="CP177" s="29" t="str">
        <f t="shared" ref="CP177:DQ177" si="248">IF($CL177=CP$78,$CN177,"0")</f>
        <v>0</v>
      </c>
      <c r="CQ177" s="29" t="str">
        <f t="shared" si="248"/>
        <v>0</v>
      </c>
      <c r="CR177" s="29" t="str">
        <f t="shared" si="248"/>
        <v>0</v>
      </c>
      <c r="CS177" s="29" t="str">
        <f t="shared" si="248"/>
        <v>0</v>
      </c>
      <c r="CT177" s="29" t="str">
        <f t="shared" si="248"/>
        <v>0</v>
      </c>
      <c r="CU177" s="29" t="str">
        <f t="shared" si="248"/>
        <v>0</v>
      </c>
      <c r="CV177" s="29" t="str">
        <f t="shared" si="248"/>
        <v>0</v>
      </c>
      <c r="CW177" s="29" t="str">
        <f t="shared" si="248"/>
        <v>0</v>
      </c>
      <c r="CX177" s="29" t="str">
        <f t="shared" si="248"/>
        <v>0</v>
      </c>
      <c r="CY177" s="29" t="str">
        <f t="shared" si="248"/>
        <v>0</v>
      </c>
      <c r="CZ177" s="29" t="str">
        <f t="shared" si="248"/>
        <v>0</v>
      </c>
      <c r="DA177" s="29" t="str">
        <f t="shared" si="248"/>
        <v>0</v>
      </c>
      <c r="DB177" s="29" t="str">
        <f t="shared" si="248"/>
        <v>0</v>
      </c>
      <c r="DC177" s="29" t="str">
        <f t="shared" si="248"/>
        <v>0</v>
      </c>
      <c r="DD177" s="29" t="str">
        <f t="shared" si="248"/>
        <v>0</v>
      </c>
      <c r="DE177" s="29" t="str">
        <f t="shared" si="248"/>
        <v>0</v>
      </c>
      <c r="DF177" s="29" t="str">
        <f t="shared" si="248"/>
        <v>0</v>
      </c>
      <c r="DG177" s="29" t="str">
        <f t="shared" si="248"/>
        <v>0</v>
      </c>
      <c r="DH177" s="29" t="str">
        <f t="shared" si="248"/>
        <v>0</v>
      </c>
      <c r="DI177" s="29" t="str">
        <f t="shared" si="248"/>
        <v>0</v>
      </c>
      <c r="DJ177" s="29" t="str">
        <f t="shared" si="248"/>
        <v>0</v>
      </c>
      <c r="DK177" s="29" t="str">
        <f t="shared" si="248"/>
        <v>0</v>
      </c>
      <c r="DL177" s="29" t="str">
        <f t="shared" si="248"/>
        <v>0</v>
      </c>
      <c r="DM177" s="29" t="str">
        <f t="shared" si="248"/>
        <v>0</v>
      </c>
      <c r="DN177" s="29" t="str">
        <f t="shared" si="248"/>
        <v>0</v>
      </c>
      <c r="DO177" s="29" t="str">
        <f t="shared" si="248"/>
        <v>0</v>
      </c>
      <c r="DP177" s="29" t="str">
        <f t="shared" si="248"/>
        <v>0</v>
      </c>
      <c r="DQ177" s="29" t="str">
        <f t="shared" si="248"/>
        <v>0</v>
      </c>
      <c r="DR177" s="29"/>
      <c r="DS177" s="25">
        <v>0</v>
      </c>
      <c r="EE177" s="25" t="str">
        <f t="shared" si="175"/>
        <v>0</v>
      </c>
    </row>
    <row r="178" spans="1:135">
      <c r="A178" s="53">
        <v>1002040</v>
      </c>
      <c r="B178" s="49" t="s">
        <v>318</v>
      </c>
      <c r="C178" s="25">
        <f t="shared" si="146"/>
        <v>40</v>
      </c>
      <c r="D178" s="25">
        <f t="array" ref="D178">INDEX(C$5:C$67,MATCH($B178,$B$5:$B$67,0))</f>
        <v>5600</v>
      </c>
      <c r="E178" s="25">
        <f t="array" ref="E178">INDEX(D$5:D$67,MATCH($B178,$B$5:$B$67,0))</f>
        <v>448</v>
      </c>
      <c r="F178" s="25">
        <f t="array" ref="F178">INDEX(E$5:E$67,MATCH($B178,$B$5:$B$67,0))</f>
        <v>720</v>
      </c>
      <c r="G178" s="25">
        <f t="array" ref="G178">INDEX(F$5:F$67,MATCH($B178,$B$5:$B$67,0))</f>
        <v>57.6</v>
      </c>
      <c r="H178" s="25">
        <f t="array" ref="H178">INDEX(G$5:G$66,MATCH($B178,$B$5:$B$67,0))</f>
        <v>576</v>
      </c>
      <c r="I178" s="25">
        <f t="array" ref="I178">INDEX(H$5:H$67,MATCH($B178,$B$5:$B$67,0))</f>
        <v>46.08</v>
      </c>
      <c r="J178" s="25">
        <f t="array" ref="J178">INDEX(I$5:I$67,MATCH($B178,$B$5:$B$67,0))</f>
        <v>800</v>
      </c>
      <c r="K178" s="25">
        <f t="array" ref="K178">INDEX(J$5:J$67,MATCH($B178,$B$5:$B$67,0))</f>
        <v>64</v>
      </c>
      <c r="L178" s="25">
        <f t="shared" si="156"/>
        <v>23520</v>
      </c>
      <c r="M178" s="25">
        <f t="shared" si="157"/>
        <v>3024</v>
      </c>
      <c r="N178" s="25">
        <f t="shared" si="158"/>
        <v>2419</v>
      </c>
      <c r="O178" s="25">
        <f t="shared" si="159"/>
        <v>3360</v>
      </c>
      <c r="R178" s="50">
        <f t="array" ref="R178">INDEX($B$46:$B$68,MATCH(S178,$C$46:$C$68,0))*1000+T178</f>
        <v>1004019</v>
      </c>
      <c r="S178" s="51" t="s">
        <v>324</v>
      </c>
      <c r="T178" s="29">
        <f t="shared" si="232"/>
        <v>19</v>
      </c>
      <c r="U178" s="25">
        <f t="array" ref="U178">INDEX(K$5:K$67,MATCH($S178,$B$5:$B$67,0))</f>
        <v>506.09</v>
      </c>
      <c r="V178" s="25">
        <f t="array" ref="V178">INDEX(L$5:L$67,MATCH($S178,$B$5:$B$67,0))</f>
        <v>72.4</v>
      </c>
      <c r="W178" s="25">
        <f t="array" ref="W178">INDEX(M$5:M$67,MATCH($S178,$B$5:$B$67,0))</f>
        <v>94.08</v>
      </c>
      <c r="X178" s="25">
        <f t="array" ref="X178">INDEX(N$5:N$67,MATCH($S178,$B$5:$B$67,0))</f>
        <v>88.83</v>
      </c>
      <c r="Y178" s="25">
        <f t="shared" si="160"/>
        <v>9616</v>
      </c>
      <c r="Z178" s="25">
        <f t="shared" si="161"/>
        <v>1376</v>
      </c>
      <c r="AA178" s="25">
        <f t="shared" si="162"/>
        <v>1788</v>
      </c>
      <c r="AB178" s="25">
        <f t="shared" si="163"/>
        <v>1688</v>
      </c>
      <c r="AF178" s="25">
        <v>100</v>
      </c>
      <c r="AG178" s="25">
        <f t="array" ref="AG178">INDEX($AE$79:$AE$116,QUOTIENT(AF178-1,8)+1)</f>
        <v>1014</v>
      </c>
      <c r="AH178" s="25">
        <f t="shared" si="192"/>
        <v>4</v>
      </c>
      <c r="AI178" s="25">
        <f t="shared" si="164"/>
        <v>10144</v>
      </c>
      <c r="AJ178" s="25" t="str">
        <f t="shared" si="165"/>
        <v>克莉丝汀</v>
      </c>
      <c r="AK178" s="25">
        <f t="shared" si="193"/>
        <v>2</v>
      </c>
      <c r="AL178" s="25" t="str">
        <f t="array" ref="AL178">INDEX($O$5:$O$42,MATCH(AJ178,$B$5:$B$42,0))</f>
        <v>攻击百分比</v>
      </c>
      <c r="AM178" s="25" t="str">
        <f t="array" ref="AM178">INDEX($P$5:$P$42,MATCH(AJ178,$B$5:$B$42,0))</f>
        <v>必杀伤害加成</v>
      </c>
      <c r="AN178" s="25" t="str">
        <f t="array" ref="AN178">INDEX($Q$5:$Q$42,MATCH(AJ178,$B$5:$B$42,0))</f>
        <v>技能伤害加成</v>
      </c>
      <c r="AO178" s="25" t="str">
        <f t="array" ref="AO178">INDEX(AL178:AN178,0,AK178)</f>
        <v>必杀伤害加成</v>
      </c>
      <c r="AP178" s="25">
        <f t="shared" si="151"/>
        <v>0.15</v>
      </c>
      <c r="AQ178" s="25">
        <f t="shared" si="166"/>
        <v>0.18</v>
      </c>
      <c r="AR178" s="25" t="str">
        <f t="shared" ref="AR178:BZ178" si="249">IF(AR$78=$AO178,$AQ178,"0")</f>
        <v>0</v>
      </c>
      <c r="AS178" s="25" t="str">
        <f t="shared" si="249"/>
        <v>0</v>
      </c>
      <c r="AT178" s="25" t="str">
        <f t="shared" si="249"/>
        <v>0</v>
      </c>
      <c r="AU178" s="25" t="str">
        <f t="shared" si="249"/>
        <v>0</v>
      </c>
      <c r="AV178" s="25" t="str">
        <f t="shared" si="249"/>
        <v>0</v>
      </c>
      <c r="AW178" s="25" t="str">
        <f t="shared" si="249"/>
        <v>0</v>
      </c>
      <c r="AX178" s="25" t="str">
        <f t="shared" si="249"/>
        <v>0</v>
      </c>
      <c r="AY178" s="25" t="str">
        <f t="shared" si="249"/>
        <v>0</v>
      </c>
      <c r="AZ178" s="25" t="str">
        <f t="shared" si="249"/>
        <v>0</v>
      </c>
      <c r="BA178" s="25" t="str">
        <f t="shared" si="249"/>
        <v>0</v>
      </c>
      <c r="BB178" s="25" t="str">
        <f t="shared" si="249"/>
        <v>0</v>
      </c>
      <c r="BC178" s="25" t="str">
        <f t="shared" si="249"/>
        <v>0</v>
      </c>
      <c r="BD178" s="25" t="str">
        <f t="shared" si="249"/>
        <v>0</v>
      </c>
      <c r="BE178" s="25" t="str">
        <f t="shared" si="249"/>
        <v>0</v>
      </c>
      <c r="BF178" s="25" t="str">
        <f t="shared" si="249"/>
        <v>0</v>
      </c>
      <c r="BG178" s="25" t="str">
        <f t="shared" si="249"/>
        <v>0</v>
      </c>
      <c r="BH178" s="25" t="str">
        <f t="shared" si="249"/>
        <v>0</v>
      </c>
      <c r="BI178" s="25" t="str">
        <f t="shared" si="249"/>
        <v>0</v>
      </c>
      <c r="BJ178" s="25" t="str">
        <f t="shared" si="249"/>
        <v>0</v>
      </c>
      <c r="BK178" s="25" t="str">
        <f t="shared" si="249"/>
        <v>0</v>
      </c>
      <c r="BL178" s="25" t="str">
        <f t="shared" si="249"/>
        <v>0</v>
      </c>
      <c r="BM178" s="25" t="str">
        <f t="shared" si="249"/>
        <v>0</v>
      </c>
      <c r="BN178" s="25" t="str">
        <f t="shared" si="249"/>
        <v>0</v>
      </c>
      <c r="BO178" s="25">
        <f t="shared" si="249"/>
        <v>0.18</v>
      </c>
      <c r="BP178" s="25" t="str">
        <f t="shared" si="249"/>
        <v>0</v>
      </c>
      <c r="BQ178" s="25" t="str">
        <f t="shared" si="249"/>
        <v>0</v>
      </c>
      <c r="BR178" s="25" t="str">
        <f t="shared" si="249"/>
        <v>0</v>
      </c>
      <c r="BS178" s="25" t="str">
        <f t="shared" si="249"/>
        <v>0</v>
      </c>
      <c r="BT178" s="25" t="str">
        <f t="shared" si="249"/>
        <v>0</v>
      </c>
      <c r="BU178" s="25" t="str">
        <f t="shared" si="249"/>
        <v>0</v>
      </c>
      <c r="BV178" s="25" t="str">
        <f t="shared" si="249"/>
        <v>0</v>
      </c>
      <c r="BW178" s="25" t="str">
        <f t="shared" si="249"/>
        <v>0</v>
      </c>
      <c r="BX178" s="25" t="str">
        <f t="shared" si="249"/>
        <v>0</v>
      </c>
      <c r="BY178" s="25" t="str">
        <f t="shared" si="249"/>
        <v>0</v>
      </c>
      <c r="BZ178" s="25" t="str">
        <f t="shared" si="249"/>
        <v>0</v>
      </c>
      <c r="CC178" s="25" t="str">
        <f t="array" ref="CC178">INDEX($C$46:$C$74,MATCH(CD178,$B$46:$B$74,0))</f>
        <v>伊戈尔</v>
      </c>
      <c r="CD178" s="1">
        <v>1017</v>
      </c>
      <c r="CE178" s="1">
        <v>1</v>
      </c>
      <c r="CF178" s="25" t="str">
        <f t="array" ref="CF178">INDEX($T$5:$T$44,MATCH(CC178,$B$5:$B$44,0))</f>
        <v>魔法</v>
      </c>
      <c r="CG178" s="25">
        <f t="shared" si="189"/>
        <v>0</v>
      </c>
      <c r="CH178" s="25">
        <f t="shared" si="168"/>
        <v>1</v>
      </c>
      <c r="CI178" s="25">
        <f t="shared" si="169"/>
        <v>1</v>
      </c>
      <c r="CJ178" s="25">
        <f t="shared" si="170"/>
        <v>1</v>
      </c>
      <c r="CK178" s="25">
        <f t="shared" si="171"/>
        <v>1</v>
      </c>
      <c r="CL178" s="25">
        <v>0</v>
      </c>
      <c r="CM178" s="25">
        <f t="shared" si="190"/>
        <v>0</v>
      </c>
      <c r="CN178" s="25">
        <f t="shared" si="172"/>
        <v>0</v>
      </c>
      <c r="CO178" s="25">
        <f t="shared" si="173"/>
        <v>0</v>
      </c>
      <c r="CP178" s="29" t="str">
        <f t="shared" ref="CP178:DQ178" si="250">IF($CL178=CP$78,$CN178,"0")</f>
        <v>0</v>
      </c>
      <c r="CQ178" s="29" t="str">
        <f t="shared" si="250"/>
        <v>0</v>
      </c>
      <c r="CR178" s="29" t="str">
        <f t="shared" si="250"/>
        <v>0</v>
      </c>
      <c r="CS178" s="29" t="str">
        <f t="shared" si="250"/>
        <v>0</v>
      </c>
      <c r="CT178" s="29" t="str">
        <f t="shared" si="250"/>
        <v>0</v>
      </c>
      <c r="CU178" s="29" t="str">
        <f t="shared" si="250"/>
        <v>0</v>
      </c>
      <c r="CV178" s="29" t="str">
        <f t="shared" si="250"/>
        <v>0</v>
      </c>
      <c r="CW178" s="29" t="str">
        <f t="shared" si="250"/>
        <v>0</v>
      </c>
      <c r="CX178" s="29" t="str">
        <f t="shared" si="250"/>
        <v>0</v>
      </c>
      <c r="CY178" s="29" t="str">
        <f t="shared" si="250"/>
        <v>0</v>
      </c>
      <c r="CZ178" s="29" t="str">
        <f t="shared" si="250"/>
        <v>0</v>
      </c>
      <c r="DA178" s="29" t="str">
        <f t="shared" si="250"/>
        <v>0</v>
      </c>
      <c r="DB178" s="29" t="str">
        <f t="shared" si="250"/>
        <v>0</v>
      </c>
      <c r="DC178" s="29" t="str">
        <f t="shared" si="250"/>
        <v>0</v>
      </c>
      <c r="DD178" s="29" t="str">
        <f t="shared" si="250"/>
        <v>0</v>
      </c>
      <c r="DE178" s="29" t="str">
        <f t="shared" si="250"/>
        <v>0</v>
      </c>
      <c r="DF178" s="29" t="str">
        <f t="shared" si="250"/>
        <v>0</v>
      </c>
      <c r="DG178" s="29" t="str">
        <f t="shared" si="250"/>
        <v>0</v>
      </c>
      <c r="DH178" s="29" t="str">
        <f t="shared" si="250"/>
        <v>0</v>
      </c>
      <c r="DI178" s="29" t="str">
        <f t="shared" si="250"/>
        <v>0</v>
      </c>
      <c r="DJ178" s="29" t="str">
        <f t="shared" si="250"/>
        <v>0</v>
      </c>
      <c r="DK178" s="29" t="str">
        <f t="shared" si="250"/>
        <v>0</v>
      </c>
      <c r="DL178" s="29" t="str">
        <f t="shared" si="250"/>
        <v>0</v>
      </c>
      <c r="DM178" s="29" t="str">
        <f t="shared" si="250"/>
        <v>0</v>
      </c>
      <c r="DN178" s="29" t="str">
        <f t="shared" si="250"/>
        <v>0</v>
      </c>
      <c r="DO178" s="29" t="str">
        <f t="shared" si="250"/>
        <v>0</v>
      </c>
      <c r="DP178" s="29" t="str">
        <f t="shared" si="250"/>
        <v>0</v>
      </c>
      <c r="DQ178" s="29" t="str">
        <f t="shared" si="250"/>
        <v>0</v>
      </c>
      <c r="DR178" s="29"/>
      <c r="DS178" s="25">
        <v>0</v>
      </c>
      <c r="EE178" s="25" t="str">
        <f t="shared" si="175"/>
        <v>0</v>
      </c>
    </row>
    <row r="179" spans="1:135">
      <c r="A179" s="53">
        <v>1002041</v>
      </c>
      <c r="B179" s="49" t="s">
        <v>318</v>
      </c>
      <c r="C179" s="25">
        <f t="shared" si="146"/>
        <v>41</v>
      </c>
      <c r="D179" s="25">
        <f t="array" ref="D179">INDEX(C$5:C$67,MATCH($B179,$B$5:$B$67,0))</f>
        <v>5600</v>
      </c>
      <c r="E179" s="25">
        <f t="array" ref="E179">INDEX(D$5:D$67,MATCH($B179,$B$5:$B$67,0))</f>
        <v>448</v>
      </c>
      <c r="F179" s="25">
        <f t="array" ref="F179">INDEX(E$5:E$67,MATCH($B179,$B$5:$B$67,0))</f>
        <v>720</v>
      </c>
      <c r="G179" s="25">
        <f t="array" ref="G179">INDEX(F$5:F$67,MATCH($B179,$B$5:$B$67,0))</f>
        <v>57.6</v>
      </c>
      <c r="H179" s="25">
        <f t="array" ref="H179">INDEX(G$5:G$66,MATCH($B179,$B$5:$B$67,0))</f>
        <v>576</v>
      </c>
      <c r="I179" s="25">
        <f t="array" ref="I179">INDEX(H$5:H$67,MATCH($B179,$B$5:$B$67,0))</f>
        <v>46.08</v>
      </c>
      <c r="J179" s="25">
        <f t="array" ref="J179">INDEX(I$5:I$67,MATCH($B179,$B$5:$B$67,0))</f>
        <v>800</v>
      </c>
      <c r="K179" s="25">
        <f t="array" ref="K179">INDEX(J$5:J$67,MATCH($B179,$B$5:$B$67,0))</f>
        <v>64</v>
      </c>
      <c r="L179" s="25">
        <f t="shared" si="156"/>
        <v>23968</v>
      </c>
      <c r="M179" s="25">
        <f t="shared" si="157"/>
        <v>3082</v>
      </c>
      <c r="N179" s="25">
        <f t="shared" si="158"/>
        <v>2465</v>
      </c>
      <c r="O179" s="25">
        <f t="shared" si="159"/>
        <v>3424</v>
      </c>
      <c r="R179" s="50">
        <f t="array" ref="R179">INDEX($B$46:$B$68,MATCH(S179,$C$46:$C$68,0))*1000+T179</f>
        <v>1004020</v>
      </c>
      <c r="S179" s="51" t="s">
        <v>324</v>
      </c>
      <c r="T179" s="29">
        <f t="shared" si="232"/>
        <v>20</v>
      </c>
      <c r="U179" s="25">
        <f t="array" ref="U179">INDEX(K$5:K$67,MATCH($S179,$B$5:$B$67,0))</f>
        <v>506.09</v>
      </c>
      <c r="V179" s="25">
        <f t="array" ref="V179">INDEX(L$5:L$67,MATCH($S179,$B$5:$B$67,0))</f>
        <v>72.4</v>
      </c>
      <c r="W179" s="25">
        <f t="array" ref="W179">INDEX(M$5:M$67,MATCH($S179,$B$5:$B$67,0))</f>
        <v>94.08</v>
      </c>
      <c r="X179" s="25">
        <f t="array" ref="X179">INDEX(N$5:N$67,MATCH($S179,$B$5:$B$67,0))</f>
        <v>88.83</v>
      </c>
      <c r="Y179" s="25">
        <f t="shared" si="160"/>
        <v>10122</v>
      </c>
      <c r="Z179" s="25">
        <f t="shared" si="161"/>
        <v>1448</v>
      </c>
      <c r="AA179" s="25">
        <f t="shared" si="162"/>
        <v>1882</v>
      </c>
      <c r="AB179" s="25">
        <f t="shared" si="163"/>
        <v>1777</v>
      </c>
      <c r="AF179" s="25">
        <v>101</v>
      </c>
      <c r="AG179" s="25">
        <f t="array" ref="AG179">INDEX($AE$79:$AE$116,QUOTIENT(AF179-1,8)+1)</f>
        <v>1014</v>
      </c>
      <c r="AH179" s="25">
        <f t="shared" si="192"/>
        <v>5</v>
      </c>
      <c r="AI179" s="25">
        <f t="shared" si="164"/>
        <v>10145</v>
      </c>
      <c r="AJ179" s="25" t="str">
        <f t="shared" si="165"/>
        <v>克莉丝汀</v>
      </c>
      <c r="AK179" s="25">
        <f t="shared" si="193"/>
        <v>3</v>
      </c>
      <c r="AL179" s="25" t="str">
        <f t="array" ref="AL179">INDEX($O$5:$O$42,MATCH(AJ179,$B$5:$B$42,0))</f>
        <v>攻击百分比</v>
      </c>
      <c r="AM179" s="25" t="str">
        <f t="array" ref="AM179">INDEX($P$5:$P$42,MATCH(AJ179,$B$5:$B$42,0))</f>
        <v>必杀伤害加成</v>
      </c>
      <c r="AN179" s="25" t="str">
        <f t="array" ref="AN179">INDEX($Q$5:$Q$42,MATCH(AJ179,$B$5:$B$42,0))</f>
        <v>技能伤害加成</v>
      </c>
      <c r="AO179" s="25" t="str">
        <f t="array" ref="AO179">INDEX(AL179:AN179,0,AK179)</f>
        <v>技能伤害加成</v>
      </c>
      <c r="AP179" s="25">
        <f t="shared" si="151"/>
        <v>0.216666666666667</v>
      </c>
      <c r="AQ179" s="25">
        <f t="shared" si="166"/>
        <v>0.26</v>
      </c>
      <c r="AR179" s="25" t="str">
        <f t="shared" ref="AR179:BZ179" si="251">IF(AR$78=$AO179,$AQ179,"0")</f>
        <v>0</v>
      </c>
      <c r="AS179" s="25" t="str">
        <f t="shared" si="251"/>
        <v>0</v>
      </c>
      <c r="AT179" s="25" t="str">
        <f t="shared" si="251"/>
        <v>0</v>
      </c>
      <c r="AU179" s="25" t="str">
        <f t="shared" si="251"/>
        <v>0</v>
      </c>
      <c r="AV179" s="25" t="str">
        <f t="shared" si="251"/>
        <v>0</v>
      </c>
      <c r="AW179" s="25" t="str">
        <f t="shared" si="251"/>
        <v>0</v>
      </c>
      <c r="AX179" s="25" t="str">
        <f t="shared" si="251"/>
        <v>0</v>
      </c>
      <c r="AY179" s="25" t="str">
        <f t="shared" si="251"/>
        <v>0</v>
      </c>
      <c r="AZ179" s="25" t="str">
        <f t="shared" si="251"/>
        <v>0</v>
      </c>
      <c r="BA179" s="25" t="str">
        <f t="shared" si="251"/>
        <v>0</v>
      </c>
      <c r="BB179" s="25" t="str">
        <f t="shared" si="251"/>
        <v>0</v>
      </c>
      <c r="BC179" s="25" t="str">
        <f t="shared" si="251"/>
        <v>0</v>
      </c>
      <c r="BD179" s="25" t="str">
        <f t="shared" si="251"/>
        <v>0</v>
      </c>
      <c r="BE179" s="25" t="str">
        <f t="shared" si="251"/>
        <v>0</v>
      </c>
      <c r="BF179" s="25" t="str">
        <f t="shared" si="251"/>
        <v>0</v>
      </c>
      <c r="BG179" s="25" t="str">
        <f t="shared" si="251"/>
        <v>0</v>
      </c>
      <c r="BH179" s="25" t="str">
        <f t="shared" si="251"/>
        <v>0</v>
      </c>
      <c r="BI179" s="25" t="str">
        <f t="shared" si="251"/>
        <v>0</v>
      </c>
      <c r="BJ179" s="25" t="str">
        <f t="shared" si="251"/>
        <v>0</v>
      </c>
      <c r="BK179" s="25" t="str">
        <f t="shared" si="251"/>
        <v>0</v>
      </c>
      <c r="BL179" s="25" t="str">
        <f t="shared" si="251"/>
        <v>0</v>
      </c>
      <c r="BM179" s="25" t="str">
        <f t="shared" si="251"/>
        <v>0</v>
      </c>
      <c r="BN179" s="25">
        <f t="shared" si="251"/>
        <v>0.26</v>
      </c>
      <c r="BO179" s="25" t="str">
        <f t="shared" si="251"/>
        <v>0</v>
      </c>
      <c r="BP179" s="25" t="str">
        <f t="shared" si="251"/>
        <v>0</v>
      </c>
      <c r="BQ179" s="25" t="str">
        <f t="shared" si="251"/>
        <v>0</v>
      </c>
      <c r="BR179" s="25" t="str">
        <f t="shared" si="251"/>
        <v>0</v>
      </c>
      <c r="BS179" s="25" t="str">
        <f t="shared" si="251"/>
        <v>0</v>
      </c>
      <c r="BT179" s="25" t="str">
        <f t="shared" si="251"/>
        <v>0</v>
      </c>
      <c r="BU179" s="25" t="str">
        <f t="shared" si="251"/>
        <v>0</v>
      </c>
      <c r="BV179" s="25" t="str">
        <f t="shared" si="251"/>
        <v>0</v>
      </c>
      <c r="BW179" s="25" t="str">
        <f t="shared" si="251"/>
        <v>0</v>
      </c>
      <c r="BX179" s="25" t="str">
        <f t="shared" si="251"/>
        <v>0</v>
      </c>
      <c r="BY179" s="25" t="str">
        <f t="shared" si="251"/>
        <v>0</v>
      </c>
      <c r="BZ179" s="25" t="str">
        <f t="shared" si="251"/>
        <v>0</v>
      </c>
      <c r="CC179" s="25" t="str">
        <f t="array" ref="CC179">INDEX($C$46:$C$74,MATCH(CD179,$B$46:$B$74,0))</f>
        <v>伊戈尔</v>
      </c>
      <c r="CD179" s="1">
        <v>1017</v>
      </c>
      <c r="CE179" s="1">
        <v>2</v>
      </c>
      <c r="CF179" s="25" t="str">
        <f t="array" ref="CF179">INDEX($T$5:$T$44,MATCH(CC179,$B$5:$B$44,0))</f>
        <v>魔法</v>
      </c>
      <c r="CG179" s="25">
        <f t="shared" si="189"/>
        <v>0</v>
      </c>
      <c r="CH179" s="25">
        <f t="shared" si="168"/>
        <v>1</v>
      </c>
      <c r="CI179" s="25">
        <f t="shared" si="169"/>
        <v>1</v>
      </c>
      <c r="CJ179" s="25">
        <f t="shared" si="170"/>
        <v>1</v>
      </c>
      <c r="CK179" s="25">
        <f t="shared" si="171"/>
        <v>1</v>
      </c>
      <c r="CL179" s="25">
        <v>0</v>
      </c>
      <c r="CM179" s="25">
        <f t="shared" si="190"/>
        <v>0</v>
      </c>
      <c r="CN179" s="25">
        <f t="shared" si="172"/>
        <v>0</v>
      </c>
      <c r="CO179" s="25">
        <f t="shared" si="173"/>
        <v>0</v>
      </c>
      <c r="CP179" s="29" t="str">
        <f t="shared" ref="CP179:DQ179" si="252">IF($CL179=CP$78,$CN179,"0")</f>
        <v>0</v>
      </c>
      <c r="CQ179" s="29" t="str">
        <f t="shared" si="252"/>
        <v>0</v>
      </c>
      <c r="CR179" s="29" t="str">
        <f t="shared" si="252"/>
        <v>0</v>
      </c>
      <c r="CS179" s="29" t="str">
        <f t="shared" si="252"/>
        <v>0</v>
      </c>
      <c r="CT179" s="29" t="str">
        <f t="shared" si="252"/>
        <v>0</v>
      </c>
      <c r="CU179" s="29" t="str">
        <f t="shared" si="252"/>
        <v>0</v>
      </c>
      <c r="CV179" s="29" t="str">
        <f t="shared" si="252"/>
        <v>0</v>
      </c>
      <c r="CW179" s="29" t="str">
        <f t="shared" si="252"/>
        <v>0</v>
      </c>
      <c r="CX179" s="29" t="str">
        <f t="shared" si="252"/>
        <v>0</v>
      </c>
      <c r="CY179" s="29" t="str">
        <f t="shared" si="252"/>
        <v>0</v>
      </c>
      <c r="CZ179" s="29" t="str">
        <f t="shared" si="252"/>
        <v>0</v>
      </c>
      <c r="DA179" s="29" t="str">
        <f t="shared" si="252"/>
        <v>0</v>
      </c>
      <c r="DB179" s="29" t="str">
        <f t="shared" si="252"/>
        <v>0</v>
      </c>
      <c r="DC179" s="29" t="str">
        <f t="shared" si="252"/>
        <v>0</v>
      </c>
      <c r="DD179" s="29" t="str">
        <f t="shared" si="252"/>
        <v>0</v>
      </c>
      <c r="DE179" s="29" t="str">
        <f t="shared" si="252"/>
        <v>0</v>
      </c>
      <c r="DF179" s="29" t="str">
        <f t="shared" si="252"/>
        <v>0</v>
      </c>
      <c r="DG179" s="29" t="str">
        <f t="shared" si="252"/>
        <v>0</v>
      </c>
      <c r="DH179" s="29" t="str">
        <f t="shared" si="252"/>
        <v>0</v>
      </c>
      <c r="DI179" s="29" t="str">
        <f t="shared" si="252"/>
        <v>0</v>
      </c>
      <c r="DJ179" s="29" t="str">
        <f t="shared" si="252"/>
        <v>0</v>
      </c>
      <c r="DK179" s="29" t="str">
        <f t="shared" si="252"/>
        <v>0</v>
      </c>
      <c r="DL179" s="29" t="str">
        <f t="shared" si="252"/>
        <v>0</v>
      </c>
      <c r="DM179" s="29" t="str">
        <f t="shared" si="252"/>
        <v>0</v>
      </c>
      <c r="DN179" s="29" t="str">
        <f t="shared" si="252"/>
        <v>0</v>
      </c>
      <c r="DO179" s="29" t="str">
        <f t="shared" si="252"/>
        <v>0</v>
      </c>
      <c r="DP179" s="29" t="str">
        <f t="shared" si="252"/>
        <v>0</v>
      </c>
      <c r="DQ179" s="29" t="str">
        <f t="shared" si="252"/>
        <v>0</v>
      </c>
      <c r="DR179" s="29"/>
      <c r="DS179" s="25">
        <v>0</v>
      </c>
      <c r="EE179" s="25" t="str">
        <f t="shared" si="175"/>
        <v>0</v>
      </c>
    </row>
    <row r="180" spans="1:135">
      <c r="A180" s="53">
        <v>1002042</v>
      </c>
      <c r="B180" s="49" t="s">
        <v>318</v>
      </c>
      <c r="C180" s="25">
        <f t="shared" si="146"/>
        <v>42</v>
      </c>
      <c r="D180" s="25">
        <f t="array" ref="D180">INDEX(C$5:C$67,MATCH($B180,$B$5:$B$67,0))</f>
        <v>5600</v>
      </c>
      <c r="E180" s="25">
        <f t="array" ref="E180">INDEX(D$5:D$67,MATCH($B180,$B$5:$B$67,0))</f>
        <v>448</v>
      </c>
      <c r="F180" s="25">
        <f t="array" ref="F180">INDEX(E$5:E$67,MATCH($B180,$B$5:$B$67,0))</f>
        <v>720</v>
      </c>
      <c r="G180" s="25">
        <f t="array" ref="G180">INDEX(F$5:F$67,MATCH($B180,$B$5:$B$67,0))</f>
        <v>57.6</v>
      </c>
      <c r="H180" s="25">
        <f t="array" ref="H180">INDEX(G$5:G$66,MATCH($B180,$B$5:$B$67,0))</f>
        <v>576</v>
      </c>
      <c r="I180" s="25">
        <f t="array" ref="I180">INDEX(H$5:H$67,MATCH($B180,$B$5:$B$67,0))</f>
        <v>46.08</v>
      </c>
      <c r="J180" s="25">
        <f t="array" ref="J180">INDEX(I$5:I$67,MATCH($B180,$B$5:$B$67,0))</f>
        <v>800</v>
      </c>
      <c r="K180" s="25">
        <f t="array" ref="K180">INDEX(J$5:J$67,MATCH($B180,$B$5:$B$67,0))</f>
        <v>64</v>
      </c>
      <c r="L180" s="25">
        <f t="shared" si="156"/>
        <v>24416</v>
      </c>
      <c r="M180" s="25">
        <f t="shared" si="157"/>
        <v>3139</v>
      </c>
      <c r="N180" s="25">
        <f t="shared" si="158"/>
        <v>2511</v>
      </c>
      <c r="O180" s="25">
        <f t="shared" si="159"/>
        <v>3488</v>
      </c>
      <c r="R180" s="50">
        <f t="array" ref="R180">INDEX($B$46:$B$68,MATCH(S180,$C$46:$C$68,0))*1000+T180</f>
        <v>1004021</v>
      </c>
      <c r="S180" s="51" t="s">
        <v>324</v>
      </c>
      <c r="T180" s="29">
        <f t="shared" si="232"/>
        <v>21</v>
      </c>
      <c r="U180" s="25">
        <f t="array" ref="U180">INDEX(K$5:K$67,MATCH($S180,$B$5:$B$67,0))</f>
        <v>506.09</v>
      </c>
      <c r="V180" s="25">
        <f t="array" ref="V180">INDEX(L$5:L$67,MATCH($S180,$B$5:$B$67,0))</f>
        <v>72.4</v>
      </c>
      <c r="W180" s="25">
        <f t="array" ref="W180">INDEX(M$5:M$67,MATCH($S180,$B$5:$B$67,0))</f>
        <v>94.08</v>
      </c>
      <c r="X180" s="25">
        <f t="array" ref="X180">INDEX(N$5:N$67,MATCH($S180,$B$5:$B$67,0))</f>
        <v>88.83</v>
      </c>
      <c r="Y180" s="25">
        <f t="shared" si="160"/>
        <v>10628</v>
      </c>
      <c r="Z180" s="25">
        <f t="shared" si="161"/>
        <v>1520</v>
      </c>
      <c r="AA180" s="25">
        <f t="shared" si="162"/>
        <v>1976</v>
      </c>
      <c r="AB180" s="25">
        <f t="shared" si="163"/>
        <v>1865</v>
      </c>
      <c r="AF180" s="25">
        <v>102</v>
      </c>
      <c r="AG180" s="25">
        <f t="array" ref="AG180">INDEX($AE$79:$AE$116,QUOTIENT(AF180-1,8)+1)</f>
        <v>1014</v>
      </c>
      <c r="AH180" s="25">
        <f t="shared" si="192"/>
        <v>6</v>
      </c>
      <c r="AI180" s="25">
        <f t="shared" si="164"/>
        <v>10146</v>
      </c>
      <c r="AJ180" s="25" t="str">
        <f t="shared" si="165"/>
        <v>克莉丝汀</v>
      </c>
      <c r="AK180" s="25">
        <f t="shared" si="193"/>
        <v>1</v>
      </c>
      <c r="AL180" s="25" t="str">
        <f t="array" ref="AL180">INDEX($O$5:$O$42,MATCH(AJ180,$B$5:$B$42,0))</f>
        <v>攻击百分比</v>
      </c>
      <c r="AM180" s="25" t="str">
        <f t="array" ref="AM180">INDEX($P$5:$P$42,MATCH(AJ180,$B$5:$B$42,0))</f>
        <v>必杀伤害加成</v>
      </c>
      <c r="AN180" s="25" t="str">
        <f t="array" ref="AN180">INDEX($Q$5:$Q$42,MATCH(AJ180,$B$5:$B$42,0))</f>
        <v>技能伤害加成</v>
      </c>
      <c r="AO180" s="25" t="str">
        <f t="array" ref="AO180">INDEX(AL180:AN180,0,AK180)</f>
        <v>攻击百分比</v>
      </c>
      <c r="AP180" s="25">
        <f t="shared" si="151"/>
        <v>0.216666666666667</v>
      </c>
      <c r="AQ180" s="25">
        <f t="shared" si="166"/>
        <v>0.216666666666667</v>
      </c>
      <c r="AR180" s="25" t="str">
        <f t="shared" ref="AR180:BZ180" si="253">IF(AR$78=$AO180,$AQ180,"0")</f>
        <v>0</v>
      </c>
      <c r="AS180" s="25" t="str">
        <f t="shared" si="253"/>
        <v>0</v>
      </c>
      <c r="AT180" s="25" t="str">
        <f t="shared" si="253"/>
        <v>0</v>
      </c>
      <c r="AU180" s="25">
        <f t="shared" si="253"/>
        <v>0.216666666666667</v>
      </c>
      <c r="AV180" s="25" t="str">
        <f t="shared" si="253"/>
        <v>0</v>
      </c>
      <c r="AW180" s="25">
        <f t="shared" si="253"/>
        <v>0.216666666666667</v>
      </c>
      <c r="AX180" s="25" t="str">
        <f t="shared" si="253"/>
        <v>0</v>
      </c>
      <c r="AY180" s="25" t="str">
        <f t="shared" si="253"/>
        <v>0</v>
      </c>
      <c r="AZ180" s="25" t="str">
        <f t="shared" si="253"/>
        <v>0</v>
      </c>
      <c r="BA180" s="25" t="str">
        <f t="shared" si="253"/>
        <v>0</v>
      </c>
      <c r="BB180" s="25" t="str">
        <f t="shared" si="253"/>
        <v>0</v>
      </c>
      <c r="BC180" s="25" t="str">
        <f t="shared" si="253"/>
        <v>0</v>
      </c>
      <c r="BD180" s="25" t="str">
        <f t="shared" si="253"/>
        <v>0</v>
      </c>
      <c r="BE180" s="25" t="str">
        <f t="shared" si="253"/>
        <v>0</v>
      </c>
      <c r="BF180" s="25" t="str">
        <f t="shared" si="253"/>
        <v>0</v>
      </c>
      <c r="BG180" s="25" t="str">
        <f t="shared" si="253"/>
        <v>0</v>
      </c>
      <c r="BH180" s="25" t="str">
        <f t="shared" si="253"/>
        <v>0</v>
      </c>
      <c r="BI180" s="25" t="str">
        <f t="shared" si="253"/>
        <v>0</v>
      </c>
      <c r="BJ180" s="25" t="str">
        <f t="shared" si="253"/>
        <v>0</v>
      </c>
      <c r="BK180" s="25" t="str">
        <f t="shared" si="253"/>
        <v>0</v>
      </c>
      <c r="BL180" s="25" t="str">
        <f t="shared" si="253"/>
        <v>0</v>
      </c>
      <c r="BM180" s="25" t="str">
        <f t="shared" si="253"/>
        <v>0</v>
      </c>
      <c r="BN180" s="25" t="str">
        <f t="shared" si="253"/>
        <v>0</v>
      </c>
      <c r="BO180" s="25" t="str">
        <f t="shared" si="253"/>
        <v>0</v>
      </c>
      <c r="BP180" s="25" t="str">
        <f t="shared" si="253"/>
        <v>0</v>
      </c>
      <c r="BQ180" s="25" t="str">
        <f t="shared" si="253"/>
        <v>0</v>
      </c>
      <c r="BR180" s="25" t="str">
        <f t="shared" si="253"/>
        <v>0</v>
      </c>
      <c r="BS180" s="25" t="str">
        <f t="shared" si="253"/>
        <v>0</v>
      </c>
      <c r="BT180" s="25" t="str">
        <f t="shared" si="253"/>
        <v>0</v>
      </c>
      <c r="BU180" s="25" t="str">
        <f t="shared" si="253"/>
        <v>0</v>
      </c>
      <c r="BV180" s="25" t="str">
        <f t="shared" si="253"/>
        <v>0</v>
      </c>
      <c r="BW180" s="25" t="str">
        <f t="shared" si="253"/>
        <v>0</v>
      </c>
      <c r="BX180" s="25" t="str">
        <f t="shared" si="253"/>
        <v>0</v>
      </c>
      <c r="BY180" s="25" t="str">
        <f t="shared" si="253"/>
        <v>0</v>
      </c>
      <c r="BZ180" s="25" t="str">
        <f t="shared" si="253"/>
        <v>0</v>
      </c>
      <c r="CC180" s="25" t="str">
        <f t="array" ref="CC180">INDEX($C$46:$C$74,MATCH(CD180,$B$46:$B$74,0))</f>
        <v>伊戈尔</v>
      </c>
      <c r="CD180" s="1">
        <v>1017</v>
      </c>
      <c r="CE180" s="1">
        <v>3</v>
      </c>
      <c r="CF180" s="25" t="str">
        <f t="array" ref="CF180">INDEX($T$5:$T$44,MATCH(CC180,$B$5:$B$44,0))</f>
        <v>魔法</v>
      </c>
      <c r="CG180" s="25">
        <f t="shared" si="189"/>
        <v>0.15</v>
      </c>
      <c r="CH180" s="25">
        <f t="shared" si="168"/>
        <v>1.15</v>
      </c>
      <c r="CI180" s="25">
        <f t="shared" si="169"/>
        <v>1</v>
      </c>
      <c r="CJ180" s="25">
        <f t="shared" si="170"/>
        <v>1.15</v>
      </c>
      <c r="CK180" s="25">
        <f t="shared" si="171"/>
        <v>1.15</v>
      </c>
      <c r="CL180" s="25" t="str">
        <f t="array" ref="CL180">INDEX($R$5:$R$43,MATCH(CC180,$B$5:$B$43,0))</f>
        <v>魔法伤害加成</v>
      </c>
      <c r="CM180" s="25">
        <f t="shared" si="190"/>
        <v>0.3</v>
      </c>
      <c r="CN180" s="25">
        <f t="shared" si="172"/>
        <v>0.12</v>
      </c>
      <c r="CO180" s="25">
        <f t="shared" si="173"/>
        <v>1</v>
      </c>
      <c r="CP180" s="29" t="str">
        <f t="shared" ref="CP180:DQ180" si="254">IF($CL180=CP$78,$CN180,"0")</f>
        <v>0</v>
      </c>
      <c r="CQ180" s="29" t="str">
        <f t="shared" si="254"/>
        <v>0</v>
      </c>
      <c r="CR180" s="29" t="str">
        <f t="shared" si="254"/>
        <v>0</v>
      </c>
      <c r="CS180" s="29" t="str">
        <f t="shared" si="254"/>
        <v>0</v>
      </c>
      <c r="CT180" s="29" t="str">
        <f t="shared" si="254"/>
        <v>0</v>
      </c>
      <c r="CU180" s="29" t="str">
        <f t="shared" si="254"/>
        <v>0</v>
      </c>
      <c r="CV180" s="29" t="str">
        <f t="shared" si="254"/>
        <v>0</v>
      </c>
      <c r="CW180" s="29" t="str">
        <f t="shared" si="254"/>
        <v>0</v>
      </c>
      <c r="CX180" s="29" t="str">
        <f t="shared" si="254"/>
        <v>0</v>
      </c>
      <c r="CY180" s="29" t="str">
        <f t="shared" si="254"/>
        <v>0</v>
      </c>
      <c r="CZ180" s="29" t="str">
        <f t="shared" si="254"/>
        <v>0</v>
      </c>
      <c r="DA180" s="29" t="str">
        <f t="shared" si="254"/>
        <v>0</v>
      </c>
      <c r="DB180" s="29" t="str">
        <f t="shared" si="254"/>
        <v>0</v>
      </c>
      <c r="DC180" s="29">
        <f t="shared" si="254"/>
        <v>0.12</v>
      </c>
      <c r="DD180" s="29" t="str">
        <f t="shared" si="254"/>
        <v>0</v>
      </c>
      <c r="DE180" s="29" t="str">
        <f t="shared" si="254"/>
        <v>0</v>
      </c>
      <c r="DF180" s="29" t="str">
        <f t="shared" si="254"/>
        <v>0</v>
      </c>
      <c r="DG180" s="29" t="str">
        <f t="shared" si="254"/>
        <v>0</v>
      </c>
      <c r="DH180" s="29" t="str">
        <f t="shared" si="254"/>
        <v>0</v>
      </c>
      <c r="DI180" s="29" t="str">
        <f t="shared" si="254"/>
        <v>0</v>
      </c>
      <c r="DJ180" s="29" t="str">
        <f t="shared" si="254"/>
        <v>0</v>
      </c>
      <c r="DK180" s="29" t="str">
        <f t="shared" si="254"/>
        <v>0</v>
      </c>
      <c r="DL180" s="29" t="str">
        <f t="shared" si="254"/>
        <v>0</v>
      </c>
      <c r="DM180" s="29" t="str">
        <f t="shared" si="254"/>
        <v>0</v>
      </c>
      <c r="DN180" s="29" t="str">
        <f t="shared" si="254"/>
        <v>0</v>
      </c>
      <c r="DO180" s="29" t="str">
        <f t="shared" si="254"/>
        <v>0</v>
      </c>
      <c r="DP180" s="29" t="str">
        <f t="shared" si="254"/>
        <v>0</v>
      </c>
      <c r="DQ180" s="29" t="str">
        <f t="shared" si="254"/>
        <v>0</v>
      </c>
      <c r="DR180" s="29"/>
      <c r="DS180" s="25" t="s">
        <v>1011</v>
      </c>
      <c r="DT180" s="25" t="str">
        <f>TEXT(角色升星!$F$18,"0%")</f>
        <v>15%</v>
      </c>
      <c r="DU180" s="25" t="s">
        <v>779</v>
      </c>
      <c r="DV180" s="25" t="str">
        <f>IF(CF180="物理","PhysicsAttack,+","MagicAttack,+")</f>
        <v>MagicAttack,+</v>
      </c>
      <c r="DW180" s="25" t="str">
        <f>TEXT(角色升星!$F$18,"0%")</f>
        <v>15%</v>
      </c>
      <c r="DX180" s="25" t="s">
        <v>779</v>
      </c>
      <c r="DY180" s="25" t="s">
        <v>1012</v>
      </c>
      <c r="DZ180" s="25" t="str">
        <f>TEXT(角色升星!$F$18,"0%")</f>
        <v>15%</v>
      </c>
      <c r="EA180" s="25" t="s">
        <v>779</v>
      </c>
      <c r="EB180" s="25" t="str">
        <f>VLOOKUP(CL180,$O$46:$P$73,2,0)</f>
        <v>MagicDmgBonus</v>
      </c>
      <c r="EC180" s="25" t="s">
        <v>1013</v>
      </c>
      <c r="ED180" s="25" t="str">
        <f>IF(CN180&gt;1,CN180,TEXT(CN180,"0%"))</f>
        <v>12%</v>
      </c>
      <c r="EE180" s="25" t="str">
        <f t="shared" si="175"/>
        <v>Hp,+15%;MagicAttack,+15%;Armor,+15%;MagicDmgBonus,+12%</v>
      </c>
    </row>
    <row r="181" spans="1:135">
      <c r="A181" s="53">
        <v>1002043</v>
      </c>
      <c r="B181" s="49" t="s">
        <v>318</v>
      </c>
      <c r="C181" s="25">
        <f t="shared" si="146"/>
        <v>43</v>
      </c>
      <c r="D181" s="25">
        <f t="array" ref="D181">INDEX(C$5:C$67,MATCH($B181,$B$5:$B$67,0))</f>
        <v>5600</v>
      </c>
      <c r="E181" s="25">
        <f t="array" ref="E181">INDEX(D$5:D$67,MATCH($B181,$B$5:$B$67,0))</f>
        <v>448</v>
      </c>
      <c r="F181" s="25">
        <f t="array" ref="F181">INDEX(E$5:E$67,MATCH($B181,$B$5:$B$67,0))</f>
        <v>720</v>
      </c>
      <c r="G181" s="25">
        <f t="array" ref="G181">INDEX(F$5:F$67,MATCH($B181,$B$5:$B$67,0))</f>
        <v>57.6</v>
      </c>
      <c r="H181" s="25">
        <f t="array" ref="H181">INDEX(G$5:G$66,MATCH($B181,$B$5:$B$67,0))</f>
        <v>576</v>
      </c>
      <c r="I181" s="25">
        <f t="array" ref="I181">INDEX(H$5:H$67,MATCH($B181,$B$5:$B$67,0))</f>
        <v>46.08</v>
      </c>
      <c r="J181" s="25">
        <f t="array" ref="J181">INDEX(I$5:I$67,MATCH($B181,$B$5:$B$67,0))</f>
        <v>800</v>
      </c>
      <c r="K181" s="25">
        <f t="array" ref="K181">INDEX(J$5:J$67,MATCH($B181,$B$5:$B$67,0))</f>
        <v>64</v>
      </c>
      <c r="L181" s="25">
        <f t="shared" si="156"/>
        <v>24864</v>
      </c>
      <c r="M181" s="25">
        <f t="shared" si="157"/>
        <v>3197</v>
      </c>
      <c r="N181" s="25">
        <f t="shared" si="158"/>
        <v>2557</v>
      </c>
      <c r="O181" s="25">
        <f t="shared" si="159"/>
        <v>3552</v>
      </c>
      <c r="R181" s="50">
        <f t="array" ref="R181">INDEX($B$46:$B$68,MATCH(S181,$C$46:$C$68,0))*1000+T181</f>
        <v>1004022</v>
      </c>
      <c r="S181" s="51" t="s">
        <v>324</v>
      </c>
      <c r="T181" s="29">
        <f t="shared" si="232"/>
        <v>22</v>
      </c>
      <c r="U181" s="25">
        <f t="array" ref="U181">INDEX(K$5:K$67,MATCH($S181,$B$5:$B$67,0))</f>
        <v>506.09</v>
      </c>
      <c r="V181" s="25">
        <f t="array" ref="V181">INDEX(L$5:L$67,MATCH($S181,$B$5:$B$67,0))</f>
        <v>72.4</v>
      </c>
      <c r="W181" s="25">
        <f t="array" ref="W181">INDEX(M$5:M$67,MATCH($S181,$B$5:$B$67,0))</f>
        <v>94.08</v>
      </c>
      <c r="X181" s="25">
        <f t="array" ref="X181">INDEX(N$5:N$67,MATCH($S181,$B$5:$B$67,0))</f>
        <v>88.83</v>
      </c>
      <c r="Y181" s="25">
        <f t="shared" si="160"/>
        <v>11134</v>
      </c>
      <c r="Z181" s="25">
        <f t="shared" si="161"/>
        <v>1593</v>
      </c>
      <c r="AA181" s="25">
        <f t="shared" si="162"/>
        <v>2070</v>
      </c>
      <c r="AB181" s="25">
        <f t="shared" si="163"/>
        <v>1954</v>
      </c>
      <c r="AF181" s="25">
        <v>103</v>
      </c>
      <c r="AG181" s="25">
        <f t="array" ref="AG181">INDEX($AE$79:$AE$116,QUOTIENT(AF181-1,8)+1)</f>
        <v>1014</v>
      </c>
      <c r="AH181" s="25">
        <f t="shared" si="192"/>
        <v>7</v>
      </c>
      <c r="AI181" s="25">
        <f t="shared" si="164"/>
        <v>10147</v>
      </c>
      <c r="AJ181" s="25" t="str">
        <f t="shared" si="165"/>
        <v>克莉丝汀</v>
      </c>
      <c r="AK181" s="25">
        <f t="shared" si="193"/>
        <v>2</v>
      </c>
      <c r="AL181" s="25" t="str">
        <f t="array" ref="AL181">INDEX($O$5:$O$42,MATCH(AJ181,$B$5:$B$42,0))</f>
        <v>攻击百分比</v>
      </c>
      <c r="AM181" s="25" t="str">
        <f t="array" ref="AM181">INDEX($P$5:$P$42,MATCH(AJ181,$B$5:$B$42,0))</f>
        <v>必杀伤害加成</v>
      </c>
      <c r="AN181" s="25" t="str">
        <f t="array" ref="AN181">INDEX($Q$5:$Q$42,MATCH(AJ181,$B$5:$B$42,0))</f>
        <v>技能伤害加成</v>
      </c>
      <c r="AO181" s="25" t="str">
        <f t="array" ref="AO181">INDEX(AL181:AN181,0,AK181)</f>
        <v>必杀伤害加成</v>
      </c>
      <c r="AP181" s="25">
        <f t="shared" si="151"/>
        <v>0.15</v>
      </c>
      <c r="AQ181" s="25">
        <f t="shared" si="166"/>
        <v>0.18</v>
      </c>
      <c r="AR181" s="25" t="str">
        <f t="shared" ref="AR181:BZ181" si="255">IF(AR$78=$AO181,$AQ181,"0")</f>
        <v>0</v>
      </c>
      <c r="AS181" s="25" t="str">
        <f t="shared" si="255"/>
        <v>0</v>
      </c>
      <c r="AT181" s="25" t="str">
        <f t="shared" si="255"/>
        <v>0</v>
      </c>
      <c r="AU181" s="25" t="str">
        <f t="shared" si="255"/>
        <v>0</v>
      </c>
      <c r="AV181" s="25" t="str">
        <f t="shared" si="255"/>
        <v>0</v>
      </c>
      <c r="AW181" s="25" t="str">
        <f t="shared" si="255"/>
        <v>0</v>
      </c>
      <c r="AX181" s="25" t="str">
        <f t="shared" si="255"/>
        <v>0</v>
      </c>
      <c r="AY181" s="25" t="str">
        <f t="shared" si="255"/>
        <v>0</v>
      </c>
      <c r="AZ181" s="25" t="str">
        <f t="shared" si="255"/>
        <v>0</v>
      </c>
      <c r="BA181" s="25" t="str">
        <f t="shared" si="255"/>
        <v>0</v>
      </c>
      <c r="BB181" s="25" t="str">
        <f t="shared" si="255"/>
        <v>0</v>
      </c>
      <c r="BC181" s="25" t="str">
        <f t="shared" si="255"/>
        <v>0</v>
      </c>
      <c r="BD181" s="25" t="str">
        <f t="shared" si="255"/>
        <v>0</v>
      </c>
      <c r="BE181" s="25" t="str">
        <f t="shared" si="255"/>
        <v>0</v>
      </c>
      <c r="BF181" s="25" t="str">
        <f t="shared" si="255"/>
        <v>0</v>
      </c>
      <c r="BG181" s="25" t="str">
        <f t="shared" si="255"/>
        <v>0</v>
      </c>
      <c r="BH181" s="25" t="str">
        <f t="shared" si="255"/>
        <v>0</v>
      </c>
      <c r="BI181" s="25" t="str">
        <f t="shared" si="255"/>
        <v>0</v>
      </c>
      <c r="BJ181" s="25" t="str">
        <f t="shared" si="255"/>
        <v>0</v>
      </c>
      <c r="BK181" s="25" t="str">
        <f t="shared" si="255"/>
        <v>0</v>
      </c>
      <c r="BL181" s="25" t="str">
        <f t="shared" si="255"/>
        <v>0</v>
      </c>
      <c r="BM181" s="25" t="str">
        <f t="shared" si="255"/>
        <v>0</v>
      </c>
      <c r="BN181" s="25" t="str">
        <f t="shared" si="255"/>
        <v>0</v>
      </c>
      <c r="BO181" s="25">
        <f t="shared" si="255"/>
        <v>0.18</v>
      </c>
      <c r="BP181" s="25" t="str">
        <f t="shared" si="255"/>
        <v>0</v>
      </c>
      <c r="BQ181" s="25" t="str">
        <f t="shared" si="255"/>
        <v>0</v>
      </c>
      <c r="BR181" s="25" t="str">
        <f t="shared" si="255"/>
        <v>0</v>
      </c>
      <c r="BS181" s="25" t="str">
        <f t="shared" si="255"/>
        <v>0</v>
      </c>
      <c r="BT181" s="25" t="str">
        <f t="shared" si="255"/>
        <v>0</v>
      </c>
      <c r="BU181" s="25" t="str">
        <f t="shared" si="255"/>
        <v>0</v>
      </c>
      <c r="BV181" s="25" t="str">
        <f t="shared" si="255"/>
        <v>0</v>
      </c>
      <c r="BW181" s="25" t="str">
        <f t="shared" si="255"/>
        <v>0</v>
      </c>
      <c r="BX181" s="25" t="str">
        <f t="shared" si="255"/>
        <v>0</v>
      </c>
      <c r="BY181" s="25" t="str">
        <f t="shared" si="255"/>
        <v>0</v>
      </c>
      <c r="BZ181" s="25" t="str">
        <f t="shared" si="255"/>
        <v>0</v>
      </c>
      <c r="CC181" s="25" t="str">
        <f t="array" ref="CC181">INDEX($C$46:$C$74,MATCH(CD181,$B$46:$B$74,0))</f>
        <v>伊戈尔</v>
      </c>
      <c r="CD181" s="1">
        <v>1017</v>
      </c>
      <c r="CE181" s="1">
        <v>4</v>
      </c>
      <c r="CF181" s="25" t="str">
        <f t="array" ref="CF181">INDEX($T$5:$T$44,MATCH(CC181,$B$5:$B$44,0))</f>
        <v>魔法</v>
      </c>
      <c r="CG181" s="25">
        <f t="shared" si="189"/>
        <v>0.15</v>
      </c>
      <c r="CH181" s="25">
        <f t="shared" si="168"/>
        <v>1.15</v>
      </c>
      <c r="CI181" s="25">
        <f t="shared" si="169"/>
        <v>1</v>
      </c>
      <c r="CJ181" s="25">
        <f t="shared" si="170"/>
        <v>1.15</v>
      </c>
      <c r="CK181" s="25">
        <f t="shared" si="171"/>
        <v>1.15</v>
      </c>
      <c r="CL181" s="25">
        <v>0</v>
      </c>
      <c r="CM181" s="25">
        <f t="shared" si="190"/>
        <v>0</v>
      </c>
      <c r="CN181" s="25">
        <f t="shared" si="172"/>
        <v>0</v>
      </c>
      <c r="CO181" s="25">
        <f t="shared" si="173"/>
        <v>0</v>
      </c>
      <c r="CP181" s="29" t="str">
        <f t="shared" ref="CP181:DQ181" si="256">IF($CL181=CP$78,$CN181,"0")</f>
        <v>0</v>
      </c>
      <c r="CQ181" s="29" t="str">
        <f t="shared" si="256"/>
        <v>0</v>
      </c>
      <c r="CR181" s="29" t="str">
        <f t="shared" si="256"/>
        <v>0</v>
      </c>
      <c r="CS181" s="29" t="str">
        <f t="shared" si="256"/>
        <v>0</v>
      </c>
      <c r="CT181" s="29" t="str">
        <f t="shared" si="256"/>
        <v>0</v>
      </c>
      <c r="CU181" s="29" t="str">
        <f t="shared" si="256"/>
        <v>0</v>
      </c>
      <c r="CV181" s="29" t="str">
        <f t="shared" si="256"/>
        <v>0</v>
      </c>
      <c r="CW181" s="29" t="str">
        <f t="shared" si="256"/>
        <v>0</v>
      </c>
      <c r="CX181" s="29" t="str">
        <f t="shared" si="256"/>
        <v>0</v>
      </c>
      <c r="CY181" s="29" t="str">
        <f t="shared" si="256"/>
        <v>0</v>
      </c>
      <c r="CZ181" s="29" t="str">
        <f t="shared" si="256"/>
        <v>0</v>
      </c>
      <c r="DA181" s="29" t="str">
        <f t="shared" si="256"/>
        <v>0</v>
      </c>
      <c r="DB181" s="29" t="str">
        <f t="shared" si="256"/>
        <v>0</v>
      </c>
      <c r="DC181" s="29" t="str">
        <f t="shared" si="256"/>
        <v>0</v>
      </c>
      <c r="DD181" s="29" t="str">
        <f t="shared" si="256"/>
        <v>0</v>
      </c>
      <c r="DE181" s="29" t="str">
        <f t="shared" si="256"/>
        <v>0</v>
      </c>
      <c r="DF181" s="29" t="str">
        <f t="shared" si="256"/>
        <v>0</v>
      </c>
      <c r="DG181" s="29" t="str">
        <f t="shared" si="256"/>
        <v>0</v>
      </c>
      <c r="DH181" s="29" t="str">
        <f t="shared" si="256"/>
        <v>0</v>
      </c>
      <c r="DI181" s="29" t="str">
        <f t="shared" si="256"/>
        <v>0</v>
      </c>
      <c r="DJ181" s="29" t="str">
        <f t="shared" si="256"/>
        <v>0</v>
      </c>
      <c r="DK181" s="29" t="str">
        <f t="shared" si="256"/>
        <v>0</v>
      </c>
      <c r="DL181" s="29" t="str">
        <f t="shared" si="256"/>
        <v>0</v>
      </c>
      <c r="DM181" s="29" t="str">
        <f t="shared" si="256"/>
        <v>0</v>
      </c>
      <c r="DN181" s="29" t="str">
        <f t="shared" si="256"/>
        <v>0</v>
      </c>
      <c r="DO181" s="29" t="str">
        <f t="shared" si="256"/>
        <v>0</v>
      </c>
      <c r="DP181" s="29" t="str">
        <f t="shared" si="256"/>
        <v>0</v>
      </c>
      <c r="DQ181" s="29" t="str">
        <f t="shared" si="256"/>
        <v>0</v>
      </c>
      <c r="DR181" s="29"/>
      <c r="DS181" s="25">
        <v>0</v>
      </c>
      <c r="EE181" s="25" t="str">
        <f t="shared" si="175"/>
        <v>0</v>
      </c>
    </row>
    <row r="182" spans="1:135">
      <c r="A182" s="53">
        <v>1002044</v>
      </c>
      <c r="B182" s="49" t="s">
        <v>318</v>
      </c>
      <c r="C182" s="25">
        <f t="shared" si="146"/>
        <v>44</v>
      </c>
      <c r="D182" s="25">
        <f t="array" ref="D182">INDEX(C$5:C$67,MATCH($B182,$B$5:$B$67,0))</f>
        <v>5600</v>
      </c>
      <c r="E182" s="25">
        <f t="array" ref="E182">INDEX(D$5:D$67,MATCH($B182,$B$5:$B$67,0))</f>
        <v>448</v>
      </c>
      <c r="F182" s="25">
        <f t="array" ref="F182">INDEX(E$5:E$67,MATCH($B182,$B$5:$B$67,0))</f>
        <v>720</v>
      </c>
      <c r="G182" s="25">
        <f t="array" ref="G182">INDEX(F$5:F$67,MATCH($B182,$B$5:$B$67,0))</f>
        <v>57.6</v>
      </c>
      <c r="H182" s="25">
        <f t="array" ref="H182">INDEX(G$5:G$66,MATCH($B182,$B$5:$B$67,0))</f>
        <v>576</v>
      </c>
      <c r="I182" s="25">
        <f t="array" ref="I182">INDEX(H$5:H$67,MATCH($B182,$B$5:$B$67,0))</f>
        <v>46.08</v>
      </c>
      <c r="J182" s="25">
        <f t="array" ref="J182">INDEX(I$5:I$67,MATCH($B182,$B$5:$B$67,0))</f>
        <v>800</v>
      </c>
      <c r="K182" s="25">
        <f t="array" ref="K182">INDEX(J$5:J$67,MATCH($B182,$B$5:$B$67,0))</f>
        <v>64</v>
      </c>
      <c r="L182" s="25">
        <f t="shared" si="156"/>
        <v>25312</v>
      </c>
      <c r="M182" s="25">
        <f t="shared" si="157"/>
        <v>3254</v>
      </c>
      <c r="N182" s="25">
        <f t="shared" si="158"/>
        <v>2604</v>
      </c>
      <c r="O182" s="25">
        <f t="shared" si="159"/>
        <v>3616</v>
      </c>
      <c r="R182" s="50">
        <f t="array" ref="R182">INDEX($B$46:$B$68,MATCH(S182,$C$46:$C$68,0))*1000+T182</f>
        <v>1004023</v>
      </c>
      <c r="S182" s="51" t="s">
        <v>324</v>
      </c>
      <c r="T182" s="29">
        <f t="shared" si="232"/>
        <v>23</v>
      </c>
      <c r="U182" s="25">
        <f t="array" ref="U182">INDEX(K$5:K$67,MATCH($S182,$B$5:$B$67,0))</f>
        <v>506.09</v>
      </c>
      <c r="V182" s="25">
        <f t="array" ref="V182">INDEX(L$5:L$67,MATCH($S182,$B$5:$B$67,0))</f>
        <v>72.4</v>
      </c>
      <c r="W182" s="25">
        <f t="array" ref="W182">INDEX(M$5:M$67,MATCH($S182,$B$5:$B$67,0))</f>
        <v>94.08</v>
      </c>
      <c r="X182" s="25">
        <f t="array" ref="X182">INDEX(N$5:N$67,MATCH($S182,$B$5:$B$67,0))</f>
        <v>88.83</v>
      </c>
      <c r="Y182" s="25">
        <f t="shared" si="160"/>
        <v>11640</v>
      </c>
      <c r="Z182" s="25">
        <f t="shared" si="161"/>
        <v>1665</v>
      </c>
      <c r="AA182" s="25">
        <f t="shared" si="162"/>
        <v>2164</v>
      </c>
      <c r="AB182" s="25">
        <f t="shared" si="163"/>
        <v>2043</v>
      </c>
      <c r="AF182" s="25">
        <v>104</v>
      </c>
      <c r="AG182" s="25">
        <f t="array" ref="AG182">INDEX($AE$79:$AE$116,QUOTIENT(AF182-1,8)+1)</f>
        <v>1014</v>
      </c>
      <c r="AH182" s="25">
        <f t="shared" si="192"/>
        <v>8</v>
      </c>
      <c r="AI182" s="25">
        <f t="shared" si="164"/>
        <v>10148</v>
      </c>
      <c r="AJ182" s="25" t="str">
        <f t="shared" si="165"/>
        <v>克莉丝汀</v>
      </c>
      <c r="AK182" s="25">
        <f t="shared" si="193"/>
        <v>3</v>
      </c>
      <c r="AL182" s="25" t="str">
        <f t="array" ref="AL182">INDEX($O$5:$O$42,MATCH(AJ182,$B$5:$B$42,0))</f>
        <v>攻击百分比</v>
      </c>
      <c r="AM182" s="25" t="str">
        <f t="array" ref="AM182">INDEX($P$5:$P$42,MATCH(AJ182,$B$5:$B$42,0))</f>
        <v>必杀伤害加成</v>
      </c>
      <c r="AN182" s="25" t="str">
        <f t="array" ref="AN182">INDEX($Q$5:$Q$42,MATCH(AJ182,$B$5:$B$42,0))</f>
        <v>技能伤害加成</v>
      </c>
      <c r="AO182" s="25" t="str">
        <f t="array" ref="AO182">INDEX(AL182:AN182,0,AK182)</f>
        <v>技能伤害加成</v>
      </c>
      <c r="AP182" s="25">
        <f t="shared" si="151"/>
        <v>0.216666666666667</v>
      </c>
      <c r="AQ182" s="25">
        <f t="shared" si="166"/>
        <v>0.26</v>
      </c>
      <c r="AR182" s="25" t="str">
        <f t="shared" ref="AR182:BZ182" si="257">IF(AR$78=$AO182,$AQ182,"0")</f>
        <v>0</v>
      </c>
      <c r="AS182" s="25" t="str">
        <f t="shared" si="257"/>
        <v>0</v>
      </c>
      <c r="AT182" s="25" t="str">
        <f t="shared" si="257"/>
        <v>0</v>
      </c>
      <c r="AU182" s="25" t="str">
        <f t="shared" si="257"/>
        <v>0</v>
      </c>
      <c r="AV182" s="25" t="str">
        <f t="shared" si="257"/>
        <v>0</v>
      </c>
      <c r="AW182" s="25" t="str">
        <f t="shared" si="257"/>
        <v>0</v>
      </c>
      <c r="AX182" s="25" t="str">
        <f t="shared" si="257"/>
        <v>0</v>
      </c>
      <c r="AY182" s="25" t="str">
        <f t="shared" si="257"/>
        <v>0</v>
      </c>
      <c r="AZ182" s="25" t="str">
        <f t="shared" si="257"/>
        <v>0</v>
      </c>
      <c r="BA182" s="25" t="str">
        <f t="shared" si="257"/>
        <v>0</v>
      </c>
      <c r="BB182" s="25" t="str">
        <f t="shared" si="257"/>
        <v>0</v>
      </c>
      <c r="BC182" s="25" t="str">
        <f t="shared" si="257"/>
        <v>0</v>
      </c>
      <c r="BD182" s="25" t="str">
        <f t="shared" si="257"/>
        <v>0</v>
      </c>
      <c r="BE182" s="25" t="str">
        <f t="shared" si="257"/>
        <v>0</v>
      </c>
      <c r="BF182" s="25" t="str">
        <f t="shared" si="257"/>
        <v>0</v>
      </c>
      <c r="BG182" s="25" t="str">
        <f t="shared" si="257"/>
        <v>0</v>
      </c>
      <c r="BH182" s="25" t="str">
        <f t="shared" si="257"/>
        <v>0</v>
      </c>
      <c r="BI182" s="25" t="str">
        <f t="shared" si="257"/>
        <v>0</v>
      </c>
      <c r="BJ182" s="25" t="str">
        <f t="shared" si="257"/>
        <v>0</v>
      </c>
      <c r="BK182" s="25" t="str">
        <f t="shared" si="257"/>
        <v>0</v>
      </c>
      <c r="BL182" s="25" t="str">
        <f t="shared" si="257"/>
        <v>0</v>
      </c>
      <c r="BM182" s="25" t="str">
        <f t="shared" si="257"/>
        <v>0</v>
      </c>
      <c r="BN182" s="25">
        <f t="shared" si="257"/>
        <v>0.26</v>
      </c>
      <c r="BO182" s="25" t="str">
        <f t="shared" si="257"/>
        <v>0</v>
      </c>
      <c r="BP182" s="25" t="str">
        <f t="shared" si="257"/>
        <v>0</v>
      </c>
      <c r="BQ182" s="25" t="str">
        <f t="shared" si="257"/>
        <v>0</v>
      </c>
      <c r="BR182" s="25" t="str">
        <f t="shared" si="257"/>
        <v>0</v>
      </c>
      <c r="BS182" s="25" t="str">
        <f t="shared" si="257"/>
        <v>0</v>
      </c>
      <c r="BT182" s="25" t="str">
        <f t="shared" si="257"/>
        <v>0</v>
      </c>
      <c r="BU182" s="25" t="str">
        <f t="shared" si="257"/>
        <v>0</v>
      </c>
      <c r="BV182" s="25" t="str">
        <f t="shared" si="257"/>
        <v>0</v>
      </c>
      <c r="BW182" s="25" t="str">
        <f t="shared" si="257"/>
        <v>0</v>
      </c>
      <c r="BX182" s="25" t="str">
        <f t="shared" si="257"/>
        <v>0</v>
      </c>
      <c r="BY182" s="25" t="str">
        <f t="shared" si="257"/>
        <v>0</v>
      </c>
      <c r="BZ182" s="25" t="str">
        <f t="shared" si="257"/>
        <v>0</v>
      </c>
      <c r="CC182" s="25" t="str">
        <f t="array" ref="CC182">INDEX($C$46:$C$74,MATCH(CD182,$B$46:$B$74,0))</f>
        <v>伊戈尔</v>
      </c>
      <c r="CD182" s="1">
        <v>1017</v>
      </c>
      <c r="CE182" s="1">
        <v>5</v>
      </c>
      <c r="CF182" s="25" t="str">
        <f t="array" ref="CF182">INDEX($T$5:$T$44,MATCH(CC182,$B$5:$B$44,0))</f>
        <v>魔法</v>
      </c>
      <c r="CG182" s="25">
        <f t="shared" si="189"/>
        <v>0.3</v>
      </c>
      <c r="CH182" s="25">
        <f t="shared" si="168"/>
        <v>1.3</v>
      </c>
      <c r="CI182" s="25">
        <f t="shared" si="169"/>
        <v>1</v>
      </c>
      <c r="CJ182" s="25">
        <f t="shared" si="170"/>
        <v>1.3</v>
      </c>
      <c r="CK182" s="25">
        <f t="shared" si="171"/>
        <v>1.3</v>
      </c>
      <c r="CL182" s="25" t="str">
        <f t="array" ref="CL182">INDEX($S$5:$S$43,MATCH(CC182,$B$5:$B$43,0))</f>
        <v>必杀伤害加成</v>
      </c>
      <c r="CM182" s="25">
        <f t="shared" si="190"/>
        <v>0.3</v>
      </c>
      <c r="CN182" s="25">
        <f t="shared" si="172"/>
        <v>0.36</v>
      </c>
      <c r="CO182" s="25">
        <f t="shared" si="173"/>
        <v>1</v>
      </c>
      <c r="CP182" s="29" t="str">
        <f t="shared" ref="CP182:DQ182" si="258">IF($CL182=CP$78,$CN182,"0")</f>
        <v>0</v>
      </c>
      <c r="CQ182" s="29" t="str">
        <f t="shared" si="258"/>
        <v>0</v>
      </c>
      <c r="CR182" s="29" t="str">
        <f t="shared" si="258"/>
        <v>0</v>
      </c>
      <c r="CS182" s="29" t="str">
        <f t="shared" si="258"/>
        <v>0</v>
      </c>
      <c r="CT182" s="29" t="str">
        <f t="shared" si="258"/>
        <v>0</v>
      </c>
      <c r="CU182" s="29" t="str">
        <f t="shared" si="258"/>
        <v>0</v>
      </c>
      <c r="CV182" s="29" t="str">
        <f t="shared" si="258"/>
        <v>0</v>
      </c>
      <c r="CW182" s="29" t="str">
        <f t="shared" si="258"/>
        <v>0</v>
      </c>
      <c r="CX182" s="29" t="str">
        <f t="shared" si="258"/>
        <v>0</v>
      </c>
      <c r="CY182" s="29" t="str">
        <f t="shared" si="258"/>
        <v>0</v>
      </c>
      <c r="CZ182" s="29" t="str">
        <f t="shared" si="258"/>
        <v>0</v>
      </c>
      <c r="DA182" s="29" t="str">
        <f t="shared" si="258"/>
        <v>0</v>
      </c>
      <c r="DB182" s="29" t="str">
        <f t="shared" si="258"/>
        <v>0</v>
      </c>
      <c r="DC182" s="29" t="str">
        <f t="shared" si="258"/>
        <v>0</v>
      </c>
      <c r="DD182" s="29" t="str">
        <f t="shared" si="258"/>
        <v>0</v>
      </c>
      <c r="DE182" s="29" t="str">
        <f t="shared" si="258"/>
        <v>0</v>
      </c>
      <c r="DF182" s="29">
        <f t="shared" si="258"/>
        <v>0.36</v>
      </c>
      <c r="DG182" s="29" t="str">
        <f t="shared" si="258"/>
        <v>0</v>
      </c>
      <c r="DH182" s="29" t="str">
        <f t="shared" si="258"/>
        <v>0</v>
      </c>
      <c r="DI182" s="29" t="str">
        <f t="shared" si="258"/>
        <v>0</v>
      </c>
      <c r="DJ182" s="29" t="str">
        <f t="shared" si="258"/>
        <v>0</v>
      </c>
      <c r="DK182" s="29" t="str">
        <f t="shared" si="258"/>
        <v>0</v>
      </c>
      <c r="DL182" s="29" t="str">
        <f t="shared" si="258"/>
        <v>0</v>
      </c>
      <c r="DM182" s="29" t="str">
        <f t="shared" si="258"/>
        <v>0</v>
      </c>
      <c r="DN182" s="29" t="str">
        <f t="shared" si="258"/>
        <v>0</v>
      </c>
      <c r="DO182" s="29" t="str">
        <f t="shared" si="258"/>
        <v>0</v>
      </c>
      <c r="DP182" s="29" t="str">
        <f t="shared" si="258"/>
        <v>0</v>
      </c>
      <c r="DQ182" s="29" t="str">
        <f t="shared" si="258"/>
        <v>0</v>
      </c>
      <c r="DR182" s="29"/>
      <c r="DS182" s="25" t="s">
        <v>1011</v>
      </c>
      <c r="DT182" s="25" t="str">
        <f>TEXT(角色升星!$F$18,"0%")</f>
        <v>15%</v>
      </c>
      <c r="DU182" s="25" t="s">
        <v>779</v>
      </c>
      <c r="DV182" s="25" t="str">
        <f>IF(CF182="物理","PhysicsAttack,+","MagicAttack,+")</f>
        <v>MagicAttack,+</v>
      </c>
      <c r="DW182" s="25" t="str">
        <f>TEXT(角色升星!$F$18,"0%")</f>
        <v>15%</v>
      </c>
      <c r="DX182" s="25" t="s">
        <v>779</v>
      </c>
      <c r="DY182" s="25" t="s">
        <v>1012</v>
      </c>
      <c r="DZ182" s="25" t="str">
        <f>TEXT(角色升星!$F$18,"0%")</f>
        <v>15%</v>
      </c>
      <c r="EA182" s="25" t="s">
        <v>779</v>
      </c>
      <c r="EB182" s="25" t="str">
        <f>VLOOKUP(CL182,$O$46:$P$73,2,0)</f>
        <v>UltimateDmgBonus</v>
      </c>
      <c r="EC182" s="25" t="s">
        <v>1013</v>
      </c>
      <c r="ED182" s="25" t="str">
        <f>IF(CN182&gt;1,CN182,TEXT(CN182,"0%"))</f>
        <v>36%</v>
      </c>
      <c r="EE182" s="25" t="str">
        <f t="shared" si="175"/>
        <v>Hp,+15%;MagicAttack,+15%;Armor,+15%;UltimateDmgBonus,+36%</v>
      </c>
    </row>
    <row r="183" spans="1:135">
      <c r="A183" s="53">
        <v>1002045</v>
      </c>
      <c r="B183" s="49" t="s">
        <v>318</v>
      </c>
      <c r="C183" s="25">
        <f t="shared" si="146"/>
        <v>45</v>
      </c>
      <c r="D183" s="25">
        <f t="array" ref="D183">INDEX(C$5:C$67,MATCH($B183,$B$5:$B$67,0))</f>
        <v>5600</v>
      </c>
      <c r="E183" s="25">
        <f t="array" ref="E183">INDEX(D$5:D$67,MATCH($B183,$B$5:$B$67,0))</f>
        <v>448</v>
      </c>
      <c r="F183" s="25">
        <f t="array" ref="F183">INDEX(E$5:E$67,MATCH($B183,$B$5:$B$67,0))</f>
        <v>720</v>
      </c>
      <c r="G183" s="25">
        <f t="array" ref="G183">INDEX(F$5:F$67,MATCH($B183,$B$5:$B$67,0))</f>
        <v>57.6</v>
      </c>
      <c r="H183" s="25">
        <f t="array" ref="H183">INDEX(G$5:G$66,MATCH($B183,$B$5:$B$67,0))</f>
        <v>576</v>
      </c>
      <c r="I183" s="25">
        <f t="array" ref="I183">INDEX(H$5:H$67,MATCH($B183,$B$5:$B$67,0))</f>
        <v>46.08</v>
      </c>
      <c r="J183" s="25">
        <f t="array" ref="J183">INDEX(I$5:I$67,MATCH($B183,$B$5:$B$67,0))</f>
        <v>800</v>
      </c>
      <c r="K183" s="25">
        <f t="array" ref="K183">INDEX(J$5:J$67,MATCH($B183,$B$5:$B$67,0))</f>
        <v>64</v>
      </c>
      <c r="L183" s="25">
        <f t="shared" si="156"/>
        <v>25760</v>
      </c>
      <c r="M183" s="25">
        <f t="shared" si="157"/>
        <v>3312</v>
      </c>
      <c r="N183" s="25">
        <f t="shared" si="158"/>
        <v>2650</v>
      </c>
      <c r="O183" s="25">
        <f t="shared" si="159"/>
        <v>3680</v>
      </c>
      <c r="R183" s="50">
        <f t="array" ref="R183">INDEX($B$46:$B$68,MATCH(S183,$C$46:$C$68,0))*1000+T183</f>
        <v>1004024</v>
      </c>
      <c r="S183" s="51" t="s">
        <v>324</v>
      </c>
      <c r="T183" s="29">
        <f t="shared" si="232"/>
        <v>24</v>
      </c>
      <c r="U183" s="25">
        <f t="array" ref="U183">INDEX(K$5:K$67,MATCH($S183,$B$5:$B$67,0))</f>
        <v>506.09</v>
      </c>
      <c r="V183" s="25">
        <f t="array" ref="V183">INDEX(L$5:L$67,MATCH($S183,$B$5:$B$67,0))</f>
        <v>72.4</v>
      </c>
      <c r="W183" s="25">
        <f t="array" ref="W183">INDEX(M$5:M$67,MATCH($S183,$B$5:$B$67,0))</f>
        <v>94.08</v>
      </c>
      <c r="X183" s="25">
        <f t="array" ref="X183">INDEX(N$5:N$67,MATCH($S183,$B$5:$B$67,0))</f>
        <v>88.83</v>
      </c>
      <c r="Y183" s="25">
        <f t="shared" si="160"/>
        <v>12146</v>
      </c>
      <c r="Z183" s="25">
        <f t="shared" si="161"/>
        <v>1738</v>
      </c>
      <c r="AA183" s="25">
        <f t="shared" si="162"/>
        <v>2258</v>
      </c>
      <c r="AB183" s="25">
        <f t="shared" si="163"/>
        <v>2132</v>
      </c>
      <c r="AF183" s="25">
        <v>105</v>
      </c>
      <c r="AG183" s="25">
        <f t="array" ref="AG183">INDEX($AE$79:$AE$116,QUOTIENT(AF183-1,8)+1)</f>
        <v>1015</v>
      </c>
      <c r="AH183" s="25">
        <f t="shared" si="192"/>
        <v>1</v>
      </c>
      <c r="AI183" s="25">
        <f t="shared" si="164"/>
        <v>10151</v>
      </c>
      <c r="AJ183" s="25" t="str">
        <f t="shared" si="165"/>
        <v>阿莱克西娅</v>
      </c>
      <c r="AK183" s="25">
        <f t="shared" si="193"/>
        <v>1</v>
      </c>
      <c r="AL183" s="25" t="str">
        <f t="array" ref="AL183">INDEX($O$5:$O$42,MATCH(AJ183,$B$5:$B$42,0))</f>
        <v>生命值百分比</v>
      </c>
      <c r="AM183" s="25" t="str">
        <f t="array" ref="AM183">INDEX($P$5:$P$42,MATCH(AJ183,$B$5:$B$42,0))</f>
        <v>治疗率</v>
      </c>
      <c r="AN183" s="25" t="str">
        <f t="array" ref="AN183">INDEX($Q$5:$Q$42,MATCH(AJ183,$B$5:$B$42,0))</f>
        <v>技能冷却等级</v>
      </c>
      <c r="AO183" s="25" t="str">
        <f t="array" ref="AO183">INDEX(AL183:AN183,0,AK183)</f>
        <v>生命值百分比</v>
      </c>
      <c r="AP183" s="25">
        <f t="shared" si="151"/>
        <v>0.216666666666667</v>
      </c>
      <c r="AQ183" s="25">
        <f t="shared" si="166"/>
        <v>0.216666666666667</v>
      </c>
      <c r="AR183" s="25" t="str">
        <f t="shared" ref="AR183:BZ183" si="259">IF(AR$78=$AO183,$AQ183,"0")</f>
        <v>0</v>
      </c>
      <c r="AS183" s="25">
        <f t="shared" si="259"/>
        <v>0.216666666666667</v>
      </c>
      <c r="AT183" s="25" t="str">
        <f t="shared" si="259"/>
        <v>0</v>
      </c>
      <c r="AU183" s="25" t="str">
        <f t="shared" si="259"/>
        <v>0</v>
      </c>
      <c r="AV183" s="25" t="str">
        <f t="shared" si="259"/>
        <v>0</v>
      </c>
      <c r="AW183" s="25" t="str">
        <f t="shared" si="259"/>
        <v>0</v>
      </c>
      <c r="AX183" s="25" t="str">
        <f t="shared" si="259"/>
        <v>0</v>
      </c>
      <c r="AY183" s="25" t="str">
        <f t="shared" si="259"/>
        <v>0</v>
      </c>
      <c r="AZ183" s="25" t="str">
        <f t="shared" si="259"/>
        <v>0</v>
      </c>
      <c r="BA183" s="25" t="str">
        <f t="shared" si="259"/>
        <v>0</v>
      </c>
      <c r="BB183" s="25" t="str">
        <f t="shared" si="259"/>
        <v>0</v>
      </c>
      <c r="BC183" s="25" t="str">
        <f t="shared" si="259"/>
        <v>0</v>
      </c>
      <c r="BD183" s="25" t="str">
        <f t="shared" si="259"/>
        <v>0</v>
      </c>
      <c r="BE183" s="25" t="str">
        <f t="shared" si="259"/>
        <v>0</v>
      </c>
      <c r="BF183" s="25" t="str">
        <f t="shared" si="259"/>
        <v>0</v>
      </c>
      <c r="BG183" s="25" t="str">
        <f t="shared" si="259"/>
        <v>0</v>
      </c>
      <c r="BH183" s="25" t="str">
        <f t="shared" si="259"/>
        <v>0</v>
      </c>
      <c r="BI183" s="25" t="str">
        <f t="shared" si="259"/>
        <v>0</v>
      </c>
      <c r="BJ183" s="25" t="str">
        <f t="shared" si="259"/>
        <v>0</v>
      </c>
      <c r="BK183" s="25" t="str">
        <f t="shared" si="259"/>
        <v>0</v>
      </c>
      <c r="BL183" s="25" t="str">
        <f t="shared" si="259"/>
        <v>0</v>
      </c>
      <c r="BM183" s="25" t="str">
        <f t="shared" si="259"/>
        <v>0</v>
      </c>
      <c r="BN183" s="25" t="str">
        <f t="shared" si="259"/>
        <v>0</v>
      </c>
      <c r="BO183" s="25" t="str">
        <f t="shared" si="259"/>
        <v>0</v>
      </c>
      <c r="BP183" s="25" t="str">
        <f t="shared" si="259"/>
        <v>0</v>
      </c>
      <c r="BQ183" s="25" t="str">
        <f t="shared" si="259"/>
        <v>0</v>
      </c>
      <c r="BR183" s="25" t="str">
        <f t="shared" si="259"/>
        <v>0</v>
      </c>
      <c r="BS183" s="25" t="str">
        <f t="shared" si="259"/>
        <v>0</v>
      </c>
      <c r="BT183" s="25" t="str">
        <f t="shared" si="259"/>
        <v>0</v>
      </c>
      <c r="BU183" s="25" t="str">
        <f t="shared" si="259"/>
        <v>0</v>
      </c>
      <c r="BV183" s="25" t="str">
        <f t="shared" si="259"/>
        <v>0</v>
      </c>
      <c r="BW183" s="25" t="str">
        <f t="shared" si="259"/>
        <v>0</v>
      </c>
      <c r="BX183" s="25" t="str">
        <f t="shared" si="259"/>
        <v>0</v>
      </c>
      <c r="BY183" s="25" t="str">
        <f t="shared" si="259"/>
        <v>0</v>
      </c>
      <c r="BZ183" s="25" t="str">
        <f t="shared" si="259"/>
        <v>0</v>
      </c>
      <c r="CC183" s="25" t="str">
        <f t="array" ref="CC183">INDEX($C$46:$C$74,MATCH(CD183,$B$46:$B$74,0))</f>
        <v>伊戈尔</v>
      </c>
      <c r="CD183" s="1">
        <v>1017</v>
      </c>
      <c r="CE183" s="1">
        <v>6</v>
      </c>
      <c r="CF183" s="25" t="str">
        <f t="array" ref="CF183">INDEX($T$5:$T$44,MATCH(CC183,$B$5:$B$44,0))</f>
        <v>魔法</v>
      </c>
      <c r="CG183" s="25">
        <f t="shared" si="189"/>
        <v>0.3</v>
      </c>
      <c r="CH183" s="25">
        <f t="shared" si="168"/>
        <v>1.3</v>
      </c>
      <c r="CI183" s="25">
        <f t="shared" si="169"/>
        <v>1</v>
      </c>
      <c r="CJ183" s="25">
        <f t="shared" si="170"/>
        <v>1.3</v>
      </c>
      <c r="CK183" s="25">
        <f t="shared" si="171"/>
        <v>1.3</v>
      </c>
      <c r="CL183" s="25">
        <v>0</v>
      </c>
      <c r="CM183" s="25">
        <f t="shared" si="190"/>
        <v>0</v>
      </c>
      <c r="CN183" s="25">
        <f t="shared" si="172"/>
        <v>0</v>
      </c>
      <c r="CO183" s="25">
        <f t="shared" si="173"/>
        <v>0</v>
      </c>
      <c r="CP183" s="29" t="str">
        <f t="shared" ref="CP183:DQ183" si="260">IF($CL183=CP$78,$CN183,"0")</f>
        <v>0</v>
      </c>
      <c r="CQ183" s="29" t="str">
        <f t="shared" si="260"/>
        <v>0</v>
      </c>
      <c r="CR183" s="29" t="str">
        <f t="shared" si="260"/>
        <v>0</v>
      </c>
      <c r="CS183" s="29" t="str">
        <f t="shared" si="260"/>
        <v>0</v>
      </c>
      <c r="CT183" s="29" t="str">
        <f t="shared" si="260"/>
        <v>0</v>
      </c>
      <c r="CU183" s="29" t="str">
        <f t="shared" si="260"/>
        <v>0</v>
      </c>
      <c r="CV183" s="29" t="str">
        <f t="shared" si="260"/>
        <v>0</v>
      </c>
      <c r="CW183" s="29" t="str">
        <f t="shared" si="260"/>
        <v>0</v>
      </c>
      <c r="CX183" s="29" t="str">
        <f t="shared" si="260"/>
        <v>0</v>
      </c>
      <c r="CY183" s="29" t="str">
        <f t="shared" si="260"/>
        <v>0</v>
      </c>
      <c r="CZ183" s="29" t="str">
        <f t="shared" si="260"/>
        <v>0</v>
      </c>
      <c r="DA183" s="29" t="str">
        <f t="shared" si="260"/>
        <v>0</v>
      </c>
      <c r="DB183" s="29" t="str">
        <f t="shared" si="260"/>
        <v>0</v>
      </c>
      <c r="DC183" s="29" t="str">
        <f t="shared" si="260"/>
        <v>0</v>
      </c>
      <c r="DD183" s="29" t="str">
        <f t="shared" si="260"/>
        <v>0</v>
      </c>
      <c r="DE183" s="29" t="str">
        <f t="shared" si="260"/>
        <v>0</v>
      </c>
      <c r="DF183" s="29" t="str">
        <f t="shared" si="260"/>
        <v>0</v>
      </c>
      <c r="DG183" s="29" t="str">
        <f t="shared" si="260"/>
        <v>0</v>
      </c>
      <c r="DH183" s="29" t="str">
        <f t="shared" si="260"/>
        <v>0</v>
      </c>
      <c r="DI183" s="29" t="str">
        <f t="shared" si="260"/>
        <v>0</v>
      </c>
      <c r="DJ183" s="29" t="str">
        <f t="shared" si="260"/>
        <v>0</v>
      </c>
      <c r="DK183" s="29" t="str">
        <f t="shared" si="260"/>
        <v>0</v>
      </c>
      <c r="DL183" s="29" t="str">
        <f t="shared" si="260"/>
        <v>0</v>
      </c>
      <c r="DM183" s="29" t="str">
        <f t="shared" si="260"/>
        <v>0</v>
      </c>
      <c r="DN183" s="29" t="str">
        <f t="shared" si="260"/>
        <v>0</v>
      </c>
      <c r="DO183" s="29" t="str">
        <f t="shared" si="260"/>
        <v>0</v>
      </c>
      <c r="DP183" s="29" t="str">
        <f t="shared" si="260"/>
        <v>0</v>
      </c>
      <c r="DQ183" s="29" t="str">
        <f t="shared" si="260"/>
        <v>0</v>
      </c>
      <c r="DR183" s="29"/>
      <c r="DS183" s="25">
        <v>0</v>
      </c>
      <c r="EE183" s="25" t="str">
        <f t="shared" si="175"/>
        <v>0</v>
      </c>
    </row>
    <row r="184" spans="1:135">
      <c r="A184" s="53">
        <v>1002046</v>
      </c>
      <c r="B184" s="49" t="s">
        <v>318</v>
      </c>
      <c r="C184" s="25">
        <f t="shared" si="146"/>
        <v>46</v>
      </c>
      <c r="D184" s="25">
        <f t="array" ref="D184">INDEX(C$5:C$67,MATCH($B184,$B$5:$B$67,0))</f>
        <v>5600</v>
      </c>
      <c r="E184" s="25">
        <f t="array" ref="E184">INDEX(D$5:D$67,MATCH($B184,$B$5:$B$67,0))</f>
        <v>448</v>
      </c>
      <c r="F184" s="25">
        <f t="array" ref="F184">INDEX(E$5:E$67,MATCH($B184,$B$5:$B$67,0))</f>
        <v>720</v>
      </c>
      <c r="G184" s="25">
        <f t="array" ref="G184">INDEX(F$5:F$67,MATCH($B184,$B$5:$B$67,0))</f>
        <v>57.6</v>
      </c>
      <c r="H184" s="25">
        <f t="array" ref="H184">INDEX(G$5:G$66,MATCH($B184,$B$5:$B$67,0))</f>
        <v>576</v>
      </c>
      <c r="I184" s="25">
        <f t="array" ref="I184">INDEX(H$5:H$67,MATCH($B184,$B$5:$B$67,0))</f>
        <v>46.08</v>
      </c>
      <c r="J184" s="25">
        <f t="array" ref="J184">INDEX(I$5:I$67,MATCH($B184,$B$5:$B$67,0))</f>
        <v>800</v>
      </c>
      <c r="K184" s="25">
        <f t="array" ref="K184">INDEX(J$5:J$67,MATCH($B184,$B$5:$B$67,0))</f>
        <v>64</v>
      </c>
      <c r="L184" s="25">
        <f t="shared" si="156"/>
        <v>26208</v>
      </c>
      <c r="M184" s="25">
        <f t="shared" si="157"/>
        <v>3370</v>
      </c>
      <c r="N184" s="25">
        <f t="shared" si="158"/>
        <v>2696</v>
      </c>
      <c r="O184" s="25">
        <f t="shared" si="159"/>
        <v>3744</v>
      </c>
      <c r="R184" s="50">
        <f t="array" ref="R184">INDEX($B$46:$B$68,MATCH(S184,$C$46:$C$68,0))*1000+T184</f>
        <v>1004025</v>
      </c>
      <c r="S184" s="51" t="s">
        <v>324</v>
      </c>
      <c r="T184" s="29">
        <f t="shared" si="232"/>
        <v>25</v>
      </c>
      <c r="U184" s="25">
        <f t="array" ref="U184">INDEX(K$5:K$67,MATCH($S184,$B$5:$B$67,0))</f>
        <v>506.09</v>
      </c>
      <c r="V184" s="25">
        <f t="array" ref="V184">INDEX(L$5:L$67,MATCH($S184,$B$5:$B$67,0))</f>
        <v>72.4</v>
      </c>
      <c r="W184" s="25">
        <f t="array" ref="W184">INDEX(M$5:M$67,MATCH($S184,$B$5:$B$67,0))</f>
        <v>94.08</v>
      </c>
      <c r="X184" s="25">
        <f t="array" ref="X184">INDEX(N$5:N$67,MATCH($S184,$B$5:$B$67,0))</f>
        <v>88.83</v>
      </c>
      <c r="Y184" s="25">
        <f t="shared" si="160"/>
        <v>12652</v>
      </c>
      <c r="Z184" s="25">
        <f t="shared" si="161"/>
        <v>1810</v>
      </c>
      <c r="AA184" s="25">
        <f t="shared" si="162"/>
        <v>2352</v>
      </c>
      <c r="AB184" s="25">
        <f t="shared" si="163"/>
        <v>2221</v>
      </c>
      <c r="AF184" s="25">
        <v>106</v>
      </c>
      <c r="AG184" s="25">
        <f t="array" ref="AG184">INDEX($AE$79:$AE$116,QUOTIENT(AF184-1,8)+1)</f>
        <v>1015</v>
      </c>
      <c r="AH184" s="25">
        <f t="shared" si="192"/>
        <v>2</v>
      </c>
      <c r="AI184" s="25">
        <f t="shared" si="164"/>
        <v>10152</v>
      </c>
      <c r="AJ184" s="25" t="str">
        <f t="shared" si="165"/>
        <v>阿莱克西娅</v>
      </c>
      <c r="AK184" s="25">
        <f t="shared" si="193"/>
        <v>2</v>
      </c>
      <c r="AL184" s="25" t="str">
        <f t="array" ref="AL184">INDEX($O$5:$O$42,MATCH(AJ184,$B$5:$B$42,0))</f>
        <v>生命值百分比</v>
      </c>
      <c r="AM184" s="25" t="str">
        <f t="array" ref="AM184">INDEX($P$5:$P$42,MATCH(AJ184,$B$5:$B$42,0))</f>
        <v>治疗率</v>
      </c>
      <c r="AN184" s="25" t="str">
        <f t="array" ref="AN184">INDEX($Q$5:$Q$42,MATCH(AJ184,$B$5:$B$42,0))</f>
        <v>技能冷却等级</v>
      </c>
      <c r="AO184" s="25" t="str">
        <f t="array" ref="AO184">INDEX(AL184:AN184,0,AK184)</f>
        <v>治疗率</v>
      </c>
      <c r="AP184" s="25">
        <f t="shared" si="151"/>
        <v>0.15</v>
      </c>
      <c r="AQ184" s="25">
        <f t="shared" si="166"/>
        <v>0.075</v>
      </c>
      <c r="AR184" s="25" t="str">
        <f t="shared" ref="AR184:BZ184" si="261">IF(AR$78=$AO184,$AQ184,"0")</f>
        <v>0</v>
      </c>
      <c r="AS184" s="25" t="str">
        <f t="shared" si="261"/>
        <v>0</v>
      </c>
      <c r="AT184" s="25" t="str">
        <f t="shared" si="261"/>
        <v>0</v>
      </c>
      <c r="AU184" s="25" t="str">
        <f t="shared" si="261"/>
        <v>0</v>
      </c>
      <c r="AV184" s="25" t="str">
        <f t="shared" si="261"/>
        <v>0</v>
      </c>
      <c r="AW184" s="25" t="str">
        <f t="shared" si="261"/>
        <v>0</v>
      </c>
      <c r="AX184" s="25" t="str">
        <f t="shared" si="261"/>
        <v>0</v>
      </c>
      <c r="AY184" s="25" t="str">
        <f t="shared" si="261"/>
        <v>0</v>
      </c>
      <c r="AZ184" s="25" t="str">
        <f t="shared" si="261"/>
        <v>0</v>
      </c>
      <c r="BA184" s="25" t="str">
        <f t="shared" si="261"/>
        <v>0</v>
      </c>
      <c r="BB184" s="25" t="str">
        <f t="shared" si="261"/>
        <v>0</v>
      </c>
      <c r="BC184" s="25" t="str">
        <f t="shared" si="261"/>
        <v>0</v>
      </c>
      <c r="BD184" s="25" t="str">
        <f t="shared" si="261"/>
        <v>0</v>
      </c>
      <c r="BE184" s="25" t="str">
        <f t="shared" si="261"/>
        <v>0</v>
      </c>
      <c r="BF184" s="25" t="str">
        <f t="shared" si="261"/>
        <v>0</v>
      </c>
      <c r="BG184" s="25" t="str">
        <f t="shared" si="261"/>
        <v>0</v>
      </c>
      <c r="BH184" s="25" t="str">
        <f t="shared" si="261"/>
        <v>0</v>
      </c>
      <c r="BI184" s="25" t="str">
        <f t="shared" si="261"/>
        <v>0</v>
      </c>
      <c r="BJ184" s="25">
        <f t="shared" si="261"/>
        <v>0.075</v>
      </c>
      <c r="BK184" s="25" t="str">
        <f t="shared" si="261"/>
        <v>0</v>
      </c>
      <c r="BL184" s="25" t="str">
        <f t="shared" si="261"/>
        <v>0</v>
      </c>
      <c r="BM184" s="25" t="str">
        <f t="shared" si="261"/>
        <v>0</v>
      </c>
      <c r="BN184" s="25" t="str">
        <f t="shared" si="261"/>
        <v>0</v>
      </c>
      <c r="BO184" s="25" t="str">
        <f t="shared" si="261"/>
        <v>0</v>
      </c>
      <c r="BP184" s="25" t="str">
        <f t="shared" si="261"/>
        <v>0</v>
      </c>
      <c r="BQ184" s="25" t="str">
        <f t="shared" si="261"/>
        <v>0</v>
      </c>
      <c r="BR184" s="25" t="str">
        <f t="shared" si="261"/>
        <v>0</v>
      </c>
      <c r="BS184" s="25" t="str">
        <f t="shared" si="261"/>
        <v>0</v>
      </c>
      <c r="BT184" s="25" t="str">
        <f t="shared" si="261"/>
        <v>0</v>
      </c>
      <c r="BU184" s="25" t="str">
        <f t="shared" si="261"/>
        <v>0</v>
      </c>
      <c r="BV184" s="25" t="str">
        <f t="shared" si="261"/>
        <v>0</v>
      </c>
      <c r="BW184" s="25" t="str">
        <f t="shared" si="261"/>
        <v>0</v>
      </c>
      <c r="BX184" s="25" t="str">
        <f t="shared" si="261"/>
        <v>0</v>
      </c>
      <c r="BY184" s="25" t="str">
        <f t="shared" si="261"/>
        <v>0</v>
      </c>
      <c r="BZ184" s="25" t="str">
        <f t="shared" si="261"/>
        <v>0</v>
      </c>
      <c r="CC184" s="25" t="str">
        <f t="array" ref="CC184">INDEX($C$46:$C$74,MATCH(CD184,$B$46:$B$74,0))</f>
        <v>埃莉诺</v>
      </c>
      <c r="CD184" s="1">
        <v>1018</v>
      </c>
      <c r="CE184" s="1">
        <v>0</v>
      </c>
      <c r="CF184" s="25" t="str">
        <f t="array" ref="CF184">INDEX($T$5:$T$44,MATCH(CC184,$B$5:$B$44,0))</f>
        <v>魔法</v>
      </c>
      <c r="CG184" s="25">
        <f t="shared" si="189"/>
        <v>0</v>
      </c>
      <c r="CH184" s="25">
        <f t="shared" si="168"/>
        <v>1</v>
      </c>
      <c r="CI184" s="25">
        <f t="shared" si="169"/>
        <v>1</v>
      </c>
      <c r="CJ184" s="25">
        <f t="shared" si="170"/>
        <v>1</v>
      </c>
      <c r="CK184" s="25">
        <f t="shared" si="171"/>
        <v>1</v>
      </c>
      <c r="CL184" s="25">
        <v>0</v>
      </c>
      <c r="CM184" s="25">
        <f t="shared" si="190"/>
        <v>0</v>
      </c>
      <c r="CN184" s="25">
        <f t="shared" si="172"/>
        <v>0</v>
      </c>
      <c r="CO184" s="25">
        <f t="shared" si="173"/>
        <v>0</v>
      </c>
      <c r="CP184" s="29" t="str">
        <f t="shared" ref="CP184:DQ184" si="262">IF($CL184=CP$78,$CN184,"0")</f>
        <v>0</v>
      </c>
      <c r="CQ184" s="29" t="str">
        <f t="shared" si="262"/>
        <v>0</v>
      </c>
      <c r="CR184" s="29" t="str">
        <f t="shared" si="262"/>
        <v>0</v>
      </c>
      <c r="CS184" s="29" t="str">
        <f t="shared" si="262"/>
        <v>0</v>
      </c>
      <c r="CT184" s="29" t="str">
        <f t="shared" si="262"/>
        <v>0</v>
      </c>
      <c r="CU184" s="29" t="str">
        <f t="shared" si="262"/>
        <v>0</v>
      </c>
      <c r="CV184" s="29" t="str">
        <f t="shared" si="262"/>
        <v>0</v>
      </c>
      <c r="CW184" s="29" t="str">
        <f t="shared" si="262"/>
        <v>0</v>
      </c>
      <c r="CX184" s="29" t="str">
        <f t="shared" si="262"/>
        <v>0</v>
      </c>
      <c r="CY184" s="29" t="str">
        <f t="shared" si="262"/>
        <v>0</v>
      </c>
      <c r="CZ184" s="29" t="str">
        <f t="shared" si="262"/>
        <v>0</v>
      </c>
      <c r="DA184" s="29" t="str">
        <f t="shared" si="262"/>
        <v>0</v>
      </c>
      <c r="DB184" s="29" t="str">
        <f t="shared" si="262"/>
        <v>0</v>
      </c>
      <c r="DC184" s="29" t="str">
        <f t="shared" si="262"/>
        <v>0</v>
      </c>
      <c r="DD184" s="29" t="str">
        <f t="shared" si="262"/>
        <v>0</v>
      </c>
      <c r="DE184" s="29" t="str">
        <f t="shared" si="262"/>
        <v>0</v>
      </c>
      <c r="DF184" s="29" t="str">
        <f t="shared" si="262"/>
        <v>0</v>
      </c>
      <c r="DG184" s="29" t="str">
        <f t="shared" si="262"/>
        <v>0</v>
      </c>
      <c r="DH184" s="29" t="str">
        <f t="shared" si="262"/>
        <v>0</v>
      </c>
      <c r="DI184" s="29" t="str">
        <f t="shared" si="262"/>
        <v>0</v>
      </c>
      <c r="DJ184" s="29" t="str">
        <f t="shared" si="262"/>
        <v>0</v>
      </c>
      <c r="DK184" s="29" t="str">
        <f t="shared" si="262"/>
        <v>0</v>
      </c>
      <c r="DL184" s="29" t="str">
        <f t="shared" si="262"/>
        <v>0</v>
      </c>
      <c r="DM184" s="29" t="str">
        <f t="shared" si="262"/>
        <v>0</v>
      </c>
      <c r="DN184" s="29" t="str">
        <f t="shared" si="262"/>
        <v>0</v>
      </c>
      <c r="DO184" s="29" t="str">
        <f t="shared" si="262"/>
        <v>0</v>
      </c>
      <c r="DP184" s="29" t="str">
        <f t="shared" si="262"/>
        <v>0</v>
      </c>
      <c r="DQ184" s="29" t="str">
        <f t="shared" si="262"/>
        <v>0</v>
      </c>
      <c r="DR184" s="29"/>
      <c r="DS184" s="25">
        <v>0</v>
      </c>
      <c r="EE184" s="25" t="str">
        <f t="shared" si="175"/>
        <v>0</v>
      </c>
    </row>
    <row r="185" spans="1:135">
      <c r="A185" s="53">
        <v>1002047</v>
      </c>
      <c r="B185" s="49" t="s">
        <v>318</v>
      </c>
      <c r="C185" s="25">
        <f t="shared" si="146"/>
        <v>47</v>
      </c>
      <c r="D185" s="25">
        <f t="array" ref="D185">INDEX(C$5:C$67,MATCH($B185,$B$5:$B$67,0))</f>
        <v>5600</v>
      </c>
      <c r="E185" s="25">
        <f t="array" ref="E185">INDEX(D$5:D$67,MATCH($B185,$B$5:$B$67,0))</f>
        <v>448</v>
      </c>
      <c r="F185" s="25">
        <f t="array" ref="F185">INDEX(E$5:E$67,MATCH($B185,$B$5:$B$67,0))</f>
        <v>720</v>
      </c>
      <c r="G185" s="25">
        <f t="array" ref="G185">INDEX(F$5:F$67,MATCH($B185,$B$5:$B$67,0))</f>
        <v>57.6</v>
      </c>
      <c r="H185" s="25">
        <f t="array" ref="H185">INDEX(G$5:G$66,MATCH($B185,$B$5:$B$67,0))</f>
        <v>576</v>
      </c>
      <c r="I185" s="25">
        <f t="array" ref="I185">INDEX(H$5:H$67,MATCH($B185,$B$5:$B$67,0))</f>
        <v>46.08</v>
      </c>
      <c r="J185" s="25">
        <f t="array" ref="J185">INDEX(I$5:I$67,MATCH($B185,$B$5:$B$67,0))</f>
        <v>800</v>
      </c>
      <c r="K185" s="25">
        <f t="array" ref="K185">INDEX(J$5:J$67,MATCH($B185,$B$5:$B$67,0))</f>
        <v>64</v>
      </c>
      <c r="L185" s="25">
        <f t="shared" si="156"/>
        <v>26656</v>
      </c>
      <c r="M185" s="25">
        <f t="shared" si="157"/>
        <v>3427</v>
      </c>
      <c r="N185" s="25">
        <f t="shared" si="158"/>
        <v>2742</v>
      </c>
      <c r="O185" s="25">
        <f t="shared" si="159"/>
        <v>3808</v>
      </c>
      <c r="R185" s="50">
        <f t="array" ref="R185">INDEX($B$46:$B$68,MATCH(S185,$C$46:$C$68,0))*1000+T185</f>
        <v>1004026</v>
      </c>
      <c r="S185" s="51" t="s">
        <v>324</v>
      </c>
      <c r="T185" s="29">
        <f t="shared" si="232"/>
        <v>26</v>
      </c>
      <c r="U185" s="25">
        <f t="array" ref="U185">INDEX(K$5:K$67,MATCH($S185,$B$5:$B$67,0))</f>
        <v>506.09</v>
      </c>
      <c r="V185" s="25">
        <f t="array" ref="V185">INDEX(L$5:L$67,MATCH($S185,$B$5:$B$67,0))</f>
        <v>72.4</v>
      </c>
      <c r="W185" s="25">
        <f t="array" ref="W185">INDEX(M$5:M$67,MATCH($S185,$B$5:$B$67,0))</f>
        <v>94.08</v>
      </c>
      <c r="X185" s="25">
        <f t="array" ref="X185">INDEX(N$5:N$67,MATCH($S185,$B$5:$B$67,0))</f>
        <v>88.83</v>
      </c>
      <c r="Y185" s="25">
        <f t="shared" si="160"/>
        <v>13158</v>
      </c>
      <c r="Z185" s="25">
        <f t="shared" si="161"/>
        <v>1882</v>
      </c>
      <c r="AA185" s="25">
        <f t="shared" si="162"/>
        <v>2446</v>
      </c>
      <c r="AB185" s="25">
        <f t="shared" si="163"/>
        <v>2310</v>
      </c>
      <c r="AF185" s="25">
        <v>107</v>
      </c>
      <c r="AG185" s="25">
        <f t="array" ref="AG185">INDEX($AE$79:$AE$116,QUOTIENT(AF185-1,8)+1)</f>
        <v>1015</v>
      </c>
      <c r="AH185" s="25">
        <f t="shared" si="192"/>
        <v>3</v>
      </c>
      <c r="AI185" s="25">
        <f t="shared" si="164"/>
        <v>10153</v>
      </c>
      <c r="AJ185" s="25" t="str">
        <f t="shared" si="165"/>
        <v>阿莱克西娅</v>
      </c>
      <c r="AK185" s="25">
        <f t="shared" si="193"/>
        <v>3</v>
      </c>
      <c r="AL185" s="25" t="str">
        <f t="array" ref="AL185">INDEX($O$5:$O$42,MATCH(AJ185,$B$5:$B$42,0))</f>
        <v>生命值百分比</v>
      </c>
      <c r="AM185" s="25" t="str">
        <f t="array" ref="AM185">INDEX($P$5:$P$42,MATCH(AJ185,$B$5:$B$42,0))</f>
        <v>治疗率</v>
      </c>
      <c r="AN185" s="25" t="str">
        <f t="array" ref="AN185">INDEX($Q$5:$Q$42,MATCH(AJ185,$B$5:$B$42,0))</f>
        <v>技能冷却等级</v>
      </c>
      <c r="AO185" s="25" t="str">
        <f t="array" ref="AO185">INDEX(AL185:AN185,0,AK185)</f>
        <v>技能冷却等级</v>
      </c>
      <c r="AP185" s="25">
        <f t="shared" si="151"/>
        <v>0.216666666666667</v>
      </c>
      <c r="AQ185" s="25">
        <f t="shared" si="166"/>
        <v>2816.66666666667</v>
      </c>
      <c r="AR185" s="25" t="str">
        <f t="shared" ref="AR185:BZ185" si="263">IF(AR$78=$AO185,$AQ185,"0")</f>
        <v>0</v>
      </c>
      <c r="AS185" s="25" t="str">
        <f t="shared" si="263"/>
        <v>0</v>
      </c>
      <c r="AT185" s="25" t="str">
        <f t="shared" si="263"/>
        <v>0</v>
      </c>
      <c r="AU185" s="25" t="str">
        <f t="shared" si="263"/>
        <v>0</v>
      </c>
      <c r="AV185" s="25" t="str">
        <f t="shared" si="263"/>
        <v>0</v>
      </c>
      <c r="AW185" s="25" t="str">
        <f t="shared" si="263"/>
        <v>0</v>
      </c>
      <c r="AX185" s="25" t="str">
        <f t="shared" si="263"/>
        <v>0</v>
      </c>
      <c r="AY185" s="25" t="str">
        <f t="shared" si="263"/>
        <v>0</v>
      </c>
      <c r="AZ185" s="25" t="str">
        <f t="shared" si="263"/>
        <v>0</v>
      </c>
      <c r="BA185" s="25" t="str">
        <f t="shared" si="263"/>
        <v>0</v>
      </c>
      <c r="BB185" s="25" t="str">
        <f t="shared" si="263"/>
        <v>0</v>
      </c>
      <c r="BC185" s="25" t="str">
        <f t="shared" si="263"/>
        <v>0</v>
      </c>
      <c r="BD185" s="25" t="str">
        <f t="shared" si="263"/>
        <v>0</v>
      </c>
      <c r="BE185" s="25" t="str">
        <f t="shared" si="263"/>
        <v>0</v>
      </c>
      <c r="BF185" s="25" t="str">
        <f t="shared" si="263"/>
        <v>0</v>
      </c>
      <c r="BG185" s="25" t="str">
        <f t="shared" si="263"/>
        <v>0</v>
      </c>
      <c r="BH185" s="25" t="str">
        <f t="shared" si="263"/>
        <v>0</v>
      </c>
      <c r="BI185" s="25" t="str">
        <f t="shared" si="263"/>
        <v>0</v>
      </c>
      <c r="BJ185" s="25" t="str">
        <f t="shared" si="263"/>
        <v>0</v>
      </c>
      <c r="BK185" s="25" t="str">
        <f t="shared" si="263"/>
        <v>0</v>
      </c>
      <c r="BL185" s="25" t="str">
        <f t="shared" si="263"/>
        <v>0</v>
      </c>
      <c r="BM185" s="25" t="str">
        <f t="shared" si="263"/>
        <v>0</v>
      </c>
      <c r="BN185" s="25" t="str">
        <f t="shared" si="263"/>
        <v>0</v>
      </c>
      <c r="BO185" s="25" t="str">
        <f t="shared" si="263"/>
        <v>0</v>
      </c>
      <c r="BP185" s="25" t="str">
        <f t="shared" si="263"/>
        <v>0</v>
      </c>
      <c r="BQ185" s="25" t="str">
        <f t="shared" si="263"/>
        <v>0</v>
      </c>
      <c r="BR185" s="25" t="str">
        <f t="shared" si="263"/>
        <v>0</v>
      </c>
      <c r="BS185" s="25" t="str">
        <f t="shared" si="263"/>
        <v>0</v>
      </c>
      <c r="BT185" s="25" t="str">
        <f t="shared" si="263"/>
        <v>0</v>
      </c>
      <c r="BU185" s="25" t="str">
        <f t="shared" si="263"/>
        <v>0</v>
      </c>
      <c r="BV185" s="25" t="str">
        <f t="shared" si="263"/>
        <v>0</v>
      </c>
      <c r="BW185" s="25" t="str">
        <f t="shared" si="263"/>
        <v>0</v>
      </c>
      <c r="BX185" s="25" t="str">
        <f t="shared" si="263"/>
        <v>0</v>
      </c>
      <c r="BY185" s="25" t="str">
        <f t="shared" si="263"/>
        <v>0</v>
      </c>
      <c r="BZ185" s="25">
        <f t="shared" si="263"/>
        <v>2816.66666666667</v>
      </c>
      <c r="CC185" s="25" t="str">
        <f t="array" ref="CC185">INDEX($C$46:$C$74,MATCH(CD185,$B$46:$B$74,0))</f>
        <v>埃莉诺</v>
      </c>
      <c r="CD185" s="1">
        <v>1018</v>
      </c>
      <c r="CE185" s="1">
        <v>1</v>
      </c>
      <c r="CF185" s="25" t="str">
        <f t="array" ref="CF185">INDEX($T$5:$T$44,MATCH(CC185,$B$5:$B$44,0))</f>
        <v>魔法</v>
      </c>
      <c r="CG185" s="25">
        <f t="shared" si="189"/>
        <v>0</v>
      </c>
      <c r="CH185" s="25">
        <f t="shared" si="168"/>
        <v>1</v>
      </c>
      <c r="CI185" s="25">
        <f t="shared" si="169"/>
        <v>1</v>
      </c>
      <c r="CJ185" s="25">
        <f t="shared" si="170"/>
        <v>1</v>
      </c>
      <c r="CK185" s="25">
        <f t="shared" si="171"/>
        <v>1</v>
      </c>
      <c r="CL185" s="25">
        <v>0</v>
      </c>
      <c r="CM185" s="25">
        <f t="shared" si="190"/>
        <v>0</v>
      </c>
      <c r="CN185" s="25">
        <f t="shared" si="172"/>
        <v>0</v>
      </c>
      <c r="CO185" s="25">
        <f t="shared" si="173"/>
        <v>0</v>
      </c>
      <c r="CP185" s="29" t="str">
        <f t="shared" ref="CP185:DQ185" si="264">IF($CL185=CP$78,$CN185,"0")</f>
        <v>0</v>
      </c>
      <c r="CQ185" s="29" t="str">
        <f t="shared" si="264"/>
        <v>0</v>
      </c>
      <c r="CR185" s="29" t="str">
        <f t="shared" si="264"/>
        <v>0</v>
      </c>
      <c r="CS185" s="29" t="str">
        <f t="shared" si="264"/>
        <v>0</v>
      </c>
      <c r="CT185" s="29" t="str">
        <f t="shared" si="264"/>
        <v>0</v>
      </c>
      <c r="CU185" s="29" t="str">
        <f t="shared" si="264"/>
        <v>0</v>
      </c>
      <c r="CV185" s="29" t="str">
        <f t="shared" si="264"/>
        <v>0</v>
      </c>
      <c r="CW185" s="29" t="str">
        <f t="shared" si="264"/>
        <v>0</v>
      </c>
      <c r="CX185" s="29" t="str">
        <f t="shared" si="264"/>
        <v>0</v>
      </c>
      <c r="CY185" s="29" t="str">
        <f t="shared" si="264"/>
        <v>0</v>
      </c>
      <c r="CZ185" s="29" t="str">
        <f t="shared" si="264"/>
        <v>0</v>
      </c>
      <c r="DA185" s="29" t="str">
        <f t="shared" si="264"/>
        <v>0</v>
      </c>
      <c r="DB185" s="29" t="str">
        <f t="shared" si="264"/>
        <v>0</v>
      </c>
      <c r="DC185" s="29" t="str">
        <f t="shared" si="264"/>
        <v>0</v>
      </c>
      <c r="DD185" s="29" t="str">
        <f t="shared" si="264"/>
        <v>0</v>
      </c>
      <c r="DE185" s="29" t="str">
        <f t="shared" si="264"/>
        <v>0</v>
      </c>
      <c r="DF185" s="29" t="str">
        <f t="shared" si="264"/>
        <v>0</v>
      </c>
      <c r="DG185" s="29" t="str">
        <f t="shared" si="264"/>
        <v>0</v>
      </c>
      <c r="DH185" s="29" t="str">
        <f t="shared" si="264"/>
        <v>0</v>
      </c>
      <c r="DI185" s="29" t="str">
        <f t="shared" si="264"/>
        <v>0</v>
      </c>
      <c r="DJ185" s="29" t="str">
        <f t="shared" si="264"/>
        <v>0</v>
      </c>
      <c r="DK185" s="29" t="str">
        <f t="shared" si="264"/>
        <v>0</v>
      </c>
      <c r="DL185" s="29" t="str">
        <f t="shared" si="264"/>
        <v>0</v>
      </c>
      <c r="DM185" s="29" t="str">
        <f t="shared" si="264"/>
        <v>0</v>
      </c>
      <c r="DN185" s="29" t="str">
        <f t="shared" si="264"/>
        <v>0</v>
      </c>
      <c r="DO185" s="29" t="str">
        <f t="shared" si="264"/>
        <v>0</v>
      </c>
      <c r="DP185" s="29" t="str">
        <f t="shared" si="264"/>
        <v>0</v>
      </c>
      <c r="DQ185" s="29" t="str">
        <f t="shared" si="264"/>
        <v>0</v>
      </c>
      <c r="DR185" s="29"/>
      <c r="DS185" s="25">
        <v>0</v>
      </c>
      <c r="EE185" s="25" t="str">
        <f t="shared" si="175"/>
        <v>0</v>
      </c>
    </row>
    <row r="186" spans="1:135">
      <c r="A186" s="53">
        <v>1002048</v>
      </c>
      <c r="B186" s="49" t="s">
        <v>318</v>
      </c>
      <c r="C186" s="25">
        <f t="shared" si="146"/>
        <v>48</v>
      </c>
      <c r="D186" s="25">
        <f t="array" ref="D186">INDEX(C$5:C$67,MATCH($B186,$B$5:$B$67,0))</f>
        <v>5600</v>
      </c>
      <c r="E186" s="25">
        <f t="array" ref="E186">INDEX(D$5:D$67,MATCH($B186,$B$5:$B$67,0))</f>
        <v>448</v>
      </c>
      <c r="F186" s="25">
        <f t="array" ref="F186">INDEX(E$5:E$67,MATCH($B186,$B$5:$B$67,0))</f>
        <v>720</v>
      </c>
      <c r="G186" s="25">
        <f t="array" ref="G186">INDEX(F$5:F$67,MATCH($B186,$B$5:$B$67,0))</f>
        <v>57.6</v>
      </c>
      <c r="H186" s="25">
        <f t="array" ref="H186">INDEX(G$5:G$66,MATCH($B186,$B$5:$B$67,0))</f>
        <v>576</v>
      </c>
      <c r="I186" s="25">
        <f t="array" ref="I186">INDEX(H$5:H$67,MATCH($B186,$B$5:$B$67,0))</f>
        <v>46.08</v>
      </c>
      <c r="J186" s="25">
        <f t="array" ref="J186">INDEX(I$5:I$67,MATCH($B186,$B$5:$B$67,0))</f>
        <v>800</v>
      </c>
      <c r="K186" s="25">
        <f t="array" ref="K186">INDEX(J$5:J$67,MATCH($B186,$B$5:$B$67,0))</f>
        <v>64</v>
      </c>
      <c r="L186" s="25">
        <f t="shared" si="156"/>
        <v>27104</v>
      </c>
      <c r="M186" s="25">
        <f t="shared" si="157"/>
        <v>3485</v>
      </c>
      <c r="N186" s="25">
        <f t="shared" si="158"/>
        <v>2788</v>
      </c>
      <c r="O186" s="25">
        <f t="shared" si="159"/>
        <v>3872</v>
      </c>
      <c r="R186" s="50">
        <f t="array" ref="R186">INDEX($B$46:$B$68,MATCH(S186,$C$46:$C$68,0))*1000+T186</f>
        <v>1004027</v>
      </c>
      <c r="S186" s="51" t="s">
        <v>324</v>
      </c>
      <c r="T186" s="29">
        <f t="shared" si="232"/>
        <v>27</v>
      </c>
      <c r="U186" s="25">
        <f t="array" ref="U186">INDEX(K$5:K$67,MATCH($S186,$B$5:$B$67,0))</f>
        <v>506.09</v>
      </c>
      <c r="V186" s="25">
        <f t="array" ref="V186">INDEX(L$5:L$67,MATCH($S186,$B$5:$B$67,0))</f>
        <v>72.4</v>
      </c>
      <c r="W186" s="25">
        <f t="array" ref="W186">INDEX(M$5:M$67,MATCH($S186,$B$5:$B$67,0))</f>
        <v>94.08</v>
      </c>
      <c r="X186" s="25">
        <f t="array" ref="X186">INDEX(N$5:N$67,MATCH($S186,$B$5:$B$67,0))</f>
        <v>88.83</v>
      </c>
      <c r="Y186" s="25">
        <f t="shared" si="160"/>
        <v>13664</v>
      </c>
      <c r="Z186" s="25">
        <f t="shared" si="161"/>
        <v>1955</v>
      </c>
      <c r="AA186" s="25">
        <f t="shared" si="162"/>
        <v>2540</v>
      </c>
      <c r="AB186" s="25">
        <f t="shared" si="163"/>
        <v>2398</v>
      </c>
      <c r="AF186" s="25">
        <v>108</v>
      </c>
      <c r="AG186" s="25">
        <f t="array" ref="AG186">INDEX($AE$79:$AE$116,QUOTIENT(AF186-1,8)+1)</f>
        <v>1015</v>
      </c>
      <c r="AH186" s="25">
        <f t="shared" si="192"/>
        <v>4</v>
      </c>
      <c r="AI186" s="25">
        <f t="shared" si="164"/>
        <v>10154</v>
      </c>
      <c r="AJ186" s="25" t="str">
        <f t="shared" si="165"/>
        <v>阿莱克西娅</v>
      </c>
      <c r="AK186" s="25">
        <f t="shared" si="193"/>
        <v>2</v>
      </c>
      <c r="AL186" s="25" t="str">
        <f t="array" ref="AL186">INDEX($O$5:$O$42,MATCH(AJ186,$B$5:$B$42,0))</f>
        <v>生命值百分比</v>
      </c>
      <c r="AM186" s="25" t="str">
        <f t="array" ref="AM186">INDEX($P$5:$P$42,MATCH(AJ186,$B$5:$B$42,0))</f>
        <v>治疗率</v>
      </c>
      <c r="AN186" s="25" t="str">
        <f t="array" ref="AN186">INDEX($Q$5:$Q$42,MATCH(AJ186,$B$5:$B$42,0))</f>
        <v>技能冷却等级</v>
      </c>
      <c r="AO186" s="25" t="str">
        <f t="array" ref="AO186">INDEX(AL186:AN186,0,AK186)</f>
        <v>治疗率</v>
      </c>
      <c r="AP186" s="25">
        <f t="shared" si="151"/>
        <v>0.15</v>
      </c>
      <c r="AQ186" s="25">
        <f t="shared" si="166"/>
        <v>0.075</v>
      </c>
      <c r="AR186" s="25" t="str">
        <f t="shared" ref="AR186:BZ186" si="265">IF(AR$78=$AO186,$AQ186,"0")</f>
        <v>0</v>
      </c>
      <c r="AS186" s="25" t="str">
        <f t="shared" si="265"/>
        <v>0</v>
      </c>
      <c r="AT186" s="25" t="str">
        <f t="shared" si="265"/>
        <v>0</v>
      </c>
      <c r="AU186" s="25" t="str">
        <f t="shared" si="265"/>
        <v>0</v>
      </c>
      <c r="AV186" s="25" t="str">
        <f t="shared" si="265"/>
        <v>0</v>
      </c>
      <c r="AW186" s="25" t="str">
        <f t="shared" si="265"/>
        <v>0</v>
      </c>
      <c r="AX186" s="25" t="str">
        <f t="shared" si="265"/>
        <v>0</v>
      </c>
      <c r="AY186" s="25" t="str">
        <f t="shared" si="265"/>
        <v>0</v>
      </c>
      <c r="AZ186" s="25" t="str">
        <f t="shared" si="265"/>
        <v>0</v>
      </c>
      <c r="BA186" s="25" t="str">
        <f t="shared" si="265"/>
        <v>0</v>
      </c>
      <c r="BB186" s="25" t="str">
        <f t="shared" si="265"/>
        <v>0</v>
      </c>
      <c r="BC186" s="25" t="str">
        <f t="shared" si="265"/>
        <v>0</v>
      </c>
      <c r="BD186" s="25" t="str">
        <f t="shared" si="265"/>
        <v>0</v>
      </c>
      <c r="BE186" s="25" t="str">
        <f t="shared" si="265"/>
        <v>0</v>
      </c>
      <c r="BF186" s="25" t="str">
        <f t="shared" si="265"/>
        <v>0</v>
      </c>
      <c r="BG186" s="25" t="str">
        <f t="shared" si="265"/>
        <v>0</v>
      </c>
      <c r="BH186" s="25" t="str">
        <f t="shared" si="265"/>
        <v>0</v>
      </c>
      <c r="BI186" s="25" t="str">
        <f t="shared" si="265"/>
        <v>0</v>
      </c>
      <c r="BJ186" s="25">
        <f t="shared" si="265"/>
        <v>0.075</v>
      </c>
      <c r="BK186" s="25" t="str">
        <f t="shared" si="265"/>
        <v>0</v>
      </c>
      <c r="BL186" s="25" t="str">
        <f t="shared" si="265"/>
        <v>0</v>
      </c>
      <c r="BM186" s="25" t="str">
        <f t="shared" si="265"/>
        <v>0</v>
      </c>
      <c r="BN186" s="25" t="str">
        <f t="shared" si="265"/>
        <v>0</v>
      </c>
      <c r="BO186" s="25" t="str">
        <f t="shared" si="265"/>
        <v>0</v>
      </c>
      <c r="BP186" s="25" t="str">
        <f t="shared" si="265"/>
        <v>0</v>
      </c>
      <c r="BQ186" s="25" t="str">
        <f t="shared" si="265"/>
        <v>0</v>
      </c>
      <c r="BR186" s="25" t="str">
        <f t="shared" si="265"/>
        <v>0</v>
      </c>
      <c r="BS186" s="25" t="str">
        <f t="shared" si="265"/>
        <v>0</v>
      </c>
      <c r="BT186" s="25" t="str">
        <f t="shared" si="265"/>
        <v>0</v>
      </c>
      <c r="BU186" s="25" t="str">
        <f t="shared" si="265"/>
        <v>0</v>
      </c>
      <c r="BV186" s="25" t="str">
        <f t="shared" si="265"/>
        <v>0</v>
      </c>
      <c r="BW186" s="25" t="str">
        <f t="shared" si="265"/>
        <v>0</v>
      </c>
      <c r="BX186" s="25" t="str">
        <f t="shared" si="265"/>
        <v>0</v>
      </c>
      <c r="BY186" s="25" t="str">
        <f t="shared" si="265"/>
        <v>0</v>
      </c>
      <c r="BZ186" s="25" t="str">
        <f t="shared" si="265"/>
        <v>0</v>
      </c>
      <c r="CC186" s="25" t="str">
        <f t="array" ref="CC186">INDEX($C$46:$C$74,MATCH(CD186,$B$46:$B$74,0))</f>
        <v>埃莉诺</v>
      </c>
      <c r="CD186" s="1">
        <v>1018</v>
      </c>
      <c r="CE186" s="1">
        <v>2</v>
      </c>
      <c r="CF186" s="25" t="str">
        <f t="array" ref="CF186">INDEX($T$5:$T$44,MATCH(CC186,$B$5:$B$44,0))</f>
        <v>魔法</v>
      </c>
      <c r="CG186" s="25">
        <f t="shared" si="189"/>
        <v>0</v>
      </c>
      <c r="CH186" s="25">
        <f t="shared" si="168"/>
        <v>1</v>
      </c>
      <c r="CI186" s="25">
        <f t="shared" si="169"/>
        <v>1</v>
      </c>
      <c r="CJ186" s="25">
        <f t="shared" si="170"/>
        <v>1</v>
      </c>
      <c r="CK186" s="25">
        <f t="shared" si="171"/>
        <v>1</v>
      </c>
      <c r="CL186" s="25">
        <v>0</v>
      </c>
      <c r="CM186" s="25">
        <f t="shared" si="190"/>
        <v>0</v>
      </c>
      <c r="CN186" s="25">
        <f t="shared" si="172"/>
        <v>0</v>
      </c>
      <c r="CO186" s="25">
        <f t="shared" si="173"/>
        <v>0</v>
      </c>
      <c r="CP186" s="29" t="str">
        <f t="shared" ref="CP186:DQ186" si="266">IF($CL186=CP$78,$CN186,"0")</f>
        <v>0</v>
      </c>
      <c r="CQ186" s="29" t="str">
        <f t="shared" si="266"/>
        <v>0</v>
      </c>
      <c r="CR186" s="29" t="str">
        <f t="shared" si="266"/>
        <v>0</v>
      </c>
      <c r="CS186" s="29" t="str">
        <f t="shared" si="266"/>
        <v>0</v>
      </c>
      <c r="CT186" s="29" t="str">
        <f t="shared" si="266"/>
        <v>0</v>
      </c>
      <c r="CU186" s="29" t="str">
        <f t="shared" si="266"/>
        <v>0</v>
      </c>
      <c r="CV186" s="29" t="str">
        <f t="shared" si="266"/>
        <v>0</v>
      </c>
      <c r="CW186" s="29" t="str">
        <f t="shared" si="266"/>
        <v>0</v>
      </c>
      <c r="CX186" s="29" t="str">
        <f t="shared" si="266"/>
        <v>0</v>
      </c>
      <c r="CY186" s="29" t="str">
        <f t="shared" si="266"/>
        <v>0</v>
      </c>
      <c r="CZ186" s="29" t="str">
        <f t="shared" si="266"/>
        <v>0</v>
      </c>
      <c r="DA186" s="29" t="str">
        <f t="shared" si="266"/>
        <v>0</v>
      </c>
      <c r="DB186" s="29" t="str">
        <f t="shared" si="266"/>
        <v>0</v>
      </c>
      <c r="DC186" s="29" t="str">
        <f t="shared" si="266"/>
        <v>0</v>
      </c>
      <c r="DD186" s="29" t="str">
        <f t="shared" si="266"/>
        <v>0</v>
      </c>
      <c r="DE186" s="29" t="str">
        <f t="shared" si="266"/>
        <v>0</v>
      </c>
      <c r="DF186" s="29" t="str">
        <f t="shared" si="266"/>
        <v>0</v>
      </c>
      <c r="DG186" s="29" t="str">
        <f t="shared" si="266"/>
        <v>0</v>
      </c>
      <c r="DH186" s="29" t="str">
        <f t="shared" si="266"/>
        <v>0</v>
      </c>
      <c r="DI186" s="29" t="str">
        <f t="shared" si="266"/>
        <v>0</v>
      </c>
      <c r="DJ186" s="29" t="str">
        <f t="shared" si="266"/>
        <v>0</v>
      </c>
      <c r="DK186" s="29" t="str">
        <f t="shared" si="266"/>
        <v>0</v>
      </c>
      <c r="DL186" s="29" t="str">
        <f t="shared" si="266"/>
        <v>0</v>
      </c>
      <c r="DM186" s="29" t="str">
        <f t="shared" si="266"/>
        <v>0</v>
      </c>
      <c r="DN186" s="29" t="str">
        <f t="shared" si="266"/>
        <v>0</v>
      </c>
      <c r="DO186" s="29" t="str">
        <f t="shared" si="266"/>
        <v>0</v>
      </c>
      <c r="DP186" s="29" t="str">
        <f t="shared" si="266"/>
        <v>0</v>
      </c>
      <c r="DQ186" s="29" t="str">
        <f t="shared" si="266"/>
        <v>0</v>
      </c>
      <c r="DR186" s="29"/>
      <c r="DS186" s="25">
        <v>0</v>
      </c>
      <c r="EE186" s="25" t="str">
        <f t="shared" si="175"/>
        <v>0</v>
      </c>
    </row>
    <row r="187" spans="1:135">
      <c r="A187" s="53">
        <v>1002049</v>
      </c>
      <c r="B187" s="49" t="s">
        <v>318</v>
      </c>
      <c r="C187" s="25">
        <f t="shared" si="146"/>
        <v>49</v>
      </c>
      <c r="D187" s="25">
        <f t="array" ref="D187">INDEX(C$5:C$67,MATCH($B187,$B$5:$B$67,0))</f>
        <v>5600</v>
      </c>
      <c r="E187" s="25">
        <f t="array" ref="E187">INDEX(D$5:D$67,MATCH($B187,$B$5:$B$67,0))</f>
        <v>448</v>
      </c>
      <c r="F187" s="25">
        <f t="array" ref="F187">INDEX(E$5:E$67,MATCH($B187,$B$5:$B$67,0))</f>
        <v>720</v>
      </c>
      <c r="G187" s="25">
        <f t="array" ref="G187">INDEX(F$5:F$67,MATCH($B187,$B$5:$B$67,0))</f>
        <v>57.6</v>
      </c>
      <c r="H187" s="25">
        <f t="array" ref="H187">INDEX(G$5:G$66,MATCH($B187,$B$5:$B$67,0))</f>
        <v>576</v>
      </c>
      <c r="I187" s="25">
        <f t="array" ref="I187">INDEX(H$5:H$67,MATCH($B187,$B$5:$B$67,0))</f>
        <v>46.08</v>
      </c>
      <c r="J187" s="25">
        <f t="array" ref="J187">INDEX(I$5:I$67,MATCH($B187,$B$5:$B$67,0))</f>
        <v>800</v>
      </c>
      <c r="K187" s="25">
        <f t="array" ref="K187">INDEX(J$5:J$67,MATCH($B187,$B$5:$B$67,0))</f>
        <v>64</v>
      </c>
      <c r="L187" s="25">
        <f t="shared" si="156"/>
        <v>27552</v>
      </c>
      <c r="M187" s="25">
        <f t="shared" si="157"/>
        <v>3542</v>
      </c>
      <c r="N187" s="25">
        <f t="shared" si="158"/>
        <v>2834</v>
      </c>
      <c r="O187" s="25">
        <f t="shared" si="159"/>
        <v>3936</v>
      </c>
      <c r="R187" s="50">
        <f t="array" ref="R187">INDEX($B$46:$B$68,MATCH(S187,$C$46:$C$68,0))*1000+T187</f>
        <v>1005001</v>
      </c>
      <c r="S187" s="51" t="s">
        <v>327</v>
      </c>
      <c r="T187" s="29">
        <f t="shared" si="232"/>
        <v>1</v>
      </c>
      <c r="U187" s="25">
        <f t="array" ref="U187">INDEX(K$5:K$67,MATCH($S187,$B$5:$B$67,0))</f>
        <v>402.57</v>
      </c>
      <c r="V187" s="25">
        <f t="array" ref="V187">INDEX(L$5:L$67,MATCH($S187,$B$5:$B$67,0))</f>
        <v>140.8</v>
      </c>
      <c r="W187" s="25">
        <f t="array" ref="W187">INDEX(M$5:M$67,MATCH($S187,$B$5:$B$67,0))</f>
        <v>101.38</v>
      </c>
      <c r="X187" s="25">
        <f t="array" ref="X187">INDEX(N$5:N$67,MATCH($S187,$B$5:$B$67,0))</f>
        <v>85</v>
      </c>
      <c r="Y187" s="25">
        <f t="shared" si="160"/>
        <v>403</v>
      </c>
      <c r="Z187" s="25">
        <f t="shared" si="161"/>
        <v>141</v>
      </c>
      <c r="AA187" s="25">
        <f t="shared" si="162"/>
        <v>101</v>
      </c>
      <c r="AB187" s="25">
        <f t="shared" si="163"/>
        <v>85</v>
      </c>
      <c r="AF187" s="25">
        <v>109</v>
      </c>
      <c r="AG187" s="25">
        <f t="array" ref="AG187">INDEX($AE$79:$AE$116,QUOTIENT(AF187-1,8)+1)</f>
        <v>1015</v>
      </c>
      <c r="AH187" s="25">
        <f t="shared" si="192"/>
        <v>5</v>
      </c>
      <c r="AI187" s="25">
        <f t="shared" si="164"/>
        <v>10155</v>
      </c>
      <c r="AJ187" s="25" t="str">
        <f t="shared" si="165"/>
        <v>阿莱克西娅</v>
      </c>
      <c r="AK187" s="25">
        <f t="shared" si="193"/>
        <v>3</v>
      </c>
      <c r="AL187" s="25" t="str">
        <f t="array" ref="AL187">INDEX($O$5:$O$42,MATCH(AJ187,$B$5:$B$42,0))</f>
        <v>生命值百分比</v>
      </c>
      <c r="AM187" s="25" t="str">
        <f t="array" ref="AM187">INDEX($P$5:$P$42,MATCH(AJ187,$B$5:$B$42,0))</f>
        <v>治疗率</v>
      </c>
      <c r="AN187" s="25" t="str">
        <f t="array" ref="AN187">INDEX($Q$5:$Q$42,MATCH(AJ187,$B$5:$B$42,0))</f>
        <v>技能冷却等级</v>
      </c>
      <c r="AO187" s="25" t="str">
        <f t="array" ref="AO187">INDEX(AL187:AN187,0,AK187)</f>
        <v>技能冷却等级</v>
      </c>
      <c r="AP187" s="25">
        <f t="shared" si="151"/>
        <v>0.216666666666667</v>
      </c>
      <c r="AQ187" s="25">
        <f t="shared" si="166"/>
        <v>2816.66666666667</v>
      </c>
      <c r="AR187" s="25" t="str">
        <f t="shared" ref="AR187:BZ187" si="267">IF(AR$78=$AO187,$AQ187,"0")</f>
        <v>0</v>
      </c>
      <c r="AS187" s="25" t="str">
        <f t="shared" si="267"/>
        <v>0</v>
      </c>
      <c r="AT187" s="25" t="str">
        <f t="shared" si="267"/>
        <v>0</v>
      </c>
      <c r="AU187" s="25" t="str">
        <f t="shared" si="267"/>
        <v>0</v>
      </c>
      <c r="AV187" s="25" t="str">
        <f t="shared" si="267"/>
        <v>0</v>
      </c>
      <c r="AW187" s="25" t="str">
        <f t="shared" si="267"/>
        <v>0</v>
      </c>
      <c r="AX187" s="25" t="str">
        <f t="shared" si="267"/>
        <v>0</v>
      </c>
      <c r="AY187" s="25" t="str">
        <f t="shared" si="267"/>
        <v>0</v>
      </c>
      <c r="AZ187" s="25" t="str">
        <f t="shared" si="267"/>
        <v>0</v>
      </c>
      <c r="BA187" s="25" t="str">
        <f t="shared" si="267"/>
        <v>0</v>
      </c>
      <c r="BB187" s="25" t="str">
        <f t="shared" si="267"/>
        <v>0</v>
      </c>
      <c r="BC187" s="25" t="str">
        <f t="shared" si="267"/>
        <v>0</v>
      </c>
      <c r="BD187" s="25" t="str">
        <f t="shared" si="267"/>
        <v>0</v>
      </c>
      <c r="BE187" s="25" t="str">
        <f t="shared" si="267"/>
        <v>0</v>
      </c>
      <c r="BF187" s="25" t="str">
        <f t="shared" si="267"/>
        <v>0</v>
      </c>
      <c r="BG187" s="25" t="str">
        <f t="shared" si="267"/>
        <v>0</v>
      </c>
      <c r="BH187" s="25" t="str">
        <f t="shared" si="267"/>
        <v>0</v>
      </c>
      <c r="BI187" s="25" t="str">
        <f t="shared" si="267"/>
        <v>0</v>
      </c>
      <c r="BJ187" s="25" t="str">
        <f t="shared" si="267"/>
        <v>0</v>
      </c>
      <c r="BK187" s="25" t="str">
        <f t="shared" si="267"/>
        <v>0</v>
      </c>
      <c r="BL187" s="25" t="str">
        <f t="shared" si="267"/>
        <v>0</v>
      </c>
      <c r="BM187" s="25" t="str">
        <f t="shared" si="267"/>
        <v>0</v>
      </c>
      <c r="BN187" s="25" t="str">
        <f t="shared" si="267"/>
        <v>0</v>
      </c>
      <c r="BO187" s="25" t="str">
        <f t="shared" si="267"/>
        <v>0</v>
      </c>
      <c r="BP187" s="25" t="str">
        <f t="shared" si="267"/>
        <v>0</v>
      </c>
      <c r="BQ187" s="25" t="str">
        <f t="shared" si="267"/>
        <v>0</v>
      </c>
      <c r="BR187" s="25" t="str">
        <f t="shared" si="267"/>
        <v>0</v>
      </c>
      <c r="BS187" s="25" t="str">
        <f t="shared" si="267"/>
        <v>0</v>
      </c>
      <c r="BT187" s="25" t="str">
        <f t="shared" si="267"/>
        <v>0</v>
      </c>
      <c r="BU187" s="25" t="str">
        <f t="shared" si="267"/>
        <v>0</v>
      </c>
      <c r="BV187" s="25" t="str">
        <f t="shared" si="267"/>
        <v>0</v>
      </c>
      <c r="BW187" s="25" t="str">
        <f t="shared" si="267"/>
        <v>0</v>
      </c>
      <c r="BX187" s="25" t="str">
        <f t="shared" si="267"/>
        <v>0</v>
      </c>
      <c r="BY187" s="25" t="str">
        <f t="shared" si="267"/>
        <v>0</v>
      </c>
      <c r="BZ187" s="25">
        <f t="shared" si="267"/>
        <v>2816.66666666667</v>
      </c>
      <c r="CC187" s="25" t="str">
        <f t="array" ref="CC187">INDEX($C$46:$C$74,MATCH(CD187,$B$46:$B$74,0))</f>
        <v>埃莉诺</v>
      </c>
      <c r="CD187" s="1">
        <v>1018</v>
      </c>
      <c r="CE187" s="1">
        <v>3</v>
      </c>
      <c r="CF187" s="25" t="str">
        <f t="array" ref="CF187">INDEX($T$5:$T$44,MATCH(CC187,$B$5:$B$44,0))</f>
        <v>魔法</v>
      </c>
      <c r="CG187" s="25">
        <f t="shared" si="189"/>
        <v>0.15</v>
      </c>
      <c r="CH187" s="25">
        <f t="shared" si="168"/>
        <v>1.15</v>
      </c>
      <c r="CI187" s="25">
        <f t="shared" si="169"/>
        <v>1</v>
      </c>
      <c r="CJ187" s="25">
        <f t="shared" si="170"/>
        <v>1.15</v>
      </c>
      <c r="CK187" s="25">
        <f t="shared" si="171"/>
        <v>1.15</v>
      </c>
      <c r="CL187" s="25" t="str">
        <f t="array" ref="CL187">INDEX($R$5:$R$43,MATCH(CC187,$B$5:$B$43,0))</f>
        <v>能量回复等级</v>
      </c>
      <c r="CM187" s="25">
        <f t="shared" si="190"/>
        <v>0.3</v>
      </c>
      <c r="CN187" s="25">
        <f t="shared" si="172"/>
        <v>2700</v>
      </c>
      <c r="CO187" s="25">
        <f t="shared" si="173"/>
        <v>1</v>
      </c>
      <c r="CP187" s="29" t="str">
        <f t="shared" ref="CP187:DQ187" si="268">IF($CL187=CP$78,$CN187,"0")</f>
        <v>0</v>
      </c>
      <c r="CQ187" s="29" t="str">
        <f t="shared" si="268"/>
        <v>0</v>
      </c>
      <c r="CR187" s="29" t="str">
        <f t="shared" si="268"/>
        <v>0</v>
      </c>
      <c r="CS187" s="29" t="str">
        <f t="shared" si="268"/>
        <v>0</v>
      </c>
      <c r="CT187" s="29" t="str">
        <f t="shared" si="268"/>
        <v>0</v>
      </c>
      <c r="CU187" s="29" t="str">
        <f t="shared" si="268"/>
        <v>0</v>
      </c>
      <c r="CV187" s="29" t="str">
        <f t="shared" si="268"/>
        <v>0</v>
      </c>
      <c r="CW187" s="29" t="str">
        <f t="shared" si="268"/>
        <v>0</v>
      </c>
      <c r="CX187" s="29" t="str">
        <f t="shared" si="268"/>
        <v>0</v>
      </c>
      <c r="CY187" s="29" t="str">
        <f t="shared" si="268"/>
        <v>0</v>
      </c>
      <c r="CZ187" s="29" t="str">
        <f t="shared" si="268"/>
        <v>0</v>
      </c>
      <c r="DA187" s="29" t="str">
        <f t="shared" si="268"/>
        <v>0</v>
      </c>
      <c r="DB187" s="29" t="str">
        <f t="shared" si="268"/>
        <v>0</v>
      </c>
      <c r="DC187" s="29" t="str">
        <f t="shared" si="268"/>
        <v>0</v>
      </c>
      <c r="DD187" s="29" t="str">
        <f t="shared" si="268"/>
        <v>0</v>
      </c>
      <c r="DE187" s="29" t="str">
        <f t="shared" si="268"/>
        <v>0</v>
      </c>
      <c r="DF187" s="29" t="str">
        <f t="shared" si="268"/>
        <v>0</v>
      </c>
      <c r="DG187" s="29" t="str">
        <f t="shared" si="268"/>
        <v>0</v>
      </c>
      <c r="DH187" s="29" t="str">
        <f t="shared" si="268"/>
        <v>0</v>
      </c>
      <c r="DI187" s="29" t="str">
        <f t="shared" si="268"/>
        <v>0</v>
      </c>
      <c r="DJ187" s="29" t="str">
        <f t="shared" si="268"/>
        <v>0</v>
      </c>
      <c r="DK187" s="29" t="str">
        <f t="shared" si="268"/>
        <v>0</v>
      </c>
      <c r="DL187" s="29" t="str">
        <f t="shared" si="268"/>
        <v>0</v>
      </c>
      <c r="DM187" s="29" t="str">
        <f t="shared" si="268"/>
        <v>0</v>
      </c>
      <c r="DN187" s="29" t="str">
        <f t="shared" si="268"/>
        <v>0</v>
      </c>
      <c r="DO187" s="29" t="str">
        <f t="shared" si="268"/>
        <v>0</v>
      </c>
      <c r="DP187" s="29">
        <f t="shared" si="268"/>
        <v>2700</v>
      </c>
      <c r="DQ187" s="29" t="str">
        <f t="shared" si="268"/>
        <v>0</v>
      </c>
      <c r="DR187" s="29"/>
      <c r="DS187" s="25" t="s">
        <v>1011</v>
      </c>
      <c r="DT187" s="25" t="str">
        <f>TEXT(角色升星!$F$18,"0%")</f>
        <v>15%</v>
      </c>
      <c r="DU187" s="25" t="s">
        <v>779</v>
      </c>
      <c r="DV187" s="25" t="str">
        <f>IF(CF187="物理","PhysicsAttack,+","MagicAttack,+")</f>
        <v>MagicAttack,+</v>
      </c>
      <c r="DW187" s="25" t="str">
        <f>TEXT(角色升星!$F$18,"0%")</f>
        <v>15%</v>
      </c>
      <c r="DX187" s="25" t="s">
        <v>779</v>
      </c>
      <c r="DY187" s="25" t="s">
        <v>1012</v>
      </c>
      <c r="DZ187" s="25" t="str">
        <f>TEXT(角色升星!$F$18,"0%")</f>
        <v>15%</v>
      </c>
      <c r="EA187" s="25" t="s">
        <v>779</v>
      </c>
      <c r="EB187" s="25" t="str">
        <f>VLOOKUP(CL187,$O$46:$P$73,2,0)</f>
        <v>EnergyPreAddBonusLevel</v>
      </c>
      <c r="EC187" s="25" t="s">
        <v>1013</v>
      </c>
      <c r="ED187" s="25">
        <f>IF(CN187&gt;1,CN187,TEXT(CN187,"0%"))</f>
        <v>2700</v>
      </c>
      <c r="EE187" s="25" t="str">
        <f t="shared" si="175"/>
        <v>Hp,+15%;MagicAttack,+15%;Armor,+15%;EnergyPreAddBonusLevel,+2700</v>
      </c>
    </row>
    <row r="188" spans="1:135">
      <c r="A188" s="53">
        <v>1002050</v>
      </c>
      <c r="B188" s="49" t="s">
        <v>318</v>
      </c>
      <c r="C188" s="25">
        <f t="shared" si="146"/>
        <v>50</v>
      </c>
      <c r="D188" s="25">
        <f t="array" ref="D188">INDEX(C$5:C$67,MATCH($B188,$B$5:$B$67,0))</f>
        <v>5600</v>
      </c>
      <c r="E188" s="25">
        <f t="array" ref="E188">INDEX(D$5:D$67,MATCH($B188,$B$5:$B$67,0))</f>
        <v>448</v>
      </c>
      <c r="F188" s="25">
        <f t="array" ref="F188">INDEX(E$5:E$67,MATCH($B188,$B$5:$B$67,0))</f>
        <v>720</v>
      </c>
      <c r="G188" s="25">
        <f t="array" ref="G188">INDEX(F$5:F$67,MATCH($B188,$B$5:$B$67,0))</f>
        <v>57.6</v>
      </c>
      <c r="H188" s="25">
        <f t="array" ref="H188">INDEX(G$5:G$66,MATCH($B188,$B$5:$B$67,0))</f>
        <v>576</v>
      </c>
      <c r="I188" s="25">
        <f t="array" ref="I188">INDEX(H$5:H$67,MATCH($B188,$B$5:$B$67,0))</f>
        <v>46.08</v>
      </c>
      <c r="J188" s="25">
        <f t="array" ref="J188">INDEX(I$5:I$67,MATCH($B188,$B$5:$B$67,0))</f>
        <v>800</v>
      </c>
      <c r="K188" s="25">
        <f t="array" ref="K188">INDEX(J$5:J$67,MATCH($B188,$B$5:$B$67,0))</f>
        <v>64</v>
      </c>
      <c r="L188" s="25">
        <f t="shared" si="156"/>
        <v>28000</v>
      </c>
      <c r="M188" s="25">
        <f t="shared" si="157"/>
        <v>3600</v>
      </c>
      <c r="N188" s="25">
        <f t="shared" si="158"/>
        <v>2880</v>
      </c>
      <c r="O188" s="25">
        <f t="shared" si="159"/>
        <v>4000</v>
      </c>
      <c r="R188" s="50">
        <f t="array" ref="R188">INDEX($B$46:$B$68,MATCH(S188,$C$46:$C$68,0))*1000+T188</f>
        <v>1005002</v>
      </c>
      <c r="S188" s="51" t="s">
        <v>327</v>
      </c>
      <c r="T188" s="29">
        <f t="shared" si="232"/>
        <v>2</v>
      </c>
      <c r="U188" s="25">
        <f t="array" ref="U188">INDEX(K$5:K$67,MATCH($S188,$B$5:$B$67,0))</f>
        <v>402.57</v>
      </c>
      <c r="V188" s="25">
        <f t="array" ref="V188">INDEX(L$5:L$67,MATCH($S188,$B$5:$B$67,0))</f>
        <v>140.8</v>
      </c>
      <c r="W188" s="25">
        <f t="array" ref="W188">INDEX(M$5:M$67,MATCH($S188,$B$5:$B$67,0))</f>
        <v>101.38</v>
      </c>
      <c r="X188" s="25">
        <f t="array" ref="X188">INDEX(N$5:N$67,MATCH($S188,$B$5:$B$67,0))</f>
        <v>85</v>
      </c>
      <c r="Y188" s="25">
        <f t="shared" si="160"/>
        <v>805</v>
      </c>
      <c r="Z188" s="25">
        <f t="shared" si="161"/>
        <v>282</v>
      </c>
      <c r="AA188" s="25">
        <f t="shared" si="162"/>
        <v>203</v>
      </c>
      <c r="AB188" s="25">
        <f t="shared" si="163"/>
        <v>170</v>
      </c>
      <c r="AF188" s="25">
        <v>110</v>
      </c>
      <c r="AG188" s="25">
        <f t="array" ref="AG188">INDEX($AE$79:$AE$116,QUOTIENT(AF188-1,8)+1)</f>
        <v>1015</v>
      </c>
      <c r="AH188" s="25">
        <f t="shared" si="192"/>
        <v>6</v>
      </c>
      <c r="AI188" s="25">
        <f t="shared" si="164"/>
        <v>10156</v>
      </c>
      <c r="AJ188" s="25" t="str">
        <f t="shared" si="165"/>
        <v>阿莱克西娅</v>
      </c>
      <c r="AK188" s="25">
        <f t="shared" si="193"/>
        <v>1</v>
      </c>
      <c r="AL188" s="25" t="str">
        <f t="array" ref="AL188">INDEX($O$5:$O$42,MATCH(AJ188,$B$5:$B$42,0))</f>
        <v>生命值百分比</v>
      </c>
      <c r="AM188" s="25" t="str">
        <f t="array" ref="AM188">INDEX($P$5:$P$42,MATCH(AJ188,$B$5:$B$42,0))</f>
        <v>治疗率</v>
      </c>
      <c r="AN188" s="25" t="str">
        <f t="array" ref="AN188">INDEX($Q$5:$Q$42,MATCH(AJ188,$B$5:$B$42,0))</f>
        <v>技能冷却等级</v>
      </c>
      <c r="AO188" s="25" t="str">
        <f t="array" ref="AO188">INDEX(AL188:AN188,0,AK188)</f>
        <v>生命值百分比</v>
      </c>
      <c r="AP188" s="25">
        <f t="shared" si="151"/>
        <v>0.216666666666667</v>
      </c>
      <c r="AQ188" s="25">
        <f t="shared" si="166"/>
        <v>0.216666666666667</v>
      </c>
      <c r="AR188" s="25" t="str">
        <f t="shared" ref="AR188:BZ188" si="269">IF(AR$78=$AO188,$AQ188,"0")</f>
        <v>0</v>
      </c>
      <c r="AS188" s="25">
        <f t="shared" si="269"/>
        <v>0.216666666666667</v>
      </c>
      <c r="AT188" s="25" t="str">
        <f t="shared" si="269"/>
        <v>0</v>
      </c>
      <c r="AU188" s="25" t="str">
        <f t="shared" si="269"/>
        <v>0</v>
      </c>
      <c r="AV188" s="25" t="str">
        <f t="shared" si="269"/>
        <v>0</v>
      </c>
      <c r="AW188" s="25" t="str">
        <f t="shared" si="269"/>
        <v>0</v>
      </c>
      <c r="AX188" s="25" t="str">
        <f t="shared" si="269"/>
        <v>0</v>
      </c>
      <c r="AY188" s="25" t="str">
        <f t="shared" si="269"/>
        <v>0</v>
      </c>
      <c r="AZ188" s="25" t="str">
        <f t="shared" si="269"/>
        <v>0</v>
      </c>
      <c r="BA188" s="25" t="str">
        <f t="shared" si="269"/>
        <v>0</v>
      </c>
      <c r="BB188" s="25" t="str">
        <f t="shared" si="269"/>
        <v>0</v>
      </c>
      <c r="BC188" s="25" t="str">
        <f t="shared" si="269"/>
        <v>0</v>
      </c>
      <c r="BD188" s="25" t="str">
        <f t="shared" si="269"/>
        <v>0</v>
      </c>
      <c r="BE188" s="25" t="str">
        <f t="shared" si="269"/>
        <v>0</v>
      </c>
      <c r="BF188" s="25" t="str">
        <f t="shared" si="269"/>
        <v>0</v>
      </c>
      <c r="BG188" s="25" t="str">
        <f t="shared" si="269"/>
        <v>0</v>
      </c>
      <c r="BH188" s="25" t="str">
        <f t="shared" si="269"/>
        <v>0</v>
      </c>
      <c r="BI188" s="25" t="str">
        <f t="shared" si="269"/>
        <v>0</v>
      </c>
      <c r="BJ188" s="25" t="str">
        <f t="shared" si="269"/>
        <v>0</v>
      </c>
      <c r="BK188" s="25" t="str">
        <f t="shared" si="269"/>
        <v>0</v>
      </c>
      <c r="BL188" s="25" t="str">
        <f t="shared" si="269"/>
        <v>0</v>
      </c>
      <c r="BM188" s="25" t="str">
        <f t="shared" si="269"/>
        <v>0</v>
      </c>
      <c r="BN188" s="25" t="str">
        <f t="shared" si="269"/>
        <v>0</v>
      </c>
      <c r="BO188" s="25" t="str">
        <f t="shared" si="269"/>
        <v>0</v>
      </c>
      <c r="BP188" s="25" t="str">
        <f t="shared" si="269"/>
        <v>0</v>
      </c>
      <c r="BQ188" s="25" t="str">
        <f t="shared" si="269"/>
        <v>0</v>
      </c>
      <c r="BR188" s="25" t="str">
        <f t="shared" si="269"/>
        <v>0</v>
      </c>
      <c r="BS188" s="25" t="str">
        <f t="shared" si="269"/>
        <v>0</v>
      </c>
      <c r="BT188" s="25" t="str">
        <f t="shared" si="269"/>
        <v>0</v>
      </c>
      <c r="BU188" s="25" t="str">
        <f t="shared" si="269"/>
        <v>0</v>
      </c>
      <c r="BV188" s="25" t="str">
        <f t="shared" si="269"/>
        <v>0</v>
      </c>
      <c r="BW188" s="25" t="str">
        <f t="shared" si="269"/>
        <v>0</v>
      </c>
      <c r="BX188" s="25" t="str">
        <f t="shared" si="269"/>
        <v>0</v>
      </c>
      <c r="BY188" s="25" t="str">
        <f t="shared" si="269"/>
        <v>0</v>
      </c>
      <c r="BZ188" s="25" t="str">
        <f t="shared" si="269"/>
        <v>0</v>
      </c>
      <c r="CC188" s="25" t="str">
        <f t="array" ref="CC188">INDEX($C$46:$C$74,MATCH(CD188,$B$46:$B$74,0))</f>
        <v>埃莉诺</v>
      </c>
      <c r="CD188" s="1">
        <v>1018</v>
      </c>
      <c r="CE188" s="1">
        <v>4</v>
      </c>
      <c r="CF188" s="25" t="str">
        <f t="array" ref="CF188">INDEX($T$5:$T$44,MATCH(CC188,$B$5:$B$44,0))</f>
        <v>魔法</v>
      </c>
      <c r="CG188" s="25">
        <f t="shared" si="189"/>
        <v>0.15</v>
      </c>
      <c r="CH188" s="25">
        <f t="shared" si="168"/>
        <v>1.15</v>
      </c>
      <c r="CI188" s="25">
        <f t="shared" si="169"/>
        <v>1</v>
      </c>
      <c r="CJ188" s="25">
        <f t="shared" si="170"/>
        <v>1.15</v>
      </c>
      <c r="CK188" s="25">
        <f t="shared" si="171"/>
        <v>1.15</v>
      </c>
      <c r="CL188" s="25">
        <v>0</v>
      </c>
      <c r="CM188" s="25">
        <f t="shared" si="190"/>
        <v>0</v>
      </c>
      <c r="CN188" s="25">
        <f t="shared" si="172"/>
        <v>0</v>
      </c>
      <c r="CO188" s="25">
        <f t="shared" si="173"/>
        <v>0</v>
      </c>
      <c r="CP188" s="29" t="str">
        <f t="shared" ref="CP188:DQ188" si="270">IF($CL188=CP$78,$CN188,"0")</f>
        <v>0</v>
      </c>
      <c r="CQ188" s="29" t="str">
        <f t="shared" si="270"/>
        <v>0</v>
      </c>
      <c r="CR188" s="29" t="str">
        <f t="shared" si="270"/>
        <v>0</v>
      </c>
      <c r="CS188" s="29" t="str">
        <f t="shared" si="270"/>
        <v>0</v>
      </c>
      <c r="CT188" s="29" t="str">
        <f t="shared" si="270"/>
        <v>0</v>
      </c>
      <c r="CU188" s="29" t="str">
        <f t="shared" si="270"/>
        <v>0</v>
      </c>
      <c r="CV188" s="29" t="str">
        <f t="shared" si="270"/>
        <v>0</v>
      </c>
      <c r="CW188" s="29" t="str">
        <f t="shared" si="270"/>
        <v>0</v>
      </c>
      <c r="CX188" s="29" t="str">
        <f t="shared" si="270"/>
        <v>0</v>
      </c>
      <c r="CY188" s="29" t="str">
        <f t="shared" si="270"/>
        <v>0</v>
      </c>
      <c r="CZ188" s="29" t="str">
        <f t="shared" si="270"/>
        <v>0</v>
      </c>
      <c r="DA188" s="29" t="str">
        <f t="shared" si="270"/>
        <v>0</v>
      </c>
      <c r="DB188" s="29" t="str">
        <f t="shared" si="270"/>
        <v>0</v>
      </c>
      <c r="DC188" s="29" t="str">
        <f t="shared" si="270"/>
        <v>0</v>
      </c>
      <c r="DD188" s="29" t="str">
        <f t="shared" si="270"/>
        <v>0</v>
      </c>
      <c r="DE188" s="29" t="str">
        <f t="shared" si="270"/>
        <v>0</v>
      </c>
      <c r="DF188" s="29" t="str">
        <f t="shared" si="270"/>
        <v>0</v>
      </c>
      <c r="DG188" s="29" t="str">
        <f t="shared" si="270"/>
        <v>0</v>
      </c>
      <c r="DH188" s="29" t="str">
        <f t="shared" si="270"/>
        <v>0</v>
      </c>
      <c r="DI188" s="29" t="str">
        <f t="shared" si="270"/>
        <v>0</v>
      </c>
      <c r="DJ188" s="29" t="str">
        <f t="shared" si="270"/>
        <v>0</v>
      </c>
      <c r="DK188" s="29" t="str">
        <f t="shared" si="270"/>
        <v>0</v>
      </c>
      <c r="DL188" s="29" t="str">
        <f t="shared" si="270"/>
        <v>0</v>
      </c>
      <c r="DM188" s="29" t="str">
        <f t="shared" si="270"/>
        <v>0</v>
      </c>
      <c r="DN188" s="29" t="str">
        <f t="shared" si="270"/>
        <v>0</v>
      </c>
      <c r="DO188" s="29" t="str">
        <f t="shared" si="270"/>
        <v>0</v>
      </c>
      <c r="DP188" s="29" t="str">
        <f t="shared" si="270"/>
        <v>0</v>
      </c>
      <c r="DQ188" s="29" t="str">
        <f t="shared" si="270"/>
        <v>0</v>
      </c>
      <c r="DR188" s="29"/>
      <c r="DS188" s="25">
        <v>0</v>
      </c>
      <c r="EE188" s="25" t="str">
        <f t="shared" si="175"/>
        <v>0</v>
      </c>
    </row>
    <row r="189" spans="1:135">
      <c r="A189" s="53">
        <v>1002051</v>
      </c>
      <c r="B189" s="49" t="s">
        <v>318</v>
      </c>
      <c r="C189" s="25">
        <f t="shared" si="146"/>
        <v>51</v>
      </c>
      <c r="D189" s="25">
        <f t="array" ref="D189">INDEX(C$5:C$67,MATCH($B189,$B$5:$B$67,0))</f>
        <v>5600</v>
      </c>
      <c r="E189" s="25">
        <f t="array" ref="E189">INDEX(D$5:D$67,MATCH($B189,$B$5:$B$67,0))</f>
        <v>448</v>
      </c>
      <c r="F189" s="25">
        <f t="array" ref="F189">INDEX(E$5:E$67,MATCH($B189,$B$5:$B$67,0))</f>
        <v>720</v>
      </c>
      <c r="G189" s="25">
        <f t="array" ref="G189">INDEX(F$5:F$67,MATCH($B189,$B$5:$B$67,0))</f>
        <v>57.6</v>
      </c>
      <c r="H189" s="25">
        <f t="array" ref="H189">INDEX(G$5:G$66,MATCH($B189,$B$5:$B$67,0))</f>
        <v>576</v>
      </c>
      <c r="I189" s="25">
        <f t="array" ref="I189">INDEX(H$5:H$67,MATCH($B189,$B$5:$B$67,0))</f>
        <v>46.08</v>
      </c>
      <c r="J189" s="25">
        <f t="array" ref="J189">INDEX(I$5:I$67,MATCH($B189,$B$5:$B$67,0))</f>
        <v>800</v>
      </c>
      <c r="K189" s="25">
        <f t="array" ref="K189">INDEX(J$5:J$67,MATCH($B189,$B$5:$B$67,0))</f>
        <v>64</v>
      </c>
      <c r="L189" s="25">
        <f t="shared" si="156"/>
        <v>28448</v>
      </c>
      <c r="M189" s="25">
        <f t="shared" si="157"/>
        <v>3658</v>
      </c>
      <c r="N189" s="25">
        <f t="shared" si="158"/>
        <v>2926</v>
      </c>
      <c r="O189" s="25">
        <f t="shared" si="159"/>
        <v>4064</v>
      </c>
      <c r="R189" s="50">
        <f t="array" ref="R189">INDEX($B$46:$B$68,MATCH(S189,$C$46:$C$68,0))*1000+T189</f>
        <v>1005003</v>
      </c>
      <c r="S189" s="51" t="s">
        <v>327</v>
      </c>
      <c r="T189" s="29">
        <f t="shared" si="232"/>
        <v>3</v>
      </c>
      <c r="U189" s="25">
        <f t="array" ref="U189">INDEX(K$5:K$67,MATCH($S189,$B$5:$B$67,0))</f>
        <v>402.57</v>
      </c>
      <c r="V189" s="25">
        <f t="array" ref="V189">INDEX(L$5:L$67,MATCH($S189,$B$5:$B$67,0))</f>
        <v>140.8</v>
      </c>
      <c r="W189" s="25">
        <f t="array" ref="W189">INDEX(M$5:M$67,MATCH($S189,$B$5:$B$67,0))</f>
        <v>101.38</v>
      </c>
      <c r="X189" s="25">
        <f t="array" ref="X189">INDEX(N$5:N$67,MATCH($S189,$B$5:$B$67,0))</f>
        <v>85</v>
      </c>
      <c r="Y189" s="25">
        <f t="shared" si="160"/>
        <v>1208</v>
      </c>
      <c r="Z189" s="25">
        <f t="shared" si="161"/>
        <v>422</v>
      </c>
      <c r="AA189" s="25">
        <f t="shared" si="162"/>
        <v>304</v>
      </c>
      <c r="AB189" s="25">
        <f t="shared" si="163"/>
        <v>255</v>
      </c>
      <c r="AF189" s="25">
        <v>111</v>
      </c>
      <c r="AG189" s="25">
        <f t="array" ref="AG189">INDEX($AE$79:$AE$116,QUOTIENT(AF189-1,8)+1)</f>
        <v>1015</v>
      </c>
      <c r="AH189" s="25">
        <f t="shared" si="192"/>
        <v>7</v>
      </c>
      <c r="AI189" s="25">
        <f t="shared" si="164"/>
        <v>10157</v>
      </c>
      <c r="AJ189" s="25" t="str">
        <f t="shared" si="165"/>
        <v>阿莱克西娅</v>
      </c>
      <c r="AK189" s="25">
        <f t="shared" si="193"/>
        <v>2</v>
      </c>
      <c r="AL189" s="25" t="str">
        <f t="array" ref="AL189">INDEX($O$5:$O$42,MATCH(AJ189,$B$5:$B$42,0))</f>
        <v>生命值百分比</v>
      </c>
      <c r="AM189" s="25" t="str">
        <f t="array" ref="AM189">INDEX($P$5:$P$42,MATCH(AJ189,$B$5:$B$42,0))</f>
        <v>治疗率</v>
      </c>
      <c r="AN189" s="25" t="str">
        <f t="array" ref="AN189">INDEX($Q$5:$Q$42,MATCH(AJ189,$B$5:$B$42,0))</f>
        <v>技能冷却等级</v>
      </c>
      <c r="AO189" s="25" t="str">
        <f t="array" ref="AO189">INDEX(AL189:AN189,0,AK189)</f>
        <v>治疗率</v>
      </c>
      <c r="AP189" s="25">
        <f t="shared" si="151"/>
        <v>0.15</v>
      </c>
      <c r="AQ189" s="25">
        <f t="shared" si="166"/>
        <v>0.075</v>
      </c>
      <c r="AR189" s="25" t="str">
        <f t="shared" ref="AR189:BZ189" si="271">IF(AR$78=$AO189,$AQ189,"0")</f>
        <v>0</v>
      </c>
      <c r="AS189" s="25" t="str">
        <f t="shared" si="271"/>
        <v>0</v>
      </c>
      <c r="AT189" s="25" t="str">
        <f t="shared" si="271"/>
        <v>0</v>
      </c>
      <c r="AU189" s="25" t="str">
        <f t="shared" si="271"/>
        <v>0</v>
      </c>
      <c r="AV189" s="25" t="str">
        <f t="shared" si="271"/>
        <v>0</v>
      </c>
      <c r="AW189" s="25" t="str">
        <f t="shared" si="271"/>
        <v>0</v>
      </c>
      <c r="AX189" s="25" t="str">
        <f t="shared" si="271"/>
        <v>0</v>
      </c>
      <c r="AY189" s="25" t="str">
        <f t="shared" si="271"/>
        <v>0</v>
      </c>
      <c r="AZ189" s="25" t="str">
        <f t="shared" si="271"/>
        <v>0</v>
      </c>
      <c r="BA189" s="25" t="str">
        <f t="shared" si="271"/>
        <v>0</v>
      </c>
      <c r="BB189" s="25" t="str">
        <f t="shared" si="271"/>
        <v>0</v>
      </c>
      <c r="BC189" s="25" t="str">
        <f t="shared" si="271"/>
        <v>0</v>
      </c>
      <c r="BD189" s="25" t="str">
        <f t="shared" si="271"/>
        <v>0</v>
      </c>
      <c r="BE189" s="25" t="str">
        <f t="shared" si="271"/>
        <v>0</v>
      </c>
      <c r="BF189" s="25" t="str">
        <f t="shared" si="271"/>
        <v>0</v>
      </c>
      <c r="BG189" s="25" t="str">
        <f t="shared" si="271"/>
        <v>0</v>
      </c>
      <c r="BH189" s="25" t="str">
        <f t="shared" si="271"/>
        <v>0</v>
      </c>
      <c r="BI189" s="25" t="str">
        <f t="shared" si="271"/>
        <v>0</v>
      </c>
      <c r="BJ189" s="25">
        <f t="shared" si="271"/>
        <v>0.075</v>
      </c>
      <c r="BK189" s="25" t="str">
        <f t="shared" si="271"/>
        <v>0</v>
      </c>
      <c r="BL189" s="25" t="str">
        <f t="shared" si="271"/>
        <v>0</v>
      </c>
      <c r="BM189" s="25" t="str">
        <f t="shared" si="271"/>
        <v>0</v>
      </c>
      <c r="BN189" s="25" t="str">
        <f t="shared" si="271"/>
        <v>0</v>
      </c>
      <c r="BO189" s="25" t="str">
        <f t="shared" si="271"/>
        <v>0</v>
      </c>
      <c r="BP189" s="25" t="str">
        <f t="shared" si="271"/>
        <v>0</v>
      </c>
      <c r="BQ189" s="25" t="str">
        <f t="shared" si="271"/>
        <v>0</v>
      </c>
      <c r="BR189" s="25" t="str">
        <f t="shared" si="271"/>
        <v>0</v>
      </c>
      <c r="BS189" s="25" t="str">
        <f t="shared" si="271"/>
        <v>0</v>
      </c>
      <c r="BT189" s="25" t="str">
        <f t="shared" si="271"/>
        <v>0</v>
      </c>
      <c r="BU189" s="25" t="str">
        <f t="shared" si="271"/>
        <v>0</v>
      </c>
      <c r="BV189" s="25" t="str">
        <f t="shared" si="271"/>
        <v>0</v>
      </c>
      <c r="BW189" s="25" t="str">
        <f t="shared" si="271"/>
        <v>0</v>
      </c>
      <c r="BX189" s="25" t="str">
        <f t="shared" si="271"/>
        <v>0</v>
      </c>
      <c r="BY189" s="25" t="str">
        <f t="shared" si="271"/>
        <v>0</v>
      </c>
      <c r="BZ189" s="25" t="str">
        <f t="shared" si="271"/>
        <v>0</v>
      </c>
      <c r="CC189" s="25" t="str">
        <f t="array" ref="CC189">INDEX($C$46:$C$74,MATCH(CD189,$B$46:$B$74,0))</f>
        <v>埃莉诺</v>
      </c>
      <c r="CD189" s="1">
        <v>1018</v>
      </c>
      <c r="CE189" s="1">
        <v>5</v>
      </c>
      <c r="CF189" s="25" t="str">
        <f t="array" ref="CF189">INDEX($T$5:$T$44,MATCH(CC189,$B$5:$B$44,0))</f>
        <v>魔法</v>
      </c>
      <c r="CG189" s="25">
        <f t="shared" si="189"/>
        <v>0.3</v>
      </c>
      <c r="CH189" s="25">
        <f t="shared" si="168"/>
        <v>1.3</v>
      </c>
      <c r="CI189" s="25">
        <f t="shared" si="169"/>
        <v>1</v>
      </c>
      <c r="CJ189" s="25">
        <f t="shared" si="170"/>
        <v>1.3</v>
      </c>
      <c r="CK189" s="25">
        <f t="shared" si="171"/>
        <v>1.3</v>
      </c>
      <c r="CL189" s="25" t="str">
        <f t="array" ref="CL189">INDEX($S$5:$S$43,MATCH(CC189,$B$5:$B$43,0))</f>
        <v>暴击等级</v>
      </c>
      <c r="CM189" s="25">
        <f t="shared" si="190"/>
        <v>0.3</v>
      </c>
      <c r="CN189" s="25">
        <f t="shared" si="172"/>
        <v>2700</v>
      </c>
      <c r="CO189" s="25">
        <f t="shared" si="173"/>
        <v>1</v>
      </c>
      <c r="CP189" s="29" t="str">
        <f t="shared" ref="CP189:DQ189" si="272">IF($CL189=CP$78,$CN189,"0")</f>
        <v>0</v>
      </c>
      <c r="CQ189" s="29" t="str">
        <f t="shared" si="272"/>
        <v>0</v>
      </c>
      <c r="CR189" s="29" t="str">
        <f t="shared" si="272"/>
        <v>0</v>
      </c>
      <c r="CS189" s="29" t="str">
        <f t="shared" si="272"/>
        <v>0</v>
      </c>
      <c r="CT189" s="29" t="str">
        <f t="shared" si="272"/>
        <v>0</v>
      </c>
      <c r="CU189" s="29" t="str">
        <f t="shared" si="272"/>
        <v>0</v>
      </c>
      <c r="CV189" s="29" t="str">
        <f t="shared" si="272"/>
        <v>0</v>
      </c>
      <c r="CW189" s="29" t="str">
        <f t="shared" si="272"/>
        <v>0</v>
      </c>
      <c r="CX189" s="29" t="str">
        <f t="shared" si="272"/>
        <v>0</v>
      </c>
      <c r="CY189" s="29" t="str">
        <f t="shared" si="272"/>
        <v>0</v>
      </c>
      <c r="CZ189" s="29" t="str">
        <f t="shared" si="272"/>
        <v>0</v>
      </c>
      <c r="DA189" s="29" t="str">
        <f t="shared" si="272"/>
        <v>0</v>
      </c>
      <c r="DB189" s="29" t="str">
        <f t="shared" si="272"/>
        <v>0</v>
      </c>
      <c r="DC189" s="29" t="str">
        <f t="shared" si="272"/>
        <v>0</v>
      </c>
      <c r="DD189" s="29" t="str">
        <f t="shared" si="272"/>
        <v>0</v>
      </c>
      <c r="DE189" s="29" t="str">
        <f t="shared" si="272"/>
        <v>0</v>
      </c>
      <c r="DF189" s="29" t="str">
        <f t="shared" si="272"/>
        <v>0</v>
      </c>
      <c r="DG189" s="29" t="str">
        <f t="shared" si="272"/>
        <v>0</v>
      </c>
      <c r="DH189" s="29" t="str">
        <f t="shared" si="272"/>
        <v>0</v>
      </c>
      <c r="DI189" s="29" t="str">
        <f t="shared" si="272"/>
        <v>0</v>
      </c>
      <c r="DJ189" s="29" t="str">
        <f t="shared" si="272"/>
        <v>0</v>
      </c>
      <c r="DK189" s="29" t="str">
        <f t="shared" si="272"/>
        <v>0</v>
      </c>
      <c r="DL189" s="29" t="str">
        <f t="shared" si="272"/>
        <v>0</v>
      </c>
      <c r="DM189" s="29" t="str">
        <f t="shared" si="272"/>
        <v>0</v>
      </c>
      <c r="DN189" s="29">
        <f t="shared" si="272"/>
        <v>2700</v>
      </c>
      <c r="DO189" s="29" t="str">
        <f t="shared" si="272"/>
        <v>0</v>
      </c>
      <c r="DP189" s="29" t="str">
        <f t="shared" si="272"/>
        <v>0</v>
      </c>
      <c r="DQ189" s="29" t="str">
        <f t="shared" si="272"/>
        <v>0</v>
      </c>
      <c r="DR189" s="29"/>
      <c r="DS189" s="25" t="s">
        <v>1011</v>
      </c>
      <c r="DT189" s="25" t="str">
        <f>TEXT(角色升星!$F$18,"0%")</f>
        <v>15%</v>
      </c>
      <c r="DU189" s="25" t="s">
        <v>779</v>
      </c>
      <c r="DV189" s="25" t="str">
        <f>IF(CF189="物理","PhysicsAttack,+","MagicAttack,+")</f>
        <v>MagicAttack,+</v>
      </c>
      <c r="DW189" s="25" t="str">
        <f>TEXT(角色升星!$F$18,"0%")</f>
        <v>15%</v>
      </c>
      <c r="DX189" s="25" t="s">
        <v>779</v>
      </c>
      <c r="DY189" s="25" t="s">
        <v>1012</v>
      </c>
      <c r="DZ189" s="25" t="str">
        <f>TEXT(角色升星!$F$18,"0%")</f>
        <v>15%</v>
      </c>
      <c r="EA189" s="25" t="s">
        <v>779</v>
      </c>
      <c r="EB189" s="25" t="str">
        <f>VLOOKUP(CL189,$O$46:$P$73,2,0)</f>
        <v>CritLevel</v>
      </c>
      <c r="EC189" s="25" t="s">
        <v>1013</v>
      </c>
      <c r="ED189" s="25">
        <f>IF(CN189&gt;1,CN189,TEXT(CN189,"0%"))</f>
        <v>2700</v>
      </c>
      <c r="EE189" s="25" t="str">
        <f t="shared" si="175"/>
        <v>Hp,+15%;MagicAttack,+15%;Armor,+15%;CritLevel,+2700</v>
      </c>
    </row>
    <row r="190" spans="1:135">
      <c r="A190" s="53">
        <v>1002052</v>
      </c>
      <c r="B190" s="49" t="s">
        <v>318</v>
      </c>
      <c r="C190" s="25">
        <f t="shared" si="146"/>
        <v>52</v>
      </c>
      <c r="D190" s="25">
        <f t="array" ref="D190">INDEX(C$5:C$67,MATCH($B190,$B$5:$B$67,0))</f>
        <v>5600</v>
      </c>
      <c r="E190" s="25">
        <f t="array" ref="E190">INDEX(D$5:D$67,MATCH($B190,$B$5:$B$67,0))</f>
        <v>448</v>
      </c>
      <c r="F190" s="25">
        <f t="array" ref="F190">INDEX(E$5:E$67,MATCH($B190,$B$5:$B$67,0))</f>
        <v>720</v>
      </c>
      <c r="G190" s="25">
        <f t="array" ref="G190">INDEX(F$5:F$67,MATCH($B190,$B$5:$B$67,0))</f>
        <v>57.6</v>
      </c>
      <c r="H190" s="25">
        <f t="array" ref="H190">INDEX(G$5:G$66,MATCH($B190,$B$5:$B$67,0))</f>
        <v>576</v>
      </c>
      <c r="I190" s="25">
        <f t="array" ref="I190">INDEX(H$5:H$67,MATCH($B190,$B$5:$B$67,0))</f>
        <v>46.08</v>
      </c>
      <c r="J190" s="25">
        <f t="array" ref="J190">INDEX(I$5:I$67,MATCH($B190,$B$5:$B$67,0))</f>
        <v>800</v>
      </c>
      <c r="K190" s="25">
        <f t="array" ref="K190">INDEX(J$5:J$67,MATCH($B190,$B$5:$B$67,0))</f>
        <v>64</v>
      </c>
      <c r="L190" s="25">
        <f t="shared" si="156"/>
        <v>28896</v>
      </c>
      <c r="M190" s="25">
        <f t="shared" si="157"/>
        <v>3715</v>
      </c>
      <c r="N190" s="25">
        <f t="shared" si="158"/>
        <v>2972</v>
      </c>
      <c r="O190" s="25">
        <f t="shared" si="159"/>
        <v>4128</v>
      </c>
      <c r="R190" s="50">
        <f t="array" ref="R190">INDEX($B$46:$B$68,MATCH(S190,$C$46:$C$68,0))*1000+T190</f>
        <v>1005004</v>
      </c>
      <c r="S190" s="51" t="s">
        <v>327</v>
      </c>
      <c r="T190" s="29">
        <f t="shared" si="232"/>
        <v>4</v>
      </c>
      <c r="U190" s="25">
        <f t="array" ref="U190">INDEX(K$5:K$67,MATCH($S190,$B$5:$B$67,0))</f>
        <v>402.57</v>
      </c>
      <c r="V190" s="25">
        <f t="array" ref="V190">INDEX(L$5:L$67,MATCH($S190,$B$5:$B$67,0))</f>
        <v>140.8</v>
      </c>
      <c r="W190" s="25">
        <f t="array" ref="W190">INDEX(M$5:M$67,MATCH($S190,$B$5:$B$67,0))</f>
        <v>101.38</v>
      </c>
      <c r="X190" s="25">
        <f t="array" ref="X190">INDEX(N$5:N$67,MATCH($S190,$B$5:$B$67,0))</f>
        <v>85</v>
      </c>
      <c r="Y190" s="25">
        <f t="shared" si="160"/>
        <v>1610</v>
      </c>
      <c r="Z190" s="25">
        <f t="shared" si="161"/>
        <v>563</v>
      </c>
      <c r="AA190" s="25">
        <f t="shared" si="162"/>
        <v>406</v>
      </c>
      <c r="AB190" s="25">
        <f t="shared" si="163"/>
        <v>340</v>
      </c>
      <c r="AF190" s="25">
        <v>112</v>
      </c>
      <c r="AG190" s="25">
        <f t="array" ref="AG190">INDEX($AE$79:$AE$116,QUOTIENT(AF190-1,8)+1)</f>
        <v>1015</v>
      </c>
      <c r="AH190" s="25">
        <f t="shared" si="192"/>
        <v>8</v>
      </c>
      <c r="AI190" s="25">
        <f t="shared" si="164"/>
        <v>10158</v>
      </c>
      <c r="AJ190" s="25" t="str">
        <f t="shared" si="165"/>
        <v>阿莱克西娅</v>
      </c>
      <c r="AK190" s="25">
        <f t="shared" si="193"/>
        <v>3</v>
      </c>
      <c r="AL190" s="25" t="str">
        <f t="array" ref="AL190">INDEX($O$5:$O$42,MATCH(AJ190,$B$5:$B$42,0))</f>
        <v>生命值百分比</v>
      </c>
      <c r="AM190" s="25" t="str">
        <f t="array" ref="AM190">INDEX($P$5:$P$42,MATCH(AJ190,$B$5:$B$42,0))</f>
        <v>治疗率</v>
      </c>
      <c r="AN190" s="25" t="str">
        <f t="array" ref="AN190">INDEX($Q$5:$Q$42,MATCH(AJ190,$B$5:$B$42,0))</f>
        <v>技能冷却等级</v>
      </c>
      <c r="AO190" s="25" t="str">
        <f t="array" ref="AO190">INDEX(AL190:AN190,0,AK190)</f>
        <v>技能冷却等级</v>
      </c>
      <c r="AP190" s="25">
        <f t="shared" si="151"/>
        <v>0.216666666666667</v>
      </c>
      <c r="AQ190" s="25">
        <f t="shared" si="166"/>
        <v>2816.66666666667</v>
      </c>
      <c r="AR190" s="25" t="str">
        <f t="shared" ref="AR190:BZ190" si="273">IF(AR$78=$AO190,$AQ190,"0")</f>
        <v>0</v>
      </c>
      <c r="AS190" s="25" t="str">
        <f t="shared" si="273"/>
        <v>0</v>
      </c>
      <c r="AT190" s="25" t="str">
        <f t="shared" si="273"/>
        <v>0</v>
      </c>
      <c r="AU190" s="25" t="str">
        <f t="shared" si="273"/>
        <v>0</v>
      </c>
      <c r="AV190" s="25" t="str">
        <f t="shared" si="273"/>
        <v>0</v>
      </c>
      <c r="AW190" s="25" t="str">
        <f t="shared" si="273"/>
        <v>0</v>
      </c>
      <c r="AX190" s="25" t="str">
        <f t="shared" si="273"/>
        <v>0</v>
      </c>
      <c r="AY190" s="25" t="str">
        <f t="shared" si="273"/>
        <v>0</v>
      </c>
      <c r="AZ190" s="25" t="str">
        <f t="shared" si="273"/>
        <v>0</v>
      </c>
      <c r="BA190" s="25" t="str">
        <f t="shared" si="273"/>
        <v>0</v>
      </c>
      <c r="BB190" s="25" t="str">
        <f t="shared" si="273"/>
        <v>0</v>
      </c>
      <c r="BC190" s="25" t="str">
        <f t="shared" si="273"/>
        <v>0</v>
      </c>
      <c r="BD190" s="25" t="str">
        <f t="shared" si="273"/>
        <v>0</v>
      </c>
      <c r="BE190" s="25" t="str">
        <f t="shared" si="273"/>
        <v>0</v>
      </c>
      <c r="BF190" s="25" t="str">
        <f t="shared" si="273"/>
        <v>0</v>
      </c>
      <c r="BG190" s="25" t="str">
        <f t="shared" si="273"/>
        <v>0</v>
      </c>
      <c r="BH190" s="25" t="str">
        <f t="shared" si="273"/>
        <v>0</v>
      </c>
      <c r="BI190" s="25" t="str">
        <f t="shared" si="273"/>
        <v>0</v>
      </c>
      <c r="BJ190" s="25" t="str">
        <f t="shared" si="273"/>
        <v>0</v>
      </c>
      <c r="BK190" s="25" t="str">
        <f t="shared" si="273"/>
        <v>0</v>
      </c>
      <c r="BL190" s="25" t="str">
        <f t="shared" si="273"/>
        <v>0</v>
      </c>
      <c r="BM190" s="25" t="str">
        <f t="shared" si="273"/>
        <v>0</v>
      </c>
      <c r="BN190" s="25" t="str">
        <f t="shared" si="273"/>
        <v>0</v>
      </c>
      <c r="BO190" s="25" t="str">
        <f t="shared" si="273"/>
        <v>0</v>
      </c>
      <c r="BP190" s="25" t="str">
        <f t="shared" si="273"/>
        <v>0</v>
      </c>
      <c r="BQ190" s="25" t="str">
        <f t="shared" si="273"/>
        <v>0</v>
      </c>
      <c r="BR190" s="25" t="str">
        <f t="shared" si="273"/>
        <v>0</v>
      </c>
      <c r="BS190" s="25" t="str">
        <f t="shared" si="273"/>
        <v>0</v>
      </c>
      <c r="BT190" s="25" t="str">
        <f t="shared" si="273"/>
        <v>0</v>
      </c>
      <c r="BU190" s="25" t="str">
        <f t="shared" si="273"/>
        <v>0</v>
      </c>
      <c r="BV190" s="25" t="str">
        <f t="shared" si="273"/>
        <v>0</v>
      </c>
      <c r="BW190" s="25" t="str">
        <f t="shared" si="273"/>
        <v>0</v>
      </c>
      <c r="BX190" s="25" t="str">
        <f t="shared" si="273"/>
        <v>0</v>
      </c>
      <c r="BY190" s="25" t="str">
        <f t="shared" si="273"/>
        <v>0</v>
      </c>
      <c r="BZ190" s="25">
        <f t="shared" si="273"/>
        <v>2816.66666666667</v>
      </c>
      <c r="CC190" s="25" t="str">
        <f t="array" ref="CC190">INDEX($C$46:$C$74,MATCH(CD190,$B$46:$B$74,0))</f>
        <v>埃莉诺</v>
      </c>
      <c r="CD190" s="1">
        <v>1018</v>
      </c>
      <c r="CE190" s="1">
        <v>6</v>
      </c>
      <c r="CF190" s="25" t="str">
        <f t="array" ref="CF190">INDEX($T$5:$T$44,MATCH(CC190,$B$5:$B$44,0))</f>
        <v>魔法</v>
      </c>
      <c r="CG190" s="25">
        <f t="shared" si="189"/>
        <v>0.3</v>
      </c>
      <c r="CH190" s="25">
        <f t="shared" si="168"/>
        <v>1.3</v>
      </c>
      <c r="CI190" s="25">
        <f t="shared" si="169"/>
        <v>1</v>
      </c>
      <c r="CJ190" s="25">
        <f t="shared" si="170"/>
        <v>1.3</v>
      </c>
      <c r="CK190" s="25">
        <f t="shared" si="171"/>
        <v>1.3</v>
      </c>
      <c r="CL190" s="25">
        <v>0</v>
      </c>
      <c r="CM190" s="25">
        <f t="shared" si="190"/>
        <v>0</v>
      </c>
      <c r="CN190" s="25">
        <f t="shared" si="172"/>
        <v>0</v>
      </c>
      <c r="CO190" s="25">
        <f t="shared" si="173"/>
        <v>0</v>
      </c>
      <c r="CP190" s="29" t="str">
        <f t="shared" ref="CP190:DQ190" si="274">IF($CL190=CP$78,$CN190,"0")</f>
        <v>0</v>
      </c>
      <c r="CQ190" s="29" t="str">
        <f t="shared" si="274"/>
        <v>0</v>
      </c>
      <c r="CR190" s="29" t="str">
        <f t="shared" si="274"/>
        <v>0</v>
      </c>
      <c r="CS190" s="29" t="str">
        <f t="shared" si="274"/>
        <v>0</v>
      </c>
      <c r="CT190" s="29" t="str">
        <f t="shared" si="274"/>
        <v>0</v>
      </c>
      <c r="CU190" s="29" t="str">
        <f t="shared" si="274"/>
        <v>0</v>
      </c>
      <c r="CV190" s="29" t="str">
        <f t="shared" si="274"/>
        <v>0</v>
      </c>
      <c r="CW190" s="29" t="str">
        <f t="shared" si="274"/>
        <v>0</v>
      </c>
      <c r="CX190" s="29" t="str">
        <f t="shared" si="274"/>
        <v>0</v>
      </c>
      <c r="CY190" s="29" t="str">
        <f t="shared" si="274"/>
        <v>0</v>
      </c>
      <c r="CZ190" s="29" t="str">
        <f t="shared" si="274"/>
        <v>0</v>
      </c>
      <c r="DA190" s="29" t="str">
        <f t="shared" si="274"/>
        <v>0</v>
      </c>
      <c r="DB190" s="29" t="str">
        <f t="shared" si="274"/>
        <v>0</v>
      </c>
      <c r="DC190" s="29" t="str">
        <f t="shared" si="274"/>
        <v>0</v>
      </c>
      <c r="DD190" s="29" t="str">
        <f t="shared" si="274"/>
        <v>0</v>
      </c>
      <c r="DE190" s="29" t="str">
        <f t="shared" si="274"/>
        <v>0</v>
      </c>
      <c r="DF190" s="29" t="str">
        <f t="shared" si="274"/>
        <v>0</v>
      </c>
      <c r="DG190" s="29" t="str">
        <f t="shared" si="274"/>
        <v>0</v>
      </c>
      <c r="DH190" s="29" t="str">
        <f t="shared" si="274"/>
        <v>0</v>
      </c>
      <c r="DI190" s="29" t="str">
        <f t="shared" si="274"/>
        <v>0</v>
      </c>
      <c r="DJ190" s="29" t="str">
        <f t="shared" si="274"/>
        <v>0</v>
      </c>
      <c r="DK190" s="29" t="str">
        <f t="shared" si="274"/>
        <v>0</v>
      </c>
      <c r="DL190" s="29" t="str">
        <f t="shared" si="274"/>
        <v>0</v>
      </c>
      <c r="DM190" s="29" t="str">
        <f t="shared" si="274"/>
        <v>0</v>
      </c>
      <c r="DN190" s="29" t="str">
        <f t="shared" si="274"/>
        <v>0</v>
      </c>
      <c r="DO190" s="29" t="str">
        <f t="shared" si="274"/>
        <v>0</v>
      </c>
      <c r="DP190" s="29" t="str">
        <f t="shared" si="274"/>
        <v>0</v>
      </c>
      <c r="DQ190" s="29" t="str">
        <f t="shared" si="274"/>
        <v>0</v>
      </c>
      <c r="DR190" s="29"/>
      <c r="DS190" s="25">
        <v>0</v>
      </c>
      <c r="EE190" s="25" t="str">
        <f t="shared" si="175"/>
        <v>0</v>
      </c>
    </row>
    <row r="191" spans="1:135">
      <c r="A191" s="53">
        <v>1002053</v>
      </c>
      <c r="B191" s="49" t="s">
        <v>318</v>
      </c>
      <c r="C191" s="25">
        <f t="shared" si="146"/>
        <v>53</v>
      </c>
      <c r="D191" s="25">
        <f t="array" ref="D191">INDEX(C$5:C$67,MATCH($B191,$B$5:$B$67,0))</f>
        <v>5600</v>
      </c>
      <c r="E191" s="25">
        <f t="array" ref="E191">INDEX(D$5:D$67,MATCH($B191,$B$5:$B$67,0))</f>
        <v>448</v>
      </c>
      <c r="F191" s="25">
        <f t="array" ref="F191">INDEX(E$5:E$67,MATCH($B191,$B$5:$B$67,0))</f>
        <v>720</v>
      </c>
      <c r="G191" s="25">
        <f t="array" ref="G191">INDEX(F$5:F$67,MATCH($B191,$B$5:$B$67,0))</f>
        <v>57.6</v>
      </c>
      <c r="H191" s="25">
        <f t="array" ref="H191">INDEX(G$5:G$66,MATCH($B191,$B$5:$B$67,0))</f>
        <v>576</v>
      </c>
      <c r="I191" s="25">
        <f t="array" ref="I191">INDEX(H$5:H$67,MATCH($B191,$B$5:$B$67,0))</f>
        <v>46.08</v>
      </c>
      <c r="J191" s="25">
        <f t="array" ref="J191">INDEX(I$5:I$67,MATCH($B191,$B$5:$B$67,0))</f>
        <v>800</v>
      </c>
      <c r="K191" s="25">
        <f t="array" ref="K191">INDEX(J$5:J$67,MATCH($B191,$B$5:$B$67,0))</f>
        <v>64</v>
      </c>
      <c r="L191" s="25">
        <f t="shared" si="156"/>
        <v>29344</v>
      </c>
      <c r="M191" s="25">
        <f t="shared" si="157"/>
        <v>3773</v>
      </c>
      <c r="N191" s="25">
        <f t="shared" si="158"/>
        <v>3018</v>
      </c>
      <c r="O191" s="25">
        <f t="shared" si="159"/>
        <v>4192</v>
      </c>
      <c r="R191" s="50">
        <f t="array" ref="R191">INDEX($B$46:$B$68,MATCH(S191,$C$46:$C$68,0))*1000+T191</f>
        <v>1005005</v>
      </c>
      <c r="S191" s="51" t="s">
        <v>327</v>
      </c>
      <c r="T191" s="29">
        <f t="shared" si="232"/>
        <v>5</v>
      </c>
      <c r="U191" s="25">
        <f t="array" ref="U191">INDEX(K$5:K$67,MATCH($S191,$B$5:$B$67,0))</f>
        <v>402.57</v>
      </c>
      <c r="V191" s="25">
        <f t="array" ref="V191">INDEX(L$5:L$67,MATCH($S191,$B$5:$B$67,0))</f>
        <v>140.8</v>
      </c>
      <c r="W191" s="25">
        <f t="array" ref="W191">INDEX(M$5:M$67,MATCH($S191,$B$5:$B$67,0))</f>
        <v>101.38</v>
      </c>
      <c r="X191" s="25">
        <f t="array" ref="X191">INDEX(N$5:N$67,MATCH($S191,$B$5:$B$67,0))</f>
        <v>85</v>
      </c>
      <c r="Y191" s="25">
        <f t="shared" si="160"/>
        <v>2013</v>
      </c>
      <c r="Z191" s="25">
        <f t="shared" si="161"/>
        <v>704</v>
      </c>
      <c r="AA191" s="25">
        <f t="shared" si="162"/>
        <v>507</v>
      </c>
      <c r="AB191" s="25">
        <f t="shared" si="163"/>
        <v>425</v>
      </c>
      <c r="AF191" s="25">
        <v>113</v>
      </c>
      <c r="AG191" s="25">
        <f t="array" ref="AG191">INDEX($AE$79:$AE$116,QUOTIENT(AF191-1,8)+1)</f>
        <v>1017</v>
      </c>
      <c r="AH191" s="25">
        <f t="shared" si="192"/>
        <v>1</v>
      </c>
      <c r="AI191" s="25">
        <f t="shared" si="164"/>
        <v>10171</v>
      </c>
      <c r="AJ191" s="25" t="str">
        <f t="shared" si="165"/>
        <v>伊戈尔</v>
      </c>
      <c r="AK191" s="25">
        <f t="shared" si="193"/>
        <v>1</v>
      </c>
      <c r="AL191" s="25" t="str">
        <f t="array" ref="AL191">INDEX($O$5:$O$42,MATCH(AJ191,$B$5:$B$42,0))</f>
        <v>攻击百分比</v>
      </c>
      <c r="AM191" s="25" t="str">
        <f t="array" ref="AM191">INDEX($P$5:$P$42,MATCH(AJ191,$B$5:$B$42,0))</f>
        <v>技能伤害加成</v>
      </c>
      <c r="AN191" s="25" t="str">
        <f t="array" ref="AN191">INDEX($Q$5:$Q$42,MATCH(AJ191,$B$5:$B$42,0))</f>
        <v>技能冷却等级</v>
      </c>
      <c r="AO191" s="25" t="str">
        <f t="array" ref="AO191">INDEX(AL191:AN191,0,AK191)</f>
        <v>攻击百分比</v>
      </c>
      <c r="AP191" s="25">
        <f t="shared" si="151"/>
        <v>0.216666666666667</v>
      </c>
      <c r="AQ191" s="25">
        <f t="shared" si="166"/>
        <v>0.216666666666667</v>
      </c>
      <c r="AR191" s="25" t="str">
        <f t="shared" ref="AR191:BZ191" si="275">IF(AR$78=$AO191,$AQ191,"0")</f>
        <v>0</v>
      </c>
      <c r="AS191" s="25" t="str">
        <f t="shared" si="275"/>
        <v>0</v>
      </c>
      <c r="AT191" s="25" t="str">
        <f t="shared" si="275"/>
        <v>0</v>
      </c>
      <c r="AU191" s="25">
        <f t="shared" si="275"/>
        <v>0.216666666666667</v>
      </c>
      <c r="AV191" s="25" t="str">
        <f t="shared" si="275"/>
        <v>0</v>
      </c>
      <c r="AW191" s="25">
        <f t="shared" si="275"/>
        <v>0.216666666666667</v>
      </c>
      <c r="AX191" s="25" t="str">
        <f t="shared" si="275"/>
        <v>0</v>
      </c>
      <c r="AY191" s="25" t="str">
        <f t="shared" si="275"/>
        <v>0</v>
      </c>
      <c r="AZ191" s="25" t="str">
        <f t="shared" si="275"/>
        <v>0</v>
      </c>
      <c r="BA191" s="25" t="str">
        <f t="shared" si="275"/>
        <v>0</v>
      </c>
      <c r="BB191" s="25" t="str">
        <f t="shared" si="275"/>
        <v>0</v>
      </c>
      <c r="BC191" s="25" t="str">
        <f t="shared" si="275"/>
        <v>0</v>
      </c>
      <c r="BD191" s="25" t="str">
        <f t="shared" si="275"/>
        <v>0</v>
      </c>
      <c r="BE191" s="25" t="str">
        <f t="shared" si="275"/>
        <v>0</v>
      </c>
      <c r="BF191" s="25" t="str">
        <f t="shared" si="275"/>
        <v>0</v>
      </c>
      <c r="BG191" s="25" t="str">
        <f t="shared" si="275"/>
        <v>0</v>
      </c>
      <c r="BH191" s="25" t="str">
        <f t="shared" si="275"/>
        <v>0</v>
      </c>
      <c r="BI191" s="25" t="str">
        <f t="shared" si="275"/>
        <v>0</v>
      </c>
      <c r="BJ191" s="25" t="str">
        <f t="shared" si="275"/>
        <v>0</v>
      </c>
      <c r="BK191" s="25" t="str">
        <f t="shared" si="275"/>
        <v>0</v>
      </c>
      <c r="BL191" s="25" t="str">
        <f t="shared" si="275"/>
        <v>0</v>
      </c>
      <c r="BM191" s="25" t="str">
        <f t="shared" si="275"/>
        <v>0</v>
      </c>
      <c r="BN191" s="25" t="str">
        <f t="shared" si="275"/>
        <v>0</v>
      </c>
      <c r="BO191" s="25" t="str">
        <f t="shared" si="275"/>
        <v>0</v>
      </c>
      <c r="BP191" s="25" t="str">
        <f t="shared" si="275"/>
        <v>0</v>
      </c>
      <c r="BQ191" s="25" t="str">
        <f t="shared" si="275"/>
        <v>0</v>
      </c>
      <c r="BR191" s="25" t="str">
        <f t="shared" si="275"/>
        <v>0</v>
      </c>
      <c r="BS191" s="25" t="str">
        <f t="shared" si="275"/>
        <v>0</v>
      </c>
      <c r="BT191" s="25" t="str">
        <f t="shared" si="275"/>
        <v>0</v>
      </c>
      <c r="BU191" s="25" t="str">
        <f t="shared" si="275"/>
        <v>0</v>
      </c>
      <c r="BV191" s="25" t="str">
        <f t="shared" si="275"/>
        <v>0</v>
      </c>
      <c r="BW191" s="25" t="str">
        <f t="shared" si="275"/>
        <v>0</v>
      </c>
      <c r="BX191" s="25" t="str">
        <f t="shared" si="275"/>
        <v>0</v>
      </c>
      <c r="BY191" s="25" t="str">
        <f t="shared" si="275"/>
        <v>0</v>
      </c>
      <c r="BZ191" s="25" t="str">
        <f t="shared" si="275"/>
        <v>0</v>
      </c>
      <c r="CC191" s="25" t="str">
        <f t="array" ref="CC191">INDEX($C$46:$C$74,MATCH(CD191,$B$46:$B$74,0))</f>
        <v>卡斯帕</v>
      </c>
      <c r="CD191" s="1">
        <v>1020</v>
      </c>
      <c r="CE191" s="1">
        <v>0</v>
      </c>
      <c r="CF191" s="25" t="str">
        <f t="array" ref="CF191">INDEX($T$5:$T$44,MATCH(CC191,$B$5:$B$44,0))</f>
        <v>物理</v>
      </c>
      <c r="CG191" s="25">
        <f t="shared" si="189"/>
        <v>0</v>
      </c>
      <c r="CH191" s="25">
        <f t="shared" si="168"/>
        <v>1</v>
      </c>
      <c r="CI191" s="25">
        <f t="shared" si="169"/>
        <v>1</v>
      </c>
      <c r="CJ191" s="25">
        <f t="shared" si="170"/>
        <v>1</v>
      </c>
      <c r="CK191" s="25">
        <f t="shared" si="171"/>
        <v>1</v>
      </c>
      <c r="CL191" s="25">
        <v>0</v>
      </c>
      <c r="CM191" s="25">
        <f t="shared" si="190"/>
        <v>0</v>
      </c>
      <c r="CN191" s="25">
        <f t="shared" si="172"/>
        <v>0</v>
      </c>
      <c r="CO191" s="25">
        <f t="shared" si="173"/>
        <v>0</v>
      </c>
      <c r="CP191" s="29" t="str">
        <f t="shared" ref="CP191:DQ191" si="276">IF($CL191=CP$78,$CN191,"0")</f>
        <v>0</v>
      </c>
      <c r="CQ191" s="29" t="str">
        <f t="shared" si="276"/>
        <v>0</v>
      </c>
      <c r="CR191" s="29" t="str">
        <f t="shared" si="276"/>
        <v>0</v>
      </c>
      <c r="CS191" s="29" t="str">
        <f t="shared" si="276"/>
        <v>0</v>
      </c>
      <c r="CT191" s="29" t="str">
        <f t="shared" si="276"/>
        <v>0</v>
      </c>
      <c r="CU191" s="29" t="str">
        <f t="shared" si="276"/>
        <v>0</v>
      </c>
      <c r="CV191" s="29" t="str">
        <f t="shared" si="276"/>
        <v>0</v>
      </c>
      <c r="CW191" s="29" t="str">
        <f t="shared" si="276"/>
        <v>0</v>
      </c>
      <c r="CX191" s="29" t="str">
        <f t="shared" si="276"/>
        <v>0</v>
      </c>
      <c r="CY191" s="29" t="str">
        <f t="shared" si="276"/>
        <v>0</v>
      </c>
      <c r="CZ191" s="29" t="str">
        <f t="shared" si="276"/>
        <v>0</v>
      </c>
      <c r="DA191" s="29" t="str">
        <f t="shared" si="276"/>
        <v>0</v>
      </c>
      <c r="DB191" s="29" t="str">
        <f t="shared" si="276"/>
        <v>0</v>
      </c>
      <c r="DC191" s="29" t="str">
        <f t="shared" si="276"/>
        <v>0</v>
      </c>
      <c r="DD191" s="29" t="str">
        <f t="shared" si="276"/>
        <v>0</v>
      </c>
      <c r="DE191" s="29" t="str">
        <f t="shared" si="276"/>
        <v>0</v>
      </c>
      <c r="DF191" s="29" t="str">
        <f t="shared" si="276"/>
        <v>0</v>
      </c>
      <c r="DG191" s="29" t="str">
        <f t="shared" si="276"/>
        <v>0</v>
      </c>
      <c r="DH191" s="29" t="str">
        <f t="shared" si="276"/>
        <v>0</v>
      </c>
      <c r="DI191" s="29" t="str">
        <f t="shared" si="276"/>
        <v>0</v>
      </c>
      <c r="DJ191" s="29" t="str">
        <f t="shared" si="276"/>
        <v>0</v>
      </c>
      <c r="DK191" s="29" t="str">
        <f t="shared" si="276"/>
        <v>0</v>
      </c>
      <c r="DL191" s="29" t="str">
        <f t="shared" si="276"/>
        <v>0</v>
      </c>
      <c r="DM191" s="29" t="str">
        <f t="shared" si="276"/>
        <v>0</v>
      </c>
      <c r="DN191" s="29" t="str">
        <f t="shared" si="276"/>
        <v>0</v>
      </c>
      <c r="DO191" s="29" t="str">
        <f t="shared" si="276"/>
        <v>0</v>
      </c>
      <c r="DP191" s="29" t="str">
        <f t="shared" si="276"/>
        <v>0</v>
      </c>
      <c r="DQ191" s="29" t="str">
        <f t="shared" si="276"/>
        <v>0</v>
      </c>
      <c r="DR191" s="29"/>
      <c r="DS191" s="25">
        <v>0</v>
      </c>
      <c r="EE191" s="25" t="str">
        <f t="shared" si="175"/>
        <v>0</v>
      </c>
    </row>
    <row r="192" spans="1:135">
      <c r="A192" s="53">
        <v>1002054</v>
      </c>
      <c r="B192" s="49" t="s">
        <v>318</v>
      </c>
      <c r="C192" s="25">
        <f t="shared" si="146"/>
        <v>54</v>
      </c>
      <c r="D192" s="25">
        <f t="array" ref="D192">INDEX(C$5:C$67,MATCH($B192,$B$5:$B$67,0))</f>
        <v>5600</v>
      </c>
      <c r="E192" s="25">
        <f t="array" ref="E192">INDEX(D$5:D$67,MATCH($B192,$B$5:$B$67,0))</f>
        <v>448</v>
      </c>
      <c r="F192" s="25">
        <f t="array" ref="F192">INDEX(E$5:E$67,MATCH($B192,$B$5:$B$67,0))</f>
        <v>720</v>
      </c>
      <c r="G192" s="25">
        <f t="array" ref="G192">INDEX(F$5:F$67,MATCH($B192,$B$5:$B$67,0))</f>
        <v>57.6</v>
      </c>
      <c r="H192" s="25">
        <f t="array" ref="H192">INDEX(G$5:G$66,MATCH($B192,$B$5:$B$67,0))</f>
        <v>576</v>
      </c>
      <c r="I192" s="25">
        <f t="array" ref="I192">INDEX(H$5:H$67,MATCH($B192,$B$5:$B$67,0))</f>
        <v>46.08</v>
      </c>
      <c r="J192" s="25">
        <f t="array" ref="J192">INDEX(I$5:I$67,MATCH($B192,$B$5:$B$67,0))</f>
        <v>800</v>
      </c>
      <c r="K192" s="25">
        <f t="array" ref="K192">INDEX(J$5:J$67,MATCH($B192,$B$5:$B$67,0))</f>
        <v>64</v>
      </c>
      <c r="L192" s="25">
        <f t="shared" si="156"/>
        <v>29792</v>
      </c>
      <c r="M192" s="25">
        <f t="shared" si="157"/>
        <v>3830</v>
      </c>
      <c r="N192" s="25">
        <f t="shared" si="158"/>
        <v>3064</v>
      </c>
      <c r="O192" s="25">
        <f t="shared" si="159"/>
        <v>4256</v>
      </c>
      <c r="R192" s="50">
        <f t="array" ref="R192">INDEX($B$46:$B$68,MATCH(S192,$C$46:$C$68,0))*1000+T192</f>
        <v>1005006</v>
      </c>
      <c r="S192" s="51" t="s">
        <v>327</v>
      </c>
      <c r="T192" s="29">
        <f t="shared" si="232"/>
        <v>6</v>
      </c>
      <c r="U192" s="25">
        <f t="array" ref="U192">INDEX(K$5:K$67,MATCH($S192,$B$5:$B$67,0))</f>
        <v>402.57</v>
      </c>
      <c r="V192" s="25">
        <f t="array" ref="V192">INDEX(L$5:L$67,MATCH($S192,$B$5:$B$67,0))</f>
        <v>140.8</v>
      </c>
      <c r="W192" s="25">
        <f t="array" ref="W192">INDEX(M$5:M$67,MATCH($S192,$B$5:$B$67,0))</f>
        <v>101.38</v>
      </c>
      <c r="X192" s="25">
        <f t="array" ref="X192">INDEX(N$5:N$67,MATCH($S192,$B$5:$B$67,0))</f>
        <v>85</v>
      </c>
      <c r="Y192" s="25">
        <f t="shared" si="160"/>
        <v>2415</v>
      </c>
      <c r="Z192" s="25">
        <f t="shared" si="161"/>
        <v>845</v>
      </c>
      <c r="AA192" s="25">
        <f t="shared" si="162"/>
        <v>608</v>
      </c>
      <c r="AB192" s="25">
        <f t="shared" si="163"/>
        <v>510</v>
      </c>
      <c r="AF192" s="25">
        <v>114</v>
      </c>
      <c r="AG192" s="25">
        <f t="array" ref="AG192">INDEX($AE$79:$AE$116,QUOTIENT(AF192-1,8)+1)</f>
        <v>1017</v>
      </c>
      <c r="AH192" s="25">
        <f t="shared" si="192"/>
        <v>2</v>
      </c>
      <c r="AI192" s="25">
        <f t="shared" si="164"/>
        <v>10172</v>
      </c>
      <c r="AJ192" s="25" t="str">
        <f t="shared" si="165"/>
        <v>伊戈尔</v>
      </c>
      <c r="AK192" s="25">
        <f t="shared" si="193"/>
        <v>2</v>
      </c>
      <c r="AL192" s="25" t="str">
        <f t="array" ref="AL192">INDEX($O$5:$O$42,MATCH(AJ192,$B$5:$B$42,0))</f>
        <v>攻击百分比</v>
      </c>
      <c r="AM192" s="25" t="str">
        <f t="array" ref="AM192">INDEX($P$5:$P$42,MATCH(AJ192,$B$5:$B$42,0))</f>
        <v>技能伤害加成</v>
      </c>
      <c r="AN192" s="25" t="str">
        <f t="array" ref="AN192">INDEX($Q$5:$Q$42,MATCH(AJ192,$B$5:$B$42,0))</f>
        <v>技能冷却等级</v>
      </c>
      <c r="AO192" s="25" t="str">
        <f t="array" ref="AO192">INDEX(AL192:AN192,0,AK192)</f>
        <v>技能伤害加成</v>
      </c>
      <c r="AP192" s="25">
        <f t="shared" si="151"/>
        <v>0.15</v>
      </c>
      <c r="AQ192" s="25">
        <f t="shared" si="166"/>
        <v>0.18</v>
      </c>
      <c r="AR192" s="25" t="str">
        <f t="shared" ref="AR192:BZ192" si="277">IF(AR$78=$AO192,$AQ192,"0")</f>
        <v>0</v>
      </c>
      <c r="AS192" s="25" t="str">
        <f t="shared" si="277"/>
        <v>0</v>
      </c>
      <c r="AT192" s="25" t="str">
        <f t="shared" si="277"/>
        <v>0</v>
      </c>
      <c r="AU192" s="25" t="str">
        <f t="shared" si="277"/>
        <v>0</v>
      </c>
      <c r="AV192" s="25" t="str">
        <f t="shared" si="277"/>
        <v>0</v>
      </c>
      <c r="AW192" s="25" t="str">
        <f t="shared" si="277"/>
        <v>0</v>
      </c>
      <c r="AX192" s="25" t="str">
        <f t="shared" si="277"/>
        <v>0</v>
      </c>
      <c r="AY192" s="25" t="str">
        <f t="shared" si="277"/>
        <v>0</v>
      </c>
      <c r="AZ192" s="25" t="str">
        <f t="shared" si="277"/>
        <v>0</v>
      </c>
      <c r="BA192" s="25" t="str">
        <f t="shared" si="277"/>
        <v>0</v>
      </c>
      <c r="BB192" s="25" t="str">
        <f t="shared" si="277"/>
        <v>0</v>
      </c>
      <c r="BC192" s="25" t="str">
        <f t="shared" si="277"/>
        <v>0</v>
      </c>
      <c r="BD192" s="25" t="str">
        <f t="shared" si="277"/>
        <v>0</v>
      </c>
      <c r="BE192" s="25" t="str">
        <f t="shared" si="277"/>
        <v>0</v>
      </c>
      <c r="BF192" s="25" t="str">
        <f t="shared" si="277"/>
        <v>0</v>
      </c>
      <c r="BG192" s="25" t="str">
        <f t="shared" si="277"/>
        <v>0</v>
      </c>
      <c r="BH192" s="25" t="str">
        <f t="shared" si="277"/>
        <v>0</v>
      </c>
      <c r="BI192" s="25" t="str">
        <f t="shared" si="277"/>
        <v>0</v>
      </c>
      <c r="BJ192" s="25" t="str">
        <f t="shared" si="277"/>
        <v>0</v>
      </c>
      <c r="BK192" s="25" t="str">
        <f t="shared" si="277"/>
        <v>0</v>
      </c>
      <c r="BL192" s="25" t="str">
        <f t="shared" si="277"/>
        <v>0</v>
      </c>
      <c r="BM192" s="25" t="str">
        <f t="shared" si="277"/>
        <v>0</v>
      </c>
      <c r="BN192" s="25">
        <f t="shared" si="277"/>
        <v>0.18</v>
      </c>
      <c r="BO192" s="25" t="str">
        <f t="shared" si="277"/>
        <v>0</v>
      </c>
      <c r="BP192" s="25" t="str">
        <f t="shared" si="277"/>
        <v>0</v>
      </c>
      <c r="BQ192" s="25" t="str">
        <f t="shared" si="277"/>
        <v>0</v>
      </c>
      <c r="BR192" s="25" t="str">
        <f t="shared" si="277"/>
        <v>0</v>
      </c>
      <c r="BS192" s="25" t="str">
        <f t="shared" si="277"/>
        <v>0</v>
      </c>
      <c r="BT192" s="25" t="str">
        <f t="shared" si="277"/>
        <v>0</v>
      </c>
      <c r="BU192" s="25" t="str">
        <f t="shared" si="277"/>
        <v>0</v>
      </c>
      <c r="BV192" s="25" t="str">
        <f t="shared" si="277"/>
        <v>0</v>
      </c>
      <c r="BW192" s="25" t="str">
        <f t="shared" si="277"/>
        <v>0</v>
      </c>
      <c r="BX192" s="25" t="str">
        <f t="shared" si="277"/>
        <v>0</v>
      </c>
      <c r="BY192" s="25" t="str">
        <f t="shared" si="277"/>
        <v>0</v>
      </c>
      <c r="BZ192" s="25" t="str">
        <f t="shared" si="277"/>
        <v>0</v>
      </c>
      <c r="CC192" s="25" t="str">
        <f t="array" ref="CC192">INDEX($C$46:$C$74,MATCH(CD192,$B$46:$B$74,0))</f>
        <v>卡斯帕</v>
      </c>
      <c r="CD192" s="1">
        <v>1020</v>
      </c>
      <c r="CE192" s="1">
        <v>1</v>
      </c>
      <c r="CF192" s="25" t="str">
        <f t="array" ref="CF192">INDEX($T$5:$T$44,MATCH(CC192,$B$5:$B$44,0))</f>
        <v>物理</v>
      </c>
      <c r="CG192" s="25">
        <f t="shared" si="189"/>
        <v>0</v>
      </c>
      <c r="CH192" s="25">
        <f t="shared" si="168"/>
        <v>1</v>
      </c>
      <c r="CI192" s="25">
        <f t="shared" si="169"/>
        <v>1</v>
      </c>
      <c r="CJ192" s="25">
        <f t="shared" si="170"/>
        <v>1</v>
      </c>
      <c r="CK192" s="25">
        <f t="shared" si="171"/>
        <v>1</v>
      </c>
      <c r="CL192" s="25">
        <v>0</v>
      </c>
      <c r="CM192" s="25">
        <f t="shared" si="190"/>
        <v>0</v>
      </c>
      <c r="CN192" s="25">
        <f t="shared" si="172"/>
        <v>0</v>
      </c>
      <c r="CO192" s="25">
        <f t="shared" si="173"/>
        <v>0</v>
      </c>
      <c r="CP192" s="29" t="str">
        <f t="shared" ref="CP192:DQ192" si="278">IF($CL192=CP$78,$CN192,"0")</f>
        <v>0</v>
      </c>
      <c r="CQ192" s="29" t="str">
        <f t="shared" si="278"/>
        <v>0</v>
      </c>
      <c r="CR192" s="29" t="str">
        <f t="shared" si="278"/>
        <v>0</v>
      </c>
      <c r="CS192" s="29" t="str">
        <f t="shared" si="278"/>
        <v>0</v>
      </c>
      <c r="CT192" s="29" t="str">
        <f t="shared" si="278"/>
        <v>0</v>
      </c>
      <c r="CU192" s="29" t="str">
        <f t="shared" si="278"/>
        <v>0</v>
      </c>
      <c r="CV192" s="29" t="str">
        <f t="shared" si="278"/>
        <v>0</v>
      </c>
      <c r="CW192" s="29" t="str">
        <f t="shared" si="278"/>
        <v>0</v>
      </c>
      <c r="CX192" s="29" t="str">
        <f t="shared" si="278"/>
        <v>0</v>
      </c>
      <c r="CY192" s="29" t="str">
        <f t="shared" si="278"/>
        <v>0</v>
      </c>
      <c r="CZ192" s="29" t="str">
        <f t="shared" si="278"/>
        <v>0</v>
      </c>
      <c r="DA192" s="29" t="str">
        <f t="shared" si="278"/>
        <v>0</v>
      </c>
      <c r="DB192" s="29" t="str">
        <f t="shared" si="278"/>
        <v>0</v>
      </c>
      <c r="DC192" s="29" t="str">
        <f t="shared" si="278"/>
        <v>0</v>
      </c>
      <c r="DD192" s="29" t="str">
        <f t="shared" si="278"/>
        <v>0</v>
      </c>
      <c r="DE192" s="29" t="str">
        <f t="shared" si="278"/>
        <v>0</v>
      </c>
      <c r="DF192" s="29" t="str">
        <f t="shared" si="278"/>
        <v>0</v>
      </c>
      <c r="DG192" s="29" t="str">
        <f t="shared" si="278"/>
        <v>0</v>
      </c>
      <c r="DH192" s="29" t="str">
        <f t="shared" si="278"/>
        <v>0</v>
      </c>
      <c r="DI192" s="29" t="str">
        <f t="shared" si="278"/>
        <v>0</v>
      </c>
      <c r="DJ192" s="29" t="str">
        <f t="shared" si="278"/>
        <v>0</v>
      </c>
      <c r="DK192" s="29" t="str">
        <f t="shared" si="278"/>
        <v>0</v>
      </c>
      <c r="DL192" s="29" t="str">
        <f t="shared" si="278"/>
        <v>0</v>
      </c>
      <c r="DM192" s="29" t="str">
        <f t="shared" si="278"/>
        <v>0</v>
      </c>
      <c r="DN192" s="29" t="str">
        <f t="shared" si="278"/>
        <v>0</v>
      </c>
      <c r="DO192" s="29" t="str">
        <f t="shared" si="278"/>
        <v>0</v>
      </c>
      <c r="DP192" s="29" t="str">
        <f t="shared" si="278"/>
        <v>0</v>
      </c>
      <c r="DQ192" s="29" t="str">
        <f t="shared" si="278"/>
        <v>0</v>
      </c>
      <c r="DR192" s="29"/>
      <c r="DS192" s="25">
        <v>0</v>
      </c>
      <c r="EE192" s="25" t="str">
        <f t="shared" si="175"/>
        <v>0</v>
      </c>
    </row>
    <row r="193" spans="1:135">
      <c r="A193" s="53">
        <v>1002055</v>
      </c>
      <c r="B193" s="49" t="s">
        <v>318</v>
      </c>
      <c r="C193" s="25">
        <f t="shared" si="146"/>
        <v>55</v>
      </c>
      <c r="D193" s="25">
        <f t="array" ref="D193">INDEX(C$5:C$67,MATCH($B193,$B$5:$B$67,0))</f>
        <v>5600</v>
      </c>
      <c r="E193" s="25">
        <f t="array" ref="E193">INDEX(D$5:D$67,MATCH($B193,$B$5:$B$67,0))</f>
        <v>448</v>
      </c>
      <c r="F193" s="25">
        <f t="array" ref="F193">INDEX(E$5:E$67,MATCH($B193,$B$5:$B$67,0))</f>
        <v>720</v>
      </c>
      <c r="G193" s="25">
        <f t="array" ref="G193">INDEX(F$5:F$67,MATCH($B193,$B$5:$B$67,0))</f>
        <v>57.6</v>
      </c>
      <c r="H193" s="25">
        <f t="array" ref="H193">INDEX(G$5:G$66,MATCH($B193,$B$5:$B$67,0))</f>
        <v>576</v>
      </c>
      <c r="I193" s="25">
        <f t="array" ref="I193">INDEX(H$5:H$67,MATCH($B193,$B$5:$B$67,0))</f>
        <v>46.08</v>
      </c>
      <c r="J193" s="25">
        <f t="array" ref="J193">INDEX(I$5:I$67,MATCH($B193,$B$5:$B$67,0))</f>
        <v>800</v>
      </c>
      <c r="K193" s="25">
        <f t="array" ref="K193">INDEX(J$5:J$67,MATCH($B193,$B$5:$B$67,0))</f>
        <v>64</v>
      </c>
      <c r="L193" s="25">
        <f t="shared" si="156"/>
        <v>30240</v>
      </c>
      <c r="M193" s="25">
        <f t="shared" si="157"/>
        <v>3888</v>
      </c>
      <c r="N193" s="25">
        <f t="shared" si="158"/>
        <v>3110</v>
      </c>
      <c r="O193" s="25">
        <f t="shared" si="159"/>
        <v>4320</v>
      </c>
      <c r="R193" s="50">
        <f t="array" ref="R193">INDEX($B$46:$B$68,MATCH(S193,$C$46:$C$68,0))*1000+T193</f>
        <v>1005007</v>
      </c>
      <c r="S193" s="51" t="s">
        <v>327</v>
      </c>
      <c r="T193" s="29">
        <f t="shared" si="232"/>
        <v>7</v>
      </c>
      <c r="U193" s="25">
        <f t="array" ref="U193">INDEX(K$5:K$67,MATCH($S193,$B$5:$B$67,0))</f>
        <v>402.57</v>
      </c>
      <c r="V193" s="25">
        <f t="array" ref="V193">INDEX(L$5:L$67,MATCH($S193,$B$5:$B$67,0))</f>
        <v>140.8</v>
      </c>
      <c r="W193" s="25">
        <f t="array" ref="W193">INDEX(M$5:M$67,MATCH($S193,$B$5:$B$67,0))</f>
        <v>101.38</v>
      </c>
      <c r="X193" s="25">
        <f t="array" ref="X193">INDEX(N$5:N$67,MATCH($S193,$B$5:$B$67,0))</f>
        <v>85</v>
      </c>
      <c r="Y193" s="25">
        <f t="shared" si="160"/>
        <v>2818</v>
      </c>
      <c r="Z193" s="25">
        <f t="shared" si="161"/>
        <v>986</v>
      </c>
      <c r="AA193" s="25">
        <f t="shared" si="162"/>
        <v>710</v>
      </c>
      <c r="AB193" s="25">
        <f t="shared" si="163"/>
        <v>595</v>
      </c>
      <c r="AF193" s="25">
        <v>115</v>
      </c>
      <c r="AG193" s="25">
        <f t="array" ref="AG193">INDEX($AE$79:$AE$116,QUOTIENT(AF193-1,8)+1)</f>
        <v>1017</v>
      </c>
      <c r="AH193" s="25">
        <f t="shared" si="192"/>
        <v>3</v>
      </c>
      <c r="AI193" s="25">
        <f t="shared" si="164"/>
        <v>10173</v>
      </c>
      <c r="AJ193" s="25" t="str">
        <f t="shared" si="165"/>
        <v>伊戈尔</v>
      </c>
      <c r="AK193" s="25">
        <f t="shared" si="193"/>
        <v>3</v>
      </c>
      <c r="AL193" s="25" t="str">
        <f t="array" ref="AL193">INDEX($O$5:$O$42,MATCH(AJ193,$B$5:$B$42,0))</f>
        <v>攻击百分比</v>
      </c>
      <c r="AM193" s="25" t="str">
        <f t="array" ref="AM193">INDEX($P$5:$P$42,MATCH(AJ193,$B$5:$B$42,0))</f>
        <v>技能伤害加成</v>
      </c>
      <c r="AN193" s="25" t="str">
        <f t="array" ref="AN193">INDEX($Q$5:$Q$42,MATCH(AJ193,$B$5:$B$42,0))</f>
        <v>技能冷却等级</v>
      </c>
      <c r="AO193" s="25" t="str">
        <f t="array" ref="AO193">INDEX(AL193:AN193,0,AK193)</f>
        <v>技能冷却等级</v>
      </c>
      <c r="AP193" s="25">
        <f t="shared" si="151"/>
        <v>0.216666666666667</v>
      </c>
      <c r="AQ193" s="25">
        <f t="shared" si="166"/>
        <v>2816.66666666667</v>
      </c>
      <c r="AR193" s="25" t="str">
        <f t="shared" ref="AR193:BZ193" si="279">IF(AR$78=$AO193,$AQ193,"0")</f>
        <v>0</v>
      </c>
      <c r="AS193" s="25" t="str">
        <f t="shared" si="279"/>
        <v>0</v>
      </c>
      <c r="AT193" s="25" t="str">
        <f t="shared" si="279"/>
        <v>0</v>
      </c>
      <c r="AU193" s="25" t="str">
        <f t="shared" si="279"/>
        <v>0</v>
      </c>
      <c r="AV193" s="25" t="str">
        <f t="shared" si="279"/>
        <v>0</v>
      </c>
      <c r="AW193" s="25" t="str">
        <f t="shared" si="279"/>
        <v>0</v>
      </c>
      <c r="AX193" s="25" t="str">
        <f t="shared" si="279"/>
        <v>0</v>
      </c>
      <c r="AY193" s="25" t="str">
        <f t="shared" si="279"/>
        <v>0</v>
      </c>
      <c r="AZ193" s="25" t="str">
        <f t="shared" si="279"/>
        <v>0</v>
      </c>
      <c r="BA193" s="25" t="str">
        <f t="shared" si="279"/>
        <v>0</v>
      </c>
      <c r="BB193" s="25" t="str">
        <f t="shared" si="279"/>
        <v>0</v>
      </c>
      <c r="BC193" s="25" t="str">
        <f t="shared" si="279"/>
        <v>0</v>
      </c>
      <c r="BD193" s="25" t="str">
        <f t="shared" si="279"/>
        <v>0</v>
      </c>
      <c r="BE193" s="25" t="str">
        <f t="shared" si="279"/>
        <v>0</v>
      </c>
      <c r="BF193" s="25" t="str">
        <f t="shared" si="279"/>
        <v>0</v>
      </c>
      <c r="BG193" s="25" t="str">
        <f t="shared" si="279"/>
        <v>0</v>
      </c>
      <c r="BH193" s="25" t="str">
        <f t="shared" si="279"/>
        <v>0</v>
      </c>
      <c r="BI193" s="25" t="str">
        <f t="shared" si="279"/>
        <v>0</v>
      </c>
      <c r="BJ193" s="25" t="str">
        <f t="shared" si="279"/>
        <v>0</v>
      </c>
      <c r="BK193" s="25" t="str">
        <f t="shared" si="279"/>
        <v>0</v>
      </c>
      <c r="BL193" s="25" t="str">
        <f t="shared" si="279"/>
        <v>0</v>
      </c>
      <c r="BM193" s="25" t="str">
        <f t="shared" si="279"/>
        <v>0</v>
      </c>
      <c r="BN193" s="25" t="str">
        <f t="shared" si="279"/>
        <v>0</v>
      </c>
      <c r="BO193" s="25" t="str">
        <f t="shared" si="279"/>
        <v>0</v>
      </c>
      <c r="BP193" s="25" t="str">
        <f t="shared" si="279"/>
        <v>0</v>
      </c>
      <c r="BQ193" s="25" t="str">
        <f t="shared" si="279"/>
        <v>0</v>
      </c>
      <c r="BR193" s="25" t="str">
        <f t="shared" si="279"/>
        <v>0</v>
      </c>
      <c r="BS193" s="25" t="str">
        <f t="shared" si="279"/>
        <v>0</v>
      </c>
      <c r="BT193" s="25" t="str">
        <f t="shared" si="279"/>
        <v>0</v>
      </c>
      <c r="BU193" s="25" t="str">
        <f t="shared" si="279"/>
        <v>0</v>
      </c>
      <c r="BV193" s="25" t="str">
        <f t="shared" si="279"/>
        <v>0</v>
      </c>
      <c r="BW193" s="25" t="str">
        <f t="shared" si="279"/>
        <v>0</v>
      </c>
      <c r="BX193" s="25" t="str">
        <f t="shared" si="279"/>
        <v>0</v>
      </c>
      <c r="BY193" s="25" t="str">
        <f t="shared" si="279"/>
        <v>0</v>
      </c>
      <c r="BZ193" s="25">
        <f t="shared" si="279"/>
        <v>2816.66666666667</v>
      </c>
      <c r="CC193" s="25" t="str">
        <f t="array" ref="CC193">INDEX($C$46:$C$74,MATCH(CD193,$B$46:$B$74,0))</f>
        <v>卡斯帕</v>
      </c>
      <c r="CD193" s="1">
        <v>1020</v>
      </c>
      <c r="CE193" s="1">
        <v>2</v>
      </c>
      <c r="CF193" s="25" t="str">
        <f t="array" ref="CF193">INDEX($T$5:$T$44,MATCH(CC193,$B$5:$B$44,0))</f>
        <v>物理</v>
      </c>
      <c r="CG193" s="25">
        <f t="shared" si="189"/>
        <v>0</v>
      </c>
      <c r="CH193" s="25">
        <f t="shared" si="168"/>
        <v>1</v>
      </c>
      <c r="CI193" s="25">
        <f t="shared" si="169"/>
        <v>1</v>
      </c>
      <c r="CJ193" s="25">
        <f t="shared" si="170"/>
        <v>1</v>
      </c>
      <c r="CK193" s="25">
        <f t="shared" si="171"/>
        <v>1</v>
      </c>
      <c r="CL193" s="25">
        <v>0</v>
      </c>
      <c r="CM193" s="25">
        <f t="shared" si="190"/>
        <v>0</v>
      </c>
      <c r="CN193" s="25">
        <f t="shared" si="172"/>
        <v>0</v>
      </c>
      <c r="CO193" s="25">
        <f t="shared" si="173"/>
        <v>0</v>
      </c>
      <c r="CP193" s="29" t="str">
        <f t="shared" ref="CP193:DQ193" si="280">IF($CL193=CP$78,$CN193,"0")</f>
        <v>0</v>
      </c>
      <c r="CQ193" s="29" t="str">
        <f t="shared" si="280"/>
        <v>0</v>
      </c>
      <c r="CR193" s="29" t="str">
        <f t="shared" si="280"/>
        <v>0</v>
      </c>
      <c r="CS193" s="29" t="str">
        <f t="shared" si="280"/>
        <v>0</v>
      </c>
      <c r="CT193" s="29" t="str">
        <f t="shared" si="280"/>
        <v>0</v>
      </c>
      <c r="CU193" s="29" t="str">
        <f t="shared" si="280"/>
        <v>0</v>
      </c>
      <c r="CV193" s="29" t="str">
        <f t="shared" si="280"/>
        <v>0</v>
      </c>
      <c r="CW193" s="29" t="str">
        <f t="shared" si="280"/>
        <v>0</v>
      </c>
      <c r="CX193" s="29" t="str">
        <f t="shared" si="280"/>
        <v>0</v>
      </c>
      <c r="CY193" s="29" t="str">
        <f t="shared" si="280"/>
        <v>0</v>
      </c>
      <c r="CZ193" s="29" t="str">
        <f t="shared" si="280"/>
        <v>0</v>
      </c>
      <c r="DA193" s="29" t="str">
        <f t="shared" si="280"/>
        <v>0</v>
      </c>
      <c r="DB193" s="29" t="str">
        <f t="shared" si="280"/>
        <v>0</v>
      </c>
      <c r="DC193" s="29" t="str">
        <f t="shared" si="280"/>
        <v>0</v>
      </c>
      <c r="DD193" s="29" t="str">
        <f t="shared" si="280"/>
        <v>0</v>
      </c>
      <c r="DE193" s="29" t="str">
        <f t="shared" si="280"/>
        <v>0</v>
      </c>
      <c r="DF193" s="29" t="str">
        <f t="shared" si="280"/>
        <v>0</v>
      </c>
      <c r="DG193" s="29" t="str">
        <f t="shared" si="280"/>
        <v>0</v>
      </c>
      <c r="DH193" s="29" t="str">
        <f t="shared" si="280"/>
        <v>0</v>
      </c>
      <c r="DI193" s="29" t="str">
        <f t="shared" si="280"/>
        <v>0</v>
      </c>
      <c r="DJ193" s="29" t="str">
        <f t="shared" si="280"/>
        <v>0</v>
      </c>
      <c r="DK193" s="29" t="str">
        <f t="shared" si="280"/>
        <v>0</v>
      </c>
      <c r="DL193" s="29" t="str">
        <f t="shared" si="280"/>
        <v>0</v>
      </c>
      <c r="DM193" s="29" t="str">
        <f t="shared" si="280"/>
        <v>0</v>
      </c>
      <c r="DN193" s="29" t="str">
        <f t="shared" si="280"/>
        <v>0</v>
      </c>
      <c r="DO193" s="29" t="str">
        <f t="shared" si="280"/>
        <v>0</v>
      </c>
      <c r="DP193" s="29" t="str">
        <f t="shared" si="280"/>
        <v>0</v>
      </c>
      <c r="DQ193" s="29" t="str">
        <f t="shared" si="280"/>
        <v>0</v>
      </c>
      <c r="DR193" s="29"/>
      <c r="DS193" s="25">
        <v>0</v>
      </c>
      <c r="EE193" s="25" t="str">
        <f t="shared" si="175"/>
        <v>0</v>
      </c>
    </row>
    <row r="194" spans="1:135">
      <c r="A194" s="53">
        <v>1002056</v>
      </c>
      <c r="B194" s="49" t="s">
        <v>318</v>
      </c>
      <c r="C194" s="25">
        <f t="shared" si="146"/>
        <v>56</v>
      </c>
      <c r="D194" s="25">
        <f t="array" ref="D194">INDEX(C$5:C$67,MATCH($B194,$B$5:$B$67,0))</f>
        <v>5600</v>
      </c>
      <c r="E194" s="25">
        <f t="array" ref="E194">INDEX(D$5:D$67,MATCH($B194,$B$5:$B$67,0))</f>
        <v>448</v>
      </c>
      <c r="F194" s="25">
        <f t="array" ref="F194">INDEX(E$5:E$67,MATCH($B194,$B$5:$B$67,0))</f>
        <v>720</v>
      </c>
      <c r="G194" s="25">
        <f t="array" ref="G194">INDEX(F$5:F$67,MATCH($B194,$B$5:$B$67,0))</f>
        <v>57.6</v>
      </c>
      <c r="H194" s="25">
        <f t="array" ref="H194">INDEX(G$5:G$66,MATCH($B194,$B$5:$B$67,0))</f>
        <v>576</v>
      </c>
      <c r="I194" s="25">
        <f t="array" ref="I194">INDEX(H$5:H$67,MATCH($B194,$B$5:$B$67,0))</f>
        <v>46.08</v>
      </c>
      <c r="J194" s="25">
        <f t="array" ref="J194">INDEX(I$5:I$67,MATCH($B194,$B$5:$B$67,0))</f>
        <v>800</v>
      </c>
      <c r="K194" s="25">
        <f t="array" ref="K194">INDEX(J$5:J$67,MATCH($B194,$B$5:$B$67,0))</f>
        <v>64</v>
      </c>
      <c r="L194" s="25">
        <f t="shared" si="156"/>
        <v>30688</v>
      </c>
      <c r="M194" s="25">
        <f t="shared" si="157"/>
        <v>3946</v>
      </c>
      <c r="N194" s="25">
        <f t="shared" si="158"/>
        <v>3156</v>
      </c>
      <c r="O194" s="25">
        <f t="shared" si="159"/>
        <v>4384</v>
      </c>
      <c r="R194" s="50">
        <f t="array" ref="R194">INDEX($B$46:$B$68,MATCH(S194,$C$46:$C$68,0))*1000+T194</f>
        <v>1005008</v>
      </c>
      <c r="S194" s="51" t="s">
        <v>327</v>
      </c>
      <c r="T194" s="29">
        <f t="shared" si="232"/>
        <v>8</v>
      </c>
      <c r="U194" s="25">
        <f t="array" ref="U194">INDEX(K$5:K$67,MATCH($S194,$B$5:$B$67,0))</f>
        <v>402.57</v>
      </c>
      <c r="V194" s="25">
        <f t="array" ref="V194">INDEX(L$5:L$67,MATCH($S194,$B$5:$B$67,0))</f>
        <v>140.8</v>
      </c>
      <c r="W194" s="25">
        <f t="array" ref="W194">INDEX(M$5:M$67,MATCH($S194,$B$5:$B$67,0))</f>
        <v>101.38</v>
      </c>
      <c r="X194" s="25">
        <f t="array" ref="X194">INDEX(N$5:N$67,MATCH($S194,$B$5:$B$67,0))</f>
        <v>85</v>
      </c>
      <c r="Y194" s="25">
        <f t="shared" si="160"/>
        <v>3221</v>
      </c>
      <c r="Z194" s="25">
        <f t="shared" si="161"/>
        <v>1126</v>
      </c>
      <c r="AA194" s="25">
        <f t="shared" si="162"/>
        <v>811</v>
      </c>
      <c r="AB194" s="25">
        <f t="shared" si="163"/>
        <v>680</v>
      </c>
      <c r="AF194" s="25">
        <v>116</v>
      </c>
      <c r="AG194" s="25">
        <f t="array" ref="AG194">INDEX($AE$79:$AE$116,QUOTIENT(AF194-1,8)+1)</f>
        <v>1017</v>
      </c>
      <c r="AH194" s="25">
        <f t="shared" si="192"/>
        <v>4</v>
      </c>
      <c r="AI194" s="25">
        <f t="shared" si="164"/>
        <v>10174</v>
      </c>
      <c r="AJ194" s="25" t="str">
        <f t="shared" si="165"/>
        <v>伊戈尔</v>
      </c>
      <c r="AK194" s="25">
        <f t="shared" si="193"/>
        <v>2</v>
      </c>
      <c r="AL194" s="25" t="str">
        <f t="array" ref="AL194">INDEX($O$5:$O$42,MATCH(AJ194,$B$5:$B$42,0))</f>
        <v>攻击百分比</v>
      </c>
      <c r="AM194" s="25" t="str">
        <f t="array" ref="AM194">INDEX($P$5:$P$42,MATCH(AJ194,$B$5:$B$42,0))</f>
        <v>技能伤害加成</v>
      </c>
      <c r="AN194" s="25" t="str">
        <f t="array" ref="AN194">INDEX($Q$5:$Q$42,MATCH(AJ194,$B$5:$B$42,0))</f>
        <v>技能冷却等级</v>
      </c>
      <c r="AO194" s="25" t="str">
        <f t="array" ref="AO194">INDEX(AL194:AN194,0,AK194)</f>
        <v>技能伤害加成</v>
      </c>
      <c r="AP194" s="25">
        <f t="shared" si="151"/>
        <v>0.15</v>
      </c>
      <c r="AQ194" s="25">
        <f t="shared" si="166"/>
        <v>0.18</v>
      </c>
      <c r="AR194" s="25" t="str">
        <f t="shared" ref="AR194:BZ194" si="281">IF(AR$78=$AO194,$AQ194,"0")</f>
        <v>0</v>
      </c>
      <c r="AS194" s="25" t="str">
        <f t="shared" si="281"/>
        <v>0</v>
      </c>
      <c r="AT194" s="25" t="str">
        <f t="shared" si="281"/>
        <v>0</v>
      </c>
      <c r="AU194" s="25" t="str">
        <f t="shared" si="281"/>
        <v>0</v>
      </c>
      <c r="AV194" s="25" t="str">
        <f t="shared" si="281"/>
        <v>0</v>
      </c>
      <c r="AW194" s="25" t="str">
        <f t="shared" si="281"/>
        <v>0</v>
      </c>
      <c r="AX194" s="25" t="str">
        <f t="shared" si="281"/>
        <v>0</v>
      </c>
      <c r="AY194" s="25" t="str">
        <f t="shared" si="281"/>
        <v>0</v>
      </c>
      <c r="AZ194" s="25" t="str">
        <f t="shared" si="281"/>
        <v>0</v>
      </c>
      <c r="BA194" s="25" t="str">
        <f t="shared" si="281"/>
        <v>0</v>
      </c>
      <c r="BB194" s="25" t="str">
        <f t="shared" si="281"/>
        <v>0</v>
      </c>
      <c r="BC194" s="25" t="str">
        <f t="shared" si="281"/>
        <v>0</v>
      </c>
      <c r="BD194" s="25" t="str">
        <f t="shared" si="281"/>
        <v>0</v>
      </c>
      <c r="BE194" s="25" t="str">
        <f t="shared" si="281"/>
        <v>0</v>
      </c>
      <c r="BF194" s="25" t="str">
        <f t="shared" si="281"/>
        <v>0</v>
      </c>
      <c r="BG194" s="25" t="str">
        <f t="shared" si="281"/>
        <v>0</v>
      </c>
      <c r="BH194" s="25" t="str">
        <f t="shared" si="281"/>
        <v>0</v>
      </c>
      <c r="BI194" s="25" t="str">
        <f t="shared" si="281"/>
        <v>0</v>
      </c>
      <c r="BJ194" s="25" t="str">
        <f t="shared" si="281"/>
        <v>0</v>
      </c>
      <c r="BK194" s="25" t="str">
        <f t="shared" si="281"/>
        <v>0</v>
      </c>
      <c r="BL194" s="25" t="str">
        <f t="shared" si="281"/>
        <v>0</v>
      </c>
      <c r="BM194" s="25" t="str">
        <f t="shared" si="281"/>
        <v>0</v>
      </c>
      <c r="BN194" s="25">
        <f t="shared" si="281"/>
        <v>0.18</v>
      </c>
      <c r="BO194" s="25" t="str">
        <f t="shared" si="281"/>
        <v>0</v>
      </c>
      <c r="BP194" s="25" t="str">
        <f t="shared" si="281"/>
        <v>0</v>
      </c>
      <c r="BQ194" s="25" t="str">
        <f t="shared" si="281"/>
        <v>0</v>
      </c>
      <c r="BR194" s="25" t="str">
        <f t="shared" si="281"/>
        <v>0</v>
      </c>
      <c r="BS194" s="25" t="str">
        <f t="shared" si="281"/>
        <v>0</v>
      </c>
      <c r="BT194" s="25" t="str">
        <f t="shared" si="281"/>
        <v>0</v>
      </c>
      <c r="BU194" s="25" t="str">
        <f t="shared" si="281"/>
        <v>0</v>
      </c>
      <c r="BV194" s="25" t="str">
        <f t="shared" si="281"/>
        <v>0</v>
      </c>
      <c r="BW194" s="25" t="str">
        <f t="shared" si="281"/>
        <v>0</v>
      </c>
      <c r="BX194" s="25" t="str">
        <f t="shared" si="281"/>
        <v>0</v>
      </c>
      <c r="BY194" s="25" t="str">
        <f t="shared" si="281"/>
        <v>0</v>
      </c>
      <c r="BZ194" s="25" t="str">
        <f t="shared" si="281"/>
        <v>0</v>
      </c>
      <c r="CC194" s="25" t="str">
        <f t="array" ref="CC194">INDEX($C$46:$C$74,MATCH(CD194,$B$46:$B$74,0))</f>
        <v>卡斯帕</v>
      </c>
      <c r="CD194" s="1">
        <v>1020</v>
      </c>
      <c r="CE194" s="1">
        <v>3</v>
      </c>
      <c r="CF194" s="25" t="str">
        <f t="array" ref="CF194">INDEX($T$5:$T$44,MATCH(CC194,$B$5:$B$44,0))</f>
        <v>物理</v>
      </c>
      <c r="CG194" s="25">
        <f t="shared" si="189"/>
        <v>0.15</v>
      </c>
      <c r="CH194" s="25">
        <f t="shared" si="168"/>
        <v>1.15</v>
      </c>
      <c r="CI194" s="25">
        <f t="shared" si="169"/>
        <v>1.15</v>
      </c>
      <c r="CJ194" s="25">
        <f t="shared" si="170"/>
        <v>1</v>
      </c>
      <c r="CK194" s="25">
        <f t="shared" si="171"/>
        <v>1.15</v>
      </c>
      <c r="CL194" s="25" t="str">
        <f t="array" ref="CL194">INDEX($R$5:$R$43,MATCH(CC194,$B$5:$B$43,0))</f>
        <v>物理伤害加成</v>
      </c>
      <c r="CM194" s="25">
        <f t="shared" si="190"/>
        <v>0.3</v>
      </c>
      <c r="CN194" s="25">
        <f t="shared" si="172"/>
        <v>0.12</v>
      </c>
      <c r="CO194" s="25">
        <f t="shared" si="173"/>
        <v>1</v>
      </c>
      <c r="CP194" s="29" t="str">
        <f t="shared" ref="CP194:DQ194" si="282">IF($CL194=CP$78,$CN194,"0")</f>
        <v>0</v>
      </c>
      <c r="CQ194" s="29" t="str">
        <f t="shared" si="282"/>
        <v>0</v>
      </c>
      <c r="CR194" s="29" t="str">
        <f t="shared" si="282"/>
        <v>0</v>
      </c>
      <c r="CS194" s="29" t="str">
        <f t="shared" si="282"/>
        <v>0</v>
      </c>
      <c r="CT194" s="29" t="str">
        <f t="shared" si="282"/>
        <v>0</v>
      </c>
      <c r="CU194" s="29" t="str">
        <f t="shared" si="282"/>
        <v>0</v>
      </c>
      <c r="CV194" s="29" t="str">
        <f t="shared" si="282"/>
        <v>0</v>
      </c>
      <c r="CW194" s="29" t="str">
        <f t="shared" si="282"/>
        <v>0</v>
      </c>
      <c r="CX194" s="29" t="str">
        <f t="shared" si="282"/>
        <v>0</v>
      </c>
      <c r="CY194" s="29" t="str">
        <f t="shared" si="282"/>
        <v>0</v>
      </c>
      <c r="CZ194" s="29" t="str">
        <f t="shared" si="282"/>
        <v>0</v>
      </c>
      <c r="DA194" s="29" t="str">
        <f t="shared" si="282"/>
        <v>0</v>
      </c>
      <c r="DB194" s="29">
        <f t="shared" si="282"/>
        <v>0.12</v>
      </c>
      <c r="DC194" s="29" t="str">
        <f t="shared" si="282"/>
        <v>0</v>
      </c>
      <c r="DD194" s="29" t="str">
        <f t="shared" si="282"/>
        <v>0</v>
      </c>
      <c r="DE194" s="29" t="str">
        <f t="shared" si="282"/>
        <v>0</v>
      </c>
      <c r="DF194" s="29" t="str">
        <f t="shared" si="282"/>
        <v>0</v>
      </c>
      <c r="DG194" s="29" t="str">
        <f t="shared" si="282"/>
        <v>0</v>
      </c>
      <c r="DH194" s="29" t="str">
        <f t="shared" si="282"/>
        <v>0</v>
      </c>
      <c r="DI194" s="29" t="str">
        <f t="shared" si="282"/>
        <v>0</v>
      </c>
      <c r="DJ194" s="29" t="str">
        <f t="shared" si="282"/>
        <v>0</v>
      </c>
      <c r="DK194" s="29" t="str">
        <f t="shared" si="282"/>
        <v>0</v>
      </c>
      <c r="DL194" s="29" t="str">
        <f t="shared" si="282"/>
        <v>0</v>
      </c>
      <c r="DM194" s="29" t="str">
        <f t="shared" si="282"/>
        <v>0</v>
      </c>
      <c r="DN194" s="29" t="str">
        <f t="shared" si="282"/>
        <v>0</v>
      </c>
      <c r="DO194" s="29" t="str">
        <f t="shared" si="282"/>
        <v>0</v>
      </c>
      <c r="DP194" s="29" t="str">
        <f t="shared" si="282"/>
        <v>0</v>
      </c>
      <c r="DQ194" s="29" t="str">
        <f t="shared" si="282"/>
        <v>0</v>
      </c>
      <c r="DR194" s="29"/>
      <c r="DS194" s="25" t="s">
        <v>1011</v>
      </c>
      <c r="DT194" s="25" t="str">
        <f>TEXT(角色升星!$F$18,"0%")</f>
        <v>15%</v>
      </c>
      <c r="DU194" s="25" t="s">
        <v>779</v>
      </c>
      <c r="DV194" s="25" t="str">
        <f>IF(CF194="物理","PhysicsAttack,+","MagicAttack,+")</f>
        <v>PhysicsAttack,+</v>
      </c>
      <c r="DW194" s="25" t="str">
        <f>TEXT(角色升星!$F$18,"0%")</f>
        <v>15%</v>
      </c>
      <c r="DX194" s="25" t="s">
        <v>779</v>
      </c>
      <c r="DY194" s="25" t="s">
        <v>1012</v>
      </c>
      <c r="DZ194" s="25" t="str">
        <f>TEXT(角色升星!$F$18,"0%")</f>
        <v>15%</v>
      </c>
      <c r="EA194" s="25" t="s">
        <v>779</v>
      </c>
      <c r="EB194" s="25" t="str">
        <f>VLOOKUP(CL194,$O$46:$P$73,2,0)</f>
        <v>PhysicsDmgBonus</v>
      </c>
      <c r="EC194" s="25" t="s">
        <v>1013</v>
      </c>
      <c r="ED194" s="25" t="str">
        <f>IF(CN194&gt;1,CN194,TEXT(CN194,"0%"))</f>
        <v>12%</v>
      </c>
      <c r="EE194" s="25" t="str">
        <f t="shared" si="175"/>
        <v>Hp,+15%;PhysicsAttack,+15%;Armor,+15%;PhysicsDmgBonus,+12%</v>
      </c>
    </row>
    <row r="195" spans="1:135">
      <c r="A195" s="53">
        <v>1002057</v>
      </c>
      <c r="B195" s="49" t="s">
        <v>318</v>
      </c>
      <c r="C195" s="25">
        <f t="shared" si="146"/>
        <v>57</v>
      </c>
      <c r="D195" s="25">
        <f t="array" ref="D195">INDEX(C$5:C$67,MATCH($B195,$B$5:$B$67,0))</f>
        <v>5600</v>
      </c>
      <c r="E195" s="25">
        <f t="array" ref="E195">INDEX(D$5:D$67,MATCH($B195,$B$5:$B$67,0))</f>
        <v>448</v>
      </c>
      <c r="F195" s="25">
        <f t="array" ref="F195">INDEX(E$5:E$67,MATCH($B195,$B$5:$B$67,0))</f>
        <v>720</v>
      </c>
      <c r="G195" s="25">
        <f t="array" ref="G195">INDEX(F$5:F$67,MATCH($B195,$B$5:$B$67,0))</f>
        <v>57.6</v>
      </c>
      <c r="H195" s="25">
        <f t="array" ref="H195">INDEX(G$5:G$66,MATCH($B195,$B$5:$B$67,0))</f>
        <v>576</v>
      </c>
      <c r="I195" s="25">
        <f t="array" ref="I195">INDEX(H$5:H$67,MATCH($B195,$B$5:$B$67,0))</f>
        <v>46.08</v>
      </c>
      <c r="J195" s="25">
        <f t="array" ref="J195">INDEX(I$5:I$67,MATCH($B195,$B$5:$B$67,0))</f>
        <v>800</v>
      </c>
      <c r="K195" s="25">
        <f t="array" ref="K195">INDEX(J$5:J$67,MATCH($B195,$B$5:$B$67,0))</f>
        <v>64</v>
      </c>
      <c r="L195" s="25">
        <f t="shared" si="156"/>
        <v>31136</v>
      </c>
      <c r="M195" s="25">
        <f t="shared" si="157"/>
        <v>4003</v>
      </c>
      <c r="N195" s="25">
        <f t="shared" si="158"/>
        <v>3203</v>
      </c>
      <c r="O195" s="25">
        <f t="shared" si="159"/>
        <v>4448</v>
      </c>
      <c r="R195" s="50">
        <f t="array" ref="R195">INDEX($B$46:$B$68,MATCH(S195,$C$46:$C$68,0))*1000+T195</f>
        <v>1005009</v>
      </c>
      <c r="S195" s="51" t="s">
        <v>327</v>
      </c>
      <c r="T195" s="29">
        <f t="shared" si="232"/>
        <v>9</v>
      </c>
      <c r="U195" s="25">
        <f t="array" ref="U195">INDEX(K$5:K$67,MATCH($S195,$B$5:$B$67,0))</f>
        <v>402.57</v>
      </c>
      <c r="V195" s="25">
        <f t="array" ref="V195">INDEX(L$5:L$67,MATCH($S195,$B$5:$B$67,0))</f>
        <v>140.8</v>
      </c>
      <c r="W195" s="25">
        <f t="array" ref="W195">INDEX(M$5:M$67,MATCH($S195,$B$5:$B$67,0))</f>
        <v>101.38</v>
      </c>
      <c r="X195" s="25">
        <f t="array" ref="X195">INDEX(N$5:N$67,MATCH($S195,$B$5:$B$67,0))</f>
        <v>85</v>
      </c>
      <c r="Y195" s="25">
        <f t="shared" si="160"/>
        <v>3623</v>
      </c>
      <c r="Z195" s="25">
        <f t="shared" si="161"/>
        <v>1267</v>
      </c>
      <c r="AA195" s="25">
        <f t="shared" si="162"/>
        <v>912</v>
      </c>
      <c r="AB195" s="25">
        <f t="shared" si="163"/>
        <v>765</v>
      </c>
      <c r="AF195" s="25">
        <v>117</v>
      </c>
      <c r="AG195" s="25">
        <f t="array" ref="AG195">INDEX($AE$79:$AE$116,QUOTIENT(AF195-1,8)+1)</f>
        <v>1017</v>
      </c>
      <c r="AH195" s="25">
        <f t="shared" si="192"/>
        <v>5</v>
      </c>
      <c r="AI195" s="25">
        <f t="shared" si="164"/>
        <v>10175</v>
      </c>
      <c r="AJ195" s="25" t="str">
        <f t="shared" si="165"/>
        <v>伊戈尔</v>
      </c>
      <c r="AK195" s="25">
        <f t="shared" si="193"/>
        <v>3</v>
      </c>
      <c r="AL195" s="25" t="str">
        <f t="array" ref="AL195">INDEX($O$5:$O$42,MATCH(AJ195,$B$5:$B$42,0))</f>
        <v>攻击百分比</v>
      </c>
      <c r="AM195" s="25" t="str">
        <f t="array" ref="AM195">INDEX($P$5:$P$42,MATCH(AJ195,$B$5:$B$42,0))</f>
        <v>技能伤害加成</v>
      </c>
      <c r="AN195" s="25" t="str">
        <f t="array" ref="AN195">INDEX($Q$5:$Q$42,MATCH(AJ195,$B$5:$B$42,0))</f>
        <v>技能冷却等级</v>
      </c>
      <c r="AO195" s="25" t="str">
        <f t="array" ref="AO195">INDEX(AL195:AN195,0,AK195)</f>
        <v>技能冷却等级</v>
      </c>
      <c r="AP195" s="25">
        <f t="shared" si="151"/>
        <v>0.216666666666667</v>
      </c>
      <c r="AQ195" s="25">
        <f t="shared" si="166"/>
        <v>2816.66666666667</v>
      </c>
      <c r="AR195" s="25" t="str">
        <f t="shared" ref="AR195:BZ195" si="283">IF(AR$78=$AO195,$AQ195,"0")</f>
        <v>0</v>
      </c>
      <c r="AS195" s="25" t="str">
        <f t="shared" si="283"/>
        <v>0</v>
      </c>
      <c r="AT195" s="25" t="str">
        <f t="shared" si="283"/>
        <v>0</v>
      </c>
      <c r="AU195" s="25" t="str">
        <f t="shared" si="283"/>
        <v>0</v>
      </c>
      <c r="AV195" s="25" t="str">
        <f t="shared" si="283"/>
        <v>0</v>
      </c>
      <c r="AW195" s="25" t="str">
        <f t="shared" si="283"/>
        <v>0</v>
      </c>
      <c r="AX195" s="25" t="str">
        <f t="shared" si="283"/>
        <v>0</v>
      </c>
      <c r="AY195" s="25" t="str">
        <f t="shared" si="283"/>
        <v>0</v>
      </c>
      <c r="AZ195" s="25" t="str">
        <f t="shared" si="283"/>
        <v>0</v>
      </c>
      <c r="BA195" s="25" t="str">
        <f t="shared" si="283"/>
        <v>0</v>
      </c>
      <c r="BB195" s="25" t="str">
        <f t="shared" si="283"/>
        <v>0</v>
      </c>
      <c r="BC195" s="25" t="str">
        <f t="shared" si="283"/>
        <v>0</v>
      </c>
      <c r="BD195" s="25" t="str">
        <f t="shared" si="283"/>
        <v>0</v>
      </c>
      <c r="BE195" s="25" t="str">
        <f t="shared" si="283"/>
        <v>0</v>
      </c>
      <c r="BF195" s="25" t="str">
        <f t="shared" si="283"/>
        <v>0</v>
      </c>
      <c r="BG195" s="25" t="str">
        <f t="shared" si="283"/>
        <v>0</v>
      </c>
      <c r="BH195" s="25" t="str">
        <f t="shared" si="283"/>
        <v>0</v>
      </c>
      <c r="BI195" s="25" t="str">
        <f t="shared" si="283"/>
        <v>0</v>
      </c>
      <c r="BJ195" s="25" t="str">
        <f t="shared" si="283"/>
        <v>0</v>
      </c>
      <c r="BK195" s="25" t="str">
        <f t="shared" si="283"/>
        <v>0</v>
      </c>
      <c r="BL195" s="25" t="str">
        <f t="shared" si="283"/>
        <v>0</v>
      </c>
      <c r="BM195" s="25" t="str">
        <f t="shared" si="283"/>
        <v>0</v>
      </c>
      <c r="BN195" s="25" t="str">
        <f t="shared" si="283"/>
        <v>0</v>
      </c>
      <c r="BO195" s="25" t="str">
        <f t="shared" si="283"/>
        <v>0</v>
      </c>
      <c r="BP195" s="25" t="str">
        <f t="shared" si="283"/>
        <v>0</v>
      </c>
      <c r="BQ195" s="25" t="str">
        <f t="shared" si="283"/>
        <v>0</v>
      </c>
      <c r="BR195" s="25" t="str">
        <f t="shared" si="283"/>
        <v>0</v>
      </c>
      <c r="BS195" s="25" t="str">
        <f t="shared" si="283"/>
        <v>0</v>
      </c>
      <c r="BT195" s="25" t="str">
        <f t="shared" si="283"/>
        <v>0</v>
      </c>
      <c r="BU195" s="25" t="str">
        <f t="shared" si="283"/>
        <v>0</v>
      </c>
      <c r="BV195" s="25" t="str">
        <f t="shared" si="283"/>
        <v>0</v>
      </c>
      <c r="BW195" s="25" t="str">
        <f t="shared" si="283"/>
        <v>0</v>
      </c>
      <c r="BX195" s="25" t="str">
        <f t="shared" si="283"/>
        <v>0</v>
      </c>
      <c r="BY195" s="25" t="str">
        <f t="shared" si="283"/>
        <v>0</v>
      </c>
      <c r="BZ195" s="25">
        <f t="shared" si="283"/>
        <v>2816.66666666667</v>
      </c>
      <c r="CC195" s="25" t="str">
        <f t="array" ref="CC195">INDEX($C$46:$C$74,MATCH(CD195,$B$46:$B$74,0))</f>
        <v>卡斯帕</v>
      </c>
      <c r="CD195" s="1">
        <v>1020</v>
      </c>
      <c r="CE195" s="1">
        <v>4</v>
      </c>
      <c r="CF195" s="25" t="str">
        <f t="array" ref="CF195">INDEX($T$5:$T$44,MATCH(CC195,$B$5:$B$44,0))</f>
        <v>物理</v>
      </c>
      <c r="CG195" s="25">
        <f t="shared" si="189"/>
        <v>0.15</v>
      </c>
      <c r="CH195" s="25">
        <f t="shared" si="168"/>
        <v>1.15</v>
      </c>
      <c r="CI195" s="25">
        <f t="shared" si="169"/>
        <v>1.15</v>
      </c>
      <c r="CJ195" s="25">
        <f t="shared" si="170"/>
        <v>1</v>
      </c>
      <c r="CK195" s="25">
        <f t="shared" si="171"/>
        <v>1.15</v>
      </c>
      <c r="CL195" s="25">
        <v>0</v>
      </c>
      <c r="CM195" s="25">
        <f t="shared" si="190"/>
        <v>0</v>
      </c>
      <c r="CN195" s="25">
        <f t="shared" si="172"/>
        <v>0</v>
      </c>
      <c r="CO195" s="25">
        <f t="shared" si="173"/>
        <v>0</v>
      </c>
      <c r="CP195" s="29" t="str">
        <f t="shared" ref="CP195:DQ195" si="284">IF($CL195=CP$78,$CN195,"0")</f>
        <v>0</v>
      </c>
      <c r="CQ195" s="29" t="str">
        <f t="shared" si="284"/>
        <v>0</v>
      </c>
      <c r="CR195" s="29" t="str">
        <f t="shared" si="284"/>
        <v>0</v>
      </c>
      <c r="CS195" s="29" t="str">
        <f t="shared" si="284"/>
        <v>0</v>
      </c>
      <c r="CT195" s="29" t="str">
        <f t="shared" si="284"/>
        <v>0</v>
      </c>
      <c r="CU195" s="29" t="str">
        <f t="shared" si="284"/>
        <v>0</v>
      </c>
      <c r="CV195" s="29" t="str">
        <f t="shared" si="284"/>
        <v>0</v>
      </c>
      <c r="CW195" s="29" t="str">
        <f t="shared" si="284"/>
        <v>0</v>
      </c>
      <c r="CX195" s="29" t="str">
        <f t="shared" si="284"/>
        <v>0</v>
      </c>
      <c r="CY195" s="29" t="str">
        <f t="shared" si="284"/>
        <v>0</v>
      </c>
      <c r="CZ195" s="29" t="str">
        <f t="shared" si="284"/>
        <v>0</v>
      </c>
      <c r="DA195" s="29" t="str">
        <f t="shared" si="284"/>
        <v>0</v>
      </c>
      <c r="DB195" s="29" t="str">
        <f t="shared" si="284"/>
        <v>0</v>
      </c>
      <c r="DC195" s="29" t="str">
        <f t="shared" si="284"/>
        <v>0</v>
      </c>
      <c r="DD195" s="29" t="str">
        <f t="shared" si="284"/>
        <v>0</v>
      </c>
      <c r="DE195" s="29" t="str">
        <f t="shared" si="284"/>
        <v>0</v>
      </c>
      <c r="DF195" s="29" t="str">
        <f t="shared" si="284"/>
        <v>0</v>
      </c>
      <c r="DG195" s="29" t="str">
        <f t="shared" si="284"/>
        <v>0</v>
      </c>
      <c r="DH195" s="29" t="str">
        <f t="shared" si="284"/>
        <v>0</v>
      </c>
      <c r="DI195" s="29" t="str">
        <f t="shared" si="284"/>
        <v>0</v>
      </c>
      <c r="DJ195" s="29" t="str">
        <f t="shared" si="284"/>
        <v>0</v>
      </c>
      <c r="DK195" s="29" t="str">
        <f t="shared" si="284"/>
        <v>0</v>
      </c>
      <c r="DL195" s="29" t="str">
        <f t="shared" si="284"/>
        <v>0</v>
      </c>
      <c r="DM195" s="29" t="str">
        <f t="shared" si="284"/>
        <v>0</v>
      </c>
      <c r="DN195" s="29" t="str">
        <f t="shared" si="284"/>
        <v>0</v>
      </c>
      <c r="DO195" s="29" t="str">
        <f t="shared" si="284"/>
        <v>0</v>
      </c>
      <c r="DP195" s="29" t="str">
        <f t="shared" si="284"/>
        <v>0</v>
      </c>
      <c r="DQ195" s="29" t="str">
        <f t="shared" si="284"/>
        <v>0</v>
      </c>
      <c r="DR195" s="29"/>
      <c r="DS195" s="25">
        <v>0</v>
      </c>
      <c r="EE195" s="25" t="str">
        <f t="shared" si="175"/>
        <v>0</v>
      </c>
    </row>
    <row r="196" spans="1:135">
      <c r="A196" s="53">
        <v>1002058</v>
      </c>
      <c r="B196" s="49" t="s">
        <v>318</v>
      </c>
      <c r="C196" s="25">
        <f t="shared" si="146"/>
        <v>58</v>
      </c>
      <c r="D196" s="25">
        <f t="array" ref="D196">INDEX(C$5:C$67,MATCH($B196,$B$5:$B$67,0))</f>
        <v>5600</v>
      </c>
      <c r="E196" s="25">
        <f t="array" ref="E196">INDEX(D$5:D$67,MATCH($B196,$B$5:$B$67,0))</f>
        <v>448</v>
      </c>
      <c r="F196" s="25">
        <f t="array" ref="F196">INDEX(E$5:E$67,MATCH($B196,$B$5:$B$67,0))</f>
        <v>720</v>
      </c>
      <c r="G196" s="25">
        <f t="array" ref="G196">INDEX(F$5:F$67,MATCH($B196,$B$5:$B$67,0))</f>
        <v>57.6</v>
      </c>
      <c r="H196" s="25">
        <f t="array" ref="H196">INDEX(G$5:G$66,MATCH($B196,$B$5:$B$67,0))</f>
        <v>576</v>
      </c>
      <c r="I196" s="25">
        <f t="array" ref="I196">INDEX(H$5:H$67,MATCH($B196,$B$5:$B$67,0))</f>
        <v>46.08</v>
      </c>
      <c r="J196" s="25">
        <f t="array" ref="J196">INDEX(I$5:I$67,MATCH($B196,$B$5:$B$67,0))</f>
        <v>800</v>
      </c>
      <c r="K196" s="25">
        <f t="array" ref="K196">INDEX(J$5:J$67,MATCH($B196,$B$5:$B$67,0))</f>
        <v>64</v>
      </c>
      <c r="L196" s="25">
        <f t="shared" si="156"/>
        <v>31584</v>
      </c>
      <c r="M196" s="25">
        <f t="shared" si="157"/>
        <v>4061</v>
      </c>
      <c r="N196" s="25">
        <f t="shared" si="158"/>
        <v>3249</v>
      </c>
      <c r="O196" s="25">
        <f t="shared" si="159"/>
        <v>4512</v>
      </c>
      <c r="R196" s="50">
        <f t="array" ref="R196">INDEX($B$46:$B$68,MATCH(S196,$C$46:$C$68,0))*1000+T196</f>
        <v>1005010</v>
      </c>
      <c r="S196" s="51" t="s">
        <v>327</v>
      </c>
      <c r="T196" s="29">
        <f t="shared" si="232"/>
        <v>10</v>
      </c>
      <c r="U196" s="25">
        <f t="array" ref="U196">INDEX(K$5:K$67,MATCH($S196,$B$5:$B$67,0))</f>
        <v>402.57</v>
      </c>
      <c r="V196" s="25">
        <f t="array" ref="V196">INDEX(L$5:L$67,MATCH($S196,$B$5:$B$67,0))</f>
        <v>140.8</v>
      </c>
      <c r="W196" s="25">
        <f t="array" ref="W196">INDEX(M$5:M$67,MATCH($S196,$B$5:$B$67,0))</f>
        <v>101.38</v>
      </c>
      <c r="X196" s="25">
        <f t="array" ref="X196">INDEX(N$5:N$67,MATCH($S196,$B$5:$B$67,0))</f>
        <v>85</v>
      </c>
      <c r="Y196" s="25">
        <f t="shared" si="160"/>
        <v>4026</v>
      </c>
      <c r="Z196" s="25">
        <f t="shared" si="161"/>
        <v>1408</v>
      </c>
      <c r="AA196" s="25">
        <f t="shared" si="162"/>
        <v>1014</v>
      </c>
      <c r="AB196" s="25">
        <f t="shared" si="163"/>
        <v>850</v>
      </c>
      <c r="AF196" s="25">
        <v>118</v>
      </c>
      <c r="AG196" s="25">
        <f t="array" ref="AG196">INDEX($AE$79:$AE$116,QUOTIENT(AF196-1,8)+1)</f>
        <v>1017</v>
      </c>
      <c r="AH196" s="25">
        <f t="shared" si="192"/>
        <v>6</v>
      </c>
      <c r="AI196" s="25">
        <f t="shared" si="164"/>
        <v>10176</v>
      </c>
      <c r="AJ196" s="25" t="str">
        <f t="shared" si="165"/>
        <v>伊戈尔</v>
      </c>
      <c r="AK196" s="25">
        <f t="shared" si="193"/>
        <v>1</v>
      </c>
      <c r="AL196" s="25" t="str">
        <f t="array" ref="AL196">INDEX($O$5:$O$42,MATCH(AJ196,$B$5:$B$42,0))</f>
        <v>攻击百分比</v>
      </c>
      <c r="AM196" s="25" t="str">
        <f t="array" ref="AM196">INDEX($P$5:$P$42,MATCH(AJ196,$B$5:$B$42,0))</f>
        <v>技能伤害加成</v>
      </c>
      <c r="AN196" s="25" t="str">
        <f t="array" ref="AN196">INDEX($Q$5:$Q$42,MATCH(AJ196,$B$5:$B$42,0))</f>
        <v>技能冷却等级</v>
      </c>
      <c r="AO196" s="25" t="str">
        <f t="array" ref="AO196">INDEX(AL196:AN196,0,AK196)</f>
        <v>攻击百分比</v>
      </c>
      <c r="AP196" s="25">
        <f t="shared" si="151"/>
        <v>0.216666666666667</v>
      </c>
      <c r="AQ196" s="25">
        <f t="shared" si="166"/>
        <v>0.216666666666667</v>
      </c>
      <c r="AR196" s="25" t="str">
        <f t="shared" ref="AR196:BZ196" si="285">IF(AR$78=$AO196,$AQ196,"0")</f>
        <v>0</v>
      </c>
      <c r="AS196" s="25" t="str">
        <f t="shared" si="285"/>
        <v>0</v>
      </c>
      <c r="AT196" s="25" t="str">
        <f t="shared" si="285"/>
        <v>0</v>
      </c>
      <c r="AU196" s="25">
        <f t="shared" si="285"/>
        <v>0.216666666666667</v>
      </c>
      <c r="AV196" s="25" t="str">
        <f t="shared" si="285"/>
        <v>0</v>
      </c>
      <c r="AW196" s="25">
        <f t="shared" si="285"/>
        <v>0.216666666666667</v>
      </c>
      <c r="AX196" s="25" t="str">
        <f t="shared" si="285"/>
        <v>0</v>
      </c>
      <c r="AY196" s="25" t="str">
        <f t="shared" si="285"/>
        <v>0</v>
      </c>
      <c r="AZ196" s="25" t="str">
        <f t="shared" si="285"/>
        <v>0</v>
      </c>
      <c r="BA196" s="25" t="str">
        <f t="shared" si="285"/>
        <v>0</v>
      </c>
      <c r="BB196" s="25" t="str">
        <f t="shared" si="285"/>
        <v>0</v>
      </c>
      <c r="BC196" s="25" t="str">
        <f t="shared" si="285"/>
        <v>0</v>
      </c>
      <c r="BD196" s="25" t="str">
        <f t="shared" si="285"/>
        <v>0</v>
      </c>
      <c r="BE196" s="25" t="str">
        <f t="shared" si="285"/>
        <v>0</v>
      </c>
      <c r="BF196" s="25" t="str">
        <f t="shared" si="285"/>
        <v>0</v>
      </c>
      <c r="BG196" s="25" t="str">
        <f t="shared" si="285"/>
        <v>0</v>
      </c>
      <c r="BH196" s="25" t="str">
        <f t="shared" si="285"/>
        <v>0</v>
      </c>
      <c r="BI196" s="25" t="str">
        <f t="shared" si="285"/>
        <v>0</v>
      </c>
      <c r="BJ196" s="25" t="str">
        <f t="shared" si="285"/>
        <v>0</v>
      </c>
      <c r="BK196" s="25" t="str">
        <f t="shared" si="285"/>
        <v>0</v>
      </c>
      <c r="BL196" s="25" t="str">
        <f t="shared" si="285"/>
        <v>0</v>
      </c>
      <c r="BM196" s="25" t="str">
        <f t="shared" si="285"/>
        <v>0</v>
      </c>
      <c r="BN196" s="25" t="str">
        <f t="shared" si="285"/>
        <v>0</v>
      </c>
      <c r="BO196" s="25" t="str">
        <f t="shared" si="285"/>
        <v>0</v>
      </c>
      <c r="BP196" s="25" t="str">
        <f t="shared" si="285"/>
        <v>0</v>
      </c>
      <c r="BQ196" s="25" t="str">
        <f t="shared" si="285"/>
        <v>0</v>
      </c>
      <c r="BR196" s="25" t="str">
        <f t="shared" si="285"/>
        <v>0</v>
      </c>
      <c r="BS196" s="25" t="str">
        <f t="shared" si="285"/>
        <v>0</v>
      </c>
      <c r="BT196" s="25" t="str">
        <f t="shared" si="285"/>
        <v>0</v>
      </c>
      <c r="BU196" s="25" t="str">
        <f t="shared" si="285"/>
        <v>0</v>
      </c>
      <c r="BV196" s="25" t="str">
        <f t="shared" si="285"/>
        <v>0</v>
      </c>
      <c r="BW196" s="25" t="str">
        <f t="shared" si="285"/>
        <v>0</v>
      </c>
      <c r="BX196" s="25" t="str">
        <f t="shared" si="285"/>
        <v>0</v>
      </c>
      <c r="BY196" s="25" t="str">
        <f t="shared" si="285"/>
        <v>0</v>
      </c>
      <c r="BZ196" s="25" t="str">
        <f t="shared" si="285"/>
        <v>0</v>
      </c>
      <c r="CC196" s="25" t="str">
        <f t="array" ref="CC196">INDEX($C$46:$C$74,MATCH(CD196,$B$46:$B$74,0))</f>
        <v>卡斯帕</v>
      </c>
      <c r="CD196" s="1">
        <v>1020</v>
      </c>
      <c r="CE196" s="1">
        <v>5</v>
      </c>
      <c r="CF196" s="25" t="str">
        <f t="array" ref="CF196">INDEX($T$5:$T$44,MATCH(CC196,$B$5:$B$44,0))</f>
        <v>物理</v>
      </c>
      <c r="CG196" s="25">
        <f t="shared" si="189"/>
        <v>0.3</v>
      </c>
      <c r="CH196" s="25">
        <f t="shared" si="168"/>
        <v>1.3</v>
      </c>
      <c r="CI196" s="25">
        <f t="shared" si="169"/>
        <v>1.3</v>
      </c>
      <c r="CJ196" s="25">
        <f t="shared" si="170"/>
        <v>1</v>
      </c>
      <c r="CK196" s="25">
        <f t="shared" si="171"/>
        <v>1.3</v>
      </c>
      <c r="CL196" s="25" t="str">
        <f t="array" ref="CL196">INDEX($S$5:$S$43,MATCH(CC196,$B$5:$B$43,0))</f>
        <v>技能冷却等级</v>
      </c>
      <c r="CM196" s="25">
        <f t="shared" si="190"/>
        <v>0.3</v>
      </c>
      <c r="CN196" s="25">
        <f t="shared" si="172"/>
        <v>3900</v>
      </c>
      <c r="CO196" s="25">
        <f t="shared" si="173"/>
        <v>1</v>
      </c>
      <c r="CP196" s="29" t="str">
        <f t="shared" ref="CP196:DQ196" si="286">IF($CL196=CP$78,$CN196,"0")</f>
        <v>0</v>
      </c>
      <c r="CQ196" s="29" t="str">
        <f t="shared" si="286"/>
        <v>0</v>
      </c>
      <c r="CR196" s="29" t="str">
        <f t="shared" si="286"/>
        <v>0</v>
      </c>
      <c r="CS196" s="29" t="str">
        <f t="shared" si="286"/>
        <v>0</v>
      </c>
      <c r="CT196" s="29" t="str">
        <f t="shared" si="286"/>
        <v>0</v>
      </c>
      <c r="CU196" s="29" t="str">
        <f t="shared" si="286"/>
        <v>0</v>
      </c>
      <c r="CV196" s="29" t="str">
        <f t="shared" si="286"/>
        <v>0</v>
      </c>
      <c r="CW196" s="29" t="str">
        <f t="shared" si="286"/>
        <v>0</v>
      </c>
      <c r="CX196" s="29" t="str">
        <f t="shared" si="286"/>
        <v>0</v>
      </c>
      <c r="CY196" s="29" t="str">
        <f t="shared" si="286"/>
        <v>0</v>
      </c>
      <c r="CZ196" s="29" t="str">
        <f t="shared" si="286"/>
        <v>0</v>
      </c>
      <c r="DA196" s="29" t="str">
        <f t="shared" si="286"/>
        <v>0</v>
      </c>
      <c r="DB196" s="29" t="str">
        <f t="shared" si="286"/>
        <v>0</v>
      </c>
      <c r="DC196" s="29" t="str">
        <f t="shared" si="286"/>
        <v>0</v>
      </c>
      <c r="DD196" s="29" t="str">
        <f t="shared" si="286"/>
        <v>0</v>
      </c>
      <c r="DE196" s="29" t="str">
        <f t="shared" si="286"/>
        <v>0</v>
      </c>
      <c r="DF196" s="29" t="str">
        <f t="shared" si="286"/>
        <v>0</v>
      </c>
      <c r="DG196" s="29" t="str">
        <f t="shared" si="286"/>
        <v>0</v>
      </c>
      <c r="DH196" s="29" t="str">
        <f t="shared" si="286"/>
        <v>0</v>
      </c>
      <c r="DI196" s="29" t="str">
        <f t="shared" si="286"/>
        <v>0</v>
      </c>
      <c r="DJ196" s="29" t="str">
        <f t="shared" si="286"/>
        <v>0</v>
      </c>
      <c r="DK196" s="29" t="str">
        <f t="shared" si="286"/>
        <v>0</v>
      </c>
      <c r="DL196" s="29" t="str">
        <f t="shared" si="286"/>
        <v>0</v>
      </c>
      <c r="DM196" s="29" t="str">
        <f t="shared" si="286"/>
        <v>0</v>
      </c>
      <c r="DN196" s="29" t="str">
        <f t="shared" si="286"/>
        <v>0</v>
      </c>
      <c r="DO196" s="29" t="str">
        <f t="shared" si="286"/>
        <v>0</v>
      </c>
      <c r="DP196" s="29" t="str">
        <f t="shared" si="286"/>
        <v>0</v>
      </c>
      <c r="DQ196" s="29">
        <f t="shared" si="286"/>
        <v>3900</v>
      </c>
      <c r="DR196" s="29"/>
      <c r="DS196" s="25" t="s">
        <v>1011</v>
      </c>
      <c r="DT196" s="25" t="str">
        <f>TEXT(角色升星!$F$18,"0%")</f>
        <v>15%</v>
      </c>
      <c r="DU196" s="25" t="s">
        <v>779</v>
      </c>
      <c r="DV196" s="25" t="str">
        <f>IF(CF196="物理","PhysicsAttack,+","MagicAttack,+")</f>
        <v>PhysicsAttack,+</v>
      </c>
      <c r="DW196" s="25" t="str">
        <f>TEXT(角色升星!$F$18,"0%")</f>
        <v>15%</v>
      </c>
      <c r="DX196" s="25" t="s">
        <v>779</v>
      </c>
      <c r="DY196" s="25" t="s">
        <v>1012</v>
      </c>
      <c r="DZ196" s="25" t="str">
        <f>TEXT(角色升星!$F$18,"0%")</f>
        <v>15%</v>
      </c>
      <c r="EA196" s="25" t="s">
        <v>779</v>
      </c>
      <c r="EB196" s="25" t="str">
        <f>VLOOKUP(CL196,$O$46:$P$73,2,0)</f>
        <v>CoolDownReduceLevel</v>
      </c>
      <c r="EC196" s="25" t="s">
        <v>1013</v>
      </c>
      <c r="ED196" s="25">
        <f>IF(CN196&gt;1,CN196,TEXT(CN196,"0%"))</f>
        <v>3900</v>
      </c>
      <c r="EE196" s="25" t="str">
        <f t="shared" si="175"/>
        <v>Hp,+15%;PhysicsAttack,+15%;Armor,+15%;CoolDownReduceLevel,+3900</v>
      </c>
    </row>
    <row r="197" spans="1:135">
      <c r="A197" s="53">
        <v>1002059</v>
      </c>
      <c r="B197" s="49" t="s">
        <v>318</v>
      </c>
      <c r="C197" s="25">
        <f t="shared" si="146"/>
        <v>59</v>
      </c>
      <c r="D197" s="25">
        <f t="array" ref="D197">INDEX(C$5:C$67,MATCH($B197,$B$5:$B$67,0))</f>
        <v>5600</v>
      </c>
      <c r="E197" s="25">
        <f t="array" ref="E197">INDEX(D$5:D$67,MATCH($B197,$B$5:$B$67,0))</f>
        <v>448</v>
      </c>
      <c r="F197" s="25">
        <f t="array" ref="F197">INDEX(E$5:E$67,MATCH($B197,$B$5:$B$67,0))</f>
        <v>720</v>
      </c>
      <c r="G197" s="25">
        <f t="array" ref="G197">INDEX(F$5:F$67,MATCH($B197,$B$5:$B$67,0))</f>
        <v>57.6</v>
      </c>
      <c r="H197" s="25">
        <f t="array" ref="H197">INDEX(G$5:G$66,MATCH($B197,$B$5:$B$67,0))</f>
        <v>576</v>
      </c>
      <c r="I197" s="25">
        <f t="array" ref="I197">INDEX(H$5:H$67,MATCH($B197,$B$5:$B$67,0))</f>
        <v>46.08</v>
      </c>
      <c r="J197" s="25">
        <f t="array" ref="J197">INDEX(I$5:I$67,MATCH($B197,$B$5:$B$67,0))</f>
        <v>800</v>
      </c>
      <c r="K197" s="25">
        <f t="array" ref="K197">INDEX(J$5:J$67,MATCH($B197,$B$5:$B$67,0))</f>
        <v>64</v>
      </c>
      <c r="L197" s="25">
        <f t="shared" si="156"/>
        <v>32032</v>
      </c>
      <c r="M197" s="25">
        <f t="shared" si="157"/>
        <v>4118</v>
      </c>
      <c r="N197" s="25">
        <f t="shared" si="158"/>
        <v>3295</v>
      </c>
      <c r="O197" s="25">
        <f t="shared" si="159"/>
        <v>4576</v>
      </c>
      <c r="R197" s="50">
        <f t="array" ref="R197">INDEX($B$46:$B$68,MATCH(S197,$C$46:$C$68,0))*1000+T197</f>
        <v>1005011</v>
      </c>
      <c r="S197" s="51" t="s">
        <v>327</v>
      </c>
      <c r="T197" s="29">
        <f t="shared" si="232"/>
        <v>11</v>
      </c>
      <c r="U197" s="25">
        <f t="array" ref="U197">INDEX(K$5:K$67,MATCH($S197,$B$5:$B$67,0))</f>
        <v>402.57</v>
      </c>
      <c r="V197" s="25">
        <f t="array" ref="V197">INDEX(L$5:L$67,MATCH($S197,$B$5:$B$67,0))</f>
        <v>140.8</v>
      </c>
      <c r="W197" s="25">
        <f t="array" ref="W197">INDEX(M$5:M$67,MATCH($S197,$B$5:$B$67,0))</f>
        <v>101.38</v>
      </c>
      <c r="X197" s="25">
        <f t="array" ref="X197">INDEX(N$5:N$67,MATCH($S197,$B$5:$B$67,0))</f>
        <v>85</v>
      </c>
      <c r="Y197" s="25">
        <f t="shared" si="160"/>
        <v>4428</v>
      </c>
      <c r="Z197" s="25">
        <f t="shared" si="161"/>
        <v>1549</v>
      </c>
      <c r="AA197" s="25">
        <f t="shared" si="162"/>
        <v>1115</v>
      </c>
      <c r="AB197" s="25">
        <f t="shared" si="163"/>
        <v>935</v>
      </c>
      <c r="AF197" s="25">
        <v>119</v>
      </c>
      <c r="AG197" s="25">
        <f t="array" ref="AG197">INDEX($AE$79:$AE$116,QUOTIENT(AF197-1,8)+1)</f>
        <v>1017</v>
      </c>
      <c r="AH197" s="25">
        <f t="shared" si="192"/>
        <v>7</v>
      </c>
      <c r="AI197" s="25">
        <f t="shared" si="164"/>
        <v>10177</v>
      </c>
      <c r="AJ197" s="25" t="str">
        <f t="shared" si="165"/>
        <v>伊戈尔</v>
      </c>
      <c r="AK197" s="25">
        <f t="shared" si="193"/>
        <v>2</v>
      </c>
      <c r="AL197" s="25" t="str">
        <f t="array" ref="AL197">INDEX($O$5:$O$42,MATCH(AJ197,$B$5:$B$42,0))</f>
        <v>攻击百分比</v>
      </c>
      <c r="AM197" s="25" t="str">
        <f t="array" ref="AM197">INDEX($P$5:$P$42,MATCH(AJ197,$B$5:$B$42,0))</f>
        <v>技能伤害加成</v>
      </c>
      <c r="AN197" s="25" t="str">
        <f t="array" ref="AN197">INDEX($Q$5:$Q$42,MATCH(AJ197,$B$5:$B$42,0))</f>
        <v>技能冷却等级</v>
      </c>
      <c r="AO197" s="25" t="str">
        <f t="array" ref="AO197">INDEX(AL197:AN197,0,AK197)</f>
        <v>技能伤害加成</v>
      </c>
      <c r="AP197" s="25">
        <f t="shared" si="151"/>
        <v>0.15</v>
      </c>
      <c r="AQ197" s="25">
        <f t="shared" si="166"/>
        <v>0.18</v>
      </c>
      <c r="AR197" s="25" t="str">
        <f t="shared" ref="AR197:BZ197" si="287">IF(AR$78=$AO197,$AQ197,"0")</f>
        <v>0</v>
      </c>
      <c r="AS197" s="25" t="str">
        <f t="shared" si="287"/>
        <v>0</v>
      </c>
      <c r="AT197" s="25" t="str">
        <f t="shared" si="287"/>
        <v>0</v>
      </c>
      <c r="AU197" s="25" t="str">
        <f t="shared" si="287"/>
        <v>0</v>
      </c>
      <c r="AV197" s="25" t="str">
        <f t="shared" si="287"/>
        <v>0</v>
      </c>
      <c r="AW197" s="25" t="str">
        <f t="shared" si="287"/>
        <v>0</v>
      </c>
      <c r="AX197" s="25" t="str">
        <f t="shared" si="287"/>
        <v>0</v>
      </c>
      <c r="AY197" s="25" t="str">
        <f t="shared" si="287"/>
        <v>0</v>
      </c>
      <c r="AZ197" s="25" t="str">
        <f t="shared" si="287"/>
        <v>0</v>
      </c>
      <c r="BA197" s="25" t="str">
        <f t="shared" si="287"/>
        <v>0</v>
      </c>
      <c r="BB197" s="25" t="str">
        <f t="shared" si="287"/>
        <v>0</v>
      </c>
      <c r="BC197" s="25" t="str">
        <f t="shared" si="287"/>
        <v>0</v>
      </c>
      <c r="BD197" s="25" t="str">
        <f t="shared" si="287"/>
        <v>0</v>
      </c>
      <c r="BE197" s="25" t="str">
        <f t="shared" si="287"/>
        <v>0</v>
      </c>
      <c r="BF197" s="25" t="str">
        <f t="shared" si="287"/>
        <v>0</v>
      </c>
      <c r="BG197" s="25" t="str">
        <f t="shared" si="287"/>
        <v>0</v>
      </c>
      <c r="BH197" s="25" t="str">
        <f t="shared" si="287"/>
        <v>0</v>
      </c>
      <c r="BI197" s="25" t="str">
        <f t="shared" si="287"/>
        <v>0</v>
      </c>
      <c r="BJ197" s="25" t="str">
        <f t="shared" si="287"/>
        <v>0</v>
      </c>
      <c r="BK197" s="25" t="str">
        <f t="shared" si="287"/>
        <v>0</v>
      </c>
      <c r="BL197" s="25" t="str">
        <f t="shared" si="287"/>
        <v>0</v>
      </c>
      <c r="BM197" s="25" t="str">
        <f t="shared" si="287"/>
        <v>0</v>
      </c>
      <c r="BN197" s="25">
        <f t="shared" si="287"/>
        <v>0.18</v>
      </c>
      <c r="BO197" s="25" t="str">
        <f t="shared" si="287"/>
        <v>0</v>
      </c>
      <c r="BP197" s="25" t="str">
        <f t="shared" si="287"/>
        <v>0</v>
      </c>
      <c r="BQ197" s="25" t="str">
        <f t="shared" si="287"/>
        <v>0</v>
      </c>
      <c r="BR197" s="25" t="str">
        <f t="shared" si="287"/>
        <v>0</v>
      </c>
      <c r="BS197" s="25" t="str">
        <f t="shared" si="287"/>
        <v>0</v>
      </c>
      <c r="BT197" s="25" t="str">
        <f t="shared" si="287"/>
        <v>0</v>
      </c>
      <c r="BU197" s="25" t="str">
        <f t="shared" si="287"/>
        <v>0</v>
      </c>
      <c r="BV197" s="25" t="str">
        <f t="shared" si="287"/>
        <v>0</v>
      </c>
      <c r="BW197" s="25" t="str">
        <f t="shared" si="287"/>
        <v>0</v>
      </c>
      <c r="BX197" s="25" t="str">
        <f t="shared" si="287"/>
        <v>0</v>
      </c>
      <c r="BY197" s="25" t="str">
        <f t="shared" si="287"/>
        <v>0</v>
      </c>
      <c r="BZ197" s="25" t="str">
        <f t="shared" si="287"/>
        <v>0</v>
      </c>
      <c r="CC197" s="25" t="str">
        <f t="array" ref="CC197">INDEX($C$46:$C$74,MATCH(CD197,$B$46:$B$74,0))</f>
        <v>卡斯帕</v>
      </c>
      <c r="CD197" s="1">
        <v>1020</v>
      </c>
      <c r="CE197" s="1">
        <v>6</v>
      </c>
      <c r="CF197" s="25" t="str">
        <f t="array" ref="CF197">INDEX($T$5:$T$44,MATCH(CC197,$B$5:$B$44,0))</f>
        <v>物理</v>
      </c>
      <c r="CG197" s="25">
        <f t="shared" si="189"/>
        <v>0.3</v>
      </c>
      <c r="CH197" s="25">
        <f t="shared" si="168"/>
        <v>1.3</v>
      </c>
      <c r="CI197" s="25">
        <f t="shared" si="169"/>
        <v>1.3</v>
      </c>
      <c r="CJ197" s="25">
        <f t="shared" si="170"/>
        <v>1</v>
      </c>
      <c r="CK197" s="25">
        <f t="shared" si="171"/>
        <v>1.3</v>
      </c>
      <c r="CL197" s="25">
        <v>0</v>
      </c>
      <c r="CM197" s="25">
        <f t="shared" si="190"/>
        <v>0</v>
      </c>
      <c r="CN197" s="25">
        <f t="shared" si="172"/>
        <v>0</v>
      </c>
      <c r="CO197" s="25">
        <f t="shared" si="173"/>
        <v>0</v>
      </c>
      <c r="CP197" s="29" t="str">
        <f t="shared" ref="CP197:DQ197" si="288">IF($CL197=CP$78,$CN197,"0")</f>
        <v>0</v>
      </c>
      <c r="CQ197" s="29" t="str">
        <f t="shared" si="288"/>
        <v>0</v>
      </c>
      <c r="CR197" s="29" t="str">
        <f t="shared" si="288"/>
        <v>0</v>
      </c>
      <c r="CS197" s="29" t="str">
        <f t="shared" si="288"/>
        <v>0</v>
      </c>
      <c r="CT197" s="29" t="str">
        <f t="shared" si="288"/>
        <v>0</v>
      </c>
      <c r="CU197" s="29" t="str">
        <f t="shared" si="288"/>
        <v>0</v>
      </c>
      <c r="CV197" s="29" t="str">
        <f t="shared" si="288"/>
        <v>0</v>
      </c>
      <c r="CW197" s="29" t="str">
        <f t="shared" si="288"/>
        <v>0</v>
      </c>
      <c r="CX197" s="29" t="str">
        <f t="shared" si="288"/>
        <v>0</v>
      </c>
      <c r="CY197" s="29" t="str">
        <f t="shared" si="288"/>
        <v>0</v>
      </c>
      <c r="CZ197" s="29" t="str">
        <f t="shared" si="288"/>
        <v>0</v>
      </c>
      <c r="DA197" s="29" t="str">
        <f t="shared" si="288"/>
        <v>0</v>
      </c>
      <c r="DB197" s="29" t="str">
        <f t="shared" si="288"/>
        <v>0</v>
      </c>
      <c r="DC197" s="29" t="str">
        <f t="shared" si="288"/>
        <v>0</v>
      </c>
      <c r="DD197" s="29" t="str">
        <f t="shared" si="288"/>
        <v>0</v>
      </c>
      <c r="DE197" s="29" t="str">
        <f t="shared" si="288"/>
        <v>0</v>
      </c>
      <c r="DF197" s="29" t="str">
        <f t="shared" si="288"/>
        <v>0</v>
      </c>
      <c r="DG197" s="29" t="str">
        <f t="shared" si="288"/>
        <v>0</v>
      </c>
      <c r="DH197" s="29" t="str">
        <f t="shared" si="288"/>
        <v>0</v>
      </c>
      <c r="DI197" s="29" t="str">
        <f t="shared" si="288"/>
        <v>0</v>
      </c>
      <c r="DJ197" s="29" t="str">
        <f t="shared" si="288"/>
        <v>0</v>
      </c>
      <c r="DK197" s="29" t="str">
        <f t="shared" si="288"/>
        <v>0</v>
      </c>
      <c r="DL197" s="29" t="str">
        <f t="shared" si="288"/>
        <v>0</v>
      </c>
      <c r="DM197" s="29" t="str">
        <f t="shared" si="288"/>
        <v>0</v>
      </c>
      <c r="DN197" s="29" t="str">
        <f t="shared" si="288"/>
        <v>0</v>
      </c>
      <c r="DO197" s="29" t="str">
        <f t="shared" si="288"/>
        <v>0</v>
      </c>
      <c r="DP197" s="29" t="str">
        <f t="shared" si="288"/>
        <v>0</v>
      </c>
      <c r="DQ197" s="29" t="str">
        <f t="shared" si="288"/>
        <v>0</v>
      </c>
      <c r="DR197" s="29"/>
      <c r="DS197" s="25">
        <v>0</v>
      </c>
      <c r="EE197" s="25" t="str">
        <f t="shared" si="175"/>
        <v>0</v>
      </c>
    </row>
    <row r="198" spans="1:135">
      <c r="A198" s="53">
        <v>1002060</v>
      </c>
      <c r="B198" s="49" t="s">
        <v>318</v>
      </c>
      <c r="C198" s="25">
        <f t="shared" si="146"/>
        <v>60</v>
      </c>
      <c r="D198" s="25">
        <f t="array" ref="D198">INDEX(C$5:C$67,MATCH($B198,$B$5:$B$67,0))</f>
        <v>5600</v>
      </c>
      <c r="E198" s="25">
        <f t="array" ref="E198">INDEX(D$5:D$67,MATCH($B198,$B$5:$B$67,0))</f>
        <v>448</v>
      </c>
      <c r="F198" s="25">
        <f t="array" ref="F198">INDEX(E$5:E$67,MATCH($B198,$B$5:$B$67,0))</f>
        <v>720</v>
      </c>
      <c r="G198" s="25">
        <f t="array" ref="G198">INDEX(F$5:F$67,MATCH($B198,$B$5:$B$67,0))</f>
        <v>57.6</v>
      </c>
      <c r="H198" s="25">
        <f t="array" ref="H198">INDEX(G$5:G$66,MATCH($B198,$B$5:$B$67,0))</f>
        <v>576</v>
      </c>
      <c r="I198" s="25">
        <f t="array" ref="I198">INDEX(H$5:H$67,MATCH($B198,$B$5:$B$67,0))</f>
        <v>46.08</v>
      </c>
      <c r="J198" s="25">
        <f t="array" ref="J198">INDEX(I$5:I$67,MATCH($B198,$B$5:$B$67,0))</f>
        <v>800</v>
      </c>
      <c r="K198" s="25">
        <f t="array" ref="K198">INDEX(J$5:J$67,MATCH($B198,$B$5:$B$67,0))</f>
        <v>64</v>
      </c>
      <c r="L198" s="25">
        <f t="shared" si="156"/>
        <v>32480</v>
      </c>
      <c r="M198" s="25">
        <f t="shared" si="157"/>
        <v>4176</v>
      </c>
      <c r="N198" s="25">
        <f t="shared" si="158"/>
        <v>3341</v>
      </c>
      <c r="O198" s="25">
        <f t="shared" si="159"/>
        <v>4640</v>
      </c>
      <c r="R198" s="50">
        <f t="array" ref="R198">INDEX($B$46:$B$68,MATCH(S198,$C$46:$C$68,0))*1000+T198</f>
        <v>1005012</v>
      </c>
      <c r="S198" s="51" t="s">
        <v>327</v>
      </c>
      <c r="T198" s="29">
        <f t="shared" si="232"/>
        <v>12</v>
      </c>
      <c r="U198" s="25">
        <f t="array" ref="U198">INDEX(K$5:K$67,MATCH($S198,$B$5:$B$67,0))</f>
        <v>402.57</v>
      </c>
      <c r="V198" s="25">
        <f t="array" ref="V198">INDEX(L$5:L$67,MATCH($S198,$B$5:$B$67,0))</f>
        <v>140.8</v>
      </c>
      <c r="W198" s="25">
        <f t="array" ref="W198">INDEX(M$5:M$67,MATCH($S198,$B$5:$B$67,0))</f>
        <v>101.38</v>
      </c>
      <c r="X198" s="25">
        <f t="array" ref="X198">INDEX(N$5:N$67,MATCH($S198,$B$5:$B$67,0))</f>
        <v>85</v>
      </c>
      <c r="Y198" s="25">
        <f t="shared" si="160"/>
        <v>4831</v>
      </c>
      <c r="Z198" s="25">
        <f t="shared" si="161"/>
        <v>1690</v>
      </c>
      <c r="AA198" s="25">
        <f t="shared" si="162"/>
        <v>1217</v>
      </c>
      <c r="AB198" s="25">
        <f t="shared" si="163"/>
        <v>1020</v>
      </c>
      <c r="AF198" s="25">
        <v>120</v>
      </c>
      <c r="AG198" s="25">
        <f t="array" ref="AG198">INDEX($AE$79:$AE$116,QUOTIENT(AF198-1,8)+1)</f>
        <v>1017</v>
      </c>
      <c r="AH198" s="25">
        <f t="shared" si="192"/>
        <v>8</v>
      </c>
      <c r="AI198" s="25">
        <f t="shared" si="164"/>
        <v>10178</v>
      </c>
      <c r="AJ198" s="25" t="str">
        <f t="shared" si="165"/>
        <v>伊戈尔</v>
      </c>
      <c r="AK198" s="25">
        <f t="shared" si="193"/>
        <v>3</v>
      </c>
      <c r="AL198" s="25" t="str">
        <f t="array" ref="AL198">INDEX($O$5:$O$42,MATCH(AJ198,$B$5:$B$42,0))</f>
        <v>攻击百分比</v>
      </c>
      <c r="AM198" s="25" t="str">
        <f t="array" ref="AM198">INDEX($P$5:$P$42,MATCH(AJ198,$B$5:$B$42,0))</f>
        <v>技能伤害加成</v>
      </c>
      <c r="AN198" s="25" t="str">
        <f t="array" ref="AN198">INDEX($Q$5:$Q$42,MATCH(AJ198,$B$5:$B$42,0))</f>
        <v>技能冷却等级</v>
      </c>
      <c r="AO198" s="25" t="str">
        <f t="array" ref="AO198">INDEX(AL198:AN198,0,AK198)</f>
        <v>技能冷却等级</v>
      </c>
      <c r="AP198" s="25">
        <f t="shared" si="151"/>
        <v>0.216666666666667</v>
      </c>
      <c r="AQ198" s="25">
        <f t="shared" si="166"/>
        <v>2816.66666666667</v>
      </c>
      <c r="AR198" s="25" t="str">
        <f t="shared" ref="AR198:BZ198" si="289">IF(AR$78=$AO198,$AQ198,"0")</f>
        <v>0</v>
      </c>
      <c r="AS198" s="25" t="str">
        <f t="shared" si="289"/>
        <v>0</v>
      </c>
      <c r="AT198" s="25" t="str">
        <f t="shared" si="289"/>
        <v>0</v>
      </c>
      <c r="AU198" s="25" t="str">
        <f t="shared" si="289"/>
        <v>0</v>
      </c>
      <c r="AV198" s="25" t="str">
        <f t="shared" si="289"/>
        <v>0</v>
      </c>
      <c r="AW198" s="25" t="str">
        <f t="shared" si="289"/>
        <v>0</v>
      </c>
      <c r="AX198" s="25" t="str">
        <f t="shared" si="289"/>
        <v>0</v>
      </c>
      <c r="AY198" s="25" t="str">
        <f t="shared" si="289"/>
        <v>0</v>
      </c>
      <c r="AZ198" s="25" t="str">
        <f t="shared" si="289"/>
        <v>0</v>
      </c>
      <c r="BA198" s="25" t="str">
        <f t="shared" si="289"/>
        <v>0</v>
      </c>
      <c r="BB198" s="25" t="str">
        <f t="shared" si="289"/>
        <v>0</v>
      </c>
      <c r="BC198" s="25" t="str">
        <f t="shared" si="289"/>
        <v>0</v>
      </c>
      <c r="BD198" s="25" t="str">
        <f t="shared" si="289"/>
        <v>0</v>
      </c>
      <c r="BE198" s="25" t="str">
        <f t="shared" si="289"/>
        <v>0</v>
      </c>
      <c r="BF198" s="25" t="str">
        <f t="shared" si="289"/>
        <v>0</v>
      </c>
      <c r="BG198" s="25" t="str">
        <f t="shared" si="289"/>
        <v>0</v>
      </c>
      <c r="BH198" s="25" t="str">
        <f t="shared" si="289"/>
        <v>0</v>
      </c>
      <c r="BI198" s="25" t="str">
        <f t="shared" si="289"/>
        <v>0</v>
      </c>
      <c r="BJ198" s="25" t="str">
        <f t="shared" si="289"/>
        <v>0</v>
      </c>
      <c r="BK198" s="25" t="str">
        <f t="shared" si="289"/>
        <v>0</v>
      </c>
      <c r="BL198" s="25" t="str">
        <f t="shared" si="289"/>
        <v>0</v>
      </c>
      <c r="BM198" s="25" t="str">
        <f t="shared" si="289"/>
        <v>0</v>
      </c>
      <c r="BN198" s="25" t="str">
        <f t="shared" si="289"/>
        <v>0</v>
      </c>
      <c r="BO198" s="25" t="str">
        <f t="shared" si="289"/>
        <v>0</v>
      </c>
      <c r="BP198" s="25" t="str">
        <f t="shared" si="289"/>
        <v>0</v>
      </c>
      <c r="BQ198" s="25" t="str">
        <f t="shared" si="289"/>
        <v>0</v>
      </c>
      <c r="BR198" s="25" t="str">
        <f t="shared" si="289"/>
        <v>0</v>
      </c>
      <c r="BS198" s="25" t="str">
        <f t="shared" si="289"/>
        <v>0</v>
      </c>
      <c r="BT198" s="25" t="str">
        <f t="shared" si="289"/>
        <v>0</v>
      </c>
      <c r="BU198" s="25" t="str">
        <f t="shared" si="289"/>
        <v>0</v>
      </c>
      <c r="BV198" s="25" t="str">
        <f t="shared" si="289"/>
        <v>0</v>
      </c>
      <c r="BW198" s="25" t="str">
        <f t="shared" si="289"/>
        <v>0</v>
      </c>
      <c r="BX198" s="25" t="str">
        <f t="shared" si="289"/>
        <v>0</v>
      </c>
      <c r="BY198" s="25" t="str">
        <f t="shared" si="289"/>
        <v>0</v>
      </c>
      <c r="BZ198" s="25">
        <f t="shared" si="289"/>
        <v>2816.66666666667</v>
      </c>
      <c r="CC198" s="25" t="str">
        <f t="array" ref="CC198">INDEX($C$46:$C$74,MATCH(CD198,$B$46:$B$74,0))</f>
        <v>梅梅</v>
      </c>
      <c r="CD198" s="1">
        <v>1021</v>
      </c>
      <c r="CE198" s="1">
        <v>0</v>
      </c>
      <c r="CF198" s="25" t="str">
        <f t="array" ref="CF198">INDEX($T$5:$T$44,MATCH(CC198,$B$5:$B$44,0))</f>
        <v>物理</v>
      </c>
      <c r="CG198" s="25">
        <f t="shared" si="189"/>
        <v>0</v>
      </c>
      <c r="CH198" s="25">
        <f t="shared" si="168"/>
        <v>1</v>
      </c>
      <c r="CI198" s="25">
        <f t="shared" si="169"/>
        <v>1</v>
      </c>
      <c r="CJ198" s="25">
        <f t="shared" si="170"/>
        <v>1</v>
      </c>
      <c r="CK198" s="25">
        <f t="shared" si="171"/>
        <v>1</v>
      </c>
      <c r="CL198" s="25">
        <v>0</v>
      </c>
      <c r="CM198" s="25">
        <f t="shared" si="190"/>
        <v>0</v>
      </c>
      <c r="CN198" s="25">
        <f t="shared" si="172"/>
        <v>0</v>
      </c>
      <c r="CO198" s="25">
        <f t="shared" si="173"/>
        <v>0</v>
      </c>
      <c r="CP198" s="29" t="str">
        <f t="shared" ref="CP198:DQ198" si="290">IF($CL198=CP$78,$CN198,"0")</f>
        <v>0</v>
      </c>
      <c r="CQ198" s="29" t="str">
        <f t="shared" si="290"/>
        <v>0</v>
      </c>
      <c r="CR198" s="29" t="str">
        <f t="shared" si="290"/>
        <v>0</v>
      </c>
      <c r="CS198" s="29" t="str">
        <f t="shared" si="290"/>
        <v>0</v>
      </c>
      <c r="CT198" s="29" t="str">
        <f t="shared" si="290"/>
        <v>0</v>
      </c>
      <c r="CU198" s="29" t="str">
        <f t="shared" si="290"/>
        <v>0</v>
      </c>
      <c r="CV198" s="29" t="str">
        <f t="shared" si="290"/>
        <v>0</v>
      </c>
      <c r="CW198" s="29" t="str">
        <f t="shared" si="290"/>
        <v>0</v>
      </c>
      <c r="CX198" s="29" t="str">
        <f t="shared" si="290"/>
        <v>0</v>
      </c>
      <c r="CY198" s="29" t="str">
        <f t="shared" si="290"/>
        <v>0</v>
      </c>
      <c r="CZ198" s="29" t="str">
        <f t="shared" si="290"/>
        <v>0</v>
      </c>
      <c r="DA198" s="29" t="str">
        <f t="shared" si="290"/>
        <v>0</v>
      </c>
      <c r="DB198" s="29" t="str">
        <f t="shared" si="290"/>
        <v>0</v>
      </c>
      <c r="DC198" s="29" t="str">
        <f t="shared" si="290"/>
        <v>0</v>
      </c>
      <c r="DD198" s="29" t="str">
        <f t="shared" si="290"/>
        <v>0</v>
      </c>
      <c r="DE198" s="29" t="str">
        <f t="shared" si="290"/>
        <v>0</v>
      </c>
      <c r="DF198" s="29" t="str">
        <f t="shared" si="290"/>
        <v>0</v>
      </c>
      <c r="DG198" s="29" t="str">
        <f t="shared" si="290"/>
        <v>0</v>
      </c>
      <c r="DH198" s="29" t="str">
        <f t="shared" si="290"/>
        <v>0</v>
      </c>
      <c r="DI198" s="29" t="str">
        <f t="shared" si="290"/>
        <v>0</v>
      </c>
      <c r="DJ198" s="29" t="str">
        <f t="shared" si="290"/>
        <v>0</v>
      </c>
      <c r="DK198" s="29" t="str">
        <f t="shared" si="290"/>
        <v>0</v>
      </c>
      <c r="DL198" s="29" t="str">
        <f t="shared" si="290"/>
        <v>0</v>
      </c>
      <c r="DM198" s="29" t="str">
        <f t="shared" si="290"/>
        <v>0</v>
      </c>
      <c r="DN198" s="29" t="str">
        <f t="shared" si="290"/>
        <v>0</v>
      </c>
      <c r="DO198" s="29" t="str">
        <f t="shared" si="290"/>
        <v>0</v>
      </c>
      <c r="DP198" s="29" t="str">
        <f t="shared" si="290"/>
        <v>0</v>
      </c>
      <c r="DQ198" s="29" t="str">
        <f t="shared" si="290"/>
        <v>0</v>
      </c>
      <c r="DR198" s="29"/>
      <c r="DS198" s="25">
        <v>0</v>
      </c>
      <c r="EE198" s="25" t="str">
        <f t="shared" si="175"/>
        <v>0</v>
      </c>
    </row>
    <row r="199" spans="1:135">
      <c r="A199" s="48">
        <v>1003001</v>
      </c>
      <c r="B199" s="49" t="s">
        <v>321</v>
      </c>
      <c r="C199" s="25">
        <f t="shared" si="146"/>
        <v>1</v>
      </c>
      <c r="D199" s="25">
        <f t="array" ref="D199">INDEX(C$5:C$67,MATCH($B199,$B$5:$B$67,0))</f>
        <v>7700</v>
      </c>
      <c r="E199" s="25">
        <f t="array" ref="E199">INDEX(D$5:D$67,MATCH($B199,$B$5:$B$67,0))</f>
        <v>616</v>
      </c>
      <c r="F199" s="25">
        <f t="array" ref="F199">INDEX(E$5:E$67,MATCH($B199,$B$5:$B$67,0))</f>
        <v>734</v>
      </c>
      <c r="G199" s="25">
        <f t="array" ref="G199">INDEX(F$5:F$67,MATCH($B199,$B$5:$B$67,0))</f>
        <v>58.72</v>
      </c>
      <c r="H199" s="25">
        <f t="array" ref="H199">INDEX(G$5:G$66,MATCH($B199,$B$5:$B$67,0))</f>
        <v>918</v>
      </c>
      <c r="I199" s="25">
        <f t="array" ref="I199">INDEX(H$5:H$67,MATCH($B199,$B$5:$B$67,0))</f>
        <v>73.44</v>
      </c>
      <c r="J199" s="25">
        <f t="array" ref="J199">INDEX(I$5:I$67,MATCH($B199,$B$5:$B$67,0))</f>
        <v>900</v>
      </c>
      <c r="K199" s="25">
        <f t="array" ref="K199">INDEX(J$5:J$67,MATCH($B199,$B$5:$B$67,0))</f>
        <v>72</v>
      </c>
      <c r="L199" s="25">
        <f t="shared" si="156"/>
        <v>8316</v>
      </c>
      <c r="M199" s="25">
        <f t="shared" si="157"/>
        <v>793</v>
      </c>
      <c r="N199" s="25">
        <f t="shared" si="158"/>
        <v>991</v>
      </c>
      <c r="O199" s="25">
        <f t="shared" si="159"/>
        <v>972</v>
      </c>
      <c r="R199" s="50">
        <f t="array" ref="R199">INDEX($B$46:$B$68,MATCH(S199,$C$46:$C$68,0))*1000+T199</f>
        <v>1005013</v>
      </c>
      <c r="S199" s="51" t="s">
        <v>327</v>
      </c>
      <c r="T199" s="29">
        <f t="shared" si="232"/>
        <v>13</v>
      </c>
      <c r="U199" s="25">
        <f t="array" ref="U199">INDEX(K$5:K$67,MATCH($S199,$B$5:$B$67,0))</f>
        <v>402.57</v>
      </c>
      <c r="V199" s="25">
        <f t="array" ref="V199">INDEX(L$5:L$67,MATCH($S199,$B$5:$B$67,0))</f>
        <v>140.8</v>
      </c>
      <c r="W199" s="25">
        <f t="array" ref="W199">INDEX(M$5:M$67,MATCH($S199,$B$5:$B$67,0))</f>
        <v>101.38</v>
      </c>
      <c r="X199" s="25">
        <f t="array" ref="X199">INDEX(N$5:N$67,MATCH($S199,$B$5:$B$67,0))</f>
        <v>85</v>
      </c>
      <c r="Y199" s="25">
        <f t="shared" si="160"/>
        <v>5233</v>
      </c>
      <c r="Z199" s="25">
        <f t="shared" si="161"/>
        <v>1830</v>
      </c>
      <c r="AA199" s="25">
        <f t="shared" si="162"/>
        <v>1318</v>
      </c>
      <c r="AB199" s="25">
        <f t="shared" si="163"/>
        <v>1105</v>
      </c>
      <c r="AF199" s="25">
        <v>121</v>
      </c>
      <c r="AG199" s="25">
        <f t="array" ref="AG199">INDEX($AE$79:$AE$116,QUOTIENT(AF199-1,8)+1)</f>
        <v>1018</v>
      </c>
      <c r="AH199" s="25">
        <f t="shared" si="192"/>
        <v>1</v>
      </c>
      <c r="AI199" s="25">
        <f t="shared" si="164"/>
        <v>10181</v>
      </c>
      <c r="AJ199" s="25" t="str">
        <f t="shared" si="165"/>
        <v>埃莉诺</v>
      </c>
      <c r="AK199" s="25">
        <f t="shared" si="193"/>
        <v>1</v>
      </c>
      <c r="AL199" s="25" t="str">
        <f t="array" ref="AL199">INDEX($O$5:$O$42,MATCH(AJ199,$B$5:$B$42,0))</f>
        <v>生命值百分比</v>
      </c>
      <c r="AM199" s="25" t="str">
        <f t="array" ref="AM199">INDEX($P$5:$P$42,MATCH(AJ199,$B$5:$B$42,0))</f>
        <v>能量回复等级</v>
      </c>
      <c r="AN199" s="25" t="str">
        <f t="array" ref="AN199">INDEX($Q$5:$Q$42,MATCH(AJ199,$B$5:$B$42,0))</f>
        <v>技能冷却等级</v>
      </c>
      <c r="AO199" s="25" t="str">
        <f t="array" ref="AO199">INDEX(AL199:AN199,0,AK199)</f>
        <v>生命值百分比</v>
      </c>
      <c r="AP199" s="25">
        <f t="shared" si="151"/>
        <v>0.216666666666667</v>
      </c>
      <c r="AQ199" s="25">
        <f t="shared" si="166"/>
        <v>0.216666666666667</v>
      </c>
      <c r="AR199" s="25" t="str">
        <f t="shared" ref="AR199:BZ199" si="291">IF(AR$78=$AO199,$AQ199,"0")</f>
        <v>0</v>
      </c>
      <c r="AS199" s="25">
        <f t="shared" si="291"/>
        <v>0.216666666666667</v>
      </c>
      <c r="AT199" s="25" t="str">
        <f t="shared" si="291"/>
        <v>0</v>
      </c>
      <c r="AU199" s="25" t="str">
        <f t="shared" si="291"/>
        <v>0</v>
      </c>
      <c r="AV199" s="25" t="str">
        <f t="shared" si="291"/>
        <v>0</v>
      </c>
      <c r="AW199" s="25" t="str">
        <f t="shared" si="291"/>
        <v>0</v>
      </c>
      <c r="AX199" s="25" t="str">
        <f t="shared" si="291"/>
        <v>0</v>
      </c>
      <c r="AY199" s="25" t="str">
        <f t="shared" si="291"/>
        <v>0</v>
      </c>
      <c r="AZ199" s="25" t="str">
        <f t="shared" si="291"/>
        <v>0</v>
      </c>
      <c r="BA199" s="25" t="str">
        <f t="shared" si="291"/>
        <v>0</v>
      </c>
      <c r="BB199" s="25" t="str">
        <f t="shared" si="291"/>
        <v>0</v>
      </c>
      <c r="BC199" s="25" t="str">
        <f t="shared" si="291"/>
        <v>0</v>
      </c>
      <c r="BD199" s="25" t="str">
        <f t="shared" si="291"/>
        <v>0</v>
      </c>
      <c r="BE199" s="25" t="str">
        <f t="shared" si="291"/>
        <v>0</v>
      </c>
      <c r="BF199" s="25" t="str">
        <f t="shared" si="291"/>
        <v>0</v>
      </c>
      <c r="BG199" s="25" t="str">
        <f t="shared" si="291"/>
        <v>0</v>
      </c>
      <c r="BH199" s="25" t="str">
        <f t="shared" si="291"/>
        <v>0</v>
      </c>
      <c r="BI199" s="25" t="str">
        <f t="shared" si="291"/>
        <v>0</v>
      </c>
      <c r="BJ199" s="25" t="str">
        <f t="shared" si="291"/>
        <v>0</v>
      </c>
      <c r="BK199" s="25" t="str">
        <f t="shared" si="291"/>
        <v>0</v>
      </c>
      <c r="BL199" s="25" t="str">
        <f t="shared" si="291"/>
        <v>0</v>
      </c>
      <c r="BM199" s="25" t="str">
        <f t="shared" si="291"/>
        <v>0</v>
      </c>
      <c r="BN199" s="25" t="str">
        <f t="shared" si="291"/>
        <v>0</v>
      </c>
      <c r="BO199" s="25" t="str">
        <f t="shared" si="291"/>
        <v>0</v>
      </c>
      <c r="BP199" s="25" t="str">
        <f t="shared" si="291"/>
        <v>0</v>
      </c>
      <c r="BQ199" s="25" t="str">
        <f t="shared" si="291"/>
        <v>0</v>
      </c>
      <c r="BR199" s="25" t="str">
        <f t="shared" si="291"/>
        <v>0</v>
      </c>
      <c r="BS199" s="25" t="str">
        <f t="shared" si="291"/>
        <v>0</v>
      </c>
      <c r="BT199" s="25" t="str">
        <f t="shared" si="291"/>
        <v>0</v>
      </c>
      <c r="BU199" s="25" t="str">
        <f t="shared" si="291"/>
        <v>0</v>
      </c>
      <c r="BV199" s="25" t="str">
        <f t="shared" si="291"/>
        <v>0</v>
      </c>
      <c r="BW199" s="25" t="str">
        <f t="shared" si="291"/>
        <v>0</v>
      </c>
      <c r="BX199" s="25" t="str">
        <f t="shared" si="291"/>
        <v>0</v>
      </c>
      <c r="BY199" s="25" t="str">
        <f t="shared" si="291"/>
        <v>0</v>
      </c>
      <c r="BZ199" s="25" t="str">
        <f t="shared" si="291"/>
        <v>0</v>
      </c>
      <c r="CC199" s="25" t="str">
        <f t="array" ref="CC199">INDEX($C$46:$C$74,MATCH(CD199,$B$46:$B$74,0))</f>
        <v>梅梅</v>
      </c>
      <c r="CD199" s="1">
        <v>1021</v>
      </c>
      <c r="CE199" s="1">
        <v>1</v>
      </c>
      <c r="CF199" s="25" t="str">
        <f t="array" ref="CF199">INDEX($T$5:$T$44,MATCH(CC199,$B$5:$B$44,0))</f>
        <v>物理</v>
      </c>
      <c r="CG199" s="25">
        <f t="shared" si="189"/>
        <v>0</v>
      </c>
      <c r="CH199" s="25">
        <f t="shared" si="168"/>
        <v>1</v>
      </c>
      <c r="CI199" s="25">
        <f t="shared" si="169"/>
        <v>1</v>
      </c>
      <c r="CJ199" s="25">
        <f t="shared" si="170"/>
        <v>1</v>
      </c>
      <c r="CK199" s="25">
        <f t="shared" si="171"/>
        <v>1</v>
      </c>
      <c r="CL199" s="25">
        <v>0</v>
      </c>
      <c r="CM199" s="25">
        <f t="shared" si="190"/>
        <v>0</v>
      </c>
      <c r="CN199" s="25">
        <f t="shared" si="172"/>
        <v>0</v>
      </c>
      <c r="CO199" s="25">
        <f t="shared" si="173"/>
        <v>0</v>
      </c>
      <c r="CP199" s="29" t="str">
        <f t="shared" ref="CP199:DQ199" si="292">IF($CL199=CP$78,$CN199,"0")</f>
        <v>0</v>
      </c>
      <c r="CQ199" s="29" t="str">
        <f t="shared" si="292"/>
        <v>0</v>
      </c>
      <c r="CR199" s="29" t="str">
        <f t="shared" si="292"/>
        <v>0</v>
      </c>
      <c r="CS199" s="29" t="str">
        <f t="shared" si="292"/>
        <v>0</v>
      </c>
      <c r="CT199" s="29" t="str">
        <f t="shared" si="292"/>
        <v>0</v>
      </c>
      <c r="CU199" s="29" t="str">
        <f t="shared" si="292"/>
        <v>0</v>
      </c>
      <c r="CV199" s="29" t="str">
        <f t="shared" si="292"/>
        <v>0</v>
      </c>
      <c r="CW199" s="29" t="str">
        <f t="shared" si="292"/>
        <v>0</v>
      </c>
      <c r="CX199" s="29" t="str">
        <f t="shared" si="292"/>
        <v>0</v>
      </c>
      <c r="CY199" s="29" t="str">
        <f t="shared" si="292"/>
        <v>0</v>
      </c>
      <c r="CZ199" s="29" t="str">
        <f t="shared" si="292"/>
        <v>0</v>
      </c>
      <c r="DA199" s="29" t="str">
        <f t="shared" si="292"/>
        <v>0</v>
      </c>
      <c r="DB199" s="29" t="str">
        <f t="shared" si="292"/>
        <v>0</v>
      </c>
      <c r="DC199" s="29" t="str">
        <f t="shared" si="292"/>
        <v>0</v>
      </c>
      <c r="DD199" s="29" t="str">
        <f t="shared" si="292"/>
        <v>0</v>
      </c>
      <c r="DE199" s="29" t="str">
        <f t="shared" si="292"/>
        <v>0</v>
      </c>
      <c r="DF199" s="29" t="str">
        <f t="shared" si="292"/>
        <v>0</v>
      </c>
      <c r="DG199" s="29" t="str">
        <f t="shared" si="292"/>
        <v>0</v>
      </c>
      <c r="DH199" s="29" t="str">
        <f t="shared" si="292"/>
        <v>0</v>
      </c>
      <c r="DI199" s="29" t="str">
        <f t="shared" si="292"/>
        <v>0</v>
      </c>
      <c r="DJ199" s="29" t="str">
        <f t="shared" si="292"/>
        <v>0</v>
      </c>
      <c r="DK199" s="29" t="str">
        <f t="shared" si="292"/>
        <v>0</v>
      </c>
      <c r="DL199" s="29" t="str">
        <f t="shared" si="292"/>
        <v>0</v>
      </c>
      <c r="DM199" s="29" t="str">
        <f t="shared" si="292"/>
        <v>0</v>
      </c>
      <c r="DN199" s="29" t="str">
        <f t="shared" si="292"/>
        <v>0</v>
      </c>
      <c r="DO199" s="29" t="str">
        <f t="shared" si="292"/>
        <v>0</v>
      </c>
      <c r="DP199" s="29" t="str">
        <f t="shared" si="292"/>
        <v>0</v>
      </c>
      <c r="DQ199" s="29" t="str">
        <f t="shared" si="292"/>
        <v>0</v>
      </c>
      <c r="DR199" s="29"/>
      <c r="DS199" s="25">
        <v>0</v>
      </c>
      <c r="EE199" s="25" t="str">
        <f t="shared" si="175"/>
        <v>0</v>
      </c>
    </row>
    <row r="200" spans="1:135">
      <c r="A200" s="48">
        <v>1003002</v>
      </c>
      <c r="B200" s="49" t="s">
        <v>321</v>
      </c>
      <c r="C200" s="25">
        <f t="shared" si="146"/>
        <v>2</v>
      </c>
      <c r="D200" s="25">
        <f t="array" ref="D200">INDEX(C$5:C$67,MATCH($B200,$B$5:$B$67,0))</f>
        <v>7700</v>
      </c>
      <c r="E200" s="25">
        <f t="array" ref="E200">INDEX(D$5:D$67,MATCH($B200,$B$5:$B$67,0))</f>
        <v>616</v>
      </c>
      <c r="F200" s="25">
        <f t="array" ref="F200">INDEX(E$5:E$67,MATCH($B200,$B$5:$B$67,0))</f>
        <v>734</v>
      </c>
      <c r="G200" s="25">
        <f t="array" ref="G200">INDEX(F$5:F$67,MATCH($B200,$B$5:$B$67,0))</f>
        <v>58.72</v>
      </c>
      <c r="H200" s="25">
        <f t="array" ref="H200">INDEX(G$5:G$66,MATCH($B200,$B$5:$B$67,0))</f>
        <v>918</v>
      </c>
      <c r="I200" s="25">
        <f t="array" ref="I200">INDEX(H$5:H$67,MATCH($B200,$B$5:$B$67,0))</f>
        <v>73.44</v>
      </c>
      <c r="J200" s="25">
        <f t="array" ref="J200">INDEX(I$5:I$67,MATCH($B200,$B$5:$B$67,0))</f>
        <v>900</v>
      </c>
      <c r="K200" s="25">
        <f t="array" ref="K200">INDEX(J$5:J$67,MATCH($B200,$B$5:$B$67,0))</f>
        <v>72</v>
      </c>
      <c r="L200" s="25">
        <f t="shared" si="156"/>
        <v>8932</v>
      </c>
      <c r="M200" s="25">
        <f t="shared" si="157"/>
        <v>851</v>
      </c>
      <c r="N200" s="25">
        <f t="shared" si="158"/>
        <v>1065</v>
      </c>
      <c r="O200" s="25">
        <f t="shared" si="159"/>
        <v>1044</v>
      </c>
      <c r="R200" s="50">
        <f t="array" ref="R200">INDEX($B$46:$B$68,MATCH(S200,$C$46:$C$68,0))*1000+T200</f>
        <v>1005014</v>
      </c>
      <c r="S200" s="51" t="s">
        <v>327</v>
      </c>
      <c r="T200" s="29">
        <f t="shared" si="232"/>
        <v>14</v>
      </c>
      <c r="U200" s="25">
        <f t="array" ref="U200">INDEX(K$5:K$67,MATCH($S200,$B$5:$B$67,0))</f>
        <v>402.57</v>
      </c>
      <c r="V200" s="25">
        <f t="array" ref="V200">INDEX(L$5:L$67,MATCH($S200,$B$5:$B$67,0))</f>
        <v>140.8</v>
      </c>
      <c r="W200" s="25">
        <f t="array" ref="W200">INDEX(M$5:M$67,MATCH($S200,$B$5:$B$67,0))</f>
        <v>101.38</v>
      </c>
      <c r="X200" s="25">
        <f t="array" ref="X200">INDEX(N$5:N$67,MATCH($S200,$B$5:$B$67,0))</f>
        <v>85</v>
      </c>
      <c r="Y200" s="25">
        <f t="shared" si="160"/>
        <v>5636</v>
      </c>
      <c r="Z200" s="25">
        <f t="shared" si="161"/>
        <v>1971</v>
      </c>
      <c r="AA200" s="25">
        <f t="shared" si="162"/>
        <v>1419</v>
      </c>
      <c r="AB200" s="25">
        <f t="shared" si="163"/>
        <v>1190</v>
      </c>
      <c r="AF200" s="25">
        <v>122</v>
      </c>
      <c r="AG200" s="25">
        <f t="array" ref="AG200">INDEX($AE$79:$AE$116,QUOTIENT(AF200-1,8)+1)</f>
        <v>1018</v>
      </c>
      <c r="AH200" s="25">
        <f t="shared" si="192"/>
        <v>2</v>
      </c>
      <c r="AI200" s="25">
        <f t="shared" si="164"/>
        <v>10182</v>
      </c>
      <c r="AJ200" s="25" t="str">
        <f t="shared" si="165"/>
        <v>埃莉诺</v>
      </c>
      <c r="AK200" s="25">
        <f t="shared" si="193"/>
        <v>2</v>
      </c>
      <c r="AL200" s="25" t="str">
        <f t="array" ref="AL200">INDEX($O$5:$O$42,MATCH(AJ200,$B$5:$B$42,0))</f>
        <v>生命值百分比</v>
      </c>
      <c r="AM200" s="25" t="str">
        <f t="array" ref="AM200">INDEX($P$5:$P$42,MATCH(AJ200,$B$5:$B$42,0))</f>
        <v>能量回复等级</v>
      </c>
      <c r="AN200" s="25" t="str">
        <f t="array" ref="AN200">INDEX($Q$5:$Q$42,MATCH(AJ200,$B$5:$B$42,0))</f>
        <v>技能冷却等级</v>
      </c>
      <c r="AO200" s="25" t="str">
        <f t="array" ref="AO200">INDEX(AL200:AN200,0,AK200)</f>
        <v>能量回复等级</v>
      </c>
      <c r="AP200" s="25">
        <f t="shared" si="151"/>
        <v>0.15</v>
      </c>
      <c r="AQ200" s="25">
        <f t="shared" si="166"/>
        <v>1350</v>
      </c>
      <c r="AR200" s="25" t="str">
        <f t="shared" ref="AR200:BZ200" si="293">IF(AR$78=$AO200,$AQ200,"0")</f>
        <v>0</v>
      </c>
      <c r="AS200" s="25" t="str">
        <f t="shared" si="293"/>
        <v>0</v>
      </c>
      <c r="AT200" s="25" t="str">
        <f t="shared" si="293"/>
        <v>0</v>
      </c>
      <c r="AU200" s="25" t="str">
        <f t="shared" si="293"/>
        <v>0</v>
      </c>
      <c r="AV200" s="25" t="str">
        <f t="shared" si="293"/>
        <v>0</v>
      </c>
      <c r="AW200" s="25" t="str">
        <f t="shared" si="293"/>
        <v>0</v>
      </c>
      <c r="AX200" s="25" t="str">
        <f t="shared" si="293"/>
        <v>0</v>
      </c>
      <c r="AY200" s="25" t="str">
        <f t="shared" si="293"/>
        <v>0</v>
      </c>
      <c r="AZ200" s="25" t="str">
        <f t="shared" si="293"/>
        <v>0</v>
      </c>
      <c r="BA200" s="25" t="str">
        <f t="shared" si="293"/>
        <v>0</v>
      </c>
      <c r="BB200" s="25" t="str">
        <f t="shared" si="293"/>
        <v>0</v>
      </c>
      <c r="BC200" s="25" t="str">
        <f t="shared" si="293"/>
        <v>0</v>
      </c>
      <c r="BD200" s="25" t="str">
        <f t="shared" si="293"/>
        <v>0</v>
      </c>
      <c r="BE200" s="25" t="str">
        <f t="shared" si="293"/>
        <v>0</v>
      </c>
      <c r="BF200" s="25" t="str">
        <f t="shared" si="293"/>
        <v>0</v>
      </c>
      <c r="BG200" s="25" t="str">
        <f t="shared" si="293"/>
        <v>0</v>
      </c>
      <c r="BH200" s="25" t="str">
        <f t="shared" si="293"/>
        <v>0</v>
      </c>
      <c r="BI200" s="25" t="str">
        <f t="shared" si="293"/>
        <v>0</v>
      </c>
      <c r="BJ200" s="25" t="str">
        <f t="shared" si="293"/>
        <v>0</v>
      </c>
      <c r="BK200" s="25" t="str">
        <f t="shared" si="293"/>
        <v>0</v>
      </c>
      <c r="BL200" s="25" t="str">
        <f t="shared" si="293"/>
        <v>0</v>
      </c>
      <c r="BM200" s="25" t="str">
        <f t="shared" si="293"/>
        <v>0</v>
      </c>
      <c r="BN200" s="25" t="str">
        <f t="shared" si="293"/>
        <v>0</v>
      </c>
      <c r="BO200" s="25" t="str">
        <f t="shared" si="293"/>
        <v>0</v>
      </c>
      <c r="BP200" s="25" t="str">
        <f t="shared" si="293"/>
        <v>0</v>
      </c>
      <c r="BQ200" s="25" t="str">
        <f t="shared" si="293"/>
        <v>0</v>
      </c>
      <c r="BR200" s="25" t="str">
        <f t="shared" si="293"/>
        <v>0</v>
      </c>
      <c r="BS200" s="25" t="str">
        <f t="shared" si="293"/>
        <v>0</v>
      </c>
      <c r="BT200" s="25" t="str">
        <f t="shared" si="293"/>
        <v>0</v>
      </c>
      <c r="BU200" s="25" t="str">
        <f t="shared" si="293"/>
        <v>0</v>
      </c>
      <c r="BV200" s="25" t="str">
        <f t="shared" si="293"/>
        <v>0</v>
      </c>
      <c r="BW200" s="25" t="str">
        <f t="shared" si="293"/>
        <v>0</v>
      </c>
      <c r="BX200" s="25" t="str">
        <f t="shared" si="293"/>
        <v>0</v>
      </c>
      <c r="BY200" s="25">
        <f t="shared" si="293"/>
        <v>1350</v>
      </c>
      <c r="BZ200" s="25" t="str">
        <f t="shared" si="293"/>
        <v>0</v>
      </c>
      <c r="CC200" s="25" t="str">
        <f t="array" ref="CC200">INDEX($C$46:$C$74,MATCH(CD200,$B$46:$B$74,0))</f>
        <v>梅梅</v>
      </c>
      <c r="CD200" s="1">
        <v>1021</v>
      </c>
      <c r="CE200" s="1">
        <v>2</v>
      </c>
      <c r="CF200" s="25" t="str">
        <f t="array" ref="CF200">INDEX($T$5:$T$44,MATCH(CC200,$B$5:$B$44,0))</f>
        <v>物理</v>
      </c>
      <c r="CG200" s="25">
        <f t="shared" si="189"/>
        <v>0</v>
      </c>
      <c r="CH200" s="25">
        <f t="shared" si="168"/>
        <v>1</v>
      </c>
      <c r="CI200" s="25">
        <f t="shared" si="169"/>
        <v>1</v>
      </c>
      <c r="CJ200" s="25">
        <f t="shared" si="170"/>
        <v>1</v>
      </c>
      <c r="CK200" s="25">
        <f t="shared" si="171"/>
        <v>1</v>
      </c>
      <c r="CL200" s="25">
        <v>0</v>
      </c>
      <c r="CM200" s="25">
        <f t="shared" si="190"/>
        <v>0</v>
      </c>
      <c r="CN200" s="25">
        <f t="shared" si="172"/>
        <v>0</v>
      </c>
      <c r="CO200" s="25">
        <f t="shared" si="173"/>
        <v>0</v>
      </c>
      <c r="CP200" s="29" t="str">
        <f t="shared" ref="CP200:DQ200" si="294">IF($CL200=CP$78,$CN200,"0")</f>
        <v>0</v>
      </c>
      <c r="CQ200" s="29" t="str">
        <f t="shared" si="294"/>
        <v>0</v>
      </c>
      <c r="CR200" s="29" t="str">
        <f t="shared" si="294"/>
        <v>0</v>
      </c>
      <c r="CS200" s="29" t="str">
        <f t="shared" si="294"/>
        <v>0</v>
      </c>
      <c r="CT200" s="29" t="str">
        <f t="shared" si="294"/>
        <v>0</v>
      </c>
      <c r="CU200" s="29" t="str">
        <f t="shared" si="294"/>
        <v>0</v>
      </c>
      <c r="CV200" s="29" t="str">
        <f t="shared" si="294"/>
        <v>0</v>
      </c>
      <c r="CW200" s="29" t="str">
        <f t="shared" si="294"/>
        <v>0</v>
      </c>
      <c r="CX200" s="29" t="str">
        <f t="shared" si="294"/>
        <v>0</v>
      </c>
      <c r="CY200" s="29" t="str">
        <f t="shared" si="294"/>
        <v>0</v>
      </c>
      <c r="CZ200" s="29" t="str">
        <f t="shared" si="294"/>
        <v>0</v>
      </c>
      <c r="DA200" s="29" t="str">
        <f t="shared" si="294"/>
        <v>0</v>
      </c>
      <c r="DB200" s="29" t="str">
        <f t="shared" si="294"/>
        <v>0</v>
      </c>
      <c r="DC200" s="29" t="str">
        <f t="shared" si="294"/>
        <v>0</v>
      </c>
      <c r="DD200" s="29" t="str">
        <f t="shared" si="294"/>
        <v>0</v>
      </c>
      <c r="DE200" s="29" t="str">
        <f t="shared" si="294"/>
        <v>0</v>
      </c>
      <c r="DF200" s="29" t="str">
        <f t="shared" si="294"/>
        <v>0</v>
      </c>
      <c r="DG200" s="29" t="str">
        <f t="shared" si="294"/>
        <v>0</v>
      </c>
      <c r="DH200" s="29" t="str">
        <f t="shared" si="294"/>
        <v>0</v>
      </c>
      <c r="DI200" s="29" t="str">
        <f t="shared" si="294"/>
        <v>0</v>
      </c>
      <c r="DJ200" s="29" t="str">
        <f t="shared" si="294"/>
        <v>0</v>
      </c>
      <c r="DK200" s="29" t="str">
        <f t="shared" si="294"/>
        <v>0</v>
      </c>
      <c r="DL200" s="29" t="str">
        <f t="shared" si="294"/>
        <v>0</v>
      </c>
      <c r="DM200" s="29" t="str">
        <f t="shared" si="294"/>
        <v>0</v>
      </c>
      <c r="DN200" s="29" t="str">
        <f t="shared" si="294"/>
        <v>0</v>
      </c>
      <c r="DO200" s="29" t="str">
        <f t="shared" si="294"/>
        <v>0</v>
      </c>
      <c r="DP200" s="29" t="str">
        <f t="shared" si="294"/>
        <v>0</v>
      </c>
      <c r="DQ200" s="29" t="str">
        <f t="shared" si="294"/>
        <v>0</v>
      </c>
      <c r="DR200" s="29"/>
      <c r="DS200" s="25">
        <v>0</v>
      </c>
      <c r="EE200" s="25" t="str">
        <f t="shared" si="175"/>
        <v>0</v>
      </c>
    </row>
    <row r="201" spans="1:135">
      <c r="A201" s="48">
        <v>1003003</v>
      </c>
      <c r="B201" s="49" t="s">
        <v>321</v>
      </c>
      <c r="C201" s="25">
        <f t="shared" si="146"/>
        <v>3</v>
      </c>
      <c r="D201" s="25">
        <f t="array" ref="D201">INDEX(C$5:C$67,MATCH($B201,$B$5:$B$67,0))</f>
        <v>7700</v>
      </c>
      <c r="E201" s="25">
        <f t="array" ref="E201">INDEX(D$5:D$67,MATCH($B201,$B$5:$B$67,0))</f>
        <v>616</v>
      </c>
      <c r="F201" s="25">
        <f t="array" ref="F201">INDEX(E$5:E$67,MATCH($B201,$B$5:$B$67,0))</f>
        <v>734</v>
      </c>
      <c r="G201" s="25">
        <f t="array" ref="G201">INDEX(F$5:F$67,MATCH($B201,$B$5:$B$67,0))</f>
        <v>58.72</v>
      </c>
      <c r="H201" s="25">
        <f t="array" ref="H201">INDEX(G$5:G$66,MATCH($B201,$B$5:$B$67,0))</f>
        <v>918</v>
      </c>
      <c r="I201" s="25">
        <f t="array" ref="I201">INDEX(H$5:H$67,MATCH($B201,$B$5:$B$67,0))</f>
        <v>73.44</v>
      </c>
      <c r="J201" s="25">
        <f t="array" ref="J201">INDEX(I$5:I$67,MATCH($B201,$B$5:$B$67,0))</f>
        <v>900</v>
      </c>
      <c r="K201" s="25">
        <f t="array" ref="K201">INDEX(J$5:J$67,MATCH($B201,$B$5:$B$67,0))</f>
        <v>72</v>
      </c>
      <c r="L201" s="25">
        <f t="shared" si="156"/>
        <v>9548</v>
      </c>
      <c r="M201" s="25">
        <f t="shared" si="157"/>
        <v>910</v>
      </c>
      <c r="N201" s="25">
        <f t="shared" si="158"/>
        <v>1138</v>
      </c>
      <c r="O201" s="25">
        <f t="shared" si="159"/>
        <v>1116</v>
      </c>
      <c r="R201" s="50">
        <f t="array" ref="R201">INDEX($B$46:$B$68,MATCH(S201,$C$46:$C$68,0))*1000+T201</f>
        <v>1005015</v>
      </c>
      <c r="S201" s="51" t="s">
        <v>327</v>
      </c>
      <c r="T201" s="29">
        <f t="shared" si="232"/>
        <v>15</v>
      </c>
      <c r="U201" s="25">
        <f t="array" ref="U201">INDEX(K$5:K$67,MATCH($S201,$B$5:$B$67,0))</f>
        <v>402.57</v>
      </c>
      <c r="V201" s="25">
        <f t="array" ref="V201">INDEX(L$5:L$67,MATCH($S201,$B$5:$B$67,0))</f>
        <v>140.8</v>
      </c>
      <c r="W201" s="25">
        <f t="array" ref="W201">INDEX(M$5:M$67,MATCH($S201,$B$5:$B$67,0))</f>
        <v>101.38</v>
      </c>
      <c r="X201" s="25">
        <f t="array" ref="X201">INDEX(N$5:N$67,MATCH($S201,$B$5:$B$67,0))</f>
        <v>85</v>
      </c>
      <c r="Y201" s="25">
        <f t="shared" si="160"/>
        <v>6039</v>
      </c>
      <c r="Z201" s="25">
        <f t="shared" si="161"/>
        <v>2112</v>
      </c>
      <c r="AA201" s="25">
        <f t="shared" si="162"/>
        <v>1521</v>
      </c>
      <c r="AB201" s="25">
        <f t="shared" si="163"/>
        <v>1275</v>
      </c>
      <c r="AF201" s="25">
        <v>123</v>
      </c>
      <c r="AG201" s="25">
        <f t="array" ref="AG201">INDEX($AE$79:$AE$116,QUOTIENT(AF201-1,8)+1)</f>
        <v>1018</v>
      </c>
      <c r="AH201" s="25">
        <f t="shared" si="192"/>
        <v>3</v>
      </c>
      <c r="AI201" s="25">
        <f t="shared" si="164"/>
        <v>10183</v>
      </c>
      <c r="AJ201" s="25" t="str">
        <f t="shared" si="165"/>
        <v>埃莉诺</v>
      </c>
      <c r="AK201" s="25">
        <f t="shared" si="193"/>
        <v>3</v>
      </c>
      <c r="AL201" s="25" t="str">
        <f t="array" ref="AL201">INDEX($O$5:$O$42,MATCH(AJ201,$B$5:$B$42,0))</f>
        <v>生命值百分比</v>
      </c>
      <c r="AM201" s="25" t="str">
        <f t="array" ref="AM201">INDEX($P$5:$P$42,MATCH(AJ201,$B$5:$B$42,0))</f>
        <v>能量回复等级</v>
      </c>
      <c r="AN201" s="25" t="str">
        <f t="array" ref="AN201">INDEX($Q$5:$Q$42,MATCH(AJ201,$B$5:$B$42,0))</f>
        <v>技能冷却等级</v>
      </c>
      <c r="AO201" s="25" t="str">
        <f t="array" ref="AO201">INDEX(AL201:AN201,0,AK201)</f>
        <v>技能冷却等级</v>
      </c>
      <c r="AP201" s="25">
        <f t="shared" si="151"/>
        <v>0.216666666666667</v>
      </c>
      <c r="AQ201" s="25">
        <f t="shared" si="166"/>
        <v>2816.66666666667</v>
      </c>
      <c r="AR201" s="25" t="str">
        <f t="shared" ref="AR201:BZ201" si="295">IF(AR$78=$AO201,$AQ201,"0")</f>
        <v>0</v>
      </c>
      <c r="AS201" s="25" t="str">
        <f t="shared" si="295"/>
        <v>0</v>
      </c>
      <c r="AT201" s="25" t="str">
        <f t="shared" si="295"/>
        <v>0</v>
      </c>
      <c r="AU201" s="25" t="str">
        <f t="shared" si="295"/>
        <v>0</v>
      </c>
      <c r="AV201" s="25" t="str">
        <f t="shared" si="295"/>
        <v>0</v>
      </c>
      <c r="AW201" s="25" t="str">
        <f t="shared" si="295"/>
        <v>0</v>
      </c>
      <c r="AX201" s="25" t="str">
        <f t="shared" si="295"/>
        <v>0</v>
      </c>
      <c r="AY201" s="25" t="str">
        <f t="shared" si="295"/>
        <v>0</v>
      </c>
      <c r="AZ201" s="25" t="str">
        <f t="shared" si="295"/>
        <v>0</v>
      </c>
      <c r="BA201" s="25" t="str">
        <f t="shared" si="295"/>
        <v>0</v>
      </c>
      <c r="BB201" s="25" t="str">
        <f t="shared" si="295"/>
        <v>0</v>
      </c>
      <c r="BC201" s="25" t="str">
        <f t="shared" si="295"/>
        <v>0</v>
      </c>
      <c r="BD201" s="25" t="str">
        <f t="shared" si="295"/>
        <v>0</v>
      </c>
      <c r="BE201" s="25" t="str">
        <f t="shared" si="295"/>
        <v>0</v>
      </c>
      <c r="BF201" s="25" t="str">
        <f t="shared" si="295"/>
        <v>0</v>
      </c>
      <c r="BG201" s="25" t="str">
        <f t="shared" si="295"/>
        <v>0</v>
      </c>
      <c r="BH201" s="25" t="str">
        <f t="shared" si="295"/>
        <v>0</v>
      </c>
      <c r="BI201" s="25" t="str">
        <f t="shared" si="295"/>
        <v>0</v>
      </c>
      <c r="BJ201" s="25" t="str">
        <f t="shared" si="295"/>
        <v>0</v>
      </c>
      <c r="BK201" s="25" t="str">
        <f t="shared" si="295"/>
        <v>0</v>
      </c>
      <c r="BL201" s="25" t="str">
        <f t="shared" si="295"/>
        <v>0</v>
      </c>
      <c r="BM201" s="25" t="str">
        <f t="shared" si="295"/>
        <v>0</v>
      </c>
      <c r="BN201" s="25" t="str">
        <f t="shared" si="295"/>
        <v>0</v>
      </c>
      <c r="BO201" s="25" t="str">
        <f t="shared" si="295"/>
        <v>0</v>
      </c>
      <c r="BP201" s="25" t="str">
        <f t="shared" si="295"/>
        <v>0</v>
      </c>
      <c r="BQ201" s="25" t="str">
        <f t="shared" si="295"/>
        <v>0</v>
      </c>
      <c r="BR201" s="25" t="str">
        <f t="shared" si="295"/>
        <v>0</v>
      </c>
      <c r="BS201" s="25" t="str">
        <f t="shared" si="295"/>
        <v>0</v>
      </c>
      <c r="BT201" s="25" t="str">
        <f t="shared" si="295"/>
        <v>0</v>
      </c>
      <c r="BU201" s="25" t="str">
        <f t="shared" si="295"/>
        <v>0</v>
      </c>
      <c r="BV201" s="25" t="str">
        <f t="shared" si="295"/>
        <v>0</v>
      </c>
      <c r="BW201" s="25" t="str">
        <f t="shared" si="295"/>
        <v>0</v>
      </c>
      <c r="BX201" s="25" t="str">
        <f t="shared" si="295"/>
        <v>0</v>
      </c>
      <c r="BY201" s="25" t="str">
        <f t="shared" si="295"/>
        <v>0</v>
      </c>
      <c r="BZ201" s="25">
        <f t="shared" si="295"/>
        <v>2816.66666666667</v>
      </c>
      <c r="CC201" s="25" t="str">
        <f t="array" ref="CC201">INDEX($C$46:$C$74,MATCH(CD201,$B$46:$B$74,0))</f>
        <v>梅梅</v>
      </c>
      <c r="CD201" s="1">
        <v>1021</v>
      </c>
      <c r="CE201" s="1">
        <v>3</v>
      </c>
      <c r="CF201" s="25" t="str">
        <f t="array" ref="CF201">INDEX($T$5:$T$44,MATCH(CC201,$B$5:$B$44,0))</f>
        <v>物理</v>
      </c>
      <c r="CG201" s="25">
        <f t="shared" si="189"/>
        <v>0.15</v>
      </c>
      <c r="CH201" s="25">
        <f t="shared" si="168"/>
        <v>1.15</v>
      </c>
      <c r="CI201" s="25">
        <f t="shared" si="169"/>
        <v>1.15</v>
      </c>
      <c r="CJ201" s="25">
        <f t="shared" si="170"/>
        <v>1</v>
      </c>
      <c r="CK201" s="25">
        <f t="shared" si="171"/>
        <v>1.15</v>
      </c>
      <c r="CL201" s="25" t="str">
        <f t="array" ref="CL201">INDEX($R$5:$R$43,MATCH(CC201,$B$5:$B$43,0))</f>
        <v>物理伤害加成</v>
      </c>
      <c r="CM201" s="25">
        <f t="shared" si="190"/>
        <v>0.3</v>
      </c>
      <c r="CN201" s="25">
        <f t="shared" si="172"/>
        <v>0.12</v>
      </c>
      <c r="CO201" s="25">
        <f t="shared" si="173"/>
        <v>1</v>
      </c>
      <c r="CP201" s="29" t="str">
        <f t="shared" ref="CP201:DQ201" si="296">IF($CL201=CP$78,$CN201,"0")</f>
        <v>0</v>
      </c>
      <c r="CQ201" s="29" t="str">
        <f t="shared" si="296"/>
        <v>0</v>
      </c>
      <c r="CR201" s="29" t="str">
        <f t="shared" si="296"/>
        <v>0</v>
      </c>
      <c r="CS201" s="29" t="str">
        <f t="shared" si="296"/>
        <v>0</v>
      </c>
      <c r="CT201" s="29" t="str">
        <f t="shared" si="296"/>
        <v>0</v>
      </c>
      <c r="CU201" s="29" t="str">
        <f t="shared" si="296"/>
        <v>0</v>
      </c>
      <c r="CV201" s="29" t="str">
        <f t="shared" si="296"/>
        <v>0</v>
      </c>
      <c r="CW201" s="29" t="str">
        <f t="shared" si="296"/>
        <v>0</v>
      </c>
      <c r="CX201" s="29" t="str">
        <f t="shared" si="296"/>
        <v>0</v>
      </c>
      <c r="CY201" s="29" t="str">
        <f t="shared" si="296"/>
        <v>0</v>
      </c>
      <c r="CZ201" s="29" t="str">
        <f t="shared" si="296"/>
        <v>0</v>
      </c>
      <c r="DA201" s="29" t="str">
        <f t="shared" si="296"/>
        <v>0</v>
      </c>
      <c r="DB201" s="29">
        <f t="shared" si="296"/>
        <v>0.12</v>
      </c>
      <c r="DC201" s="29" t="str">
        <f t="shared" si="296"/>
        <v>0</v>
      </c>
      <c r="DD201" s="29" t="str">
        <f t="shared" si="296"/>
        <v>0</v>
      </c>
      <c r="DE201" s="29" t="str">
        <f t="shared" si="296"/>
        <v>0</v>
      </c>
      <c r="DF201" s="29" t="str">
        <f t="shared" si="296"/>
        <v>0</v>
      </c>
      <c r="DG201" s="29" t="str">
        <f t="shared" si="296"/>
        <v>0</v>
      </c>
      <c r="DH201" s="29" t="str">
        <f t="shared" si="296"/>
        <v>0</v>
      </c>
      <c r="DI201" s="29" t="str">
        <f t="shared" si="296"/>
        <v>0</v>
      </c>
      <c r="DJ201" s="29" t="str">
        <f t="shared" si="296"/>
        <v>0</v>
      </c>
      <c r="DK201" s="29" t="str">
        <f t="shared" si="296"/>
        <v>0</v>
      </c>
      <c r="DL201" s="29" t="str">
        <f t="shared" si="296"/>
        <v>0</v>
      </c>
      <c r="DM201" s="29" t="str">
        <f t="shared" si="296"/>
        <v>0</v>
      </c>
      <c r="DN201" s="29" t="str">
        <f t="shared" si="296"/>
        <v>0</v>
      </c>
      <c r="DO201" s="29" t="str">
        <f t="shared" si="296"/>
        <v>0</v>
      </c>
      <c r="DP201" s="29" t="str">
        <f t="shared" si="296"/>
        <v>0</v>
      </c>
      <c r="DQ201" s="29" t="str">
        <f t="shared" si="296"/>
        <v>0</v>
      </c>
      <c r="DR201" s="29"/>
      <c r="DS201" s="25" t="s">
        <v>1011</v>
      </c>
      <c r="DT201" s="25" t="str">
        <f>TEXT(角色升星!$F$18,"0%")</f>
        <v>15%</v>
      </c>
      <c r="DU201" s="25" t="s">
        <v>779</v>
      </c>
      <c r="DV201" s="25" t="str">
        <f>IF(CF201="物理","PhysicsAttack,+","MagicAttack,+")</f>
        <v>PhysicsAttack,+</v>
      </c>
      <c r="DW201" s="25" t="str">
        <f>TEXT(角色升星!$F$18,"0%")</f>
        <v>15%</v>
      </c>
      <c r="DX201" s="25" t="s">
        <v>779</v>
      </c>
      <c r="DY201" s="25" t="s">
        <v>1012</v>
      </c>
      <c r="DZ201" s="25" t="str">
        <f>TEXT(角色升星!$F$18,"0%")</f>
        <v>15%</v>
      </c>
      <c r="EA201" s="25" t="s">
        <v>779</v>
      </c>
      <c r="EB201" s="25" t="str">
        <f>VLOOKUP(CL201,$O$46:$P$73,2,0)</f>
        <v>PhysicsDmgBonus</v>
      </c>
      <c r="EC201" s="25" t="s">
        <v>1013</v>
      </c>
      <c r="ED201" s="25" t="str">
        <f>IF(CN201&gt;1,CN201,TEXT(CN201,"0%"))</f>
        <v>12%</v>
      </c>
      <c r="EE201" s="25" t="str">
        <f t="shared" si="175"/>
        <v>Hp,+15%;PhysicsAttack,+15%;Armor,+15%;PhysicsDmgBonus,+12%</v>
      </c>
    </row>
    <row r="202" spans="1:135">
      <c r="A202" s="48">
        <v>1003004</v>
      </c>
      <c r="B202" s="49" t="s">
        <v>321</v>
      </c>
      <c r="C202" s="25">
        <f t="shared" si="146"/>
        <v>4</v>
      </c>
      <c r="D202" s="25">
        <f t="array" ref="D202">INDEX(C$5:C$67,MATCH($B202,$B$5:$B$67,0))</f>
        <v>7700</v>
      </c>
      <c r="E202" s="25">
        <f t="array" ref="E202">INDEX(D$5:D$67,MATCH($B202,$B$5:$B$67,0))</f>
        <v>616</v>
      </c>
      <c r="F202" s="25">
        <f t="array" ref="F202">INDEX(E$5:E$67,MATCH($B202,$B$5:$B$67,0))</f>
        <v>734</v>
      </c>
      <c r="G202" s="25">
        <f t="array" ref="G202">INDEX(F$5:F$67,MATCH($B202,$B$5:$B$67,0))</f>
        <v>58.72</v>
      </c>
      <c r="H202" s="25">
        <f t="array" ref="H202">INDEX(G$5:G$66,MATCH($B202,$B$5:$B$67,0))</f>
        <v>918</v>
      </c>
      <c r="I202" s="25">
        <f t="array" ref="I202">INDEX(H$5:H$67,MATCH($B202,$B$5:$B$67,0))</f>
        <v>73.44</v>
      </c>
      <c r="J202" s="25">
        <f t="array" ref="J202">INDEX(I$5:I$67,MATCH($B202,$B$5:$B$67,0))</f>
        <v>900</v>
      </c>
      <c r="K202" s="25">
        <f t="array" ref="K202">INDEX(J$5:J$67,MATCH($B202,$B$5:$B$67,0))</f>
        <v>72</v>
      </c>
      <c r="L202" s="25">
        <f t="shared" si="156"/>
        <v>10164</v>
      </c>
      <c r="M202" s="25">
        <f t="shared" si="157"/>
        <v>969</v>
      </c>
      <c r="N202" s="25">
        <f t="shared" si="158"/>
        <v>1212</v>
      </c>
      <c r="O202" s="25">
        <f t="shared" si="159"/>
        <v>1188</v>
      </c>
      <c r="R202" s="50">
        <f t="array" ref="R202">INDEX($B$46:$B$68,MATCH(S202,$C$46:$C$68,0))*1000+T202</f>
        <v>1005016</v>
      </c>
      <c r="S202" s="51" t="s">
        <v>327</v>
      </c>
      <c r="T202" s="29">
        <f t="shared" si="232"/>
        <v>16</v>
      </c>
      <c r="U202" s="25">
        <f t="array" ref="U202">INDEX(K$5:K$67,MATCH($S202,$B$5:$B$67,0))</f>
        <v>402.57</v>
      </c>
      <c r="V202" s="25">
        <f t="array" ref="V202">INDEX(L$5:L$67,MATCH($S202,$B$5:$B$67,0))</f>
        <v>140.8</v>
      </c>
      <c r="W202" s="25">
        <f t="array" ref="W202">INDEX(M$5:M$67,MATCH($S202,$B$5:$B$67,0))</f>
        <v>101.38</v>
      </c>
      <c r="X202" s="25">
        <f t="array" ref="X202">INDEX(N$5:N$67,MATCH($S202,$B$5:$B$67,0))</f>
        <v>85</v>
      </c>
      <c r="Y202" s="25">
        <f t="shared" si="160"/>
        <v>6441</v>
      </c>
      <c r="Z202" s="25">
        <f t="shared" si="161"/>
        <v>2253</v>
      </c>
      <c r="AA202" s="25">
        <f t="shared" si="162"/>
        <v>1622</v>
      </c>
      <c r="AB202" s="25">
        <f t="shared" si="163"/>
        <v>1360</v>
      </c>
      <c r="AF202" s="25">
        <v>124</v>
      </c>
      <c r="AG202" s="25">
        <f t="array" ref="AG202">INDEX($AE$79:$AE$116,QUOTIENT(AF202-1,8)+1)</f>
        <v>1018</v>
      </c>
      <c r="AH202" s="25">
        <f t="shared" si="192"/>
        <v>4</v>
      </c>
      <c r="AI202" s="25">
        <f t="shared" si="164"/>
        <v>10184</v>
      </c>
      <c r="AJ202" s="25" t="str">
        <f t="shared" si="165"/>
        <v>埃莉诺</v>
      </c>
      <c r="AK202" s="25">
        <f t="shared" si="193"/>
        <v>2</v>
      </c>
      <c r="AL202" s="25" t="str">
        <f t="array" ref="AL202">INDEX($O$5:$O$42,MATCH(AJ202,$B$5:$B$42,0))</f>
        <v>生命值百分比</v>
      </c>
      <c r="AM202" s="25" t="str">
        <f t="array" ref="AM202">INDEX($P$5:$P$42,MATCH(AJ202,$B$5:$B$42,0))</f>
        <v>能量回复等级</v>
      </c>
      <c r="AN202" s="25" t="str">
        <f t="array" ref="AN202">INDEX($Q$5:$Q$42,MATCH(AJ202,$B$5:$B$42,0))</f>
        <v>技能冷却等级</v>
      </c>
      <c r="AO202" s="25" t="str">
        <f t="array" ref="AO202">INDEX(AL202:AN202,0,AK202)</f>
        <v>能量回复等级</v>
      </c>
      <c r="AP202" s="25">
        <f t="shared" si="151"/>
        <v>0.15</v>
      </c>
      <c r="AQ202" s="25">
        <f t="shared" si="166"/>
        <v>1350</v>
      </c>
      <c r="AR202" s="25" t="str">
        <f t="shared" ref="AR202:BZ202" si="297">IF(AR$78=$AO202,$AQ202,"0")</f>
        <v>0</v>
      </c>
      <c r="AS202" s="25" t="str">
        <f t="shared" si="297"/>
        <v>0</v>
      </c>
      <c r="AT202" s="25" t="str">
        <f t="shared" si="297"/>
        <v>0</v>
      </c>
      <c r="AU202" s="25" t="str">
        <f t="shared" si="297"/>
        <v>0</v>
      </c>
      <c r="AV202" s="25" t="str">
        <f t="shared" si="297"/>
        <v>0</v>
      </c>
      <c r="AW202" s="25" t="str">
        <f t="shared" si="297"/>
        <v>0</v>
      </c>
      <c r="AX202" s="25" t="str">
        <f t="shared" si="297"/>
        <v>0</v>
      </c>
      <c r="AY202" s="25" t="str">
        <f t="shared" si="297"/>
        <v>0</v>
      </c>
      <c r="AZ202" s="25" t="str">
        <f t="shared" si="297"/>
        <v>0</v>
      </c>
      <c r="BA202" s="25" t="str">
        <f t="shared" si="297"/>
        <v>0</v>
      </c>
      <c r="BB202" s="25" t="str">
        <f t="shared" si="297"/>
        <v>0</v>
      </c>
      <c r="BC202" s="25" t="str">
        <f t="shared" si="297"/>
        <v>0</v>
      </c>
      <c r="BD202" s="25" t="str">
        <f t="shared" si="297"/>
        <v>0</v>
      </c>
      <c r="BE202" s="25" t="str">
        <f t="shared" si="297"/>
        <v>0</v>
      </c>
      <c r="BF202" s="25" t="str">
        <f t="shared" si="297"/>
        <v>0</v>
      </c>
      <c r="BG202" s="25" t="str">
        <f t="shared" si="297"/>
        <v>0</v>
      </c>
      <c r="BH202" s="25" t="str">
        <f t="shared" si="297"/>
        <v>0</v>
      </c>
      <c r="BI202" s="25" t="str">
        <f t="shared" si="297"/>
        <v>0</v>
      </c>
      <c r="BJ202" s="25" t="str">
        <f t="shared" si="297"/>
        <v>0</v>
      </c>
      <c r="BK202" s="25" t="str">
        <f t="shared" si="297"/>
        <v>0</v>
      </c>
      <c r="BL202" s="25" t="str">
        <f t="shared" si="297"/>
        <v>0</v>
      </c>
      <c r="BM202" s="25" t="str">
        <f t="shared" si="297"/>
        <v>0</v>
      </c>
      <c r="BN202" s="25" t="str">
        <f t="shared" si="297"/>
        <v>0</v>
      </c>
      <c r="BO202" s="25" t="str">
        <f t="shared" si="297"/>
        <v>0</v>
      </c>
      <c r="BP202" s="25" t="str">
        <f t="shared" si="297"/>
        <v>0</v>
      </c>
      <c r="BQ202" s="25" t="str">
        <f t="shared" si="297"/>
        <v>0</v>
      </c>
      <c r="BR202" s="25" t="str">
        <f t="shared" si="297"/>
        <v>0</v>
      </c>
      <c r="BS202" s="25" t="str">
        <f t="shared" si="297"/>
        <v>0</v>
      </c>
      <c r="BT202" s="25" t="str">
        <f t="shared" si="297"/>
        <v>0</v>
      </c>
      <c r="BU202" s="25" t="str">
        <f t="shared" si="297"/>
        <v>0</v>
      </c>
      <c r="BV202" s="25" t="str">
        <f t="shared" si="297"/>
        <v>0</v>
      </c>
      <c r="BW202" s="25" t="str">
        <f t="shared" si="297"/>
        <v>0</v>
      </c>
      <c r="BX202" s="25" t="str">
        <f t="shared" si="297"/>
        <v>0</v>
      </c>
      <c r="BY202" s="25">
        <f t="shared" si="297"/>
        <v>1350</v>
      </c>
      <c r="BZ202" s="25" t="str">
        <f t="shared" si="297"/>
        <v>0</v>
      </c>
      <c r="CC202" s="25" t="str">
        <f t="array" ref="CC202">INDEX($C$46:$C$74,MATCH(CD202,$B$46:$B$74,0))</f>
        <v>梅梅</v>
      </c>
      <c r="CD202" s="1">
        <v>1021</v>
      </c>
      <c r="CE202" s="1">
        <v>4</v>
      </c>
      <c r="CF202" s="25" t="str">
        <f t="array" ref="CF202">INDEX($T$5:$T$44,MATCH(CC202,$B$5:$B$44,0))</f>
        <v>物理</v>
      </c>
      <c r="CG202" s="25">
        <f t="shared" si="189"/>
        <v>0.15</v>
      </c>
      <c r="CH202" s="25">
        <f t="shared" si="168"/>
        <v>1.15</v>
      </c>
      <c r="CI202" s="25">
        <f t="shared" si="169"/>
        <v>1.15</v>
      </c>
      <c r="CJ202" s="25">
        <f t="shared" si="170"/>
        <v>1</v>
      </c>
      <c r="CK202" s="25">
        <f t="shared" si="171"/>
        <v>1.15</v>
      </c>
      <c r="CL202" s="25">
        <v>0</v>
      </c>
      <c r="CM202" s="25">
        <f t="shared" si="190"/>
        <v>0</v>
      </c>
      <c r="CN202" s="25">
        <f t="shared" si="172"/>
        <v>0</v>
      </c>
      <c r="CO202" s="25">
        <f t="shared" si="173"/>
        <v>0</v>
      </c>
      <c r="CP202" s="29" t="str">
        <f t="shared" ref="CP202:DQ202" si="298">IF($CL202=CP$78,$CN202,"0")</f>
        <v>0</v>
      </c>
      <c r="CQ202" s="29" t="str">
        <f t="shared" si="298"/>
        <v>0</v>
      </c>
      <c r="CR202" s="29" t="str">
        <f t="shared" si="298"/>
        <v>0</v>
      </c>
      <c r="CS202" s="29" t="str">
        <f t="shared" si="298"/>
        <v>0</v>
      </c>
      <c r="CT202" s="29" t="str">
        <f t="shared" si="298"/>
        <v>0</v>
      </c>
      <c r="CU202" s="29" t="str">
        <f t="shared" si="298"/>
        <v>0</v>
      </c>
      <c r="CV202" s="29" t="str">
        <f t="shared" si="298"/>
        <v>0</v>
      </c>
      <c r="CW202" s="29" t="str">
        <f t="shared" si="298"/>
        <v>0</v>
      </c>
      <c r="CX202" s="29" t="str">
        <f t="shared" si="298"/>
        <v>0</v>
      </c>
      <c r="CY202" s="29" t="str">
        <f t="shared" si="298"/>
        <v>0</v>
      </c>
      <c r="CZ202" s="29" t="str">
        <f t="shared" si="298"/>
        <v>0</v>
      </c>
      <c r="DA202" s="29" t="str">
        <f t="shared" si="298"/>
        <v>0</v>
      </c>
      <c r="DB202" s="29" t="str">
        <f t="shared" si="298"/>
        <v>0</v>
      </c>
      <c r="DC202" s="29" t="str">
        <f t="shared" si="298"/>
        <v>0</v>
      </c>
      <c r="DD202" s="29" t="str">
        <f t="shared" si="298"/>
        <v>0</v>
      </c>
      <c r="DE202" s="29" t="str">
        <f t="shared" si="298"/>
        <v>0</v>
      </c>
      <c r="DF202" s="29" t="str">
        <f t="shared" si="298"/>
        <v>0</v>
      </c>
      <c r="DG202" s="29" t="str">
        <f t="shared" si="298"/>
        <v>0</v>
      </c>
      <c r="DH202" s="29" t="str">
        <f t="shared" si="298"/>
        <v>0</v>
      </c>
      <c r="DI202" s="29" t="str">
        <f t="shared" si="298"/>
        <v>0</v>
      </c>
      <c r="DJ202" s="29" t="str">
        <f t="shared" si="298"/>
        <v>0</v>
      </c>
      <c r="DK202" s="29" t="str">
        <f t="shared" si="298"/>
        <v>0</v>
      </c>
      <c r="DL202" s="29" t="str">
        <f t="shared" si="298"/>
        <v>0</v>
      </c>
      <c r="DM202" s="29" t="str">
        <f t="shared" si="298"/>
        <v>0</v>
      </c>
      <c r="DN202" s="29" t="str">
        <f t="shared" si="298"/>
        <v>0</v>
      </c>
      <c r="DO202" s="29" t="str">
        <f t="shared" si="298"/>
        <v>0</v>
      </c>
      <c r="DP202" s="29" t="str">
        <f t="shared" si="298"/>
        <v>0</v>
      </c>
      <c r="DQ202" s="29" t="str">
        <f t="shared" si="298"/>
        <v>0</v>
      </c>
      <c r="DR202" s="29"/>
      <c r="DS202" s="25">
        <v>0</v>
      </c>
      <c r="EE202" s="25" t="str">
        <f t="shared" si="175"/>
        <v>0</v>
      </c>
    </row>
    <row r="203" spans="1:135">
      <c r="A203" s="48">
        <v>1003005</v>
      </c>
      <c r="B203" s="49" t="s">
        <v>321</v>
      </c>
      <c r="C203" s="25">
        <f t="shared" ref="C203:C266" si="299">C143</f>
        <v>5</v>
      </c>
      <c r="D203" s="25">
        <f t="array" ref="D203">INDEX(C$5:C$67,MATCH($B203,$B$5:$B$67,0))</f>
        <v>7700</v>
      </c>
      <c r="E203" s="25">
        <f t="array" ref="E203">INDEX(D$5:D$67,MATCH($B203,$B$5:$B$67,0))</f>
        <v>616</v>
      </c>
      <c r="F203" s="25">
        <f t="array" ref="F203">INDEX(E$5:E$67,MATCH($B203,$B$5:$B$67,0))</f>
        <v>734</v>
      </c>
      <c r="G203" s="25">
        <f t="array" ref="G203">INDEX(F$5:F$67,MATCH($B203,$B$5:$B$67,0))</f>
        <v>58.72</v>
      </c>
      <c r="H203" s="25">
        <f t="array" ref="H203">INDEX(G$5:G$66,MATCH($B203,$B$5:$B$67,0))</f>
        <v>918</v>
      </c>
      <c r="I203" s="25">
        <f t="array" ref="I203">INDEX(H$5:H$67,MATCH($B203,$B$5:$B$67,0))</f>
        <v>73.44</v>
      </c>
      <c r="J203" s="25">
        <f t="array" ref="J203">INDEX(I$5:I$67,MATCH($B203,$B$5:$B$67,0))</f>
        <v>900</v>
      </c>
      <c r="K203" s="25">
        <f t="array" ref="K203">INDEX(J$5:J$67,MATCH($B203,$B$5:$B$67,0))</f>
        <v>72</v>
      </c>
      <c r="L203" s="25">
        <f t="shared" si="156"/>
        <v>10780</v>
      </c>
      <c r="M203" s="25">
        <f t="shared" si="157"/>
        <v>1028</v>
      </c>
      <c r="N203" s="25">
        <f t="shared" si="158"/>
        <v>1285</v>
      </c>
      <c r="O203" s="25">
        <f t="shared" si="159"/>
        <v>1260</v>
      </c>
      <c r="R203" s="50">
        <f t="array" ref="R203">INDEX($B$46:$B$68,MATCH(S203,$C$46:$C$68,0))*1000+T203</f>
        <v>1005017</v>
      </c>
      <c r="S203" s="51" t="s">
        <v>327</v>
      </c>
      <c r="T203" s="29">
        <f t="shared" si="232"/>
        <v>17</v>
      </c>
      <c r="U203" s="25">
        <f t="array" ref="U203">INDEX(K$5:K$67,MATCH($S203,$B$5:$B$67,0))</f>
        <v>402.57</v>
      </c>
      <c r="V203" s="25">
        <f t="array" ref="V203">INDEX(L$5:L$67,MATCH($S203,$B$5:$B$67,0))</f>
        <v>140.8</v>
      </c>
      <c r="W203" s="25">
        <f t="array" ref="W203">INDEX(M$5:M$67,MATCH($S203,$B$5:$B$67,0))</f>
        <v>101.38</v>
      </c>
      <c r="X203" s="25">
        <f t="array" ref="X203">INDEX(N$5:N$67,MATCH($S203,$B$5:$B$67,0))</f>
        <v>85</v>
      </c>
      <c r="Y203" s="25">
        <f t="shared" si="160"/>
        <v>6844</v>
      </c>
      <c r="Z203" s="25">
        <f t="shared" si="161"/>
        <v>2394</v>
      </c>
      <c r="AA203" s="25">
        <f t="shared" si="162"/>
        <v>1723</v>
      </c>
      <c r="AB203" s="25">
        <f t="shared" si="163"/>
        <v>1445</v>
      </c>
      <c r="AF203" s="25">
        <v>125</v>
      </c>
      <c r="AG203" s="25">
        <f t="array" ref="AG203">INDEX($AE$79:$AE$116,QUOTIENT(AF203-1,8)+1)</f>
        <v>1018</v>
      </c>
      <c r="AH203" s="25">
        <f t="shared" si="192"/>
        <v>5</v>
      </c>
      <c r="AI203" s="25">
        <f t="shared" si="164"/>
        <v>10185</v>
      </c>
      <c r="AJ203" s="25" t="str">
        <f t="shared" si="165"/>
        <v>埃莉诺</v>
      </c>
      <c r="AK203" s="25">
        <f t="shared" si="193"/>
        <v>3</v>
      </c>
      <c r="AL203" s="25" t="str">
        <f t="array" ref="AL203">INDEX($O$5:$O$42,MATCH(AJ203,$B$5:$B$42,0))</f>
        <v>生命值百分比</v>
      </c>
      <c r="AM203" s="25" t="str">
        <f t="array" ref="AM203">INDEX($P$5:$P$42,MATCH(AJ203,$B$5:$B$42,0))</f>
        <v>能量回复等级</v>
      </c>
      <c r="AN203" s="25" t="str">
        <f t="array" ref="AN203">INDEX($Q$5:$Q$42,MATCH(AJ203,$B$5:$B$42,0))</f>
        <v>技能冷却等级</v>
      </c>
      <c r="AO203" s="25" t="str">
        <f t="array" ref="AO203">INDEX(AL203:AN203,0,AK203)</f>
        <v>技能冷却等级</v>
      </c>
      <c r="AP203" s="25">
        <f t="shared" si="151"/>
        <v>0.216666666666667</v>
      </c>
      <c r="AQ203" s="25">
        <f t="shared" si="166"/>
        <v>2816.66666666667</v>
      </c>
      <c r="AR203" s="25" t="str">
        <f t="shared" ref="AR203:BZ203" si="300">IF(AR$78=$AO203,$AQ203,"0")</f>
        <v>0</v>
      </c>
      <c r="AS203" s="25" t="str">
        <f t="shared" si="300"/>
        <v>0</v>
      </c>
      <c r="AT203" s="25" t="str">
        <f t="shared" si="300"/>
        <v>0</v>
      </c>
      <c r="AU203" s="25" t="str">
        <f t="shared" si="300"/>
        <v>0</v>
      </c>
      <c r="AV203" s="25" t="str">
        <f t="shared" si="300"/>
        <v>0</v>
      </c>
      <c r="AW203" s="25" t="str">
        <f t="shared" si="300"/>
        <v>0</v>
      </c>
      <c r="AX203" s="25" t="str">
        <f t="shared" si="300"/>
        <v>0</v>
      </c>
      <c r="AY203" s="25" t="str">
        <f t="shared" si="300"/>
        <v>0</v>
      </c>
      <c r="AZ203" s="25" t="str">
        <f t="shared" si="300"/>
        <v>0</v>
      </c>
      <c r="BA203" s="25" t="str">
        <f t="shared" si="300"/>
        <v>0</v>
      </c>
      <c r="BB203" s="25" t="str">
        <f t="shared" si="300"/>
        <v>0</v>
      </c>
      <c r="BC203" s="25" t="str">
        <f t="shared" si="300"/>
        <v>0</v>
      </c>
      <c r="BD203" s="25" t="str">
        <f t="shared" si="300"/>
        <v>0</v>
      </c>
      <c r="BE203" s="25" t="str">
        <f t="shared" si="300"/>
        <v>0</v>
      </c>
      <c r="BF203" s="25" t="str">
        <f t="shared" si="300"/>
        <v>0</v>
      </c>
      <c r="BG203" s="25" t="str">
        <f t="shared" si="300"/>
        <v>0</v>
      </c>
      <c r="BH203" s="25" t="str">
        <f t="shared" si="300"/>
        <v>0</v>
      </c>
      <c r="BI203" s="25" t="str">
        <f t="shared" si="300"/>
        <v>0</v>
      </c>
      <c r="BJ203" s="25" t="str">
        <f t="shared" si="300"/>
        <v>0</v>
      </c>
      <c r="BK203" s="25" t="str">
        <f t="shared" si="300"/>
        <v>0</v>
      </c>
      <c r="BL203" s="25" t="str">
        <f t="shared" si="300"/>
        <v>0</v>
      </c>
      <c r="BM203" s="25" t="str">
        <f t="shared" si="300"/>
        <v>0</v>
      </c>
      <c r="BN203" s="25" t="str">
        <f t="shared" si="300"/>
        <v>0</v>
      </c>
      <c r="BO203" s="25" t="str">
        <f t="shared" si="300"/>
        <v>0</v>
      </c>
      <c r="BP203" s="25" t="str">
        <f t="shared" si="300"/>
        <v>0</v>
      </c>
      <c r="BQ203" s="25" t="str">
        <f t="shared" si="300"/>
        <v>0</v>
      </c>
      <c r="BR203" s="25" t="str">
        <f t="shared" si="300"/>
        <v>0</v>
      </c>
      <c r="BS203" s="25" t="str">
        <f t="shared" si="300"/>
        <v>0</v>
      </c>
      <c r="BT203" s="25" t="str">
        <f t="shared" si="300"/>
        <v>0</v>
      </c>
      <c r="BU203" s="25" t="str">
        <f t="shared" si="300"/>
        <v>0</v>
      </c>
      <c r="BV203" s="25" t="str">
        <f t="shared" si="300"/>
        <v>0</v>
      </c>
      <c r="BW203" s="25" t="str">
        <f t="shared" si="300"/>
        <v>0</v>
      </c>
      <c r="BX203" s="25" t="str">
        <f t="shared" si="300"/>
        <v>0</v>
      </c>
      <c r="BY203" s="25" t="str">
        <f t="shared" si="300"/>
        <v>0</v>
      </c>
      <c r="BZ203" s="25">
        <f t="shared" si="300"/>
        <v>2816.66666666667</v>
      </c>
      <c r="CC203" s="25" t="str">
        <f t="array" ref="CC203">INDEX($C$46:$C$74,MATCH(CD203,$B$46:$B$74,0))</f>
        <v>梅梅</v>
      </c>
      <c r="CD203" s="1">
        <v>1021</v>
      </c>
      <c r="CE203" s="1">
        <v>5</v>
      </c>
      <c r="CF203" s="25" t="str">
        <f t="array" ref="CF203">INDEX($T$5:$T$44,MATCH(CC203,$B$5:$B$44,0))</f>
        <v>物理</v>
      </c>
      <c r="CG203" s="25">
        <f t="shared" si="189"/>
        <v>0.3</v>
      </c>
      <c r="CH203" s="25">
        <f t="shared" si="168"/>
        <v>1.3</v>
      </c>
      <c r="CI203" s="25">
        <f t="shared" si="169"/>
        <v>1.3</v>
      </c>
      <c r="CJ203" s="25">
        <f t="shared" si="170"/>
        <v>1</v>
      </c>
      <c r="CK203" s="25">
        <f t="shared" si="171"/>
        <v>1.3</v>
      </c>
      <c r="CL203" s="25" t="str">
        <f t="array" ref="CL203">INDEX($S$5:$S$43,MATCH(CC203,$B$5:$B$43,0))</f>
        <v>暴击等级</v>
      </c>
      <c r="CM203" s="25">
        <f t="shared" si="190"/>
        <v>0.3</v>
      </c>
      <c r="CN203" s="25">
        <f t="shared" si="172"/>
        <v>2700</v>
      </c>
      <c r="CO203" s="25">
        <f t="shared" si="173"/>
        <v>1</v>
      </c>
      <c r="CP203" s="29" t="str">
        <f t="shared" ref="CP203:DQ203" si="301">IF($CL203=CP$78,$CN203,"0")</f>
        <v>0</v>
      </c>
      <c r="CQ203" s="29" t="str">
        <f t="shared" si="301"/>
        <v>0</v>
      </c>
      <c r="CR203" s="29" t="str">
        <f t="shared" si="301"/>
        <v>0</v>
      </c>
      <c r="CS203" s="29" t="str">
        <f t="shared" si="301"/>
        <v>0</v>
      </c>
      <c r="CT203" s="29" t="str">
        <f t="shared" si="301"/>
        <v>0</v>
      </c>
      <c r="CU203" s="29" t="str">
        <f t="shared" si="301"/>
        <v>0</v>
      </c>
      <c r="CV203" s="29" t="str">
        <f t="shared" si="301"/>
        <v>0</v>
      </c>
      <c r="CW203" s="29" t="str">
        <f t="shared" si="301"/>
        <v>0</v>
      </c>
      <c r="CX203" s="29" t="str">
        <f t="shared" si="301"/>
        <v>0</v>
      </c>
      <c r="CY203" s="29" t="str">
        <f t="shared" si="301"/>
        <v>0</v>
      </c>
      <c r="CZ203" s="29" t="str">
        <f t="shared" si="301"/>
        <v>0</v>
      </c>
      <c r="DA203" s="29" t="str">
        <f t="shared" si="301"/>
        <v>0</v>
      </c>
      <c r="DB203" s="29" t="str">
        <f t="shared" si="301"/>
        <v>0</v>
      </c>
      <c r="DC203" s="29" t="str">
        <f t="shared" si="301"/>
        <v>0</v>
      </c>
      <c r="DD203" s="29" t="str">
        <f t="shared" si="301"/>
        <v>0</v>
      </c>
      <c r="DE203" s="29" t="str">
        <f t="shared" si="301"/>
        <v>0</v>
      </c>
      <c r="DF203" s="29" t="str">
        <f t="shared" si="301"/>
        <v>0</v>
      </c>
      <c r="DG203" s="29" t="str">
        <f t="shared" si="301"/>
        <v>0</v>
      </c>
      <c r="DH203" s="29" t="str">
        <f t="shared" si="301"/>
        <v>0</v>
      </c>
      <c r="DI203" s="29" t="str">
        <f t="shared" si="301"/>
        <v>0</v>
      </c>
      <c r="DJ203" s="29" t="str">
        <f t="shared" si="301"/>
        <v>0</v>
      </c>
      <c r="DK203" s="29" t="str">
        <f t="shared" si="301"/>
        <v>0</v>
      </c>
      <c r="DL203" s="29" t="str">
        <f t="shared" si="301"/>
        <v>0</v>
      </c>
      <c r="DM203" s="29" t="str">
        <f t="shared" si="301"/>
        <v>0</v>
      </c>
      <c r="DN203" s="29">
        <f t="shared" si="301"/>
        <v>2700</v>
      </c>
      <c r="DO203" s="29" t="str">
        <f t="shared" si="301"/>
        <v>0</v>
      </c>
      <c r="DP203" s="29" t="str">
        <f t="shared" si="301"/>
        <v>0</v>
      </c>
      <c r="DQ203" s="29" t="str">
        <f t="shared" si="301"/>
        <v>0</v>
      </c>
      <c r="DR203" s="29"/>
      <c r="DS203" s="25" t="s">
        <v>1011</v>
      </c>
      <c r="DT203" s="25" t="str">
        <f>TEXT(角色升星!$F$18,"0%")</f>
        <v>15%</v>
      </c>
      <c r="DU203" s="25" t="s">
        <v>779</v>
      </c>
      <c r="DV203" s="25" t="str">
        <f>IF(CF203="物理","PhysicsAttack,+","MagicAttack,+")</f>
        <v>PhysicsAttack,+</v>
      </c>
      <c r="DW203" s="25" t="str">
        <f>TEXT(角色升星!$F$18,"0%")</f>
        <v>15%</v>
      </c>
      <c r="DX203" s="25" t="s">
        <v>779</v>
      </c>
      <c r="DY203" s="25" t="s">
        <v>1012</v>
      </c>
      <c r="DZ203" s="25" t="str">
        <f>TEXT(角色升星!$F$18,"0%")</f>
        <v>15%</v>
      </c>
      <c r="EA203" s="25" t="s">
        <v>779</v>
      </c>
      <c r="EB203" s="25" t="str">
        <f>VLOOKUP(CL203,$O$46:$P$73,2,0)</f>
        <v>CritLevel</v>
      </c>
      <c r="EC203" s="25" t="s">
        <v>1013</v>
      </c>
      <c r="ED203" s="25">
        <f>IF(CN203&gt;1,CN203,TEXT(CN203,"0%"))</f>
        <v>2700</v>
      </c>
      <c r="EE203" s="25" t="str">
        <f t="shared" si="175"/>
        <v>Hp,+15%;PhysicsAttack,+15%;Armor,+15%;CritLevel,+2700</v>
      </c>
    </row>
    <row r="204" spans="1:135">
      <c r="A204" s="48">
        <v>1003006</v>
      </c>
      <c r="B204" s="49" t="s">
        <v>321</v>
      </c>
      <c r="C204" s="25">
        <f t="shared" si="299"/>
        <v>6</v>
      </c>
      <c r="D204" s="25">
        <f t="array" ref="D204">INDEX(C$5:C$67,MATCH($B204,$B$5:$B$67,0))</f>
        <v>7700</v>
      </c>
      <c r="E204" s="25">
        <f t="array" ref="E204">INDEX(D$5:D$67,MATCH($B204,$B$5:$B$67,0))</f>
        <v>616</v>
      </c>
      <c r="F204" s="25">
        <f t="array" ref="F204">INDEX(E$5:E$67,MATCH($B204,$B$5:$B$67,0))</f>
        <v>734</v>
      </c>
      <c r="G204" s="25">
        <f t="array" ref="G204">INDEX(F$5:F$67,MATCH($B204,$B$5:$B$67,0))</f>
        <v>58.72</v>
      </c>
      <c r="H204" s="25">
        <f t="array" ref="H204">INDEX(G$5:G$66,MATCH($B204,$B$5:$B$67,0))</f>
        <v>918</v>
      </c>
      <c r="I204" s="25">
        <f t="array" ref="I204">INDEX(H$5:H$67,MATCH($B204,$B$5:$B$67,0))</f>
        <v>73.44</v>
      </c>
      <c r="J204" s="25">
        <f t="array" ref="J204">INDEX(I$5:I$67,MATCH($B204,$B$5:$B$67,0))</f>
        <v>900</v>
      </c>
      <c r="K204" s="25">
        <f t="array" ref="K204">INDEX(J$5:J$67,MATCH($B204,$B$5:$B$67,0))</f>
        <v>72</v>
      </c>
      <c r="L204" s="25">
        <f t="shared" si="156"/>
        <v>11396</v>
      </c>
      <c r="M204" s="25">
        <f t="shared" si="157"/>
        <v>1086</v>
      </c>
      <c r="N204" s="25">
        <f t="shared" si="158"/>
        <v>1359</v>
      </c>
      <c r="O204" s="25">
        <f t="shared" si="159"/>
        <v>1332</v>
      </c>
      <c r="R204" s="50">
        <f t="array" ref="R204">INDEX($B$46:$B$68,MATCH(S204,$C$46:$C$68,0))*1000+T204</f>
        <v>1005018</v>
      </c>
      <c r="S204" s="51" t="s">
        <v>327</v>
      </c>
      <c r="T204" s="29">
        <f t="shared" si="232"/>
        <v>18</v>
      </c>
      <c r="U204" s="25">
        <f t="array" ref="U204">INDEX(K$5:K$67,MATCH($S204,$B$5:$B$67,0))</f>
        <v>402.57</v>
      </c>
      <c r="V204" s="25">
        <f t="array" ref="V204">INDEX(L$5:L$67,MATCH($S204,$B$5:$B$67,0))</f>
        <v>140.8</v>
      </c>
      <c r="W204" s="25">
        <f t="array" ref="W204">INDEX(M$5:M$67,MATCH($S204,$B$5:$B$67,0))</f>
        <v>101.38</v>
      </c>
      <c r="X204" s="25">
        <f t="array" ref="X204">INDEX(N$5:N$67,MATCH($S204,$B$5:$B$67,0))</f>
        <v>85</v>
      </c>
      <c r="Y204" s="25">
        <f t="shared" si="160"/>
        <v>7246</v>
      </c>
      <c r="Z204" s="25">
        <f t="shared" si="161"/>
        <v>2534</v>
      </c>
      <c r="AA204" s="25">
        <f t="shared" si="162"/>
        <v>1825</v>
      </c>
      <c r="AB204" s="25">
        <f t="shared" si="163"/>
        <v>1530</v>
      </c>
      <c r="AF204" s="25">
        <v>126</v>
      </c>
      <c r="AG204" s="25">
        <f t="array" ref="AG204">INDEX($AE$79:$AE$116,QUOTIENT(AF204-1,8)+1)</f>
        <v>1018</v>
      </c>
      <c r="AH204" s="25">
        <f t="shared" si="192"/>
        <v>6</v>
      </c>
      <c r="AI204" s="25">
        <f t="shared" si="164"/>
        <v>10186</v>
      </c>
      <c r="AJ204" s="25" t="str">
        <f t="shared" si="165"/>
        <v>埃莉诺</v>
      </c>
      <c r="AK204" s="25">
        <f t="shared" si="193"/>
        <v>1</v>
      </c>
      <c r="AL204" s="25" t="str">
        <f t="array" ref="AL204">INDEX($O$5:$O$42,MATCH(AJ204,$B$5:$B$42,0))</f>
        <v>生命值百分比</v>
      </c>
      <c r="AM204" s="25" t="str">
        <f t="array" ref="AM204">INDEX($P$5:$P$42,MATCH(AJ204,$B$5:$B$42,0))</f>
        <v>能量回复等级</v>
      </c>
      <c r="AN204" s="25" t="str">
        <f t="array" ref="AN204">INDEX($Q$5:$Q$42,MATCH(AJ204,$B$5:$B$42,0))</f>
        <v>技能冷却等级</v>
      </c>
      <c r="AO204" s="25" t="str">
        <f t="array" ref="AO204">INDEX(AL204:AN204,0,AK204)</f>
        <v>生命值百分比</v>
      </c>
      <c r="AP204" s="25">
        <f t="shared" si="151"/>
        <v>0.216666666666667</v>
      </c>
      <c r="AQ204" s="25">
        <f t="shared" si="166"/>
        <v>0.216666666666667</v>
      </c>
      <c r="AR204" s="25" t="str">
        <f t="shared" ref="AR204:BZ204" si="302">IF(AR$78=$AO204,$AQ204,"0")</f>
        <v>0</v>
      </c>
      <c r="AS204" s="25">
        <f t="shared" si="302"/>
        <v>0.216666666666667</v>
      </c>
      <c r="AT204" s="25" t="str">
        <f t="shared" si="302"/>
        <v>0</v>
      </c>
      <c r="AU204" s="25" t="str">
        <f t="shared" si="302"/>
        <v>0</v>
      </c>
      <c r="AV204" s="25" t="str">
        <f t="shared" si="302"/>
        <v>0</v>
      </c>
      <c r="AW204" s="25" t="str">
        <f t="shared" si="302"/>
        <v>0</v>
      </c>
      <c r="AX204" s="25" t="str">
        <f t="shared" si="302"/>
        <v>0</v>
      </c>
      <c r="AY204" s="25" t="str">
        <f t="shared" si="302"/>
        <v>0</v>
      </c>
      <c r="AZ204" s="25" t="str">
        <f t="shared" si="302"/>
        <v>0</v>
      </c>
      <c r="BA204" s="25" t="str">
        <f t="shared" si="302"/>
        <v>0</v>
      </c>
      <c r="BB204" s="25" t="str">
        <f t="shared" si="302"/>
        <v>0</v>
      </c>
      <c r="BC204" s="25" t="str">
        <f t="shared" si="302"/>
        <v>0</v>
      </c>
      <c r="BD204" s="25" t="str">
        <f t="shared" si="302"/>
        <v>0</v>
      </c>
      <c r="BE204" s="25" t="str">
        <f t="shared" si="302"/>
        <v>0</v>
      </c>
      <c r="BF204" s="25" t="str">
        <f t="shared" si="302"/>
        <v>0</v>
      </c>
      <c r="BG204" s="25" t="str">
        <f t="shared" si="302"/>
        <v>0</v>
      </c>
      <c r="BH204" s="25" t="str">
        <f t="shared" si="302"/>
        <v>0</v>
      </c>
      <c r="BI204" s="25" t="str">
        <f t="shared" si="302"/>
        <v>0</v>
      </c>
      <c r="BJ204" s="25" t="str">
        <f t="shared" si="302"/>
        <v>0</v>
      </c>
      <c r="BK204" s="25" t="str">
        <f t="shared" si="302"/>
        <v>0</v>
      </c>
      <c r="BL204" s="25" t="str">
        <f t="shared" si="302"/>
        <v>0</v>
      </c>
      <c r="BM204" s="25" t="str">
        <f t="shared" si="302"/>
        <v>0</v>
      </c>
      <c r="BN204" s="25" t="str">
        <f t="shared" si="302"/>
        <v>0</v>
      </c>
      <c r="BO204" s="25" t="str">
        <f t="shared" si="302"/>
        <v>0</v>
      </c>
      <c r="BP204" s="25" t="str">
        <f t="shared" si="302"/>
        <v>0</v>
      </c>
      <c r="BQ204" s="25" t="str">
        <f t="shared" si="302"/>
        <v>0</v>
      </c>
      <c r="BR204" s="25" t="str">
        <f t="shared" si="302"/>
        <v>0</v>
      </c>
      <c r="BS204" s="25" t="str">
        <f t="shared" si="302"/>
        <v>0</v>
      </c>
      <c r="BT204" s="25" t="str">
        <f t="shared" si="302"/>
        <v>0</v>
      </c>
      <c r="BU204" s="25" t="str">
        <f t="shared" si="302"/>
        <v>0</v>
      </c>
      <c r="BV204" s="25" t="str">
        <f t="shared" si="302"/>
        <v>0</v>
      </c>
      <c r="BW204" s="25" t="str">
        <f t="shared" si="302"/>
        <v>0</v>
      </c>
      <c r="BX204" s="25" t="str">
        <f t="shared" si="302"/>
        <v>0</v>
      </c>
      <c r="BY204" s="25" t="str">
        <f t="shared" si="302"/>
        <v>0</v>
      </c>
      <c r="BZ204" s="25" t="str">
        <f t="shared" si="302"/>
        <v>0</v>
      </c>
      <c r="CC204" s="25" t="str">
        <f t="array" ref="CC204">INDEX($C$46:$C$74,MATCH(CD204,$B$46:$B$74,0))</f>
        <v>梅梅</v>
      </c>
      <c r="CD204" s="1">
        <v>1021</v>
      </c>
      <c r="CE204" s="1">
        <v>6</v>
      </c>
      <c r="CF204" s="25" t="str">
        <f t="array" ref="CF204">INDEX($T$5:$T$44,MATCH(CC204,$B$5:$B$44,0))</f>
        <v>物理</v>
      </c>
      <c r="CG204" s="25">
        <f t="shared" si="189"/>
        <v>0.3</v>
      </c>
      <c r="CH204" s="25">
        <f t="shared" si="168"/>
        <v>1.3</v>
      </c>
      <c r="CI204" s="25">
        <f t="shared" si="169"/>
        <v>1.3</v>
      </c>
      <c r="CJ204" s="25">
        <f t="shared" si="170"/>
        <v>1</v>
      </c>
      <c r="CK204" s="25">
        <f t="shared" si="171"/>
        <v>1.3</v>
      </c>
      <c r="CL204" s="25">
        <v>0</v>
      </c>
      <c r="CM204" s="25">
        <f t="shared" si="190"/>
        <v>0</v>
      </c>
      <c r="CN204" s="25">
        <f t="shared" si="172"/>
        <v>0</v>
      </c>
      <c r="CO204" s="25">
        <f t="shared" si="173"/>
        <v>0</v>
      </c>
      <c r="CP204" s="29" t="str">
        <f t="shared" ref="CP204:DQ204" si="303">IF($CL204=CP$78,$CN204,"0")</f>
        <v>0</v>
      </c>
      <c r="CQ204" s="29" t="str">
        <f t="shared" si="303"/>
        <v>0</v>
      </c>
      <c r="CR204" s="29" t="str">
        <f t="shared" si="303"/>
        <v>0</v>
      </c>
      <c r="CS204" s="29" t="str">
        <f t="shared" si="303"/>
        <v>0</v>
      </c>
      <c r="CT204" s="29" t="str">
        <f t="shared" si="303"/>
        <v>0</v>
      </c>
      <c r="CU204" s="29" t="str">
        <f t="shared" si="303"/>
        <v>0</v>
      </c>
      <c r="CV204" s="29" t="str">
        <f t="shared" si="303"/>
        <v>0</v>
      </c>
      <c r="CW204" s="29" t="str">
        <f t="shared" si="303"/>
        <v>0</v>
      </c>
      <c r="CX204" s="29" t="str">
        <f t="shared" si="303"/>
        <v>0</v>
      </c>
      <c r="CY204" s="29" t="str">
        <f t="shared" si="303"/>
        <v>0</v>
      </c>
      <c r="CZ204" s="29" t="str">
        <f t="shared" si="303"/>
        <v>0</v>
      </c>
      <c r="DA204" s="29" t="str">
        <f t="shared" si="303"/>
        <v>0</v>
      </c>
      <c r="DB204" s="29" t="str">
        <f t="shared" si="303"/>
        <v>0</v>
      </c>
      <c r="DC204" s="29" t="str">
        <f t="shared" si="303"/>
        <v>0</v>
      </c>
      <c r="DD204" s="29" t="str">
        <f t="shared" si="303"/>
        <v>0</v>
      </c>
      <c r="DE204" s="29" t="str">
        <f t="shared" si="303"/>
        <v>0</v>
      </c>
      <c r="DF204" s="29" t="str">
        <f t="shared" si="303"/>
        <v>0</v>
      </c>
      <c r="DG204" s="29" t="str">
        <f t="shared" si="303"/>
        <v>0</v>
      </c>
      <c r="DH204" s="29" t="str">
        <f t="shared" si="303"/>
        <v>0</v>
      </c>
      <c r="DI204" s="29" t="str">
        <f t="shared" si="303"/>
        <v>0</v>
      </c>
      <c r="DJ204" s="29" t="str">
        <f t="shared" si="303"/>
        <v>0</v>
      </c>
      <c r="DK204" s="29" t="str">
        <f t="shared" si="303"/>
        <v>0</v>
      </c>
      <c r="DL204" s="29" t="str">
        <f t="shared" si="303"/>
        <v>0</v>
      </c>
      <c r="DM204" s="29" t="str">
        <f t="shared" si="303"/>
        <v>0</v>
      </c>
      <c r="DN204" s="29" t="str">
        <f t="shared" si="303"/>
        <v>0</v>
      </c>
      <c r="DO204" s="29" t="str">
        <f t="shared" si="303"/>
        <v>0</v>
      </c>
      <c r="DP204" s="29" t="str">
        <f t="shared" si="303"/>
        <v>0</v>
      </c>
      <c r="DQ204" s="29" t="str">
        <f t="shared" si="303"/>
        <v>0</v>
      </c>
      <c r="DR204" s="29"/>
      <c r="DS204" s="25">
        <v>0</v>
      </c>
      <c r="EE204" s="25" t="str">
        <f t="shared" si="175"/>
        <v>0</v>
      </c>
    </row>
    <row r="205" spans="1:135">
      <c r="A205" s="48">
        <v>1003007</v>
      </c>
      <c r="B205" s="49" t="s">
        <v>321</v>
      </c>
      <c r="C205" s="25">
        <f t="shared" si="299"/>
        <v>7</v>
      </c>
      <c r="D205" s="25">
        <f t="array" ref="D205">INDEX(C$5:C$67,MATCH($B205,$B$5:$B$67,0))</f>
        <v>7700</v>
      </c>
      <c r="E205" s="25">
        <f t="array" ref="E205">INDEX(D$5:D$67,MATCH($B205,$B$5:$B$67,0))</f>
        <v>616</v>
      </c>
      <c r="F205" s="25">
        <f t="array" ref="F205">INDEX(E$5:E$67,MATCH($B205,$B$5:$B$67,0))</f>
        <v>734</v>
      </c>
      <c r="G205" s="25">
        <f t="array" ref="G205">INDEX(F$5:F$67,MATCH($B205,$B$5:$B$67,0))</f>
        <v>58.72</v>
      </c>
      <c r="H205" s="25">
        <f t="array" ref="H205">INDEX(G$5:G$66,MATCH($B205,$B$5:$B$67,0))</f>
        <v>918</v>
      </c>
      <c r="I205" s="25">
        <f t="array" ref="I205">INDEX(H$5:H$67,MATCH($B205,$B$5:$B$67,0))</f>
        <v>73.44</v>
      </c>
      <c r="J205" s="25">
        <f t="array" ref="J205">INDEX(I$5:I$67,MATCH($B205,$B$5:$B$67,0))</f>
        <v>900</v>
      </c>
      <c r="K205" s="25">
        <f t="array" ref="K205">INDEX(J$5:J$67,MATCH($B205,$B$5:$B$67,0))</f>
        <v>72</v>
      </c>
      <c r="L205" s="25">
        <f t="shared" si="156"/>
        <v>12012</v>
      </c>
      <c r="M205" s="25">
        <f t="shared" si="157"/>
        <v>1145</v>
      </c>
      <c r="N205" s="25">
        <f t="shared" si="158"/>
        <v>1432</v>
      </c>
      <c r="O205" s="25">
        <f t="shared" si="159"/>
        <v>1404</v>
      </c>
      <c r="R205" s="50">
        <f t="array" ref="R205">INDEX($B$46:$B$68,MATCH(S205,$C$46:$C$68,0))*1000+T205</f>
        <v>1005019</v>
      </c>
      <c r="S205" s="51" t="s">
        <v>327</v>
      </c>
      <c r="T205" s="29">
        <f t="shared" si="232"/>
        <v>19</v>
      </c>
      <c r="U205" s="25">
        <f t="array" ref="U205">INDEX(K$5:K$67,MATCH($S205,$B$5:$B$67,0))</f>
        <v>402.57</v>
      </c>
      <c r="V205" s="25">
        <f t="array" ref="V205">INDEX(L$5:L$67,MATCH($S205,$B$5:$B$67,0))</f>
        <v>140.8</v>
      </c>
      <c r="W205" s="25">
        <f t="array" ref="W205">INDEX(M$5:M$67,MATCH($S205,$B$5:$B$67,0))</f>
        <v>101.38</v>
      </c>
      <c r="X205" s="25">
        <f t="array" ref="X205">INDEX(N$5:N$67,MATCH($S205,$B$5:$B$67,0))</f>
        <v>85</v>
      </c>
      <c r="Y205" s="25">
        <f t="shared" si="160"/>
        <v>7649</v>
      </c>
      <c r="Z205" s="25">
        <f t="shared" si="161"/>
        <v>2675</v>
      </c>
      <c r="AA205" s="25">
        <f t="shared" si="162"/>
        <v>1926</v>
      </c>
      <c r="AB205" s="25">
        <f t="shared" si="163"/>
        <v>1615</v>
      </c>
      <c r="AF205" s="25">
        <v>127</v>
      </c>
      <c r="AG205" s="25">
        <f t="array" ref="AG205">INDEX($AE$79:$AE$116,QUOTIENT(AF205-1,8)+1)</f>
        <v>1018</v>
      </c>
      <c r="AH205" s="25">
        <f t="shared" si="192"/>
        <v>7</v>
      </c>
      <c r="AI205" s="25">
        <f t="shared" si="164"/>
        <v>10187</v>
      </c>
      <c r="AJ205" s="25" t="str">
        <f t="shared" si="165"/>
        <v>埃莉诺</v>
      </c>
      <c r="AK205" s="25">
        <f t="shared" si="193"/>
        <v>2</v>
      </c>
      <c r="AL205" s="25" t="str">
        <f t="array" ref="AL205">INDEX($O$5:$O$42,MATCH(AJ205,$B$5:$B$42,0))</f>
        <v>生命值百分比</v>
      </c>
      <c r="AM205" s="25" t="str">
        <f t="array" ref="AM205">INDEX($P$5:$P$42,MATCH(AJ205,$B$5:$B$42,0))</f>
        <v>能量回复等级</v>
      </c>
      <c r="AN205" s="25" t="str">
        <f t="array" ref="AN205">INDEX($Q$5:$Q$42,MATCH(AJ205,$B$5:$B$42,0))</f>
        <v>技能冷却等级</v>
      </c>
      <c r="AO205" s="25" t="str">
        <f t="array" ref="AO205">INDEX(AL205:AN205,0,AK205)</f>
        <v>能量回复等级</v>
      </c>
      <c r="AP205" s="25">
        <f t="shared" ref="AP205:AP268" si="304">AP197</f>
        <v>0.15</v>
      </c>
      <c r="AQ205" s="25">
        <f t="shared" si="166"/>
        <v>1350</v>
      </c>
      <c r="AR205" s="25" t="str">
        <f t="shared" ref="AR205:BZ205" si="305">IF(AR$78=$AO205,$AQ205,"0")</f>
        <v>0</v>
      </c>
      <c r="AS205" s="25" t="str">
        <f t="shared" si="305"/>
        <v>0</v>
      </c>
      <c r="AT205" s="25" t="str">
        <f t="shared" si="305"/>
        <v>0</v>
      </c>
      <c r="AU205" s="25" t="str">
        <f t="shared" si="305"/>
        <v>0</v>
      </c>
      <c r="AV205" s="25" t="str">
        <f t="shared" si="305"/>
        <v>0</v>
      </c>
      <c r="AW205" s="25" t="str">
        <f t="shared" si="305"/>
        <v>0</v>
      </c>
      <c r="AX205" s="25" t="str">
        <f t="shared" si="305"/>
        <v>0</v>
      </c>
      <c r="AY205" s="25" t="str">
        <f t="shared" si="305"/>
        <v>0</v>
      </c>
      <c r="AZ205" s="25" t="str">
        <f t="shared" si="305"/>
        <v>0</v>
      </c>
      <c r="BA205" s="25" t="str">
        <f t="shared" si="305"/>
        <v>0</v>
      </c>
      <c r="BB205" s="25" t="str">
        <f t="shared" si="305"/>
        <v>0</v>
      </c>
      <c r="BC205" s="25" t="str">
        <f t="shared" si="305"/>
        <v>0</v>
      </c>
      <c r="BD205" s="25" t="str">
        <f t="shared" si="305"/>
        <v>0</v>
      </c>
      <c r="BE205" s="25" t="str">
        <f t="shared" si="305"/>
        <v>0</v>
      </c>
      <c r="BF205" s="25" t="str">
        <f t="shared" si="305"/>
        <v>0</v>
      </c>
      <c r="BG205" s="25" t="str">
        <f t="shared" si="305"/>
        <v>0</v>
      </c>
      <c r="BH205" s="25" t="str">
        <f t="shared" si="305"/>
        <v>0</v>
      </c>
      <c r="BI205" s="25" t="str">
        <f t="shared" si="305"/>
        <v>0</v>
      </c>
      <c r="BJ205" s="25" t="str">
        <f t="shared" si="305"/>
        <v>0</v>
      </c>
      <c r="BK205" s="25" t="str">
        <f t="shared" si="305"/>
        <v>0</v>
      </c>
      <c r="BL205" s="25" t="str">
        <f t="shared" si="305"/>
        <v>0</v>
      </c>
      <c r="BM205" s="25" t="str">
        <f t="shared" si="305"/>
        <v>0</v>
      </c>
      <c r="BN205" s="25" t="str">
        <f t="shared" si="305"/>
        <v>0</v>
      </c>
      <c r="BO205" s="25" t="str">
        <f t="shared" si="305"/>
        <v>0</v>
      </c>
      <c r="BP205" s="25" t="str">
        <f t="shared" si="305"/>
        <v>0</v>
      </c>
      <c r="BQ205" s="25" t="str">
        <f t="shared" si="305"/>
        <v>0</v>
      </c>
      <c r="BR205" s="25" t="str">
        <f t="shared" si="305"/>
        <v>0</v>
      </c>
      <c r="BS205" s="25" t="str">
        <f t="shared" si="305"/>
        <v>0</v>
      </c>
      <c r="BT205" s="25" t="str">
        <f t="shared" si="305"/>
        <v>0</v>
      </c>
      <c r="BU205" s="25" t="str">
        <f t="shared" si="305"/>
        <v>0</v>
      </c>
      <c r="BV205" s="25" t="str">
        <f t="shared" si="305"/>
        <v>0</v>
      </c>
      <c r="BW205" s="25" t="str">
        <f t="shared" si="305"/>
        <v>0</v>
      </c>
      <c r="BX205" s="25" t="str">
        <f t="shared" si="305"/>
        <v>0</v>
      </c>
      <c r="BY205" s="25">
        <f t="shared" si="305"/>
        <v>1350</v>
      </c>
      <c r="BZ205" s="25" t="str">
        <f t="shared" si="305"/>
        <v>0</v>
      </c>
      <c r="CC205" s="25" t="str">
        <f t="array" ref="CC205">INDEX($C$46:$C$74,MATCH(CD205,$B$46:$B$74,0))</f>
        <v>马克</v>
      </c>
      <c r="CD205" s="1">
        <v>1023</v>
      </c>
      <c r="CE205" s="1">
        <v>0</v>
      </c>
      <c r="CF205" s="25" t="str">
        <f t="array" ref="CF205">INDEX($T$5:$T$44,MATCH(CC205,$B$5:$B$44,0))</f>
        <v>物理</v>
      </c>
      <c r="CG205" s="25">
        <f t="shared" si="189"/>
        <v>0</v>
      </c>
      <c r="CH205" s="25">
        <f t="shared" si="168"/>
        <v>1</v>
      </c>
      <c r="CI205" s="25">
        <f t="shared" si="169"/>
        <v>1</v>
      </c>
      <c r="CJ205" s="25">
        <f t="shared" si="170"/>
        <v>1</v>
      </c>
      <c r="CK205" s="25">
        <f t="shared" si="171"/>
        <v>1</v>
      </c>
      <c r="CL205" s="25">
        <v>0</v>
      </c>
      <c r="CM205" s="25">
        <f t="shared" si="190"/>
        <v>0</v>
      </c>
      <c r="CN205" s="25">
        <f t="shared" si="172"/>
        <v>0</v>
      </c>
      <c r="CO205" s="25">
        <f t="shared" si="173"/>
        <v>0</v>
      </c>
      <c r="CP205" s="29" t="str">
        <f t="shared" ref="CP205:DQ205" si="306">IF($CL205=CP$78,$CN205,"0")</f>
        <v>0</v>
      </c>
      <c r="CQ205" s="29" t="str">
        <f t="shared" si="306"/>
        <v>0</v>
      </c>
      <c r="CR205" s="29" t="str">
        <f t="shared" si="306"/>
        <v>0</v>
      </c>
      <c r="CS205" s="29" t="str">
        <f t="shared" si="306"/>
        <v>0</v>
      </c>
      <c r="CT205" s="29" t="str">
        <f t="shared" si="306"/>
        <v>0</v>
      </c>
      <c r="CU205" s="29" t="str">
        <f t="shared" si="306"/>
        <v>0</v>
      </c>
      <c r="CV205" s="29" t="str">
        <f t="shared" si="306"/>
        <v>0</v>
      </c>
      <c r="CW205" s="29" t="str">
        <f t="shared" si="306"/>
        <v>0</v>
      </c>
      <c r="CX205" s="29" t="str">
        <f t="shared" si="306"/>
        <v>0</v>
      </c>
      <c r="CY205" s="29" t="str">
        <f t="shared" si="306"/>
        <v>0</v>
      </c>
      <c r="CZ205" s="29" t="str">
        <f t="shared" si="306"/>
        <v>0</v>
      </c>
      <c r="DA205" s="29" t="str">
        <f t="shared" si="306"/>
        <v>0</v>
      </c>
      <c r="DB205" s="29" t="str">
        <f t="shared" si="306"/>
        <v>0</v>
      </c>
      <c r="DC205" s="29" t="str">
        <f t="shared" si="306"/>
        <v>0</v>
      </c>
      <c r="DD205" s="29" t="str">
        <f t="shared" si="306"/>
        <v>0</v>
      </c>
      <c r="DE205" s="29" t="str">
        <f t="shared" si="306"/>
        <v>0</v>
      </c>
      <c r="DF205" s="29" t="str">
        <f t="shared" si="306"/>
        <v>0</v>
      </c>
      <c r="DG205" s="29" t="str">
        <f t="shared" si="306"/>
        <v>0</v>
      </c>
      <c r="DH205" s="29" t="str">
        <f t="shared" si="306"/>
        <v>0</v>
      </c>
      <c r="DI205" s="29" t="str">
        <f t="shared" si="306"/>
        <v>0</v>
      </c>
      <c r="DJ205" s="29" t="str">
        <f t="shared" si="306"/>
        <v>0</v>
      </c>
      <c r="DK205" s="29" t="str">
        <f t="shared" si="306"/>
        <v>0</v>
      </c>
      <c r="DL205" s="29" t="str">
        <f t="shared" si="306"/>
        <v>0</v>
      </c>
      <c r="DM205" s="29" t="str">
        <f t="shared" si="306"/>
        <v>0</v>
      </c>
      <c r="DN205" s="29" t="str">
        <f t="shared" si="306"/>
        <v>0</v>
      </c>
      <c r="DO205" s="29" t="str">
        <f t="shared" si="306"/>
        <v>0</v>
      </c>
      <c r="DP205" s="29" t="str">
        <f t="shared" si="306"/>
        <v>0</v>
      </c>
      <c r="DQ205" s="29" t="str">
        <f t="shared" si="306"/>
        <v>0</v>
      </c>
      <c r="DR205" s="29"/>
      <c r="DS205" s="25">
        <v>0</v>
      </c>
      <c r="EE205" s="25" t="str">
        <f t="shared" si="175"/>
        <v>0</v>
      </c>
    </row>
    <row r="206" spans="1:135">
      <c r="A206" s="48">
        <v>1003008</v>
      </c>
      <c r="B206" s="49" t="s">
        <v>321</v>
      </c>
      <c r="C206" s="25">
        <f t="shared" si="299"/>
        <v>8</v>
      </c>
      <c r="D206" s="25">
        <f t="array" ref="D206">INDEX(C$5:C$67,MATCH($B206,$B$5:$B$67,0))</f>
        <v>7700</v>
      </c>
      <c r="E206" s="25">
        <f t="array" ref="E206">INDEX(D$5:D$67,MATCH($B206,$B$5:$B$67,0))</f>
        <v>616</v>
      </c>
      <c r="F206" s="25">
        <f t="array" ref="F206">INDEX(E$5:E$67,MATCH($B206,$B$5:$B$67,0))</f>
        <v>734</v>
      </c>
      <c r="G206" s="25">
        <f t="array" ref="G206">INDEX(F$5:F$67,MATCH($B206,$B$5:$B$67,0))</f>
        <v>58.72</v>
      </c>
      <c r="H206" s="25">
        <f t="array" ref="H206">INDEX(G$5:G$66,MATCH($B206,$B$5:$B$67,0))</f>
        <v>918</v>
      </c>
      <c r="I206" s="25">
        <f t="array" ref="I206">INDEX(H$5:H$67,MATCH($B206,$B$5:$B$67,0))</f>
        <v>73.44</v>
      </c>
      <c r="J206" s="25">
        <f t="array" ref="J206">INDEX(I$5:I$67,MATCH($B206,$B$5:$B$67,0))</f>
        <v>900</v>
      </c>
      <c r="K206" s="25">
        <f t="array" ref="K206">INDEX(J$5:J$67,MATCH($B206,$B$5:$B$67,0))</f>
        <v>72</v>
      </c>
      <c r="L206" s="25">
        <f t="shared" si="156"/>
        <v>12628</v>
      </c>
      <c r="M206" s="25">
        <f t="shared" si="157"/>
        <v>1204</v>
      </c>
      <c r="N206" s="25">
        <f t="shared" si="158"/>
        <v>1506</v>
      </c>
      <c r="O206" s="25">
        <f t="shared" si="159"/>
        <v>1476</v>
      </c>
      <c r="R206" s="50">
        <f t="array" ref="R206">INDEX($B$46:$B$68,MATCH(S206,$C$46:$C$68,0))*1000+T206</f>
        <v>1005020</v>
      </c>
      <c r="S206" s="51" t="s">
        <v>327</v>
      </c>
      <c r="T206" s="29">
        <f t="shared" si="232"/>
        <v>20</v>
      </c>
      <c r="U206" s="25">
        <f t="array" ref="U206">INDEX(K$5:K$67,MATCH($S206,$B$5:$B$67,0))</f>
        <v>402.57</v>
      </c>
      <c r="V206" s="25">
        <f t="array" ref="V206">INDEX(L$5:L$67,MATCH($S206,$B$5:$B$67,0))</f>
        <v>140.8</v>
      </c>
      <c r="W206" s="25">
        <f t="array" ref="W206">INDEX(M$5:M$67,MATCH($S206,$B$5:$B$67,0))</f>
        <v>101.38</v>
      </c>
      <c r="X206" s="25">
        <f t="array" ref="X206">INDEX(N$5:N$67,MATCH($S206,$B$5:$B$67,0))</f>
        <v>85</v>
      </c>
      <c r="Y206" s="25">
        <f t="shared" si="160"/>
        <v>8051</v>
      </c>
      <c r="Z206" s="25">
        <f t="shared" si="161"/>
        <v>2816</v>
      </c>
      <c r="AA206" s="25">
        <f t="shared" si="162"/>
        <v>2028</v>
      </c>
      <c r="AB206" s="25">
        <f t="shared" si="163"/>
        <v>1700</v>
      </c>
      <c r="AF206" s="25">
        <v>128</v>
      </c>
      <c r="AG206" s="25">
        <f t="array" ref="AG206">INDEX($AE$79:$AE$116,QUOTIENT(AF206-1,8)+1)</f>
        <v>1018</v>
      </c>
      <c r="AH206" s="25">
        <f t="shared" si="192"/>
        <v>8</v>
      </c>
      <c r="AI206" s="25">
        <f t="shared" si="164"/>
        <v>10188</v>
      </c>
      <c r="AJ206" s="25" t="str">
        <f t="shared" si="165"/>
        <v>埃莉诺</v>
      </c>
      <c r="AK206" s="25">
        <f t="shared" si="193"/>
        <v>3</v>
      </c>
      <c r="AL206" s="25" t="str">
        <f t="array" ref="AL206">INDEX($O$5:$O$42,MATCH(AJ206,$B$5:$B$42,0))</f>
        <v>生命值百分比</v>
      </c>
      <c r="AM206" s="25" t="str">
        <f t="array" ref="AM206">INDEX($P$5:$P$42,MATCH(AJ206,$B$5:$B$42,0))</f>
        <v>能量回复等级</v>
      </c>
      <c r="AN206" s="25" t="str">
        <f t="array" ref="AN206">INDEX($Q$5:$Q$42,MATCH(AJ206,$B$5:$B$42,0))</f>
        <v>技能冷却等级</v>
      </c>
      <c r="AO206" s="25" t="str">
        <f t="array" ref="AO206">INDEX(AL206:AN206,0,AK206)</f>
        <v>技能冷却等级</v>
      </c>
      <c r="AP206" s="25">
        <f t="shared" si="304"/>
        <v>0.216666666666667</v>
      </c>
      <c r="AQ206" s="25">
        <f t="shared" si="166"/>
        <v>2816.66666666667</v>
      </c>
      <c r="AR206" s="25" t="str">
        <f t="shared" ref="AR206:BZ206" si="307">IF(AR$78=$AO206,$AQ206,"0")</f>
        <v>0</v>
      </c>
      <c r="AS206" s="25" t="str">
        <f t="shared" si="307"/>
        <v>0</v>
      </c>
      <c r="AT206" s="25" t="str">
        <f t="shared" si="307"/>
        <v>0</v>
      </c>
      <c r="AU206" s="25" t="str">
        <f t="shared" si="307"/>
        <v>0</v>
      </c>
      <c r="AV206" s="25" t="str">
        <f t="shared" si="307"/>
        <v>0</v>
      </c>
      <c r="AW206" s="25" t="str">
        <f t="shared" si="307"/>
        <v>0</v>
      </c>
      <c r="AX206" s="25" t="str">
        <f t="shared" si="307"/>
        <v>0</v>
      </c>
      <c r="AY206" s="25" t="str">
        <f t="shared" si="307"/>
        <v>0</v>
      </c>
      <c r="AZ206" s="25" t="str">
        <f t="shared" si="307"/>
        <v>0</v>
      </c>
      <c r="BA206" s="25" t="str">
        <f t="shared" si="307"/>
        <v>0</v>
      </c>
      <c r="BB206" s="25" t="str">
        <f t="shared" si="307"/>
        <v>0</v>
      </c>
      <c r="BC206" s="25" t="str">
        <f t="shared" si="307"/>
        <v>0</v>
      </c>
      <c r="BD206" s="25" t="str">
        <f t="shared" si="307"/>
        <v>0</v>
      </c>
      <c r="BE206" s="25" t="str">
        <f t="shared" si="307"/>
        <v>0</v>
      </c>
      <c r="BF206" s="25" t="str">
        <f t="shared" si="307"/>
        <v>0</v>
      </c>
      <c r="BG206" s="25" t="str">
        <f t="shared" si="307"/>
        <v>0</v>
      </c>
      <c r="BH206" s="25" t="str">
        <f t="shared" si="307"/>
        <v>0</v>
      </c>
      <c r="BI206" s="25" t="str">
        <f t="shared" si="307"/>
        <v>0</v>
      </c>
      <c r="BJ206" s="25" t="str">
        <f t="shared" si="307"/>
        <v>0</v>
      </c>
      <c r="BK206" s="25" t="str">
        <f t="shared" si="307"/>
        <v>0</v>
      </c>
      <c r="BL206" s="25" t="str">
        <f t="shared" si="307"/>
        <v>0</v>
      </c>
      <c r="BM206" s="25" t="str">
        <f t="shared" si="307"/>
        <v>0</v>
      </c>
      <c r="BN206" s="25" t="str">
        <f t="shared" si="307"/>
        <v>0</v>
      </c>
      <c r="BO206" s="25" t="str">
        <f t="shared" si="307"/>
        <v>0</v>
      </c>
      <c r="BP206" s="25" t="str">
        <f t="shared" si="307"/>
        <v>0</v>
      </c>
      <c r="BQ206" s="25" t="str">
        <f t="shared" si="307"/>
        <v>0</v>
      </c>
      <c r="BR206" s="25" t="str">
        <f t="shared" si="307"/>
        <v>0</v>
      </c>
      <c r="BS206" s="25" t="str">
        <f t="shared" si="307"/>
        <v>0</v>
      </c>
      <c r="BT206" s="25" t="str">
        <f t="shared" si="307"/>
        <v>0</v>
      </c>
      <c r="BU206" s="25" t="str">
        <f t="shared" si="307"/>
        <v>0</v>
      </c>
      <c r="BV206" s="25" t="str">
        <f t="shared" si="307"/>
        <v>0</v>
      </c>
      <c r="BW206" s="25" t="str">
        <f t="shared" si="307"/>
        <v>0</v>
      </c>
      <c r="BX206" s="25" t="str">
        <f t="shared" si="307"/>
        <v>0</v>
      </c>
      <c r="BY206" s="25" t="str">
        <f t="shared" si="307"/>
        <v>0</v>
      </c>
      <c r="BZ206" s="25">
        <f t="shared" si="307"/>
        <v>2816.66666666667</v>
      </c>
      <c r="CC206" s="25" t="str">
        <f t="array" ref="CC206">INDEX($C$46:$C$74,MATCH(CD206,$B$46:$B$74,0))</f>
        <v>马克</v>
      </c>
      <c r="CD206" s="1">
        <v>1023</v>
      </c>
      <c r="CE206" s="1">
        <v>1</v>
      </c>
      <c r="CF206" s="25" t="str">
        <f t="array" ref="CF206">INDEX($T$5:$T$44,MATCH(CC206,$B$5:$B$44,0))</f>
        <v>物理</v>
      </c>
      <c r="CG206" s="25">
        <f t="shared" si="189"/>
        <v>0</v>
      </c>
      <c r="CH206" s="25">
        <f t="shared" si="168"/>
        <v>1</v>
      </c>
      <c r="CI206" s="25">
        <f t="shared" si="169"/>
        <v>1</v>
      </c>
      <c r="CJ206" s="25">
        <f t="shared" si="170"/>
        <v>1</v>
      </c>
      <c r="CK206" s="25">
        <f t="shared" si="171"/>
        <v>1</v>
      </c>
      <c r="CL206" s="25">
        <v>0</v>
      </c>
      <c r="CM206" s="25">
        <f t="shared" si="190"/>
        <v>0</v>
      </c>
      <c r="CN206" s="25">
        <f t="shared" si="172"/>
        <v>0</v>
      </c>
      <c r="CO206" s="25">
        <f t="shared" si="173"/>
        <v>0</v>
      </c>
      <c r="CP206" s="29" t="str">
        <f t="shared" ref="CP206:DQ206" si="308">IF($CL206=CP$78,$CN206,"0")</f>
        <v>0</v>
      </c>
      <c r="CQ206" s="29" t="str">
        <f t="shared" si="308"/>
        <v>0</v>
      </c>
      <c r="CR206" s="29" t="str">
        <f t="shared" si="308"/>
        <v>0</v>
      </c>
      <c r="CS206" s="29" t="str">
        <f t="shared" si="308"/>
        <v>0</v>
      </c>
      <c r="CT206" s="29" t="str">
        <f t="shared" si="308"/>
        <v>0</v>
      </c>
      <c r="CU206" s="29" t="str">
        <f t="shared" si="308"/>
        <v>0</v>
      </c>
      <c r="CV206" s="29" t="str">
        <f t="shared" si="308"/>
        <v>0</v>
      </c>
      <c r="CW206" s="29" t="str">
        <f t="shared" si="308"/>
        <v>0</v>
      </c>
      <c r="CX206" s="29" t="str">
        <f t="shared" si="308"/>
        <v>0</v>
      </c>
      <c r="CY206" s="29" t="str">
        <f t="shared" si="308"/>
        <v>0</v>
      </c>
      <c r="CZ206" s="29" t="str">
        <f t="shared" si="308"/>
        <v>0</v>
      </c>
      <c r="DA206" s="29" t="str">
        <f t="shared" si="308"/>
        <v>0</v>
      </c>
      <c r="DB206" s="29" t="str">
        <f t="shared" si="308"/>
        <v>0</v>
      </c>
      <c r="DC206" s="29" t="str">
        <f t="shared" si="308"/>
        <v>0</v>
      </c>
      <c r="DD206" s="29" t="str">
        <f t="shared" si="308"/>
        <v>0</v>
      </c>
      <c r="DE206" s="29" t="str">
        <f t="shared" si="308"/>
        <v>0</v>
      </c>
      <c r="DF206" s="29" t="str">
        <f t="shared" si="308"/>
        <v>0</v>
      </c>
      <c r="DG206" s="29" t="str">
        <f t="shared" si="308"/>
        <v>0</v>
      </c>
      <c r="DH206" s="29" t="str">
        <f t="shared" si="308"/>
        <v>0</v>
      </c>
      <c r="DI206" s="29" t="str">
        <f t="shared" si="308"/>
        <v>0</v>
      </c>
      <c r="DJ206" s="29" t="str">
        <f t="shared" si="308"/>
        <v>0</v>
      </c>
      <c r="DK206" s="29" t="str">
        <f t="shared" si="308"/>
        <v>0</v>
      </c>
      <c r="DL206" s="29" t="str">
        <f t="shared" si="308"/>
        <v>0</v>
      </c>
      <c r="DM206" s="29" t="str">
        <f t="shared" si="308"/>
        <v>0</v>
      </c>
      <c r="DN206" s="29" t="str">
        <f t="shared" si="308"/>
        <v>0</v>
      </c>
      <c r="DO206" s="29" t="str">
        <f t="shared" si="308"/>
        <v>0</v>
      </c>
      <c r="DP206" s="29" t="str">
        <f t="shared" si="308"/>
        <v>0</v>
      </c>
      <c r="DQ206" s="29" t="str">
        <f t="shared" si="308"/>
        <v>0</v>
      </c>
      <c r="DR206" s="29"/>
      <c r="DS206" s="25">
        <v>0</v>
      </c>
      <c r="EE206" s="25" t="str">
        <f t="shared" si="175"/>
        <v>0</v>
      </c>
    </row>
    <row r="207" spans="1:135">
      <c r="A207" s="48">
        <v>1003009</v>
      </c>
      <c r="B207" s="49" t="s">
        <v>321</v>
      </c>
      <c r="C207" s="25">
        <f t="shared" si="299"/>
        <v>9</v>
      </c>
      <c r="D207" s="25">
        <f t="array" ref="D207">INDEX(C$5:C$67,MATCH($B207,$B$5:$B$67,0))</f>
        <v>7700</v>
      </c>
      <c r="E207" s="25">
        <f t="array" ref="E207">INDEX(D$5:D$67,MATCH($B207,$B$5:$B$67,0))</f>
        <v>616</v>
      </c>
      <c r="F207" s="25">
        <f t="array" ref="F207">INDEX(E$5:E$67,MATCH($B207,$B$5:$B$67,0))</f>
        <v>734</v>
      </c>
      <c r="G207" s="25">
        <f t="array" ref="G207">INDEX(F$5:F$67,MATCH($B207,$B$5:$B$67,0))</f>
        <v>58.72</v>
      </c>
      <c r="H207" s="25">
        <f t="array" ref="H207">INDEX(G$5:G$66,MATCH($B207,$B$5:$B$67,0))</f>
        <v>918</v>
      </c>
      <c r="I207" s="25">
        <f t="array" ref="I207">INDEX(H$5:H$67,MATCH($B207,$B$5:$B$67,0))</f>
        <v>73.44</v>
      </c>
      <c r="J207" s="25">
        <f t="array" ref="J207">INDEX(I$5:I$67,MATCH($B207,$B$5:$B$67,0))</f>
        <v>900</v>
      </c>
      <c r="K207" s="25">
        <f t="array" ref="K207">INDEX(J$5:J$67,MATCH($B207,$B$5:$B$67,0))</f>
        <v>72</v>
      </c>
      <c r="L207" s="25">
        <f t="shared" ref="L207:L270" si="309">ROUND(D207+E207*$C207,0)</f>
        <v>13244</v>
      </c>
      <c r="M207" s="25">
        <f t="shared" ref="M207:M270" si="310">ROUND(F207+G207*$C207,0)</f>
        <v>1262</v>
      </c>
      <c r="N207" s="25">
        <f t="shared" ref="N207:N270" si="311">ROUND(H207+I207*$C207,0)</f>
        <v>1579</v>
      </c>
      <c r="O207" s="25">
        <f t="shared" ref="O207:O270" si="312">ROUND(J207+K207*$C207,0)</f>
        <v>1548</v>
      </c>
      <c r="R207" s="50">
        <f t="array" ref="R207">INDEX($B$46:$B$68,MATCH(S207,$C$46:$C$68,0))*1000+T207</f>
        <v>1005021</v>
      </c>
      <c r="S207" s="51" t="s">
        <v>327</v>
      </c>
      <c r="T207" s="29">
        <f t="shared" si="232"/>
        <v>21</v>
      </c>
      <c r="U207" s="25">
        <f t="array" ref="U207">INDEX(K$5:K$67,MATCH($S207,$B$5:$B$67,0))</f>
        <v>402.57</v>
      </c>
      <c r="V207" s="25">
        <f t="array" ref="V207">INDEX(L$5:L$67,MATCH($S207,$B$5:$B$67,0))</f>
        <v>140.8</v>
      </c>
      <c r="W207" s="25">
        <f t="array" ref="W207">INDEX(M$5:M$67,MATCH($S207,$B$5:$B$67,0))</f>
        <v>101.38</v>
      </c>
      <c r="X207" s="25">
        <f t="array" ref="X207">INDEX(N$5:N$67,MATCH($S207,$B$5:$B$67,0))</f>
        <v>85</v>
      </c>
      <c r="Y207" s="25">
        <f t="shared" ref="Y207:Y270" si="313">ROUND($T207*U207,0)</f>
        <v>8454</v>
      </c>
      <c r="Z207" s="25">
        <f t="shared" ref="Z207:Z270" si="314">ROUND($T207*V207,0)</f>
        <v>2957</v>
      </c>
      <c r="AA207" s="25">
        <f t="shared" ref="AA207:AA270" si="315">ROUND($T207*W207,0)</f>
        <v>2129</v>
      </c>
      <c r="AB207" s="25">
        <f t="shared" ref="AB207:AB270" si="316">ROUND($T207*X207,0)</f>
        <v>1785</v>
      </c>
      <c r="AF207" s="25">
        <v>129</v>
      </c>
      <c r="AG207" s="25">
        <f t="array" ref="AG207">INDEX($AE$79:$AE$116,QUOTIENT(AF207-1,8)+1)</f>
        <v>1020</v>
      </c>
      <c r="AH207" s="25">
        <f t="shared" si="192"/>
        <v>1</v>
      </c>
      <c r="AI207" s="25">
        <f t="shared" ref="AI207:AI270" si="317">AG207*10+AH207</f>
        <v>10201</v>
      </c>
      <c r="AJ207" s="25" t="str">
        <f t="shared" ref="AJ207:AJ270" si="318">VLOOKUP(AG207,$B$46:$C$76,2,0)</f>
        <v>卡斯帕</v>
      </c>
      <c r="AK207" s="25">
        <f t="shared" si="193"/>
        <v>1</v>
      </c>
      <c r="AL207" s="25" t="str">
        <f t="array" ref="AL207">INDEX($O$5:$O$42,MATCH(AJ207,$B$5:$B$42,0))</f>
        <v>攻击百分比</v>
      </c>
      <c r="AM207" s="25" t="str">
        <f t="array" ref="AM207">INDEX($P$5:$P$42,MATCH(AJ207,$B$5:$B$42,0))</f>
        <v>技能冷却等级</v>
      </c>
      <c r="AN207" s="25" t="str">
        <f t="array" ref="AN207">INDEX($Q$5:$Q$42,MATCH(AJ207,$B$5:$B$42,0))</f>
        <v>能量回复等级</v>
      </c>
      <c r="AO207" s="25" t="str">
        <f t="array" ref="AO207">INDEX(AL207:AN207,0,AK207)</f>
        <v>攻击百分比</v>
      </c>
      <c r="AP207" s="25">
        <f t="shared" si="304"/>
        <v>0.216666666666667</v>
      </c>
      <c r="AQ207" s="25">
        <f t="shared" ref="AQ207:AQ270" si="319">VLOOKUP(AO207,$F$46:$G$72,2,0)*AP207/$G$46</f>
        <v>0.216666666666667</v>
      </c>
      <c r="AR207" s="25" t="str">
        <f t="shared" ref="AR207:BZ207" si="320">IF(AR$78=$AO207,$AQ207,"0")</f>
        <v>0</v>
      </c>
      <c r="AS207" s="25" t="str">
        <f t="shared" si="320"/>
        <v>0</v>
      </c>
      <c r="AT207" s="25" t="str">
        <f t="shared" si="320"/>
        <v>0</v>
      </c>
      <c r="AU207" s="25">
        <f t="shared" si="320"/>
        <v>0.216666666666667</v>
      </c>
      <c r="AV207" s="25" t="str">
        <f t="shared" si="320"/>
        <v>0</v>
      </c>
      <c r="AW207" s="25">
        <f t="shared" si="320"/>
        <v>0.216666666666667</v>
      </c>
      <c r="AX207" s="25" t="str">
        <f t="shared" si="320"/>
        <v>0</v>
      </c>
      <c r="AY207" s="25" t="str">
        <f t="shared" si="320"/>
        <v>0</v>
      </c>
      <c r="AZ207" s="25" t="str">
        <f t="shared" si="320"/>
        <v>0</v>
      </c>
      <c r="BA207" s="25" t="str">
        <f t="shared" si="320"/>
        <v>0</v>
      </c>
      <c r="BB207" s="25" t="str">
        <f t="shared" si="320"/>
        <v>0</v>
      </c>
      <c r="BC207" s="25" t="str">
        <f t="shared" si="320"/>
        <v>0</v>
      </c>
      <c r="BD207" s="25" t="str">
        <f t="shared" si="320"/>
        <v>0</v>
      </c>
      <c r="BE207" s="25" t="str">
        <f t="shared" si="320"/>
        <v>0</v>
      </c>
      <c r="BF207" s="25" t="str">
        <f t="shared" si="320"/>
        <v>0</v>
      </c>
      <c r="BG207" s="25" t="str">
        <f t="shared" si="320"/>
        <v>0</v>
      </c>
      <c r="BH207" s="25" t="str">
        <f t="shared" si="320"/>
        <v>0</v>
      </c>
      <c r="BI207" s="25" t="str">
        <f t="shared" si="320"/>
        <v>0</v>
      </c>
      <c r="BJ207" s="25" t="str">
        <f t="shared" si="320"/>
        <v>0</v>
      </c>
      <c r="BK207" s="25" t="str">
        <f t="shared" si="320"/>
        <v>0</v>
      </c>
      <c r="BL207" s="25" t="str">
        <f t="shared" si="320"/>
        <v>0</v>
      </c>
      <c r="BM207" s="25" t="str">
        <f t="shared" si="320"/>
        <v>0</v>
      </c>
      <c r="BN207" s="25" t="str">
        <f t="shared" si="320"/>
        <v>0</v>
      </c>
      <c r="BO207" s="25" t="str">
        <f t="shared" si="320"/>
        <v>0</v>
      </c>
      <c r="BP207" s="25" t="str">
        <f t="shared" si="320"/>
        <v>0</v>
      </c>
      <c r="BQ207" s="25" t="str">
        <f t="shared" si="320"/>
        <v>0</v>
      </c>
      <c r="BR207" s="25" t="str">
        <f t="shared" si="320"/>
        <v>0</v>
      </c>
      <c r="BS207" s="25" t="str">
        <f t="shared" si="320"/>
        <v>0</v>
      </c>
      <c r="BT207" s="25" t="str">
        <f t="shared" si="320"/>
        <v>0</v>
      </c>
      <c r="BU207" s="25" t="str">
        <f t="shared" si="320"/>
        <v>0</v>
      </c>
      <c r="BV207" s="25" t="str">
        <f t="shared" si="320"/>
        <v>0</v>
      </c>
      <c r="BW207" s="25" t="str">
        <f t="shared" si="320"/>
        <v>0</v>
      </c>
      <c r="BX207" s="25" t="str">
        <f t="shared" si="320"/>
        <v>0</v>
      </c>
      <c r="BY207" s="25" t="str">
        <f t="shared" si="320"/>
        <v>0</v>
      </c>
      <c r="BZ207" s="25" t="str">
        <f t="shared" si="320"/>
        <v>0</v>
      </c>
      <c r="CC207" s="25" t="str">
        <f t="array" ref="CC207">INDEX($C$46:$C$74,MATCH(CD207,$B$46:$B$74,0))</f>
        <v>马克</v>
      </c>
      <c r="CD207" s="1">
        <v>1023</v>
      </c>
      <c r="CE207" s="1">
        <v>2</v>
      </c>
      <c r="CF207" s="25" t="str">
        <f t="array" ref="CF207">INDEX($T$5:$T$44,MATCH(CC207,$B$5:$B$44,0))</f>
        <v>物理</v>
      </c>
      <c r="CG207" s="25">
        <f t="shared" si="189"/>
        <v>0</v>
      </c>
      <c r="CH207" s="25">
        <f t="shared" ref="CH207:CH270" si="321">1+$CG207</f>
        <v>1</v>
      </c>
      <c r="CI207" s="25">
        <f t="shared" ref="CI207:CI270" si="322">IF(OR(CF207="物理",CF207="混合"),1+$CG207,1)</f>
        <v>1</v>
      </c>
      <c r="CJ207" s="25">
        <f t="shared" ref="CJ207:CJ270" si="323">IF(OR(CF207="魔法",CF207="混合"),1+$CG207,1)</f>
        <v>1</v>
      </c>
      <c r="CK207" s="25">
        <f t="shared" ref="CK207:CK270" si="324">1+$CG207</f>
        <v>1</v>
      </c>
      <c r="CL207" s="25">
        <v>0</v>
      </c>
      <c r="CM207" s="25">
        <f t="shared" si="190"/>
        <v>0</v>
      </c>
      <c r="CN207" s="25">
        <f t="shared" ref="CN207:CN270" si="325">ROUNDDOWN(_xlfn.IFNA(VLOOKUP(CL207,$F$46:$G$66,2,0)*CM207/$G$46,0),2)</f>
        <v>0</v>
      </c>
      <c r="CO207" s="25">
        <f t="shared" ref="CO207:CO270" si="326">COUNTIF($CP$78:$DQ$78,CL207)</f>
        <v>0</v>
      </c>
      <c r="CP207" s="29" t="str">
        <f t="shared" ref="CP207:DQ207" si="327">IF($CL207=CP$78,$CN207,"0")</f>
        <v>0</v>
      </c>
      <c r="CQ207" s="29" t="str">
        <f t="shared" si="327"/>
        <v>0</v>
      </c>
      <c r="CR207" s="29" t="str">
        <f t="shared" si="327"/>
        <v>0</v>
      </c>
      <c r="CS207" s="29" t="str">
        <f t="shared" si="327"/>
        <v>0</v>
      </c>
      <c r="CT207" s="29" t="str">
        <f t="shared" si="327"/>
        <v>0</v>
      </c>
      <c r="CU207" s="29" t="str">
        <f t="shared" si="327"/>
        <v>0</v>
      </c>
      <c r="CV207" s="29" t="str">
        <f t="shared" si="327"/>
        <v>0</v>
      </c>
      <c r="CW207" s="29" t="str">
        <f t="shared" si="327"/>
        <v>0</v>
      </c>
      <c r="CX207" s="29" t="str">
        <f t="shared" si="327"/>
        <v>0</v>
      </c>
      <c r="CY207" s="29" t="str">
        <f t="shared" si="327"/>
        <v>0</v>
      </c>
      <c r="CZ207" s="29" t="str">
        <f t="shared" si="327"/>
        <v>0</v>
      </c>
      <c r="DA207" s="29" t="str">
        <f t="shared" si="327"/>
        <v>0</v>
      </c>
      <c r="DB207" s="29" t="str">
        <f t="shared" si="327"/>
        <v>0</v>
      </c>
      <c r="DC207" s="29" t="str">
        <f t="shared" si="327"/>
        <v>0</v>
      </c>
      <c r="DD207" s="29" t="str">
        <f t="shared" si="327"/>
        <v>0</v>
      </c>
      <c r="DE207" s="29" t="str">
        <f t="shared" si="327"/>
        <v>0</v>
      </c>
      <c r="DF207" s="29" t="str">
        <f t="shared" si="327"/>
        <v>0</v>
      </c>
      <c r="DG207" s="29" t="str">
        <f t="shared" si="327"/>
        <v>0</v>
      </c>
      <c r="DH207" s="29" t="str">
        <f t="shared" si="327"/>
        <v>0</v>
      </c>
      <c r="DI207" s="29" t="str">
        <f t="shared" si="327"/>
        <v>0</v>
      </c>
      <c r="DJ207" s="29" t="str">
        <f t="shared" si="327"/>
        <v>0</v>
      </c>
      <c r="DK207" s="29" t="str">
        <f t="shared" si="327"/>
        <v>0</v>
      </c>
      <c r="DL207" s="29" t="str">
        <f t="shared" si="327"/>
        <v>0</v>
      </c>
      <c r="DM207" s="29" t="str">
        <f t="shared" si="327"/>
        <v>0</v>
      </c>
      <c r="DN207" s="29" t="str">
        <f t="shared" si="327"/>
        <v>0</v>
      </c>
      <c r="DO207" s="29" t="str">
        <f t="shared" si="327"/>
        <v>0</v>
      </c>
      <c r="DP207" s="29" t="str">
        <f t="shared" si="327"/>
        <v>0</v>
      </c>
      <c r="DQ207" s="29" t="str">
        <f t="shared" si="327"/>
        <v>0</v>
      </c>
      <c r="DR207" s="29"/>
      <c r="DS207" s="25">
        <v>0</v>
      </c>
      <c r="EE207" s="25" t="str">
        <f t="shared" ref="EE207:EE270" si="328">_xlfn.CONCAT(DS207,DT207,DU207,DV207,DW207,DX207,DY207,DZ207,EA207,EB207,EC207,ED207)</f>
        <v>0</v>
      </c>
    </row>
    <row r="208" spans="1:135">
      <c r="A208" s="48">
        <v>1003010</v>
      </c>
      <c r="B208" s="49" t="s">
        <v>321</v>
      </c>
      <c r="C208" s="25">
        <f t="shared" si="299"/>
        <v>10</v>
      </c>
      <c r="D208" s="25">
        <f t="array" ref="D208">INDEX(C$5:C$67,MATCH($B208,$B$5:$B$67,0))</f>
        <v>7700</v>
      </c>
      <c r="E208" s="25">
        <f t="array" ref="E208">INDEX(D$5:D$67,MATCH($B208,$B$5:$B$67,0))</f>
        <v>616</v>
      </c>
      <c r="F208" s="25">
        <f t="array" ref="F208">INDEX(E$5:E$67,MATCH($B208,$B$5:$B$67,0))</f>
        <v>734</v>
      </c>
      <c r="G208" s="25">
        <f t="array" ref="G208">INDEX(F$5:F$67,MATCH($B208,$B$5:$B$67,0))</f>
        <v>58.72</v>
      </c>
      <c r="H208" s="25">
        <f t="array" ref="H208">INDEX(G$5:G$66,MATCH($B208,$B$5:$B$67,0))</f>
        <v>918</v>
      </c>
      <c r="I208" s="25">
        <f t="array" ref="I208">INDEX(H$5:H$67,MATCH($B208,$B$5:$B$67,0))</f>
        <v>73.44</v>
      </c>
      <c r="J208" s="25">
        <f t="array" ref="J208">INDEX(I$5:I$67,MATCH($B208,$B$5:$B$67,0))</f>
        <v>900</v>
      </c>
      <c r="K208" s="25">
        <f t="array" ref="K208">INDEX(J$5:J$67,MATCH($B208,$B$5:$B$67,0))</f>
        <v>72</v>
      </c>
      <c r="L208" s="25">
        <f t="shared" si="309"/>
        <v>13860</v>
      </c>
      <c r="M208" s="25">
        <f t="shared" si="310"/>
        <v>1321</v>
      </c>
      <c r="N208" s="25">
        <f t="shared" si="311"/>
        <v>1652</v>
      </c>
      <c r="O208" s="25">
        <f t="shared" si="312"/>
        <v>1620</v>
      </c>
      <c r="R208" s="50">
        <f t="array" ref="R208">INDEX($B$46:$B$68,MATCH(S208,$C$46:$C$68,0))*1000+T208</f>
        <v>1005022</v>
      </c>
      <c r="S208" s="51" t="s">
        <v>327</v>
      </c>
      <c r="T208" s="29">
        <f t="shared" si="232"/>
        <v>22</v>
      </c>
      <c r="U208" s="25">
        <f t="array" ref="U208">INDEX(K$5:K$67,MATCH($S208,$B$5:$B$67,0))</f>
        <v>402.57</v>
      </c>
      <c r="V208" s="25">
        <f t="array" ref="V208">INDEX(L$5:L$67,MATCH($S208,$B$5:$B$67,0))</f>
        <v>140.8</v>
      </c>
      <c r="W208" s="25">
        <f t="array" ref="W208">INDEX(M$5:M$67,MATCH($S208,$B$5:$B$67,0))</f>
        <v>101.38</v>
      </c>
      <c r="X208" s="25">
        <f t="array" ref="X208">INDEX(N$5:N$67,MATCH($S208,$B$5:$B$67,0))</f>
        <v>85</v>
      </c>
      <c r="Y208" s="25">
        <f t="shared" si="313"/>
        <v>8857</v>
      </c>
      <c r="Z208" s="25">
        <f t="shared" si="314"/>
        <v>3098</v>
      </c>
      <c r="AA208" s="25">
        <f t="shared" si="315"/>
        <v>2230</v>
      </c>
      <c r="AB208" s="25">
        <f t="shared" si="316"/>
        <v>1870</v>
      </c>
      <c r="AF208" s="25">
        <v>130</v>
      </c>
      <c r="AG208" s="25">
        <f t="array" ref="AG208">INDEX($AE$79:$AE$116,QUOTIENT(AF208-1,8)+1)</f>
        <v>1020</v>
      </c>
      <c r="AH208" s="25">
        <f t="shared" si="192"/>
        <v>2</v>
      </c>
      <c r="AI208" s="25">
        <f t="shared" si="317"/>
        <v>10202</v>
      </c>
      <c r="AJ208" s="25" t="str">
        <f t="shared" si="318"/>
        <v>卡斯帕</v>
      </c>
      <c r="AK208" s="25">
        <f t="shared" si="193"/>
        <v>2</v>
      </c>
      <c r="AL208" s="25" t="str">
        <f t="array" ref="AL208">INDEX($O$5:$O$42,MATCH(AJ208,$B$5:$B$42,0))</f>
        <v>攻击百分比</v>
      </c>
      <c r="AM208" s="25" t="str">
        <f t="array" ref="AM208">INDEX($P$5:$P$42,MATCH(AJ208,$B$5:$B$42,0))</f>
        <v>技能冷却等级</v>
      </c>
      <c r="AN208" s="25" t="str">
        <f t="array" ref="AN208">INDEX($Q$5:$Q$42,MATCH(AJ208,$B$5:$B$42,0))</f>
        <v>能量回复等级</v>
      </c>
      <c r="AO208" s="25" t="str">
        <f t="array" ref="AO208">INDEX(AL208:AN208,0,AK208)</f>
        <v>技能冷却等级</v>
      </c>
      <c r="AP208" s="25">
        <f t="shared" si="304"/>
        <v>0.15</v>
      </c>
      <c r="AQ208" s="25">
        <f t="shared" si="319"/>
        <v>1950</v>
      </c>
      <c r="AR208" s="25" t="str">
        <f t="shared" ref="AR208:BZ208" si="329">IF(AR$78=$AO208,$AQ208,"0")</f>
        <v>0</v>
      </c>
      <c r="AS208" s="25" t="str">
        <f t="shared" si="329"/>
        <v>0</v>
      </c>
      <c r="AT208" s="25" t="str">
        <f t="shared" si="329"/>
        <v>0</v>
      </c>
      <c r="AU208" s="25" t="str">
        <f t="shared" si="329"/>
        <v>0</v>
      </c>
      <c r="AV208" s="25" t="str">
        <f t="shared" si="329"/>
        <v>0</v>
      </c>
      <c r="AW208" s="25" t="str">
        <f t="shared" si="329"/>
        <v>0</v>
      </c>
      <c r="AX208" s="25" t="str">
        <f t="shared" si="329"/>
        <v>0</v>
      </c>
      <c r="AY208" s="25" t="str">
        <f t="shared" si="329"/>
        <v>0</v>
      </c>
      <c r="AZ208" s="25" t="str">
        <f t="shared" si="329"/>
        <v>0</v>
      </c>
      <c r="BA208" s="25" t="str">
        <f t="shared" si="329"/>
        <v>0</v>
      </c>
      <c r="BB208" s="25" t="str">
        <f t="shared" si="329"/>
        <v>0</v>
      </c>
      <c r="BC208" s="25" t="str">
        <f t="shared" si="329"/>
        <v>0</v>
      </c>
      <c r="BD208" s="25" t="str">
        <f t="shared" si="329"/>
        <v>0</v>
      </c>
      <c r="BE208" s="25" t="str">
        <f t="shared" si="329"/>
        <v>0</v>
      </c>
      <c r="BF208" s="25" t="str">
        <f t="shared" si="329"/>
        <v>0</v>
      </c>
      <c r="BG208" s="25" t="str">
        <f t="shared" si="329"/>
        <v>0</v>
      </c>
      <c r="BH208" s="25" t="str">
        <f t="shared" si="329"/>
        <v>0</v>
      </c>
      <c r="BI208" s="25" t="str">
        <f t="shared" si="329"/>
        <v>0</v>
      </c>
      <c r="BJ208" s="25" t="str">
        <f t="shared" si="329"/>
        <v>0</v>
      </c>
      <c r="BK208" s="25" t="str">
        <f t="shared" si="329"/>
        <v>0</v>
      </c>
      <c r="BL208" s="25" t="str">
        <f t="shared" si="329"/>
        <v>0</v>
      </c>
      <c r="BM208" s="25" t="str">
        <f t="shared" si="329"/>
        <v>0</v>
      </c>
      <c r="BN208" s="25" t="str">
        <f t="shared" si="329"/>
        <v>0</v>
      </c>
      <c r="BO208" s="25" t="str">
        <f t="shared" si="329"/>
        <v>0</v>
      </c>
      <c r="BP208" s="25" t="str">
        <f t="shared" si="329"/>
        <v>0</v>
      </c>
      <c r="BQ208" s="25" t="str">
        <f t="shared" si="329"/>
        <v>0</v>
      </c>
      <c r="BR208" s="25" t="str">
        <f t="shared" si="329"/>
        <v>0</v>
      </c>
      <c r="BS208" s="25" t="str">
        <f t="shared" si="329"/>
        <v>0</v>
      </c>
      <c r="BT208" s="25" t="str">
        <f t="shared" si="329"/>
        <v>0</v>
      </c>
      <c r="BU208" s="25" t="str">
        <f t="shared" si="329"/>
        <v>0</v>
      </c>
      <c r="BV208" s="25" t="str">
        <f t="shared" si="329"/>
        <v>0</v>
      </c>
      <c r="BW208" s="25" t="str">
        <f t="shared" si="329"/>
        <v>0</v>
      </c>
      <c r="BX208" s="25" t="str">
        <f t="shared" si="329"/>
        <v>0</v>
      </c>
      <c r="BY208" s="25" t="str">
        <f t="shared" si="329"/>
        <v>0</v>
      </c>
      <c r="BZ208" s="25">
        <f t="shared" si="329"/>
        <v>1950</v>
      </c>
      <c r="CC208" s="25" t="str">
        <f t="array" ref="CC208">INDEX($C$46:$C$74,MATCH(CD208,$B$46:$B$74,0))</f>
        <v>马克</v>
      </c>
      <c r="CD208" s="1">
        <v>1023</v>
      </c>
      <c r="CE208" s="1">
        <v>3</v>
      </c>
      <c r="CF208" s="25" t="str">
        <f t="array" ref="CF208">INDEX($T$5:$T$44,MATCH(CC208,$B$5:$B$44,0))</f>
        <v>物理</v>
      </c>
      <c r="CG208" s="25">
        <f t="shared" si="189"/>
        <v>0.15</v>
      </c>
      <c r="CH208" s="25">
        <f t="shared" si="321"/>
        <v>1.15</v>
      </c>
      <c r="CI208" s="25">
        <f t="shared" si="322"/>
        <v>1.15</v>
      </c>
      <c r="CJ208" s="25">
        <f t="shared" si="323"/>
        <v>1</v>
      </c>
      <c r="CK208" s="25">
        <f t="shared" si="324"/>
        <v>1.15</v>
      </c>
      <c r="CL208" s="25" t="str">
        <f t="array" ref="CL208">INDEX($R$5:$R$43,MATCH(CC208,$B$5:$B$43,0))</f>
        <v>物理伤害加成</v>
      </c>
      <c r="CM208" s="25">
        <f t="shared" si="190"/>
        <v>0.3</v>
      </c>
      <c r="CN208" s="25">
        <f t="shared" si="325"/>
        <v>0.12</v>
      </c>
      <c r="CO208" s="25">
        <f t="shared" si="326"/>
        <v>1</v>
      </c>
      <c r="CP208" s="29" t="str">
        <f t="shared" ref="CP208:DQ208" si="330">IF($CL208=CP$78,$CN208,"0")</f>
        <v>0</v>
      </c>
      <c r="CQ208" s="29" t="str">
        <f t="shared" si="330"/>
        <v>0</v>
      </c>
      <c r="CR208" s="29" t="str">
        <f t="shared" si="330"/>
        <v>0</v>
      </c>
      <c r="CS208" s="29" t="str">
        <f t="shared" si="330"/>
        <v>0</v>
      </c>
      <c r="CT208" s="29" t="str">
        <f t="shared" si="330"/>
        <v>0</v>
      </c>
      <c r="CU208" s="29" t="str">
        <f t="shared" si="330"/>
        <v>0</v>
      </c>
      <c r="CV208" s="29" t="str">
        <f t="shared" si="330"/>
        <v>0</v>
      </c>
      <c r="CW208" s="29" t="str">
        <f t="shared" si="330"/>
        <v>0</v>
      </c>
      <c r="CX208" s="29" t="str">
        <f t="shared" si="330"/>
        <v>0</v>
      </c>
      <c r="CY208" s="29" t="str">
        <f t="shared" si="330"/>
        <v>0</v>
      </c>
      <c r="CZ208" s="29" t="str">
        <f t="shared" si="330"/>
        <v>0</v>
      </c>
      <c r="DA208" s="29" t="str">
        <f t="shared" si="330"/>
        <v>0</v>
      </c>
      <c r="DB208" s="29">
        <f t="shared" si="330"/>
        <v>0.12</v>
      </c>
      <c r="DC208" s="29" t="str">
        <f t="shared" si="330"/>
        <v>0</v>
      </c>
      <c r="DD208" s="29" t="str">
        <f t="shared" si="330"/>
        <v>0</v>
      </c>
      <c r="DE208" s="29" t="str">
        <f t="shared" si="330"/>
        <v>0</v>
      </c>
      <c r="DF208" s="29" t="str">
        <f t="shared" si="330"/>
        <v>0</v>
      </c>
      <c r="DG208" s="29" t="str">
        <f t="shared" si="330"/>
        <v>0</v>
      </c>
      <c r="DH208" s="29" t="str">
        <f t="shared" si="330"/>
        <v>0</v>
      </c>
      <c r="DI208" s="29" t="str">
        <f t="shared" si="330"/>
        <v>0</v>
      </c>
      <c r="DJ208" s="29" t="str">
        <f t="shared" si="330"/>
        <v>0</v>
      </c>
      <c r="DK208" s="29" t="str">
        <f t="shared" si="330"/>
        <v>0</v>
      </c>
      <c r="DL208" s="29" t="str">
        <f t="shared" si="330"/>
        <v>0</v>
      </c>
      <c r="DM208" s="29" t="str">
        <f t="shared" si="330"/>
        <v>0</v>
      </c>
      <c r="DN208" s="29" t="str">
        <f t="shared" si="330"/>
        <v>0</v>
      </c>
      <c r="DO208" s="29" t="str">
        <f t="shared" si="330"/>
        <v>0</v>
      </c>
      <c r="DP208" s="29" t="str">
        <f t="shared" si="330"/>
        <v>0</v>
      </c>
      <c r="DQ208" s="29" t="str">
        <f t="shared" si="330"/>
        <v>0</v>
      </c>
      <c r="DR208" s="29"/>
      <c r="DS208" s="25" t="s">
        <v>1011</v>
      </c>
      <c r="DT208" s="25" t="str">
        <f>TEXT(角色升星!$F$18,"0%")</f>
        <v>15%</v>
      </c>
      <c r="DU208" s="25" t="s">
        <v>779</v>
      </c>
      <c r="DV208" s="25" t="str">
        <f>IF(CF208="物理","PhysicsAttack,+","MagicAttack,+")</f>
        <v>PhysicsAttack,+</v>
      </c>
      <c r="DW208" s="25" t="str">
        <f>TEXT(角色升星!$F$18,"0%")</f>
        <v>15%</v>
      </c>
      <c r="DX208" s="25" t="s">
        <v>779</v>
      </c>
      <c r="DY208" s="25" t="s">
        <v>1012</v>
      </c>
      <c r="DZ208" s="25" t="str">
        <f>TEXT(角色升星!$F$18,"0%")</f>
        <v>15%</v>
      </c>
      <c r="EA208" s="25" t="s">
        <v>779</v>
      </c>
      <c r="EB208" s="25" t="str">
        <f>VLOOKUP(CL208,$O$46:$P$73,2,0)</f>
        <v>PhysicsDmgBonus</v>
      </c>
      <c r="EC208" s="25" t="s">
        <v>1013</v>
      </c>
      <c r="ED208" s="25" t="str">
        <f>IF(CN208&gt;1,CN208,TEXT(CN208,"0%"))</f>
        <v>12%</v>
      </c>
      <c r="EE208" s="25" t="str">
        <f t="shared" si="328"/>
        <v>Hp,+15%;PhysicsAttack,+15%;Armor,+15%;PhysicsDmgBonus,+12%</v>
      </c>
    </row>
    <row r="209" spans="1:135">
      <c r="A209" s="48">
        <v>1003011</v>
      </c>
      <c r="B209" s="49" t="s">
        <v>321</v>
      </c>
      <c r="C209" s="25">
        <f t="shared" si="299"/>
        <v>11</v>
      </c>
      <c r="D209" s="25">
        <f t="array" ref="D209">INDEX(C$5:C$67,MATCH($B209,$B$5:$B$67,0))</f>
        <v>7700</v>
      </c>
      <c r="E209" s="25">
        <f t="array" ref="E209">INDEX(D$5:D$67,MATCH($B209,$B$5:$B$67,0))</f>
        <v>616</v>
      </c>
      <c r="F209" s="25">
        <f t="array" ref="F209">INDEX(E$5:E$67,MATCH($B209,$B$5:$B$67,0))</f>
        <v>734</v>
      </c>
      <c r="G209" s="25">
        <f t="array" ref="G209">INDEX(F$5:F$67,MATCH($B209,$B$5:$B$67,0))</f>
        <v>58.72</v>
      </c>
      <c r="H209" s="25">
        <f t="array" ref="H209">INDEX(G$5:G$66,MATCH($B209,$B$5:$B$67,0))</f>
        <v>918</v>
      </c>
      <c r="I209" s="25">
        <f t="array" ref="I209">INDEX(H$5:H$67,MATCH($B209,$B$5:$B$67,0))</f>
        <v>73.44</v>
      </c>
      <c r="J209" s="25">
        <f t="array" ref="J209">INDEX(I$5:I$67,MATCH($B209,$B$5:$B$67,0))</f>
        <v>900</v>
      </c>
      <c r="K209" s="25">
        <f t="array" ref="K209">INDEX(J$5:J$67,MATCH($B209,$B$5:$B$67,0))</f>
        <v>72</v>
      </c>
      <c r="L209" s="25">
        <f t="shared" si="309"/>
        <v>14476</v>
      </c>
      <c r="M209" s="25">
        <f t="shared" si="310"/>
        <v>1380</v>
      </c>
      <c r="N209" s="25">
        <f t="shared" si="311"/>
        <v>1726</v>
      </c>
      <c r="O209" s="25">
        <f t="shared" si="312"/>
        <v>1692</v>
      </c>
      <c r="R209" s="50">
        <f t="array" ref="R209">INDEX($B$46:$B$68,MATCH(S209,$C$46:$C$68,0))*1000+T209</f>
        <v>1005023</v>
      </c>
      <c r="S209" s="51" t="s">
        <v>327</v>
      </c>
      <c r="T209" s="29">
        <f t="shared" si="232"/>
        <v>23</v>
      </c>
      <c r="U209" s="25">
        <f t="array" ref="U209">INDEX(K$5:K$67,MATCH($S209,$B$5:$B$67,0))</f>
        <v>402.57</v>
      </c>
      <c r="V209" s="25">
        <f t="array" ref="V209">INDEX(L$5:L$67,MATCH($S209,$B$5:$B$67,0))</f>
        <v>140.8</v>
      </c>
      <c r="W209" s="25">
        <f t="array" ref="W209">INDEX(M$5:M$67,MATCH($S209,$B$5:$B$67,0))</f>
        <v>101.38</v>
      </c>
      <c r="X209" s="25">
        <f t="array" ref="X209">INDEX(N$5:N$67,MATCH($S209,$B$5:$B$67,0))</f>
        <v>85</v>
      </c>
      <c r="Y209" s="25">
        <f t="shared" si="313"/>
        <v>9259</v>
      </c>
      <c r="Z209" s="25">
        <f t="shared" si="314"/>
        <v>3238</v>
      </c>
      <c r="AA209" s="25">
        <f t="shared" si="315"/>
        <v>2332</v>
      </c>
      <c r="AB209" s="25">
        <f t="shared" si="316"/>
        <v>1955</v>
      </c>
      <c r="AF209" s="25">
        <v>131</v>
      </c>
      <c r="AG209" s="25">
        <f t="array" ref="AG209">INDEX($AE$79:$AE$116,QUOTIENT(AF209-1,8)+1)</f>
        <v>1020</v>
      </c>
      <c r="AH209" s="25">
        <f t="shared" si="192"/>
        <v>3</v>
      </c>
      <c r="AI209" s="25">
        <f t="shared" si="317"/>
        <v>10203</v>
      </c>
      <c r="AJ209" s="25" t="str">
        <f t="shared" si="318"/>
        <v>卡斯帕</v>
      </c>
      <c r="AK209" s="25">
        <f t="shared" si="193"/>
        <v>3</v>
      </c>
      <c r="AL209" s="25" t="str">
        <f t="array" ref="AL209">INDEX($O$5:$O$42,MATCH(AJ209,$B$5:$B$42,0))</f>
        <v>攻击百分比</v>
      </c>
      <c r="AM209" s="25" t="str">
        <f t="array" ref="AM209">INDEX($P$5:$P$42,MATCH(AJ209,$B$5:$B$42,0))</f>
        <v>技能冷却等级</v>
      </c>
      <c r="AN209" s="25" t="str">
        <f t="array" ref="AN209">INDEX($Q$5:$Q$42,MATCH(AJ209,$B$5:$B$42,0))</f>
        <v>能量回复等级</v>
      </c>
      <c r="AO209" s="25" t="str">
        <f t="array" ref="AO209">INDEX(AL209:AN209,0,AK209)</f>
        <v>能量回复等级</v>
      </c>
      <c r="AP209" s="25">
        <f t="shared" si="304"/>
        <v>0.216666666666667</v>
      </c>
      <c r="AQ209" s="25">
        <f t="shared" si="319"/>
        <v>1950</v>
      </c>
      <c r="AR209" s="25" t="str">
        <f t="shared" ref="AR209:BZ209" si="331">IF(AR$78=$AO209,$AQ209,"0")</f>
        <v>0</v>
      </c>
      <c r="AS209" s="25" t="str">
        <f t="shared" si="331"/>
        <v>0</v>
      </c>
      <c r="AT209" s="25" t="str">
        <f t="shared" si="331"/>
        <v>0</v>
      </c>
      <c r="AU209" s="25" t="str">
        <f t="shared" si="331"/>
        <v>0</v>
      </c>
      <c r="AV209" s="25" t="str">
        <f t="shared" si="331"/>
        <v>0</v>
      </c>
      <c r="AW209" s="25" t="str">
        <f t="shared" si="331"/>
        <v>0</v>
      </c>
      <c r="AX209" s="25" t="str">
        <f t="shared" si="331"/>
        <v>0</v>
      </c>
      <c r="AY209" s="25" t="str">
        <f t="shared" si="331"/>
        <v>0</v>
      </c>
      <c r="AZ209" s="25" t="str">
        <f t="shared" si="331"/>
        <v>0</v>
      </c>
      <c r="BA209" s="25" t="str">
        <f t="shared" si="331"/>
        <v>0</v>
      </c>
      <c r="BB209" s="25" t="str">
        <f t="shared" si="331"/>
        <v>0</v>
      </c>
      <c r="BC209" s="25" t="str">
        <f t="shared" si="331"/>
        <v>0</v>
      </c>
      <c r="BD209" s="25" t="str">
        <f t="shared" si="331"/>
        <v>0</v>
      </c>
      <c r="BE209" s="25" t="str">
        <f t="shared" si="331"/>
        <v>0</v>
      </c>
      <c r="BF209" s="25" t="str">
        <f t="shared" si="331"/>
        <v>0</v>
      </c>
      <c r="BG209" s="25" t="str">
        <f t="shared" si="331"/>
        <v>0</v>
      </c>
      <c r="BH209" s="25" t="str">
        <f t="shared" si="331"/>
        <v>0</v>
      </c>
      <c r="BI209" s="25" t="str">
        <f t="shared" si="331"/>
        <v>0</v>
      </c>
      <c r="BJ209" s="25" t="str">
        <f t="shared" si="331"/>
        <v>0</v>
      </c>
      <c r="BK209" s="25" t="str">
        <f t="shared" si="331"/>
        <v>0</v>
      </c>
      <c r="BL209" s="25" t="str">
        <f t="shared" si="331"/>
        <v>0</v>
      </c>
      <c r="BM209" s="25" t="str">
        <f t="shared" si="331"/>
        <v>0</v>
      </c>
      <c r="BN209" s="25" t="str">
        <f t="shared" si="331"/>
        <v>0</v>
      </c>
      <c r="BO209" s="25" t="str">
        <f t="shared" si="331"/>
        <v>0</v>
      </c>
      <c r="BP209" s="25" t="str">
        <f t="shared" si="331"/>
        <v>0</v>
      </c>
      <c r="BQ209" s="25" t="str">
        <f t="shared" si="331"/>
        <v>0</v>
      </c>
      <c r="BR209" s="25" t="str">
        <f t="shared" si="331"/>
        <v>0</v>
      </c>
      <c r="BS209" s="25" t="str">
        <f t="shared" si="331"/>
        <v>0</v>
      </c>
      <c r="BT209" s="25" t="str">
        <f t="shared" si="331"/>
        <v>0</v>
      </c>
      <c r="BU209" s="25" t="str">
        <f t="shared" si="331"/>
        <v>0</v>
      </c>
      <c r="BV209" s="25" t="str">
        <f t="shared" si="331"/>
        <v>0</v>
      </c>
      <c r="BW209" s="25" t="str">
        <f t="shared" si="331"/>
        <v>0</v>
      </c>
      <c r="BX209" s="25" t="str">
        <f t="shared" si="331"/>
        <v>0</v>
      </c>
      <c r="BY209" s="25">
        <f t="shared" si="331"/>
        <v>1950</v>
      </c>
      <c r="BZ209" s="25" t="str">
        <f t="shared" si="331"/>
        <v>0</v>
      </c>
      <c r="CC209" s="25" t="str">
        <f t="array" ref="CC209">INDEX($C$46:$C$74,MATCH(CD209,$B$46:$B$74,0))</f>
        <v>马克</v>
      </c>
      <c r="CD209" s="1">
        <v>1023</v>
      </c>
      <c r="CE209" s="1">
        <v>4</v>
      </c>
      <c r="CF209" s="25" t="str">
        <f t="array" ref="CF209">INDEX($T$5:$T$44,MATCH(CC209,$B$5:$B$44,0))</f>
        <v>物理</v>
      </c>
      <c r="CG209" s="25">
        <f t="shared" si="189"/>
        <v>0.15</v>
      </c>
      <c r="CH209" s="25">
        <f t="shared" si="321"/>
        <v>1.15</v>
      </c>
      <c r="CI209" s="25">
        <f t="shared" si="322"/>
        <v>1.15</v>
      </c>
      <c r="CJ209" s="25">
        <f t="shared" si="323"/>
        <v>1</v>
      </c>
      <c r="CK209" s="25">
        <f t="shared" si="324"/>
        <v>1.15</v>
      </c>
      <c r="CL209" s="25">
        <v>0</v>
      </c>
      <c r="CM209" s="25">
        <f t="shared" si="190"/>
        <v>0</v>
      </c>
      <c r="CN209" s="25">
        <f t="shared" si="325"/>
        <v>0</v>
      </c>
      <c r="CO209" s="25">
        <f t="shared" si="326"/>
        <v>0</v>
      </c>
      <c r="CP209" s="29" t="str">
        <f t="shared" ref="CP209:DQ209" si="332">IF($CL209=CP$78,$CN209,"0")</f>
        <v>0</v>
      </c>
      <c r="CQ209" s="29" t="str">
        <f t="shared" si="332"/>
        <v>0</v>
      </c>
      <c r="CR209" s="29" t="str">
        <f t="shared" si="332"/>
        <v>0</v>
      </c>
      <c r="CS209" s="29" t="str">
        <f t="shared" si="332"/>
        <v>0</v>
      </c>
      <c r="CT209" s="29" t="str">
        <f t="shared" si="332"/>
        <v>0</v>
      </c>
      <c r="CU209" s="29" t="str">
        <f t="shared" si="332"/>
        <v>0</v>
      </c>
      <c r="CV209" s="29" t="str">
        <f t="shared" si="332"/>
        <v>0</v>
      </c>
      <c r="CW209" s="29" t="str">
        <f t="shared" si="332"/>
        <v>0</v>
      </c>
      <c r="CX209" s="29" t="str">
        <f t="shared" si="332"/>
        <v>0</v>
      </c>
      <c r="CY209" s="29" t="str">
        <f t="shared" si="332"/>
        <v>0</v>
      </c>
      <c r="CZ209" s="29" t="str">
        <f t="shared" si="332"/>
        <v>0</v>
      </c>
      <c r="DA209" s="29" t="str">
        <f t="shared" si="332"/>
        <v>0</v>
      </c>
      <c r="DB209" s="29" t="str">
        <f t="shared" si="332"/>
        <v>0</v>
      </c>
      <c r="DC209" s="29" t="str">
        <f t="shared" si="332"/>
        <v>0</v>
      </c>
      <c r="DD209" s="29" t="str">
        <f t="shared" si="332"/>
        <v>0</v>
      </c>
      <c r="DE209" s="29" t="str">
        <f t="shared" si="332"/>
        <v>0</v>
      </c>
      <c r="DF209" s="29" t="str">
        <f t="shared" si="332"/>
        <v>0</v>
      </c>
      <c r="DG209" s="29" t="str">
        <f t="shared" si="332"/>
        <v>0</v>
      </c>
      <c r="DH209" s="29" t="str">
        <f t="shared" si="332"/>
        <v>0</v>
      </c>
      <c r="DI209" s="29" t="str">
        <f t="shared" si="332"/>
        <v>0</v>
      </c>
      <c r="DJ209" s="29" t="str">
        <f t="shared" si="332"/>
        <v>0</v>
      </c>
      <c r="DK209" s="29" t="str">
        <f t="shared" si="332"/>
        <v>0</v>
      </c>
      <c r="DL209" s="29" t="str">
        <f t="shared" si="332"/>
        <v>0</v>
      </c>
      <c r="DM209" s="29" t="str">
        <f t="shared" si="332"/>
        <v>0</v>
      </c>
      <c r="DN209" s="29" t="str">
        <f t="shared" si="332"/>
        <v>0</v>
      </c>
      <c r="DO209" s="29" t="str">
        <f t="shared" si="332"/>
        <v>0</v>
      </c>
      <c r="DP209" s="29" t="str">
        <f t="shared" si="332"/>
        <v>0</v>
      </c>
      <c r="DQ209" s="29" t="str">
        <f t="shared" si="332"/>
        <v>0</v>
      </c>
      <c r="DR209" s="29"/>
      <c r="DS209" s="25">
        <v>0</v>
      </c>
      <c r="EE209" s="25" t="str">
        <f t="shared" si="328"/>
        <v>0</v>
      </c>
    </row>
    <row r="210" spans="1:135">
      <c r="A210" s="48">
        <v>1003012</v>
      </c>
      <c r="B210" s="49" t="s">
        <v>321</v>
      </c>
      <c r="C210" s="25">
        <f t="shared" si="299"/>
        <v>12</v>
      </c>
      <c r="D210" s="25">
        <f t="array" ref="D210">INDEX(C$5:C$67,MATCH($B210,$B$5:$B$67,0))</f>
        <v>7700</v>
      </c>
      <c r="E210" s="25">
        <f t="array" ref="E210">INDEX(D$5:D$67,MATCH($B210,$B$5:$B$67,0))</f>
        <v>616</v>
      </c>
      <c r="F210" s="25">
        <f t="array" ref="F210">INDEX(E$5:E$67,MATCH($B210,$B$5:$B$67,0))</f>
        <v>734</v>
      </c>
      <c r="G210" s="25">
        <f t="array" ref="G210">INDEX(F$5:F$67,MATCH($B210,$B$5:$B$67,0))</f>
        <v>58.72</v>
      </c>
      <c r="H210" s="25">
        <f t="array" ref="H210">INDEX(G$5:G$66,MATCH($B210,$B$5:$B$67,0))</f>
        <v>918</v>
      </c>
      <c r="I210" s="25">
        <f t="array" ref="I210">INDEX(H$5:H$67,MATCH($B210,$B$5:$B$67,0))</f>
        <v>73.44</v>
      </c>
      <c r="J210" s="25">
        <f t="array" ref="J210">INDEX(I$5:I$67,MATCH($B210,$B$5:$B$67,0))</f>
        <v>900</v>
      </c>
      <c r="K210" s="25">
        <f t="array" ref="K210">INDEX(J$5:J$67,MATCH($B210,$B$5:$B$67,0))</f>
        <v>72</v>
      </c>
      <c r="L210" s="25">
        <f t="shared" si="309"/>
        <v>15092</v>
      </c>
      <c r="M210" s="25">
        <f t="shared" si="310"/>
        <v>1439</v>
      </c>
      <c r="N210" s="25">
        <f t="shared" si="311"/>
        <v>1799</v>
      </c>
      <c r="O210" s="25">
        <f t="shared" si="312"/>
        <v>1764</v>
      </c>
      <c r="R210" s="50">
        <f t="array" ref="R210">INDEX($B$46:$B$68,MATCH(S210,$C$46:$C$68,0))*1000+T210</f>
        <v>1005024</v>
      </c>
      <c r="S210" s="51" t="s">
        <v>327</v>
      </c>
      <c r="T210" s="29">
        <f t="shared" si="232"/>
        <v>24</v>
      </c>
      <c r="U210" s="25">
        <f t="array" ref="U210">INDEX(K$5:K$67,MATCH($S210,$B$5:$B$67,0))</f>
        <v>402.57</v>
      </c>
      <c r="V210" s="25">
        <f t="array" ref="V210">INDEX(L$5:L$67,MATCH($S210,$B$5:$B$67,0))</f>
        <v>140.8</v>
      </c>
      <c r="W210" s="25">
        <f t="array" ref="W210">INDEX(M$5:M$67,MATCH($S210,$B$5:$B$67,0))</f>
        <v>101.38</v>
      </c>
      <c r="X210" s="25">
        <f t="array" ref="X210">INDEX(N$5:N$67,MATCH($S210,$B$5:$B$67,0))</f>
        <v>85</v>
      </c>
      <c r="Y210" s="25">
        <f t="shared" si="313"/>
        <v>9662</v>
      </c>
      <c r="Z210" s="25">
        <f t="shared" si="314"/>
        <v>3379</v>
      </c>
      <c r="AA210" s="25">
        <f t="shared" si="315"/>
        <v>2433</v>
      </c>
      <c r="AB210" s="25">
        <f t="shared" si="316"/>
        <v>2040</v>
      </c>
      <c r="AF210" s="25">
        <v>132</v>
      </c>
      <c r="AG210" s="25">
        <f t="array" ref="AG210">INDEX($AE$79:$AE$116,QUOTIENT(AF210-1,8)+1)</f>
        <v>1020</v>
      </c>
      <c r="AH210" s="25">
        <f t="shared" si="192"/>
        <v>4</v>
      </c>
      <c r="AI210" s="25">
        <f t="shared" si="317"/>
        <v>10204</v>
      </c>
      <c r="AJ210" s="25" t="str">
        <f t="shared" si="318"/>
        <v>卡斯帕</v>
      </c>
      <c r="AK210" s="25">
        <f t="shared" si="193"/>
        <v>2</v>
      </c>
      <c r="AL210" s="25" t="str">
        <f t="array" ref="AL210">INDEX($O$5:$O$42,MATCH(AJ210,$B$5:$B$42,0))</f>
        <v>攻击百分比</v>
      </c>
      <c r="AM210" s="25" t="str">
        <f t="array" ref="AM210">INDEX($P$5:$P$42,MATCH(AJ210,$B$5:$B$42,0))</f>
        <v>技能冷却等级</v>
      </c>
      <c r="AN210" s="25" t="str">
        <f t="array" ref="AN210">INDEX($Q$5:$Q$42,MATCH(AJ210,$B$5:$B$42,0))</f>
        <v>能量回复等级</v>
      </c>
      <c r="AO210" s="25" t="str">
        <f t="array" ref="AO210">INDEX(AL210:AN210,0,AK210)</f>
        <v>技能冷却等级</v>
      </c>
      <c r="AP210" s="25">
        <f t="shared" si="304"/>
        <v>0.15</v>
      </c>
      <c r="AQ210" s="25">
        <f t="shared" si="319"/>
        <v>1950</v>
      </c>
      <c r="AR210" s="25" t="str">
        <f t="shared" ref="AR210:BZ210" si="333">IF(AR$78=$AO210,$AQ210,"0")</f>
        <v>0</v>
      </c>
      <c r="AS210" s="25" t="str">
        <f t="shared" si="333"/>
        <v>0</v>
      </c>
      <c r="AT210" s="25" t="str">
        <f t="shared" si="333"/>
        <v>0</v>
      </c>
      <c r="AU210" s="25" t="str">
        <f t="shared" si="333"/>
        <v>0</v>
      </c>
      <c r="AV210" s="25" t="str">
        <f t="shared" si="333"/>
        <v>0</v>
      </c>
      <c r="AW210" s="25" t="str">
        <f t="shared" si="333"/>
        <v>0</v>
      </c>
      <c r="AX210" s="25" t="str">
        <f t="shared" si="333"/>
        <v>0</v>
      </c>
      <c r="AY210" s="25" t="str">
        <f t="shared" si="333"/>
        <v>0</v>
      </c>
      <c r="AZ210" s="25" t="str">
        <f t="shared" si="333"/>
        <v>0</v>
      </c>
      <c r="BA210" s="25" t="str">
        <f t="shared" si="333"/>
        <v>0</v>
      </c>
      <c r="BB210" s="25" t="str">
        <f t="shared" si="333"/>
        <v>0</v>
      </c>
      <c r="BC210" s="25" t="str">
        <f t="shared" si="333"/>
        <v>0</v>
      </c>
      <c r="BD210" s="25" t="str">
        <f t="shared" si="333"/>
        <v>0</v>
      </c>
      <c r="BE210" s="25" t="str">
        <f t="shared" si="333"/>
        <v>0</v>
      </c>
      <c r="BF210" s="25" t="str">
        <f t="shared" si="333"/>
        <v>0</v>
      </c>
      <c r="BG210" s="25" t="str">
        <f t="shared" si="333"/>
        <v>0</v>
      </c>
      <c r="BH210" s="25" t="str">
        <f t="shared" si="333"/>
        <v>0</v>
      </c>
      <c r="BI210" s="25" t="str">
        <f t="shared" si="333"/>
        <v>0</v>
      </c>
      <c r="BJ210" s="25" t="str">
        <f t="shared" si="333"/>
        <v>0</v>
      </c>
      <c r="BK210" s="25" t="str">
        <f t="shared" si="333"/>
        <v>0</v>
      </c>
      <c r="BL210" s="25" t="str">
        <f t="shared" si="333"/>
        <v>0</v>
      </c>
      <c r="BM210" s="25" t="str">
        <f t="shared" si="333"/>
        <v>0</v>
      </c>
      <c r="BN210" s="25" t="str">
        <f t="shared" si="333"/>
        <v>0</v>
      </c>
      <c r="BO210" s="25" t="str">
        <f t="shared" si="333"/>
        <v>0</v>
      </c>
      <c r="BP210" s="25" t="str">
        <f t="shared" si="333"/>
        <v>0</v>
      </c>
      <c r="BQ210" s="25" t="str">
        <f t="shared" si="333"/>
        <v>0</v>
      </c>
      <c r="BR210" s="25" t="str">
        <f t="shared" si="333"/>
        <v>0</v>
      </c>
      <c r="BS210" s="25" t="str">
        <f t="shared" si="333"/>
        <v>0</v>
      </c>
      <c r="BT210" s="25" t="str">
        <f t="shared" si="333"/>
        <v>0</v>
      </c>
      <c r="BU210" s="25" t="str">
        <f t="shared" si="333"/>
        <v>0</v>
      </c>
      <c r="BV210" s="25" t="str">
        <f t="shared" si="333"/>
        <v>0</v>
      </c>
      <c r="BW210" s="25" t="str">
        <f t="shared" si="333"/>
        <v>0</v>
      </c>
      <c r="BX210" s="25" t="str">
        <f t="shared" si="333"/>
        <v>0</v>
      </c>
      <c r="BY210" s="25" t="str">
        <f t="shared" si="333"/>
        <v>0</v>
      </c>
      <c r="BZ210" s="25">
        <f t="shared" si="333"/>
        <v>1950</v>
      </c>
      <c r="CC210" s="25" t="str">
        <f t="array" ref="CC210">INDEX($C$46:$C$74,MATCH(CD210,$B$46:$B$74,0))</f>
        <v>马克</v>
      </c>
      <c r="CD210" s="1">
        <v>1023</v>
      </c>
      <c r="CE210" s="1">
        <v>5</v>
      </c>
      <c r="CF210" s="25" t="str">
        <f t="array" ref="CF210">INDEX($T$5:$T$44,MATCH(CC210,$B$5:$B$44,0))</f>
        <v>物理</v>
      </c>
      <c r="CG210" s="25">
        <f t="shared" si="189"/>
        <v>0.3</v>
      </c>
      <c r="CH210" s="25">
        <f t="shared" si="321"/>
        <v>1.3</v>
      </c>
      <c r="CI210" s="25">
        <f t="shared" si="322"/>
        <v>1.3</v>
      </c>
      <c r="CJ210" s="25">
        <f t="shared" si="323"/>
        <v>1</v>
      </c>
      <c r="CK210" s="25">
        <f t="shared" si="324"/>
        <v>1.3</v>
      </c>
      <c r="CL210" s="25" t="str">
        <f t="array" ref="CL210">INDEX($S$5:$S$43,MATCH(CC210,$B$5:$B$43,0))</f>
        <v>技能伤害加成</v>
      </c>
      <c r="CM210" s="25">
        <f t="shared" si="190"/>
        <v>0.3</v>
      </c>
      <c r="CN210" s="25">
        <f t="shared" si="325"/>
        <v>0.36</v>
      </c>
      <c r="CO210" s="25">
        <f t="shared" si="326"/>
        <v>1</v>
      </c>
      <c r="CP210" s="29" t="str">
        <f t="shared" ref="CP210:DQ210" si="334">IF($CL210=CP$78,$CN210,"0")</f>
        <v>0</v>
      </c>
      <c r="CQ210" s="29" t="str">
        <f t="shared" si="334"/>
        <v>0</v>
      </c>
      <c r="CR210" s="29" t="str">
        <f t="shared" si="334"/>
        <v>0</v>
      </c>
      <c r="CS210" s="29" t="str">
        <f t="shared" si="334"/>
        <v>0</v>
      </c>
      <c r="CT210" s="29" t="str">
        <f t="shared" si="334"/>
        <v>0</v>
      </c>
      <c r="CU210" s="29" t="str">
        <f t="shared" si="334"/>
        <v>0</v>
      </c>
      <c r="CV210" s="29" t="str">
        <f t="shared" si="334"/>
        <v>0</v>
      </c>
      <c r="CW210" s="29" t="str">
        <f t="shared" si="334"/>
        <v>0</v>
      </c>
      <c r="CX210" s="29" t="str">
        <f t="shared" si="334"/>
        <v>0</v>
      </c>
      <c r="CY210" s="29" t="str">
        <f t="shared" si="334"/>
        <v>0</v>
      </c>
      <c r="CZ210" s="29" t="str">
        <f t="shared" si="334"/>
        <v>0</v>
      </c>
      <c r="DA210" s="29" t="str">
        <f t="shared" si="334"/>
        <v>0</v>
      </c>
      <c r="DB210" s="29" t="str">
        <f t="shared" si="334"/>
        <v>0</v>
      </c>
      <c r="DC210" s="29" t="str">
        <f t="shared" si="334"/>
        <v>0</v>
      </c>
      <c r="DD210" s="29" t="str">
        <f t="shared" si="334"/>
        <v>0</v>
      </c>
      <c r="DE210" s="29">
        <f t="shared" si="334"/>
        <v>0.36</v>
      </c>
      <c r="DF210" s="29" t="str">
        <f t="shared" si="334"/>
        <v>0</v>
      </c>
      <c r="DG210" s="29" t="str">
        <f t="shared" si="334"/>
        <v>0</v>
      </c>
      <c r="DH210" s="29" t="str">
        <f t="shared" si="334"/>
        <v>0</v>
      </c>
      <c r="DI210" s="29" t="str">
        <f t="shared" si="334"/>
        <v>0</v>
      </c>
      <c r="DJ210" s="29" t="str">
        <f t="shared" si="334"/>
        <v>0</v>
      </c>
      <c r="DK210" s="29" t="str">
        <f t="shared" si="334"/>
        <v>0</v>
      </c>
      <c r="DL210" s="29" t="str">
        <f t="shared" si="334"/>
        <v>0</v>
      </c>
      <c r="DM210" s="29" t="str">
        <f t="shared" si="334"/>
        <v>0</v>
      </c>
      <c r="DN210" s="29" t="str">
        <f t="shared" si="334"/>
        <v>0</v>
      </c>
      <c r="DO210" s="29" t="str">
        <f t="shared" si="334"/>
        <v>0</v>
      </c>
      <c r="DP210" s="29" t="str">
        <f t="shared" si="334"/>
        <v>0</v>
      </c>
      <c r="DQ210" s="29" t="str">
        <f t="shared" si="334"/>
        <v>0</v>
      </c>
      <c r="DR210" s="29"/>
      <c r="DS210" s="25" t="s">
        <v>1011</v>
      </c>
      <c r="DT210" s="25" t="str">
        <f>TEXT(角色升星!$F$18,"0%")</f>
        <v>15%</v>
      </c>
      <c r="DU210" s="25" t="s">
        <v>779</v>
      </c>
      <c r="DV210" s="25" t="str">
        <f>IF(CF210="物理","PhysicsAttack,+","MagicAttack,+")</f>
        <v>PhysicsAttack,+</v>
      </c>
      <c r="DW210" s="25" t="str">
        <f>TEXT(角色升星!$F$18,"0%")</f>
        <v>15%</v>
      </c>
      <c r="DX210" s="25" t="s">
        <v>779</v>
      </c>
      <c r="DY210" s="25" t="s">
        <v>1012</v>
      </c>
      <c r="DZ210" s="25" t="str">
        <f>TEXT(角色升星!$F$18,"0%")</f>
        <v>15%</v>
      </c>
      <c r="EA210" s="25" t="s">
        <v>779</v>
      </c>
      <c r="EB210" s="25" t="str">
        <f>VLOOKUP(CL210,$O$46:$P$73,2,0)</f>
        <v>SkillDmgBonus</v>
      </c>
      <c r="EC210" s="25" t="s">
        <v>1013</v>
      </c>
      <c r="ED210" s="25" t="str">
        <f>IF(CN210&gt;1,CN210,TEXT(CN210,"0%"))</f>
        <v>36%</v>
      </c>
      <c r="EE210" s="25" t="str">
        <f t="shared" si="328"/>
        <v>Hp,+15%;PhysicsAttack,+15%;Armor,+15%;SkillDmgBonus,+36%</v>
      </c>
    </row>
    <row r="211" spans="1:135">
      <c r="A211" s="48">
        <v>1003013</v>
      </c>
      <c r="B211" s="49" t="s">
        <v>321</v>
      </c>
      <c r="C211" s="25">
        <f t="shared" si="299"/>
        <v>13</v>
      </c>
      <c r="D211" s="25">
        <f t="array" ref="D211">INDEX(C$5:C$67,MATCH($B211,$B$5:$B$67,0))</f>
        <v>7700</v>
      </c>
      <c r="E211" s="25">
        <f t="array" ref="E211">INDEX(D$5:D$67,MATCH($B211,$B$5:$B$67,0))</f>
        <v>616</v>
      </c>
      <c r="F211" s="25">
        <f t="array" ref="F211">INDEX(E$5:E$67,MATCH($B211,$B$5:$B$67,0))</f>
        <v>734</v>
      </c>
      <c r="G211" s="25">
        <f t="array" ref="G211">INDEX(F$5:F$67,MATCH($B211,$B$5:$B$67,0))</f>
        <v>58.72</v>
      </c>
      <c r="H211" s="25">
        <f t="array" ref="H211">INDEX(G$5:G$66,MATCH($B211,$B$5:$B$67,0))</f>
        <v>918</v>
      </c>
      <c r="I211" s="25">
        <f t="array" ref="I211">INDEX(H$5:H$67,MATCH($B211,$B$5:$B$67,0))</f>
        <v>73.44</v>
      </c>
      <c r="J211" s="25">
        <f t="array" ref="J211">INDEX(I$5:I$67,MATCH($B211,$B$5:$B$67,0))</f>
        <v>900</v>
      </c>
      <c r="K211" s="25">
        <f t="array" ref="K211">INDEX(J$5:J$67,MATCH($B211,$B$5:$B$67,0))</f>
        <v>72</v>
      </c>
      <c r="L211" s="25">
        <f t="shared" si="309"/>
        <v>15708</v>
      </c>
      <c r="M211" s="25">
        <f t="shared" si="310"/>
        <v>1497</v>
      </c>
      <c r="N211" s="25">
        <f t="shared" si="311"/>
        <v>1873</v>
      </c>
      <c r="O211" s="25">
        <f t="shared" si="312"/>
        <v>1836</v>
      </c>
      <c r="R211" s="50">
        <f t="array" ref="R211">INDEX($B$46:$B$68,MATCH(S211,$C$46:$C$68,0))*1000+T211</f>
        <v>1005025</v>
      </c>
      <c r="S211" s="51" t="s">
        <v>327</v>
      </c>
      <c r="T211" s="29">
        <f t="shared" si="232"/>
        <v>25</v>
      </c>
      <c r="U211" s="25">
        <f t="array" ref="U211">INDEX(K$5:K$67,MATCH($S211,$B$5:$B$67,0))</f>
        <v>402.57</v>
      </c>
      <c r="V211" s="25">
        <f t="array" ref="V211">INDEX(L$5:L$67,MATCH($S211,$B$5:$B$67,0))</f>
        <v>140.8</v>
      </c>
      <c r="W211" s="25">
        <f t="array" ref="W211">INDEX(M$5:M$67,MATCH($S211,$B$5:$B$67,0))</f>
        <v>101.38</v>
      </c>
      <c r="X211" s="25">
        <f t="array" ref="X211">INDEX(N$5:N$67,MATCH($S211,$B$5:$B$67,0))</f>
        <v>85</v>
      </c>
      <c r="Y211" s="25">
        <f t="shared" si="313"/>
        <v>10064</v>
      </c>
      <c r="Z211" s="25">
        <f t="shared" si="314"/>
        <v>3520</v>
      </c>
      <c r="AA211" s="25">
        <f t="shared" si="315"/>
        <v>2535</v>
      </c>
      <c r="AB211" s="25">
        <f t="shared" si="316"/>
        <v>2125</v>
      </c>
      <c r="AF211" s="25">
        <v>133</v>
      </c>
      <c r="AG211" s="25">
        <f t="array" ref="AG211">INDEX($AE$79:$AE$116,QUOTIENT(AF211-1,8)+1)</f>
        <v>1020</v>
      </c>
      <c r="AH211" s="25">
        <f t="shared" si="192"/>
        <v>5</v>
      </c>
      <c r="AI211" s="25">
        <f t="shared" si="317"/>
        <v>10205</v>
      </c>
      <c r="AJ211" s="25" t="str">
        <f t="shared" si="318"/>
        <v>卡斯帕</v>
      </c>
      <c r="AK211" s="25">
        <f t="shared" si="193"/>
        <v>3</v>
      </c>
      <c r="AL211" s="25" t="str">
        <f t="array" ref="AL211">INDEX($O$5:$O$42,MATCH(AJ211,$B$5:$B$42,0))</f>
        <v>攻击百分比</v>
      </c>
      <c r="AM211" s="25" t="str">
        <f t="array" ref="AM211">INDEX($P$5:$P$42,MATCH(AJ211,$B$5:$B$42,0))</f>
        <v>技能冷却等级</v>
      </c>
      <c r="AN211" s="25" t="str">
        <f t="array" ref="AN211">INDEX($Q$5:$Q$42,MATCH(AJ211,$B$5:$B$42,0))</f>
        <v>能量回复等级</v>
      </c>
      <c r="AO211" s="25" t="str">
        <f t="array" ref="AO211">INDEX(AL211:AN211,0,AK211)</f>
        <v>能量回复等级</v>
      </c>
      <c r="AP211" s="25">
        <f t="shared" si="304"/>
        <v>0.216666666666667</v>
      </c>
      <c r="AQ211" s="25">
        <f t="shared" si="319"/>
        <v>1950</v>
      </c>
      <c r="AR211" s="25" t="str">
        <f t="shared" ref="AR211:BZ211" si="335">IF(AR$78=$AO211,$AQ211,"0")</f>
        <v>0</v>
      </c>
      <c r="AS211" s="25" t="str">
        <f t="shared" si="335"/>
        <v>0</v>
      </c>
      <c r="AT211" s="25" t="str">
        <f t="shared" si="335"/>
        <v>0</v>
      </c>
      <c r="AU211" s="25" t="str">
        <f t="shared" si="335"/>
        <v>0</v>
      </c>
      <c r="AV211" s="25" t="str">
        <f t="shared" si="335"/>
        <v>0</v>
      </c>
      <c r="AW211" s="25" t="str">
        <f t="shared" si="335"/>
        <v>0</v>
      </c>
      <c r="AX211" s="25" t="str">
        <f t="shared" si="335"/>
        <v>0</v>
      </c>
      <c r="AY211" s="25" t="str">
        <f t="shared" si="335"/>
        <v>0</v>
      </c>
      <c r="AZ211" s="25" t="str">
        <f t="shared" si="335"/>
        <v>0</v>
      </c>
      <c r="BA211" s="25" t="str">
        <f t="shared" si="335"/>
        <v>0</v>
      </c>
      <c r="BB211" s="25" t="str">
        <f t="shared" si="335"/>
        <v>0</v>
      </c>
      <c r="BC211" s="25" t="str">
        <f t="shared" si="335"/>
        <v>0</v>
      </c>
      <c r="BD211" s="25" t="str">
        <f t="shared" si="335"/>
        <v>0</v>
      </c>
      <c r="BE211" s="25" t="str">
        <f t="shared" si="335"/>
        <v>0</v>
      </c>
      <c r="BF211" s="25" t="str">
        <f t="shared" si="335"/>
        <v>0</v>
      </c>
      <c r="BG211" s="25" t="str">
        <f t="shared" si="335"/>
        <v>0</v>
      </c>
      <c r="BH211" s="25" t="str">
        <f t="shared" si="335"/>
        <v>0</v>
      </c>
      <c r="BI211" s="25" t="str">
        <f t="shared" si="335"/>
        <v>0</v>
      </c>
      <c r="BJ211" s="25" t="str">
        <f t="shared" si="335"/>
        <v>0</v>
      </c>
      <c r="BK211" s="25" t="str">
        <f t="shared" si="335"/>
        <v>0</v>
      </c>
      <c r="BL211" s="25" t="str">
        <f t="shared" si="335"/>
        <v>0</v>
      </c>
      <c r="BM211" s="25" t="str">
        <f t="shared" si="335"/>
        <v>0</v>
      </c>
      <c r="BN211" s="25" t="str">
        <f t="shared" si="335"/>
        <v>0</v>
      </c>
      <c r="BO211" s="25" t="str">
        <f t="shared" si="335"/>
        <v>0</v>
      </c>
      <c r="BP211" s="25" t="str">
        <f t="shared" si="335"/>
        <v>0</v>
      </c>
      <c r="BQ211" s="25" t="str">
        <f t="shared" si="335"/>
        <v>0</v>
      </c>
      <c r="BR211" s="25" t="str">
        <f t="shared" si="335"/>
        <v>0</v>
      </c>
      <c r="BS211" s="25" t="str">
        <f t="shared" si="335"/>
        <v>0</v>
      </c>
      <c r="BT211" s="25" t="str">
        <f t="shared" si="335"/>
        <v>0</v>
      </c>
      <c r="BU211" s="25" t="str">
        <f t="shared" si="335"/>
        <v>0</v>
      </c>
      <c r="BV211" s="25" t="str">
        <f t="shared" si="335"/>
        <v>0</v>
      </c>
      <c r="BW211" s="25" t="str">
        <f t="shared" si="335"/>
        <v>0</v>
      </c>
      <c r="BX211" s="25" t="str">
        <f t="shared" si="335"/>
        <v>0</v>
      </c>
      <c r="BY211" s="25">
        <f t="shared" si="335"/>
        <v>1950</v>
      </c>
      <c r="BZ211" s="25" t="str">
        <f t="shared" si="335"/>
        <v>0</v>
      </c>
      <c r="CC211" s="25" t="str">
        <f t="array" ref="CC211">INDEX($C$46:$C$74,MATCH(CD211,$B$46:$B$74,0))</f>
        <v>马克</v>
      </c>
      <c r="CD211" s="1">
        <v>1023</v>
      </c>
      <c r="CE211" s="1">
        <v>6</v>
      </c>
      <c r="CF211" s="25" t="str">
        <f t="array" ref="CF211">INDEX($T$5:$T$44,MATCH(CC211,$B$5:$B$44,0))</f>
        <v>物理</v>
      </c>
      <c r="CG211" s="25">
        <f t="shared" si="189"/>
        <v>0.3</v>
      </c>
      <c r="CH211" s="25">
        <f t="shared" si="321"/>
        <v>1.3</v>
      </c>
      <c r="CI211" s="25">
        <f t="shared" si="322"/>
        <v>1.3</v>
      </c>
      <c r="CJ211" s="25">
        <f t="shared" si="323"/>
        <v>1</v>
      </c>
      <c r="CK211" s="25">
        <f t="shared" si="324"/>
        <v>1.3</v>
      </c>
      <c r="CL211" s="25">
        <v>0</v>
      </c>
      <c r="CM211" s="25">
        <f t="shared" si="190"/>
        <v>0</v>
      </c>
      <c r="CN211" s="25">
        <f t="shared" si="325"/>
        <v>0</v>
      </c>
      <c r="CO211" s="25">
        <f t="shared" si="326"/>
        <v>0</v>
      </c>
      <c r="CP211" s="29" t="str">
        <f t="shared" ref="CP211:DQ211" si="336">IF($CL211=CP$78,$CN211,"0")</f>
        <v>0</v>
      </c>
      <c r="CQ211" s="29" t="str">
        <f t="shared" si="336"/>
        <v>0</v>
      </c>
      <c r="CR211" s="29" t="str">
        <f t="shared" si="336"/>
        <v>0</v>
      </c>
      <c r="CS211" s="29" t="str">
        <f t="shared" si="336"/>
        <v>0</v>
      </c>
      <c r="CT211" s="29" t="str">
        <f t="shared" si="336"/>
        <v>0</v>
      </c>
      <c r="CU211" s="29" t="str">
        <f t="shared" si="336"/>
        <v>0</v>
      </c>
      <c r="CV211" s="29" t="str">
        <f t="shared" si="336"/>
        <v>0</v>
      </c>
      <c r="CW211" s="29" t="str">
        <f t="shared" si="336"/>
        <v>0</v>
      </c>
      <c r="CX211" s="29" t="str">
        <f t="shared" si="336"/>
        <v>0</v>
      </c>
      <c r="CY211" s="29" t="str">
        <f t="shared" si="336"/>
        <v>0</v>
      </c>
      <c r="CZ211" s="29" t="str">
        <f t="shared" si="336"/>
        <v>0</v>
      </c>
      <c r="DA211" s="29" t="str">
        <f t="shared" si="336"/>
        <v>0</v>
      </c>
      <c r="DB211" s="29" t="str">
        <f t="shared" si="336"/>
        <v>0</v>
      </c>
      <c r="DC211" s="29" t="str">
        <f t="shared" si="336"/>
        <v>0</v>
      </c>
      <c r="DD211" s="29" t="str">
        <f t="shared" si="336"/>
        <v>0</v>
      </c>
      <c r="DE211" s="29" t="str">
        <f t="shared" si="336"/>
        <v>0</v>
      </c>
      <c r="DF211" s="29" t="str">
        <f t="shared" si="336"/>
        <v>0</v>
      </c>
      <c r="DG211" s="29" t="str">
        <f t="shared" si="336"/>
        <v>0</v>
      </c>
      <c r="DH211" s="29" t="str">
        <f t="shared" si="336"/>
        <v>0</v>
      </c>
      <c r="DI211" s="29" t="str">
        <f t="shared" si="336"/>
        <v>0</v>
      </c>
      <c r="DJ211" s="29" t="str">
        <f t="shared" si="336"/>
        <v>0</v>
      </c>
      <c r="DK211" s="29" t="str">
        <f t="shared" si="336"/>
        <v>0</v>
      </c>
      <c r="DL211" s="29" t="str">
        <f t="shared" si="336"/>
        <v>0</v>
      </c>
      <c r="DM211" s="29" t="str">
        <f t="shared" si="336"/>
        <v>0</v>
      </c>
      <c r="DN211" s="29" t="str">
        <f t="shared" si="336"/>
        <v>0</v>
      </c>
      <c r="DO211" s="29" t="str">
        <f t="shared" si="336"/>
        <v>0</v>
      </c>
      <c r="DP211" s="29" t="str">
        <f t="shared" si="336"/>
        <v>0</v>
      </c>
      <c r="DQ211" s="29" t="str">
        <f t="shared" si="336"/>
        <v>0</v>
      </c>
      <c r="DR211" s="29"/>
      <c r="DS211" s="25">
        <v>0</v>
      </c>
      <c r="EE211" s="25" t="str">
        <f t="shared" si="328"/>
        <v>0</v>
      </c>
    </row>
    <row r="212" spans="1:135">
      <c r="A212" s="48">
        <v>1003014</v>
      </c>
      <c r="B212" s="49" t="s">
        <v>321</v>
      </c>
      <c r="C212" s="25">
        <f t="shared" si="299"/>
        <v>14</v>
      </c>
      <c r="D212" s="25">
        <f t="array" ref="D212">INDEX(C$5:C$67,MATCH($B212,$B$5:$B$67,0))</f>
        <v>7700</v>
      </c>
      <c r="E212" s="25">
        <f t="array" ref="E212">INDEX(D$5:D$67,MATCH($B212,$B$5:$B$67,0))</f>
        <v>616</v>
      </c>
      <c r="F212" s="25">
        <f t="array" ref="F212">INDEX(E$5:E$67,MATCH($B212,$B$5:$B$67,0))</f>
        <v>734</v>
      </c>
      <c r="G212" s="25">
        <f t="array" ref="G212">INDEX(F$5:F$67,MATCH($B212,$B$5:$B$67,0))</f>
        <v>58.72</v>
      </c>
      <c r="H212" s="25">
        <f t="array" ref="H212">INDEX(G$5:G$66,MATCH($B212,$B$5:$B$67,0))</f>
        <v>918</v>
      </c>
      <c r="I212" s="25">
        <f t="array" ref="I212">INDEX(H$5:H$67,MATCH($B212,$B$5:$B$67,0))</f>
        <v>73.44</v>
      </c>
      <c r="J212" s="25">
        <f t="array" ref="J212">INDEX(I$5:I$67,MATCH($B212,$B$5:$B$67,0))</f>
        <v>900</v>
      </c>
      <c r="K212" s="25">
        <f t="array" ref="K212">INDEX(J$5:J$67,MATCH($B212,$B$5:$B$67,0))</f>
        <v>72</v>
      </c>
      <c r="L212" s="25">
        <f t="shared" si="309"/>
        <v>16324</v>
      </c>
      <c r="M212" s="25">
        <f t="shared" si="310"/>
        <v>1556</v>
      </c>
      <c r="N212" s="25">
        <f t="shared" si="311"/>
        <v>1946</v>
      </c>
      <c r="O212" s="25">
        <f t="shared" si="312"/>
        <v>1908</v>
      </c>
      <c r="R212" s="50">
        <f t="array" ref="R212">INDEX($B$46:$B$68,MATCH(S212,$C$46:$C$68,0))*1000+T212</f>
        <v>1005026</v>
      </c>
      <c r="S212" s="51" t="s">
        <v>327</v>
      </c>
      <c r="T212" s="29">
        <f t="shared" si="232"/>
        <v>26</v>
      </c>
      <c r="U212" s="25">
        <f t="array" ref="U212">INDEX(K$5:K$67,MATCH($S212,$B$5:$B$67,0))</f>
        <v>402.57</v>
      </c>
      <c r="V212" s="25">
        <f t="array" ref="V212">INDEX(L$5:L$67,MATCH($S212,$B$5:$B$67,0))</f>
        <v>140.8</v>
      </c>
      <c r="W212" s="25">
        <f t="array" ref="W212">INDEX(M$5:M$67,MATCH($S212,$B$5:$B$67,0))</f>
        <v>101.38</v>
      </c>
      <c r="X212" s="25">
        <f t="array" ref="X212">INDEX(N$5:N$67,MATCH($S212,$B$5:$B$67,0))</f>
        <v>85</v>
      </c>
      <c r="Y212" s="25">
        <f t="shared" si="313"/>
        <v>10467</v>
      </c>
      <c r="Z212" s="25">
        <f t="shared" si="314"/>
        <v>3661</v>
      </c>
      <c r="AA212" s="25">
        <f t="shared" si="315"/>
        <v>2636</v>
      </c>
      <c r="AB212" s="25">
        <f t="shared" si="316"/>
        <v>2210</v>
      </c>
      <c r="AF212" s="25">
        <v>134</v>
      </c>
      <c r="AG212" s="25">
        <f t="array" ref="AG212">INDEX($AE$79:$AE$116,QUOTIENT(AF212-1,8)+1)</f>
        <v>1020</v>
      </c>
      <c r="AH212" s="25">
        <f t="shared" si="192"/>
        <v>6</v>
      </c>
      <c r="AI212" s="25">
        <f t="shared" si="317"/>
        <v>10206</v>
      </c>
      <c r="AJ212" s="25" t="str">
        <f t="shared" si="318"/>
        <v>卡斯帕</v>
      </c>
      <c r="AK212" s="25">
        <f t="shared" si="193"/>
        <v>1</v>
      </c>
      <c r="AL212" s="25" t="str">
        <f t="array" ref="AL212">INDEX($O$5:$O$42,MATCH(AJ212,$B$5:$B$42,0))</f>
        <v>攻击百分比</v>
      </c>
      <c r="AM212" s="25" t="str">
        <f t="array" ref="AM212">INDEX($P$5:$P$42,MATCH(AJ212,$B$5:$B$42,0))</f>
        <v>技能冷却等级</v>
      </c>
      <c r="AN212" s="25" t="str">
        <f t="array" ref="AN212">INDEX($Q$5:$Q$42,MATCH(AJ212,$B$5:$B$42,0))</f>
        <v>能量回复等级</v>
      </c>
      <c r="AO212" s="25" t="str">
        <f t="array" ref="AO212">INDEX(AL212:AN212,0,AK212)</f>
        <v>攻击百分比</v>
      </c>
      <c r="AP212" s="25">
        <f t="shared" si="304"/>
        <v>0.216666666666667</v>
      </c>
      <c r="AQ212" s="25">
        <f t="shared" si="319"/>
        <v>0.216666666666667</v>
      </c>
      <c r="AR212" s="25" t="str">
        <f t="shared" ref="AR212:BZ212" si="337">IF(AR$78=$AO212,$AQ212,"0")</f>
        <v>0</v>
      </c>
      <c r="AS212" s="25" t="str">
        <f t="shared" si="337"/>
        <v>0</v>
      </c>
      <c r="AT212" s="25" t="str">
        <f t="shared" si="337"/>
        <v>0</v>
      </c>
      <c r="AU212" s="25">
        <f t="shared" si="337"/>
        <v>0.216666666666667</v>
      </c>
      <c r="AV212" s="25" t="str">
        <f t="shared" si="337"/>
        <v>0</v>
      </c>
      <c r="AW212" s="25">
        <f t="shared" si="337"/>
        <v>0.216666666666667</v>
      </c>
      <c r="AX212" s="25" t="str">
        <f t="shared" si="337"/>
        <v>0</v>
      </c>
      <c r="AY212" s="25" t="str">
        <f t="shared" si="337"/>
        <v>0</v>
      </c>
      <c r="AZ212" s="25" t="str">
        <f t="shared" si="337"/>
        <v>0</v>
      </c>
      <c r="BA212" s="25" t="str">
        <f t="shared" si="337"/>
        <v>0</v>
      </c>
      <c r="BB212" s="25" t="str">
        <f t="shared" si="337"/>
        <v>0</v>
      </c>
      <c r="BC212" s="25" t="str">
        <f t="shared" si="337"/>
        <v>0</v>
      </c>
      <c r="BD212" s="25" t="str">
        <f t="shared" si="337"/>
        <v>0</v>
      </c>
      <c r="BE212" s="25" t="str">
        <f t="shared" si="337"/>
        <v>0</v>
      </c>
      <c r="BF212" s="25" t="str">
        <f t="shared" si="337"/>
        <v>0</v>
      </c>
      <c r="BG212" s="25" t="str">
        <f t="shared" si="337"/>
        <v>0</v>
      </c>
      <c r="BH212" s="25" t="str">
        <f t="shared" si="337"/>
        <v>0</v>
      </c>
      <c r="BI212" s="25" t="str">
        <f t="shared" si="337"/>
        <v>0</v>
      </c>
      <c r="BJ212" s="25" t="str">
        <f t="shared" si="337"/>
        <v>0</v>
      </c>
      <c r="BK212" s="25" t="str">
        <f t="shared" si="337"/>
        <v>0</v>
      </c>
      <c r="BL212" s="25" t="str">
        <f t="shared" si="337"/>
        <v>0</v>
      </c>
      <c r="BM212" s="25" t="str">
        <f t="shared" si="337"/>
        <v>0</v>
      </c>
      <c r="BN212" s="25" t="str">
        <f t="shared" si="337"/>
        <v>0</v>
      </c>
      <c r="BO212" s="25" t="str">
        <f t="shared" si="337"/>
        <v>0</v>
      </c>
      <c r="BP212" s="25" t="str">
        <f t="shared" si="337"/>
        <v>0</v>
      </c>
      <c r="BQ212" s="25" t="str">
        <f t="shared" si="337"/>
        <v>0</v>
      </c>
      <c r="BR212" s="25" t="str">
        <f t="shared" si="337"/>
        <v>0</v>
      </c>
      <c r="BS212" s="25" t="str">
        <f t="shared" si="337"/>
        <v>0</v>
      </c>
      <c r="BT212" s="25" t="str">
        <f t="shared" si="337"/>
        <v>0</v>
      </c>
      <c r="BU212" s="25" t="str">
        <f t="shared" si="337"/>
        <v>0</v>
      </c>
      <c r="BV212" s="25" t="str">
        <f t="shared" si="337"/>
        <v>0</v>
      </c>
      <c r="BW212" s="25" t="str">
        <f t="shared" si="337"/>
        <v>0</v>
      </c>
      <c r="BX212" s="25" t="str">
        <f t="shared" si="337"/>
        <v>0</v>
      </c>
      <c r="BY212" s="25" t="str">
        <f t="shared" si="337"/>
        <v>0</v>
      </c>
      <c r="BZ212" s="25" t="str">
        <f t="shared" si="337"/>
        <v>0</v>
      </c>
      <c r="CC212" s="25" t="str">
        <f t="array" ref="CC212">INDEX($C$46:$C$74,MATCH(CD212,$B$46:$B$74,0))</f>
        <v>卡薇</v>
      </c>
      <c r="CD212" s="1">
        <v>1024</v>
      </c>
      <c r="CE212" s="1">
        <v>0</v>
      </c>
      <c r="CF212" s="25" t="str">
        <f t="array" ref="CF212">INDEX($T$5:$T$44,MATCH(CC212,$B$5:$B$44,0))</f>
        <v>魔法</v>
      </c>
      <c r="CG212" s="25">
        <f t="shared" si="189"/>
        <v>0</v>
      </c>
      <c r="CH212" s="25">
        <f t="shared" si="321"/>
        <v>1</v>
      </c>
      <c r="CI212" s="25">
        <f t="shared" si="322"/>
        <v>1</v>
      </c>
      <c r="CJ212" s="25">
        <f t="shared" si="323"/>
        <v>1</v>
      </c>
      <c r="CK212" s="25">
        <f t="shared" si="324"/>
        <v>1</v>
      </c>
      <c r="CL212" s="25">
        <v>0</v>
      </c>
      <c r="CM212" s="25">
        <f t="shared" si="190"/>
        <v>0</v>
      </c>
      <c r="CN212" s="25">
        <f t="shared" si="325"/>
        <v>0</v>
      </c>
      <c r="CO212" s="25">
        <f t="shared" si="326"/>
        <v>0</v>
      </c>
      <c r="CP212" s="29" t="str">
        <f t="shared" ref="CP212:DQ212" si="338">IF($CL212=CP$78,$CN212,"0")</f>
        <v>0</v>
      </c>
      <c r="CQ212" s="29" t="str">
        <f t="shared" si="338"/>
        <v>0</v>
      </c>
      <c r="CR212" s="29" t="str">
        <f t="shared" si="338"/>
        <v>0</v>
      </c>
      <c r="CS212" s="29" t="str">
        <f t="shared" si="338"/>
        <v>0</v>
      </c>
      <c r="CT212" s="29" t="str">
        <f t="shared" si="338"/>
        <v>0</v>
      </c>
      <c r="CU212" s="29" t="str">
        <f t="shared" si="338"/>
        <v>0</v>
      </c>
      <c r="CV212" s="29" t="str">
        <f t="shared" si="338"/>
        <v>0</v>
      </c>
      <c r="CW212" s="29" t="str">
        <f t="shared" si="338"/>
        <v>0</v>
      </c>
      <c r="CX212" s="29" t="str">
        <f t="shared" si="338"/>
        <v>0</v>
      </c>
      <c r="CY212" s="29" t="str">
        <f t="shared" si="338"/>
        <v>0</v>
      </c>
      <c r="CZ212" s="29" t="str">
        <f t="shared" si="338"/>
        <v>0</v>
      </c>
      <c r="DA212" s="29" t="str">
        <f t="shared" si="338"/>
        <v>0</v>
      </c>
      <c r="DB212" s="29" t="str">
        <f t="shared" si="338"/>
        <v>0</v>
      </c>
      <c r="DC212" s="29" t="str">
        <f t="shared" si="338"/>
        <v>0</v>
      </c>
      <c r="DD212" s="29" t="str">
        <f t="shared" si="338"/>
        <v>0</v>
      </c>
      <c r="DE212" s="29" t="str">
        <f t="shared" si="338"/>
        <v>0</v>
      </c>
      <c r="DF212" s="29" t="str">
        <f t="shared" si="338"/>
        <v>0</v>
      </c>
      <c r="DG212" s="29" t="str">
        <f t="shared" si="338"/>
        <v>0</v>
      </c>
      <c r="DH212" s="29" t="str">
        <f t="shared" si="338"/>
        <v>0</v>
      </c>
      <c r="DI212" s="29" t="str">
        <f t="shared" si="338"/>
        <v>0</v>
      </c>
      <c r="DJ212" s="29" t="str">
        <f t="shared" si="338"/>
        <v>0</v>
      </c>
      <c r="DK212" s="29" t="str">
        <f t="shared" si="338"/>
        <v>0</v>
      </c>
      <c r="DL212" s="29" t="str">
        <f t="shared" si="338"/>
        <v>0</v>
      </c>
      <c r="DM212" s="29" t="str">
        <f t="shared" si="338"/>
        <v>0</v>
      </c>
      <c r="DN212" s="29" t="str">
        <f t="shared" si="338"/>
        <v>0</v>
      </c>
      <c r="DO212" s="29" t="str">
        <f t="shared" si="338"/>
        <v>0</v>
      </c>
      <c r="DP212" s="29" t="str">
        <f t="shared" si="338"/>
        <v>0</v>
      </c>
      <c r="DQ212" s="29" t="str">
        <f t="shared" si="338"/>
        <v>0</v>
      </c>
      <c r="DR212" s="29"/>
      <c r="DS212" s="25">
        <v>0</v>
      </c>
      <c r="EE212" s="25" t="str">
        <f t="shared" si="328"/>
        <v>0</v>
      </c>
    </row>
    <row r="213" spans="1:135">
      <c r="A213" s="48">
        <v>1003015</v>
      </c>
      <c r="B213" s="49" t="s">
        <v>321</v>
      </c>
      <c r="C213" s="25">
        <f t="shared" si="299"/>
        <v>15</v>
      </c>
      <c r="D213" s="25">
        <f t="array" ref="D213">INDEX(C$5:C$67,MATCH($B213,$B$5:$B$67,0))</f>
        <v>7700</v>
      </c>
      <c r="E213" s="25">
        <f t="array" ref="E213">INDEX(D$5:D$67,MATCH($B213,$B$5:$B$67,0))</f>
        <v>616</v>
      </c>
      <c r="F213" s="25">
        <f t="array" ref="F213">INDEX(E$5:E$67,MATCH($B213,$B$5:$B$67,0))</f>
        <v>734</v>
      </c>
      <c r="G213" s="25">
        <f t="array" ref="G213">INDEX(F$5:F$67,MATCH($B213,$B$5:$B$67,0))</f>
        <v>58.72</v>
      </c>
      <c r="H213" s="25">
        <f t="array" ref="H213">INDEX(G$5:G$66,MATCH($B213,$B$5:$B$67,0))</f>
        <v>918</v>
      </c>
      <c r="I213" s="25">
        <f t="array" ref="I213">INDEX(H$5:H$67,MATCH($B213,$B$5:$B$67,0))</f>
        <v>73.44</v>
      </c>
      <c r="J213" s="25">
        <f t="array" ref="J213">INDEX(I$5:I$67,MATCH($B213,$B$5:$B$67,0))</f>
        <v>900</v>
      </c>
      <c r="K213" s="25">
        <f t="array" ref="K213">INDEX(J$5:J$67,MATCH($B213,$B$5:$B$67,0))</f>
        <v>72</v>
      </c>
      <c r="L213" s="25">
        <f t="shared" si="309"/>
        <v>16940</v>
      </c>
      <c r="M213" s="25">
        <f t="shared" si="310"/>
        <v>1615</v>
      </c>
      <c r="N213" s="25">
        <f t="shared" si="311"/>
        <v>2020</v>
      </c>
      <c r="O213" s="25">
        <f t="shared" si="312"/>
        <v>1980</v>
      </c>
      <c r="R213" s="50">
        <f t="array" ref="R213">INDEX($B$46:$B$68,MATCH(S213,$C$46:$C$68,0))*1000+T213</f>
        <v>1005027</v>
      </c>
      <c r="S213" s="51" t="s">
        <v>327</v>
      </c>
      <c r="T213" s="29">
        <f t="shared" si="232"/>
        <v>27</v>
      </c>
      <c r="U213" s="25">
        <f t="array" ref="U213">INDEX(K$5:K$67,MATCH($S213,$B$5:$B$67,0))</f>
        <v>402.57</v>
      </c>
      <c r="V213" s="25">
        <f t="array" ref="V213">INDEX(L$5:L$67,MATCH($S213,$B$5:$B$67,0))</f>
        <v>140.8</v>
      </c>
      <c r="W213" s="25">
        <f t="array" ref="W213">INDEX(M$5:M$67,MATCH($S213,$B$5:$B$67,0))</f>
        <v>101.38</v>
      </c>
      <c r="X213" s="25">
        <f t="array" ref="X213">INDEX(N$5:N$67,MATCH($S213,$B$5:$B$67,0))</f>
        <v>85</v>
      </c>
      <c r="Y213" s="25">
        <f t="shared" si="313"/>
        <v>10869</v>
      </c>
      <c r="Z213" s="25">
        <f t="shared" si="314"/>
        <v>3802</v>
      </c>
      <c r="AA213" s="25">
        <f t="shared" si="315"/>
        <v>2737</v>
      </c>
      <c r="AB213" s="25">
        <f t="shared" si="316"/>
        <v>2295</v>
      </c>
      <c r="AF213" s="25">
        <v>135</v>
      </c>
      <c r="AG213" s="25">
        <f t="array" ref="AG213">INDEX($AE$79:$AE$116,QUOTIENT(AF213-1,8)+1)</f>
        <v>1020</v>
      </c>
      <c r="AH213" s="25">
        <f t="shared" si="192"/>
        <v>7</v>
      </c>
      <c r="AI213" s="25">
        <f t="shared" si="317"/>
        <v>10207</v>
      </c>
      <c r="AJ213" s="25" t="str">
        <f t="shared" si="318"/>
        <v>卡斯帕</v>
      </c>
      <c r="AK213" s="25">
        <f t="shared" si="193"/>
        <v>2</v>
      </c>
      <c r="AL213" s="25" t="str">
        <f t="array" ref="AL213">INDEX($O$5:$O$42,MATCH(AJ213,$B$5:$B$42,0))</f>
        <v>攻击百分比</v>
      </c>
      <c r="AM213" s="25" t="str">
        <f t="array" ref="AM213">INDEX($P$5:$P$42,MATCH(AJ213,$B$5:$B$42,0))</f>
        <v>技能冷却等级</v>
      </c>
      <c r="AN213" s="25" t="str">
        <f t="array" ref="AN213">INDEX($Q$5:$Q$42,MATCH(AJ213,$B$5:$B$42,0))</f>
        <v>能量回复等级</v>
      </c>
      <c r="AO213" s="25" t="str">
        <f t="array" ref="AO213">INDEX(AL213:AN213,0,AK213)</f>
        <v>技能冷却等级</v>
      </c>
      <c r="AP213" s="25">
        <f t="shared" si="304"/>
        <v>0.15</v>
      </c>
      <c r="AQ213" s="25">
        <f t="shared" si="319"/>
        <v>1950</v>
      </c>
      <c r="AR213" s="25" t="str">
        <f t="shared" ref="AR213:BZ213" si="339">IF(AR$78=$AO213,$AQ213,"0")</f>
        <v>0</v>
      </c>
      <c r="AS213" s="25" t="str">
        <f t="shared" si="339"/>
        <v>0</v>
      </c>
      <c r="AT213" s="25" t="str">
        <f t="shared" si="339"/>
        <v>0</v>
      </c>
      <c r="AU213" s="25" t="str">
        <f t="shared" si="339"/>
        <v>0</v>
      </c>
      <c r="AV213" s="25" t="str">
        <f t="shared" si="339"/>
        <v>0</v>
      </c>
      <c r="AW213" s="25" t="str">
        <f t="shared" si="339"/>
        <v>0</v>
      </c>
      <c r="AX213" s="25" t="str">
        <f t="shared" si="339"/>
        <v>0</v>
      </c>
      <c r="AY213" s="25" t="str">
        <f t="shared" si="339"/>
        <v>0</v>
      </c>
      <c r="AZ213" s="25" t="str">
        <f t="shared" si="339"/>
        <v>0</v>
      </c>
      <c r="BA213" s="25" t="str">
        <f t="shared" si="339"/>
        <v>0</v>
      </c>
      <c r="BB213" s="25" t="str">
        <f t="shared" si="339"/>
        <v>0</v>
      </c>
      <c r="BC213" s="25" t="str">
        <f t="shared" si="339"/>
        <v>0</v>
      </c>
      <c r="BD213" s="25" t="str">
        <f t="shared" si="339"/>
        <v>0</v>
      </c>
      <c r="BE213" s="25" t="str">
        <f t="shared" si="339"/>
        <v>0</v>
      </c>
      <c r="BF213" s="25" t="str">
        <f t="shared" si="339"/>
        <v>0</v>
      </c>
      <c r="BG213" s="25" t="str">
        <f t="shared" si="339"/>
        <v>0</v>
      </c>
      <c r="BH213" s="25" t="str">
        <f t="shared" si="339"/>
        <v>0</v>
      </c>
      <c r="BI213" s="25" t="str">
        <f t="shared" si="339"/>
        <v>0</v>
      </c>
      <c r="BJ213" s="25" t="str">
        <f t="shared" si="339"/>
        <v>0</v>
      </c>
      <c r="BK213" s="25" t="str">
        <f t="shared" si="339"/>
        <v>0</v>
      </c>
      <c r="BL213" s="25" t="str">
        <f t="shared" si="339"/>
        <v>0</v>
      </c>
      <c r="BM213" s="25" t="str">
        <f t="shared" si="339"/>
        <v>0</v>
      </c>
      <c r="BN213" s="25" t="str">
        <f t="shared" si="339"/>
        <v>0</v>
      </c>
      <c r="BO213" s="25" t="str">
        <f t="shared" si="339"/>
        <v>0</v>
      </c>
      <c r="BP213" s="25" t="str">
        <f t="shared" si="339"/>
        <v>0</v>
      </c>
      <c r="BQ213" s="25" t="str">
        <f t="shared" si="339"/>
        <v>0</v>
      </c>
      <c r="BR213" s="25" t="str">
        <f t="shared" si="339"/>
        <v>0</v>
      </c>
      <c r="BS213" s="25" t="str">
        <f t="shared" si="339"/>
        <v>0</v>
      </c>
      <c r="BT213" s="25" t="str">
        <f t="shared" si="339"/>
        <v>0</v>
      </c>
      <c r="BU213" s="25" t="str">
        <f t="shared" si="339"/>
        <v>0</v>
      </c>
      <c r="BV213" s="25" t="str">
        <f t="shared" si="339"/>
        <v>0</v>
      </c>
      <c r="BW213" s="25" t="str">
        <f t="shared" si="339"/>
        <v>0</v>
      </c>
      <c r="BX213" s="25" t="str">
        <f t="shared" si="339"/>
        <v>0</v>
      </c>
      <c r="BY213" s="25" t="str">
        <f t="shared" si="339"/>
        <v>0</v>
      </c>
      <c r="BZ213" s="25">
        <f t="shared" si="339"/>
        <v>1950</v>
      </c>
      <c r="CC213" s="25" t="str">
        <f t="array" ref="CC213">INDEX($C$46:$C$74,MATCH(CD213,$B$46:$B$74,0))</f>
        <v>卡薇</v>
      </c>
      <c r="CD213" s="1">
        <v>1024</v>
      </c>
      <c r="CE213" s="1">
        <v>1</v>
      </c>
      <c r="CF213" s="25" t="str">
        <f t="array" ref="CF213">INDEX($T$5:$T$44,MATCH(CC213,$B$5:$B$44,0))</f>
        <v>魔法</v>
      </c>
      <c r="CG213" s="25">
        <f t="shared" si="189"/>
        <v>0</v>
      </c>
      <c r="CH213" s="25">
        <f t="shared" si="321"/>
        <v>1</v>
      </c>
      <c r="CI213" s="25">
        <f t="shared" si="322"/>
        <v>1</v>
      </c>
      <c r="CJ213" s="25">
        <f t="shared" si="323"/>
        <v>1</v>
      </c>
      <c r="CK213" s="25">
        <f t="shared" si="324"/>
        <v>1</v>
      </c>
      <c r="CL213" s="25">
        <v>0</v>
      </c>
      <c r="CM213" s="25">
        <f t="shared" si="190"/>
        <v>0</v>
      </c>
      <c r="CN213" s="25">
        <f t="shared" si="325"/>
        <v>0</v>
      </c>
      <c r="CO213" s="25">
        <f t="shared" si="326"/>
        <v>0</v>
      </c>
      <c r="CP213" s="29" t="str">
        <f t="shared" ref="CP213:DQ213" si="340">IF($CL213=CP$78,$CN213,"0")</f>
        <v>0</v>
      </c>
      <c r="CQ213" s="29" t="str">
        <f t="shared" si="340"/>
        <v>0</v>
      </c>
      <c r="CR213" s="29" t="str">
        <f t="shared" si="340"/>
        <v>0</v>
      </c>
      <c r="CS213" s="29" t="str">
        <f t="shared" si="340"/>
        <v>0</v>
      </c>
      <c r="CT213" s="29" t="str">
        <f t="shared" si="340"/>
        <v>0</v>
      </c>
      <c r="CU213" s="29" t="str">
        <f t="shared" si="340"/>
        <v>0</v>
      </c>
      <c r="CV213" s="29" t="str">
        <f t="shared" si="340"/>
        <v>0</v>
      </c>
      <c r="CW213" s="29" t="str">
        <f t="shared" si="340"/>
        <v>0</v>
      </c>
      <c r="CX213" s="29" t="str">
        <f t="shared" si="340"/>
        <v>0</v>
      </c>
      <c r="CY213" s="29" t="str">
        <f t="shared" si="340"/>
        <v>0</v>
      </c>
      <c r="CZ213" s="29" t="str">
        <f t="shared" si="340"/>
        <v>0</v>
      </c>
      <c r="DA213" s="29" t="str">
        <f t="shared" si="340"/>
        <v>0</v>
      </c>
      <c r="DB213" s="29" t="str">
        <f t="shared" si="340"/>
        <v>0</v>
      </c>
      <c r="DC213" s="29" t="str">
        <f t="shared" si="340"/>
        <v>0</v>
      </c>
      <c r="DD213" s="29" t="str">
        <f t="shared" si="340"/>
        <v>0</v>
      </c>
      <c r="DE213" s="29" t="str">
        <f t="shared" si="340"/>
        <v>0</v>
      </c>
      <c r="DF213" s="29" t="str">
        <f t="shared" si="340"/>
        <v>0</v>
      </c>
      <c r="DG213" s="29" t="str">
        <f t="shared" si="340"/>
        <v>0</v>
      </c>
      <c r="DH213" s="29" t="str">
        <f t="shared" si="340"/>
        <v>0</v>
      </c>
      <c r="DI213" s="29" t="str">
        <f t="shared" si="340"/>
        <v>0</v>
      </c>
      <c r="DJ213" s="29" t="str">
        <f t="shared" si="340"/>
        <v>0</v>
      </c>
      <c r="DK213" s="29" t="str">
        <f t="shared" si="340"/>
        <v>0</v>
      </c>
      <c r="DL213" s="29" t="str">
        <f t="shared" si="340"/>
        <v>0</v>
      </c>
      <c r="DM213" s="29" t="str">
        <f t="shared" si="340"/>
        <v>0</v>
      </c>
      <c r="DN213" s="29" t="str">
        <f t="shared" si="340"/>
        <v>0</v>
      </c>
      <c r="DO213" s="29" t="str">
        <f t="shared" si="340"/>
        <v>0</v>
      </c>
      <c r="DP213" s="29" t="str">
        <f t="shared" si="340"/>
        <v>0</v>
      </c>
      <c r="DQ213" s="29" t="str">
        <f t="shared" si="340"/>
        <v>0</v>
      </c>
      <c r="DR213" s="29"/>
      <c r="DS213" s="25">
        <v>0</v>
      </c>
      <c r="EE213" s="25" t="str">
        <f t="shared" si="328"/>
        <v>0</v>
      </c>
    </row>
    <row r="214" spans="1:135">
      <c r="A214" s="48">
        <v>1003016</v>
      </c>
      <c r="B214" s="49" t="s">
        <v>321</v>
      </c>
      <c r="C214" s="25">
        <f t="shared" si="299"/>
        <v>16</v>
      </c>
      <c r="D214" s="25">
        <f t="array" ref="D214">INDEX(C$5:C$67,MATCH($B214,$B$5:$B$67,0))</f>
        <v>7700</v>
      </c>
      <c r="E214" s="25">
        <f t="array" ref="E214">INDEX(D$5:D$67,MATCH($B214,$B$5:$B$67,0))</f>
        <v>616</v>
      </c>
      <c r="F214" s="25">
        <f t="array" ref="F214">INDEX(E$5:E$67,MATCH($B214,$B$5:$B$67,0))</f>
        <v>734</v>
      </c>
      <c r="G214" s="25">
        <f t="array" ref="G214">INDEX(F$5:F$67,MATCH($B214,$B$5:$B$67,0))</f>
        <v>58.72</v>
      </c>
      <c r="H214" s="25">
        <f t="array" ref="H214">INDEX(G$5:G$66,MATCH($B214,$B$5:$B$67,0))</f>
        <v>918</v>
      </c>
      <c r="I214" s="25">
        <f t="array" ref="I214">INDEX(H$5:H$67,MATCH($B214,$B$5:$B$67,0))</f>
        <v>73.44</v>
      </c>
      <c r="J214" s="25">
        <f t="array" ref="J214">INDEX(I$5:I$67,MATCH($B214,$B$5:$B$67,0))</f>
        <v>900</v>
      </c>
      <c r="K214" s="25">
        <f t="array" ref="K214">INDEX(J$5:J$67,MATCH($B214,$B$5:$B$67,0))</f>
        <v>72</v>
      </c>
      <c r="L214" s="25">
        <f t="shared" si="309"/>
        <v>17556</v>
      </c>
      <c r="M214" s="25">
        <f t="shared" si="310"/>
        <v>1674</v>
      </c>
      <c r="N214" s="25">
        <f t="shared" si="311"/>
        <v>2093</v>
      </c>
      <c r="O214" s="25">
        <f t="shared" si="312"/>
        <v>2052</v>
      </c>
      <c r="R214" s="50">
        <f t="array" ref="R214">INDEX($B$46:$B$68,MATCH(S214,$C$46:$C$68,0))*1000+T214</f>
        <v>1006001</v>
      </c>
      <c r="S214" s="51" t="s">
        <v>328</v>
      </c>
      <c r="T214" s="29">
        <f t="shared" si="232"/>
        <v>1</v>
      </c>
      <c r="U214" s="25">
        <f t="array" ref="U214">INDEX(K$5:K$67,MATCH($S214,$B$5:$B$67,0))</f>
        <v>340.8</v>
      </c>
      <c r="V214" s="25">
        <f t="array" ref="V214">INDEX(L$5:L$67,MATCH($S214,$B$5:$B$67,0))</f>
        <v>156.67</v>
      </c>
      <c r="W214" s="25">
        <f t="array" ref="W214">INDEX(M$5:M$67,MATCH($S214,$B$5:$B$67,0))</f>
        <v>122.88</v>
      </c>
      <c r="X214" s="25">
        <f t="array" ref="X214">INDEX(N$5:N$67,MATCH($S214,$B$5:$B$67,0))</f>
        <v>83.3</v>
      </c>
      <c r="Y214" s="25">
        <f t="shared" si="313"/>
        <v>341</v>
      </c>
      <c r="Z214" s="25">
        <f t="shared" si="314"/>
        <v>157</v>
      </c>
      <c r="AA214" s="25">
        <f t="shared" si="315"/>
        <v>123</v>
      </c>
      <c r="AB214" s="25">
        <f t="shared" si="316"/>
        <v>83</v>
      </c>
      <c r="AF214" s="25">
        <v>136</v>
      </c>
      <c r="AG214" s="25">
        <f t="array" ref="AG214">INDEX($AE$79:$AE$116,QUOTIENT(AF214-1,8)+1)</f>
        <v>1020</v>
      </c>
      <c r="AH214" s="25">
        <f t="shared" si="192"/>
        <v>8</v>
      </c>
      <c r="AI214" s="25">
        <f t="shared" si="317"/>
        <v>10208</v>
      </c>
      <c r="AJ214" s="25" t="str">
        <f t="shared" si="318"/>
        <v>卡斯帕</v>
      </c>
      <c r="AK214" s="25">
        <f t="shared" si="193"/>
        <v>3</v>
      </c>
      <c r="AL214" s="25" t="str">
        <f t="array" ref="AL214">INDEX($O$5:$O$42,MATCH(AJ214,$B$5:$B$42,0))</f>
        <v>攻击百分比</v>
      </c>
      <c r="AM214" s="25" t="str">
        <f t="array" ref="AM214">INDEX($P$5:$P$42,MATCH(AJ214,$B$5:$B$42,0))</f>
        <v>技能冷却等级</v>
      </c>
      <c r="AN214" s="25" t="str">
        <f t="array" ref="AN214">INDEX($Q$5:$Q$42,MATCH(AJ214,$B$5:$B$42,0))</f>
        <v>能量回复等级</v>
      </c>
      <c r="AO214" s="25" t="str">
        <f t="array" ref="AO214">INDEX(AL214:AN214,0,AK214)</f>
        <v>能量回复等级</v>
      </c>
      <c r="AP214" s="25">
        <f t="shared" si="304"/>
        <v>0.216666666666667</v>
      </c>
      <c r="AQ214" s="25">
        <f t="shared" si="319"/>
        <v>1950</v>
      </c>
      <c r="AR214" s="25" t="str">
        <f t="shared" ref="AR214:BZ214" si="341">IF(AR$78=$AO214,$AQ214,"0")</f>
        <v>0</v>
      </c>
      <c r="AS214" s="25" t="str">
        <f t="shared" si="341"/>
        <v>0</v>
      </c>
      <c r="AT214" s="25" t="str">
        <f t="shared" si="341"/>
        <v>0</v>
      </c>
      <c r="AU214" s="25" t="str">
        <f t="shared" si="341"/>
        <v>0</v>
      </c>
      <c r="AV214" s="25" t="str">
        <f t="shared" si="341"/>
        <v>0</v>
      </c>
      <c r="AW214" s="25" t="str">
        <f t="shared" si="341"/>
        <v>0</v>
      </c>
      <c r="AX214" s="25" t="str">
        <f t="shared" si="341"/>
        <v>0</v>
      </c>
      <c r="AY214" s="25" t="str">
        <f t="shared" si="341"/>
        <v>0</v>
      </c>
      <c r="AZ214" s="25" t="str">
        <f t="shared" si="341"/>
        <v>0</v>
      </c>
      <c r="BA214" s="25" t="str">
        <f t="shared" si="341"/>
        <v>0</v>
      </c>
      <c r="BB214" s="25" t="str">
        <f t="shared" si="341"/>
        <v>0</v>
      </c>
      <c r="BC214" s="25" t="str">
        <f t="shared" si="341"/>
        <v>0</v>
      </c>
      <c r="BD214" s="25" t="str">
        <f t="shared" si="341"/>
        <v>0</v>
      </c>
      <c r="BE214" s="25" t="str">
        <f t="shared" si="341"/>
        <v>0</v>
      </c>
      <c r="BF214" s="25" t="str">
        <f t="shared" si="341"/>
        <v>0</v>
      </c>
      <c r="BG214" s="25" t="str">
        <f t="shared" si="341"/>
        <v>0</v>
      </c>
      <c r="BH214" s="25" t="str">
        <f t="shared" si="341"/>
        <v>0</v>
      </c>
      <c r="BI214" s="25" t="str">
        <f t="shared" si="341"/>
        <v>0</v>
      </c>
      <c r="BJ214" s="25" t="str">
        <f t="shared" si="341"/>
        <v>0</v>
      </c>
      <c r="BK214" s="25" t="str">
        <f t="shared" si="341"/>
        <v>0</v>
      </c>
      <c r="BL214" s="25" t="str">
        <f t="shared" si="341"/>
        <v>0</v>
      </c>
      <c r="BM214" s="25" t="str">
        <f t="shared" si="341"/>
        <v>0</v>
      </c>
      <c r="BN214" s="25" t="str">
        <f t="shared" si="341"/>
        <v>0</v>
      </c>
      <c r="BO214" s="25" t="str">
        <f t="shared" si="341"/>
        <v>0</v>
      </c>
      <c r="BP214" s="25" t="str">
        <f t="shared" si="341"/>
        <v>0</v>
      </c>
      <c r="BQ214" s="25" t="str">
        <f t="shared" si="341"/>
        <v>0</v>
      </c>
      <c r="BR214" s="25" t="str">
        <f t="shared" si="341"/>
        <v>0</v>
      </c>
      <c r="BS214" s="25" t="str">
        <f t="shared" si="341"/>
        <v>0</v>
      </c>
      <c r="BT214" s="25" t="str">
        <f t="shared" si="341"/>
        <v>0</v>
      </c>
      <c r="BU214" s="25" t="str">
        <f t="shared" si="341"/>
        <v>0</v>
      </c>
      <c r="BV214" s="25" t="str">
        <f t="shared" si="341"/>
        <v>0</v>
      </c>
      <c r="BW214" s="25" t="str">
        <f t="shared" si="341"/>
        <v>0</v>
      </c>
      <c r="BX214" s="25" t="str">
        <f t="shared" si="341"/>
        <v>0</v>
      </c>
      <c r="BY214" s="25">
        <f t="shared" si="341"/>
        <v>1950</v>
      </c>
      <c r="BZ214" s="25" t="str">
        <f t="shared" si="341"/>
        <v>0</v>
      </c>
      <c r="CC214" s="25" t="str">
        <f t="array" ref="CC214">INDEX($C$46:$C$74,MATCH(CD214,$B$46:$B$74,0))</f>
        <v>卡薇</v>
      </c>
      <c r="CD214" s="1">
        <v>1024</v>
      </c>
      <c r="CE214" s="1">
        <v>2</v>
      </c>
      <c r="CF214" s="25" t="str">
        <f t="array" ref="CF214">INDEX($T$5:$T$44,MATCH(CC214,$B$5:$B$44,0))</f>
        <v>魔法</v>
      </c>
      <c r="CG214" s="25">
        <f t="shared" ref="CG214:CG277" si="342">CG207</f>
        <v>0</v>
      </c>
      <c r="CH214" s="25">
        <f t="shared" si="321"/>
        <v>1</v>
      </c>
      <c r="CI214" s="25">
        <f t="shared" si="322"/>
        <v>1</v>
      </c>
      <c r="CJ214" s="25">
        <f t="shared" si="323"/>
        <v>1</v>
      </c>
      <c r="CK214" s="25">
        <f t="shared" si="324"/>
        <v>1</v>
      </c>
      <c r="CL214" s="25">
        <v>0</v>
      </c>
      <c r="CM214" s="25">
        <f t="shared" ref="CM214:CM277" si="343">CM207</f>
        <v>0</v>
      </c>
      <c r="CN214" s="25">
        <f t="shared" si="325"/>
        <v>0</v>
      </c>
      <c r="CO214" s="25">
        <f t="shared" si="326"/>
        <v>0</v>
      </c>
      <c r="CP214" s="29" t="str">
        <f t="shared" ref="CP214:DQ214" si="344">IF($CL214=CP$78,$CN214,"0")</f>
        <v>0</v>
      </c>
      <c r="CQ214" s="29" t="str">
        <f t="shared" si="344"/>
        <v>0</v>
      </c>
      <c r="CR214" s="29" t="str">
        <f t="shared" si="344"/>
        <v>0</v>
      </c>
      <c r="CS214" s="29" t="str">
        <f t="shared" si="344"/>
        <v>0</v>
      </c>
      <c r="CT214" s="29" t="str">
        <f t="shared" si="344"/>
        <v>0</v>
      </c>
      <c r="CU214" s="29" t="str">
        <f t="shared" si="344"/>
        <v>0</v>
      </c>
      <c r="CV214" s="29" t="str">
        <f t="shared" si="344"/>
        <v>0</v>
      </c>
      <c r="CW214" s="29" t="str">
        <f t="shared" si="344"/>
        <v>0</v>
      </c>
      <c r="CX214" s="29" t="str">
        <f t="shared" si="344"/>
        <v>0</v>
      </c>
      <c r="CY214" s="29" t="str">
        <f t="shared" si="344"/>
        <v>0</v>
      </c>
      <c r="CZ214" s="29" t="str">
        <f t="shared" si="344"/>
        <v>0</v>
      </c>
      <c r="DA214" s="29" t="str">
        <f t="shared" si="344"/>
        <v>0</v>
      </c>
      <c r="DB214" s="29" t="str">
        <f t="shared" si="344"/>
        <v>0</v>
      </c>
      <c r="DC214" s="29" t="str">
        <f t="shared" si="344"/>
        <v>0</v>
      </c>
      <c r="DD214" s="29" t="str">
        <f t="shared" si="344"/>
        <v>0</v>
      </c>
      <c r="DE214" s="29" t="str">
        <f t="shared" si="344"/>
        <v>0</v>
      </c>
      <c r="DF214" s="29" t="str">
        <f t="shared" si="344"/>
        <v>0</v>
      </c>
      <c r="DG214" s="29" t="str">
        <f t="shared" si="344"/>
        <v>0</v>
      </c>
      <c r="DH214" s="29" t="str">
        <f t="shared" si="344"/>
        <v>0</v>
      </c>
      <c r="DI214" s="29" t="str">
        <f t="shared" si="344"/>
        <v>0</v>
      </c>
      <c r="DJ214" s="29" t="str">
        <f t="shared" si="344"/>
        <v>0</v>
      </c>
      <c r="DK214" s="29" t="str">
        <f t="shared" si="344"/>
        <v>0</v>
      </c>
      <c r="DL214" s="29" t="str">
        <f t="shared" si="344"/>
        <v>0</v>
      </c>
      <c r="DM214" s="29" t="str">
        <f t="shared" si="344"/>
        <v>0</v>
      </c>
      <c r="DN214" s="29" t="str">
        <f t="shared" si="344"/>
        <v>0</v>
      </c>
      <c r="DO214" s="29" t="str">
        <f t="shared" si="344"/>
        <v>0</v>
      </c>
      <c r="DP214" s="29" t="str">
        <f t="shared" si="344"/>
        <v>0</v>
      </c>
      <c r="DQ214" s="29" t="str">
        <f t="shared" si="344"/>
        <v>0</v>
      </c>
      <c r="DR214" s="29"/>
      <c r="DS214" s="25">
        <v>0</v>
      </c>
      <c r="EE214" s="25" t="str">
        <f t="shared" si="328"/>
        <v>0</v>
      </c>
    </row>
    <row r="215" spans="1:135">
      <c r="A215" s="48">
        <v>1003017</v>
      </c>
      <c r="B215" s="49" t="s">
        <v>321</v>
      </c>
      <c r="C215" s="25">
        <f t="shared" si="299"/>
        <v>17</v>
      </c>
      <c r="D215" s="25">
        <f t="array" ref="D215">INDEX(C$5:C$67,MATCH($B215,$B$5:$B$67,0))</f>
        <v>7700</v>
      </c>
      <c r="E215" s="25">
        <f t="array" ref="E215">INDEX(D$5:D$67,MATCH($B215,$B$5:$B$67,0))</f>
        <v>616</v>
      </c>
      <c r="F215" s="25">
        <f t="array" ref="F215">INDEX(E$5:E$67,MATCH($B215,$B$5:$B$67,0))</f>
        <v>734</v>
      </c>
      <c r="G215" s="25">
        <f t="array" ref="G215">INDEX(F$5:F$67,MATCH($B215,$B$5:$B$67,0))</f>
        <v>58.72</v>
      </c>
      <c r="H215" s="25">
        <f t="array" ref="H215">INDEX(G$5:G$66,MATCH($B215,$B$5:$B$67,0))</f>
        <v>918</v>
      </c>
      <c r="I215" s="25">
        <f t="array" ref="I215">INDEX(H$5:H$67,MATCH($B215,$B$5:$B$67,0))</f>
        <v>73.44</v>
      </c>
      <c r="J215" s="25">
        <f t="array" ref="J215">INDEX(I$5:I$67,MATCH($B215,$B$5:$B$67,0))</f>
        <v>900</v>
      </c>
      <c r="K215" s="25">
        <f t="array" ref="K215">INDEX(J$5:J$67,MATCH($B215,$B$5:$B$67,0))</f>
        <v>72</v>
      </c>
      <c r="L215" s="25">
        <f t="shared" si="309"/>
        <v>18172</v>
      </c>
      <c r="M215" s="25">
        <f t="shared" si="310"/>
        <v>1732</v>
      </c>
      <c r="N215" s="25">
        <f t="shared" si="311"/>
        <v>2166</v>
      </c>
      <c r="O215" s="25">
        <f t="shared" si="312"/>
        <v>2124</v>
      </c>
      <c r="R215" s="50">
        <f t="array" ref="R215">INDEX($B$46:$B$68,MATCH(S215,$C$46:$C$68,0))*1000+T215</f>
        <v>1006002</v>
      </c>
      <c r="S215" s="51" t="s">
        <v>328</v>
      </c>
      <c r="T215" s="29">
        <f t="shared" si="232"/>
        <v>2</v>
      </c>
      <c r="U215" s="25">
        <f t="array" ref="U215">INDEX(K$5:K$67,MATCH($S215,$B$5:$B$67,0))</f>
        <v>340.8</v>
      </c>
      <c r="V215" s="25">
        <f t="array" ref="V215">INDEX(L$5:L$67,MATCH($S215,$B$5:$B$67,0))</f>
        <v>156.67</v>
      </c>
      <c r="W215" s="25">
        <f t="array" ref="W215">INDEX(M$5:M$67,MATCH($S215,$B$5:$B$67,0))</f>
        <v>122.88</v>
      </c>
      <c r="X215" s="25">
        <f t="array" ref="X215">INDEX(N$5:N$67,MATCH($S215,$B$5:$B$67,0))</f>
        <v>83.3</v>
      </c>
      <c r="Y215" s="25">
        <f t="shared" si="313"/>
        <v>682</v>
      </c>
      <c r="Z215" s="25">
        <f t="shared" si="314"/>
        <v>313</v>
      </c>
      <c r="AA215" s="25">
        <f t="shared" si="315"/>
        <v>246</v>
      </c>
      <c r="AB215" s="25">
        <f t="shared" si="316"/>
        <v>167</v>
      </c>
      <c r="AF215" s="25">
        <v>137</v>
      </c>
      <c r="AG215" s="25">
        <f t="array" ref="AG215">INDEX($AE$79:$AE$116,QUOTIENT(AF215-1,8)+1)</f>
        <v>1021</v>
      </c>
      <c r="AH215" s="25">
        <f t="shared" ref="AH215:AH278" si="345">AH207</f>
        <v>1</v>
      </c>
      <c r="AI215" s="25">
        <f t="shared" si="317"/>
        <v>10211</v>
      </c>
      <c r="AJ215" s="25" t="str">
        <f t="shared" si="318"/>
        <v>梅梅</v>
      </c>
      <c r="AK215" s="25">
        <f t="shared" ref="AK215:AK278" si="346">AK207</f>
        <v>1</v>
      </c>
      <c r="AL215" s="25" t="str">
        <f t="array" ref="AL215">INDEX($O$5:$O$42,MATCH(AJ215,$B$5:$B$42,0))</f>
        <v>攻击百分比</v>
      </c>
      <c r="AM215" s="25" t="str">
        <f t="array" ref="AM215">INDEX($P$5:$P$42,MATCH(AJ215,$B$5:$B$42,0))</f>
        <v>普攻伤害加成</v>
      </c>
      <c r="AN215" s="25" t="str">
        <f t="array" ref="AN215">INDEX($Q$5:$Q$42,MATCH(AJ215,$B$5:$B$42,0))</f>
        <v>暴击等级</v>
      </c>
      <c r="AO215" s="25" t="str">
        <f t="array" ref="AO215">INDEX(AL215:AN215,0,AK215)</f>
        <v>攻击百分比</v>
      </c>
      <c r="AP215" s="25">
        <f t="shared" si="304"/>
        <v>0.216666666666667</v>
      </c>
      <c r="AQ215" s="25">
        <f t="shared" si="319"/>
        <v>0.216666666666667</v>
      </c>
      <c r="AR215" s="25" t="str">
        <f t="shared" ref="AR215:BZ215" si="347">IF(AR$78=$AO215,$AQ215,"0")</f>
        <v>0</v>
      </c>
      <c r="AS215" s="25" t="str">
        <f t="shared" si="347"/>
        <v>0</v>
      </c>
      <c r="AT215" s="25" t="str">
        <f t="shared" si="347"/>
        <v>0</v>
      </c>
      <c r="AU215" s="25">
        <f t="shared" si="347"/>
        <v>0.216666666666667</v>
      </c>
      <c r="AV215" s="25" t="str">
        <f t="shared" si="347"/>
        <v>0</v>
      </c>
      <c r="AW215" s="25">
        <f t="shared" si="347"/>
        <v>0.216666666666667</v>
      </c>
      <c r="AX215" s="25" t="str">
        <f t="shared" si="347"/>
        <v>0</v>
      </c>
      <c r="AY215" s="25" t="str">
        <f t="shared" si="347"/>
        <v>0</v>
      </c>
      <c r="AZ215" s="25" t="str">
        <f t="shared" si="347"/>
        <v>0</v>
      </c>
      <c r="BA215" s="25" t="str">
        <f t="shared" si="347"/>
        <v>0</v>
      </c>
      <c r="BB215" s="25" t="str">
        <f t="shared" si="347"/>
        <v>0</v>
      </c>
      <c r="BC215" s="25" t="str">
        <f t="shared" si="347"/>
        <v>0</v>
      </c>
      <c r="BD215" s="25" t="str">
        <f t="shared" si="347"/>
        <v>0</v>
      </c>
      <c r="BE215" s="25" t="str">
        <f t="shared" si="347"/>
        <v>0</v>
      </c>
      <c r="BF215" s="25" t="str">
        <f t="shared" si="347"/>
        <v>0</v>
      </c>
      <c r="BG215" s="25" t="str">
        <f t="shared" si="347"/>
        <v>0</v>
      </c>
      <c r="BH215" s="25" t="str">
        <f t="shared" si="347"/>
        <v>0</v>
      </c>
      <c r="BI215" s="25" t="str">
        <f t="shared" si="347"/>
        <v>0</v>
      </c>
      <c r="BJ215" s="25" t="str">
        <f t="shared" si="347"/>
        <v>0</v>
      </c>
      <c r="BK215" s="25" t="str">
        <f t="shared" si="347"/>
        <v>0</v>
      </c>
      <c r="BL215" s="25" t="str">
        <f t="shared" si="347"/>
        <v>0</v>
      </c>
      <c r="BM215" s="25" t="str">
        <f t="shared" si="347"/>
        <v>0</v>
      </c>
      <c r="BN215" s="25" t="str">
        <f t="shared" si="347"/>
        <v>0</v>
      </c>
      <c r="BO215" s="25" t="str">
        <f t="shared" si="347"/>
        <v>0</v>
      </c>
      <c r="BP215" s="25" t="str">
        <f t="shared" si="347"/>
        <v>0</v>
      </c>
      <c r="BQ215" s="25" t="str">
        <f t="shared" si="347"/>
        <v>0</v>
      </c>
      <c r="BR215" s="25" t="str">
        <f t="shared" si="347"/>
        <v>0</v>
      </c>
      <c r="BS215" s="25" t="str">
        <f t="shared" si="347"/>
        <v>0</v>
      </c>
      <c r="BT215" s="25" t="str">
        <f t="shared" si="347"/>
        <v>0</v>
      </c>
      <c r="BU215" s="25" t="str">
        <f t="shared" si="347"/>
        <v>0</v>
      </c>
      <c r="BV215" s="25" t="str">
        <f t="shared" si="347"/>
        <v>0</v>
      </c>
      <c r="BW215" s="25" t="str">
        <f t="shared" si="347"/>
        <v>0</v>
      </c>
      <c r="BX215" s="25" t="str">
        <f t="shared" si="347"/>
        <v>0</v>
      </c>
      <c r="BY215" s="25" t="str">
        <f t="shared" si="347"/>
        <v>0</v>
      </c>
      <c r="BZ215" s="25" t="str">
        <f t="shared" si="347"/>
        <v>0</v>
      </c>
      <c r="CC215" s="25" t="str">
        <f t="array" ref="CC215">INDEX($C$46:$C$74,MATCH(CD215,$B$46:$B$74,0))</f>
        <v>卡薇</v>
      </c>
      <c r="CD215" s="1">
        <v>1024</v>
      </c>
      <c r="CE215" s="1">
        <v>3</v>
      </c>
      <c r="CF215" s="25" t="str">
        <f t="array" ref="CF215">INDEX($T$5:$T$44,MATCH(CC215,$B$5:$B$44,0))</f>
        <v>魔法</v>
      </c>
      <c r="CG215" s="25">
        <f t="shared" si="342"/>
        <v>0.15</v>
      </c>
      <c r="CH215" s="25">
        <f t="shared" si="321"/>
        <v>1.15</v>
      </c>
      <c r="CI215" s="25">
        <f t="shared" si="322"/>
        <v>1</v>
      </c>
      <c r="CJ215" s="25">
        <f t="shared" si="323"/>
        <v>1.15</v>
      </c>
      <c r="CK215" s="25">
        <f t="shared" si="324"/>
        <v>1.15</v>
      </c>
      <c r="CL215" s="25" t="str">
        <f t="array" ref="CL215">INDEX($R$5:$R$43,MATCH(CC215,$B$5:$B$43,0))</f>
        <v>魔法伤害加成</v>
      </c>
      <c r="CM215" s="25">
        <f t="shared" si="343"/>
        <v>0.3</v>
      </c>
      <c r="CN215" s="25">
        <f t="shared" si="325"/>
        <v>0.12</v>
      </c>
      <c r="CO215" s="25">
        <f t="shared" si="326"/>
        <v>1</v>
      </c>
      <c r="CP215" s="29" t="str">
        <f t="shared" ref="CP215:DQ215" si="348">IF($CL215=CP$78,$CN215,"0")</f>
        <v>0</v>
      </c>
      <c r="CQ215" s="29" t="str">
        <f t="shared" si="348"/>
        <v>0</v>
      </c>
      <c r="CR215" s="29" t="str">
        <f t="shared" si="348"/>
        <v>0</v>
      </c>
      <c r="CS215" s="29" t="str">
        <f t="shared" si="348"/>
        <v>0</v>
      </c>
      <c r="CT215" s="29" t="str">
        <f t="shared" si="348"/>
        <v>0</v>
      </c>
      <c r="CU215" s="29" t="str">
        <f t="shared" si="348"/>
        <v>0</v>
      </c>
      <c r="CV215" s="29" t="str">
        <f t="shared" si="348"/>
        <v>0</v>
      </c>
      <c r="CW215" s="29" t="str">
        <f t="shared" si="348"/>
        <v>0</v>
      </c>
      <c r="CX215" s="29" t="str">
        <f t="shared" si="348"/>
        <v>0</v>
      </c>
      <c r="CY215" s="29" t="str">
        <f t="shared" si="348"/>
        <v>0</v>
      </c>
      <c r="CZ215" s="29" t="str">
        <f t="shared" si="348"/>
        <v>0</v>
      </c>
      <c r="DA215" s="29" t="str">
        <f t="shared" si="348"/>
        <v>0</v>
      </c>
      <c r="DB215" s="29" t="str">
        <f t="shared" si="348"/>
        <v>0</v>
      </c>
      <c r="DC215" s="29">
        <f t="shared" si="348"/>
        <v>0.12</v>
      </c>
      <c r="DD215" s="29" t="str">
        <f t="shared" si="348"/>
        <v>0</v>
      </c>
      <c r="DE215" s="29" t="str">
        <f t="shared" si="348"/>
        <v>0</v>
      </c>
      <c r="DF215" s="29" t="str">
        <f t="shared" si="348"/>
        <v>0</v>
      </c>
      <c r="DG215" s="29" t="str">
        <f t="shared" si="348"/>
        <v>0</v>
      </c>
      <c r="DH215" s="29" t="str">
        <f t="shared" si="348"/>
        <v>0</v>
      </c>
      <c r="DI215" s="29" t="str">
        <f t="shared" si="348"/>
        <v>0</v>
      </c>
      <c r="DJ215" s="29" t="str">
        <f t="shared" si="348"/>
        <v>0</v>
      </c>
      <c r="DK215" s="29" t="str">
        <f t="shared" si="348"/>
        <v>0</v>
      </c>
      <c r="DL215" s="29" t="str">
        <f t="shared" si="348"/>
        <v>0</v>
      </c>
      <c r="DM215" s="29" t="str">
        <f t="shared" si="348"/>
        <v>0</v>
      </c>
      <c r="DN215" s="29" t="str">
        <f t="shared" si="348"/>
        <v>0</v>
      </c>
      <c r="DO215" s="29" t="str">
        <f t="shared" si="348"/>
        <v>0</v>
      </c>
      <c r="DP215" s="29" t="str">
        <f t="shared" si="348"/>
        <v>0</v>
      </c>
      <c r="DQ215" s="29" t="str">
        <f t="shared" si="348"/>
        <v>0</v>
      </c>
      <c r="DR215" s="29"/>
      <c r="DS215" s="25" t="s">
        <v>1011</v>
      </c>
      <c r="DT215" s="25" t="str">
        <f>TEXT(角色升星!$F$18,"0%")</f>
        <v>15%</v>
      </c>
      <c r="DU215" s="25" t="s">
        <v>779</v>
      </c>
      <c r="DV215" s="25" t="str">
        <f>IF(CF215="物理","PhysicsAttack,+","MagicAttack,+")</f>
        <v>MagicAttack,+</v>
      </c>
      <c r="DW215" s="25" t="str">
        <f>TEXT(角色升星!$F$18,"0%")</f>
        <v>15%</v>
      </c>
      <c r="DX215" s="25" t="s">
        <v>779</v>
      </c>
      <c r="DY215" s="25" t="s">
        <v>1012</v>
      </c>
      <c r="DZ215" s="25" t="str">
        <f>TEXT(角色升星!$F$18,"0%")</f>
        <v>15%</v>
      </c>
      <c r="EA215" s="25" t="s">
        <v>779</v>
      </c>
      <c r="EB215" s="25" t="str">
        <f>VLOOKUP(CL215,$O$46:$P$73,2,0)</f>
        <v>MagicDmgBonus</v>
      </c>
      <c r="EC215" s="25" t="s">
        <v>1013</v>
      </c>
      <c r="ED215" s="25" t="str">
        <f>IF(CN215&gt;1,CN215,TEXT(CN215,"0%"))</f>
        <v>12%</v>
      </c>
      <c r="EE215" s="25" t="str">
        <f t="shared" si="328"/>
        <v>Hp,+15%;MagicAttack,+15%;Armor,+15%;MagicDmgBonus,+12%</v>
      </c>
    </row>
    <row r="216" spans="1:135">
      <c r="A216" s="48">
        <v>1003018</v>
      </c>
      <c r="B216" s="49" t="s">
        <v>321</v>
      </c>
      <c r="C216" s="25">
        <f t="shared" si="299"/>
        <v>18</v>
      </c>
      <c r="D216" s="25">
        <f t="array" ref="D216">INDEX(C$5:C$67,MATCH($B216,$B$5:$B$67,0))</f>
        <v>7700</v>
      </c>
      <c r="E216" s="25">
        <f t="array" ref="E216">INDEX(D$5:D$67,MATCH($B216,$B$5:$B$67,0))</f>
        <v>616</v>
      </c>
      <c r="F216" s="25">
        <f t="array" ref="F216">INDEX(E$5:E$67,MATCH($B216,$B$5:$B$67,0))</f>
        <v>734</v>
      </c>
      <c r="G216" s="25">
        <f t="array" ref="G216">INDEX(F$5:F$67,MATCH($B216,$B$5:$B$67,0))</f>
        <v>58.72</v>
      </c>
      <c r="H216" s="25">
        <f t="array" ref="H216">INDEX(G$5:G$66,MATCH($B216,$B$5:$B$67,0))</f>
        <v>918</v>
      </c>
      <c r="I216" s="25">
        <f t="array" ref="I216">INDEX(H$5:H$67,MATCH($B216,$B$5:$B$67,0))</f>
        <v>73.44</v>
      </c>
      <c r="J216" s="25">
        <f t="array" ref="J216">INDEX(I$5:I$67,MATCH($B216,$B$5:$B$67,0))</f>
        <v>900</v>
      </c>
      <c r="K216" s="25">
        <f t="array" ref="K216">INDEX(J$5:J$67,MATCH($B216,$B$5:$B$67,0))</f>
        <v>72</v>
      </c>
      <c r="L216" s="25">
        <f t="shared" si="309"/>
        <v>18788</v>
      </c>
      <c r="M216" s="25">
        <f t="shared" si="310"/>
        <v>1791</v>
      </c>
      <c r="N216" s="25">
        <f t="shared" si="311"/>
        <v>2240</v>
      </c>
      <c r="O216" s="25">
        <f t="shared" si="312"/>
        <v>2196</v>
      </c>
      <c r="R216" s="50">
        <f t="array" ref="R216">INDEX($B$46:$B$68,MATCH(S216,$C$46:$C$68,0))*1000+T216</f>
        <v>1006003</v>
      </c>
      <c r="S216" s="51" t="s">
        <v>328</v>
      </c>
      <c r="T216" s="29">
        <f t="shared" si="232"/>
        <v>3</v>
      </c>
      <c r="U216" s="25">
        <f t="array" ref="U216">INDEX(K$5:K$67,MATCH($S216,$B$5:$B$67,0))</f>
        <v>340.8</v>
      </c>
      <c r="V216" s="25">
        <f t="array" ref="V216">INDEX(L$5:L$67,MATCH($S216,$B$5:$B$67,0))</f>
        <v>156.67</v>
      </c>
      <c r="W216" s="25">
        <f t="array" ref="W216">INDEX(M$5:M$67,MATCH($S216,$B$5:$B$67,0))</f>
        <v>122.88</v>
      </c>
      <c r="X216" s="25">
        <f t="array" ref="X216">INDEX(N$5:N$67,MATCH($S216,$B$5:$B$67,0))</f>
        <v>83.3</v>
      </c>
      <c r="Y216" s="25">
        <f t="shared" si="313"/>
        <v>1022</v>
      </c>
      <c r="Z216" s="25">
        <f t="shared" si="314"/>
        <v>470</v>
      </c>
      <c r="AA216" s="25">
        <f t="shared" si="315"/>
        <v>369</v>
      </c>
      <c r="AB216" s="25">
        <f t="shared" si="316"/>
        <v>250</v>
      </c>
      <c r="AF216" s="25">
        <v>138</v>
      </c>
      <c r="AG216" s="25">
        <f t="array" ref="AG216">INDEX($AE$79:$AE$116,QUOTIENT(AF216-1,8)+1)</f>
        <v>1021</v>
      </c>
      <c r="AH216" s="25">
        <f t="shared" si="345"/>
        <v>2</v>
      </c>
      <c r="AI216" s="25">
        <f t="shared" si="317"/>
        <v>10212</v>
      </c>
      <c r="AJ216" s="25" t="str">
        <f t="shared" si="318"/>
        <v>梅梅</v>
      </c>
      <c r="AK216" s="25">
        <f t="shared" si="346"/>
        <v>2</v>
      </c>
      <c r="AL216" s="25" t="str">
        <f t="array" ref="AL216">INDEX($O$5:$O$42,MATCH(AJ216,$B$5:$B$42,0))</f>
        <v>攻击百分比</v>
      </c>
      <c r="AM216" s="25" t="str">
        <f t="array" ref="AM216">INDEX($P$5:$P$42,MATCH(AJ216,$B$5:$B$42,0))</f>
        <v>普攻伤害加成</v>
      </c>
      <c r="AN216" s="25" t="str">
        <f t="array" ref="AN216">INDEX($Q$5:$Q$42,MATCH(AJ216,$B$5:$B$42,0))</f>
        <v>暴击等级</v>
      </c>
      <c r="AO216" s="25" t="str">
        <f t="array" ref="AO216">INDEX(AL216:AN216,0,AK216)</f>
        <v>普攻伤害加成</v>
      </c>
      <c r="AP216" s="25">
        <f t="shared" si="304"/>
        <v>0.15</v>
      </c>
      <c r="AQ216" s="25">
        <f t="shared" si="319"/>
        <v>0.135</v>
      </c>
      <c r="AR216" s="25" t="str">
        <f t="shared" ref="AR216:BZ216" si="349">IF(AR$78=$AO216,$AQ216,"0")</f>
        <v>0</v>
      </c>
      <c r="AS216" s="25" t="str">
        <f t="shared" si="349"/>
        <v>0</v>
      </c>
      <c r="AT216" s="25" t="str">
        <f t="shared" si="349"/>
        <v>0</v>
      </c>
      <c r="AU216" s="25" t="str">
        <f t="shared" si="349"/>
        <v>0</v>
      </c>
      <c r="AV216" s="25" t="str">
        <f t="shared" si="349"/>
        <v>0</v>
      </c>
      <c r="AW216" s="25" t="str">
        <f t="shared" si="349"/>
        <v>0</v>
      </c>
      <c r="AX216" s="25" t="str">
        <f t="shared" si="349"/>
        <v>0</v>
      </c>
      <c r="AY216" s="25" t="str">
        <f t="shared" si="349"/>
        <v>0</v>
      </c>
      <c r="AZ216" s="25" t="str">
        <f t="shared" si="349"/>
        <v>0</v>
      </c>
      <c r="BA216" s="25" t="str">
        <f t="shared" si="349"/>
        <v>0</v>
      </c>
      <c r="BB216" s="25" t="str">
        <f t="shared" si="349"/>
        <v>0</v>
      </c>
      <c r="BC216" s="25" t="str">
        <f t="shared" si="349"/>
        <v>0</v>
      </c>
      <c r="BD216" s="25" t="str">
        <f t="shared" si="349"/>
        <v>0</v>
      </c>
      <c r="BE216" s="25" t="str">
        <f t="shared" si="349"/>
        <v>0</v>
      </c>
      <c r="BF216" s="25" t="str">
        <f t="shared" si="349"/>
        <v>0</v>
      </c>
      <c r="BG216" s="25" t="str">
        <f t="shared" si="349"/>
        <v>0</v>
      </c>
      <c r="BH216" s="25" t="str">
        <f t="shared" si="349"/>
        <v>0</v>
      </c>
      <c r="BI216" s="25" t="str">
        <f t="shared" si="349"/>
        <v>0</v>
      </c>
      <c r="BJ216" s="25" t="str">
        <f t="shared" si="349"/>
        <v>0</v>
      </c>
      <c r="BK216" s="25" t="str">
        <f t="shared" si="349"/>
        <v>0</v>
      </c>
      <c r="BL216" s="25" t="str">
        <f t="shared" si="349"/>
        <v>0</v>
      </c>
      <c r="BM216" s="25">
        <f t="shared" si="349"/>
        <v>0.135</v>
      </c>
      <c r="BN216" s="25" t="str">
        <f t="shared" si="349"/>
        <v>0</v>
      </c>
      <c r="BO216" s="25" t="str">
        <f t="shared" si="349"/>
        <v>0</v>
      </c>
      <c r="BP216" s="25" t="str">
        <f t="shared" si="349"/>
        <v>0</v>
      </c>
      <c r="BQ216" s="25" t="str">
        <f t="shared" si="349"/>
        <v>0</v>
      </c>
      <c r="BR216" s="25" t="str">
        <f t="shared" si="349"/>
        <v>0</v>
      </c>
      <c r="BS216" s="25" t="str">
        <f t="shared" si="349"/>
        <v>0</v>
      </c>
      <c r="BT216" s="25" t="str">
        <f t="shared" si="349"/>
        <v>0</v>
      </c>
      <c r="BU216" s="25" t="str">
        <f t="shared" si="349"/>
        <v>0</v>
      </c>
      <c r="BV216" s="25" t="str">
        <f t="shared" si="349"/>
        <v>0</v>
      </c>
      <c r="BW216" s="25" t="str">
        <f t="shared" si="349"/>
        <v>0</v>
      </c>
      <c r="BX216" s="25" t="str">
        <f t="shared" si="349"/>
        <v>0</v>
      </c>
      <c r="BY216" s="25" t="str">
        <f t="shared" si="349"/>
        <v>0</v>
      </c>
      <c r="BZ216" s="25" t="str">
        <f t="shared" si="349"/>
        <v>0</v>
      </c>
      <c r="CC216" s="25" t="str">
        <f t="array" ref="CC216">INDEX($C$46:$C$74,MATCH(CD216,$B$46:$B$74,0))</f>
        <v>卡薇</v>
      </c>
      <c r="CD216" s="1">
        <v>1024</v>
      </c>
      <c r="CE216" s="1">
        <v>4</v>
      </c>
      <c r="CF216" s="25" t="str">
        <f t="array" ref="CF216">INDEX($T$5:$T$44,MATCH(CC216,$B$5:$B$44,0))</f>
        <v>魔法</v>
      </c>
      <c r="CG216" s="25">
        <f t="shared" si="342"/>
        <v>0.15</v>
      </c>
      <c r="CH216" s="25">
        <f t="shared" si="321"/>
        <v>1.15</v>
      </c>
      <c r="CI216" s="25">
        <f t="shared" si="322"/>
        <v>1</v>
      </c>
      <c r="CJ216" s="25">
        <f t="shared" si="323"/>
        <v>1.15</v>
      </c>
      <c r="CK216" s="25">
        <f t="shared" si="324"/>
        <v>1.15</v>
      </c>
      <c r="CL216" s="25">
        <v>0</v>
      </c>
      <c r="CM216" s="25">
        <f t="shared" si="343"/>
        <v>0</v>
      </c>
      <c r="CN216" s="25">
        <f t="shared" si="325"/>
        <v>0</v>
      </c>
      <c r="CO216" s="25">
        <f t="shared" si="326"/>
        <v>0</v>
      </c>
      <c r="CP216" s="29" t="str">
        <f t="shared" ref="CP216:DQ216" si="350">IF($CL216=CP$78,$CN216,"0")</f>
        <v>0</v>
      </c>
      <c r="CQ216" s="29" t="str">
        <f t="shared" si="350"/>
        <v>0</v>
      </c>
      <c r="CR216" s="29" t="str">
        <f t="shared" si="350"/>
        <v>0</v>
      </c>
      <c r="CS216" s="29" t="str">
        <f t="shared" si="350"/>
        <v>0</v>
      </c>
      <c r="CT216" s="29" t="str">
        <f t="shared" si="350"/>
        <v>0</v>
      </c>
      <c r="CU216" s="29" t="str">
        <f t="shared" si="350"/>
        <v>0</v>
      </c>
      <c r="CV216" s="29" t="str">
        <f t="shared" si="350"/>
        <v>0</v>
      </c>
      <c r="CW216" s="29" t="str">
        <f t="shared" si="350"/>
        <v>0</v>
      </c>
      <c r="CX216" s="29" t="str">
        <f t="shared" si="350"/>
        <v>0</v>
      </c>
      <c r="CY216" s="29" t="str">
        <f t="shared" si="350"/>
        <v>0</v>
      </c>
      <c r="CZ216" s="29" t="str">
        <f t="shared" si="350"/>
        <v>0</v>
      </c>
      <c r="DA216" s="29" t="str">
        <f t="shared" si="350"/>
        <v>0</v>
      </c>
      <c r="DB216" s="29" t="str">
        <f t="shared" si="350"/>
        <v>0</v>
      </c>
      <c r="DC216" s="29" t="str">
        <f t="shared" si="350"/>
        <v>0</v>
      </c>
      <c r="DD216" s="29" t="str">
        <f t="shared" si="350"/>
        <v>0</v>
      </c>
      <c r="DE216" s="29" t="str">
        <f t="shared" si="350"/>
        <v>0</v>
      </c>
      <c r="DF216" s="29" t="str">
        <f t="shared" si="350"/>
        <v>0</v>
      </c>
      <c r="DG216" s="29" t="str">
        <f t="shared" si="350"/>
        <v>0</v>
      </c>
      <c r="DH216" s="29" t="str">
        <f t="shared" si="350"/>
        <v>0</v>
      </c>
      <c r="DI216" s="29" t="str">
        <f t="shared" si="350"/>
        <v>0</v>
      </c>
      <c r="DJ216" s="29" t="str">
        <f t="shared" si="350"/>
        <v>0</v>
      </c>
      <c r="DK216" s="29" t="str">
        <f t="shared" si="350"/>
        <v>0</v>
      </c>
      <c r="DL216" s="29" t="str">
        <f t="shared" si="350"/>
        <v>0</v>
      </c>
      <c r="DM216" s="29" t="str">
        <f t="shared" si="350"/>
        <v>0</v>
      </c>
      <c r="DN216" s="29" t="str">
        <f t="shared" si="350"/>
        <v>0</v>
      </c>
      <c r="DO216" s="29" t="str">
        <f t="shared" si="350"/>
        <v>0</v>
      </c>
      <c r="DP216" s="29" t="str">
        <f t="shared" si="350"/>
        <v>0</v>
      </c>
      <c r="DQ216" s="29" t="str">
        <f t="shared" si="350"/>
        <v>0</v>
      </c>
      <c r="DR216" s="29"/>
      <c r="DS216" s="25">
        <v>0</v>
      </c>
      <c r="EE216" s="25" t="str">
        <f t="shared" si="328"/>
        <v>0</v>
      </c>
    </row>
    <row r="217" spans="1:135">
      <c r="A217" s="48">
        <v>1003019</v>
      </c>
      <c r="B217" s="49" t="s">
        <v>321</v>
      </c>
      <c r="C217" s="25">
        <f t="shared" si="299"/>
        <v>19</v>
      </c>
      <c r="D217" s="25">
        <f t="array" ref="D217">INDEX(C$5:C$67,MATCH($B217,$B$5:$B$67,0))</f>
        <v>7700</v>
      </c>
      <c r="E217" s="25">
        <f t="array" ref="E217">INDEX(D$5:D$67,MATCH($B217,$B$5:$B$67,0))</f>
        <v>616</v>
      </c>
      <c r="F217" s="25">
        <f t="array" ref="F217">INDEX(E$5:E$67,MATCH($B217,$B$5:$B$67,0))</f>
        <v>734</v>
      </c>
      <c r="G217" s="25">
        <f t="array" ref="G217">INDEX(F$5:F$67,MATCH($B217,$B$5:$B$67,0))</f>
        <v>58.72</v>
      </c>
      <c r="H217" s="25">
        <f t="array" ref="H217">INDEX(G$5:G$66,MATCH($B217,$B$5:$B$67,0))</f>
        <v>918</v>
      </c>
      <c r="I217" s="25">
        <f t="array" ref="I217">INDEX(H$5:H$67,MATCH($B217,$B$5:$B$67,0))</f>
        <v>73.44</v>
      </c>
      <c r="J217" s="25">
        <f t="array" ref="J217">INDEX(I$5:I$67,MATCH($B217,$B$5:$B$67,0))</f>
        <v>900</v>
      </c>
      <c r="K217" s="25">
        <f t="array" ref="K217">INDEX(J$5:J$67,MATCH($B217,$B$5:$B$67,0))</f>
        <v>72</v>
      </c>
      <c r="L217" s="25">
        <f t="shared" si="309"/>
        <v>19404</v>
      </c>
      <c r="M217" s="25">
        <f t="shared" si="310"/>
        <v>1850</v>
      </c>
      <c r="N217" s="25">
        <f t="shared" si="311"/>
        <v>2313</v>
      </c>
      <c r="O217" s="25">
        <f t="shared" si="312"/>
        <v>2268</v>
      </c>
      <c r="R217" s="50">
        <f t="array" ref="R217">INDEX($B$46:$B$68,MATCH(S217,$C$46:$C$68,0))*1000+T217</f>
        <v>1006004</v>
      </c>
      <c r="S217" s="51" t="s">
        <v>328</v>
      </c>
      <c r="T217" s="29">
        <f t="shared" si="232"/>
        <v>4</v>
      </c>
      <c r="U217" s="25">
        <f t="array" ref="U217">INDEX(K$5:K$67,MATCH($S217,$B$5:$B$67,0))</f>
        <v>340.8</v>
      </c>
      <c r="V217" s="25">
        <f t="array" ref="V217">INDEX(L$5:L$67,MATCH($S217,$B$5:$B$67,0))</f>
        <v>156.67</v>
      </c>
      <c r="W217" s="25">
        <f t="array" ref="W217">INDEX(M$5:M$67,MATCH($S217,$B$5:$B$67,0))</f>
        <v>122.88</v>
      </c>
      <c r="X217" s="25">
        <f t="array" ref="X217">INDEX(N$5:N$67,MATCH($S217,$B$5:$B$67,0))</f>
        <v>83.3</v>
      </c>
      <c r="Y217" s="25">
        <f t="shared" si="313"/>
        <v>1363</v>
      </c>
      <c r="Z217" s="25">
        <f t="shared" si="314"/>
        <v>627</v>
      </c>
      <c r="AA217" s="25">
        <f t="shared" si="315"/>
        <v>492</v>
      </c>
      <c r="AB217" s="25">
        <f t="shared" si="316"/>
        <v>333</v>
      </c>
      <c r="AF217" s="25">
        <v>139</v>
      </c>
      <c r="AG217" s="25">
        <f t="array" ref="AG217">INDEX($AE$79:$AE$116,QUOTIENT(AF217-1,8)+1)</f>
        <v>1021</v>
      </c>
      <c r="AH217" s="25">
        <f t="shared" si="345"/>
        <v>3</v>
      </c>
      <c r="AI217" s="25">
        <f t="shared" si="317"/>
        <v>10213</v>
      </c>
      <c r="AJ217" s="25" t="str">
        <f t="shared" si="318"/>
        <v>梅梅</v>
      </c>
      <c r="AK217" s="25">
        <f t="shared" si="346"/>
        <v>3</v>
      </c>
      <c r="AL217" s="25" t="str">
        <f t="array" ref="AL217">INDEX($O$5:$O$42,MATCH(AJ217,$B$5:$B$42,0))</f>
        <v>攻击百分比</v>
      </c>
      <c r="AM217" s="25" t="str">
        <f t="array" ref="AM217">INDEX($P$5:$P$42,MATCH(AJ217,$B$5:$B$42,0))</f>
        <v>普攻伤害加成</v>
      </c>
      <c r="AN217" s="25" t="str">
        <f t="array" ref="AN217">INDEX($Q$5:$Q$42,MATCH(AJ217,$B$5:$B$42,0))</f>
        <v>暴击等级</v>
      </c>
      <c r="AO217" s="25" t="str">
        <f t="array" ref="AO217">INDEX(AL217:AN217,0,AK217)</f>
        <v>暴击等级</v>
      </c>
      <c r="AP217" s="25">
        <f t="shared" si="304"/>
        <v>0.216666666666667</v>
      </c>
      <c r="AQ217" s="25">
        <f t="shared" si="319"/>
        <v>1950</v>
      </c>
      <c r="AR217" s="25" t="str">
        <f t="shared" ref="AR217:BZ217" si="351">IF(AR$78=$AO217,$AQ217,"0")</f>
        <v>0</v>
      </c>
      <c r="AS217" s="25" t="str">
        <f t="shared" si="351"/>
        <v>0</v>
      </c>
      <c r="AT217" s="25" t="str">
        <f t="shared" si="351"/>
        <v>0</v>
      </c>
      <c r="AU217" s="25" t="str">
        <f t="shared" si="351"/>
        <v>0</v>
      </c>
      <c r="AV217" s="25" t="str">
        <f t="shared" si="351"/>
        <v>0</v>
      </c>
      <c r="AW217" s="25" t="str">
        <f t="shared" si="351"/>
        <v>0</v>
      </c>
      <c r="AX217" s="25" t="str">
        <f t="shared" si="351"/>
        <v>0</v>
      </c>
      <c r="AY217" s="25" t="str">
        <f t="shared" si="351"/>
        <v>0</v>
      </c>
      <c r="AZ217" s="25" t="str">
        <f t="shared" si="351"/>
        <v>0</v>
      </c>
      <c r="BA217" s="25" t="str">
        <f t="shared" si="351"/>
        <v>0</v>
      </c>
      <c r="BB217" s="25" t="str">
        <f t="shared" si="351"/>
        <v>0</v>
      </c>
      <c r="BC217" s="25" t="str">
        <f t="shared" si="351"/>
        <v>0</v>
      </c>
      <c r="BD217" s="25" t="str">
        <f t="shared" si="351"/>
        <v>0</v>
      </c>
      <c r="BE217" s="25" t="str">
        <f t="shared" si="351"/>
        <v>0</v>
      </c>
      <c r="BF217" s="25" t="str">
        <f t="shared" si="351"/>
        <v>0</v>
      </c>
      <c r="BG217" s="25" t="str">
        <f t="shared" si="351"/>
        <v>0</v>
      </c>
      <c r="BH217" s="25" t="str">
        <f t="shared" si="351"/>
        <v>0</v>
      </c>
      <c r="BI217" s="25" t="str">
        <f t="shared" si="351"/>
        <v>0</v>
      </c>
      <c r="BJ217" s="25" t="str">
        <f t="shared" si="351"/>
        <v>0</v>
      </c>
      <c r="BK217" s="25" t="str">
        <f t="shared" si="351"/>
        <v>0</v>
      </c>
      <c r="BL217" s="25" t="str">
        <f t="shared" si="351"/>
        <v>0</v>
      </c>
      <c r="BM217" s="25" t="str">
        <f t="shared" si="351"/>
        <v>0</v>
      </c>
      <c r="BN217" s="25" t="str">
        <f t="shared" si="351"/>
        <v>0</v>
      </c>
      <c r="BO217" s="25" t="str">
        <f t="shared" si="351"/>
        <v>0</v>
      </c>
      <c r="BP217" s="25" t="str">
        <f t="shared" si="351"/>
        <v>0</v>
      </c>
      <c r="BQ217" s="25" t="str">
        <f t="shared" si="351"/>
        <v>0</v>
      </c>
      <c r="BR217" s="25" t="str">
        <f t="shared" si="351"/>
        <v>0</v>
      </c>
      <c r="BS217" s="25" t="str">
        <f t="shared" si="351"/>
        <v>0</v>
      </c>
      <c r="BT217" s="25" t="str">
        <f t="shared" si="351"/>
        <v>0</v>
      </c>
      <c r="BU217" s="25" t="str">
        <f t="shared" si="351"/>
        <v>0</v>
      </c>
      <c r="BV217" s="25" t="str">
        <f t="shared" si="351"/>
        <v>0</v>
      </c>
      <c r="BW217" s="25">
        <f t="shared" si="351"/>
        <v>1950</v>
      </c>
      <c r="BX217" s="25" t="str">
        <f t="shared" si="351"/>
        <v>0</v>
      </c>
      <c r="BY217" s="25" t="str">
        <f t="shared" si="351"/>
        <v>0</v>
      </c>
      <c r="BZ217" s="25" t="str">
        <f t="shared" si="351"/>
        <v>0</v>
      </c>
      <c r="CC217" s="25" t="str">
        <f t="array" ref="CC217">INDEX($C$46:$C$74,MATCH(CD217,$B$46:$B$74,0))</f>
        <v>卡薇</v>
      </c>
      <c r="CD217" s="1">
        <v>1024</v>
      </c>
      <c r="CE217" s="1">
        <v>5</v>
      </c>
      <c r="CF217" s="25" t="str">
        <f t="array" ref="CF217">INDEX($T$5:$T$44,MATCH(CC217,$B$5:$B$44,0))</f>
        <v>魔法</v>
      </c>
      <c r="CG217" s="25">
        <f t="shared" si="342"/>
        <v>0.3</v>
      </c>
      <c r="CH217" s="25">
        <f t="shared" si="321"/>
        <v>1.3</v>
      </c>
      <c r="CI217" s="25">
        <f t="shared" si="322"/>
        <v>1</v>
      </c>
      <c r="CJ217" s="25">
        <f t="shared" si="323"/>
        <v>1.3</v>
      </c>
      <c r="CK217" s="25">
        <f t="shared" si="324"/>
        <v>1.3</v>
      </c>
      <c r="CL217" s="25" t="str">
        <f t="array" ref="CL217">INDEX($S$5:$S$43,MATCH(CC217,$B$5:$B$43,0))</f>
        <v>必杀伤害加成</v>
      </c>
      <c r="CM217" s="25">
        <f t="shared" si="343"/>
        <v>0.3</v>
      </c>
      <c r="CN217" s="25">
        <f t="shared" si="325"/>
        <v>0.36</v>
      </c>
      <c r="CO217" s="25">
        <f t="shared" si="326"/>
        <v>1</v>
      </c>
      <c r="CP217" s="29" t="str">
        <f t="shared" ref="CP217:DQ217" si="352">IF($CL217=CP$78,$CN217,"0")</f>
        <v>0</v>
      </c>
      <c r="CQ217" s="29" t="str">
        <f t="shared" si="352"/>
        <v>0</v>
      </c>
      <c r="CR217" s="29" t="str">
        <f t="shared" si="352"/>
        <v>0</v>
      </c>
      <c r="CS217" s="29" t="str">
        <f t="shared" si="352"/>
        <v>0</v>
      </c>
      <c r="CT217" s="29" t="str">
        <f t="shared" si="352"/>
        <v>0</v>
      </c>
      <c r="CU217" s="29" t="str">
        <f t="shared" si="352"/>
        <v>0</v>
      </c>
      <c r="CV217" s="29" t="str">
        <f t="shared" si="352"/>
        <v>0</v>
      </c>
      <c r="CW217" s="29" t="str">
        <f t="shared" si="352"/>
        <v>0</v>
      </c>
      <c r="CX217" s="29" t="str">
        <f t="shared" si="352"/>
        <v>0</v>
      </c>
      <c r="CY217" s="29" t="str">
        <f t="shared" si="352"/>
        <v>0</v>
      </c>
      <c r="CZ217" s="29" t="str">
        <f t="shared" si="352"/>
        <v>0</v>
      </c>
      <c r="DA217" s="29" t="str">
        <f t="shared" si="352"/>
        <v>0</v>
      </c>
      <c r="DB217" s="29" t="str">
        <f t="shared" si="352"/>
        <v>0</v>
      </c>
      <c r="DC217" s="29" t="str">
        <f t="shared" si="352"/>
        <v>0</v>
      </c>
      <c r="DD217" s="29" t="str">
        <f t="shared" si="352"/>
        <v>0</v>
      </c>
      <c r="DE217" s="29" t="str">
        <f t="shared" si="352"/>
        <v>0</v>
      </c>
      <c r="DF217" s="29">
        <f t="shared" si="352"/>
        <v>0.36</v>
      </c>
      <c r="DG217" s="29" t="str">
        <f t="shared" si="352"/>
        <v>0</v>
      </c>
      <c r="DH217" s="29" t="str">
        <f t="shared" si="352"/>
        <v>0</v>
      </c>
      <c r="DI217" s="29" t="str">
        <f t="shared" si="352"/>
        <v>0</v>
      </c>
      <c r="DJ217" s="29" t="str">
        <f t="shared" si="352"/>
        <v>0</v>
      </c>
      <c r="DK217" s="29" t="str">
        <f t="shared" si="352"/>
        <v>0</v>
      </c>
      <c r="DL217" s="29" t="str">
        <f t="shared" si="352"/>
        <v>0</v>
      </c>
      <c r="DM217" s="29" t="str">
        <f t="shared" si="352"/>
        <v>0</v>
      </c>
      <c r="DN217" s="29" t="str">
        <f t="shared" si="352"/>
        <v>0</v>
      </c>
      <c r="DO217" s="29" t="str">
        <f t="shared" si="352"/>
        <v>0</v>
      </c>
      <c r="DP217" s="29" t="str">
        <f t="shared" si="352"/>
        <v>0</v>
      </c>
      <c r="DQ217" s="29" t="str">
        <f t="shared" si="352"/>
        <v>0</v>
      </c>
      <c r="DR217" s="29"/>
      <c r="DS217" s="25" t="s">
        <v>1011</v>
      </c>
      <c r="DT217" s="25" t="str">
        <f>TEXT(角色升星!$F$18,"0%")</f>
        <v>15%</v>
      </c>
      <c r="DU217" s="25" t="s">
        <v>779</v>
      </c>
      <c r="DV217" s="25" t="str">
        <f>IF(CF217="物理","PhysicsAttack,+","MagicAttack,+")</f>
        <v>MagicAttack,+</v>
      </c>
      <c r="DW217" s="25" t="str">
        <f>TEXT(角色升星!$F$18,"0%")</f>
        <v>15%</v>
      </c>
      <c r="DX217" s="25" t="s">
        <v>779</v>
      </c>
      <c r="DY217" s="25" t="s">
        <v>1012</v>
      </c>
      <c r="DZ217" s="25" t="str">
        <f>TEXT(角色升星!$F$18,"0%")</f>
        <v>15%</v>
      </c>
      <c r="EA217" s="25" t="s">
        <v>779</v>
      </c>
      <c r="EB217" s="25" t="str">
        <f>VLOOKUP(CL217,$O$46:$P$73,2,0)</f>
        <v>UltimateDmgBonus</v>
      </c>
      <c r="EC217" s="25" t="s">
        <v>1013</v>
      </c>
      <c r="ED217" s="25" t="str">
        <f>IF(CN217&gt;1,CN217,TEXT(CN217,"0%"))</f>
        <v>36%</v>
      </c>
      <c r="EE217" s="25" t="str">
        <f t="shared" si="328"/>
        <v>Hp,+15%;MagicAttack,+15%;Armor,+15%;UltimateDmgBonus,+36%</v>
      </c>
    </row>
    <row r="218" spans="1:135">
      <c r="A218" s="48">
        <v>1003020</v>
      </c>
      <c r="B218" s="49" t="s">
        <v>321</v>
      </c>
      <c r="C218" s="25">
        <f t="shared" si="299"/>
        <v>20</v>
      </c>
      <c r="D218" s="25">
        <f t="array" ref="D218">INDEX(C$5:C$67,MATCH($B218,$B$5:$B$67,0))</f>
        <v>7700</v>
      </c>
      <c r="E218" s="25">
        <f t="array" ref="E218">INDEX(D$5:D$67,MATCH($B218,$B$5:$B$67,0))</f>
        <v>616</v>
      </c>
      <c r="F218" s="25">
        <f t="array" ref="F218">INDEX(E$5:E$67,MATCH($B218,$B$5:$B$67,0))</f>
        <v>734</v>
      </c>
      <c r="G218" s="25">
        <f t="array" ref="G218">INDEX(F$5:F$67,MATCH($B218,$B$5:$B$67,0))</f>
        <v>58.72</v>
      </c>
      <c r="H218" s="25">
        <f t="array" ref="H218">INDEX(G$5:G$66,MATCH($B218,$B$5:$B$67,0))</f>
        <v>918</v>
      </c>
      <c r="I218" s="25">
        <f t="array" ref="I218">INDEX(H$5:H$67,MATCH($B218,$B$5:$B$67,0))</f>
        <v>73.44</v>
      </c>
      <c r="J218" s="25">
        <f t="array" ref="J218">INDEX(I$5:I$67,MATCH($B218,$B$5:$B$67,0))</f>
        <v>900</v>
      </c>
      <c r="K218" s="25">
        <f t="array" ref="K218">INDEX(J$5:J$67,MATCH($B218,$B$5:$B$67,0))</f>
        <v>72</v>
      </c>
      <c r="L218" s="25">
        <f t="shared" si="309"/>
        <v>20020</v>
      </c>
      <c r="M218" s="25">
        <f t="shared" si="310"/>
        <v>1908</v>
      </c>
      <c r="N218" s="25">
        <f t="shared" si="311"/>
        <v>2387</v>
      </c>
      <c r="O218" s="25">
        <f t="shared" si="312"/>
        <v>2340</v>
      </c>
      <c r="R218" s="50">
        <f t="array" ref="R218">INDEX($B$46:$B$68,MATCH(S218,$C$46:$C$68,0))*1000+T218</f>
        <v>1006005</v>
      </c>
      <c r="S218" s="51" t="s">
        <v>328</v>
      </c>
      <c r="T218" s="29">
        <f t="shared" si="232"/>
        <v>5</v>
      </c>
      <c r="U218" s="25">
        <f t="array" ref="U218">INDEX(K$5:K$67,MATCH($S218,$B$5:$B$67,0))</f>
        <v>340.8</v>
      </c>
      <c r="V218" s="25">
        <f t="array" ref="V218">INDEX(L$5:L$67,MATCH($S218,$B$5:$B$67,0))</f>
        <v>156.67</v>
      </c>
      <c r="W218" s="25">
        <f t="array" ref="W218">INDEX(M$5:M$67,MATCH($S218,$B$5:$B$67,0))</f>
        <v>122.88</v>
      </c>
      <c r="X218" s="25">
        <f t="array" ref="X218">INDEX(N$5:N$67,MATCH($S218,$B$5:$B$67,0))</f>
        <v>83.3</v>
      </c>
      <c r="Y218" s="25">
        <f t="shared" si="313"/>
        <v>1704</v>
      </c>
      <c r="Z218" s="25">
        <f t="shared" si="314"/>
        <v>783</v>
      </c>
      <c r="AA218" s="25">
        <f t="shared" si="315"/>
        <v>614</v>
      </c>
      <c r="AB218" s="25">
        <f t="shared" si="316"/>
        <v>417</v>
      </c>
      <c r="AF218" s="25">
        <v>140</v>
      </c>
      <c r="AG218" s="25">
        <f t="array" ref="AG218">INDEX($AE$79:$AE$116,QUOTIENT(AF218-1,8)+1)</f>
        <v>1021</v>
      </c>
      <c r="AH218" s="25">
        <f t="shared" si="345"/>
        <v>4</v>
      </c>
      <c r="AI218" s="25">
        <f t="shared" si="317"/>
        <v>10214</v>
      </c>
      <c r="AJ218" s="25" t="str">
        <f t="shared" si="318"/>
        <v>梅梅</v>
      </c>
      <c r="AK218" s="25">
        <f t="shared" si="346"/>
        <v>2</v>
      </c>
      <c r="AL218" s="25" t="str">
        <f t="array" ref="AL218">INDEX($O$5:$O$42,MATCH(AJ218,$B$5:$B$42,0))</f>
        <v>攻击百分比</v>
      </c>
      <c r="AM218" s="25" t="str">
        <f t="array" ref="AM218">INDEX($P$5:$P$42,MATCH(AJ218,$B$5:$B$42,0))</f>
        <v>普攻伤害加成</v>
      </c>
      <c r="AN218" s="25" t="str">
        <f t="array" ref="AN218">INDEX($Q$5:$Q$42,MATCH(AJ218,$B$5:$B$42,0))</f>
        <v>暴击等级</v>
      </c>
      <c r="AO218" s="25" t="str">
        <f t="array" ref="AO218">INDEX(AL218:AN218,0,AK218)</f>
        <v>普攻伤害加成</v>
      </c>
      <c r="AP218" s="25">
        <f t="shared" si="304"/>
        <v>0.15</v>
      </c>
      <c r="AQ218" s="25">
        <f t="shared" si="319"/>
        <v>0.135</v>
      </c>
      <c r="AR218" s="25" t="str">
        <f t="shared" ref="AR218:BZ218" si="353">IF(AR$78=$AO218,$AQ218,"0")</f>
        <v>0</v>
      </c>
      <c r="AS218" s="25" t="str">
        <f t="shared" si="353"/>
        <v>0</v>
      </c>
      <c r="AT218" s="25" t="str">
        <f t="shared" si="353"/>
        <v>0</v>
      </c>
      <c r="AU218" s="25" t="str">
        <f t="shared" si="353"/>
        <v>0</v>
      </c>
      <c r="AV218" s="25" t="str">
        <f t="shared" si="353"/>
        <v>0</v>
      </c>
      <c r="AW218" s="25" t="str">
        <f t="shared" si="353"/>
        <v>0</v>
      </c>
      <c r="AX218" s="25" t="str">
        <f t="shared" si="353"/>
        <v>0</v>
      </c>
      <c r="AY218" s="25" t="str">
        <f t="shared" si="353"/>
        <v>0</v>
      </c>
      <c r="AZ218" s="25" t="str">
        <f t="shared" si="353"/>
        <v>0</v>
      </c>
      <c r="BA218" s="25" t="str">
        <f t="shared" si="353"/>
        <v>0</v>
      </c>
      <c r="BB218" s="25" t="str">
        <f t="shared" si="353"/>
        <v>0</v>
      </c>
      <c r="BC218" s="25" t="str">
        <f t="shared" si="353"/>
        <v>0</v>
      </c>
      <c r="BD218" s="25" t="str">
        <f t="shared" si="353"/>
        <v>0</v>
      </c>
      <c r="BE218" s="25" t="str">
        <f t="shared" si="353"/>
        <v>0</v>
      </c>
      <c r="BF218" s="25" t="str">
        <f t="shared" si="353"/>
        <v>0</v>
      </c>
      <c r="BG218" s="25" t="str">
        <f t="shared" si="353"/>
        <v>0</v>
      </c>
      <c r="BH218" s="25" t="str">
        <f t="shared" si="353"/>
        <v>0</v>
      </c>
      <c r="BI218" s="25" t="str">
        <f t="shared" si="353"/>
        <v>0</v>
      </c>
      <c r="BJ218" s="25" t="str">
        <f t="shared" si="353"/>
        <v>0</v>
      </c>
      <c r="BK218" s="25" t="str">
        <f t="shared" si="353"/>
        <v>0</v>
      </c>
      <c r="BL218" s="25" t="str">
        <f t="shared" si="353"/>
        <v>0</v>
      </c>
      <c r="BM218" s="25">
        <f t="shared" si="353"/>
        <v>0.135</v>
      </c>
      <c r="BN218" s="25" t="str">
        <f t="shared" si="353"/>
        <v>0</v>
      </c>
      <c r="BO218" s="25" t="str">
        <f t="shared" si="353"/>
        <v>0</v>
      </c>
      <c r="BP218" s="25" t="str">
        <f t="shared" si="353"/>
        <v>0</v>
      </c>
      <c r="BQ218" s="25" t="str">
        <f t="shared" si="353"/>
        <v>0</v>
      </c>
      <c r="BR218" s="25" t="str">
        <f t="shared" si="353"/>
        <v>0</v>
      </c>
      <c r="BS218" s="25" t="str">
        <f t="shared" si="353"/>
        <v>0</v>
      </c>
      <c r="BT218" s="25" t="str">
        <f t="shared" si="353"/>
        <v>0</v>
      </c>
      <c r="BU218" s="25" t="str">
        <f t="shared" si="353"/>
        <v>0</v>
      </c>
      <c r="BV218" s="25" t="str">
        <f t="shared" si="353"/>
        <v>0</v>
      </c>
      <c r="BW218" s="25" t="str">
        <f t="shared" si="353"/>
        <v>0</v>
      </c>
      <c r="BX218" s="25" t="str">
        <f t="shared" si="353"/>
        <v>0</v>
      </c>
      <c r="BY218" s="25" t="str">
        <f t="shared" si="353"/>
        <v>0</v>
      </c>
      <c r="BZ218" s="25" t="str">
        <f t="shared" si="353"/>
        <v>0</v>
      </c>
      <c r="CC218" s="25" t="str">
        <f t="array" ref="CC218">INDEX($C$46:$C$74,MATCH(CD218,$B$46:$B$74,0))</f>
        <v>卡薇</v>
      </c>
      <c r="CD218" s="1">
        <v>1024</v>
      </c>
      <c r="CE218" s="1">
        <v>6</v>
      </c>
      <c r="CF218" s="25" t="str">
        <f t="array" ref="CF218">INDEX($T$5:$T$44,MATCH(CC218,$B$5:$B$44,0))</f>
        <v>魔法</v>
      </c>
      <c r="CG218" s="25">
        <f t="shared" si="342"/>
        <v>0.3</v>
      </c>
      <c r="CH218" s="25">
        <f t="shared" si="321"/>
        <v>1.3</v>
      </c>
      <c r="CI218" s="25">
        <f t="shared" si="322"/>
        <v>1</v>
      </c>
      <c r="CJ218" s="25">
        <f t="shared" si="323"/>
        <v>1.3</v>
      </c>
      <c r="CK218" s="25">
        <f t="shared" si="324"/>
        <v>1.3</v>
      </c>
      <c r="CL218" s="25">
        <v>0</v>
      </c>
      <c r="CM218" s="25">
        <f t="shared" si="343"/>
        <v>0</v>
      </c>
      <c r="CN218" s="25">
        <f t="shared" si="325"/>
        <v>0</v>
      </c>
      <c r="CO218" s="25">
        <f t="shared" si="326"/>
        <v>0</v>
      </c>
      <c r="CP218" s="29" t="str">
        <f t="shared" ref="CP218:DQ218" si="354">IF($CL218=CP$78,$CN218,"0")</f>
        <v>0</v>
      </c>
      <c r="CQ218" s="29" t="str">
        <f t="shared" si="354"/>
        <v>0</v>
      </c>
      <c r="CR218" s="29" t="str">
        <f t="shared" si="354"/>
        <v>0</v>
      </c>
      <c r="CS218" s="29" t="str">
        <f t="shared" si="354"/>
        <v>0</v>
      </c>
      <c r="CT218" s="29" t="str">
        <f t="shared" si="354"/>
        <v>0</v>
      </c>
      <c r="CU218" s="29" t="str">
        <f t="shared" si="354"/>
        <v>0</v>
      </c>
      <c r="CV218" s="29" t="str">
        <f t="shared" si="354"/>
        <v>0</v>
      </c>
      <c r="CW218" s="29" t="str">
        <f t="shared" si="354"/>
        <v>0</v>
      </c>
      <c r="CX218" s="29" t="str">
        <f t="shared" si="354"/>
        <v>0</v>
      </c>
      <c r="CY218" s="29" t="str">
        <f t="shared" si="354"/>
        <v>0</v>
      </c>
      <c r="CZ218" s="29" t="str">
        <f t="shared" si="354"/>
        <v>0</v>
      </c>
      <c r="DA218" s="29" t="str">
        <f t="shared" si="354"/>
        <v>0</v>
      </c>
      <c r="DB218" s="29" t="str">
        <f t="shared" si="354"/>
        <v>0</v>
      </c>
      <c r="DC218" s="29" t="str">
        <f t="shared" si="354"/>
        <v>0</v>
      </c>
      <c r="DD218" s="29" t="str">
        <f t="shared" si="354"/>
        <v>0</v>
      </c>
      <c r="DE218" s="29" t="str">
        <f t="shared" si="354"/>
        <v>0</v>
      </c>
      <c r="DF218" s="29" t="str">
        <f t="shared" si="354"/>
        <v>0</v>
      </c>
      <c r="DG218" s="29" t="str">
        <f t="shared" si="354"/>
        <v>0</v>
      </c>
      <c r="DH218" s="29" t="str">
        <f t="shared" si="354"/>
        <v>0</v>
      </c>
      <c r="DI218" s="29" t="str">
        <f t="shared" si="354"/>
        <v>0</v>
      </c>
      <c r="DJ218" s="29" t="str">
        <f t="shared" si="354"/>
        <v>0</v>
      </c>
      <c r="DK218" s="29" t="str">
        <f t="shared" si="354"/>
        <v>0</v>
      </c>
      <c r="DL218" s="29" t="str">
        <f t="shared" si="354"/>
        <v>0</v>
      </c>
      <c r="DM218" s="29" t="str">
        <f t="shared" si="354"/>
        <v>0</v>
      </c>
      <c r="DN218" s="29" t="str">
        <f t="shared" si="354"/>
        <v>0</v>
      </c>
      <c r="DO218" s="29" t="str">
        <f t="shared" si="354"/>
        <v>0</v>
      </c>
      <c r="DP218" s="29" t="str">
        <f t="shared" si="354"/>
        <v>0</v>
      </c>
      <c r="DQ218" s="29" t="str">
        <f t="shared" si="354"/>
        <v>0</v>
      </c>
      <c r="DR218" s="29"/>
      <c r="DS218" s="25">
        <v>0</v>
      </c>
      <c r="EE218" s="25" t="str">
        <f t="shared" si="328"/>
        <v>0</v>
      </c>
    </row>
    <row r="219" spans="1:135">
      <c r="A219" s="48">
        <v>1003021</v>
      </c>
      <c r="B219" s="49" t="s">
        <v>321</v>
      </c>
      <c r="C219" s="25">
        <f t="shared" si="299"/>
        <v>21</v>
      </c>
      <c r="D219" s="25">
        <f t="array" ref="D219">INDEX(C$5:C$67,MATCH($B219,$B$5:$B$67,0))</f>
        <v>7700</v>
      </c>
      <c r="E219" s="25">
        <f t="array" ref="E219">INDEX(D$5:D$67,MATCH($B219,$B$5:$B$67,0))</f>
        <v>616</v>
      </c>
      <c r="F219" s="25">
        <f t="array" ref="F219">INDEX(E$5:E$67,MATCH($B219,$B$5:$B$67,0))</f>
        <v>734</v>
      </c>
      <c r="G219" s="25">
        <f t="array" ref="G219">INDEX(F$5:F$67,MATCH($B219,$B$5:$B$67,0))</f>
        <v>58.72</v>
      </c>
      <c r="H219" s="25">
        <f t="array" ref="H219">INDEX(G$5:G$66,MATCH($B219,$B$5:$B$67,0))</f>
        <v>918</v>
      </c>
      <c r="I219" s="25">
        <f t="array" ref="I219">INDEX(H$5:H$67,MATCH($B219,$B$5:$B$67,0))</f>
        <v>73.44</v>
      </c>
      <c r="J219" s="25">
        <f t="array" ref="J219">INDEX(I$5:I$67,MATCH($B219,$B$5:$B$67,0))</f>
        <v>900</v>
      </c>
      <c r="K219" s="25">
        <f t="array" ref="K219">INDEX(J$5:J$67,MATCH($B219,$B$5:$B$67,0))</f>
        <v>72</v>
      </c>
      <c r="L219" s="25">
        <f t="shared" si="309"/>
        <v>20636</v>
      </c>
      <c r="M219" s="25">
        <f t="shared" si="310"/>
        <v>1967</v>
      </c>
      <c r="N219" s="25">
        <f t="shared" si="311"/>
        <v>2460</v>
      </c>
      <c r="O219" s="25">
        <f t="shared" si="312"/>
        <v>2412</v>
      </c>
      <c r="R219" s="50">
        <f t="array" ref="R219">INDEX($B$46:$B$68,MATCH(S219,$C$46:$C$68,0))*1000+T219</f>
        <v>1006006</v>
      </c>
      <c r="S219" s="51" t="s">
        <v>328</v>
      </c>
      <c r="T219" s="29">
        <f t="shared" si="232"/>
        <v>6</v>
      </c>
      <c r="U219" s="25">
        <f t="array" ref="U219">INDEX(K$5:K$67,MATCH($S219,$B$5:$B$67,0))</f>
        <v>340.8</v>
      </c>
      <c r="V219" s="25">
        <f t="array" ref="V219">INDEX(L$5:L$67,MATCH($S219,$B$5:$B$67,0))</f>
        <v>156.67</v>
      </c>
      <c r="W219" s="25">
        <f t="array" ref="W219">INDEX(M$5:M$67,MATCH($S219,$B$5:$B$67,0))</f>
        <v>122.88</v>
      </c>
      <c r="X219" s="25">
        <f t="array" ref="X219">INDEX(N$5:N$67,MATCH($S219,$B$5:$B$67,0))</f>
        <v>83.3</v>
      </c>
      <c r="Y219" s="25">
        <f t="shared" si="313"/>
        <v>2045</v>
      </c>
      <c r="Z219" s="25">
        <f t="shared" si="314"/>
        <v>940</v>
      </c>
      <c r="AA219" s="25">
        <f t="shared" si="315"/>
        <v>737</v>
      </c>
      <c r="AB219" s="25">
        <f t="shared" si="316"/>
        <v>500</v>
      </c>
      <c r="AF219" s="25">
        <v>141</v>
      </c>
      <c r="AG219" s="25">
        <f t="array" ref="AG219">INDEX($AE$79:$AE$116,QUOTIENT(AF219-1,8)+1)</f>
        <v>1021</v>
      </c>
      <c r="AH219" s="25">
        <f t="shared" si="345"/>
        <v>5</v>
      </c>
      <c r="AI219" s="25">
        <f t="shared" si="317"/>
        <v>10215</v>
      </c>
      <c r="AJ219" s="25" t="str">
        <f t="shared" si="318"/>
        <v>梅梅</v>
      </c>
      <c r="AK219" s="25">
        <f t="shared" si="346"/>
        <v>3</v>
      </c>
      <c r="AL219" s="25" t="str">
        <f t="array" ref="AL219">INDEX($O$5:$O$42,MATCH(AJ219,$B$5:$B$42,0))</f>
        <v>攻击百分比</v>
      </c>
      <c r="AM219" s="25" t="str">
        <f t="array" ref="AM219">INDEX($P$5:$P$42,MATCH(AJ219,$B$5:$B$42,0))</f>
        <v>普攻伤害加成</v>
      </c>
      <c r="AN219" s="25" t="str">
        <f t="array" ref="AN219">INDEX($Q$5:$Q$42,MATCH(AJ219,$B$5:$B$42,0))</f>
        <v>暴击等级</v>
      </c>
      <c r="AO219" s="25" t="str">
        <f t="array" ref="AO219">INDEX(AL219:AN219,0,AK219)</f>
        <v>暴击等级</v>
      </c>
      <c r="AP219" s="25">
        <f t="shared" si="304"/>
        <v>0.216666666666667</v>
      </c>
      <c r="AQ219" s="25">
        <f t="shared" si="319"/>
        <v>1950</v>
      </c>
      <c r="AR219" s="25" t="str">
        <f t="shared" ref="AR219:BZ219" si="355">IF(AR$78=$AO219,$AQ219,"0")</f>
        <v>0</v>
      </c>
      <c r="AS219" s="25" t="str">
        <f t="shared" si="355"/>
        <v>0</v>
      </c>
      <c r="AT219" s="25" t="str">
        <f t="shared" si="355"/>
        <v>0</v>
      </c>
      <c r="AU219" s="25" t="str">
        <f t="shared" si="355"/>
        <v>0</v>
      </c>
      <c r="AV219" s="25" t="str">
        <f t="shared" si="355"/>
        <v>0</v>
      </c>
      <c r="AW219" s="25" t="str">
        <f t="shared" si="355"/>
        <v>0</v>
      </c>
      <c r="AX219" s="25" t="str">
        <f t="shared" si="355"/>
        <v>0</v>
      </c>
      <c r="AY219" s="25" t="str">
        <f t="shared" si="355"/>
        <v>0</v>
      </c>
      <c r="AZ219" s="25" t="str">
        <f t="shared" si="355"/>
        <v>0</v>
      </c>
      <c r="BA219" s="25" t="str">
        <f t="shared" si="355"/>
        <v>0</v>
      </c>
      <c r="BB219" s="25" t="str">
        <f t="shared" si="355"/>
        <v>0</v>
      </c>
      <c r="BC219" s="25" t="str">
        <f t="shared" si="355"/>
        <v>0</v>
      </c>
      <c r="BD219" s="25" t="str">
        <f t="shared" si="355"/>
        <v>0</v>
      </c>
      <c r="BE219" s="25" t="str">
        <f t="shared" si="355"/>
        <v>0</v>
      </c>
      <c r="BF219" s="25" t="str">
        <f t="shared" si="355"/>
        <v>0</v>
      </c>
      <c r="BG219" s="25" t="str">
        <f t="shared" si="355"/>
        <v>0</v>
      </c>
      <c r="BH219" s="25" t="str">
        <f t="shared" si="355"/>
        <v>0</v>
      </c>
      <c r="BI219" s="25" t="str">
        <f t="shared" si="355"/>
        <v>0</v>
      </c>
      <c r="BJ219" s="25" t="str">
        <f t="shared" si="355"/>
        <v>0</v>
      </c>
      <c r="BK219" s="25" t="str">
        <f t="shared" si="355"/>
        <v>0</v>
      </c>
      <c r="BL219" s="25" t="str">
        <f t="shared" si="355"/>
        <v>0</v>
      </c>
      <c r="BM219" s="25" t="str">
        <f t="shared" si="355"/>
        <v>0</v>
      </c>
      <c r="BN219" s="25" t="str">
        <f t="shared" si="355"/>
        <v>0</v>
      </c>
      <c r="BO219" s="25" t="str">
        <f t="shared" si="355"/>
        <v>0</v>
      </c>
      <c r="BP219" s="25" t="str">
        <f t="shared" si="355"/>
        <v>0</v>
      </c>
      <c r="BQ219" s="25" t="str">
        <f t="shared" si="355"/>
        <v>0</v>
      </c>
      <c r="BR219" s="25" t="str">
        <f t="shared" si="355"/>
        <v>0</v>
      </c>
      <c r="BS219" s="25" t="str">
        <f t="shared" si="355"/>
        <v>0</v>
      </c>
      <c r="BT219" s="25" t="str">
        <f t="shared" si="355"/>
        <v>0</v>
      </c>
      <c r="BU219" s="25" t="str">
        <f t="shared" si="355"/>
        <v>0</v>
      </c>
      <c r="BV219" s="25" t="str">
        <f t="shared" si="355"/>
        <v>0</v>
      </c>
      <c r="BW219" s="25">
        <f t="shared" si="355"/>
        <v>1950</v>
      </c>
      <c r="BX219" s="25" t="str">
        <f t="shared" si="355"/>
        <v>0</v>
      </c>
      <c r="BY219" s="25" t="str">
        <f t="shared" si="355"/>
        <v>0</v>
      </c>
      <c r="BZ219" s="25" t="str">
        <f t="shared" si="355"/>
        <v>0</v>
      </c>
      <c r="CC219" s="25" t="str">
        <f t="array" ref="CC219">INDEX($C$46:$C$74,MATCH(CD219,$B$46:$B$74,0))</f>
        <v>乔一</v>
      </c>
      <c r="CD219" s="1">
        <v>1026</v>
      </c>
      <c r="CE219" s="1">
        <v>0</v>
      </c>
      <c r="CF219" s="25" t="str">
        <f t="array" ref="CF219">INDEX($T$5:$T$44,MATCH(CC219,$B$5:$B$44,0))</f>
        <v>物理</v>
      </c>
      <c r="CG219" s="25">
        <f t="shared" si="342"/>
        <v>0</v>
      </c>
      <c r="CH219" s="25">
        <f t="shared" si="321"/>
        <v>1</v>
      </c>
      <c r="CI219" s="25">
        <f t="shared" si="322"/>
        <v>1</v>
      </c>
      <c r="CJ219" s="25">
        <f t="shared" si="323"/>
        <v>1</v>
      </c>
      <c r="CK219" s="25">
        <f t="shared" si="324"/>
        <v>1</v>
      </c>
      <c r="CL219" s="25">
        <v>0</v>
      </c>
      <c r="CM219" s="25">
        <f t="shared" si="343"/>
        <v>0</v>
      </c>
      <c r="CN219" s="25">
        <f t="shared" si="325"/>
        <v>0</v>
      </c>
      <c r="CO219" s="25">
        <f t="shared" si="326"/>
        <v>0</v>
      </c>
      <c r="CP219" s="29" t="str">
        <f t="shared" ref="CP219:DQ219" si="356">IF($CL219=CP$78,$CN219,"0")</f>
        <v>0</v>
      </c>
      <c r="CQ219" s="29" t="str">
        <f t="shared" si="356"/>
        <v>0</v>
      </c>
      <c r="CR219" s="29" t="str">
        <f t="shared" si="356"/>
        <v>0</v>
      </c>
      <c r="CS219" s="29" t="str">
        <f t="shared" si="356"/>
        <v>0</v>
      </c>
      <c r="CT219" s="29" t="str">
        <f t="shared" si="356"/>
        <v>0</v>
      </c>
      <c r="CU219" s="29" t="str">
        <f t="shared" si="356"/>
        <v>0</v>
      </c>
      <c r="CV219" s="29" t="str">
        <f t="shared" si="356"/>
        <v>0</v>
      </c>
      <c r="CW219" s="29" t="str">
        <f t="shared" si="356"/>
        <v>0</v>
      </c>
      <c r="CX219" s="29" t="str">
        <f t="shared" si="356"/>
        <v>0</v>
      </c>
      <c r="CY219" s="29" t="str">
        <f t="shared" si="356"/>
        <v>0</v>
      </c>
      <c r="CZ219" s="29" t="str">
        <f t="shared" si="356"/>
        <v>0</v>
      </c>
      <c r="DA219" s="29" t="str">
        <f t="shared" si="356"/>
        <v>0</v>
      </c>
      <c r="DB219" s="29" t="str">
        <f t="shared" si="356"/>
        <v>0</v>
      </c>
      <c r="DC219" s="29" t="str">
        <f t="shared" si="356"/>
        <v>0</v>
      </c>
      <c r="DD219" s="29" t="str">
        <f t="shared" si="356"/>
        <v>0</v>
      </c>
      <c r="DE219" s="29" t="str">
        <f t="shared" si="356"/>
        <v>0</v>
      </c>
      <c r="DF219" s="29" t="str">
        <f t="shared" si="356"/>
        <v>0</v>
      </c>
      <c r="DG219" s="29" t="str">
        <f t="shared" si="356"/>
        <v>0</v>
      </c>
      <c r="DH219" s="29" t="str">
        <f t="shared" si="356"/>
        <v>0</v>
      </c>
      <c r="DI219" s="29" t="str">
        <f t="shared" si="356"/>
        <v>0</v>
      </c>
      <c r="DJ219" s="29" t="str">
        <f t="shared" si="356"/>
        <v>0</v>
      </c>
      <c r="DK219" s="29" t="str">
        <f t="shared" si="356"/>
        <v>0</v>
      </c>
      <c r="DL219" s="29" t="str">
        <f t="shared" si="356"/>
        <v>0</v>
      </c>
      <c r="DM219" s="29" t="str">
        <f t="shared" si="356"/>
        <v>0</v>
      </c>
      <c r="DN219" s="29" t="str">
        <f t="shared" si="356"/>
        <v>0</v>
      </c>
      <c r="DO219" s="29" t="str">
        <f t="shared" si="356"/>
        <v>0</v>
      </c>
      <c r="DP219" s="29" t="str">
        <f t="shared" si="356"/>
        <v>0</v>
      </c>
      <c r="DQ219" s="29" t="str">
        <f t="shared" si="356"/>
        <v>0</v>
      </c>
      <c r="DR219" s="29"/>
      <c r="DS219" s="25">
        <v>0</v>
      </c>
      <c r="EE219" s="25" t="str">
        <f t="shared" si="328"/>
        <v>0</v>
      </c>
    </row>
    <row r="220" spans="1:135">
      <c r="A220" s="48">
        <v>1003022</v>
      </c>
      <c r="B220" s="49" t="s">
        <v>321</v>
      </c>
      <c r="C220" s="25">
        <f t="shared" si="299"/>
        <v>22</v>
      </c>
      <c r="D220" s="25">
        <f t="array" ref="D220">INDEX(C$5:C$67,MATCH($B220,$B$5:$B$67,0))</f>
        <v>7700</v>
      </c>
      <c r="E220" s="25">
        <f t="array" ref="E220">INDEX(D$5:D$67,MATCH($B220,$B$5:$B$67,0))</f>
        <v>616</v>
      </c>
      <c r="F220" s="25">
        <f t="array" ref="F220">INDEX(E$5:E$67,MATCH($B220,$B$5:$B$67,0))</f>
        <v>734</v>
      </c>
      <c r="G220" s="25">
        <f t="array" ref="G220">INDEX(F$5:F$67,MATCH($B220,$B$5:$B$67,0))</f>
        <v>58.72</v>
      </c>
      <c r="H220" s="25">
        <f t="array" ref="H220">INDEX(G$5:G$66,MATCH($B220,$B$5:$B$67,0))</f>
        <v>918</v>
      </c>
      <c r="I220" s="25">
        <f t="array" ref="I220">INDEX(H$5:H$67,MATCH($B220,$B$5:$B$67,0))</f>
        <v>73.44</v>
      </c>
      <c r="J220" s="25">
        <f t="array" ref="J220">INDEX(I$5:I$67,MATCH($B220,$B$5:$B$67,0))</f>
        <v>900</v>
      </c>
      <c r="K220" s="25">
        <f t="array" ref="K220">INDEX(J$5:J$67,MATCH($B220,$B$5:$B$67,0))</f>
        <v>72</v>
      </c>
      <c r="L220" s="25">
        <f t="shared" si="309"/>
        <v>21252</v>
      </c>
      <c r="M220" s="25">
        <f t="shared" si="310"/>
        <v>2026</v>
      </c>
      <c r="N220" s="25">
        <f t="shared" si="311"/>
        <v>2534</v>
      </c>
      <c r="O220" s="25">
        <f t="shared" si="312"/>
        <v>2484</v>
      </c>
      <c r="R220" s="50">
        <f t="array" ref="R220">INDEX($B$46:$B$68,MATCH(S220,$C$46:$C$68,0))*1000+T220</f>
        <v>1006007</v>
      </c>
      <c r="S220" s="51" t="s">
        <v>328</v>
      </c>
      <c r="T220" s="29">
        <f t="shared" si="232"/>
        <v>7</v>
      </c>
      <c r="U220" s="25">
        <f t="array" ref="U220">INDEX(K$5:K$67,MATCH($S220,$B$5:$B$67,0))</f>
        <v>340.8</v>
      </c>
      <c r="V220" s="25">
        <f t="array" ref="V220">INDEX(L$5:L$67,MATCH($S220,$B$5:$B$67,0))</f>
        <v>156.67</v>
      </c>
      <c r="W220" s="25">
        <f t="array" ref="W220">INDEX(M$5:M$67,MATCH($S220,$B$5:$B$67,0))</f>
        <v>122.88</v>
      </c>
      <c r="X220" s="25">
        <f t="array" ref="X220">INDEX(N$5:N$67,MATCH($S220,$B$5:$B$67,0))</f>
        <v>83.3</v>
      </c>
      <c r="Y220" s="25">
        <f t="shared" si="313"/>
        <v>2386</v>
      </c>
      <c r="Z220" s="25">
        <f t="shared" si="314"/>
        <v>1097</v>
      </c>
      <c r="AA220" s="25">
        <f t="shared" si="315"/>
        <v>860</v>
      </c>
      <c r="AB220" s="25">
        <f t="shared" si="316"/>
        <v>583</v>
      </c>
      <c r="AF220" s="25">
        <v>142</v>
      </c>
      <c r="AG220" s="25">
        <f t="array" ref="AG220">INDEX($AE$79:$AE$116,QUOTIENT(AF220-1,8)+1)</f>
        <v>1021</v>
      </c>
      <c r="AH220" s="25">
        <f t="shared" si="345"/>
        <v>6</v>
      </c>
      <c r="AI220" s="25">
        <f t="shared" si="317"/>
        <v>10216</v>
      </c>
      <c r="AJ220" s="25" t="str">
        <f t="shared" si="318"/>
        <v>梅梅</v>
      </c>
      <c r="AK220" s="25">
        <f t="shared" si="346"/>
        <v>1</v>
      </c>
      <c r="AL220" s="25" t="str">
        <f t="array" ref="AL220">INDEX($O$5:$O$42,MATCH(AJ220,$B$5:$B$42,0))</f>
        <v>攻击百分比</v>
      </c>
      <c r="AM220" s="25" t="str">
        <f t="array" ref="AM220">INDEX($P$5:$P$42,MATCH(AJ220,$B$5:$B$42,0))</f>
        <v>普攻伤害加成</v>
      </c>
      <c r="AN220" s="25" t="str">
        <f t="array" ref="AN220">INDEX($Q$5:$Q$42,MATCH(AJ220,$B$5:$B$42,0))</f>
        <v>暴击等级</v>
      </c>
      <c r="AO220" s="25" t="str">
        <f t="array" ref="AO220">INDEX(AL220:AN220,0,AK220)</f>
        <v>攻击百分比</v>
      </c>
      <c r="AP220" s="25">
        <f t="shared" si="304"/>
        <v>0.216666666666667</v>
      </c>
      <c r="AQ220" s="25">
        <f t="shared" si="319"/>
        <v>0.216666666666667</v>
      </c>
      <c r="AR220" s="25" t="str">
        <f t="shared" ref="AR220:BZ220" si="357">IF(AR$78=$AO220,$AQ220,"0")</f>
        <v>0</v>
      </c>
      <c r="AS220" s="25" t="str">
        <f t="shared" si="357"/>
        <v>0</v>
      </c>
      <c r="AT220" s="25" t="str">
        <f t="shared" si="357"/>
        <v>0</v>
      </c>
      <c r="AU220" s="25">
        <f t="shared" si="357"/>
        <v>0.216666666666667</v>
      </c>
      <c r="AV220" s="25" t="str">
        <f t="shared" si="357"/>
        <v>0</v>
      </c>
      <c r="AW220" s="25">
        <f t="shared" si="357"/>
        <v>0.216666666666667</v>
      </c>
      <c r="AX220" s="25" t="str">
        <f t="shared" si="357"/>
        <v>0</v>
      </c>
      <c r="AY220" s="25" t="str">
        <f t="shared" si="357"/>
        <v>0</v>
      </c>
      <c r="AZ220" s="25" t="str">
        <f t="shared" si="357"/>
        <v>0</v>
      </c>
      <c r="BA220" s="25" t="str">
        <f t="shared" si="357"/>
        <v>0</v>
      </c>
      <c r="BB220" s="25" t="str">
        <f t="shared" si="357"/>
        <v>0</v>
      </c>
      <c r="BC220" s="25" t="str">
        <f t="shared" si="357"/>
        <v>0</v>
      </c>
      <c r="BD220" s="25" t="str">
        <f t="shared" si="357"/>
        <v>0</v>
      </c>
      <c r="BE220" s="25" t="str">
        <f t="shared" si="357"/>
        <v>0</v>
      </c>
      <c r="BF220" s="25" t="str">
        <f t="shared" si="357"/>
        <v>0</v>
      </c>
      <c r="BG220" s="25" t="str">
        <f t="shared" si="357"/>
        <v>0</v>
      </c>
      <c r="BH220" s="25" t="str">
        <f t="shared" si="357"/>
        <v>0</v>
      </c>
      <c r="BI220" s="25" t="str">
        <f t="shared" si="357"/>
        <v>0</v>
      </c>
      <c r="BJ220" s="25" t="str">
        <f t="shared" si="357"/>
        <v>0</v>
      </c>
      <c r="BK220" s="25" t="str">
        <f t="shared" si="357"/>
        <v>0</v>
      </c>
      <c r="BL220" s="25" t="str">
        <f t="shared" si="357"/>
        <v>0</v>
      </c>
      <c r="BM220" s="25" t="str">
        <f t="shared" si="357"/>
        <v>0</v>
      </c>
      <c r="BN220" s="25" t="str">
        <f t="shared" si="357"/>
        <v>0</v>
      </c>
      <c r="BO220" s="25" t="str">
        <f t="shared" si="357"/>
        <v>0</v>
      </c>
      <c r="BP220" s="25" t="str">
        <f t="shared" si="357"/>
        <v>0</v>
      </c>
      <c r="BQ220" s="25" t="str">
        <f t="shared" si="357"/>
        <v>0</v>
      </c>
      <c r="BR220" s="25" t="str">
        <f t="shared" si="357"/>
        <v>0</v>
      </c>
      <c r="BS220" s="25" t="str">
        <f t="shared" si="357"/>
        <v>0</v>
      </c>
      <c r="BT220" s="25" t="str">
        <f t="shared" si="357"/>
        <v>0</v>
      </c>
      <c r="BU220" s="25" t="str">
        <f t="shared" si="357"/>
        <v>0</v>
      </c>
      <c r="BV220" s="25" t="str">
        <f t="shared" si="357"/>
        <v>0</v>
      </c>
      <c r="BW220" s="25" t="str">
        <f t="shared" si="357"/>
        <v>0</v>
      </c>
      <c r="BX220" s="25" t="str">
        <f t="shared" si="357"/>
        <v>0</v>
      </c>
      <c r="BY220" s="25" t="str">
        <f t="shared" si="357"/>
        <v>0</v>
      </c>
      <c r="BZ220" s="25" t="str">
        <f t="shared" si="357"/>
        <v>0</v>
      </c>
      <c r="CC220" s="25" t="str">
        <f t="array" ref="CC220">INDEX($C$46:$C$74,MATCH(CD220,$B$46:$B$74,0))</f>
        <v>乔一</v>
      </c>
      <c r="CD220" s="1">
        <v>1026</v>
      </c>
      <c r="CE220" s="1">
        <v>1</v>
      </c>
      <c r="CF220" s="25" t="str">
        <f t="array" ref="CF220">INDEX($T$5:$T$44,MATCH(CC220,$B$5:$B$44,0))</f>
        <v>物理</v>
      </c>
      <c r="CG220" s="25">
        <f t="shared" si="342"/>
        <v>0</v>
      </c>
      <c r="CH220" s="25">
        <f t="shared" si="321"/>
        <v>1</v>
      </c>
      <c r="CI220" s="25">
        <f t="shared" si="322"/>
        <v>1</v>
      </c>
      <c r="CJ220" s="25">
        <f t="shared" si="323"/>
        <v>1</v>
      </c>
      <c r="CK220" s="25">
        <f t="shared" si="324"/>
        <v>1</v>
      </c>
      <c r="CL220" s="25">
        <v>0</v>
      </c>
      <c r="CM220" s="25">
        <f t="shared" si="343"/>
        <v>0</v>
      </c>
      <c r="CN220" s="25">
        <f t="shared" si="325"/>
        <v>0</v>
      </c>
      <c r="CO220" s="25">
        <f t="shared" si="326"/>
        <v>0</v>
      </c>
      <c r="CP220" s="29" t="str">
        <f t="shared" ref="CP220:DQ220" si="358">IF($CL220=CP$78,$CN220,"0")</f>
        <v>0</v>
      </c>
      <c r="CQ220" s="29" t="str">
        <f t="shared" si="358"/>
        <v>0</v>
      </c>
      <c r="CR220" s="29" t="str">
        <f t="shared" si="358"/>
        <v>0</v>
      </c>
      <c r="CS220" s="29" t="str">
        <f t="shared" si="358"/>
        <v>0</v>
      </c>
      <c r="CT220" s="29" t="str">
        <f t="shared" si="358"/>
        <v>0</v>
      </c>
      <c r="CU220" s="29" t="str">
        <f t="shared" si="358"/>
        <v>0</v>
      </c>
      <c r="CV220" s="29" t="str">
        <f t="shared" si="358"/>
        <v>0</v>
      </c>
      <c r="CW220" s="29" t="str">
        <f t="shared" si="358"/>
        <v>0</v>
      </c>
      <c r="CX220" s="29" t="str">
        <f t="shared" si="358"/>
        <v>0</v>
      </c>
      <c r="CY220" s="29" t="str">
        <f t="shared" si="358"/>
        <v>0</v>
      </c>
      <c r="CZ220" s="29" t="str">
        <f t="shared" si="358"/>
        <v>0</v>
      </c>
      <c r="DA220" s="29" t="str">
        <f t="shared" si="358"/>
        <v>0</v>
      </c>
      <c r="DB220" s="29" t="str">
        <f t="shared" si="358"/>
        <v>0</v>
      </c>
      <c r="DC220" s="29" t="str">
        <f t="shared" si="358"/>
        <v>0</v>
      </c>
      <c r="DD220" s="29" t="str">
        <f t="shared" si="358"/>
        <v>0</v>
      </c>
      <c r="DE220" s="29" t="str">
        <f t="shared" si="358"/>
        <v>0</v>
      </c>
      <c r="DF220" s="29" t="str">
        <f t="shared" si="358"/>
        <v>0</v>
      </c>
      <c r="DG220" s="29" t="str">
        <f t="shared" si="358"/>
        <v>0</v>
      </c>
      <c r="DH220" s="29" t="str">
        <f t="shared" si="358"/>
        <v>0</v>
      </c>
      <c r="DI220" s="29" t="str">
        <f t="shared" si="358"/>
        <v>0</v>
      </c>
      <c r="DJ220" s="29" t="str">
        <f t="shared" si="358"/>
        <v>0</v>
      </c>
      <c r="DK220" s="29" t="str">
        <f t="shared" si="358"/>
        <v>0</v>
      </c>
      <c r="DL220" s="29" t="str">
        <f t="shared" si="358"/>
        <v>0</v>
      </c>
      <c r="DM220" s="29" t="str">
        <f t="shared" si="358"/>
        <v>0</v>
      </c>
      <c r="DN220" s="29" t="str">
        <f t="shared" si="358"/>
        <v>0</v>
      </c>
      <c r="DO220" s="29" t="str">
        <f t="shared" si="358"/>
        <v>0</v>
      </c>
      <c r="DP220" s="29" t="str">
        <f t="shared" si="358"/>
        <v>0</v>
      </c>
      <c r="DQ220" s="29" t="str">
        <f t="shared" si="358"/>
        <v>0</v>
      </c>
      <c r="DR220" s="29"/>
      <c r="DS220" s="25">
        <v>0</v>
      </c>
      <c r="EE220" s="25" t="str">
        <f t="shared" si="328"/>
        <v>0</v>
      </c>
    </row>
    <row r="221" spans="1:135">
      <c r="A221" s="48">
        <v>1003023</v>
      </c>
      <c r="B221" s="49" t="s">
        <v>321</v>
      </c>
      <c r="C221" s="25">
        <f t="shared" si="299"/>
        <v>23</v>
      </c>
      <c r="D221" s="25">
        <f t="array" ref="D221">INDEX(C$5:C$67,MATCH($B221,$B$5:$B$67,0))</f>
        <v>7700</v>
      </c>
      <c r="E221" s="25">
        <f t="array" ref="E221">INDEX(D$5:D$67,MATCH($B221,$B$5:$B$67,0))</f>
        <v>616</v>
      </c>
      <c r="F221" s="25">
        <f t="array" ref="F221">INDEX(E$5:E$67,MATCH($B221,$B$5:$B$67,0))</f>
        <v>734</v>
      </c>
      <c r="G221" s="25">
        <f t="array" ref="G221">INDEX(F$5:F$67,MATCH($B221,$B$5:$B$67,0))</f>
        <v>58.72</v>
      </c>
      <c r="H221" s="25">
        <f t="array" ref="H221">INDEX(G$5:G$66,MATCH($B221,$B$5:$B$67,0))</f>
        <v>918</v>
      </c>
      <c r="I221" s="25">
        <f t="array" ref="I221">INDEX(H$5:H$67,MATCH($B221,$B$5:$B$67,0))</f>
        <v>73.44</v>
      </c>
      <c r="J221" s="25">
        <f t="array" ref="J221">INDEX(I$5:I$67,MATCH($B221,$B$5:$B$67,0))</f>
        <v>900</v>
      </c>
      <c r="K221" s="25">
        <f t="array" ref="K221">INDEX(J$5:J$67,MATCH($B221,$B$5:$B$67,0))</f>
        <v>72</v>
      </c>
      <c r="L221" s="25">
        <f t="shared" si="309"/>
        <v>21868</v>
      </c>
      <c r="M221" s="25">
        <f t="shared" si="310"/>
        <v>2085</v>
      </c>
      <c r="N221" s="25">
        <f t="shared" si="311"/>
        <v>2607</v>
      </c>
      <c r="O221" s="25">
        <f t="shared" si="312"/>
        <v>2556</v>
      </c>
      <c r="R221" s="50">
        <f t="array" ref="R221">INDEX($B$46:$B$68,MATCH(S221,$C$46:$C$68,0))*1000+T221</f>
        <v>1006008</v>
      </c>
      <c r="S221" s="51" t="s">
        <v>328</v>
      </c>
      <c r="T221" s="29">
        <f t="shared" si="232"/>
        <v>8</v>
      </c>
      <c r="U221" s="25">
        <f t="array" ref="U221">INDEX(K$5:K$67,MATCH($S221,$B$5:$B$67,0))</f>
        <v>340.8</v>
      </c>
      <c r="V221" s="25">
        <f t="array" ref="V221">INDEX(L$5:L$67,MATCH($S221,$B$5:$B$67,0))</f>
        <v>156.67</v>
      </c>
      <c r="W221" s="25">
        <f t="array" ref="W221">INDEX(M$5:M$67,MATCH($S221,$B$5:$B$67,0))</f>
        <v>122.88</v>
      </c>
      <c r="X221" s="25">
        <f t="array" ref="X221">INDEX(N$5:N$67,MATCH($S221,$B$5:$B$67,0))</f>
        <v>83.3</v>
      </c>
      <c r="Y221" s="25">
        <f t="shared" si="313"/>
        <v>2726</v>
      </c>
      <c r="Z221" s="25">
        <f t="shared" si="314"/>
        <v>1253</v>
      </c>
      <c r="AA221" s="25">
        <f t="shared" si="315"/>
        <v>983</v>
      </c>
      <c r="AB221" s="25">
        <f t="shared" si="316"/>
        <v>666</v>
      </c>
      <c r="AF221" s="25">
        <v>143</v>
      </c>
      <c r="AG221" s="25">
        <f t="array" ref="AG221">INDEX($AE$79:$AE$116,QUOTIENT(AF221-1,8)+1)</f>
        <v>1021</v>
      </c>
      <c r="AH221" s="25">
        <f t="shared" si="345"/>
        <v>7</v>
      </c>
      <c r="AI221" s="25">
        <f t="shared" si="317"/>
        <v>10217</v>
      </c>
      <c r="AJ221" s="25" t="str">
        <f t="shared" si="318"/>
        <v>梅梅</v>
      </c>
      <c r="AK221" s="25">
        <f t="shared" si="346"/>
        <v>2</v>
      </c>
      <c r="AL221" s="25" t="str">
        <f t="array" ref="AL221">INDEX($O$5:$O$42,MATCH(AJ221,$B$5:$B$42,0))</f>
        <v>攻击百分比</v>
      </c>
      <c r="AM221" s="25" t="str">
        <f t="array" ref="AM221">INDEX($P$5:$P$42,MATCH(AJ221,$B$5:$B$42,0))</f>
        <v>普攻伤害加成</v>
      </c>
      <c r="AN221" s="25" t="str">
        <f t="array" ref="AN221">INDEX($Q$5:$Q$42,MATCH(AJ221,$B$5:$B$42,0))</f>
        <v>暴击等级</v>
      </c>
      <c r="AO221" s="25" t="str">
        <f t="array" ref="AO221">INDEX(AL221:AN221,0,AK221)</f>
        <v>普攻伤害加成</v>
      </c>
      <c r="AP221" s="25">
        <f t="shared" si="304"/>
        <v>0.15</v>
      </c>
      <c r="AQ221" s="25">
        <f t="shared" si="319"/>
        <v>0.135</v>
      </c>
      <c r="AR221" s="25" t="str">
        <f t="shared" ref="AR221:BZ221" si="359">IF(AR$78=$AO221,$AQ221,"0")</f>
        <v>0</v>
      </c>
      <c r="AS221" s="25" t="str">
        <f t="shared" si="359"/>
        <v>0</v>
      </c>
      <c r="AT221" s="25" t="str">
        <f t="shared" si="359"/>
        <v>0</v>
      </c>
      <c r="AU221" s="25" t="str">
        <f t="shared" si="359"/>
        <v>0</v>
      </c>
      <c r="AV221" s="25" t="str">
        <f t="shared" si="359"/>
        <v>0</v>
      </c>
      <c r="AW221" s="25" t="str">
        <f t="shared" si="359"/>
        <v>0</v>
      </c>
      <c r="AX221" s="25" t="str">
        <f t="shared" si="359"/>
        <v>0</v>
      </c>
      <c r="AY221" s="25" t="str">
        <f t="shared" si="359"/>
        <v>0</v>
      </c>
      <c r="AZ221" s="25" t="str">
        <f t="shared" si="359"/>
        <v>0</v>
      </c>
      <c r="BA221" s="25" t="str">
        <f t="shared" si="359"/>
        <v>0</v>
      </c>
      <c r="BB221" s="25" t="str">
        <f t="shared" si="359"/>
        <v>0</v>
      </c>
      <c r="BC221" s="25" t="str">
        <f t="shared" si="359"/>
        <v>0</v>
      </c>
      <c r="BD221" s="25" t="str">
        <f t="shared" si="359"/>
        <v>0</v>
      </c>
      <c r="BE221" s="25" t="str">
        <f t="shared" si="359"/>
        <v>0</v>
      </c>
      <c r="BF221" s="25" t="str">
        <f t="shared" si="359"/>
        <v>0</v>
      </c>
      <c r="BG221" s="25" t="str">
        <f t="shared" si="359"/>
        <v>0</v>
      </c>
      <c r="BH221" s="25" t="str">
        <f t="shared" si="359"/>
        <v>0</v>
      </c>
      <c r="BI221" s="25" t="str">
        <f t="shared" si="359"/>
        <v>0</v>
      </c>
      <c r="BJ221" s="25" t="str">
        <f t="shared" si="359"/>
        <v>0</v>
      </c>
      <c r="BK221" s="25" t="str">
        <f t="shared" si="359"/>
        <v>0</v>
      </c>
      <c r="BL221" s="25" t="str">
        <f t="shared" si="359"/>
        <v>0</v>
      </c>
      <c r="BM221" s="25">
        <f t="shared" si="359"/>
        <v>0.135</v>
      </c>
      <c r="BN221" s="25" t="str">
        <f t="shared" si="359"/>
        <v>0</v>
      </c>
      <c r="BO221" s="25" t="str">
        <f t="shared" si="359"/>
        <v>0</v>
      </c>
      <c r="BP221" s="25" t="str">
        <f t="shared" si="359"/>
        <v>0</v>
      </c>
      <c r="BQ221" s="25" t="str">
        <f t="shared" si="359"/>
        <v>0</v>
      </c>
      <c r="BR221" s="25" t="str">
        <f t="shared" si="359"/>
        <v>0</v>
      </c>
      <c r="BS221" s="25" t="str">
        <f t="shared" si="359"/>
        <v>0</v>
      </c>
      <c r="BT221" s="25" t="str">
        <f t="shared" si="359"/>
        <v>0</v>
      </c>
      <c r="BU221" s="25" t="str">
        <f t="shared" si="359"/>
        <v>0</v>
      </c>
      <c r="BV221" s="25" t="str">
        <f t="shared" si="359"/>
        <v>0</v>
      </c>
      <c r="BW221" s="25" t="str">
        <f t="shared" si="359"/>
        <v>0</v>
      </c>
      <c r="BX221" s="25" t="str">
        <f t="shared" si="359"/>
        <v>0</v>
      </c>
      <c r="BY221" s="25" t="str">
        <f t="shared" si="359"/>
        <v>0</v>
      </c>
      <c r="BZ221" s="25" t="str">
        <f t="shared" si="359"/>
        <v>0</v>
      </c>
      <c r="CC221" s="25" t="str">
        <f t="array" ref="CC221">INDEX($C$46:$C$74,MATCH(CD221,$B$46:$B$74,0))</f>
        <v>乔一</v>
      </c>
      <c r="CD221" s="1">
        <v>1026</v>
      </c>
      <c r="CE221" s="1">
        <v>2</v>
      </c>
      <c r="CF221" s="25" t="str">
        <f t="array" ref="CF221">INDEX($T$5:$T$44,MATCH(CC221,$B$5:$B$44,0))</f>
        <v>物理</v>
      </c>
      <c r="CG221" s="25">
        <f t="shared" si="342"/>
        <v>0</v>
      </c>
      <c r="CH221" s="25">
        <f t="shared" si="321"/>
        <v>1</v>
      </c>
      <c r="CI221" s="25">
        <f t="shared" si="322"/>
        <v>1</v>
      </c>
      <c r="CJ221" s="25">
        <f t="shared" si="323"/>
        <v>1</v>
      </c>
      <c r="CK221" s="25">
        <f t="shared" si="324"/>
        <v>1</v>
      </c>
      <c r="CL221" s="25">
        <v>0</v>
      </c>
      <c r="CM221" s="25">
        <f t="shared" si="343"/>
        <v>0</v>
      </c>
      <c r="CN221" s="25">
        <f t="shared" si="325"/>
        <v>0</v>
      </c>
      <c r="CO221" s="25">
        <f t="shared" si="326"/>
        <v>0</v>
      </c>
      <c r="CP221" s="29" t="str">
        <f t="shared" ref="CP221:DQ221" si="360">IF($CL221=CP$78,$CN221,"0")</f>
        <v>0</v>
      </c>
      <c r="CQ221" s="29" t="str">
        <f t="shared" si="360"/>
        <v>0</v>
      </c>
      <c r="CR221" s="29" t="str">
        <f t="shared" si="360"/>
        <v>0</v>
      </c>
      <c r="CS221" s="29" t="str">
        <f t="shared" si="360"/>
        <v>0</v>
      </c>
      <c r="CT221" s="29" t="str">
        <f t="shared" si="360"/>
        <v>0</v>
      </c>
      <c r="CU221" s="29" t="str">
        <f t="shared" si="360"/>
        <v>0</v>
      </c>
      <c r="CV221" s="29" t="str">
        <f t="shared" si="360"/>
        <v>0</v>
      </c>
      <c r="CW221" s="29" t="str">
        <f t="shared" si="360"/>
        <v>0</v>
      </c>
      <c r="CX221" s="29" t="str">
        <f t="shared" si="360"/>
        <v>0</v>
      </c>
      <c r="CY221" s="29" t="str">
        <f t="shared" si="360"/>
        <v>0</v>
      </c>
      <c r="CZ221" s="29" t="str">
        <f t="shared" si="360"/>
        <v>0</v>
      </c>
      <c r="DA221" s="29" t="str">
        <f t="shared" si="360"/>
        <v>0</v>
      </c>
      <c r="DB221" s="29" t="str">
        <f t="shared" si="360"/>
        <v>0</v>
      </c>
      <c r="DC221" s="29" t="str">
        <f t="shared" si="360"/>
        <v>0</v>
      </c>
      <c r="DD221" s="29" t="str">
        <f t="shared" si="360"/>
        <v>0</v>
      </c>
      <c r="DE221" s="29" t="str">
        <f t="shared" si="360"/>
        <v>0</v>
      </c>
      <c r="DF221" s="29" t="str">
        <f t="shared" si="360"/>
        <v>0</v>
      </c>
      <c r="DG221" s="29" t="str">
        <f t="shared" si="360"/>
        <v>0</v>
      </c>
      <c r="DH221" s="29" t="str">
        <f t="shared" si="360"/>
        <v>0</v>
      </c>
      <c r="DI221" s="29" t="str">
        <f t="shared" si="360"/>
        <v>0</v>
      </c>
      <c r="DJ221" s="29" t="str">
        <f t="shared" si="360"/>
        <v>0</v>
      </c>
      <c r="DK221" s="29" t="str">
        <f t="shared" si="360"/>
        <v>0</v>
      </c>
      <c r="DL221" s="29" t="str">
        <f t="shared" si="360"/>
        <v>0</v>
      </c>
      <c r="DM221" s="29" t="str">
        <f t="shared" si="360"/>
        <v>0</v>
      </c>
      <c r="DN221" s="29" t="str">
        <f t="shared" si="360"/>
        <v>0</v>
      </c>
      <c r="DO221" s="29" t="str">
        <f t="shared" si="360"/>
        <v>0</v>
      </c>
      <c r="DP221" s="29" t="str">
        <f t="shared" si="360"/>
        <v>0</v>
      </c>
      <c r="DQ221" s="29" t="str">
        <f t="shared" si="360"/>
        <v>0</v>
      </c>
      <c r="DR221" s="29"/>
      <c r="DS221" s="25">
        <v>0</v>
      </c>
      <c r="EE221" s="25" t="str">
        <f t="shared" si="328"/>
        <v>0</v>
      </c>
    </row>
    <row r="222" spans="1:135">
      <c r="A222" s="48">
        <v>1003024</v>
      </c>
      <c r="B222" s="49" t="s">
        <v>321</v>
      </c>
      <c r="C222" s="25">
        <f t="shared" si="299"/>
        <v>24</v>
      </c>
      <c r="D222" s="25">
        <f t="array" ref="D222">INDEX(C$5:C$67,MATCH($B222,$B$5:$B$67,0))</f>
        <v>7700</v>
      </c>
      <c r="E222" s="25">
        <f t="array" ref="E222">INDEX(D$5:D$67,MATCH($B222,$B$5:$B$67,0))</f>
        <v>616</v>
      </c>
      <c r="F222" s="25">
        <f t="array" ref="F222">INDEX(E$5:E$67,MATCH($B222,$B$5:$B$67,0))</f>
        <v>734</v>
      </c>
      <c r="G222" s="25">
        <f t="array" ref="G222">INDEX(F$5:F$67,MATCH($B222,$B$5:$B$67,0))</f>
        <v>58.72</v>
      </c>
      <c r="H222" s="25">
        <f t="array" ref="H222">INDEX(G$5:G$66,MATCH($B222,$B$5:$B$67,0))</f>
        <v>918</v>
      </c>
      <c r="I222" s="25">
        <f t="array" ref="I222">INDEX(H$5:H$67,MATCH($B222,$B$5:$B$67,0))</f>
        <v>73.44</v>
      </c>
      <c r="J222" s="25">
        <f t="array" ref="J222">INDEX(I$5:I$67,MATCH($B222,$B$5:$B$67,0))</f>
        <v>900</v>
      </c>
      <c r="K222" s="25">
        <f t="array" ref="K222">INDEX(J$5:J$67,MATCH($B222,$B$5:$B$67,0))</f>
        <v>72</v>
      </c>
      <c r="L222" s="25">
        <f t="shared" si="309"/>
        <v>22484</v>
      </c>
      <c r="M222" s="25">
        <f t="shared" si="310"/>
        <v>2143</v>
      </c>
      <c r="N222" s="25">
        <f t="shared" si="311"/>
        <v>2681</v>
      </c>
      <c r="O222" s="25">
        <f t="shared" si="312"/>
        <v>2628</v>
      </c>
      <c r="R222" s="50">
        <f t="array" ref="R222">INDEX($B$46:$B$68,MATCH(S222,$C$46:$C$68,0))*1000+T222</f>
        <v>1006009</v>
      </c>
      <c r="S222" s="51" t="s">
        <v>328</v>
      </c>
      <c r="T222" s="29">
        <f t="shared" si="232"/>
        <v>9</v>
      </c>
      <c r="U222" s="25">
        <f t="array" ref="U222">INDEX(K$5:K$67,MATCH($S222,$B$5:$B$67,0))</f>
        <v>340.8</v>
      </c>
      <c r="V222" s="25">
        <f t="array" ref="V222">INDEX(L$5:L$67,MATCH($S222,$B$5:$B$67,0))</f>
        <v>156.67</v>
      </c>
      <c r="W222" s="25">
        <f t="array" ref="W222">INDEX(M$5:M$67,MATCH($S222,$B$5:$B$67,0))</f>
        <v>122.88</v>
      </c>
      <c r="X222" s="25">
        <f t="array" ref="X222">INDEX(N$5:N$67,MATCH($S222,$B$5:$B$67,0))</f>
        <v>83.3</v>
      </c>
      <c r="Y222" s="25">
        <f t="shared" si="313"/>
        <v>3067</v>
      </c>
      <c r="Z222" s="25">
        <f t="shared" si="314"/>
        <v>1410</v>
      </c>
      <c r="AA222" s="25">
        <f t="shared" si="315"/>
        <v>1106</v>
      </c>
      <c r="AB222" s="25">
        <f t="shared" si="316"/>
        <v>750</v>
      </c>
      <c r="AF222" s="25">
        <v>144</v>
      </c>
      <c r="AG222" s="25">
        <f t="array" ref="AG222">INDEX($AE$79:$AE$116,QUOTIENT(AF222-1,8)+1)</f>
        <v>1021</v>
      </c>
      <c r="AH222" s="25">
        <f t="shared" si="345"/>
        <v>8</v>
      </c>
      <c r="AI222" s="25">
        <f t="shared" si="317"/>
        <v>10218</v>
      </c>
      <c r="AJ222" s="25" t="str">
        <f t="shared" si="318"/>
        <v>梅梅</v>
      </c>
      <c r="AK222" s="25">
        <f t="shared" si="346"/>
        <v>3</v>
      </c>
      <c r="AL222" s="25" t="str">
        <f t="array" ref="AL222">INDEX($O$5:$O$42,MATCH(AJ222,$B$5:$B$42,0))</f>
        <v>攻击百分比</v>
      </c>
      <c r="AM222" s="25" t="str">
        <f t="array" ref="AM222">INDEX($P$5:$P$42,MATCH(AJ222,$B$5:$B$42,0))</f>
        <v>普攻伤害加成</v>
      </c>
      <c r="AN222" s="25" t="str">
        <f t="array" ref="AN222">INDEX($Q$5:$Q$42,MATCH(AJ222,$B$5:$B$42,0))</f>
        <v>暴击等级</v>
      </c>
      <c r="AO222" s="25" t="str">
        <f t="array" ref="AO222">INDEX(AL222:AN222,0,AK222)</f>
        <v>暴击等级</v>
      </c>
      <c r="AP222" s="25">
        <f t="shared" si="304"/>
        <v>0.216666666666667</v>
      </c>
      <c r="AQ222" s="25">
        <f t="shared" si="319"/>
        <v>1950</v>
      </c>
      <c r="AR222" s="25" t="str">
        <f t="shared" ref="AR222:BZ222" si="361">IF(AR$78=$AO222,$AQ222,"0")</f>
        <v>0</v>
      </c>
      <c r="AS222" s="25" t="str">
        <f t="shared" si="361"/>
        <v>0</v>
      </c>
      <c r="AT222" s="25" t="str">
        <f t="shared" si="361"/>
        <v>0</v>
      </c>
      <c r="AU222" s="25" t="str">
        <f t="shared" si="361"/>
        <v>0</v>
      </c>
      <c r="AV222" s="25" t="str">
        <f t="shared" si="361"/>
        <v>0</v>
      </c>
      <c r="AW222" s="25" t="str">
        <f t="shared" si="361"/>
        <v>0</v>
      </c>
      <c r="AX222" s="25" t="str">
        <f t="shared" si="361"/>
        <v>0</v>
      </c>
      <c r="AY222" s="25" t="str">
        <f t="shared" si="361"/>
        <v>0</v>
      </c>
      <c r="AZ222" s="25" t="str">
        <f t="shared" si="361"/>
        <v>0</v>
      </c>
      <c r="BA222" s="25" t="str">
        <f t="shared" si="361"/>
        <v>0</v>
      </c>
      <c r="BB222" s="25" t="str">
        <f t="shared" si="361"/>
        <v>0</v>
      </c>
      <c r="BC222" s="25" t="str">
        <f t="shared" si="361"/>
        <v>0</v>
      </c>
      <c r="BD222" s="25" t="str">
        <f t="shared" si="361"/>
        <v>0</v>
      </c>
      <c r="BE222" s="25" t="str">
        <f t="shared" si="361"/>
        <v>0</v>
      </c>
      <c r="BF222" s="25" t="str">
        <f t="shared" si="361"/>
        <v>0</v>
      </c>
      <c r="BG222" s="25" t="str">
        <f t="shared" si="361"/>
        <v>0</v>
      </c>
      <c r="BH222" s="25" t="str">
        <f t="shared" si="361"/>
        <v>0</v>
      </c>
      <c r="BI222" s="25" t="str">
        <f t="shared" si="361"/>
        <v>0</v>
      </c>
      <c r="BJ222" s="25" t="str">
        <f t="shared" si="361"/>
        <v>0</v>
      </c>
      <c r="BK222" s="25" t="str">
        <f t="shared" si="361"/>
        <v>0</v>
      </c>
      <c r="BL222" s="25" t="str">
        <f t="shared" si="361"/>
        <v>0</v>
      </c>
      <c r="BM222" s="25" t="str">
        <f t="shared" si="361"/>
        <v>0</v>
      </c>
      <c r="BN222" s="25" t="str">
        <f t="shared" si="361"/>
        <v>0</v>
      </c>
      <c r="BO222" s="25" t="str">
        <f t="shared" si="361"/>
        <v>0</v>
      </c>
      <c r="BP222" s="25" t="str">
        <f t="shared" si="361"/>
        <v>0</v>
      </c>
      <c r="BQ222" s="25" t="str">
        <f t="shared" si="361"/>
        <v>0</v>
      </c>
      <c r="BR222" s="25" t="str">
        <f t="shared" si="361"/>
        <v>0</v>
      </c>
      <c r="BS222" s="25" t="str">
        <f t="shared" si="361"/>
        <v>0</v>
      </c>
      <c r="BT222" s="25" t="str">
        <f t="shared" si="361"/>
        <v>0</v>
      </c>
      <c r="BU222" s="25" t="str">
        <f t="shared" si="361"/>
        <v>0</v>
      </c>
      <c r="BV222" s="25" t="str">
        <f t="shared" si="361"/>
        <v>0</v>
      </c>
      <c r="BW222" s="25">
        <f t="shared" si="361"/>
        <v>1950</v>
      </c>
      <c r="BX222" s="25" t="str">
        <f t="shared" si="361"/>
        <v>0</v>
      </c>
      <c r="BY222" s="25" t="str">
        <f t="shared" si="361"/>
        <v>0</v>
      </c>
      <c r="BZ222" s="25" t="str">
        <f t="shared" si="361"/>
        <v>0</v>
      </c>
      <c r="CC222" s="25" t="str">
        <f t="array" ref="CC222">INDEX($C$46:$C$74,MATCH(CD222,$B$46:$B$74,0))</f>
        <v>乔一</v>
      </c>
      <c r="CD222" s="1">
        <v>1026</v>
      </c>
      <c r="CE222" s="1">
        <v>3</v>
      </c>
      <c r="CF222" s="25" t="str">
        <f t="array" ref="CF222">INDEX($T$5:$T$44,MATCH(CC222,$B$5:$B$44,0))</f>
        <v>物理</v>
      </c>
      <c r="CG222" s="25">
        <f t="shared" si="342"/>
        <v>0.15</v>
      </c>
      <c r="CH222" s="25">
        <f t="shared" si="321"/>
        <v>1.15</v>
      </c>
      <c r="CI222" s="25">
        <f t="shared" si="322"/>
        <v>1.15</v>
      </c>
      <c r="CJ222" s="25">
        <f t="shared" si="323"/>
        <v>1</v>
      </c>
      <c r="CK222" s="25">
        <f t="shared" si="324"/>
        <v>1.15</v>
      </c>
      <c r="CL222" s="25" t="str">
        <f t="array" ref="CL222">INDEX($R$5:$R$43,MATCH(CC222,$B$5:$B$43,0))</f>
        <v>物理伤害加成</v>
      </c>
      <c r="CM222" s="25">
        <f t="shared" si="343"/>
        <v>0.3</v>
      </c>
      <c r="CN222" s="25">
        <f t="shared" si="325"/>
        <v>0.12</v>
      </c>
      <c r="CO222" s="25">
        <f t="shared" si="326"/>
        <v>1</v>
      </c>
      <c r="CP222" s="29" t="str">
        <f t="shared" ref="CP222:DQ222" si="362">IF($CL222=CP$78,$CN222,"0")</f>
        <v>0</v>
      </c>
      <c r="CQ222" s="29" t="str">
        <f t="shared" si="362"/>
        <v>0</v>
      </c>
      <c r="CR222" s="29" t="str">
        <f t="shared" si="362"/>
        <v>0</v>
      </c>
      <c r="CS222" s="29" t="str">
        <f t="shared" si="362"/>
        <v>0</v>
      </c>
      <c r="CT222" s="29" t="str">
        <f t="shared" si="362"/>
        <v>0</v>
      </c>
      <c r="CU222" s="29" t="str">
        <f t="shared" si="362"/>
        <v>0</v>
      </c>
      <c r="CV222" s="29" t="str">
        <f t="shared" si="362"/>
        <v>0</v>
      </c>
      <c r="CW222" s="29" t="str">
        <f t="shared" si="362"/>
        <v>0</v>
      </c>
      <c r="CX222" s="29" t="str">
        <f t="shared" si="362"/>
        <v>0</v>
      </c>
      <c r="CY222" s="29" t="str">
        <f t="shared" si="362"/>
        <v>0</v>
      </c>
      <c r="CZ222" s="29" t="str">
        <f t="shared" si="362"/>
        <v>0</v>
      </c>
      <c r="DA222" s="29" t="str">
        <f t="shared" si="362"/>
        <v>0</v>
      </c>
      <c r="DB222" s="29">
        <f t="shared" si="362"/>
        <v>0.12</v>
      </c>
      <c r="DC222" s="29" t="str">
        <f t="shared" si="362"/>
        <v>0</v>
      </c>
      <c r="DD222" s="29" t="str">
        <f t="shared" si="362"/>
        <v>0</v>
      </c>
      <c r="DE222" s="29" t="str">
        <f t="shared" si="362"/>
        <v>0</v>
      </c>
      <c r="DF222" s="29" t="str">
        <f t="shared" si="362"/>
        <v>0</v>
      </c>
      <c r="DG222" s="29" t="str">
        <f t="shared" si="362"/>
        <v>0</v>
      </c>
      <c r="DH222" s="29" t="str">
        <f t="shared" si="362"/>
        <v>0</v>
      </c>
      <c r="DI222" s="29" t="str">
        <f t="shared" si="362"/>
        <v>0</v>
      </c>
      <c r="DJ222" s="29" t="str">
        <f t="shared" si="362"/>
        <v>0</v>
      </c>
      <c r="DK222" s="29" t="str">
        <f t="shared" si="362"/>
        <v>0</v>
      </c>
      <c r="DL222" s="29" t="str">
        <f t="shared" si="362"/>
        <v>0</v>
      </c>
      <c r="DM222" s="29" t="str">
        <f t="shared" si="362"/>
        <v>0</v>
      </c>
      <c r="DN222" s="29" t="str">
        <f t="shared" si="362"/>
        <v>0</v>
      </c>
      <c r="DO222" s="29" t="str">
        <f t="shared" si="362"/>
        <v>0</v>
      </c>
      <c r="DP222" s="29" t="str">
        <f t="shared" si="362"/>
        <v>0</v>
      </c>
      <c r="DQ222" s="29" t="str">
        <f t="shared" si="362"/>
        <v>0</v>
      </c>
      <c r="DR222" s="29"/>
      <c r="DS222" s="25" t="s">
        <v>1011</v>
      </c>
      <c r="DT222" s="25" t="str">
        <f>TEXT(角色升星!$F$18,"0%")</f>
        <v>15%</v>
      </c>
      <c r="DU222" s="25" t="s">
        <v>779</v>
      </c>
      <c r="DV222" s="25" t="str">
        <f>IF(CF222="物理","PhysicsAttack,+","MagicAttack,+")</f>
        <v>PhysicsAttack,+</v>
      </c>
      <c r="DW222" s="25" t="str">
        <f>TEXT(角色升星!$F$18,"0%")</f>
        <v>15%</v>
      </c>
      <c r="DX222" s="25" t="s">
        <v>779</v>
      </c>
      <c r="DY222" s="25" t="s">
        <v>1012</v>
      </c>
      <c r="DZ222" s="25" t="str">
        <f>TEXT(角色升星!$F$18,"0%")</f>
        <v>15%</v>
      </c>
      <c r="EA222" s="25" t="s">
        <v>779</v>
      </c>
      <c r="EB222" s="25" t="str">
        <f>VLOOKUP(CL222,$O$46:$P$73,2,0)</f>
        <v>PhysicsDmgBonus</v>
      </c>
      <c r="EC222" s="25" t="s">
        <v>1013</v>
      </c>
      <c r="ED222" s="25" t="str">
        <f>IF(CN222&gt;1,CN222,TEXT(CN222,"0%"))</f>
        <v>12%</v>
      </c>
      <c r="EE222" s="25" t="str">
        <f t="shared" si="328"/>
        <v>Hp,+15%;PhysicsAttack,+15%;Armor,+15%;PhysicsDmgBonus,+12%</v>
      </c>
    </row>
    <row r="223" spans="1:135">
      <c r="A223" s="48">
        <v>1003025</v>
      </c>
      <c r="B223" s="49" t="s">
        <v>321</v>
      </c>
      <c r="C223" s="25">
        <f t="shared" si="299"/>
        <v>25</v>
      </c>
      <c r="D223" s="25">
        <f t="array" ref="D223">INDEX(C$5:C$67,MATCH($B223,$B$5:$B$67,0))</f>
        <v>7700</v>
      </c>
      <c r="E223" s="25">
        <f t="array" ref="E223">INDEX(D$5:D$67,MATCH($B223,$B$5:$B$67,0))</f>
        <v>616</v>
      </c>
      <c r="F223" s="25">
        <f t="array" ref="F223">INDEX(E$5:E$67,MATCH($B223,$B$5:$B$67,0))</f>
        <v>734</v>
      </c>
      <c r="G223" s="25">
        <f t="array" ref="G223">INDEX(F$5:F$67,MATCH($B223,$B$5:$B$67,0))</f>
        <v>58.72</v>
      </c>
      <c r="H223" s="25">
        <f t="array" ref="H223">INDEX(G$5:G$66,MATCH($B223,$B$5:$B$67,0))</f>
        <v>918</v>
      </c>
      <c r="I223" s="25">
        <f t="array" ref="I223">INDEX(H$5:H$67,MATCH($B223,$B$5:$B$67,0))</f>
        <v>73.44</v>
      </c>
      <c r="J223" s="25">
        <f t="array" ref="J223">INDEX(I$5:I$67,MATCH($B223,$B$5:$B$67,0))</f>
        <v>900</v>
      </c>
      <c r="K223" s="25">
        <f t="array" ref="K223">INDEX(J$5:J$67,MATCH($B223,$B$5:$B$67,0))</f>
        <v>72</v>
      </c>
      <c r="L223" s="25">
        <f t="shared" si="309"/>
        <v>23100</v>
      </c>
      <c r="M223" s="25">
        <f t="shared" si="310"/>
        <v>2202</v>
      </c>
      <c r="N223" s="25">
        <f t="shared" si="311"/>
        <v>2754</v>
      </c>
      <c r="O223" s="25">
        <f t="shared" si="312"/>
        <v>2700</v>
      </c>
      <c r="R223" s="50">
        <f t="array" ref="R223">INDEX($B$46:$B$68,MATCH(S223,$C$46:$C$68,0))*1000+T223</f>
        <v>1006010</v>
      </c>
      <c r="S223" s="51" t="s">
        <v>328</v>
      </c>
      <c r="T223" s="29">
        <f t="shared" si="232"/>
        <v>10</v>
      </c>
      <c r="U223" s="25">
        <f t="array" ref="U223">INDEX(K$5:K$67,MATCH($S223,$B$5:$B$67,0))</f>
        <v>340.8</v>
      </c>
      <c r="V223" s="25">
        <f t="array" ref="V223">INDEX(L$5:L$67,MATCH($S223,$B$5:$B$67,0))</f>
        <v>156.67</v>
      </c>
      <c r="W223" s="25">
        <f t="array" ref="W223">INDEX(M$5:M$67,MATCH($S223,$B$5:$B$67,0))</f>
        <v>122.88</v>
      </c>
      <c r="X223" s="25">
        <f t="array" ref="X223">INDEX(N$5:N$67,MATCH($S223,$B$5:$B$67,0))</f>
        <v>83.3</v>
      </c>
      <c r="Y223" s="25">
        <f t="shared" si="313"/>
        <v>3408</v>
      </c>
      <c r="Z223" s="25">
        <f t="shared" si="314"/>
        <v>1567</v>
      </c>
      <c r="AA223" s="25">
        <f t="shared" si="315"/>
        <v>1229</v>
      </c>
      <c r="AB223" s="25">
        <f t="shared" si="316"/>
        <v>833</v>
      </c>
      <c r="AF223" s="25">
        <v>145</v>
      </c>
      <c r="AG223" s="25">
        <f t="array" ref="AG223">INDEX($AE$79:$AE$116,QUOTIENT(AF223-1,8)+1)</f>
        <v>1023</v>
      </c>
      <c r="AH223" s="25">
        <f t="shared" si="345"/>
        <v>1</v>
      </c>
      <c r="AI223" s="25">
        <f t="shared" si="317"/>
        <v>10231</v>
      </c>
      <c r="AJ223" s="25" t="str">
        <f t="shared" si="318"/>
        <v>马克</v>
      </c>
      <c r="AK223" s="25">
        <f t="shared" si="346"/>
        <v>1</v>
      </c>
      <c r="AL223" s="25" t="str">
        <f t="array" ref="AL223">INDEX($O$5:$O$42,MATCH(AJ223,$B$5:$B$42,0))</f>
        <v>攻击百分比</v>
      </c>
      <c r="AM223" s="25" t="str">
        <f t="array" ref="AM223">INDEX($P$5:$P$42,MATCH(AJ223,$B$5:$B$42,0))</f>
        <v>必杀伤害加成</v>
      </c>
      <c r="AN223" s="25" t="str">
        <f t="array" ref="AN223">INDEX($Q$5:$Q$42,MATCH(AJ223,$B$5:$B$42,0))</f>
        <v>能量回复等级</v>
      </c>
      <c r="AO223" s="25" t="str">
        <f t="array" ref="AO223">INDEX(AL223:AN223,0,AK223)</f>
        <v>攻击百分比</v>
      </c>
      <c r="AP223" s="25">
        <f t="shared" si="304"/>
        <v>0.216666666666667</v>
      </c>
      <c r="AQ223" s="25">
        <f t="shared" si="319"/>
        <v>0.216666666666667</v>
      </c>
      <c r="AR223" s="25" t="str">
        <f t="shared" ref="AR223:BZ223" si="363">IF(AR$78=$AO223,$AQ223,"0")</f>
        <v>0</v>
      </c>
      <c r="AS223" s="25" t="str">
        <f t="shared" si="363"/>
        <v>0</v>
      </c>
      <c r="AT223" s="25" t="str">
        <f t="shared" si="363"/>
        <v>0</v>
      </c>
      <c r="AU223" s="25">
        <f t="shared" si="363"/>
        <v>0.216666666666667</v>
      </c>
      <c r="AV223" s="25" t="str">
        <f t="shared" si="363"/>
        <v>0</v>
      </c>
      <c r="AW223" s="25">
        <f t="shared" si="363"/>
        <v>0.216666666666667</v>
      </c>
      <c r="AX223" s="25" t="str">
        <f t="shared" si="363"/>
        <v>0</v>
      </c>
      <c r="AY223" s="25" t="str">
        <f t="shared" si="363"/>
        <v>0</v>
      </c>
      <c r="AZ223" s="25" t="str">
        <f t="shared" si="363"/>
        <v>0</v>
      </c>
      <c r="BA223" s="25" t="str">
        <f t="shared" si="363"/>
        <v>0</v>
      </c>
      <c r="BB223" s="25" t="str">
        <f t="shared" si="363"/>
        <v>0</v>
      </c>
      <c r="BC223" s="25" t="str">
        <f t="shared" si="363"/>
        <v>0</v>
      </c>
      <c r="BD223" s="25" t="str">
        <f t="shared" si="363"/>
        <v>0</v>
      </c>
      <c r="BE223" s="25" t="str">
        <f t="shared" si="363"/>
        <v>0</v>
      </c>
      <c r="BF223" s="25" t="str">
        <f t="shared" si="363"/>
        <v>0</v>
      </c>
      <c r="BG223" s="25" t="str">
        <f t="shared" si="363"/>
        <v>0</v>
      </c>
      <c r="BH223" s="25" t="str">
        <f t="shared" si="363"/>
        <v>0</v>
      </c>
      <c r="BI223" s="25" t="str">
        <f t="shared" si="363"/>
        <v>0</v>
      </c>
      <c r="BJ223" s="25" t="str">
        <f t="shared" si="363"/>
        <v>0</v>
      </c>
      <c r="BK223" s="25" t="str">
        <f t="shared" si="363"/>
        <v>0</v>
      </c>
      <c r="BL223" s="25" t="str">
        <f t="shared" si="363"/>
        <v>0</v>
      </c>
      <c r="BM223" s="25" t="str">
        <f t="shared" si="363"/>
        <v>0</v>
      </c>
      <c r="BN223" s="25" t="str">
        <f t="shared" si="363"/>
        <v>0</v>
      </c>
      <c r="BO223" s="25" t="str">
        <f t="shared" si="363"/>
        <v>0</v>
      </c>
      <c r="BP223" s="25" t="str">
        <f t="shared" si="363"/>
        <v>0</v>
      </c>
      <c r="BQ223" s="25" t="str">
        <f t="shared" si="363"/>
        <v>0</v>
      </c>
      <c r="BR223" s="25" t="str">
        <f t="shared" si="363"/>
        <v>0</v>
      </c>
      <c r="BS223" s="25" t="str">
        <f t="shared" si="363"/>
        <v>0</v>
      </c>
      <c r="BT223" s="25" t="str">
        <f t="shared" si="363"/>
        <v>0</v>
      </c>
      <c r="BU223" s="25" t="str">
        <f t="shared" si="363"/>
        <v>0</v>
      </c>
      <c r="BV223" s="25" t="str">
        <f t="shared" si="363"/>
        <v>0</v>
      </c>
      <c r="BW223" s="25" t="str">
        <f t="shared" si="363"/>
        <v>0</v>
      </c>
      <c r="BX223" s="25" t="str">
        <f t="shared" si="363"/>
        <v>0</v>
      </c>
      <c r="BY223" s="25" t="str">
        <f t="shared" si="363"/>
        <v>0</v>
      </c>
      <c r="BZ223" s="25" t="str">
        <f t="shared" si="363"/>
        <v>0</v>
      </c>
      <c r="CC223" s="25" t="str">
        <f t="array" ref="CC223">INDEX($C$46:$C$74,MATCH(CD223,$B$46:$B$74,0))</f>
        <v>乔一</v>
      </c>
      <c r="CD223" s="1">
        <v>1026</v>
      </c>
      <c r="CE223" s="1">
        <v>4</v>
      </c>
      <c r="CF223" s="25" t="str">
        <f t="array" ref="CF223">INDEX($T$5:$T$44,MATCH(CC223,$B$5:$B$44,0))</f>
        <v>物理</v>
      </c>
      <c r="CG223" s="25">
        <f t="shared" si="342"/>
        <v>0.15</v>
      </c>
      <c r="CH223" s="25">
        <f t="shared" si="321"/>
        <v>1.15</v>
      </c>
      <c r="CI223" s="25">
        <f t="shared" si="322"/>
        <v>1.15</v>
      </c>
      <c r="CJ223" s="25">
        <f t="shared" si="323"/>
        <v>1</v>
      </c>
      <c r="CK223" s="25">
        <f t="shared" si="324"/>
        <v>1.15</v>
      </c>
      <c r="CL223" s="25">
        <v>0</v>
      </c>
      <c r="CM223" s="25">
        <f t="shared" si="343"/>
        <v>0</v>
      </c>
      <c r="CN223" s="25">
        <f t="shared" si="325"/>
        <v>0</v>
      </c>
      <c r="CO223" s="25">
        <f t="shared" si="326"/>
        <v>0</v>
      </c>
      <c r="CP223" s="29" t="str">
        <f t="shared" ref="CP223:DQ223" si="364">IF($CL223=CP$78,$CN223,"0")</f>
        <v>0</v>
      </c>
      <c r="CQ223" s="29" t="str">
        <f t="shared" si="364"/>
        <v>0</v>
      </c>
      <c r="CR223" s="29" t="str">
        <f t="shared" si="364"/>
        <v>0</v>
      </c>
      <c r="CS223" s="29" t="str">
        <f t="shared" si="364"/>
        <v>0</v>
      </c>
      <c r="CT223" s="29" t="str">
        <f t="shared" si="364"/>
        <v>0</v>
      </c>
      <c r="CU223" s="29" t="str">
        <f t="shared" si="364"/>
        <v>0</v>
      </c>
      <c r="CV223" s="29" t="str">
        <f t="shared" si="364"/>
        <v>0</v>
      </c>
      <c r="CW223" s="29" t="str">
        <f t="shared" si="364"/>
        <v>0</v>
      </c>
      <c r="CX223" s="29" t="str">
        <f t="shared" si="364"/>
        <v>0</v>
      </c>
      <c r="CY223" s="29" t="str">
        <f t="shared" si="364"/>
        <v>0</v>
      </c>
      <c r="CZ223" s="29" t="str">
        <f t="shared" si="364"/>
        <v>0</v>
      </c>
      <c r="DA223" s="29" t="str">
        <f t="shared" si="364"/>
        <v>0</v>
      </c>
      <c r="DB223" s="29" t="str">
        <f t="shared" si="364"/>
        <v>0</v>
      </c>
      <c r="DC223" s="29" t="str">
        <f t="shared" si="364"/>
        <v>0</v>
      </c>
      <c r="DD223" s="29" t="str">
        <f t="shared" si="364"/>
        <v>0</v>
      </c>
      <c r="DE223" s="29" t="str">
        <f t="shared" si="364"/>
        <v>0</v>
      </c>
      <c r="DF223" s="29" t="str">
        <f t="shared" si="364"/>
        <v>0</v>
      </c>
      <c r="DG223" s="29" t="str">
        <f t="shared" si="364"/>
        <v>0</v>
      </c>
      <c r="DH223" s="29" t="str">
        <f t="shared" si="364"/>
        <v>0</v>
      </c>
      <c r="DI223" s="29" t="str">
        <f t="shared" si="364"/>
        <v>0</v>
      </c>
      <c r="DJ223" s="29" t="str">
        <f t="shared" si="364"/>
        <v>0</v>
      </c>
      <c r="DK223" s="29" t="str">
        <f t="shared" si="364"/>
        <v>0</v>
      </c>
      <c r="DL223" s="29" t="str">
        <f t="shared" si="364"/>
        <v>0</v>
      </c>
      <c r="DM223" s="29" t="str">
        <f t="shared" si="364"/>
        <v>0</v>
      </c>
      <c r="DN223" s="29" t="str">
        <f t="shared" si="364"/>
        <v>0</v>
      </c>
      <c r="DO223" s="29" t="str">
        <f t="shared" si="364"/>
        <v>0</v>
      </c>
      <c r="DP223" s="29" t="str">
        <f t="shared" si="364"/>
        <v>0</v>
      </c>
      <c r="DQ223" s="29" t="str">
        <f t="shared" si="364"/>
        <v>0</v>
      </c>
      <c r="DR223" s="29"/>
      <c r="DS223" s="25">
        <v>0</v>
      </c>
      <c r="EE223" s="25" t="str">
        <f t="shared" si="328"/>
        <v>0</v>
      </c>
    </row>
    <row r="224" spans="1:135">
      <c r="A224" s="48">
        <v>1003026</v>
      </c>
      <c r="B224" s="49" t="s">
        <v>321</v>
      </c>
      <c r="C224" s="25">
        <f t="shared" si="299"/>
        <v>26</v>
      </c>
      <c r="D224" s="25">
        <f t="array" ref="D224">INDEX(C$5:C$67,MATCH($B224,$B$5:$B$67,0))</f>
        <v>7700</v>
      </c>
      <c r="E224" s="25">
        <f t="array" ref="E224">INDEX(D$5:D$67,MATCH($B224,$B$5:$B$67,0))</f>
        <v>616</v>
      </c>
      <c r="F224" s="25">
        <f t="array" ref="F224">INDEX(E$5:E$67,MATCH($B224,$B$5:$B$67,0))</f>
        <v>734</v>
      </c>
      <c r="G224" s="25">
        <f t="array" ref="G224">INDEX(F$5:F$67,MATCH($B224,$B$5:$B$67,0))</f>
        <v>58.72</v>
      </c>
      <c r="H224" s="25">
        <f t="array" ref="H224">INDEX(G$5:G$66,MATCH($B224,$B$5:$B$67,0))</f>
        <v>918</v>
      </c>
      <c r="I224" s="25">
        <f t="array" ref="I224">INDEX(H$5:H$67,MATCH($B224,$B$5:$B$67,0))</f>
        <v>73.44</v>
      </c>
      <c r="J224" s="25">
        <f t="array" ref="J224">INDEX(I$5:I$67,MATCH($B224,$B$5:$B$67,0))</f>
        <v>900</v>
      </c>
      <c r="K224" s="25">
        <f t="array" ref="K224">INDEX(J$5:J$67,MATCH($B224,$B$5:$B$67,0))</f>
        <v>72</v>
      </c>
      <c r="L224" s="25">
        <f t="shared" si="309"/>
        <v>23716</v>
      </c>
      <c r="M224" s="25">
        <f t="shared" si="310"/>
        <v>2261</v>
      </c>
      <c r="N224" s="25">
        <f t="shared" si="311"/>
        <v>2827</v>
      </c>
      <c r="O224" s="25">
        <f t="shared" si="312"/>
        <v>2772</v>
      </c>
      <c r="R224" s="50">
        <f t="array" ref="R224">INDEX($B$46:$B$68,MATCH(S224,$C$46:$C$68,0))*1000+T224</f>
        <v>1006011</v>
      </c>
      <c r="S224" s="51" t="s">
        <v>328</v>
      </c>
      <c r="T224" s="29">
        <f t="shared" si="232"/>
        <v>11</v>
      </c>
      <c r="U224" s="25">
        <f t="array" ref="U224">INDEX(K$5:K$67,MATCH($S224,$B$5:$B$67,0))</f>
        <v>340.8</v>
      </c>
      <c r="V224" s="25">
        <f t="array" ref="V224">INDEX(L$5:L$67,MATCH($S224,$B$5:$B$67,0))</f>
        <v>156.67</v>
      </c>
      <c r="W224" s="25">
        <f t="array" ref="W224">INDEX(M$5:M$67,MATCH($S224,$B$5:$B$67,0))</f>
        <v>122.88</v>
      </c>
      <c r="X224" s="25">
        <f t="array" ref="X224">INDEX(N$5:N$67,MATCH($S224,$B$5:$B$67,0))</f>
        <v>83.3</v>
      </c>
      <c r="Y224" s="25">
        <f t="shared" si="313"/>
        <v>3749</v>
      </c>
      <c r="Z224" s="25">
        <f t="shared" si="314"/>
        <v>1723</v>
      </c>
      <c r="AA224" s="25">
        <f t="shared" si="315"/>
        <v>1352</v>
      </c>
      <c r="AB224" s="25">
        <f t="shared" si="316"/>
        <v>916</v>
      </c>
      <c r="AF224" s="25">
        <v>146</v>
      </c>
      <c r="AG224" s="25">
        <f t="array" ref="AG224">INDEX($AE$79:$AE$116,QUOTIENT(AF224-1,8)+1)</f>
        <v>1023</v>
      </c>
      <c r="AH224" s="25">
        <f t="shared" si="345"/>
        <v>2</v>
      </c>
      <c r="AI224" s="25">
        <f t="shared" si="317"/>
        <v>10232</v>
      </c>
      <c r="AJ224" s="25" t="str">
        <f t="shared" si="318"/>
        <v>马克</v>
      </c>
      <c r="AK224" s="25">
        <f t="shared" si="346"/>
        <v>2</v>
      </c>
      <c r="AL224" s="25" t="str">
        <f t="array" ref="AL224">INDEX($O$5:$O$42,MATCH(AJ224,$B$5:$B$42,0))</f>
        <v>攻击百分比</v>
      </c>
      <c r="AM224" s="25" t="str">
        <f t="array" ref="AM224">INDEX($P$5:$P$42,MATCH(AJ224,$B$5:$B$42,0))</f>
        <v>必杀伤害加成</v>
      </c>
      <c r="AN224" s="25" t="str">
        <f t="array" ref="AN224">INDEX($Q$5:$Q$42,MATCH(AJ224,$B$5:$B$42,0))</f>
        <v>能量回复等级</v>
      </c>
      <c r="AO224" s="25" t="str">
        <f t="array" ref="AO224">INDEX(AL224:AN224,0,AK224)</f>
        <v>必杀伤害加成</v>
      </c>
      <c r="AP224" s="25">
        <f t="shared" si="304"/>
        <v>0.15</v>
      </c>
      <c r="AQ224" s="25">
        <f t="shared" si="319"/>
        <v>0.18</v>
      </c>
      <c r="AR224" s="25" t="str">
        <f t="shared" ref="AR224:BZ224" si="365">IF(AR$78=$AO224,$AQ224,"0")</f>
        <v>0</v>
      </c>
      <c r="AS224" s="25" t="str">
        <f t="shared" si="365"/>
        <v>0</v>
      </c>
      <c r="AT224" s="25" t="str">
        <f t="shared" si="365"/>
        <v>0</v>
      </c>
      <c r="AU224" s="25" t="str">
        <f t="shared" si="365"/>
        <v>0</v>
      </c>
      <c r="AV224" s="25" t="str">
        <f t="shared" si="365"/>
        <v>0</v>
      </c>
      <c r="AW224" s="25" t="str">
        <f t="shared" si="365"/>
        <v>0</v>
      </c>
      <c r="AX224" s="25" t="str">
        <f t="shared" si="365"/>
        <v>0</v>
      </c>
      <c r="AY224" s="25" t="str">
        <f t="shared" si="365"/>
        <v>0</v>
      </c>
      <c r="AZ224" s="25" t="str">
        <f t="shared" si="365"/>
        <v>0</v>
      </c>
      <c r="BA224" s="25" t="str">
        <f t="shared" si="365"/>
        <v>0</v>
      </c>
      <c r="BB224" s="25" t="str">
        <f t="shared" si="365"/>
        <v>0</v>
      </c>
      <c r="BC224" s="25" t="str">
        <f t="shared" si="365"/>
        <v>0</v>
      </c>
      <c r="BD224" s="25" t="str">
        <f t="shared" si="365"/>
        <v>0</v>
      </c>
      <c r="BE224" s="25" t="str">
        <f t="shared" si="365"/>
        <v>0</v>
      </c>
      <c r="BF224" s="25" t="str">
        <f t="shared" si="365"/>
        <v>0</v>
      </c>
      <c r="BG224" s="25" t="str">
        <f t="shared" si="365"/>
        <v>0</v>
      </c>
      <c r="BH224" s="25" t="str">
        <f t="shared" si="365"/>
        <v>0</v>
      </c>
      <c r="BI224" s="25" t="str">
        <f t="shared" si="365"/>
        <v>0</v>
      </c>
      <c r="BJ224" s="25" t="str">
        <f t="shared" si="365"/>
        <v>0</v>
      </c>
      <c r="BK224" s="25" t="str">
        <f t="shared" si="365"/>
        <v>0</v>
      </c>
      <c r="BL224" s="25" t="str">
        <f t="shared" si="365"/>
        <v>0</v>
      </c>
      <c r="BM224" s="25" t="str">
        <f t="shared" si="365"/>
        <v>0</v>
      </c>
      <c r="BN224" s="25" t="str">
        <f t="shared" si="365"/>
        <v>0</v>
      </c>
      <c r="BO224" s="25">
        <f t="shared" si="365"/>
        <v>0.18</v>
      </c>
      <c r="BP224" s="25" t="str">
        <f t="shared" si="365"/>
        <v>0</v>
      </c>
      <c r="BQ224" s="25" t="str">
        <f t="shared" si="365"/>
        <v>0</v>
      </c>
      <c r="BR224" s="25" t="str">
        <f t="shared" si="365"/>
        <v>0</v>
      </c>
      <c r="BS224" s="25" t="str">
        <f t="shared" si="365"/>
        <v>0</v>
      </c>
      <c r="BT224" s="25" t="str">
        <f t="shared" si="365"/>
        <v>0</v>
      </c>
      <c r="BU224" s="25" t="str">
        <f t="shared" si="365"/>
        <v>0</v>
      </c>
      <c r="BV224" s="25" t="str">
        <f t="shared" si="365"/>
        <v>0</v>
      </c>
      <c r="BW224" s="25" t="str">
        <f t="shared" si="365"/>
        <v>0</v>
      </c>
      <c r="BX224" s="25" t="str">
        <f t="shared" si="365"/>
        <v>0</v>
      </c>
      <c r="BY224" s="25" t="str">
        <f t="shared" si="365"/>
        <v>0</v>
      </c>
      <c r="BZ224" s="25" t="str">
        <f t="shared" si="365"/>
        <v>0</v>
      </c>
      <c r="CC224" s="25" t="str">
        <f t="array" ref="CC224">INDEX($C$46:$C$74,MATCH(CD224,$B$46:$B$74,0))</f>
        <v>乔一</v>
      </c>
      <c r="CD224" s="1">
        <v>1026</v>
      </c>
      <c r="CE224" s="1">
        <v>5</v>
      </c>
      <c r="CF224" s="25" t="str">
        <f t="array" ref="CF224">INDEX($T$5:$T$44,MATCH(CC224,$B$5:$B$44,0))</f>
        <v>物理</v>
      </c>
      <c r="CG224" s="25">
        <f t="shared" si="342"/>
        <v>0.3</v>
      </c>
      <c r="CH224" s="25">
        <f t="shared" si="321"/>
        <v>1.3</v>
      </c>
      <c r="CI224" s="25">
        <f t="shared" si="322"/>
        <v>1.3</v>
      </c>
      <c r="CJ224" s="25">
        <f t="shared" si="323"/>
        <v>1</v>
      </c>
      <c r="CK224" s="25">
        <f t="shared" si="324"/>
        <v>1.3</v>
      </c>
      <c r="CL224" s="25" t="str">
        <f t="array" ref="CL224">INDEX($S$5:$S$43,MATCH(CC224,$B$5:$B$43,0))</f>
        <v>必杀伤害加成</v>
      </c>
      <c r="CM224" s="25">
        <f t="shared" si="343"/>
        <v>0.3</v>
      </c>
      <c r="CN224" s="25">
        <f t="shared" si="325"/>
        <v>0.36</v>
      </c>
      <c r="CO224" s="25">
        <f t="shared" si="326"/>
        <v>1</v>
      </c>
      <c r="CP224" s="29" t="str">
        <f t="shared" ref="CP224:DQ224" si="366">IF($CL224=CP$78,$CN224,"0")</f>
        <v>0</v>
      </c>
      <c r="CQ224" s="29" t="str">
        <f t="shared" si="366"/>
        <v>0</v>
      </c>
      <c r="CR224" s="29" t="str">
        <f t="shared" si="366"/>
        <v>0</v>
      </c>
      <c r="CS224" s="29" t="str">
        <f t="shared" si="366"/>
        <v>0</v>
      </c>
      <c r="CT224" s="29" t="str">
        <f t="shared" si="366"/>
        <v>0</v>
      </c>
      <c r="CU224" s="29" t="str">
        <f t="shared" si="366"/>
        <v>0</v>
      </c>
      <c r="CV224" s="29" t="str">
        <f t="shared" si="366"/>
        <v>0</v>
      </c>
      <c r="CW224" s="29" t="str">
        <f t="shared" si="366"/>
        <v>0</v>
      </c>
      <c r="CX224" s="29" t="str">
        <f t="shared" si="366"/>
        <v>0</v>
      </c>
      <c r="CY224" s="29" t="str">
        <f t="shared" si="366"/>
        <v>0</v>
      </c>
      <c r="CZ224" s="29" t="str">
        <f t="shared" si="366"/>
        <v>0</v>
      </c>
      <c r="DA224" s="29" t="str">
        <f t="shared" si="366"/>
        <v>0</v>
      </c>
      <c r="DB224" s="29" t="str">
        <f t="shared" si="366"/>
        <v>0</v>
      </c>
      <c r="DC224" s="29" t="str">
        <f t="shared" si="366"/>
        <v>0</v>
      </c>
      <c r="DD224" s="29" t="str">
        <f t="shared" si="366"/>
        <v>0</v>
      </c>
      <c r="DE224" s="29" t="str">
        <f t="shared" si="366"/>
        <v>0</v>
      </c>
      <c r="DF224" s="29">
        <f t="shared" si="366"/>
        <v>0.36</v>
      </c>
      <c r="DG224" s="29" t="str">
        <f t="shared" si="366"/>
        <v>0</v>
      </c>
      <c r="DH224" s="29" t="str">
        <f t="shared" si="366"/>
        <v>0</v>
      </c>
      <c r="DI224" s="29" t="str">
        <f t="shared" si="366"/>
        <v>0</v>
      </c>
      <c r="DJ224" s="29" t="str">
        <f t="shared" si="366"/>
        <v>0</v>
      </c>
      <c r="DK224" s="29" t="str">
        <f t="shared" si="366"/>
        <v>0</v>
      </c>
      <c r="DL224" s="29" t="str">
        <f t="shared" si="366"/>
        <v>0</v>
      </c>
      <c r="DM224" s="29" t="str">
        <f t="shared" si="366"/>
        <v>0</v>
      </c>
      <c r="DN224" s="29" t="str">
        <f t="shared" si="366"/>
        <v>0</v>
      </c>
      <c r="DO224" s="29" t="str">
        <f t="shared" si="366"/>
        <v>0</v>
      </c>
      <c r="DP224" s="29" t="str">
        <f t="shared" si="366"/>
        <v>0</v>
      </c>
      <c r="DQ224" s="29" t="str">
        <f t="shared" si="366"/>
        <v>0</v>
      </c>
      <c r="DR224" s="29"/>
      <c r="DS224" s="25" t="s">
        <v>1011</v>
      </c>
      <c r="DT224" s="25" t="str">
        <f>TEXT(角色升星!$F$18,"0%")</f>
        <v>15%</v>
      </c>
      <c r="DU224" s="25" t="s">
        <v>779</v>
      </c>
      <c r="DV224" s="25" t="str">
        <f>IF(CF224="物理","PhysicsAttack,+","MagicAttack,+")</f>
        <v>PhysicsAttack,+</v>
      </c>
      <c r="DW224" s="25" t="str">
        <f>TEXT(角色升星!$F$18,"0%")</f>
        <v>15%</v>
      </c>
      <c r="DX224" s="25" t="s">
        <v>779</v>
      </c>
      <c r="DY224" s="25" t="s">
        <v>1012</v>
      </c>
      <c r="DZ224" s="25" t="str">
        <f>TEXT(角色升星!$F$18,"0%")</f>
        <v>15%</v>
      </c>
      <c r="EA224" s="25" t="s">
        <v>779</v>
      </c>
      <c r="EB224" s="25" t="str">
        <f>VLOOKUP(CL224,$O$46:$P$73,2,0)</f>
        <v>UltimateDmgBonus</v>
      </c>
      <c r="EC224" s="25" t="s">
        <v>1013</v>
      </c>
      <c r="ED224" s="25" t="str">
        <f>IF(CN224&gt;1,CN224,TEXT(CN224,"0%"))</f>
        <v>36%</v>
      </c>
      <c r="EE224" s="25" t="str">
        <f t="shared" si="328"/>
        <v>Hp,+15%;PhysicsAttack,+15%;Armor,+15%;UltimateDmgBonus,+36%</v>
      </c>
    </row>
    <row r="225" spans="1:135">
      <c r="A225" s="48">
        <v>1003027</v>
      </c>
      <c r="B225" s="49" t="s">
        <v>321</v>
      </c>
      <c r="C225" s="25">
        <f t="shared" si="299"/>
        <v>27</v>
      </c>
      <c r="D225" s="25">
        <f t="array" ref="D225">INDEX(C$5:C$67,MATCH($B225,$B$5:$B$67,0))</f>
        <v>7700</v>
      </c>
      <c r="E225" s="25">
        <f t="array" ref="E225">INDEX(D$5:D$67,MATCH($B225,$B$5:$B$67,0))</f>
        <v>616</v>
      </c>
      <c r="F225" s="25">
        <f t="array" ref="F225">INDEX(E$5:E$67,MATCH($B225,$B$5:$B$67,0))</f>
        <v>734</v>
      </c>
      <c r="G225" s="25">
        <f t="array" ref="G225">INDEX(F$5:F$67,MATCH($B225,$B$5:$B$67,0))</f>
        <v>58.72</v>
      </c>
      <c r="H225" s="25">
        <f t="array" ref="H225">INDEX(G$5:G$66,MATCH($B225,$B$5:$B$67,0))</f>
        <v>918</v>
      </c>
      <c r="I225" s="25">
        <f t="array" ref="I225">INDEX(H$5:H$67,MATCH($B225,$B$5:$B$67,0))</f>
        <v>73.44</v>
      </c>
      <c r="J225" s="25">
        <f t="array" ref="J225">INDEX(I$5:I$67,MATCH($B225,$B$5:$B$67,0))</f>
        <v>900</v>
      </c>
      <c r="K225" s="25">
        <f t="array" ref="K225">INDEX(J$5:J$67,MATCH($B225,$B$5:$B$67,0))</f>
        <v>72</v>
      </c>
      <c r="L225" s="25">
        <f t="shared" si="309"/>
        <v>24332</v>
      </c>
      <c r="M225" s="25">
        <f t="shared" si="310"/>
        <v>2319</v>
      </c>
      <c r="N225" s="25">
        <f t="shared" si="311"/>
        <v>2901</v>
      </c>
      <c r="O225" s="25">
        <f t="shared" si="312"/>
        <v>2844</v>
      </c>
      <c r="R225" s="50">
        <f t="array" ref="R225">INDEX($B$46:$B$68,MATCH(S225,$C$46:$C$68,0))*1000+T225</f>
        <v>1006012</v>
      </c>
      <c r="S225" s="51" t="s">
        <v>328</v>
      </c>
      <c r="T225" s="29">
        <f t="shared" si="232"/>
        <v>12</v>
      </c>
      <c r="U225" s="25">
        <f t="array" ref="U225">INDEX(K$5:K$67,MATCH($S225,$B$5:$B$67,0))</f>
        <v>340.8</v>
      </c>
      <c r="V225" s="25">
        <f t="array" ref="V225">INDEX(L$5:L$67,MATCH($S225,$B$5:$B$67,0))</f>
        <v>156.67</v>
      </c>
      <c r="W225" s="25">
        <f t="array" ref="W225">INDEX(M$5:M$67,MATCH($S225,$B$5:$B$67,0))</f>
        <v>122.88</v>
      </c>
      <c r="X225" s="25">
        <f t="array" ref="X225">INDEX(N$5:N$67,MATCH($S225,$B$5:$B$67,0))</f>
        <v>83.3</v>
      </c>
      <c r="Y225" s="25">
        <f t="shared" si="313"/>
        <v>4090</v>
      </c>
      <c r="Z225" s="25">
        <f t="shared" si="314"/>
        <v>1880</v>
      </c>
      <c r="AA225" s="25">
        <f t="shared" si="315"/>
        <v>1475</v>
      </c>
      <c r="AB225" s="25">
        <f t="shared" si="316"/>
        <v>1000</v>
      </c>
      <c r="AF225" s="25">
        <v>147</v>
      </c>
      <c r="AG225" s="25">
        <f t="array" ref="AG225">INDEX($AE$79:$AE$116,QUOTIENT(AF225-1,8)+1)</f>
        <v>1023</v>
      </c>
      <c r="AH225" s="25">
        <f t="shared" si="345"/>
        <v>3</v>
      </c>
      <c r="AI225" s="25">
        <f t="shared" si="317"/>
        <v>10233</v>
      </c>
      <c r="AJ225" s="25" t="str">
        <f t="shared" si="318"/>
        <v>马克</v>
      </c>
      <c r="AK225" s="25">
        <f t="shared" si="346"/>
        <v>3</v>
      </c>
      <c r="AL225" s="25" t="str">
        <f t="array" ref="AL225">INDEX($O$5:$O$42,MATCH(AJ225,$B$5:$B$42,0))</f>
        <v>攻击百分比</v>
      </c>
      <c r="AM225" s="25" t="str">
        <f t="array" ref="AM225">INDEX($P$5:$P$42,MATCH(AJ225,$B$5:$B$42,0))</f>
        <v>必杀伤害加成</v>
      </c>
      <c r="AN225" s="25" t="str">
        <f t="array" ref="AN225">INDEX($Q$5:$Q$42,MATCH(AJ225,$B$5:$B$42,0))</f>
        <v>能量回复等级</v>
      </c>
      <c r="AO225" s="25" t="str">
        <f t="array" ref="AO225">INDEX(AL225:AN225,0,AK225)</f>
        <v>能量回复等级</v>
      </c>
      <c r="AP225" s="25">
        <f t="shared" si="304"/>
        <v>0.216666666666667</v>
      </c>
      <c r="AQ225" s="25">
        <f t="shared" si="319"/>
        <v>1950</v>
      </c>
      <c r="AR225" s="25" t="str">
        <f t="shared" ref="AR225:BZ225" si="367">IF(AR$78=$AO225,$AQ225,"0")</f>
        <v>0</v>
      </c>
      <c r="AS225" s="25" t="str">
        <f t="shared" si="367"/>
        <v>0</v>
      </c>
      <c r="AT225" s="25" t="str">
        <f t="shared" si="367"/>
        <v>0</v>
      </c>
      <c r="AU225" s="25" t="str">
        <f t="shared" si="367"/>
        <v>0</v>
      </c>
      <c r="AV225" s="25" t="str">
        <f t="shared" si="367"/>
        <v>0</v>
      </c>
      <c r="AW225" s="25" t="str">
        <f t="shared" si="367"/>
        <v>0</v>
      </c>
      <c r="AX225" s="25" t="str">
        <f t="shared" si="367"/>
        <v>0</v>
      </c>
      <c r="AY225" s="25" t="str">
        <f t="shared" si="367"/>
        <v>0</v>
      </c>
      <c r="AZ225" s="25" t="str">
        <f t="shared" si="367"/>
        <v>0</v>
      </c>
      <c r="BA225" s="25" t="str">
        <f t="shared" si="367"/>
        <v>0</v>
      </c>
      <c r="BB225" s="25" t="str">
        <f t="shared" si="367"/>
        <v>0</v>
      </c>
      <c r="BC225" s="25" t="str">
        <f t="shared" si="367"/>
        <v>0</v>
      </c>
      <c r="BD225" s="25" t="str">
        <f t="shared" si="367"/>
        <v>0</v>
      </c>
      <c r="BE225" s="25" t="str">
        <f t="shared" si="367"/>
        <v>0</v>
      </c>
      <c r="BF225" s="25" t="str">
        <f t="shared" si="367"/>
        <v>0</v>
      </c>
      <c r="BG225" s="25" t="str">
        <f t="shared" si="367"/>
        <v>0</v>
      </c>
      <c r="BH225" s="25" t="str">
        <f t="shared" si="367"/>
        <v>0</v>
      </c>
      <c r="BI225" s="25" t="str">
        <f t="shared" si="367"/>
        <v>0</v>
      </c>
      <c r="BJ225" s="25" t="str">
        <f t="shared" si="367"/>
        <v>0</v>
      </c>
      <c r="BK225" s="25" t="str">
        <f t="shared" si="367"/>
        <v>0</v>
      </c>
      <c r="BL225" s="25" t="str">
        <f t="shared" si="367"/>
        <v>0</v>
      </c>
      <c r="BM225" s="25" t="str">
        <f t="shared" si="367"/>
        <v>0</v>
      </c>
      <c r="BN225" s="25" t="str">
        <f t="shared" si="367"/>
        <v>0</v>
      </c>
      <c r="BO225" s="25" t="str">
        <f t="shared" si="367"/>
        <v>0</v>
      </c>
      <c r="BP225" s="25" t="str">
        <f t="shared" si="367"/>
        <v>0</v>
      </c>
      <c r="BQ225" s="25" t="str">
        <f t="shared" si="367"/>
        <v>0</v>
      </c>
      <c r="BR225" s="25" t="str">
        <f t="shared" si="367"/>
        <v>0</v>
      </c>
      <c r="BS225" s="25" t="str">
        <f t="shared" si="367"/>
        <v>0</v>
      </c>
      <c r="BT225" s="25" t="str">
        <f t="shared" si="367"/>
        <v>0</v>
      </c>
      <c r="BU225" s="25" t="str">
        <f t="shared" si="367"/>
        <v>0</v>
      </c>
      <c r="BV225" s="25" t="str">
        <f t="shared" si="367"/>
        <v>0</v>
      </c>
      <c r="BW225" s="25" t="str">
        <f t="shared" si="367"/>
        <v>0</v>
      </c>
      <c r="BX225" s="25" t="str">
        <f t="shared" si="367"/>
        <v>0</v>
      </c>
      <c r="BY225" s="25">
        <f t="shared" si="367"/>
        <v>1950</v>
      </c>
      <c r="BZ225" s="25" t="str">
        <f t="shared" si="367"/>
        <v>0</v>
      </c>
      <c r="CC225" s="25" t="str">
        <f t="array" ref="CC225">INDEX($C$46:$C$74,MATCH(CD225,$B$46:$B$74,0))</f>
        <v>乔一</v>
      </c>
      <c r="CD225" s="1">
        <v>1026</v>
      </c>
      <c r="CE225" s="1">
        <v>6</v>
      </c>
      <c r="CF225" s="25" t="str">
        <f t="array" ref="CF225">INDEX($T$5:$T$44,MATCH(CC225,$B$5:$B$44,0))</f>
        <v>物理</v>
      </c>
      <c r="CG225" s="25">
        <f t="shared" si="342"/>
        <v>0.3</v>
      </c>
      <c r="CH225" s="25">
        <f t="shared" si="321"/>
        <v>1.3</v>
      </c>
      <c r="CI225" s="25">
        <f t="shared" si="322"/>
        <v>1.3</v>
      </c>
      <c r="CJ225" s="25">
        <f t="shared" si="323"/>
        <v>1</v>
      </c>
      <c r="CK225" s="25">
        <f t="shared" si="324"/>
        <v>1.3</v>
      </c>
      <c r="CL225" s="25">
        <v>0</v>
      </c>
      <c r="CM225" s="25">
        <f t="shared" si="343"/>
        <v>0</v>
      </c>
      <c r="CN225" s="25">
        <f t="shared" si="325"/>
        <v>0</v>
      </c>
      <c r="CO225" s="25">
        <f t="shared" si="326"/>
        <v>0</v>
      </c>
      <c r="CP225" s="29" t="str">
        <f t="shared" ref="CP225:DQ225" si="368">IF($CL225=CP$78,$CN225,"0")</f>
        <v>0</v>
      </c>
      <c r="CQ225" s="29" t="str">
        <f t="shared" si="368"/>
        <v>0</v>
      </c>
      <c r="CR225" s="29" t="str">
        <f t="shared" si="368"/>
        <v>0</v>
      </c>
      <c r="CS225" s="29" t="str">
        <f t="shared" si="368"/>
        <v>0</v>
      </c>
      <c r="CT225" s="29" t="str">
        <f t="shared" si="368"/>
        <v>0</v>
      </c>
      <c r="CU225" s="29" t="str">
        <f t="shared" si="368"/>
        <v>0</v>
      </c>
      <c r="CV225" s="29" t="str">
        <f t="shared" si="368"/>
        <v>0</v>
      </c>
      <c r="CW225" s="29" t="str">
        <f t="shared" si="368"/>
        <v>0</v>
      </c>
      <c r="CX225" s="29" t="str">
        <f t="shared" si="368"/>
        <v>0</v>
      </c>
      <c r="CY225" s="29" t="str">
        <f t="shared" si="368"/>
        <v>0</v>
      </c>
      <c r="CZ225" s="29" t="str">
        <f t="shared" si="368"/>
        <v>0</v>
      </c>
      <c r="DA225" s="29" t="str">
        <f t="shared" si="368"/>
        <v>0</v>
      </c>
      <c r="DB225" s="29" t="str">
        <f t="shared" si="368"/>
        <v>0</v>
      </c>
      <c r="DC225" s="29" t="str">
        <f t="shared" si="368"/>
        <v>0</v>
      </c>
      <c r="DD225" s="29" t="str">
        <f t="shared" si="368"/>
        <v>0</v>
      </c>
      <c r="DE225" s="29" t="str">
        <f t="shared" si="368"/>
        <v>0</v>
      </c>
      <c r="DF225" s="29" t="str">
        <f t="shared" si="368"/>
        <v>0</v>
      </c>
      <c r="DG225" s="29" t="str">
        <f t="shared" si="368"/>
        <v>0</v>
      </c>
      <c r="DH225" s="29" t="str">
        <f t="shared" si="368"/>
        <v>0</v>
      </c>
      <c r="DI225" s="29" t="str">
        <f t="shared" si="368"/>
        <v>0</v>
      </c>
      <c r="DJ225" s="29" t="str">
        <f t="shared" si="368"/>
        <v>0</v>
      </c>
      <c r="DK225" s="29" t="str">
        <f t="shared" si="368"/>
        <v>0</v>
      </c>
      <c r="DL225" s="29" t="str">
        <f t="shared" si="368"/>
        <v>0</v>
      </c>
      <c r="DM225" s="29" t="str">
        <f t="shared" si="368"/>
        <v>0</v>
      </c>
      <c r="DN225" s="29" t="str">
        <f t="shared" si="368"/>
        <v>0</v>
      </c>
      <c r="DO225" s="29" t="str">
        <f t="shared" si="368"/>
        <v>0</v>
      </c>
      <c r="DP225" s="29" t="str">
        <f t="shared" si="368"/>
        <v>0</v>
      </c>
      <c r="DQ225" s="29" t="str">
        <f t="shared" si="368"/>
        <v>0</v>
      </c>
      <c r="DR225" s="29"/>
      <c r="DS225" s="25">
        <v>0</v>
      </c>
      <c r="EE225" s="25" t="str">
        <f t="shared" si="328"/>
        <v>0</v>
      </c>
    </row>
    <row r="226" spans="1:135">
      <c r="A226" s="48">
        <v>1003028</v>
      </c>
      <c r="B226" s="49" t="s">
        <v>321</v>
      </c>
      <c r="C226" s="25">
        <f t="shared" si="299"/>
        <v>28</v>
      </c>
      <c r="D226" s="25">
        <f t="array" ref="D226">INDEX(C$5:C$67,MATCH($B226,$B$5:$B$67,0))</f>
        <v>7700</v>
      </c>
      <c r="E226" s="25">
        <f t="array" ref="E226">INDEX(D$5:D$67,MATCH($B226,$B$5:$B$67,0))</f>
        <v>616</v>
      </c>
      <c r="F226" s="25">
        <f t="array" ref="F226">INDEX(E$5:E$67,MATCH($B226,$B$5:$B$67,0))</f>
        <v>734</v>
      </c>
      <c r="G226" s="25">
        <f t="array" ref="G226">INDEX(F$5:F$67,MATCH($B226,$B$5:$B$67,0))</f>
        <v>58.72</v>
      </c>
      <c r="H226" s="25">
        <f t="array" ref="H226">INDEX(G$5:G$66,MATCH($B226,$B$5:$B$67,0))</f>
        <v>918</v>
      </c>
      <c r="I226" s="25">
        <f t="array" ref="I226">INDEX(H$5:H$67,MATCH($B226,$B$5:$B$67,0))</f>
        <v>73.44</v>
      </c>
      <c r="J226" s="25">
        <f t="array" ref="J226">INDEX(I$5:I$67,MATCH($B226,$B$5:$B$67,0))</f>
        <v>900</v>
      </c>
      <c r="K226" s="25">
        <f t="array" ref="K226">INDEX(J$5:J$67,MATCH($B226,$B$5:$B$67,0))</f>
        <v>72</v>
      </c>
      <c r="L226" s="25">
        <f t="shared" si="309"/>
        <v>24948</v>
      </c>
      <c r="M226" s="25">
        <f t="shared" si="310"/>
        <v>2378</v>
      </c>
      <c r="N226" s="25">
        <f t="shared" si="311"/>
        <v>2974</v>
      </c>
      <c r="O226" s="25">
        <f t="shared" si="312"/>
        <v>2916</v>
      </c>
      <c r="R226" s="50">
        <f t="array" ref="R226">INDEX($B$46:$B$68,MATCH(S226,$C$46:$C$68,0))*1000+T226</f>
        <v>1006013</v>
      </c>
      <c r="S226" s="51" t="s">
        <v>328</v>
      </c>
      <c r="T226" s="29">
        <f t="shared" si="232"/>
        <v>13</v>
      </c>
      <c r="U226" s="25">
        <f t="array" ref="U226">INDEX(K$5:K$67,MATCH($S226,$B$5:$B$67,0))</f>
        <v>340.8</v>
      </c>
      <c r="V226" s="25">
        <f t="array" ref="V226">INDEX(L$5:L$67,MATCH($S226,$B$5:$B$67,0))</f>
        <v>156.67</v>
      </c>
      <c r="W226" s="25">
        <f t="array" ref="W226">INDEX(M$5:M$67,MATCH($S226,$B$5:$B$67,0))</f>
        <v>122.88</v>
      </c>
      <c r="X226" s="25">
        <f t="array" ref="X226">INDEX(N$5:N$67,MATCH($S226,$B$5:$B$67,0))</f>
        <v>83.3</v>
      </c>
      <c r="Y226" s="25">
        <f t="shared" si="313"/>
        <v>4430</v>
      </c>
      <c r="Z226" s="25">
        <f t="shared" si="314"/>
        <v>2037</v>
      </c>
      <c r="AA226" s="25">
        <f t="shared" si="315"/>
        <v>1597</v>
      </c>
      <c r="AB226" s="25">
        <f t="shared" si="316"/>
        <v>1083</v>
      </c>
      <c r="AF226" s="25">
        <v>148</v>
      </c>
      <c r="AG226" s="25">
        <f t="array" ref="AG226">INDEX($AE$79:$AE$116,QUOTIENT(AF226-1,8)+1)</f>
        <v>1023</v>
      </c>
      <c r="AH226" s="25">
        <f t="shared" si="345"/>
        <v>4</v>
      </c>
      <c r="AI226" s="25">
        <f t="shared" si="317"/>
        <v>10234</v>
      </c>
      <c r="AJ226" s="25" t="str">
        <f t="shared" si="318"/>
        <v>马克</v>
      </c>
      <c r="AK226" s="25">
        <f t="shared" si="346"/>
        <v>2</v>
      </c>
      <c r="AL226" s="25" t="str">
        <f t="array" ref="AL226">INDEX($O$5:$O$42,MATCH(AJ226,$B$5:$B$42,0))</f>
        <v>攻击百分比</v>
      </c>
      <c r="AM226" s="25" t="str">
        <f t="array" ref="AM226">INDEX($P$5:$P$42,MATCH(AJ226,$B$5:$B$42,0))</f>
        <v>必杀伤害加成</v>
      </c>
      <c r="AN226" s="25" t="str">
        <f t="array" ref="AN226">INDEX($Q$5:$Q$42,MATCH(AJ226,$B$5:$B$42,0))</f>
        <v>能量回复等级</v>
      </c>
      <c r="AO226" s="25" t="str">
        <f t="array" ref="AO226">INDEX(AL226:AN226,0,AK226)</f>
        <v>必杀伤害加成</v>
      </c>
      <c r="AP226" s="25">
        <f t="shared" si="304"/>
        <v>0.15</v>
      </c>
      <c r="AQ226" s="25">
        <f t="shared" si="319"/>
        <v>0.18</v>
      </c>
      <c r="AR226" s="25" t="str">
        <f t="shared" ref="AR226:BZ226" si="369">IF(AR$78=$AO226,$AQ226,"0")</f>
        <v>0</v>
      </c>
      <c r="AS226" s="25" t="str">
        <f t="shared" si="369"/>
        <v>0</v>
      </c>
      <c r="AT226" s="25" t="str">
        <f t="shared" si="369"/>
        <v>0</v>
      </c>
      <c r="AU226" s="25" t="str">
        <f t="shared" si="369"/>
        <v>0</v>
      </c>
      <c r="AV226" s="25" t="str">
        <f t="shared" si="369"/>
        <v>0</v>
      </c>
      <c r="AW226" s="25" t="str">
        <f t="shared" si="369"/>
        <v>0</v>
      </c>
      <c r="AX226" s="25" t="str">
        <f t="shared" si="369"/>
        <v>0</v>
      </c>
      <c r="AY226" s="25" t="str">
        <f t="shared" si="369"/>
        <v>0</v>
      </c>
      <c r="AZ226" s="25" t="str">
        <f t="shared" si="369"/>
        <v>0</v>
      </c>
      <c r="BA226" s="25" t="str">
        <f t="shared" si="369"/>
        <v>0</v>
      </c>
      <c r="BB226" s="25" t="str">
        <f t="shared" si="369"/>
        <v>0</v>
      </c>
      <c r="BC226" s="25" t="str">
        <f t="shared" si="369"/>
        <v>0</v>
      </c>
      <c r="BD226" s="25" t="str">
        <f t="shared" si="369"/>
        <v>0</v>
      </c>
      <c r="BE226" s="25" t="str">
        <f t="shared" si="369"/>
        <v>0</v>
      </c>
      <c r="BF226" s="25" t="str">
        <f t="shared" si="369"/>
        <v>0</v>
      </c>
      <c r="BG226" s="25" t="str">
        <f t="shared" si="369"/>
        <v>0</v>
      </c>
      <c r="BH226" s="25" t="str">
        <f t="shared" si="369"/>
        <v>0</v>
      </c>
      <c r="BI226" s="25" t="str">
        <f t="shared" si="369"/>
        <v>0</v>
      </c>
      <c r="BJ226" s="25" t="str">
        <f t="shared" si="369"/>
        <v>0</v>
      </c>
      <c r="BK226" s="25" t="str">
        <f t="shared" si="369"/>
        <v>0</v>
      </c>
      <c r="BL226" s="25" t="str">
        <f t="shared" si="369"/>
        <v>0</v>
      </c>
      <c r="BM226" s="25" t="str">
        <f t="shared" si="369"/>
        <v>0</v>
      </c>
      <c r="BN226" s="25" t="str">
        <f t="shared" si="369"/>
        <v>0</v>
      </c>
      <c r="BO226" s="25">
        <f t="shared" si="369"/>
        <v>0.18</v>
      </c>
      <c r="BP226" s="25" t="str">
        <f t="shared" si="369"/>
        <v>0</v>
      </c>
      <c r="BQ226" s="25" t="str">
        <f t="shared" si="369"/>
        <v>0</v>
      </c>
      <c r="BR226" s="25" t="str">
        <f t="shared" si="369"/>
        <v>0</v>
      </c>
      <c r="BS226" s="25" t="str">
        <f t="shared" si="369"/>
        <v>0</v>
      </c>
      <c r="BT226" s="25" t="str">
        <f t="shared" si="369"/>
        <v>0</v>
      </c>
      <c r="BU226" s="25" t="str">
        <f t="shared" si="369"/>
        <v>0</v>
      </c>
      <c r="BV226" s="25" t="str">
        <f t="shared" si="369"/>
        <v>0</v>
      </c>
      <c r="BW226" s="25" t="str">
        <f t="shared" si="369"/>
        <v>0</v>
      </c>
      <c r="BX226" s="25" t="str">
        <f t="shared" si="369"/>
        <v>0</v>
      </c>
      <c r="BY226" s="25" t="str">
        <f t="shared" si="369"/>
        <v>0</v>
      </c>
      <c r="BZ226" s="25" t="str">
        <f t="shared" si="369"/>
        <v>0</v>
      </c>
      <c r="CC226" s="25" t="str">
        <f t="array" ref="CC226">INDEX($C$46:$C$74,MATCH(CD226,$B$46:$B$74,0))</f>
        <v>凯兰</v>
      </c>
      <c r="CD226" s="1">
        <v>1029</v>
      </c>
      <c r="CE226" s="1">
        <v>0</v>
      </c>
      <c r="CF226" s="25" t="str">
        <f t="array" ref="CF226">INDEX($T$5:$T$44,MATCH(CC226,$B$5:$B$44,0))</f>
        <v>魔法</v>
      </c>
      <c r="CG226" s="25">
        <f t="shared" si="342"/>
        <v>0</v>
      </c>
      <c r="CH226" s="25">
        <f t="shared" si="321"/>
        <v>1</v>
      </c>
      <c r="CI226" s="25">
        <f t="shared" si="322"/>
        <v>1</v>
      </c>
      <c r="CJ226" s="25">
        <f t="shared" si="323"/>
        <v>1</v>
      </c>
      <c r="CK226" s="25">
        <f t="shared" si="324"/>
        <v>1</v>
      </c>
      <c r="CL226" s="25">
        <v>0</v>
      </c>
      <c r="CM226" s="25">
        <f t="shared" si="343"/>
        <v>0</v>
      </c>
      <c r="CN226" s="25">
        <f t="shared" si="325"/>
        <v>0</v>
      </c>
      <c r="CO226" s="25">
        <f t="shared" si="326"/>
        <v>0</v>
      </c>
      <c r="CP226" s="29" t="str">
        <f t="shared" ref="CP226:DQ226" si="370">IF($CL226=CP$78,$CN226,"0")</f>
        <v>0</v>
      </c>
      <c r="CQ226" s="29" t="str">
        <f t="shared" si="370"/>
        <v>0</v>
      </c>
      <c r="CR226" s="29" t="str">
        <f t="shared" si="370"/>
        <v>0</v>
      </c>
      <c r="CS226" s="29" t="str">
        <f t="shared" si="370"/>
        <v>0</v>
      </c>
      <c r="CT226" s="29" t="str">
        <f t="shared" si="370"/>
        <v>0</v>
      </c>
      <c r="CU226" s="29" t="str">
        <f t="shared" si="370"/>
        <v>0</v>
      </c>
      <c r="CV226" s="29" t="str">
        <f t="shared" si="370"/>
        <v>0</v>
      </c>
      <c r="CW226" s="29" t="str">
        <f t="shared" si="370"/>
        <v>0</v>
      </c>
      <c r="CX226" s="29" t="str">
        <f t="shared" si="370"/>
        <v>0</v>
      </c>
      <c r="CY226" s="29" t="str">
        <f t="shared" si="370"/>
        <v>0</v>
      </c>
      <c r="CZ226" s="29" t="str">
        <f t="shared" si="370"/>
        <v>0</v>
      </c>
      <c r="DA226" s="29" t="str">
        <f t="shared" si="370"/>
        <v>0</v>
      </c>
      <c r="DB226" s="29" t="str">
        <f t="shared" si="370"/>
        <v>0</v>
      </c>
      <c r="DC226" s="29" t="str">
        <f t="shared" si="370"/>
        <v>0</v>
      </c>
      <c r="DD226" s="29" t="str">
        <f t="shared" si="370"/>
        <v>0</v>
      </c>
      <c r="DE226" s="29" t="str">
        <f t="shared" si="370"/>
        <v>0</v>
      </c>
      <c r="DF226" s="29" t="str">
        <f t="shared" si="370"/>
        <v>0</v>
      </c>
      <c r="DG226" s="29" t="str">
        <f t="shared" si="370"/>
        <v>0</v>
      </c>
      <c r="DH226" s="29" t="str">
        <f t="shared" si="370"/>
        <v>0</v>
      </c>
      <c r="DI226" s="29" t="str">
        <f t="shared" si="370"/>
        <v>0</v>
      </c>
      <c r="DJ226" s="29" t="str">
        <f t="shared" si="370"/>
        <v>0</v>
      </c>
      <c r="DK226" s="29" t="str">
        <f t="shared" si="370"/>
        <v>0</v>
      </c>
      <c r="DL226" s="29" t="str">
        <f t="shared" si="370"/>
        <v>0</v>
      </c>
      <c r="DM226" s="29" t="str">
        <f t="shared" si="370"/>
        <v>0</v>
      </c>
      <c r="DN226" s="29" t="str">
        <f t="shared" si="370"/>
        <v>0</v>
      </c>
      <c r="DO226" s="29" t="str">
        <f t="shared" si="370"/>
        <v>0</v>
      </c>
      <c r="DP226" s="29" t="str">
        <f t="shared" si="370"/>
        <v>0</v>
      </c>
      <c r="DQ226" s="29" t="str">
        <f t="shared" si="370"/>
        <v>0</v>
      </c>
      <c r="DR226" s="29"/>
      <c r="DS226" s="25">
        <v>0</v>
      </c>
      <c r="EE226" s="25" t="str">
        <f t="shared" si="328"/>
        <v>0</v>
      </c>
    </row>
    <row r="227" spans="1:135">
      <c r="A227" s="48">
        <v>1003029</v>
      </c>
      <c r="B227" s="49" t="s">
        <v>321</v>
      </c>
      <c r="C227" s="25">
        <f t="shared" si="299"/>
        <v>29</v>
      </c>
      <c r="D227" s="25">
        <f t="array" ref="D227">INDEX(C$5:C$67,MATCH($B227,$B$5:$B$67,0))</f>
        <v>7700</v>
      </c>
      <c r="E227" s="25">
        <f t="array" ref="E227">INDEX(D$5:D$67,MATCH($B227,$B$5:$B$67,0))</f>
        <v>616</v>
      </c>
      <c r="F227" s="25">
        <f t="array" ref="F227">INDEX(E$5:E$67,MATCH($B227,$B$5:$B$67,0))</f>
        <v>734</v>
      </c>
      <c r="G227" s="25">
        <f t="array" ref="G227">INDEX(F$5:F$67,MATCH($B227,$B$5:$B$67,0))</f>
        <v>58.72</v>
      </c>
      <c r="H227" s="25">
        <f t="array" ref="H227">INDEX(G$5:G$66,MATCH($B227,$B$5:$B$67,0))</f>
        <v>918</v>
      </c>
      <c r="I227" s="25">
        <f t="array" ref="I227">INDEX(H$5:H$67,MATCH($B227,$B$5:$B$67,0))</f>
        <v>73.44</v>
      </c>
      <c r="J227" s="25">
        <f t="array" ref="J227">INDEX(I$5:I$67,MATCH($B227,$B$5:$B$67,0))</f>
        <v>900</v>
      </c>
      <c r="K227" s="25">
        <f t="array" ref="K227">INDEX(J$5:J$67,MATCH($B227,$B$5:$B$67,0))</f>
        <v>72</v>
      </c>
      <c r="L227" s="25">
        <f t="shared" si="309"/>
        <v>25564</v>
      </c>
      <c r="M227" s="25">
        <f t="shared" si="310"/>
        <v>2437</v>
      </c>
      <c r="N227" s="25">
        <f t="shared" si="311"/>
        <v>3048</v>
      </c>
      <c r="O227" s="25">
        <f t="shared" si="312"/>
        <v>2988</v>
      </c>
      <c r="R227" s="50">
        <f t="array" ref="R227">INDEX($B$46:$B$68,MATCH(S227,$C$46:$C$68,0))*1000+T227</f>
        <v>1006014</v>
      </c>
      <c r="S227" s="51" t="s">
        <v>328</v>
      </c>
      <c r="T227" s="29">
        <f t="shared" si="232"/>
        <v>14</v>
      </c>
      <c r="U227" s="25">
        <f t="array" ref="U227">INDEX(K$5:K$67,MATCH($S227,$B$5:$B$67,0))</f>
        <v>340.8</v>
      </c>
      <c r="V227" s="25">
        <f t="array" ref="V227">INDEX(L$5:L$67,MATCH($S227,$B$5:$B$67,0))</f>
        <v>156.67</v>
      </c>
      <c r="W227" s="25">
        <f t="array" ref="W227">INDEX(M$5:M$67,MATCH($S227,$B$5:$B$67,0))</f>
        <v>122.88</v>
      </c>
      <c r="X227" s="25">
        <f t="array" ref="X227">INDEX(N$5:N$67,MATCH($S227,$B$5:$B$67,0))</f>
        <v>83.3</v>
      </c>
      <c r="Y227" s="25">
        <f t="shared" si="313"/>
        <v>4771</v>
      </c>
      <c r="Z227" s="25">
        <f t="shared" si="314"/>
        <v>2193</v>
      </c>
      <c r="AA227" s="25">
        <f t="shared" si="315"/>
        <v>1720</v>
      </c>
      <c r="AB227" s="25">
        <f t="shared" si="316"/>
        <v>1166</v>
      </c>
      <c r="AF227" s="25">
        <v>149</v>
      </c>
      <c r="AG227" s="25">
        <f t="array" ref="AG227">INDEX($AE$79:$AE$116,QUOTIENT(AF227-1,8)+1)</f>
        <v>1023</v>
      </c>
      <c r="AH227" s="25">
        <f t="shared" si="345"/>
        <v>5</v>
      </c>
      <c r="AI227" s="25">
        <f t="shared" si="317"/>
        <v>10235</v>
      </c>
      <c r="AJ227" s="25" t="str">
        <f t="shared" si="318"/>
        <v>马克</v>
      </c>
      <c r="AK227" s="25">
        <f t="shared" si="346"/>
        <v>3</v>
      </c>
      <c r="AL227" s="25" t="str">
        <f t="array" ref="AL227">INDEX($O$5:$O$42,MATCH(AJ227,$B$5:$B$42,0))</f>
        <v>攻击百分比</v>
      </c>
      <c r="AM227" s="25" t="str">
        <f t="array" ref="AM227">INDEX($P$5:$P$42,MATCH(AJ227,$B$5:$B$42,0))</f>
        <v>必杀伤害加成</v>
      </c>
      <c r="AN227" s="25" t="str">
        <f t="array" ref="AN227">INDEX($Q$5:$Q$42,MATCH(AJ227,$B$5:$B$42,0))</f>
        <v>能量回复等级</v>
      </c>
      <c r="AO227" s="25" t="str">
        <f t="array" ref="AO227">INDEX(AL227:AN227,0,AK227)</f>
        <v>能量回复等级</v>
      </c>
      <c r="AP227" s="25">
        <f t="shared" si="304"/>
        <v>0.216666666666667</v>
      </c>
      <c r="AQ227" s="25">
        <f t="shared" si="319"/>
        <v>1950</v>
      </c>
      <c r="AR227" s="25" t="str">
        <f t="shared" ref="AR227:BZ227" si="371">IF(AR$78=$AO227,$AQ227,"0")</f>
        <v>0</v>
      </c>
      <c r="AS227" s="25" t="str">
        <f t="shared" si="371"/>
        <v>0</v>
      </c>
      <c r="AT227" s="25" t="str">
        <f t="shared" si="371"/>
        <v>0</v>
      </c>
      <c r="AU227" s="25" t="str">
        <f t="shared" si="371"/>
        <v>0</v>
      </c>
      <c r="AV227" s="25" t="str">
        <f t="shared" si="371"/>
        <v>0</v>
      </c>
      <c r="AW227" s="25" t="str">
        <f t="shared" si="371"/>
        <v>0</v>
      </c>
      <c r="AX227" s="25" t="str">
        <f t="shared" si="371"/>
        <v>0</v>
      </c>
      <c r="AY227" s="25" t="str">
        <f t="shared" si="371"/>
        <v>0</v>
      </c>
      <c r="AZ227" s="25" t="str">
        <f t="shared" si="371"/>
        <v>0</v>
      </c>
      <c r="BA227" s="25" t="str">
        <f t="shared" si="371"/>
        <v>0</v>
      </c>
      <c r="BB227" s="25" t="str">
        <f t="shared" si="371"/>
        <v>0</v>
      </c>
      <c r="BC227" s="25" t="str">
        <f t="shared" si="371"/>
        <v>0</v>
      </c>
      <c r="BD227" s="25" t="str">
        <f t="shared" si="371"/>
        <v>0</v>
      </c>
      <c r="BE227" s="25" t="str">
        <f t="shared" si="371"/>
        <v>0</v>
      </c>
      <c r="BF227" s="25" t="str">
        <f t="shared" si="371"/>
        <v>0</v>
      </c>
      <c r="BG227" s="25" t="str">
        <f t="shared" si="371"/>
        <v>0</v>
      </c>
      <c r="BH227" s="25" t="str">
        <f t="shared" si="371"/>
        <v>0</v>
      </c>
      <c r="BI227" s="25" t="str">
        <f t="shared" si="371"/>
        <v>0</v>
      </c>
      <c r="BJ227" s="25" t="str">
        <f t="shared" si="371"/>
        <v>0</v>
      </c>
      <c r="BK227" s="25" t="str">
        <f t="shared" si="371"/>
        <v>0</v>
      </c>
      <c r="BL227" s="25" t="str">
        <f t="shared" si="371"/>
        <v>0</v>
      </c>
      <c r="BM227" s="25" t="str">
        <f t="shared" si="371"/>
        <v>0</v>
      </c>
      <c r="BN227" s="25" t="str">
        <f t="shared" si="371"/>
        <v>0</v>
      </c>
      <c r="BO227" s="25" t="str">
        <f t="shared" si="371"/>
        <v>0</v>
      </c>
      <c r="BP227" s="25" t="str">
        <f t="shared" si="371"/>
        <v>0</v>
      </c>
      <c r="BQ227" s="25" t="str">
        <f t="shared" si="371"/>
        <v>0</v>
      </c>
      <c r="BR227" s="25" t="str">
        <f t="shared" si="371"/>
        <v>0</v>
      </c>
      <c r="BS227" s="25" t="str">
        <f t="shared" si="371"/>
        <v>0</v>
      </c>
      <c r="BT227" s="25" t="str">
        <f t="shared" si="371"/>
        <v>0</v>
      </c>
      <c r="BU227" s="25" t="str">
        <f t="shared" si="371"/>
        <v>0</v>
      </c>
      <c r="BV227" s="25" t="str">
        <f t="shared" si="371"/>
        <v>0</v>
      </c>
      <c r="BW227" s="25" t="str">
        <f t="shared" si="371"/>
        <v>0</v>
      </c>
      <c r="BX227" s="25" t="str">
        <f t="shared" si="371"/>
        <v>0</v>
      </c>
      <c r="BY227" s="25">
        <f t="shared" si="371"/>
        <v>1950</v>
      </c>
      <c r="BZ227" s="25" t="str">
        <f t="shared" si="371"/>
        <v>0</v>
      </c>
      <c r="CC227" s="25" t="str">
        <f t="array" ref="CC227">INDEX($C$46:$C$74,MATCH(CD227,$B$46:$B$74,0))</f>
        <v>凯兰</v>
      </c>
      <c r="CD227" s="1">
        <v>1029</v>
      </c>
      <c r="CE227" s="1">
        <v>1</v>
      </c>
      <c r="CF227" s="25" t="str">
        <f t="array" ref="CF227">INDEX($T$5:$T$44,MATCH(CC227,$B$5:$B$44,0))</f>
        <v>魔法</v>
      </c>
      <c r="CG227" s="25">
        <f t="shared" si="342"/>
        <v>0</v>
      </c>
      <c r="CH227" s="25">
        <f t="shared" si="321"/>
        <v>1</v>
      </c>
      <c r="CI227" s="25">
        <f t="shared" si="322"/>
        <v>1</v>
      </c>
      <c r="CJ227" s="25">
        <f t="shared" si="323"/>
        <v>1</v>
      </c>
      <c r="CK227" s="25">
        <f t="shared" si="324"/>
        <v>1</v>
      </c>
      <c r="CL227" s="25">
        <v>0</v>
      </c>
      <c r="CM227" s="25">
        <f t="shared" si="343"/>
        <v>0</v>
      </c>
      <c r="CN227" s="25">
        <f t="shared" si="325"/>
        <v>0</v>
      </c>
      <c r="CO227" s="25">
        <f t="shared" si="326"/>
        <v>0</v>
      </c>
      <c r="CP227" s="29" t="str">
        <f t="shared" ref="CP227:DQ227" si="372">IF($CL227=CP$78,$CN227,"0")</f>
        <v>0</v>
      </c>
      <c r="CQ227" s="29" t="str">
        <f t="shared" si="372"/>
        <v>0</v>
      </c>
      <c r="CR227" s="29" t="str">
        <f t="shared" si="372"/>
        <v>0</v>
      </c>
      <c r="CS227" s="29" t="str">
        <f t="shared" si="372"/>
        <v>0</v>
      </c>
      <c r="CT227" s="29" t="str">
        <f t="shared" si="372"/>
        <v>0</v>
      </c>
      <c r="CU227" s="29" t="str">
        <f t="shared" si="372"/>
        <v>0</v>
      </c>
      <c r="CV227" s="29" t="str">
        <f t="shared" si="372"/>
        <v>0</v>
      </c>
      <c r="CW227" s="29" t="str">
        <f t="shared" si="372"/>
        <v>0</v>
      </c>
      <c r="CX227" s="29" t="str">
        <f t="shared" si="372"/>
        <v>0</v>
      </c>
      <c r="CY227" s="29" t="str">
        <f t="shared" si="372"/>
        <v>0</v>
      </c>
      <c r="CZ227" s="29" t="str">
        <f t="shared" si="372"/>
        <v>0</v>
      </c>
      <c r="DA227" s="29" t="str">
        <f t="shared" si="372"/>
        <v>0</v>
      </c>
      <c r="DB227" s="29" t="str">
        <f t="shared" si="372"/>
        <v>0</v>
      </c>
      <c r="DC227" s="29" t="str">
        <f t="shared" si="372"/>
        <v>0</v>
      </c>
      <c r="DD227" s="29" t="str">
        <f t="shared" si="372"/>
        <v>0</v>
      </c>
      <c r="DE227" s="29" t="str">
        <f t="shared" si="372"/>
        <v>0</v>
      </c>
      <c r="DF227" s="29" t="str">
        <f t="shared" si="372"/>
        <v>0</v>
      </c>
      <c r="DG227" s="29" t="str">
        <f t="shared" si="372"/>
        <v>0</v>
      </c>
      <c r="DH227" s="29" t="str">
        <f t="shared" si="372"/>
        <v>0</v>
      </c>
      <c r="DI227" s="29" t="str">
        <f t="shared" si="372"/>
        <v>0</v>
      </c>
      <c r="DJ227" s="29" t="str">
        <f t="shared" si="372"/>
        <v>0</v>
      </c>
      <c r="DK227" s="29" t="str">
        <f t="shared" si="372"/>
        <v>0</v>
      </c>
      <c r="DL227" s="29" t="str">
        <f t="shared" si="372"/>
        <v>0</v>
      </c>
      <c r="DM227" s="29" t="str">
        <f t="shared" si="372"/>
        <v>0</v>
      </c>
      <c r="DN227" s="29" t="str">
        <f t="shared" si="372"/>
        <v>0</v>
      </c>
      <c r="DO227" s="29" t="str">
        <f t="shared" si="372"/>
        <v>0</v>
      </c>
      <c r="DP227" s="29" t="str">
        <f t="shared" si="372"/>
        <v>0</v>
      </c>
      <c r="DQ227" s="29" t="str">
        <f t="shared" si="372"/>
        <v>0</v>
      </c>
      <c r="DR227" s="29"/>
      <c r="DS227" s="25">
        <v>0</v>
      </c>
      <c r="EE227" s="25" t="str">
        <f t="shared" si="328"/>
        <v>0</v>
      </c>
    </row>
    <row r="228" spans="1:135">
      <c r="A228" s="48">
        <v>1003030</v>
      </c>
      <c r="B228" s="49" t="s">
        <v>321</v>
      </c>
      <c r="C228" s="25">
        <f t="shared" si="299"/>
        <v>30</v>
      </c>
      <c r="D228" s="25">
        <f t="array" ref="D228">INDEX(C$5:C$67,MATCH($B228,$B$5:$B$67,0))</f>
        <v>7700</v>
      </c>
      <c r="E228" s="25">
        <f t="array" ref="E228">INDEX(D$5:D$67,MATCH($B228,$B$5:$B$67,0))</f>
        <v>616</v>
      </c>
      <c r="F228" s="25">
        <f t="array" ref="F228">INDEX(E$5:E$67,MATCH($B228,$B$5:$B$67,0))</f>
        <v>734</v>
      </c>
      <c r="G228" s="25">
        <f t="array" ref="G228">INDEX(F$5:F$67,MATCH($B228,$B$5:$B$67,0))</f>
        <v>58.72</v>
      </c>
      <c r="H228" s="25">
        <f t="array" ref="H228">INDEX(G$5:G$66,MATCH($B228,$B$5:$B$67,0))</f>
        <v>918</v>
      </c>
      <c r="I228" s="25">
        <f t="array" ref="I228">INDEX(H$5:H$67,MATCH($B228,$B$5:$B$67,0))</f>
        <v>73.44</v>
      </c>
      <c r="J228" s="25">
        <f t="array" ref="J228">INDEX(I$5:I$67,MATCH($B228,$B$5:$B$67,0))</f>
        <v>900</v>
      </c>
      <c r="K228" s="25">
        <f t="array" ref="K228">INDEX(J$5:J$67,MATCH($B228,$B$5:$B$67,0))</f>
        <v>72</v>
      </c>
      <c r="L228" s="25">
        <f t="shared" si="309"/>
        <v>26180</v>
      </c>
      <c r="M228" s="25">
        <f t="shared" si="310"/>
        <v>2496</v>
      </c>
      <c r="N228" s="25">
        <f t="shared" si="311"/>
        <v>3121</v>
      </c>
      <c r="O228" s="25">
        <f t="shared" si="312"/>
        <v>3060</v>
      </c>
      <c r="R228" s="50">
        <f t="array" ref="R228">INDEX($B$46:$B$68,MATCH(S228,$C$46:$C$68,0))*1000+T228</f>
        <v>1006015</v>
      </c>
      <c r="S228" s="51" t="s">
        <v>328</v>
      </c>
      <c r="T228" s="29">
        <f t="shared" si="232"/>
        <v>15</v>
      </c>
      <c r="U228" s="25">
        <f t="array" ref="U228">INDEX(K$5:K$67,MATCH($S228,$B$5:$B$67,0))</f>
        <v>340.8</v>
      </c>
      <c r="V228" s="25">
        <f t="array" ref="V228">INDEX(L$5:L$67,MATCH($S228,$B$5:$B$67,0))</f>
        <v>156.67</v>
      </c>
      <c r="W228" s="25">
        <f t="array" ref="W228">INDEX(M$5:M$67,MATCH($S228,$B$5:$B$67,0))</f>
        <v>122.88</v>
      </c>
      <c r="X228" s="25">
        <f t="array" ref="X228">INDEX(N$5:N$67,MATCH($S228,$B$5:$B$67,0))</f>
        <v>83.3</v>
      </c>
      <c r="Y228" s="25">
        <f t="shared" si="313"/>
        <v>5112</v>
      </c>
      <c r="Z228" s="25">
        <f t="shared" si="314"/>
        <v>2350</v>
      </c>
      <c r="AA228" s="25">
        <f t="shared" si="315"/>
        <v>1843</v>
      </c>
      <c r="AB228" s="25">
        <f t="shared" si="316"/>
        <v>1250</v>
      </c>
      <c r="AF228" s="25">
        <v>150</v>
      </c>
      <c r="AG228" s="25">
        <f t="array" ref="AG228">INDEX($AE$79:$AE$116,QUOTIENT(AF228-1,8)+1)</f>
        <v>1023</v>
      </c>
      <c r="AH228" s="25">
        <f t="shared" si="345"/>
        <v>6</v>
      </c>
      <c r="AI228" s="25">
        <f t="shared" si="317"/>
        <v>10236</v>
      </c>
      <c r="AJ228" s="25" t="str">
        <f t="shared" si="318"/>
        <v>马克</v>
      </c>
      <c r="AK228" s="25">
        <f t="shared" si="346"/>
        <v>1</v>
      </c>
      <c r="AL228" s="25" t="str">
        <f t="array" ref="AL228">INDEX($O$5:$O$42,MATCH(AJ228,$B$5:$B$42,0))</f>
        <v>攻击百分比</v>
      </c>
      <c r="AM228" s="25" t="str">
        <f t="array" ref="AM228">INDEX($P$5:$P$42,MATCH(AJ228,$B$5:$B$42,0))</f>
        <v>必杀伤害加成</v>
      </c>
      <c r="AN228" s="25" t="str">
        <f t="array" ref="AN228">INDEX($Q$5:$Q$42,MATCH(AJ228,$B$5:$B$42,0))</f>
        <v>能量回复等级</v>
      </c>
      <c r="AO228" s="25" t="str">
        <f t="array" ref="AO228">INDEX(AL228:AN228,0,AK228)</f>
        <v>攻击百分比</v>
      </c>
      <c r="AP228" s="25">
        <f t="shared" si="304"/>
        <v>0.216666666666667</v>
      </c>
      <c r="AQ228" s="25">
        <f t="shared" si="319"/>
        <v>0.216666666666667</v>
      </c>
      <c r="AR228" s="25" t="str">
        <f t="shared" ref="AR228:BZ228" si="373">IF(AR$78=$AO228,$AQ228,"0")</f>
        <v>0</v>
      </c>
      <c r="AS228" s="25" t="str">
        <f t="shared" si="373"/>
        <v>0</v>
      </c>
      <c r="AT228" s="25" t="str">
        <f t="shared" si="373"/>
        <v>0</v>
      </c>
      <c r="AU228" s="25">
        <f t="shared" si="373"/>
        <v>0.216666666666667</v>
      </c>
      <c r="AV228" s="25" t="str">
        <f t="shared" si="373"/>
        <v>0</v>
      </c>
      <c r="AW228" s="25">
        <f t="shared" si="373"/>
        <v>0.216666666666667</v>
      </c>
      <c r="AX228" s="25" t="str">
        <f t="shared" si="373"/>
        <v>0</v>
      </c>
      <c r="AY228" s="25" t="str">
        <f t="shared" si="373"/>
        <v>0</v>
      </c>
      <c r="AZ228" s="25" t="str">
        <f t="shared" si="373"/>
        <v>0</v>
      </c>
      <c r="BA228" s="25" t="str">
        <f t="shared" si="373"/>
        <v>0</v>
      </c>
      <c r="BB228" s="25" t="str">
        <f t="shared" si="373"/>
        <v>0</v>
      </c>
      <c r="BC228" s="25" t="str">
        <f t="shared" si="373"/>
        <v>0</v>
      </c>
      <c r="BD228" s="25" t="str">
        <f t="shared" si="373"/>
        <v>0</v>
      </c>
      <c r="BE228" s="25" t="str">
        <f t="shared" si="373"/>
        <v>0</v>
      </c>
      <c r="BF228" s="25" t="str">
        <f t="shared" si="373"/>
        <v>0</v>
      </c>
      <c r="BG228" s="25" t="str">
        <f t="shared" si="373"/>
        <v>0</v>
      </c>
      <c r="BH228" s="25" t="str">
        <f t="shared" si="373"/>
        <v>0</v>
      </c>
      <c r="BI228" s="25" t="str">
        <f t="shared" si="373"/>
        <v>0</v>
      </c>
      <c r="BJ228" s="25" t="str">
        <f t="shared" si="373"/>
        <v>0</v>
      </c>
      <c r="BK228" s="25" t="str">
        <f t="shared" si="373"/>
        <v>0</v>
      </c>
      <c r="BL228" s="25" t="str">
        <f t="shared" si="373"/>
        <v>0</v>
      </c>
      <c r="BM228" s="25" t="str">
        <f t="shared" si="373"/>
        <v>0</v>
      </c>
      <c r="BN228" s="25" t="str">
        <f t="shared" si="373"/>
        <v>0</v>
      </c>
      <c r="BO228" s="25" t="str">
        <f t="shared" si="373"/>
        <v>0</v>
      </c>
      <c r="BP228" s="25" t="str">
        <f t="shared" si="373"/>
        <v>0</v>
      </c>
      <c r="BQ228" s="25" t="str">
        <f t="shared" si="373"/>
        <v>0</v>
      </c>
      <c r="BR228" s="25" t="str">
        <f t="shared" si="373"/>
        <v>0</v>
      </c>
      <c r="BS228" s="25" t="str">
        <f t="shared" si="373"/>
        <v>0</v>
      </c>
      <c r="BT228" s="25" t="str">
        <f t="shared" si="373"/>
        <v>0</v>
      </c>
      <c r="BU228" s="25" t="str">
        <f t="shared" si="373"/>
        <v>0</v>
      </c>
      <c r="BV228" s="25" t="str">
        <f t="shared" si="373"/>
        <v>0</v>
      </c>
      <c r="BW228" s="25" t="str">
        <f t="shared" si="373"/>
        <v>0</v>
      </c>
      <c r="BX228" s="25" t="str">
        <f t="shared" si="373"/>
        <v>0</v>
      </c>
      <c r="BY228" s="25" t="str">
        <f t="shared" si="373"/>
        <v>0</v>
      </c>
      <c r="BZ228" s="25" t="str">
        <f t="shared" si="373"/>
        <v>0</v>
      </c>
      <c r="CC228" s="25" t="str">
        <f t="array" ref="CC228">INDEX($C$46:$C$74,MATCH(CD228,$B$46:$B$74,0))</f>
        <v>凯兰</v>
      </c>
      <c r="CD228" s="1">
        <v>1029</v>
      </c>
      <c r="CE228" s="1">
        <v>2</v>
      </c>
      <c r="CF228" s="25" t="str">
        <f t="array" ref="CF228">INDEX($T$5:$T$44,MATCH(CC228,$B$5:$B$44,0))</f>
        <v>魔法</v>
      </c>
      <c r="CG228" s="25">
        <f t="shared" si="342"/>
        <v>0</v>
      </c>
      <c r="CH228" s="25">
        <f t="shared" si="321"/>
        <v>1</v>
      </c>
      <c r="CI228" s="25">
        <f t="shared" si="322"/>
        <v>1</v>
      </c>
      <c r="CJ228" s="25">
        <f t="shared" si="323"/>
        <v>1</v>
      </c>
      <c r="CK228" s="25">
        <f t="shared" si="324"/>
        <v>1</v>
      </c>
      <c r="CL228" s="25">
        <v>0</v>
      </c>
      <c r="CM228" s="25">
        <f t="shared" si="343"/>
        <v>0</v>
      </c>
      <c r="CN228" s="25">
        <f t="shared" si="325"/>
        <v>0</v>
      </c>
      <c r="CO228" s="25">
        <f t="shared" si="326"/>
        <v>0</v>
      </c>
      <c r="CP228" s="29" t="str">
        <f t="shared" ref="CP228:DQ228" si="374">IF($CL228=CP$78,$CN228,"0")</f>
        <v>0</v>
      </c>
      <c r="CQ228" s="29" t="str">
        <f t="shared" si="374"/>
        <v>0</v>
      </c>
      <c r="CR228" s="29" t="str">
        <f t="shared" si="374"/>
        <v>0</v>
      </c>
      <c r="CS228" s="29" t="str">
        <f t="shared" si="374"/>
        <v>0</v>
      </c>
      <c r="CT228" s="29" t="str">
        <f t="shared" si="374"/>
        <v>0</v>
      </c>
      <c r="CU228" s="29" t="str">
        <f t="shared" si="374"/>
        <v>0</v>
      </c>
      <c r="CV228" s="29" t="str">
        <f t="shared" si="374"/>
        <v>0</v>
      </c>
      <c r="CW228" s="29" t="str">
        <f t="shared" si="374"/>
        <v>0</v>
      </c>
      <c r="CX228" s="29" t="str">
        <f t="shared" si="374"/>
        <v>0</v>
      </c>
      <c r="CY228" s="29" t="str">
        <f t="shared" si="374"/>
        <v>0</v>
      </c>
      <c r="CZ228" s="29" t="str">
        <f t="shared" si="374"/>
        <v>0</v>
      </c>
      <c r="DA228" s="29" t="str">
        <f t="shared" si="374"/>
        <v>0</v>
      </c>
      <c r="DB228" s="29" t="str">
        <f t="shared" si="374"/>
        <v>0</v>
      </c>
      <c r="DC228" s="29" t="str">
        <f t="shared" si="374"/>
        <v>0</v>
      </c>
      <c r="DD228" s="29" t="str">
        <f t="shared" si="374"/>
        <v>0</v>
      </c>
      <c r="DE228" s="29" t="str">
        <f t="shared" si="374"/>
        <v>0</v>
      </c>
      <c r="DF228" s="29" t="str">
        <f t="shared" si="374"/>
        <v>0</v>
      </c>
      <c r="DG228" s="29" t="str">
        <f t="shared" si="374"/>
        <v>0</v>
      </c>
      <c r="DH228" s="29" t="str">
        <f t="shared" si="374"/>
        <v>0</v>
      </c>
      <c r="DI228" s="29" t="str">
        <f t="shared" si="374"/>
        <v>0</v>
      </c>
      <c r="DJ228" s="29" t="str">
        <f t="shared" si="374"/>
        <v>0</v>
      </c>
      <c r="DK228" s="29" t="str">
        <f t="shared" si="374"/>
        <v>0</v>
      </c>
      <c r="DL228" s="29" t="str">
        <f t="shared" si="374"/>
        <v>0</v>
      </c>
      <c r="DM228" s="29" t="str">
        <f t="shared" si="374"/>
        <v>0</v>
      </c>
      <c r="DN228" s="29" t="str">
        <f t="shared" si="374"/>
        <v>0</v>
      </c>
      <c r="DO228" s="29" t="str">
        <f t="shared" si="374"/>
        <v>0</v>
      </c>
      <c r="DP228" s="29" t="str">
        <f t="shared" si="374"/>
        <v>0</v>
      </c>
      <c r="DQ228" s="29" t="str">
        <f t="shared" si="374"/>
        <v>0</v>
      </c>
      <c r="DR228" s="29"/>
      <c r="DS228" s="25">
        <v>0</v>
      </c>
      <c r="EE228" s="25" t="str">
        <f t="shared" si="328"/>
        <v>0</v>
      </c>
    </row>
    <row r="229" spans="1:135">
      <c r="A229" s="48">
        <v>1003031</v>
      </c>
      <c r="B229" s="49" t="s">
        <v>321</v>
      </c>
      <c r="C229" s="25">
        <f t="shared" si="299"/>
        <v>31</v>
      </c>
      <c r="D229" s="25">
        <f t="array" ref="D229">INDEX(C$5:C$67,MATCH($B229,$B$5:$B$67,0))</f>
        <v>7700</v>
      </c>
      <c r="E229" s="25">
        <f t="array" ref="E229">INDEX(D$5:D$67,MATCH($B229,$B$5:$B$67,0))</f>
        <v>616</v>
      </c>
      <c r="F229" s="25">
        <f t="array" ref="F229">INDEX(E$5:E$67,MATCH($B229,$B$5:$B$67,0))</f>
        <v>734</v>
      </c>
      <c r="G229" s="25">
        <f t="array" ref="G229">INDEX(F$5:F$67,MATCH($B229,$B$5:$B$67,0))</f>
        <v>58.72</v>
      </c>
      <c r="H229" s="25">
        <f t="array" ref="H229">INDEX(G$5:G$66,MATCH($B229,$B$5:$B$67,0))</f>
        <v>918</v>
      </c>
      <c r="I229" s="25">
        <f t="array" ref="I229">INDEX(H$5:H$67,MATCH($B229,$B$5:$B$67,0))</f>
        <v>73.44</v>
      </c>
      <c r="J229" s="25">
        <f t="array" ref="J229">INDEX(I$5:I$67,MATCH($B229,$B$5:$B$67,0))</f>
        <v>900</v>
      </c>
      <c r="K229" s="25">
        <f t="array" ref="K229">INDEX(J$5:J$67,MATCH($B229,$B$5:$B$67,0))</f>
        <v>72</v>
      </c>
      <c r="L229" s="25">
        <f t="shared" si="309"/>
        <v>26796</v>
      </c>
      <c r="M229" s="25">
        <f t="shared" si="310"/>
        <v>2554</v>
      </c>
      <c r="N229" s="25">
        <f t="shared" si="311"/>
        <v>3195</v>
      </c>
      <c r="O229" s="25">
        <f t="shared" si="312"/>
        <v>3132</v>
      </c>
      <c r="R229" s="50">
        <f t="array" ref="R229">INDEX($B$46:$B$68,MATCH(S229,$C$46:$C$68,0))*1000+T229</f>
        <v>1006016</v>
      </c>
      <c r="S229" s="51" t="s">
        <v>328</v>
      </c>
      <c r="T229" s="29">
        <f t="shared" si="232"/>
        <v>16</v>
      </c>
      <c r="U229" s="25">
        <f t="array" ref="U229">INDEX(K$5:K$67,MATCH($S229,$B$5:$B$67,0))</f>
        <v>340.8</v>
      </c>
      <c r="V229" s="25">
        <f t="array" ref="V229">INDEX(L$5:L$67,MATCH($S229,$B$5:$B$67,0))</f>
        <v>156.67</v>
      </c>
      <c r="W229" s="25">
        <f t="array" ref="W229">INDEX(M$5:M$67,MATCH($S229,$B$5:$B$67,0))</f>
        <v>122.88</v>
      </c>
      <c r="X229" s="25">
        <f t="array" ref="X229">INDEX(N$5:N$67,MATCH($S229,$B$5:$B$67,0))</f>
        <v>83.3</v>
      </c>
      <c r="Y229" s="25">
        <f t="shared" si="313"/>
        <v>5453</v>
      </c>
      <c r="Z229" s="25">
        <f t="shared" si="314"/>
        <v>2507</v>
      </c>
      <c r="AA229" s="25">
        <f t="shared" si="315"/>
        <v>1966</v>
      </c>
      <c r="AB229" s="25">
        <f t="shared" si="316"/>
        <v>1333</v>
      </c>
      <c r="AF229" s="25">
        <v>151</v>
      </c>
      <c r="AG229" s="25">
        <f t="array" ref="AG229">INDEX($AE$79:$AE$116,QUOTIENT(AF229-1,8)+1)</f>
        <v>1023</v>
      </c>
      <c r="AH229" s="25">
        <f t="shared" si="345"/>
        <v>7</v>
      </c>
      <c r="AI229" s="25">
        <f t="shared" si="317"/>
        <v>10237</v>
      </c>
      <c r="AJ229" s="25" t="str">
        <f t="shared" si="318"/>
        <v>马克</v>
      </c>
      <c r="AK229" s="25">
        <f t="shared" si="346"/>
        <v>2</v>
      </c>
      <c r="AL229" s="25" t="str">
        <f t="array" ref="AL229">INDEX($O$5:$O$42,MATCH(AJ229,$B$5:$B$42,0))</f>
        <v>攻击百分比</v>
      </c>
      <c r="AM229" s="25" t="str">
        <f t="array" ref="AM229">INDEX($P$5:$P$42,MATCH(AJ229,$B$5:$B$42,0))</f>
        <v>必杀伤害加成</v>
      </c>
      <c r="AN229" s="25" t="str">
        <f t="array" ref="AN229">INDEX($Q$5:$Q$42,MATCH(AJ229,$B$5:$B$42,0))</f>
        <v>能量回复等级</v>
      </c>
      <c r="AO229" s="25" t="str">
        <f t="array" ref="AO229">INDEX(AL229:AN229,0,AK229)</f>
        <v>必杀伤害加成</v>
      </c>
      <c r="AP229" s="25">
        <f t="shared" si="304"/>
        <v>0.15</v>
      </c>
      <c r="AQ229" s="25">
        <f t="shared" si="319"/>
        <v>0.18</v>
      </c>
      <c r="AR229" s="25" t="str">
        <f t="shared" ref="AR229:BZ229" si="375">IF(AR$78=$AO229,$AQ229,"0")</f>
        <v>0</v>
      </c>
      <c r="AS229" s="25" t="str">
        <f t="shared" si="375"/>
        <v>0</v>
      </c>
      <c r="AT229" s="25" t="str">
        <f t="shared" si="375"/>
        <v>0</v>
      </c>
      <c r="AU229" s="25" t="str">
        <f t="shared" si="375"/>
        <v>0</v>
      </c>
      <c r="AV229" s="25" t="str">
        <f t="shared" si="375"/>
        <v>0</v>
      </c>
      <c r="AW229" s="25" t="str">
        <f t="shared" si="375"/>
        <v>0</v>
      </c>
      <c r="AX229" s="25" t="str">
        <f t="shared" si="375"/>
        <v>0</v>
      </c>
      <c r="AY229" s="25" t="str">
        <f t="shared" si="375"/>
        <v>0</v>
      </c>
      <c r="AZ229" s="25" t="str">
        <f t="shared" si="375"/>
        <v>0</v>
      </c>
      <c r="BA229" s="25" t="str">
        <f t="shared" si="375"/>
        <v>0</v>
      </c>
      <c r="BB229" s="25" t="str">
        <f t="shared" si="375"/>
        <v>0</v>
      </c>
      <c r="BC229" s="25" t="str">
        <f t="shared" si="375"/>
        <v>0</v>
      </c>
      <c r="BD229" s="25" t="str">
        <f t="shared" si="375"/>
        <v>0</v>
      </c>
      <c r="BE229" s="25" t="str">
        <f t="shared" si="375"/>
        <v>0</v>
      </c>
      <c r="BF229" s="25" t="str">
        <f t="shared" si="375"/>
        <v>0</v>
      </c>
      <c r="BG229" s="25" t="str">
        <f t="shared" si="375"/>
        <v>0</v>
      </c>
      <c r="BH229" s="25" t="str">
        <f t="shared" si="375"/>
        <v>0</v>
      </c>
      <c r="BI229" s="25" t="str">
        <f t="shared" si="375"/>
        <v>0</v>
      </c>
      <c r="BJ229" s="25" t="str">
        <f t="shared" si="375"/>
        <v>0</v>
      </c>
      <c r="BK229" s="25" t="str">
        <f t="shared" si="375"/>
        <v>0</v>
      </c>
      <c r="BL229" s="25" t="str">
        <f t="shared" si="375"/>
        <v>0</v>
      </c>
      <c r="BM229" s="25" t="str">
        <f t="shared" si="375"/>
        <v>0</v>
      </c>
      <c r="BN229" s="25" t="str">
        <f t="shared" si="375"/>
        <v>0</v>
      </c>
      <c r="BO229" s="25">
        <f t="shared" si="375"/>
        <v>0.18</v>
      </c>
      <c r="BP229" s="25" t="str">
        <f t="shared" si="375"/>
        <v>0</v>
      </c>
      <c r="BQ229" s="25" t="str">
        <f t="shared" si="375"/>
        <v>0</v>
      </c>
      <c r="BR229" s="25" t="str">
        <f t="shared" si="375"/>
        <v>0</v>
      </c>
      <c r="BS229" s="25" t="str">
        <f t="shared" si="375"/>
        <v>0</v>
      </c>
      <c r="BT229" s="25" t="str">
        <f t="shared" si="375"/>
        <v>0</v>
      </c>
      <c r="BU229" s="25" t="str">
        <f t="shared" si="375"/>
        <v>0</v>
      </c>
      <c r="BV229" s="25" t="str">
        <f t="shared" si="375"/>
        <v>0</v>
      </c>
      <c r="BW229" s="25" t="str">
        <f t="shared" si="375"/>
        <v>0</v>
      </c>
      <c r="BX229" s="25" t="str">
        <f t="shared" si="375"/>
        <v>0</v>
      </c>
      <c r="BY229" s="25" t="str">
        <f t="shared" si="375"/>
        <v>0</v>
      </c>
      <c r="BZ229" s="25" t="str">
        <f t="shared" si="375"/>
        <v>0</v>
      </c>
      <c r="CC229" s="25" t="str">
        <f t="array" ref="CC229">INDEX($C$46:$C$74,MATCH(CD229,$B$46:$B$74,0))</f>
        <v>凯兰</v>
      </c>
      <c r="CD229" s="1">
        <v>1029</v>
      </c>
      <c r="CE229" s="1">
        <v>3</v>
      </c>
      <c r="CF229" s="25" t="str">
        <f t="array" ref="CF229">INDEX($T$5:$T$44,MATCH(CC229,$B$5:$B$44,0))</f>
        <v>魔法</v>
      </c>
      <c r="CG229" s="25">
        <f t="shared" si="342"/>
        <v>0.15</v>
      </c>
      <c r="CH229" s="25">
        <f t="shared" si="321"/>
        <v>1.15</v>
      </c>
      <c r="CI229" s="25">
        <f t="shared" si="322"/>
        <v>1</v>
      </c>
      <c r="CJ229" s="25">
        <f t="shared" si="323"/>
        <v>1.15</v>
      </c>
      <c r="CK229" s="25">
        <f t="shared" si="324"/>
        <v>1.15</v>
      </c>
      <c r="CL229" s="25" t="str">
        <f t="array" ref="CL229">INDEX($R$5:$R$43,MATCH(CC229,$B$5:$B$43,0))</f>
        <v>魔法伤害加成</v>
      </c>
      <c r="CM229" s="25">
        <f t="shared" si="343"/>
        <v>0.3</v>
      </c>
      <c r="CN229" s="25">
        <f t="shared" si="325"/>
        <v>0.12</v>
      </c>
      <c r="CO229" s="25">
        <f t="shared" si="326"/>
        <v>1</v>
      </c>
      <c r="CP229" s="29" t="str">
        <f t="shared" ref="CP229:DQ229" si="376">IF($CL229=CP$78,$CN229,"0")</f>
        <v>0</v>
      </c>
      <c r="CQ229" s="29" t="str">
        <f t="shared" si="376"/>
        <v>0</v>
      </c>
      <c r="CR229" s="29" t="str">
        <f t="shared" si="376"/>
        <v>0</v>
      </c>
      <c r="CS229" s="29" t="str">
        <f t="shared" si="376"/>
        <v>0</v>
      </c>
      <c r="CT229" s="29" t="str">
        <f t="shared" si="376"/>
        <v>0</v>
      </c>
      <c r="CU229" s="29" t="str">
        <f t="shared" si="376"/>
        <v>0</v>
      </c>
      <c r="CV229" s="29" t="str">
        <f t="shared" si="376"/>
        <v>0</v>
      </c>
      <c r="CW229" s="29" t="str">
        <f t="shared" si="376"/>
        <v>0</v>
      </c>
      <c r="CX229" s="29" t="str">
        <f t="shared" si="376"/>
        <v>0</v>
      </c>
      <c r="CY229" s="29" t="str">
        <f t="shared" si="376"/>
        <v>0</v>
      </c>
      <c r="CZ229" s="29" t="str">
        <f t="shared" si="376"/>
        <v>0</v>
      </c>
      <c r="DA229" s="29" t="str">
        <f t="shared" si="376"/>
        <v>0</v>
      </c>
      <c r="DB229" s="29" t="str">
        <f t="shared" si="376"/>
        <v>0</v>
      </c>
      <c r="DC229" s="29">
        <f t="shared" si="376"/>
        <v>0.12</v>
      </c>
      <c r="DD229" s="29" t="str">
        <f t="shared" si="376"/>
        <v>0</v>
      </c>
      <c r="DE229" s="29" t="str">
        <f t="shared" si="376"/>
        <v>0</v>
      </c>
      <c r="DF229" s="29" t="str">
        <f t="shared" si="376"/>
        <v>0</v>
      </c>
      <c r="DG229" s="29" t="str">
        <f t="shared" si="376"/>
        <v>0</v>
      </c>
      <c r="DH229" s="29" t="str">
        <f t="shared" si="376"/>
        <v>0</v>
      </c>
      <c r="DI229" s="29" t="str">
        <f t="shared" si="376"/>
        <v>0</v>
      </c>
      <c r="DJ229" s="29" t="str">
        <f t="shared" si="376"/>
        <v>0</v>
      </c>
      <c r="DK229" s="29" t="str">
        <f t="shared" si="376"/>
        <v>0</v>
      </c>
      <c r="DL229" s="29" t="str">
        <f t="shared" si="376"/>
        <v>0</v>
      </c>
      <c r="DM229" s="29" t="str">
        <f t="shared" si="376"/>
        <v>0</v>
      </c>
      <c r="DN229" s="29" t="str">
        <f t="shared" si="376"/>
        <v>0</v>
      </c>
      <c r="DO229" s="29" t="str">
        <f t="shared" si="376"/>
        <v>0</v>
      </c>
      <c r="DP229" s="29" t="str">
        <f t="shared" si="376"/>
        <v>0</v>
      </c>
      <c r="DQ229" s="29" t="str">
        <f t="shared" si="376"/>
        <v>0</v>
      </c>
      <c r="DR229" s="29"/>
      <c r="DS229" s="25" t="s">
        <v>1011</v>
      </c>
      <c r="DT229" s="25" t="str">
        <f>TEXT(角色升星!$F$18,"0%")</f>
        <v>15%</v>
      </c>
      <c r="DU229" s="25" t="s">
        <v>779</v>
      </c>
      <c r="DV229" s="25" t="str">
        <f>IF(CF229="物理","PhysicsAttack,+","MagicAttack,+")</f>
        <v>MagicAttack,+</v>
      </c>
      <c r="DW229" s="25" t="str">
        <f>TEXT(角色升星!$F$18,"0%")</f>
        <v>15%</v>
      </c>
      <c r="DX229" s="25" t="s">
        <v>779</v>
      </c>
      <c r="DY229" s="25" t="s">
        <v>1012</v>
      </c>
      <c r="DZ229" s="25" t="str">
        <f>TEXT(角色升星!$F$18,"0%")</f>
        <v>15%</v>
      </c>
      <c r="EA229" s="25" t="s">
        <v>779</v>
      </c>
      <c r="EB229" s="25" t="str">
        <f>VLOOKUP(CL229,$O$46:$P$73,2,0)</f>
        <v>MagicDmgBonus</v>
      </c>
      <c r="EC229" s="25" t="s">
        <v>1013</v>
      </c>
      <c r="ED229" s="25" t="str">
        <f>IF(CN229&gt;1,CN229,TEXT(CN229,"0%"))</f>
        <v>12%</v>
      </c>
      <c r="EE229" s="25" t="str">
        <f t="shared" si="328"/>
        <v>Hp,+15%;MagicAttack,+15%;Armor,+15%;MagicDmgBonus,+12%</v>
      </c>
    </row>
    <row r="230" spans="1:135">
      <c r="A230" s="48">
        <v>1003032</v>
      </c>
      <c r="B230" s="49" t="s">
        <v>321</v>
      </c>
      <c r="C230" s="25">
        <f t="shared" si="299"/>
        <v>32</v>
      </c>
      <c r="D230" s="25">
        <f t="array" ref="D230">INDEX(C$5:C$67,MATCH($B230,$B$5:$B$67,0))</f>
        <v>7700</v>
      </c>
      <c r="E230" s="25">
        <f t="array" ref="E230">INDEX(D$5:D$67,MATCH($B230,$B$5:$B$67,0))</f>
        <v>616</v>
      </c>
      <c r="F230" s="25">
        <f t="array" ref="F230">INDEX(E$5:E$67,MATCH($B230,$B$5:$B$67,0))</f>
        <v>734</v>
      </c>
      <c r="G230" s="25">
        <f t="array" ref="G230">INDEX(F$5:F$67,MATCH($B230,$B$5:$B$67,0))</f>
        <v>58.72</v>
      </c>
      <c r="H230" s="25">
        <f t="array" ref="H230">INDEX(G$5:G$66,MATCH($B230,$B$5:$B$67,0))</f>
        <v>918</v>
      </c>
      <c r="I230" s="25">
        <f t="array" ref="I230">INDEX(H$5:H$67,MATCH($B230,$B$5:$B$67,0))</f>
        <v>73.44</v>
      </c>
      <c r="J230" s="25">
        <f t="array" ref="J230">INDEX(I$5:I$67,MATCH($B230,$B$5:$B$67,0))</f>
        <v>900</v>
      </c>
      <c r="K230" s="25">
        <f t="array" ref="K230">INDEX(J$5:J$67,MATCH($B230,$B$5:$B$67,0))</f>
        <v>72</v>
      </c>
      <c r="L230" s="25">
        <f t="shared" si="309"/>
        <v>27412</v>
      </c>
      <c r="M230" s="25">
        <f t="shared" si="310"/>
        <v>2613</v>
      </c>
      <c r="N230" s="25">
        <f t="shared" si="311"/>
        <v>3268</v>
      </c>
      <c r="O230" s="25">
        <f t="shared" si="312"/>
        <v>3204</v>
      </c>
      <c r="R230" s="50">
        <f t="array" ref="R230">INDEX($B$46:$B$68,MATCH(S230,$C$46:$C$68,0))*1000+T230</f>
        <v>1006017</v>
      </c>
      <c r="S230" s="51" t="s">
        <v>328</v>
      </c>
      <c r="T230" s="29">
        <f t="shared" si="232"/>
        <v>17</v>
      </c>
      <c r="U230" s="25">
        <f t="array" ref="U230">INDEX(K$5:K$67,MATCH($S230,$B$5:$B$67,0))</f>
        <v>340.8</v>
      </c>
      <c r="V230" s="25">
        <f t="array" ref="V230">INDEX(L$5:L$67,MATCH($S230,$B$5:$B$67,0))</f>
        <v>156.67</v>
      </c>
      <c r="W230" s="25">
        <f t="array" ref="W230">INDEX(M$5:M$67,MATCH($S230,$B$5:$B$67,0))</f>
        <v>122.88</v>
      </c>
      <c r="X230" s="25">
        <f t="array" ref="X230">INDEX(N$5:N$67,MATCH($S230,$B$5:$B$67,0))</f>
        <v>83.3</v>
      </c>
      <c r="Y230" s="25">
        <f t="shared" si="313"/>
        <v>5794</v>
      </c>
      <c r="Z230" s="25">
        <f t="shared" si="314"/>
        <v>2663</v>
      </c>
      <c r="AA230" s="25">
        <f t="shared" si="315"/>
        <v>2089</v>
      </c>
      <c r="AB230" s="25">
        <f t="shared" si="316"/>
        <v>1416</v>
      </c>
      <c r="AF230" s="25">
        <v>152</v>
      </c>
      <c r="AG230" s="25">
        <f t="array" ref="AG230">INDEX($AE$79:$AE$116,QUOTIENT(AF230-1,8)+1)</f>
        <v>1023</v>
      </c>
      <c r="AH230" s="25">
        <f t="shared" si="345"/>
        <v>8</v>
      </c>
      <c r="AI230" s="25">
        <f t="shared" si="317"/>
        <v>10238</v>
      </c>
      <c r="AJ230" s="25" t="str">
        <f t="shared" si="318"/>
        <v>马克</v>
      </c>
      <c r="AK230" s="25">
        <f t="shared" si="346"/>
        <v>3</v>
      </c>
      <c r="AL230" s="25" t="str">
        <f t="array" ref="AL230">INDEX($O$5:$O$42,MATCH(AJ230,$B$5:$B$42,0))</f>
        <v>攻击百分比</v>
      </c>
      <c r="AM230" s="25" t="str">
        <f t="array" ref="AM230">INDEX($P$5:$P$42,MATCH(AJ230,$B$5:$B$42,0))</f>
        <v>必杀伤害加成</v>
      </c>
      <c r="AN230" s="25" t="str">
        <f t="array" ref="AN230">INDEX($Q$5:$Q$42,MATCH(AJ230,$B$5:$B$42,0))</f>
        <v>能量回复等级</v>
      </c>
      <c r="AO230" s="25" t="str">
        <f t="array" ref="AO230">INDEX(AL230:AN230,0,AK230)</f>
        <v>能量回复等级</v>
      </c>
      <c r="AP230" s="25">
        <f t="shared" si="304"/>
        <v>0.216666666666667</v>
      </c>
      <c r="AQ230" s="25">
        <f t="shared" si="319"/>
        <v>1950</v>
      </c>
      <c r="AR230" s="25" t="str">
        <f t="shared" ref="AR230:BZ230" si="377">IF(AR$78=$AO230,$AQ230,"0")</f>
        <v>0</v>
      </c>
      <c r="AS230" s="25" t="str">
        <f t="shared" si="377"/>
        <v>0</v>
      </c>
      <c r="AT230" s="25" t="str">
        <f t="shared" si="377"/>
        <v>0</v>
      </c>
      <c r="AU230" s="25" t="str">
        <f t="shared" si="377"/>
        <v>0</v>
      </c>
      <c r="AV230" s="25" t="str">
        <f t="shared" si="377"/>
        <v>0</v>
      </c>
      <c r="AW230" s="25" t="str">
        <f t="shared" si="377"/>
        <v>0</v>
      </c>
      <c r="AX230" s="25" t="str">
        <f t="shared" si="377"/>
        <v>0</v>
      </c>
      <c r="AY230" s="25" t="str">
        <f t="shared" si="377"/>
        <v>0</v>
      </c>
      <c r="AZ230" s="25" t="str">
        <f t="shared" si="377"/>
        <v>0</v>
      </c>
      <c r="BA230" s="25" t="str">
        <f t="shared" si="377"/>
        <v>0</v>
      </c>
      <c r="BB230" s="25" t="str">
        <f t="shared" si="377"/>
        <v>0</v>
      </c>
      <c r="BC230" s="25" t="str">
        <f t="shared" si="377"/>
        <v>0</v>
      </c>
      <c r="BD230" s="25" t="str">
        <f t="shared" si="377"/>
        <v>0</v>
      </c>
      <c r="BE230" s="25" t="str">
        <f t="shared" si="377"/>
        <v>0</v>
      </c>
      <c r="BF230" s="25" t="str">
        <f t="shared" si="377"/>
        <v>0</v>
      </c>
      <c r="BG230" s="25" t="str">
        <f t="shared" si="377"/>
        <v>0</v>
      </c>
      <c r="BH230" s="25" t="str">
        <f t="shared" si="377"/>
        <v>0</v>
      </c>
      <c r="BI230" s="25" t="str">
        <f t="shared" si="377"/>
        <v>0</v>
      </c>
      <c r="BJ230" s="25" t="str">
        <f t="shared" si="377"/>
        <v>0</v>
      </c>
      <c r="BK230" s="25" t="str">
        <f t="shared" si="377"/>
        <v>0</v>
      </c>
      <c r="BL230" s="25" t="str">
        <f t="shared" si="377"/>
        <v>0</v>
      </c>
      <c r="BM230" s="25" t="str">
        <f t="shared" si="377"/>
        <v>0</v>
      </c>
      <c r="BN230" s="25" t="str">
        <f t="shared" si="377"/>
        <v>0</v>
      </c>
      <c r="BO230" s="25" t="str">
        <f t="shared" si="377"/>
        <v>0</v>
      </c>
      <c r="BP230" s="25" t="str">
        <f t="shared" si="377"/>
        <v>0</v>
      </c>
      <c r="BQ230" s="25" t="str">
        <f t="shared" si="377"/>
        <v>0</v>
      </c>
      <c r="BR230" s="25" t="str">
        <f t="shared" si="377"/>
        <v>0</v>
      </c>
      <c r="BS230" s="25" t="str">
        <f t="shared" si="377"/>
        <v>0</v>
      </c>
      <c r="BT230" s="25" t="str">
        <f t="shared" si="377"/>
        <v>0</v>
      </c>
      <c r="BU230" s="25" t="str">
        <f t="shared" si="377"/>
        <v>0</v>
      </c>
      <c r="BV230" s="25" t="str">
        <f t="shared" si="377"/>
        <v>0</v>
      </c>
      <c r="BW230" s="25" t="str">
        <f t="shared" si="377"/>
        <v>0</v>
      </c>
      <c r="BX230" s="25" t="str">
        <f t="shared" si="377"/>
        <v>0</v>
      </c>
      <c r="BY230" s="25">
        <f t="shared" si="377"/>
        <v>1950</v>
      </c>
      <c r="BZ230" s="25" t="str">
        <f t="shared" si="377"/>
        <v>0</v>
      </c>
      <c r="CC230" s="25" t="str">
        <f t="array" ref="CC230">INDEX($C$46:$C$74,MATCH(CD230,$B$46:$B$74,0))</f>
        <v>凯兰</v>
      </c>
      <c r="CD230" s="1">
        <v>1029</v>
      </c>
      <c r="CE230" s="1">
        <v>4</v>
      </c>
      <c r="CF230" s="25" t="str">
        <f t="array" ref="CF230">INDEX($T$5:$T$44,MATCH(CC230,$B$5:$B$44,0))</f>
        <v>魔法</v>
      </c>
      <c r="CG230" s="25">
        <f t="shared" si="342"/>
        <v>0.15</v>
      </c>
      <c r="CH230" s="25">
        <f t="shared" si="321"/>
        <v>1.15</v>
      </c>
      <c r="CI230" s="25">
        <f t="shared" si="322"/>
        <v>1</v>
      </c>
      <c r="CJ230" s="25">
        <f t="shared" si="323"/>
        <v>1.15</v>
      </c>
      <c r="CK230" s="25">
        <f t="shared" si="324"/>
        <v>1.15</v>
      </c>
      <c r="CL230" s="25">
        <v>0</v>
      </c>
      <c r="CM230" s="25">
        <f t="shared" si="343"/>
        <v>0</v>
      </c>
      <c r="CN230" s="25">
        <f t="shared" si="325"/>
        <v>0</v>
      </c>
      <c r="CO230" s="25">
        <f t="shared" si="326"/>
        <v>0</v>
      </c>
      <c r="CP230" s="29" t="str">
        <f t="shared" ref="CP230:DQ230" si="378">IF($CL230=CP$78,$CN230,"0")</f>
        <v>0</v>
      </c>
      <c r="CQ230" s="29" t="str">
        <f t="shared" si="378"/>
        <v>0</v>
      </c>
      <c r="CR230" s="29" t="str">
        <f t="shared" si="378"/>
        <v>0</v>
      </c>
      <c r="CS230" s="29" t="str">
        <f t="shared" si="378"/>
        <v>0</v>
      </c>
      <c r="CT230" s="29" t="str">
        <f t="shared" si="378"/>
        <v>0</v>
      </c>
      <c r="CU230" s="29" t="str">
        <f t="shared" si="378"/>
        <v>0</v>
      </c>
      <c r="CV230" s="29" t="str">
        <f t="shared" si="378"/>
        <v>0</v>
      </c>
      <c r="CW230" s="29" t="str">
        <f t="shared" si="378"/>
        <v>0</v>
      </c>
      <c r="CX230" s="29" t="str">
        <f t="shared" si="378"/>
        <v>0</v>
      </c>
      <c r="CY230" s="29" t="str">
        <f t="shared" si="378"/>
        <v>0</v>
      </c>
      <c r="CZ230" s="29" t="str">
        <f t="shared" si="378"/>
        <v>0</v>
      </c>
      <c r="DA230" s="29" t="str">
        <f t="shared" si="378"/>
        <v>0</v>
      </c>
      <c r="DB230" s="29" t="str">
        <f t="shared" si="378"/>
        <v>0</v>
      </c>
      <c r="DC230" s="29" t="str">
        <f t="shared" si="378"/>
        <v>0</v>
      </c>
      <c r="DD230" s="29" t="str">
        <f t="shared" si="378"/>
        <v>0</v>
      </c>
      <c r="DE230" s="29" t="str">
        <f t="shared" si="378"/>
        <v>0</v>
      </c>
      <c r="DF230" s="29" t="str">
        <f t="shared" si="378"/>
        <v>0</v>
      </c>
      <c r="DG230" s="29" t="str">
        <f t="shared" si="378"/>
        <v>0</v>
      </c>
      <c r="DH230" s="29" t="str">
        <f t="shared" si="378"/>
        <v>0</v>
      </c>
      <c r="DI230" s="29" t="str">
        <f t="shared" si="378"/>
        <v>0</v>
      </c>
      <c r="DJ230" s="29" t="str">
        <f t="shared" si="378"/>
        <v>0</v>
      </c>
      <c r="DK230" s="29" t="str">
        <f t="shared" si="378"/>
        <v>0</v>
      </c>
      <c r="DL230" s="29" t="str">
        <f t="shared" si="378"/>
        <v>0</v>
      </c>
      <c r="DM230" s="29" t="str">
        <f t="shared" si="378"/>
        <v>0</v>
      </c>
      <c r="DN230" s="29" t="str">
        <f t="shared" si="378"/>
        <v>0</v>
      </c>
      <c r="DO230" s="29" t="str">
        <f t="shared" si="378"/>
        <v>0</v>
      </c>
      <c r="DP230" s="29" t="str">
        <f t="shared" si="378"/>
        <v>0</v>
      </c>
      <c r="DQ230" s="29" t="str">
        <f t="shared" si="378"/>
        <v>0</v>
      </c>
      <c r="DR230" s="29"/>
      <c r="DS230" s="25">
        <v>0</v>
      </c>
      <c r="EE230" s="25" t="str">
        <f t="shared" si="328"/>
        <v>0</v>
      </c>
    </row>
    <row r="231" spans="1:135">
      <c r="A231" s="48">
        <v>1003033</v>
      </c>
      <c r="B231" s="49" t="s">
        <v>321</v>
      </c>
      <c r="C231" s="25">
        <f t="shared" si="299"/>
        <v>33</v>
      </c>
      <c r="D231" s="25">
        <f t="array" ref="D231">INDEX(C$5:C$67,MATCH($B231,$B$5:$B$67,0))</f>
        <v>7700</v>
      </c>
      <c r="E231" s="25">
        <f t="array" ref="E231">INDEX(D$5:D$67,MATCH($B231,$B$5:$B$67,0))</f>
        <v>616</v>
      </c>
      <c r="F231" s="25">
        <f t="array" ref="F231">INDEX(E$5:E$67,MATCH($B231,$B$5:$B$67,0))</f>
        <v>734</v>
      </c>
      <c r="G231" s="25">
        <f t="array" ref="G231">INDEX(F$5:F$67,MATCH($B231,$B$5:$B$67,0))</f>
        <v>58.72</v>
      </c>
      <c r="H231" s="25">
        <f t="array" ref="H231">INDEX(G$5:G$66,MATCH($B231,$B$5:$B$67,0))</f>
        <v>918</v>
      </c>
      <c r="I231" s="25">
        <f t="array" ref="I231">INDEX(H$5:H$67,MATCH($B231,$B$5:$B$67,0))</f>
        <v>73.44</v>
      </c>
      <c r="J231" s="25">
        <f t="array" ref="J231">INDEX(I$5:I$67,MATCH($B231,$B$5:$B$67,0))</f>
        <v>900</v>
      </c>
      <c r="K231" s="25">
        <f t="array" ref="K231">INDEX(J$5:J$67,MATCH($B231,$B$5:$B$67,0))</f>
        <v>72</v>
      </c>
      <c r="L231" s="25">
        <f t="shared" si="309"/>
        <v>28028</v>
      </c>
      <c r="M231" s="25">
        <f t="shared" si="310"/>
        <v>2672</v>
      </c>
      <c r="N231" s="25">
        <f t="shared" si="311"/>
        <v>3342</v>
      </c>
      <c r="O231" s="25">
        <f t="shared" si="312"/>
        <v>3276</v>
      </c>
      <c r="R231" s="50">
        <f t="array" ref="R231">INDEX($B$46:$B$68,MATCH(S231,$C$46:$C$68,0))*1000+T231</f>
        <v>1006018</v>
      </c>
      <c r="S231" s="51" t="s">
        <v>328</v>
      </c>
      <c r="T231" s="29">
        <f t="shared" si="232"/>
        <v>18</v>
      </c>
      <c r="U231" s="25">
        <f t="array" ref="U231">INDEX(K$5:K$67,MATCH($S231,$B$5:$B$67,0))</f>
        <v>340.8</v>
      </c>
      <c r="V231" s="25">
        <f t="array" ref="V231">INDEX(L$5:L$67,MATCH($S231,$B$5:$B$67,0))</f>
        <v>156.67</v>
      </c>
      <c r="W231" s="25">
        <f t="array" ref="W231">INDEX(M$5:M$67,MATCH($S231,$B$5:$B$67,0))</f>
        <v>122.88</v>
      </c>
      <c r="X231" s="25">
        <f t="array" ref="X231">INDEX(N$5:N$67,MATCH($S231,$B$5:$B$67,0))</f>
        <v>83.3</v>
      </c>
      <c r="Y231" s="25">
        <f t="shared" si="313"/>
        <v>6134</v>
      </c>
      <c r="Z231" s="25">
        <f t="shared" si="314"/>
        <v>2820</v>
      </c>
      <c r="AA231" s="25">
        <f t="shared" si="315"/>
        <v>2212</v>
      </c>
      <c r="AB231" s="25">
        <f t="shared" si="316"/>
        <v>1499</v>
      </c>
      <c r="AF231" s="25">
        <v>153</v>
      </c>
      <c r="AG231" s="25">
        <f t="array" ref="AG231">INDEX($AE$79:$AE$116,QUOTIENT(AF231-1,8)+1)</f>
        <v>1024</v>
      </c>
      <c r="AH231" s="25">
        <f t="shared" si="345"/>
        <v>1</v>
      </c>
      <c r="AI231" s="25">
        <f t="shared" si="317"/>
        <v>10241</v>
      </c>
      <c r="AJ231" s="25" t="str">
        <f t="shared" si="318"/>
        <v>卡薇</v>
      </c>
      <c r="AK231" s="25">
        <f t="shared" si="346"/>
        <v>1</v>
      </c>
      <c r="AL231" s="25" t="str">
        <f t="array" ref="AL231">INDEX($O$5:$O$42,MATCH(AJ231,$B$5:$B$42,0))</f>
        <v>攻击百分比</v>
      </c>
      <c r="AM231" s="25" t="str">
        <f t="array" ref="AM231">INDEX($P$5:$P$42,MATCH(AJ231,$B$5:$B$42,0))</f>
        <v>必杀伤害加成</v>
      </c>
      <c r="AN231" s="25" t="str">
        <f t="array" ref="AN231">INDEX($Q$5:$Q$42,MATCH(AJ231,$B$5:$B$42,0))</f>
        <v>技能伤害加成</v>
      </c>
      <c r="AO231" s="25" t="str">
        <f t="array" ref="AO231">INDEX(AL231:AN231,0,AK231)</f>
        <v>攻击百分比</v>
      </c>
      <c r="AP231" s="25">
        <f t="shared" si="304"/>
        <v>0.216666666666667</v>
      </c>
      <c r="AQ231" s="25">
        <f t="shared" si="319"/>
        <v>0.216666666666667</v>
      </c>
      <c r="AR231" s="25" t="str">
        <f t="shared" ref="AR231:BZ231" si="379">IF(AR$78=$AO231,$AQ231,"0")</f>
        <v>0</v>
      </c>
      <c r="AS231" s="25" t="str">
        <f t="shared" si="379"/>
        <v>0</v>
      </c>
      <c r="AT231" s="25" t="str">
        <f t="shared" si="379"/>
        <v>0</v>
      </c>
      <c r="AU231" s="25">
        <f t="shared" si="379"/>
        <v>0.216666666666667</v>
      </c>
      <c r="AV231" s="25" t="str">
        <f t="shared" si="379"/>
        <v>0</v>
      </c>
      <c r="AW231" s="25">
        <f t="shared" si="379"/>
        <v>0.216666666666667</v>
      </c>
      <c r="AX231" s="25" t="str">
        <f t="shared" si="379"/>
        <v>0</v>
      </c>
      <c r="AY231" s="25" t="str">
        <f t="shared" si="379"/>
        <v>0</v>
      </c>
      <c r="AZ231" s="25" t="str">
        <f t="shared" si="379"/>
        <v>0</v>
      </c>
      <c r="BA231" s="25" t="str">
        <f t="shared" si="379"/>
        <v>0</v>
      </c>
      <c r="BB231" s="25" t="str">
        <f t="shared" si="379"/>
        <v>0</v>
      </c>
      <c r="BC231" s="25" t="str">
        <f t="shared" si="379"/>
        <v>0</v>
      </c>
      <c r="BD231" s="25" t="str">
        <f t="shared" si="379"/>
        <v>0</v>
      </c>
      <c r="BE231" s="25" t="str">
        <f t="shared" si="379"/>
        <v>0</v>
      </c>
      <c r="BF231" s="25" t="str">
        <f t="shared" si="379"/>
        <v>0</v>
      </c>
      <c r="BG231" s="25" t="str">
        <f t="shared" si="379"/>
        <v>0</v>
      </c>
      <c r="BH231" s="25" t="str">
        <f t="shared" si="379"/>
        <v>0</v>
      </c>
      <c r="BI231" s="25" t="str">
        <f t="shared" si="379"/>
        <v>0</v>
      </c>
      <c r="BJ231" s="25" t="str">
        <f t="shared" si="379"/>
        <v>0</v>
      </c>
      <c r="BK231" s="25" t="str">
        <f t="shared" si="379"/>
        <v>0</v>
      </c>
      <c r="BL231" s="25" t="str">
        <f t="shared" si="379"/>
        <v>0</v>
      </c>
      <c r="BM231" s="25" t="str">
        <f t="shared" si="379"/>
        <v>0</v>
      </c>
      <c r="BN231" s="25" t="str">
        <f t="shared" si="379"/>
        <v>0</v>
      </c>
      <c r="BO231" s="25" t="str">
        <f t="shared" si="379"/>
        <v>0</v>
      </c>
      <c r="BP231" s="25" t="str">
        <f t="shared" si="379"/>
        <v>0</v>
      </c>
      <c r="BQ231" s="25" t="str">
        <f t="shared" si="379"/>
        <v>0</v>
      </c>
      <c r="BR231" s="25" t="str">
        <f t="shared" si="379"/>
        <v>0</v>
      </c>
      <c r="BS231" s="25" t="str">
        <f t="shared" si="379"/>
        <v>0</v>
      </c>
      <c r="BT231" s="25" t="str">
        <f t="shared" si="379"/>
        <v>0</v>
      </c>
      <c r="BU231" s="25" t="str">
        <f t="shared" si="379"/>
        <v>0</v>
      </c>
      <c r="BV231" s="25" t="str">
        <f t="shared" si="379"/>
        <v>0</v>
      </c>
      <c r="BW231" s="25" t="str">
        <f t="shared" si="379"/>
        <v>0</v>
      </c>
      <c r="BX231" s="25" t="str">
        <f t="shared" si="379"/>
        <v>0</v>
      </c>
      <c r="BY231" s="25" t="str">
        <f t="shared" si="379"/>
        <v>0</v>
      </c>
      <c r="BZ231" s="25" t="str">
        <f t="shared" si="379"/>
        <v>0</v>
      </c>
      <c r="CC231" s="25" t="str">
        <f t="array" ref="CC231">INDEX($C$46:$C$74,MATCH(CD231,$B$46:$B$74,0))</f>
        <v>凯兰</v>
      </c>
      <c r="CD231" s="1">
        <v>1029</v>
      </c>
      <c r="CE231" s="1">
        <v>5</v>
      </c>
      <c r="CF231" s="25" t="str">
        <f t="array" ref="CF231">INDEX($T$5:$T$44,MATCH(CC231,$B$5:$B$44,0))</f>
        <v>魔法</v>
      </c>
      <c r="CG231" s="25">
        <f t="shared" si="342"/>
        <v>0.3</v>
      </c>
      <c r="CH231" s="25">
        <f t="shared" si="321"/>
        <v>1.3</v>
      </c>
      <c r="CI231" s="25">
        <f t="shared" si="322"/>
        <v>1</v>
      </c>
      <c r="CJ231" s="25">
        <f t="shared" si="323"/>
        <v>1.3</v>
      </c>
      <c r="CK231" s="25">
        <f t="shared" si="324"/>
        <v>1.3</v>
      </c>
      <c r="CL231" s="25" t="str">
        <f t="array" ref="CL231">INDEX($S$5:$S$43,MATCH(CC231,$B$5:$B$43,0))</f>
        <v>能量回复等级</v>
      </c>
      <c r="CM231" s="25">
        <f t="shared" si="343"/>
        <v>0.3</v>
      </c>
      <c r="CN231" s="25">
        <f t="shared" si="325"/>
        <v>2700</v>
      </c>
      <c r="CO231" s="25">
        <f t="shared" si="326"/>
        <v>1</v>
      </c>
      <c r="CP231" s="29" t="str">
        <f t="shared" ref="CP231:DQ231" si="380">IF($CL231=CP$78,$CN231,"0")</f>
        <v>0</v>
      </c>
      <c r="CQ231" s="29" t="str">
        <f t="shared" si="380"/>
        <v>0</v>
      </c>
      <c r="CR231" s="29" t="str">
        <f t="shared" si="380"/>
        <v>0</v>
      </c>
      <c r="CS231" s="29" t="str">
        <f t="shared" si="380"/>
        <v>0</v>
      </c>
      <c r="CT231" s="29" t="str">
        <f t="shared" si="380"/>
        <v>0</v>
      </c>
      <c r="CU231" s="29" t="str">
        <f t="shared" si="380"/>
        <v>0</v>
      </c>
      <c r="CV231" s="29" t="str">
        <f t="shared" si="380"/>
        <v>0</v>
      </c>
      <c r="CW231" s="29" t="str">
        <f t="shared" si="380"/>
        <v>0</v>
      </c>
      <c r="CX231" s="29" t="str">
        <f t="shared" si="380"/>
        <v>0</v>
      </c>
      <c r="CY231" s="29" t="str">
        <f t="shared" si="380"/>
        <v>0</v>
      </c>
      <c r="CZ231" s="29" t="str">
        <f t="shared" si="380"/>
        <v>0</v>
      </c>
      <c r="DA231" s="29" t="str">
        <f t="shared" si="380"/>
        <v>0</v>
      </c>
      <c r="DB231" s="29" t="str">
        <f t="shared" si="380"/>
        <v>0</v>
      </c>
      <c r="DC231" s="29" t="str">
        <f t="shared" si="380"/>
        <v>0</v>
      </c>
      <c r="DD231" s="29" t="str">
        <f t="shared" si="380"/>
        <v>0</v>
      </c>
      <c r="DE231" s="29" t="str">
        <f t="shared" si="380"/>
        <v>0</v>
      </c>
      <c r="DF231" s="29" t="str">
        <f t="shared" si="380"/>
        <v>0</v>
      </c>
      <c r="DG231" s="29" t="str">
        <f t="shared" si="380"/>
        <v>0</v>
      </c>
      <c r="DH231" s="29" t="str">
        <f t="shared" si="380"/>
        <v>0</v>
      </c>
      <c r="DI231" s="29" t="str">
        <f t="shared" si="380"/>
        <v>0</v>
      </c>
      <c r="DJ231" s="29" t="str">
        <f t="shared" si="380"/>
        <v>0</v>
      </c>
      <c r="DK231" s="29" t="str">
        <f t="shared" si="380"/>
        <v>0</v>
      </c>
      <c r="DL231" s="29" t="str">
        <f t="shared" si="380"/>
        <v>0</v>
      </c>
      <c r="DM231" s="29" t="str">
        <f t="shared" si="380"/>
        <v>0</v>
      </c>
      <c r="DN231" s="29" t="str">
        <f t="shared" si="380"/>
        <v>0</v>
      </c>
      <c r="DO231" s="29" t="str">
        <f t="shared" si="380"/>
        <v>0</v>
      </c>
      <c r="DP231" s="29">
        <f t="shared" si="380"/>
        <v>2700</v>
      </c>
      <c r="DQ231" s="29" t="str">
        <f t="shared" si="380"/>
        <v>0</v>
      </c>
      <c r="DR231" s="29"/>
      <c r="DS231" s="25" t="s">
        <v>1011</v>
      </c>
      <c r="DT231" s="25" t="str">
        <f>TEXT(角色升星!$F$18,"0%")</f>
        <v>15%</v>
      </c>
      <c r="DU231" s="25" t="s">
        <v>779</v>
      </c>
      <c r="DV231" s="25" t="str">
        <f>IF(CF231="物理","PhysicsAttack,+","MagicAttack,+")</f>
        <v>MagicAttack,+</v>
      </c>
      <c r="DW231" s="25" t="str">
        <f>TEXT(角色升星!$F$18,"0%")</f>
        <v>15%</v>
      </c>
      <c r="DX231" s="25" t="s">
        <v>779</v>
      </c>
      <c r="DY231" s="25" t="s">
        <v>1012</v>
      </c>
      <c r="DZ231" s="25" t="str">
        <f>TEXT(角色升星!$F$18,"0%")</f>
        <v>15%</v>
      </c>
      <c r="EA231" s="25" t="s">
        <v>779</v>
      </c>
      <c r="EB231" s="25" t="str">
        <f>VLOOKUP(CL231,$O$46:$P$73,2,0)</f>
        <v>EnergyPreAddBonusLevel</v>
      </c>
      <c r="EC231" s="25" t="s">
        <v>1013</v>
      </c>
      <c r="ED231" s="25">
        <f>IF(CN231&gt;1,CN231,TEXT(CN231,"0%"))</f>
        <v>2700</v>
      </c>
      <c r="EE231" s="25" t="str">
        <f t="shared" si="328"/>
        <v>Hp,+15%;MagicAttack,+15%;Armor,+15%;EnergyPreAddBonusLevel,+2700</v>
      </c>
    </row>
    <row r="232" spans="1:135">
      <c r="A232" s="48">
        <v>1003034</v>
      </c>
      <c r="B232" s="49" t="s">
        <v>321</v>
      </c>
      <c r="C232" s="25">
        <f t="shared" si="299"/>
        <v>34</v>
      </c>
      <c r="D232" s="25">
        <f t="array" ref="D232">INDEX(C$5:C$67,MATCH($B232,$B$5:$B$67,0))</f>
        <v>7700</v>
      </c>
      <c r="E232" s="25">
        <f t="array" ref="E232">INDEX(D$5:D$67,MATCH($B232,$B$5:$B$67,0))</f>
        <v>616</v>
      </c>
      <c r="F232" s="25">
        <f t="array" ref="F232">INDEX(E$5:E$67,MATCH($B232,$B$5:$B$67,0))</f>
        <v>734</v>
      </c>
      <c r="G232" s="25">
        <f t="array" ref="G232">INDEX(F$5:F$67,MATCH($B232,$B$5:$B$67,0))</f>
        <v>58.72</v>
      </c>
      <c r="H232" s="25">
        <f t="array" ref="H232">INDEX(G$5:G$66,MATCH($B232,$B$5:$B$67,0))</f>
        <v>918</v>
      </c>
      <c r="I232" s="25">
        <f t="array" ref="I232">INDEX(H$5:H$67,MATCH($B232,$B$5:$B$67,0))</f>
        <v>73.44</v>
      </c>
      <c r="J232" s="25">
        <f t="array" ref="J232">INDEX(I$5:I$67,MATCH($B232,$B$5:$B$67,0))</f>
        <v>900</v>
      </c>
      <c r="K232" s="25">
        <f t="array" ref="K232">INDEX(J$5:J$67,MATCH($B232,$B$5:$B$67,0))</f>
        <v>72</v>
      </c>
      <c r="L232" s="25">
        <f t="shared" si="309"/>
        <v>28644</v>
      </c>
      <c r="M232" s="25">
        <f t="shared" si="310"/>
        <v>2730</v>
      </c>
      <c r="N232" s="25">
        <f t="shared" si="311"/>
        <v>3415</v>
      </c>
      <c r="O232" s="25">
        <f t="shared" si="312"/>
        <v>3348</v>
      </c>
      <c r="R232" s="50">
        <f t="array" ref="R232">INDEX($B$46:$B$68,MATCH(S232,$C$46:$C$68,0))*1000+T232</f>
        <v>1006019</v>
      </c>
      <c r="S232" s="51" t="s">
        <v>328</v>
      </c>
      <c r="T232" s="29">
        <f t="shared" si="232"/>
        <v>19</v>
      </c>
      <c r="U232" s="25">
        <f t="array" ref="U232">INDEX(K$5:K$67,MATCH($S232,$B$5:$B$67,0))</f>
        <v>340.8</v>
      </c>
      <c r="V232" s="25">
        <f t="array" ref="V232">INDEX(L$5:L$67,MATCH($S232,$B$5:$B$67,0))</f>
        <v>156.67</v>
      </c>
      <c r="W232" s="25">
        <f t="array" ref="W232">INDEX(M$5:M$67,MATCH($S232,$B$5:$B$67,0))</f>
        <v>122.88</v>
      </c>
      <c r="X232" s="25">
        <f t="array" ref="X232">INDEX(N$5:N$67,MATCH($S232,$B$5:$B$67,0))</f>
        <v>83.3</v>
      </c>
      <c r="Y232" s="25">
        <f t="shared" si="313"/>
        <v>6475</v>
      </c>
      <c r="Z232" s="25">
        <f t="shared" si="314"/>
        <v>2977</v>
      </c>
      <c r="AA232" s="25">
        <f t="shared" si="315"/>
        <v>2335</v>
      </c>
      <c r="AB232" s="25">
        <f t="shared" si="316"/>
        <v>1583</v>
      </c>
      <c r="AF232" s="25">
        <v>154</v>
      </c>
      <c r="AG232" s="25">
        <f t="array" ref="AG232">INDEX($AE$79:$AE$116,QUOTIENT(AF232-1,8)+1)</f>
        <v>1024</v>
      </c>
      <c r="AH232" s="25">
        <f t="shared" si="345"/>
        <v>2</v>
      </c>
      <c r="AI232" s="25">
        <f t="shared" si="317"/>
        <v>10242</v>
      </c>
      <c r="AJ232" s="25" t="str">
        <f t="shared" si="318"/>
        <v>卡薇</v>
      </c>
      <c r="AK232" s="25">
        <f t="shared" si="346"/>
        <v>2</v>
      </c>
      <c r="AL232" s="25" t="str">
        <f t="array" ref="AL232">INDEX($O$5:$O$42,MATCH(AJ232,$B$5:$B$42,0))</f>
        <v>攻击百分比</v>
      </c>
      <c r="AM232" s="25" t="str">
        <f t="array" ref="AM232">INDEX($P$5:$P$42,MATCH(AJ232,$B$5:$B$42,0))</f>
        <v>必杀伤害加成</v>
      </c>
      <c r="AN232" s="25" t="str">
        <f t="array" ref="AN232">INDEX($Q$5:$Q$42,MATCH(AJ232,$B$5:$B$42,0))</f>
        <v>技能伤害加成</v>
      </c>
      <c r="AO232" s="25" t="str">
        <f t="array" ref="AO232">INDEX(AL232:AN232,0,AK232)</f>
        <v>必杀伤害加成</v>
      </c>
      <c r="AP232" s="25">
        <f t="shared" si="304"/>
        <v>0.15</v>
      </c>
      <c r="AQ232" s="25">
        <f t="shared" si="319"/>
        <v>0.18</v>
      </c>
      <c r="AR232" s="25" t="str">
        <f t="shared" ref="AR232:BZ232" si="381">IF(AR$78=$AO232,$AQ232,"0")</f>
        <v>0</v>
      </c>
      <c r="AS232" s="25" t="str">
        <f t="shared" si="381"/>
        <v>0</v>
      </c>
      <c r="AT232" s="25" t="str">
        <f t="shared" si="381"/>
        <v>0</v>
      </c>
      <c r="AU232" s="25" t="str">
        <f t="shared" si="381"/>
        <v>0</v>
      </c>
      <c r="AV232" s="25" t="str">
        <f t="shared" si="381"/>
        <v>0</v>
      </c>
      <c r="AW232" s="25" t="str">
        <f t="shared" si="381"/>
        <v>0</v>
      </c>
      <c r="AX232" s="25" t="str">
        <f t="shared" si="381"/>
        <v>0</v>
      </c>
      <c r="AY232" s="25" t="str">
        <f t="shared" si="381"/>
        <v>0</v>
      </c>
      <c r="AZ232" s="25" t="str">
        <f t="shared" si="381"/>
        <v>0</v>
      </c>
      <c r="BA232" s="25" t="str">
        <f t="shared" si="381"/>
        <v>0</v>
      </c>
      <c r="BB232" s="25" t="str">
        <f t="shared" si="381"/>
        <v>0</v>
      </c>
      <c r="BC232" s="25" t="str">
        <f t="shared" si="381"/>
        <v>0</v>
      </c>
      <c r="BD232" s="25" t="str">
        <f t="shared" si="381"/>
        <v>0</v>
      </c>
      <c r="BE232" s="25" t="str">
        <f t="shared" si="381"/>
        <v>0</v>
      </c>
      <c r="BF232" s="25" t="str">
        <f t="shared" si="381"/>
        <v>0</v>
      </c>
      <c r="BG232" s="25" t="str">
        <f t="shared" si="381"/>
        <v>0</v>
      </c>
      <c r="BH232" s="25" t="str">
        <f t="shared" si="381"/>
        <v>0</v>
      </c>
      <c r="BI232" s="25" t="str">
        <f t="shared" si="381"/>
        <v>0</v>
      </c>
      <c r="BJ232" s="25" t="str">
        <f t="shared" si="381"/>
        <v>0</v>
      </c>
      <c r="BK232" s="25" t="str">
        <f t="shared" si="381"/>
        <v>0</v>
      </c>
      <c r="BL232" s="25" t="str">
        <f t="shared" si="381"/>
        <v>0</v>
      </c>
      <c r="BM232" s="25" t="str">
        <f t="shared" si="381"/>
        <v>0</v>
      </c>
      <c r="BN232" s="25" t="str">
        <f t="shared" si="381"/>
        <v>0</v>
      </c>
      <c r="BO232" s="25">
        <f t="shared" si="381"/>
        <v>0.18</v>
      </c>
      <c r="BP232" s="25" t="str">
        <f t="shared" si="381"/>
        <v>0</v>
      </c>
      <c r="BQ232" s="25" t="str">
        <f t="shared" si="381"/>
        <v>0</v>
      </c>
      <c r="BR232" s="25" t="str">
        <f t="shared" si="381"/>
        <v>0</v>
      </c>
      <c r="BS232" s="25" t="str">
        <f t="shared" si="381"/>
        <v>0</v>
      </c>
      <c r="BT232" s="25" t="str">
        <f t="shared" si="381"/>
        <v>0</v>
      </c>
      <c r="BU232" s="25" t="str">
        <f t="shared" si="381"/>
        <v>0</v>
      </c>
      <c r="BV232" s="25" t="str">
        <f t="shared" si="381"/>
        <v>0</v>
      </c>
      <c r="BW232" s="25" t="str">
        <f t="shared" si="381"/>
        <v>0</v>
      </c>
      <c r="BX232" s="25" t="str">
        <f t="shared" si="381"/>
        <v>0</v>
      </c>
      <c r="BY232" s="25" t="str">
        <f t="shared" si="381"/>
        <v>0</v>
      </c>
      <c r="BZ232" s="25" t="str">
        <f t="shared" si="381"/>
        <v>0</v>
      </c>
      <c r="CC232" s="25" t="str">
        <f t="array" ref="CC232">INDEX($C$46:$C$74,MATCH(CD232,$B$46:$B$74,0))</f>
        <v>凯兰</v>
      </c>
      <c r="CD232" s="1">
        <v>1029</v>
      </c>
      <c r="CE232" s="1">
        <v>6</v>
      </c>
      <c r="CF232" s="25" t="str">
        <f t="array" ref="CF232">INDEX($T$5:$T$44,MATCH(CC232,$B$5:$B$44,0))</f>
        <v>魔法</v>
      </c>
      <c r="CG232" s="25">
        <f t="shared" si="342"/>
        <v>0.3</v>
      </c>
      <c r="CH232" s="25">
        <f t="shared" si="321"/>
        <v>1.3</v>
      </c>
      <c r="CI232" s="25">
        <f t="shared" si="322"/>
        <v>1</v>
      </c>
      <c r="CJ232" s="25">
        <f t="shared" si="323"/>
        <v>1.3</v>
      </c>
      <c r="CK232" s="25">
        <f t="shared" si="324"/>
        <v>1.3</v>
      </c>
      <c r="CL232" s="25">
        <v>0</v>
      </c>
      <c r="CM232" s="25">
        <f t="shared" si="343"/>
        <v>0</v>
      </c>
      <c r="CN232" s="25">
        <f t="shared" si="325"/>
        <v>0</v>
      </c>
      <c r="CO232" s="25">
        <f t="shared" si="326"/>
        <v>0</v>
      </c>
      <c r="CP232" s="29" t="str">
        <f t="shared" ref="CP232:DQ232" si="382">IF($CL232=CP$78,$CN232,"0")</f>
        <v>0</v>
      </c>
      <c r="CQ232" s="29" t="str">
        <f t="shared" si="382"/>
        <v>0</v>
      </c>
      <c r="CR232" s="29" t="str">
        <f t="shared" si="382"/>
        <v>0</v>
      </c>
      <c r="CS232" s="29" t="str">
        <f t="shared" si="382"/>
        <v>0</v>
      </c>
      <c r="CT232" s="29" t="str">
        <f t="shared" si="382"/>
        <v>0</v>
      </c>
      <c r="CU232" s="29" t="str">
        <f t="shared" si="382"/>
        <v>0</v>
      </c>
      <c r="CV232" s="29" t="str">
        <f t="shared" si="382"/>
        <v>0</v>
      </c>
      <c r="CW232" s="29" t="str">
        <f t="shared" si="382"/>
        <v>0</v>
      </c>
      <c r="CX232" s="29" t="str">
        <f t="shared" si="382"/>
        <v>0</v>
      </c>
      <c r="CY232" s="29" t="str">
        <f t="shared" si="382"/>
        <v>0</v>
      </c>
      <c r="CZ232" s="29" t="str">
        <f t="shared" si="382"/>
        <v>0</v>
      </c>
      <c r="DA232" s="29" t="str">
        <f t="shared" si="382"/>
        <v>0</v>
      </c>
      <c r="DB232" s="29" t="str">
        <f t="shared" si="382"/>
        <v>0</v>
      </c>
      <c r="DC232" s="29" t="str">
        <f t="shared" si="382"/>
        <v>0</v>
      </c>
      <c r="DD232" s="29" t="str">
        <f t="shared" si="382"/>
        <v>0</v>
      </c>
      <c r="DE232" s="29" t="str">
        <f t="shared" si="382"/>
        <v>0</v>
      </c>
      <c r="DF232" s="29" t="str">
        <f t="shared" si="382"/>
        <v>0</v>
      </c>
      <c r="DG232" s="29" t="str">
        <f t="shared" si="382"/>
        <v>0</v>
      </c>
      <c r="DH232" s="29" t="str">
        <f t="shared" si="382"/>
        <v>0</v>
      </c>
      <c r="DI232" s="29" t="str">
        <f t="shared" si="382"/>
        <v>0</v>
      </c>
      <c r="DJ232" s="29" t="str">
        <f t="shared" si="382"/>
        <v>0</v>
      </c>
      <c r="DK232" s="29" t="str">
        <f t="shared" si="382"/>
        <v>0</v>
      </c>
      <c r="DL232" s="29" t="str">
        <f t="shared" si="382"/>
        <v>0</v>
      </c>
      <c r="DM232" s="29" t="str">
        <f t="shared" si="382"/>
        <v>0</v>
      </c>
      <c r="DN232" s="29" t="str">
        <f t="shared" si="382"/>
        <v>0</v>
      </c>
      <c r="DO232" s="29" t="str">
        <f t="shared" si="382"/>
        <v>0</v>
      </c>
      <c r="DP232" s="29" t="str">
        <f t="shared" si="382"/>
        <v>0</v>
      </c>
      <c r="DQ232" s="29" t="str">
        <f t="shared" si="382"/>
        <v>0</v>
      </c>
      <c r="DR232" s="29"/>
      <c r="DS232" s="25">
        <v>0</v>
      </c>
      <c r="EE232" s="25" t="str">
        <f t="shared" si="328"/>
        <v>0</v>
      </c>
    </row>
    <row r="233" spans="1:135">
      <c r="A233" s="48">
        <v>1003035</v>
      </c>
      <c r="B233" s="49" t="s">
        <v>321</v>
      </c>
      <c r="C233" s="25">
        <f t="shared" si="299"/>
        <v>35</v>
      </c>
      <c r="D233" s="25">
        <f t="array" ref="D233">INDEX(C$5:C$67,MATCH($B233,$B$5:$B$67,0))</f>
        <v>7700</v>
      </c>
      <c r="E233" s="25">
        <f t="array" ref="E233">INDEX(D$5:D$67,MATCH($B233,$B$5:$B$67,0))</f>
        <v>616</v>
      </c>
      <c r="F233" s="25">
        <f t="array" ref="F233">INDEX(E$5:E$67,MATCH($B233,$B$5:$B$67,0))</f>
        <v>734</v>
      </c>
      <c r="G233" s="25">
        <f t="array" ref="G233">INDEX(F$5:F$67,MATCH($B233,$B$5:$B$67,0))</f>
        <v>58.72</v>
      </c>
      <c r="H233" s="25">
        <f t="array" ref="H233">INDEX(G$5:G$66,MATCH($B233,$B$5:$B$67,0))</f>
        <v>918</v>
      </c>
      <c r="I233" s="25">
        <f t="array" ref="I233">INDEX(H$5:H$67,MATCH($B233,$B$5:$B$67,0))</f>
        <v>73.44</v>
      </c>
      <c r="J233" s="25">
        <f t="array" ref="J233">INDEX(I$5:I$67,MATCH($B233,$B$5:$B$67,0))</f>
        <v>900</v>
      </c>
      <c r="K233" s="25">
        <f t="array" ref="K233">INDEX(J$5:J$67,MATCH($B233,$B$5:$B$67,0))</f>
        <v>72</v>
      </c>
      <c r="L233" s="25">
        <f t="shared" si="309"/>
        <v>29260</v>
      </c>
      <c r="M233" s="25">
        <f t="shared" si="310"/>
        <v>2789</v>
      </c>
      <c r="N233" s="25">
        <f t="shared" si="311"/>
        <v>3488</v>
      </c>
      <c r="O233" s="25">
        <f t="shared" si="312"/>
        <v>3420</v>
      </c>
      <c r="R233" s="50">
        <f t="array" ref="R233">INDEX($B$46:$B$68,MATCH(S233,$C$46:$C$68,0))*1000+T233</f>
        <v>1006020</v>
      </c>
      <c r="S233" s="51" t="s">
        <v>328</v>
      </c>
      <c r="T233" s="29">
        <f t="shared" si="232"/>
        <v>20</v>
      </c>
      <c r="U233" s="25">
        <f t="array" ref="U233">INDEX(K$5:K$67,MATCH($S233,$B$5:$B$67,0))</f>
        <v>340.8</v>
      </c>
      <c r="V233" s="25">
        <f t="array" ref="V233">INDEX(L$5:L$67,MATCH($S233,$B$5:$B$67,0))</f>
        <v>156.67</v>
      </c>
      <c r="W233" s="25">
        <f t="array" ref="W233">INDEX(M$5:M$67,MATCH($S233,$B$5:$B$67,0))</f>
        <v>122.88</v>
      </c>
      <c r="X233" s="25">
        <f t="array" ref="X233">INDEX(N$5:N$67,MATCH($S233,$B$5:$B$67,0))</f>
        <v>83.3</v>
      </c>
      <c r="Y233" s="25">
        <f t="shared" si="313"/>
        <v>6816</v>
      </c>
      <c r="Z233" s="25">
        <f t="shared" si="314"/>
        <v>3133</v>
      </c>
      <c r="AA233" s="25">
        <f t="shared" si="315"/>
        <v>2458</v>
      </c>
      <c r="AB233" s="25">
        <f t="shared" si="316"/>
        <v>1666</v>
      </c>
      <c r="AF233" s="25">
        <v>155</v>
      </c>
      <c r="AG233" s="25">
        <f t="array" ref="AG233">INDEX($AE$79:$AE$116,QUOTIENT(AF233-1,8)+1)</f>
        <v>1024</v>
      </c>
      <c r="AH233" s="25">
        <f t="shared" si="345"/>
        <v>3</v>
      </c>
      <c r="AI233" s="25">
        <f t="shared" si="317"/>
        <v>10243</v>
      </c>
      <c r="AJ233" s="25" t="str">
        <f t="shared" si="318"/>
        <v>卡薇</v>
      </c>
      <c r="AK233" s="25">
        <f t="shared" si="346"/>
        <v>3</v>
      </c>
      <c r="AL233" s="25" t="str">
        <f t="array" ref="AL233">INDEX($O$5:$O$42,MATCH(AJ233,$B$5:$B$42,0))</f>
        <v>攻击百分比</v>
      </c>
      <c r="AM233" s="25" t="str">
        <f t="array" ref="AM233">INDEX($P$5:$P$42,MATCH(AJ233,$B$5:$B$42,0))</f>
        <v>必杀伤害加成</v>
      </c>
      <c r="AN233" s="25" t="str">
        <f t="array" ref="AN233">INDEX($Q$5:$Q$42,MATCH(AJ233,$B$5:$B$42,0))</f>
        <v>技能伤害加成</v>
      </c>
      <c r="AO233" s="25" t="str">
        <f t="array" ref="AO233">INDEX(AL233:AN233,0,AK233)</f>
        <v>技能伤害加成</v>
      </c>
      <c r="AP233" s="25">
        <f t="shared" si="304"/>
        <v>0.216666666666667</v>
      </c>
      <c r="AQ233" s="25">
        <f t="shared" si="319"/>
        <v>0.26</v>
      </c>
      <c r="AR233" s="25" t="str">
        <f t="shared" ref="AR233:BZ233" si="383">IF(AR$78=$AO233,$AQ233,"0")</f>
        <v>0</v>
      </c>
      <c r="AS233" s="25" t="str">
        <f t="shared" si="383"/>
        <v>0</v>
      </c>
      <c r="AT233" s="25" t="str">
        <f t="shared" si="383"/>
        <v>0</v>
      </c>
      <c r="AU233" s="25" t="str">
        <f t="shared" si="383"/>
        <v>0</v>
      </c>
      <c r="AV233" s="25" t="str">
        <f t="shared" si="383"/>
        <v>0</v>
      </c>
      <c r="AW233" s="25" t="str">
        <f t="shared" si="383"/>
        <v>0</v>
      </c>
      <c r="AX233" s="25" t="str">
        <f t="shared" si="383"/>
        <v>0</v>
      </c>
      <c r="AY233" s="25" t="str">
        <f t="shared" si="383"/>
        <v>0</v>
      </c>
      <c r="AZ233" s="25" t="str">
        <f t="shared" si="383"/>
        <v>0</v>
      </c>
      <c r="BA233" s="25" t="str">
        <f t="shared" si="383"/>
        <v>0</v>
      </c>
      <c r="BB233" s="25" t="str">
        <f t="shared" si="383"/>
        <v>0</v>
      </c>
      <c r="BC233" s="25" t="str">
        <f t="shared" si="383"/>
        <v>0</v>
      </c>
      <c r="BD233" s="25" t="str">
        <f t="shared" si="383"/>
        <v>0</v>
      </c>
      <c r="BE233" s="25" t="str">
        <f t="shared" si="383"/>
        <v>0</v>
      </c>
      <c r="BF233" s="25" t="str">
        <f t="shared" si="383"/>
        <v>0</v>
      </c>
      <c r="BG233" s="25" t="str">
        <f t="shared" si="383"/>
        <v>0</v>
      </c>
      <c r="BH233" s="25" t="str">
        <f t="shared" si="383"/>
        <v>0</v>
      </c>
      <c r="BI233" s="25" t="str">
        <f t="shared" si="383"/>
        <v>0</v>
      </c>
      <c r="BJ233" s="25" t="str">
        <f t="shared" si="383"/>
        <v>0</v>
      </c>
      <c r="BK233" s="25" t="str">
        <f t="shared" si="383"/>
        <v>0</v>
      </c>
      <c r="BL233" s="25" t="str">
        <f t="shared" si="383"/>
        <v>0</v>
      </c>
      <c r="BM233" s="25" t="str">
        <f t="shared" si="383"/>
        <v>0</v>
      </c>
      <c r="BN233" s="25">
        <f t="shared" si="383"/>
        <v>0.26</v>
      </c>
      <c r="BO233" s="25" t="str">
        <f t="shared" si="383"/>
        <v>0</v>
      </c>
      <c r="BP233" s="25" t="str">
        <f t="shared" si="383"/>
        <v>0</v>
      </c>
      <c r="BQ233" s="25" t="str">
        <f t="shared" si="383"/>
        <v>0</v>
      </c>
      <c r="BR233" s="25" t="str">
        <f t="shared" si="383"/>
        <v>0</v>
      </c>
      <c r="BS233" s="25" t="str">
        <f t="shared" si="383"/>
        <v>0</v>
      </c>
      <c r="BT233" s="25" t="str">
        <f t="shared" si="383"/>
        <v>0</v>
      </c>
      <c r="BU233" s="25" t="str">
        <f t="shared" si="383"/>
        <v>0</v>
      </c>
      <c r="BV233" s="25" t="str">
        <f t="shared" si="383"/>
        <v>0</v>
      </c>
      <c r="BW233" s="25" t="str">
        <f t="shared" si="383"/>
        <v>0</v>
      </c>
      <c r="BX233" s="25" t="str">
        <f t="shared" si="383"/>
        <v>0</v>
      </c>
      <c r="BY233" s="25" t="str">
        <f t="shared" si="383"/>
        <v>0</v>
      </c>
      <c r="BZ233" s="25" t="str">
        <f t="shared" si="383"/>
        <v>0</v>
      </c>
      <c r="CC233" s="25" t="str">
        <f t="array" ref="CC233">INDEX($C$46:$C$74,MATCH(CD233,$B$46:$B$74,0))</f>
        <v>莫莉</v>
      </c>
      <c r="CD233" s="1">
        <v>1030</v>
      </c>
      <c r="CE233" s="1">
        <v>0</v>
      </c>
      <c r="CF233" s="25" t="str">
        <f t="array" ref="CF233">INDEX($T$5:$T$44,MATCH(CC233,$B$5:$B$44,0))</f>
        <v>魔法</v>
      </c>
      <c r="CG233" s="25">
        <f t="shared" si="342"/>
        <v>0</v>
      </c>
      <c r="CH233" s="25">
        <f t="shared" si="321"/>
        <v>1</v>
      </c>
      <c r="CI233" s="25">
        <f t="shared" si="322"/>
        <v>1</v>
      </c>
      <c r="CJ233" s="25">
        <f t="shared" si="323"/>
        <v>1</v>
      </c>
      <c r="CK233" s="25">
        <f t="shared" si="324"/>
        <v>1</v>
      </c>
      <c r="CL233" s="25">
        <v>0</v>
      </c>
      <c r="CM233" s="25">
        <f t="shared" si="343"/>
        <v>0</v>
      </c>
      <c r="CN233" s="25">
        <f t="shared" si="325"/>
        <v>0</v>
      </c>
      <c r="CO233" s="25">
        <f t="shared" si="326"/>
        <v>0</v>
      </c>
      <c r="CP233" s="29" t="str">
        <f t="shared" ref="CP233:DQ233" si="384">IF($CL233=CP$78,$CN233,"0")</f>
        <v>0</v>
      </c>
      <c r="CQ233" s="29" t="str">
        <f t="shared" si="384"/>
        <v>0</v>
      </c>
      <c r="CR233" s="29" t="str">
        <f t="shared" si="384"/>
        <v>0</v>
      </c>
      <c r="CS233" s="29" t="str">
        <f t="shared" si="384"/>
        <v>0</v>
      </c>
      <c r="CT233" s="29" t="str">
        <f t="shared" si="384"/>
        <v>0</v>
      </c>
      <c r="CU233" s="29" t="str">
        <f t="shared" si="384"/>
        <v>0</v>
      </c>
      <c r="CV233" s="29" t="str">
        <f t="shared" si="384"/>
        <v>0</v>
      </c>
      <c r="CW233" s="29" t="str">
        <f t="shared" si="384"/>
        <v>0</v>
      </c>
      <c r="CX233" s="29" t="str">
        <f t="shared" si="384"/>
        <v>0</v>
      </c>
      <c r="CY233" s="29" t="str">
        <f t="shared" si="384"/>
        <v>0</v>
      </c>
      <c r="CZ233" s="29" t="str">
        <f t="shared" si="384"/>
        <v>0</v>
      </c>
      <c r="DA233" s="29" t="str">
        <f t="shared" si="384"/>
        <v>0</v>
      </c>
      <c r="DB233" s="29" t="str">
        <f t="shared" si="384"/>
        <v>0</v>
      </c>
      <c r="DC233" s="29" t="str">
        <f t="shared" si="384"/>
        <v>0</v>
      </c>
      <c r="DD233" s="29" t="str">
        <f t="shared" si="384"/>
        <v>0</v>
      </c>
      <c r="DE233" s="29" t="str">
        <f t="shared" si="384"/>
        <v>0</v>
      </c>
      <c r="DF233" s="29" t="str">
        <f t="shared" si="384"/>
        <v>0</v>
      </c>
      <c r="DG233" s="29" t="str">
        <f t="shared" si="384"/>
        <v>0</v>
      </c>
      <c r="DH233" s="29" t="str">
        <f t="shared" si="384"/>
        <v>0</v>
      </c>
      <c r="DI233" s="29" t="str">
        <f t="shared" si="384"/>
        <v>0</v>
      </c>
      <c r="DJ233" s="29" t="str">
        <f t="shared" si="384"/>
        <v>0</v>
      </c>
      <c r="DK233" s="29" t="str">
        <f t="shared" si="384"/>
        <v>0</v>
      </c>
      <c r="DL233" s="29" t="str">
        <f t="shared" si="384"/>
        <v>0</v>
      </c>
      <c r="DM233" s="29" t="str">
        <f t="shared" si="384"/>
        <v>0</v>
      </c>
      <c r="DN233" s="29" t="str">
        <f t="shared" si="384"/>
        <v>0</v>
      </c>
      <c r="DO233" s="29" t="str">
        <f t="shared" si="384"/>
        <v>0</v>
      </c>
      <c r="DP233" s="29" t="str">
        <f t="shared" si="384"/>
        <v>0</v>
      </c>
      <c r="DQ233" s="29" t="str">
        <f t="shared" si="384"/>
        <v>0</v>
      </c>
      <c r="DR233" s="29"/>
      <c r="DS233" s="25">
        <v>0</v>
      </c>
      <c r="EE233" s="25" t="str">
        <f t="shared" si="328"/>
        <v>0</v>
      </c>
    </row>
    <row r="234" spans="1:135">
      <c r="A234" s="48">
        <v>1003036</v>
      </c>
      <c r="B234" s="49" t="s">
        <v>321</v>
      </c>
      <c r="C234" s="25">
        <f t="shared" si="299"/>
        <v>36</v>
      </c>
      <c r="D234" s="25">
        <f t="array" ref="D234">INDEX(C$5:C$67,MATCH($B234,$B$5:$B$67,0))</f>
        <v>7700</v>
      </c>
      <c r="E234" s="25">
        <f t="array" ref="E234">INDEX(D$5:D$67,MATCH($B234,$B$5:$B$67,0))</f>
        <v>616</v>
      </c>
      <c r="F234" s="25">
        <f t="array" ref="F234">INDEX(E$5:E$67,MATCH($B234,$B$5:$B$67,0))</f>
        <v>734</v>
      </c>
      <c r="G234" s="25">
        <f t="array" ref="G234">INDEX(F$5:F$67,MATCH($B234,$B$5:$B$67,0))</f>
        <v>58.72</v>
      </c>
      <c r="H234" s="25">
        <f t="array" ref="H234">INDEX(G$5:G$66,MATCH($B234,$B$5:$B$67,0))</f>
        <v>918</v>
      </c>
      <c r="I234" s="25">
        <f t="array" ref="I234">INDEX(H$5:H$67,MATCH($B234,$B$5:$B$67,0))</f>
        <v>73.44</v>
      </c>
      <c r="J234" s="25">
        <f t="array" ref="J234">INDEX(I$5:I$67,MATCH($B234,$B$5:$B$67,0))</f>
        <v>900</v>
      </c>
      <c r="K234" s="25">
        <f t="array" ref="K234">INDEX(J$5:J$67,MATCH($B234,$B$5:$B$67,0))</f>
        <v>72</v>
      </c>
      <c r="L234" s="25">
        <f t="shared" si="309"/>
        <v>29876</v>
      </c>
      <c r="M234" s="25">
        <f t="shared" si="310"/>
        <v>2848</v>
      </c>
      <c r="N234" s="25">
        <f t="shared" si="311"/>
        <v>3562</v>
      </c>
      <c r="O234" s="25">
        <f t="shared" si="312"/>
        <v>3492</v>
      </c>
      <c r="R234" s="50">
        <f t="array" ref="R234">INDEX($B$46:$B$68,MATCH(S234,$C$46:$C$68,0))*1000+T234</f>
        <v>1006021</v>
      </c>
      <c r="S234" s="51" t="s">
        <v>328</v>
      </c>
      <c r="T234" s="29">
        <f t="shared" ref="T234:T297" si="385">T207</f>
        <v>21</v>
      </c>
      <c r="U234" s="25">
        <f t="array" ref="U234">INDEX(K$5:K$67,MATCH($S234,$B$5:$B$67,0))</f>
        <v>340.8</v>
      </c>
      <c r="V234" s="25">
        <f t="array" ref="V234">INDEX(L$5:L$67,MATCH($S234,$B$5:$B$67,0))</f>
        <v>156.67</v>
      </c>
      <c r="W234" s="25">
        <f t="array" ref="W234">INDEX(M$5:M$67,MATCH($S234,$B$5:$B$67,0))</f>
        <v>122.88</v>
      </c>
      <c r="X234" s="25">
        <f t="array" ref="X234">INDEX(N$5:N$67,MATCH($S234,$B$5:$B$67,0))</f>
        <v>83.3</v>
      </c>
      <c r="Y234" s="25">
        <f t="shared" si="313"/>
        <v>7157</v>
      </c>
      <c r="Z234" s="25">
        <f t="shared" si="314"/>
        <v>3290</v>
      </c>
      <c r="AA234" s="25">
        <f t="shared" si="315"/>
        <v>2580</v>
      </c>
      <c r="AB234" s="25">
        <f t="shared" si="316"/>
        <v>1749</v>
      </c>
      <c r="AF234" s="25">
        <v>156</v>
      </c>
      <c r="AG234" s="25">
        <f t="array" ref="AG234">INDEX($AE$79:$AE$116,QUOTIENT(AF234-1,8)+1)</f>
        <v>1024</v>
      </c>
      <c r="AH234" s="25">
        <f t="shared" si="345"/>
        <v>4</v>
      </c>
      <c r="AI234" s="25">
        <f t="shared" si="317"/>
        <v>10244</v>
      </c>
      <c r="AJ234" s="25" t="str">
        <f t="shared" si="318"/>
        <v>卡薇</v>
      </c>
      <c r="AK234" s="25">
        <f t="shared" si="346"/>
        <v>2</v>
      </c>
      <c r="AL234" s="25" t="str">
        <f t="array" ref="AL234">INDEX($O$5:$O$42,MATCH(AJ234,$B$5:$B$42,0))</f>
        <v>攻击百分比</v>
      </c>
      <c r="AM234" s="25" t="str">
        <f t="array" ref="AM234">INDEX($P$5:$P$42,MATCH(AJ234,$B$5:$B$42,0))</f>
        <v>必杀伤害加成</v>
      </c>
      <c r="AN234" s="25" t="str">
        <f t="array" ref="AN234">INDEX($Q$5:$Q$42,MATCH(AJ234,$B$5:$B$42,0))</f>
        <v>技能伤害加成</v>
      </c>
      <c r="AO234" s="25" t="str">
        <f t="array" ref="AO234">INDEX(AL234:AN234,0,AK234)</f>
        <v>必杀伤害加成</v>
      </c>
      <c r="AP234" s="25">
        <f t="shared" si="304"/>
        <v>0.15</v>
      </c>
      <c r="AQ234" s="25">
        <f t="shared" si="319"/>
        <v>0.18</v>
      </c>
      <c r="AR234" s="25" t="str">
        <f t="shared" ref="AR234:BZ234" si="386">IF(AR$78=$AO234,$AQ234,"0")</f>
        <v>0</v>
      </c>
      <c r="AS234" s="25" t="str">
        <f t="shared" si="386"/>
        <v>0</v>
      </c>
      <c r="AT234" s="25" t="str">
        <f t="shared" si="386"/>
        <v>0</v>
      </c>
      <c r="AU234" s="25" t="str">
        <f t="shared" si="386"/>
        <v>0</v>
      </c>
      <c r="AV234" s="25" t="str">
        <f t="shared" si="386"/>
        <v>0</v>
      </c>
      <c r="AW234" s="25" t="str">
        <f t="shared" si="386"/>
        <v>0</v>
      </c>
      <c r="AX234" s="25" t="str">
        <f t="shared" si="386"/>
        <v>0</v>
      </c>
      <c r="AY234" s="25" t="str">
        <f t="shared" si="386"/>
        <v>0</v>
      </c>
      <c r="AZ234" s="25" t="str">
        <f t="shared" si="386"/>
        <v>0</v>
      </c>
      <c r="BA234" s="25" t="str">
        <f t="shared" si="386"/>
        <v>0</v>
      </c>
      <c r="BB234" s="25" t="str">
        <f t="shared" si="386"/>
        <v>0</v>
      </c>
      <c r="BC234" s="25" t="str">
        <f t="shared" si="386"/>
        <v>0</v>
      </c>
      <c r="BD234" s="25" t="str">
        <f t="shared" si="386"/>
        <v>0</v>
      </c>
      <c r="BE234" s="25" t="str">
        <f t="shared" si="386"/>
        <v>0</v>
      </c>
      <c r="BF234" s="25" t="str">
        <f t="shared" si="386"/>
        <v>0</v>
      </c>
      <c r="BG234" s="25" t="str">
        <f t="shared" si="386"/>
        <v>0</v>
      </c>
      <c r="BH234" s="25" t="str">
        <f t="shared" si="386"/>
        <v>0</v>
      </c>
      <c r="BI234" s="25" t="str">
        <f t="shared" si="386"/>
        <v>0</v>
      </c>
      <c r="BJ234" s="25" t="str">
        <f t="shared" si="386"/>
        <v>0</v>
      </c>
      <c r="BK234" s="25" t="str">
        <f t="shared" si="386"/>
        <v>0</v>
      </c>
      <c r="BL234" s="25" t="str">
        <f t="shared" si="386"/>
        <v>0</v>
      </c>
      <c r="BM234" s="25" t="str">
        <f t="shared" si="386"/>
        <v>0</v>
      </c>
      <c r="BN234" s="25" t="str">
        <f t="shared" si="386"/>
        <v>0</v>
      </c>
      <c r="BO234" s="25">
        <f t="shared" si="386"/>
        <v>0.18</v>
      </c>
      <c r="BP234" s="25" t="str">
        <f t="shared" si="386"/>
        <v>0</v>
      </c>
      <c r="BQ234" s="25" t="str">
        <f t="shared" si="386"/>
        <v>0</v>
      </c>
      <c r="BR234" s="25" t="str">
        <f t="shared" si="386"/>
        <v>0</v>
      </c>
      <c r="BS234" s="25" t="str">
        <f t="shared" si="386"/>
        <v>0</v>
      </c>
      <c r="BT234" s="25" t="str">
        <f t="shared" si="386"/>
        <v>0</v>
      </c>
      <c r="BU234" s="25" t="str">
        <f t="shared" si="386"/>
        <v>0</v>
      </c>
      <c r="BV234" s="25" t="str">
        <f t="shared" si="386"/>
        <v>0</v>
      </c>
      <c r="BW234" s="25" t="str">
        <f t="shared" si="386"/>
        <v>0</v>
      </c>
      <c r="BX234" s="25" t="str">
        <f t="shared" si="386"/>
        <v>0</v>
      </c>
      <c r="BY234" s="25" t="str">
        <f t="shared" si="386"/>
        <v>0</v>
      </c>
      <c r="BZ234" s="25" t="str">
        <f t="shared" si="386"/>
        <v>0</v>
      </c>
      <c r="CC234" s="25" t="str">
        <f t="array" ref="CC234">INDEX($C$46:$C$74,MATCH(CD234,$B$46:$B$74,0))</f>
        <v>莫莉</v>
      </c>
      <c r="CD234" s="1">
        <v>1030</v>
      </c>
      <c r="CE234" s="1">
        <v>1</v>
      </c>
      <c r="CF234" s="25" t="str">
        <f t="array" ref="CF234">INDEX($T$5:$T$44,MATCH(CC234,$B$5:$B$44,0))</f>
        <v>魔法</v>
      </c>
      <c r="CG234" s="25">
        <f t="shared" si="342"/>
        <v>0</v>
      </c>
      <c r="CH234" s="25">
        <f t="shared" si="321"/>
        <v>1</v>
      </c>
      <c r="CI234" s="25">
        <f t="shared" si="322"/>
        <v>1</v>
      </c>
      <c r="CJ234" s="25">
        <f t="shared" si="323"/>
        <v>1</v>
      </c>
      <c r="CK234" s="25">
        <f t="shared" si="324"/>
        <v>1</v>
      </c>
      <c r="CL234" s="25">
        <v>0</v>
      </c>
      <c r="CM234" s="25">
        <f t="shared" si="343"/>
        <v>0</v>
      </c>
      <c r="CN234" s="25">
        <f t="shared" si="325"/>
        <v>0</v>
      </c>
      <c r="CO234" s="25">
        <f t="shared" si="326"/>
        <v>0</v>
      </c>
      <c r="CP234" s="29" t="str">
        <f t="shared" ref="CP234:DQ234" si="387">IF($CL234=CP$78,$CN234,"0")</f>
        <v>0</v>
      </c>
      <c r="CQ234" s="29" t="str">
        <f t="shared" si="387"/>
        <v>0</v>
      </c>
      <c r="CR234" s="29" t="str">
        <f t="shared" si="387"/>
        <v>0</v>
      </c>
      <c r="CS234" s="29" t="str">
        <f t="shared" si="387"/>
        <v>0</v>
      </c>
      <c r="CT234" s="29" t="str">
        <f t="shared" si="387"/>
        <v>0</v>
      </c>
      <c r="CU234" s="29" t="str">
        <f t="shared" si="387"/>
        <v>0</v>
      </c>
      <c r="CV234" s="29" t="str">
        <f t="shared" si="387"/>
        <v>0</v>
      </c>
      <c r="CW234" s="29" t="str">
        <f t="shared" si="387"/>
        <v>0</v>
      </c>
      <c r="CX234" s="29" t="str">
        <f t="shared" si="387"/>
        <v>0</v>
      </c>
      <c r="CY234" s="29" t="str">
        <f t="shared" si="387"/>
        <v>0</v>
      </c>
      <c r="CZ234" s="29" t="str">
        <f t="shared" si="387"/>
        <v>0</v>
      </c>
      <c r="DA234" s="29" t="str">
        <f t="shared" si="387"/>
        <v>0</v>
      </c>
      <c r="DB234" s="29" t="str">
        <f t="shared" si="387"/>
        <v>0</v>
      </c>
      <c r="DC234" s="29" t="str">
        <f t="shared" si="387"/>
        <v>0</v>
      </c>
      <c r="DD234" s="29" t="str">
        <f t="shared" si="387"/>
        <v>0</v>
      </c>
      <c r="DE234" s="29" t="str">
        <f t="shared" si="387"/>
        <v>0</v>
      </c>
      <c r="DF234" s="29" t="str">
        <f t="shared" si="387"/>
        <v>0</v>
      </c>
      <c r="DG234" s="29" t="str">
        <f t="shared" si="387"/>
        <v>0</v>
      </c>
      <c r="DH234" s="29" t="str">
        <f t="shared" si="387"/>
        <v>0</v>
      </c>
      <c r="DI234" s="29" t="str">
        <f t="shared" si="387"/>
        <v>0</v>
      </c>
      <c r="DJ234" s="29" t="str">
        <f t="shared" si="387"/>
        <v>0</v>
      </c>
      <c r="DK234" s="29" t="str">
        <f t="shared" si="387"/>
        <v>0</v>
      </c>
      <c r="DL234" s="29" t="str">
        <f t="shared" si="387"/>
        <v>0</v>
      </c>
      <c r="DM234" s="29" t="str">
        <f t="shared" si="387"/>
        <v>0</v>
      </c>
      <c r="DN234" s="29" t="str">
        <f t="shared" si="387"/>
        <v>0</v>
      </c>
      <c r="DO234" s="29" t="str">
        <f t="shared" si="387"/>
        <v>0</v>
      </c>
      <c r="DP234" s="29" t="str">
        <f t="shared" si="387"/>
        <v>0</v>
      </c>
      <c r="DQ234" s="29" t="str">
        <f t="shared" si="387"/>
        <v>0</v>
      </c>
      <c r="DR234" s="29"/>
      <c r="DS234" s="25">
        <v>0</v>
      </c>
      <c r="EE234" s="25" t="str">
        <f t="shared" si="328"/>
        <v>0</v>
      </c>
    </row>
    <row r="235" spans="1:135">
      <c r="A235" s="48">
        <v>1003037</v>
      </c>
      <c r="B235" s="49" t="s">
        <v>321</v>
      </c>
      <c r="C235" s="25">
        <f t="shared" si="299"/>
        <v>37</v>
      </c>
      <c r="D235" s="25">
        <f t="array" ref="D235">INDEX(C$5:C$67,MATCH($B235,$B$5:$B$67,0))</f>
        <v>7700</v>
      </c>
      <c r="E235" s="25">
        <f t="array" ref="E235">INDEX(D$5:D$67,MATCH($B235,$B$5:$B$67,0))</f>
        <v>616</v>
      </c>
      <c r="F235" s="25">
        <f t="array" ref="F235">INDEX(E$5:E$67,MATCH($B235,$B$5:$B$67,0))</f>
        <v>734</v>
      </c>
      <c r="G235" s="25">
        <f t="array" ref="G235">INDEX(F$5:F$67,MATCH($B235,$B$5:$B$67,0))</f>
        <v>58.72</v>
      </c>
      <c r="H235" s="25">
        <f t="array" ref="H235">INDEX(G$5:G$66,MATCH($B235,$B$5:$B$67,0))</f>
        <v>918</v>
      </c>
      <c r="I235" s="25">
        <f t="array" ref="I235">INDEX(H$5:H$67,MATCH($B235,$B$5:$B$67,0))</f>
        <v>73.44</v>
      </c>
      <c r="J235" s="25">
        <f t="array" ref="J235">INDEX(I$5:I$67,MATCH($B235,$B$5:$B$67,0))</f>
        <v>900</v>
      </c>
      <c r="K235" s="25">
        <f t="array" ref="K235">INDEX(J$5:J$67,MATCH($B235,$B$5:$B$67,0))</f>
        <v>72</v>
      </c>
      <c r="L235" s="25">
        <f t="shared" si="309"/>
        <v>30492</v>
      </c>
      <c r="M235" s="25">
        <f t="shared" si="310"/>
        <v>2907</v>
      </c>
      <c r="N235" s="25">
        <f t="shared" si="311"/>
        <v>3635</v>
      </c>
      <c r="O235" s="25">
        <f t="shared" si="312"/>
        <v>3564</v>
      </c>
      <c r="R235" s="50">
        <f t="array" ref="R235">INDEX($B$46:$B$68,MATCH(S235,$C$46:$C$68,0))*1000+T235</f>
        <v>1006022</v>
      </c>
      <c r="S235" s="51" t="s">
        <v>328</v>
      </c>
      <c r="T235" s="29">
        <f t="shared" si="385"/>
        <v>22</v>
      </c>
      <c r="U235" s="25">
        <f t="array" ref="U235">INDEX(K$5:K$67,MATCH($S235,$B$5:$B$67,0))</f>
        <v>340.8</v>
      </c>
      <c r="V235" s="25">
        <f t="array" ref="V235">INDEX(L$5:L$67,MATCH($S235,$B$5:$B$67,0))</f>
        <v>156.67</v>
      </c>
      <c r="W235" s="25">
        <f t="array" ref="W235">INDEX(M$5:M$67,MATCH($S235,$B$5:$B$67,0))</f>
        <v>122.88</v>
      </c>
      <c r="X235" s="25">
        <f t="array" ref="X235">INDEX(N$5:N$67,MATCH($S235,$B$5:$B$67,0))</f>
        <v>83.3</v>
      </c>
      <c r="Y235" s="25">
        <f t="shared" si="313"/>
        <v>7498</v>
      </c>
      <c r="Z235" s="25">
        <f t="shared" si="314"/>
        <v>3447</v>
      </c>
      <c r="AA235" s="25">
        <f t="shared" si="315"/>
        <v>2703</v>
      </c>
      <c r="AB235" s="25">
        <f t="shared" si="316"/>
        <v>1833</v>
      </c>
      <c r="AF235" s="25">
        <v>157</v>
      </c>
      <c r="AG235" s="25">
        <f t="array" ref="AG235">INDEX($AE$79:$AE$116,QUOTIENT(AF235-1,8)+1)</f>
        <v>1024</v>
      </c>
      <c r="AH235" s="25">
        <f t="shared" si="345"/>
        <v>5</v>
      </c>
      <c r="AI235" s="25">
        <f t="shared" si="317"/>
        <v>10245</v>
      </c>
      <c r="AJ235" s="25" t="str">
        <f t="shared" si="318"/>
        <v>卡薇</v>
      </c>
      <c r="AK235" s="25">
        <f t="shared" si="346"/>
        <v>3</v>
      </c>
      <c r="AL235" s="25" t="str">
        <f t="array" ref="AL235">INDEX($O$5:$O$42,MATCH(AJ235,$B$5:$B$42,0))</f>
        <v>攻击百分比</v>
      </c>
      <c r="AM235" s="25" t="str">
        <f t="array" ref="AM235">INDEX($P$5:$P$42,MATCH(AJ235,$B$5:$B$42,0))</f>
        <v>必杀伤害加成</v>
      </c>
      <c r="AN235" s="25" t="str">
        <f t="array" ref="AN235">INDEX($Q$5:$Q$42,MATCH(AJ235,$B$5:$B$42,0))</f>
        <v>技能伤害加成</v>
      </c>
      <c r="AO235" s="25" t="str">
        <f t="array" ref="AO235">INDEX(AL235:AN235,0,AK235)</f>
        <v>技能伤害加成</v>
      </c>
      <c r="AP235" s="25">
        <f t="shared" si="304"/>
        <v>0.216666666666667</v>
      </c>
      <c r="AQ235" s="25">
        <f t="shared" si="319"/>
        <v>0.26</v>
      </c>
      <c r="AR235" s="25" t="str">
        <f t="shared" ref="AR235:BZ235" si="388">IF(AR$78=$AO235,$AQ235,"0")</f>
        <v>0</v>
      </c>
      <c r="AS235" s="25" t="str">
        <f t="shared" si="388"/>
        <v>0</v>
      </c>
      <c r="AT235" s="25" t="str">
        <f t="shared" si="388"/>
        <v>0</v>
      </c>
      <c r="AU235" s="25" t="str">
        <f t="shared" si="388"/>
        <v>0</v>
      </c>
      <c r="AV235" s="25" t="str">
        <f t="shared" si="388"/>
        <v>0</v>
      </c>
      <c r="AW235" s="25" t="str">
        <f t="shared" si="388"/>
        <v>0</v>
      </c>
      <c r="AX235" s="25" t="str">
        <f t="shared" si="388"/>
        <v>0</v>
      </c>
      <c r="AY235" s="25" t="str">
        <f t="shared" si="388"/>
        <v>0</v>
      </c>
      <c r="AZ235" s="25" t="str">
        <f t="shared" si="388"/>
        <v>0</v>
      </c>
      <c r="BA235" s="25" t="str">
        <f t="shared" si="388"/>
        <v>0</v>
      </c>
      <c r="BB235" s="25" t="str">
        <f t="shared" si="388"/>
        <v>0</v>
      </c>
      <c r="BC235" s="25" t="str">
        <f t="shared" si="388"/>
        <v>0</v>
      </c>
      <c r="BD235" s="25" t="str">
        <f t="shared" si="388"/>
        <v>0</v>
      </c>
      <c r="BE235" s="25" t="str">
        <f t="shared" si="388"/>
        <v>0</v>
      </c>
      <c r="BF235" s="25" t="str">
        <f t="shared" si="388"/>
        <v>0</v>
      </c>
      <c r="BG235" s="25" t="str">
        <f t="shared" si="388"/>
        <v>0</v>
      </c>
      <c r="BH235" s="25" t="str">
        <f t="shared" si="388"/>
        <v>0</v>
      </c>
      <c r="BI235" s="25" t="str">
        <f t="shared" si="388"/>
        <v>0</v>
      </c>
      <c r="BJ235" s="25" t="str">
        <f t="shared" si="388"/>
        <v>0</v>
      </c>
      <c r="BK235" s="25" t="str">
        <f t="shared" si="388"/>
        <v>0</v>
      </c>
      <c r="BL235" s="25" t="str">
        <f t="shared" si="388"/>
        <v>0</v>
      </c>
      <c r="BM235" s="25" t="str">
        <f t="shared" si="388"/>
        <v>0</v>
      </c>
      <c r="BN235" s="25">
        <f t="shared" si="388"/>
        <v>0.26</v>
      </c>
      <c r="BO235" s="25" t="str">
        <f t="shared" si="388"/>
        <v>0</v>
      </c>
      <c r="BP235" s="25" t="str">
        <f t="shared" si="388"/>
        <v>0</v>
      </c>
      <c r="BQ235" s="25" t="str">
        <f t="shared" si="388"/>
        <v>0</v>
      </c>
      <c r="BR235" s="25" t="str">
        <f t="shared" si="388"/>
        <v>0</v>
      </c>
      <c r="BS235" s="25" t="str">
        <f t="shared" si="388"/>
        <v>0</v>
      </c>
      <c r="BT235" s="25" t="str">
        <f t="shared" si="388"/>
        <v>0</v>
      </c>
      <c r="BU235" s="25" t="str">
        <f t="shared" si="388"/>
        <v>0</v>
      </c>
      <c r="BV235" s="25" t="str">
        <f t="shared" si="388"/>
        <v>0</v>
      </c>
      <c r="BW235" s="25" t="str">
        <f t="shared" si="388"/>
        <v>0</v>
      </c>
      <c r="BX235" s="25" t="str">
        <f t="shared" si="388"/>
        <v>0</v>
      </c>
      <c r="BY235" s="25" t="str">
        <f t="shared" si="388"/>
        <v>0</v>
      </c>
      <c r="BZ235" s="25" t="str">
        <f t="shared" si="388"/>
        <v>0</v>
      </c>
      <c r="CC235" s="25" t="str">
        <f t="array" ref="CC235">INDEX($C$46:$C$74,MATCH(CD235,$B$46:$B$74,0))</f>
        <v>莫莉</v>
      </c>
      <c r="CD235" s="1">
        <v>1030</v>
      </c>
      <c r="CE235" s="1">
        <v>2</v>
      </c>
      <c r="CF235" s="25" t="str">
        <f t="array" ref="CF235">INDEX($T$5:$T$44,MATCH(CC235,$B$5:$B$44,0))</f>
        <v>魔法</v>
      </c>
      <c r="CG235" s="25">
        <f t="shared" si="342"/>
        <v>0</v>
      </c>
      <c r="CH235" s="25">
        <f t="shared" si="321"/>
        <v>1</v>
      </c>
      <c r="CI235" s="25">
        <f t="shared" si="322"/>
        <v>1</v>
      </c>
      <c r="CJ235" s="25">
        <f t="shared" si="323"/>
        <v>1</v>
      </c>
      <c r="CK235" s="25">
        <f t="shared" si="324"/>
        <v>1</v>
      </c>
      <c r="CL235" s="25">
        <v>0</v>
      </c>
      <c r="CM235" s="25">
        <f t="shared" si="343"/>
        <v>0</v>
      </c>
      <c r="CN235" s="25">
        <f t="shared" si="325"/>
        <v>0</v>
      </c>
      <c r="CO235" s="25">
        <f t="shared" si="326"/>
        <v>0</v>
      </c>
      <c r="CP235" s="29" t="str">
        <f t="shared" ref="CP235:DQ235" si="389">IF($CL235=CP$78,$CN235,"0")</f>
        <v>0</v>
      </c>
      <c r="CQ235" s="29" t="str">
        <f t="shared" si="389"/>
        <v>0</v>
      </c>
      <c r="CR235" s="29" t="str">
        <f t="shared" si="389"/>
        <v>0</v>
      </c>
      <c r="CS235" s="29" t="str">
        <f t="shared" si="389"/>
        <v>0</v>
      </c>
      <c r="CT235" s="29" t="str">
        <f t="shared" si="389"/>
        <v>0</v>
      </c>
      <c r="CU235" s="29" t="str">
        <f t="shared" si="389"/>
        <v>0</v>
      </c>
      <c r="CV235" s="29" t="str">
        <f t="shared" si="389"/>
        <v>0</v>
      </c>
      <c r="CW235" s="29" t="str">
        <f t="shared" si="389"/>
        <v>0</v>
      </c>
      <c r="CX235" s="29" t="str">
        <f t="shared" si="389"/>
        <v>0</v>
      </c>
      <c r="CY235" s="29" t="str">
        <f t="shared" si="389"/>
        <v>0</v>
      </c>
      <c r="CZ235" s="29" t="str">
        <f t="shared" si="389"/>
        <v>0</v>
      </c>
      <c r="DA235" s="29" t="str">
        <f t="shared" si="389"/>
        <v>0</v>
      </c>
      <c r="DB235" s="29" t="str">
        <f t="shared" si="389"/>
        <v>0</v>
      </c>
      <c r="DC235" s="29" t="str">
        <f t="shared" si="389"/>
        <v>0</v>
      </c>
      <c r="DD235" s="29" t="str">
        <f t="shared" si="389"/>
        <v>0</v>
      </c>
      <c r="DE235" s="29" t="str">
        <f t="shared" si="389"/>
        <v>0</v>
      </c>
      <c r="DF235" s="29" t="str">
        <f t="shared" si="389"/>
        <v>0</v>
      </c>
      <c r="DG235" s="29" t="str">
        <f t="shared" si="389"/>
        <v>0</v>
      </c>
      <c r="DH235" s="29" t="str">
        <f t="shared" si="389"/>
        <v>0</v>
      </c>
      <c r="DI235" s="29" t="str">
        <f t="shared" si="389"/>
        <v>0</v>
      </c>
      <c r="DJ235" s="29" t="str">
        <f t="shared" si="389"/>
        <v>0</v>
      </c>
      <c r="DK235" s="29" t="str">
        <f t="shared" si="389"/>
        <v>0</v>
      </c>
      <c r="DL235" s="29" t="str">
        <f t="shared" si="389"/>
        <v>0</v>
      </c>
      <c r="DM235" s="29" t="str">
        <f t="shared" si="389"/>
        <v>0</v>
      </c>
      <c r="DN235" s="29" t="str">
        <f t="shared" si="389"/>
        <v>0</v>
      </c>
      <c r="DO235" s="29" t="str">
        <f t="shared" si="389"/>
        <v>0</v>
      </c>
      <c r="DP235" s="29" t="str">
        <f t="shared" si="389"/>
        <v>0</v>
      </c>
      <c r="DQ235" s="29" t="str">
        <f t="shared" si="389"/>
        <v>0</v>
      </c>
      <c r="DR235" s="29"/>
      <c r="DS235" s="25">
        <v>0</v>
      </c>
      <c r="EE235" s="25" t="str">
        <f t="shared" si="328"/>
        <v>0</v>
      </c>
    </row>
    <row r="236" spans="1:135">
      <c r="A236" s="48">
        <v>1003038</v>
      </c>
      <c r="B236" s="49" t="s">
        <v>321</v>
      </c>
      <c r="C236" s="25">
        <f t="shared" si="299"/>
        <v>38</v>
      </c>
      <c r="D236" s="25">
        <f t="array" ref="D236">INDEX(C$5:C$67,MATCH($B236,$B$5:$B$67,0))</f>
        <v>7700</v>
      </c>
      <c r="E236" s="25">
        <f t="array" ref="E236">INDEX(D$5:D$67,MATCH($B236,$B$5:$B$67,0))</f>
        <v>616</v>
      </c>
      <c r="F236" s="25">
        <f t="array" ref="F236">INDEX(E$5:E$67,MATCH($B236,$B$5:$B$67,0))</f>
        <v>734</v>
      </c>
      <c r="G236" s="25">
        <f t="array" ref="G236">INDEX(F$5:F$67,MATCH($B236,$B$5:$B$67,0))</f>
        <v>58.72</v>
      </c>
      <c r="H236" s="25">
        <f t="array" ref="H236">INDEX(G$5:G$66,MATCH($B236,$B$5:$B$67,0))</f>
        <v>918</v>
      </c>
      <c r="I236" s="25">
        <f t="array" ref="I236">INDEX(H$5:H$67,MATCH($B236,$B$5:$B$67,0))</f>
        <v>73.44</v>
      </c>
      <c r="J236" s="25">
        <f t="array" ref="J236">INDEX(I$5:I$67,MATCH($B236,$B$5:$B$67,0))</f>
        <v>900</v>
      </c>
      <c r="K236" s="25">
        <f t="array" ref="K236">INDEX(J$5:J$67,MATCH($B236,$B$5:$B$67,0))</f>
        <v>72</v>
      </c>
      <c r="L236" s="25">
        <f t="shared" si="309"/>
        <v>31108</v>
      </c>
      <c r="M236" s="25">
        <f t="shared" si="310"/>
        <v>2965</v>
      </c>
      <c r="N236" s="25">
        <f t="shared" si="311"/>
        <v>3709</v>
      </c>
      <c r="O236" s="25">
        <f t="shared" si="312"/>
        <v>3636</v>
      </c>
      <c r="R236" s="50">
        <f t="array" ref="R236">INDEX($B$46:$B$68,MATCH(S236,$C$46:$C$68,0))*1000+T236</f>
        <v>1006023</v>
      </c>
      <c r="S236" s="51" t="s">
        <v>328</v>
      </c>
      <c r="T236" s="29">
        <f t="shared" si="385"/>
        <v>23</v>
      </c>
      <c r="U236" s="25">
        <f t="array" ref="U236">INDEX(K$5:K$67,MATCH($S236,$B$5:$B$67,0))</f>
        <v>340.8</v>
      </c>
      <c r="V236" s="25">
        <f t="array" ref="V236">INDEX(L$5:L$67,MATCH($S236,$B$5:$B$67,0))</f>
        <v>156.67</v>
      </c>
      <c r="W236" s="25">
        <f t="array" ref="W236">INDEX(M$5:M$67,MATCH($S236,$B$5:$B$67,0))</f>
        <v>122.88</v>
      </c>
      <c r="X236" s="25">
        <f t="array" ref="X236">INDEX(N$5:N$67,MATCH($S236,$B$5:$B$67,0))</f>
        <v>83.3</v>
      </c>
      <c r="Y236" s="25">
        <f t="shared" si="313"/>
        <v>7838</v>
      </c>
      <c r="Z236" s="25">
        <f t="shared" si="314"/>
        <v>3603</v>
      </c>
      <c r="AA236" s="25">
        <f t="shared" si="315"/>
        <v>2826</v>
      </c>
      <c r="AB236" s="25">
        <f t="shared" si="316"/>
        <v>1916</v>
      </c>
      <c r="AF236" s="25">
        <v>158</v>
      </c>
      <c r="AG236" s="25">
        <f t="array" ref="AG236">INDEX($AE$79:$AE$116,QUOTIENT(AF236-1,8)+1)</f>
        <v>1024</v>
      </c>
      <c r="AH236" s="25">
        <f t="shared" si="345"/>
        <v>6</v>
      </c>
      <c r="AI236" s="25">
        <f t="shared" si="317"/>
        <v>10246</v>
      </c>
      <c r="AJ236" s="25" t="str">
        <f t="shared" si="318"/>
        <v>卡薇</v>
      </c>
      <c r="AK236" s="25">
        <f t="shared" si="346"/>
        <v>1</v>
      </c>
      <c r="AL236" s="25" t="str">
        <f t="array" ref="AL236">INDEX($O$5:$O$42,MATCH(AJ236,$B$5:$B$42,0))</f>
        <v>攻击百分比</v>
      </c>
      <c r="AM236" s="25" t="str">
        <f t="array" ref="AM236">INDEX($P$5:$P$42,MATCH(AJ236,$B$5:$B$42,0))</f>
        <v>必杀伤害加成</v>
      </c>
      <c r="AN236" s="25" t="str">
        <f t="array" ref="AN236">INDEX($Q$5:$Q$42,MATCH(AJ236,$B$5:$B$42,0))</f>
        <v>技能伤害加成</v>
      </c>
      <c r="AO236" s="25" t="str">
        <f t="array" ref="AO236">INDEX(AL236:AN236,0,AK236)</f>
        <v>攻击百分比</v>
      </c>
      <c r="AP236" s="25">
        <f t="shared" si="304"/>
        <v>0.216666666666667</v>
      </c>
      <c r="AQ236" s="25">
        <f t="shared" si="319"/>
        <v>0.216666666666667</v>
      </c>
      <c r="AR236" s="25" t="str">
        <f t="shared" ref="AR236:BZ236" si="390">IF(AR$78=$AO236,$AQ236,"0")</f>
        <v>0</v>
      </c>
      <c r="AS236" s="25" t="str">
        <f t="shared" si="390"/>
        <v>0</v>
      </c>
      <c r="AT236" s="25" t="str">
        <f t="shared" si="390"/>
        <v>0</v>
      </c>
      <c r="AU236" s="25">
        <f t="shared" si="390"/>
        <v>0.216666666666667</v>
      </c>
      <c r="AV236" s="25" t="str">
        <f t="shared" si="390"/>
        <v>0</v>
      </c>
      <c r="AW236" s="25">
        <f t="shared" si="390"/>
        <v>0.216666666666667</v>
      </c>
      <c r="AX236" s="25" t="str">
        <f t="shared" si="390"/>
        <v>0</v>
      </c>
      <c r="AY236" s="25" t="str">
        <f t="shared" si="390"/>
        <v>0</v>
      </c>
      <c r="AZ236" s="25" t="str">
        <f t="shared" si="390"/>
        <v>0</v>
      </c>
      <c r="BA236" s="25" t="str">
        <f t="shared" si="390"/>
        <v>0</v>
      </c>
      <c r="BB236" s="25" t="str">
        <f t="shared" si="390"/>
        <v>0</v>
      </c>
      <c r="BC236" s="25" t="str">
        <f t="shared" si="390"/>
        <v>0</v>
      </c>
      <c r="BD236" s="25" t="str">
        <f t="shared" si="390"/>
        <v>0</v>
      </c>
      <c r="BE236" s="25" t="str">
        <f t="shared" si="390"/>
        <v>0</v>
      </c>
      <c r="BF236" s="25" t="str">
        <f t="shared" si="390"/>
        <v>0</v>
      </c>
      <c r="BG236" s="25" t="str">
        <f t="shared" si="390"/>
        <v>0</v>
      </c>
      <c r="BH236" s="25" t="str">
        <f t="shared" si="390"/>
        <v>0</v>
      </c>
      <c r="BI236" s="25" t="str">
        <f t="shared" si="390"/>
        <v>0</v>
      </c>
      <c r="BJ236" s="25" t="str">
        <f t="shared" si="390"/>
        <v>0</v>
      </c>
      <c r="BK236" s="25" t="str">
        <f t="shared" si="390"/>
        <v>0</v>
      </c>
      <c r="BL236" s="25" t="str">
        <f t="shared" si="390"/>
        <v>0</v>
      </c>
      <c r="BM236" s="25" t="str">
        <f t="shared" si="390"/>
        <v>0</v>
      </c>
      <c r="BN236" s="25" t="str">
        <f t="shared" si="390"/>
        <v>0</v>
      </c>
      <c r="BO236" s="25" t="str">
        <f t="shared" si="390"/>
        <v>0</v>
      </c>
      <c r="BP236" s="25" t="str">
        <f t="shared" si="390"/>
        <v>0</v>
      </c>
      <c r="BQ236" s="25" t="str">
        <f t="shared" si="390"/>
        <v>0</v>
      </c>
      <c r="BR236" s="25" t="str">
        <f t="shared" si="390"/>
        <v>0</v>
      </c>
      <c r="BS236" s="25" t="str">
        <f t="shared" si="390"/>
        <v>0</v>
      </c>
      <c r="BT236" s="25" t="str">
        <f t="shared" si="390"/>
        <v>0</v>
      </c>
      <c r="BU236" s="25" t="str">
        <f t="shared" si="390"/>
        <v>0</v>
      </c>
      <c r="BV236" s="25" t="str">
        <f t="shared" si="390"/>
        <v>0</v>
      </c>
      <c r="BW236" s="25" t="str">
        <f t="shared" si="390"/>
        <v>0</v>
      </c>
      <c r="BX236" s="25" t="str">
        <f t="shared" si="390"/>
        <v>0</v>
      </c>
      <c r="BY236" s="25" t="str">
        <f t="shared" si="390"/>
        <v>0</v>
      </c>
      <c r="BZ236" s="25" t="str">
        <f t="shared" si="390"/>
        <v>0</v>
      </c>
      <c r="CC236" s="25" t="str">
        <f t="array" ref="CC236">INDEX($C$46:$C$74,MATCH(CD236,$B$46:$B$74,0))</f>
        <v>莫莉</v>
      </c>
      <c r="CD236" s="1">
        <v>1030</v>
      </c>
      <c r="CE236" s="1">
        <v>3</v>
      </c>
      <c r="CF236" s="25" t="str">
        <f t="array" ref="CF236">INDEX($T$5:$T$44,MATCH(CC236,$B$5:$B$44,0))</f>
        <v>魔法</v>
      </c>
      <c r="CG236" s="25">
        <f t="shared" si="342"/>
        <v>0.15</v>
      </c>
      <c r="CH236" s="25">
        <f t="shared" si="321"/>
        <v>1.15</v>
      </c>
      <c r="CI236" s="25">
        <f t="shared" si="322"/>
        <v>1</v>
      </c>
      <c r="CJ236" s="25">
        <f t="shared" si="323"/>
        <v>1.15</v>
      </c>
      <c r="CK236" s="25">
        <f t="shared" si="324"/>
        <v>1.15</v>
      </c>
      <c r="CL236" s="25" t="str">
        <f t="array" ref="CL236">INDEX($R$5:$R$43,MATCH(CC236,$B$5:$B$43,0))</f>
        <v>物理伤害加成</v>
      </c>
      <c r="CM236" s="25">
        <f t="shared" si="343"/>
        <v>0.3</v>
      </c>
      <c r="CN236" s="25">
        <f t="shared" si="325"/>
        <v>0.12</v>
      </c>
      <c r="CO236" s="25">
        <f t="shared" si="326"/>
        <v>1</v>
      </c>
      <c r="CP236" s="29" t="str">
        <f t="shared" ref="CP236:DQ236" si="391">IF($CL236=CP$78,$CN236,"0")</f>
        <v>0</v>
      </c>
      <c r="CQ236" s="29" t="str">
        <f t="shared" si="391"/>
        <v>0</v>
      </c>
      <c r="CR236" s="29" t="str">
        <f t="shared" si="391"/>
        <v>0</v>
      </c>
      <c r="CS236" s="29" t="str">
        <f t="shared" si="391"/>
        <v>0</v>
      </c>
      <c r="CT236" s="29" t="str">
        <f t="shared" si="391"/>
        <v>0</v>
      </c>
      <c r="CU236" s="29" t="str">
        <f t="shared" si="391"/>
        <v>0</v>
      </c>
      <c r="CV236" s="29" t="str">
        <f t="shared" si="391"/>
        <v>0</v>
      </c>
      <c r="CW236" s="29" t="str">
        <f t="shared" si="391"/>
        <v>0</v>
      </c>
      <c r="CX236" s="29" t="str">
        <f t="shared" si="391"/>
        <v>0</v>
      </c>
      <c r="CY236" s="29" t="str">
        <f t="shared" si="391"/>
        <v>0</v>
      </c>
      <c r="CZ236" s="29" t="str">
        <f t="shared" si="391"/>
        <v>0</v>
      </c>
      <c r="DA236" s="29" t="str">
        <f t="shared" si="391"/>
        <v>0</v>
      </c>
      <c r="DB236" s="29">
        <f t="shared" si="391"/>
        <v>0.12</v>
      </c>
      <c r="DC236" s="29" t="str">
        <f t="shared" si="391"/>
        <v>0</v>
      </c>
      <c r="DD236" s="29" t="str">
        <f t="shared" si="391"/>
        <v>0</v>
      </c>
      <c r="DE236" s="29" t="str">
        <f t="shared" si="391"/>
        <v>0</v>
      </c>
      <c r="DF236" s="29" t="str">
        <f t="shared" si="391"/>
        <v>0</v>
      </c>
      <c r="DG236" s="29" t="str">
        <f t="shared" si="391"/>
        <v>0</v>
      </c>
      <c r="DH236" s="29" t="str">
        <f t="shared" si="391"/>
        <v>0</v>
      </c>
      <c r="DI236" s="29" t="str">
        <f t="shared" si="391"/>
        <v>0</v>
      </c>
      <c r="DJ236" s="29" t="str">
        <f t="shared" si="391"/>
        <v>0</v>
      </c>
      <c r="DK236" s="29" t="str">
        <f t="shared" si="391"/>
        <v>0</v>
      </c>
      <c r="DL236" s="29" t="str">
        <f t="shared" si="391"/>
        <v>0</v>
      </c>
      <c r="DM236" s="29" t="str">
        <f t="shared" si="391"/>
        <v>0</v>
      </c>
      <c r="DN236" s="29" t="str">
        <f t="shared" si="391"/>
        <v>0</v>
      </c>
      <c r="DO236" s="29" t="str">
        <f t="shared" si="391"/>
        <v>0</v>
      </c>
      <c r="DP236" s="29" t="str">
        <f t="shared" si="391"/>
        <v>0</v>
      </c>
      <c r="DQ236" s="29" t="str">
        <f t="shared" si="391"/>
        <v>0</v>
      </c>
      <c r="DR236" s="29"/>
      <c r="DS236" s="25" t="s">
        <v>1011</v>
      </c>
      <c r="DT236" s="25" t="str">
        <f>TEXT(角色升星!$F$18,"0%")</f>
        <v>15%</v>
      </c>
      <c r="DU236" s="25" t="s">
        <v>779</v>
      </c>
      <c r="DV236" s="25" t="str">
        <f>IF(CF236="物理","PhysicsAttack,+","MagicAttack,+")</f>
        <v>MagicAttack,+</v>
      </c>
      <c r="DW236" s="25" t="str">
        <f>TEXT(角色升星!$F$18,"0%")</f>
        <v>15%</v>
      </c>
      <c r="DX236" s="25" t="s">
        <v>779</v>
      </c>
      <c r="DY236" s="25" t="s">
        <v>1012</v>
      </c>
      <c r="DZ236" s="25" t="str">
        <f>TEXT(角色升星!$F$18,"0%")</f>
        <v>15%</v>
      </c>
      <c r="EA236" s="25" t="s">
        <v>779</v>
      </c>
      <c r="EB236" s="25" t="str">
        <f>VLOOKUP(CL236,$O$46:$P$73,2,0)</f>
        <v>PhysicsDmgBonus</v>
      </c>
      <c r="EC236" s="25" t="s">
        <v>1013</v>
      </c>
      <c r="ED236" s="25" t="str">
        <f>IF(CN236&gt;1,CN236,TEXT(CN236,"0%"))</f>
        <v>12%</v>
      </c>
      <c r="EE236" s="25" t="str">
        <f t="shared" si="328"/>
        <v>Hp,+15%;MagicAttack,+15%;Armor,+15%;PhysicsDmgBonus,+12%</v>
      </c>
    </row>
    <row r="237" spans="1:135">
      <c r="A237" s="48">
        <v>1003039</v>
      </c>
      <c r="B237" s="49" t="s">
        <v>321</v>
      </c>
      <c r="C237" s="25">
        <f t="shared" si="299"/>
        <v>39</v>
      </c>
      <c r="D237" s="25">
        <f t="array" ref="D237">INDEX(C$5:C$67,MATCH($B237,$B$5:$B$67,0))</f>
        <v>7700</v>
      </c>
      <c r="E237" s="25">
        <f t="array" ref="E237">INDEX(D$5:D$67,MATCH($B237,$B$5:$B$67,0))</f>
        <v>616</v>
      </c>
      <c r="F237" s="25">
        <f t="array" ref="F237">INDEX(E$5:E$67,MATCH($B237,$B$5:$B$67,0))</f>
        <v>734</v>
      </c>
      <c r="G237" s="25">
        <f t="array" ref="G237">INDEX(F$5:F$67,MATCH($B237,$B$5:$B$67,0))</f>
        <v>58.72</v>
      </c>
      <c r="H237" s="25">
        <f t="array" ref="H237">INDEX(G$5:G$66,MATCH($B237,$B$5:$B$67,0))</f>
        <v>918</v>
      </c>
      <c r="I237" s="25">
        <f t="array" ref="I237">INDEX(H$5:H$67,MATCH($B237,$B$5:$B$67,0))</f>
        <v>73.44</v>
      </c>
      <c r="J237" s="25">
        <f t="array" ref="J237">INDEX(I$5:I$67,MATCH($B237,$B$5:$B$67,0))</f>
        <v>900</v>
      </c>
      <c r="K237" s="25">
        <f t="array" ref="K237">INDEX(J$5:J$67,MATCH($B237,$B$5:$B$67,0))</f>
        <v>72</v>
      </c>
      <c r="L237" s="25">
        <f t="shared" si="309"/>
        <v>31724</v>
      </c>
      <c r="M237" s="25">
        <f t="shared" si="310"/>
        <v>3024</v>
      </c>
      <c r="N237" s="25">
        <f t="shared" si="311"/>
        <v>3782</v>
      </c>
      <c r="O237" s="25">
        <f t="shared" si="312"/>
        <v>3708</v>
      </c>
      <c r="R237" s="50">
        <f t="array" ref="R237">INDEX($B$46:$B$68,MATCH(S237,$C$46:$C$68,0))*1000+T237</f>
        <v>1006024</v>
      </c>
      <c r="S237" s="51" t="s">
        <v>328</v>
      </c>
      <c r="T237" s="29">
        <f t="shared" si="385"/>
        <v>24</v>
      </c>
      <c r="U237" s="25">
        <f t="array" ref="U237">INDEX(K$5:K$67,MATCH($S237,$B$5:$B$67,0))</f>
        <v>340.8</v>
      </c>
      <c r="V237" s="25">
        <f t="array" ref="V237">INDEX(L$5:L$67,MATCH($S237,$B$5:$B$67,0))</f>
        <v>156.67</v>
      </c>
      <c r="W237" s="25">
        <f t="array" ref="W237">INDEX(M$5:M$67,MATCH($S237,$B$5:$B$67,0))</f>
        <v>122.88</v>
      </c>
      <c r="X237" s="25">
        <f t="array" ref="X237">INDEX(N$5:N$67,MATCH($S237,$B$5:$B$67,0))</f>
        <v>83.3</v>
      </c>
      <c r="Y237" s="25">
        <f t="shared" si="313"/>
        <v>8179</v>
      </c>
      <c r="Z237" s="25">
        <f t="shared" si="314"/>
        <v>3760</v>
      </c>
      <c r="AA237" s="25">
        <f t="shared" si="315"/>
        <v>2949</v>
      </c>
      <c r="AB237" s="25">
        <f t="shared" si="316"/>
        <v>1999</v>
      </c>
      <c r="AF237" s="25">
        <v>159</v>
      </c>
      <c r="AG237" s="25">
        <f t="array" ref="AG237">INDEX($AE$79:$AE$116,QUOTIENT(AF237-1,8)+1)</f>
        <v>1024</v>
      </c>
      <c r="AH237" s="25">
        <f t="shared" si="345"/>
        <v>7</v>
      </c>
      <c r="AI237" s="25">
        <f t="shared" si="317"/>
        <v>10247</v>
      </c>
      <c r="AJ237" s="25" t="str">
        <f t="shared" si="318"/>
        <v>卡薇</v>
      </c>
      <c r="AK237" s="25">
        <f t="shared" si="346"/>
        <v>2</v>
      </c>
      <c r="AL237" s="25" t="str">
        <f t="array" ref="AL237">INDEX($O$5:$O$42,MATCH(AJ237,$B$5:$B$42,0))</f>
        <v>攻击百分比</v>
      </c>
      <c r="AM237" s="25" t="str">
        <f t="array" ref="AM237">INDEX($P$5:$P$42,MATCH(AJ237,$B$5:$B$42,0))</f>
        <v>必杀伤害加成</v>
      </c>
      <c r="AN237" s="25" t="str">
        <f t="array" ref="AN237">INDEX($Q$5:$Q$42,MATCH(AJ237,$B$5:$B$42,0))</f>
        <v>技能伤害加成</v>
      </c>
      <c r="AO237" s="25" t="str">
        <f t="array" ref="AO237">INDEX(AL237:AN237,0,AK237)</f>
        <v>必杀伤害加成</v>
      </c>
      <c r="AP237" s="25">
        <f t="shared" si="304"/>
        <v>0.15</v>
      </c>
      <c r="AQ237" s="25">
        <f t="shared" si="319"/>
        <v>0.18</v>
      </c>
      <c r="AR237" s="25" t="str">
        <f t="shared" ref="AR237:BZ237" si="392">IF(AR$78=$AO237,$AQ237,"0")</f>
        <v>0</v>
      </c>
      <c r="AS237" s="25" t="str">
        <f t="shared" si="392"/>
        <v>0</v>
      </c>
      <c r="AT237" s="25" t="str">
        <f t="shared" si="392"/>
        <v>0</v>
      </c>
      <c r="AU237" s="25" t="str">
        <f t="shared" si="392"/>
        <v>0</v>
      </c>
      <c r="AV237" s="25" t="str">
        <f t="shared" si="392"/>
        <v>0</v>
      </c>
      <c r="AW237" s="25" t="str">
        <f t="shared" si="392"/>
        <v>0</v>
      </c>
      <c r="AX237" s="25" t="str">
        <f t="shared" si="392"/>
        <v>0</v>
      </c>
      <c r="AY237" s="25" t="str">
        <f t="shared" si="392"/>
        <v>0</v>
      </c>
      <c r="AZ237" s="25" t="str">
        <f t="shared" si="392"/>
        <v>0</v>
      </c>
      <c r="BA237" s="25" t="str">
        <f t="shared" si="392"/>
        <v>0</v>
      </c>
      <c r="BB237" s="25" t="str">
        <f t="shared" si="392"/>
        <v>0</v>
      </c>
      <c r="BC237" s="25" t="str">
        <f t="shared" si="392"/>
        <v>0</v>
      </c>
      <c r="BD237" s="25" t="str">
        <f t="shared" si="392"/>
        <v>0</v>
      </c>
      <c r="BE237" s="25" t="str">
        <f t="shared" si="392"/>
        <v>0</v>
      </c>
      <c r="BF237" s="25" t="str">
        <f t="shared" si="392"/>
        <v>0</v>
      </c>
      <c r="BG237" s="25" t="str">
        <f t="shared" si="392"/>
        <v>0</v>
      </c>
      <c r="BH237" s="25" t="str">
        <f t="shared" si="392"/>
        <v>0</v>
      </c>
      <c r="BI237" s="25" t="str">
        <f t="shared" si="392"/>
        <v>0</v>
      </c>
      <c r="BJ237" s="25" t="str">
        <f t="shared" si="392"/>
        <v>0</v>
      </c>
      <c r="BK237" s="25" t="str">
        <f t="shared" si="392"/>
        <v>0</v>
      </c>
      <c r="BL237" s="25" t="str">
        <f t="shared" si="392"/>
        <v>0</v>
      </c>
      <c r="BM237" s="25" t="str">
        <f t="shared" si="392"/>
        <v>0</v>
      </c>
      <c r="BN237" s="25" t="str">
        <f t="shared" si="392"/>
        <v>0</v>
      </c>
      <c r="BO237" s="25">
        <f t="shared" si="392"/>
        <v>0.18</v>
      </c>
      <c r="BP237" s="25" t="str">
        <f t="shared" si="392"/>
        <v>0</v>
      </c>
      <c r="BQ237" s="25" t="str">
        <f t="shared" si="392"/>
        <v>0</v>
      </c>
      <c r="BR237" s="25" t="str">
        <f t="shared" si="392"/>
        <v>0</v>
      </c>
      <c r="BS237" s="25" t="str">
        <f t="shared" si="392"/>
        <v>0</v>
      </c>
      <c r="BT237" s="25" t="str">
        <f t="shared" si="392"/>
        <v>0</v>
      </c>
      <c r="BU237" s="25" t="str">
        <f t="shared" si="392"/>
        <v>0</v>
      </c>
      <c r="BV237" s="25" t="str">
        <f t="shared" si="392"/>
        <v>0</v>
      </c>
      <c r="BW237" s="25" t="str">
        <f t="shared" si="392"/>
        <v>0</v>
      </c>
      <c r="BX237" s="25" t="str">
        <f t="shared" si="392"/>
        <v>0</v>
      </c>
      <c r="BY237" s="25" t="str">
        <f t="shared" si="392"/>
        <v>0</v>
      </c>
      <c r="BZ237" s="25" t="str">
        <f t="shared" si="392"/>
        <v>0</v>
      </c>
      <c r="CC237" s="25" t="str">
        <f t="array" ref="CC237">INDEX($C$46:$C$74,MATCH(CD237,$B$46:$B$74,0))</f>
        <v>莫莉</v>
      </c>
      <c r="CD237" s="1">
        <v>1030</v>
      </c>
      <c r="CE237" s="1">
        <v>4</v>
      </c>
      <c r="CF237" s="25" t="str">
        <f t="array" ref="CF237">INDEX($T$5:$T$44,MATCH(CC237,$B$5:$B$44,0))</f>
        <v>魔法</v>
      </c>
      <c r="CG237" s="25">
        <f t="shared" si="342"/>
        <v>0.15</v>
      </c>
      <c r="CH237" s="25">
        <f t="shared" si="321"/>
        <v>1.15</v>
      </c>
      <c r="CI237" s="25">
        <f t="shared" si="322"/>
        <v>1</v>
      </c>
      <c r="CJ237" s="25">
        <f t="shared" si="323"/>
        <v>1.15</v>
      </c>
      <c r="CK237" s="25">
        <f t="shared" si="324"/>
        <v>1.15</v>
      </c>
      <c r="CL237" s="25">
        <v>0</v>
      </c>
      <c r="CM237" s="25">
        <f t="shared" si="343"/>
        <v>0</v>
      </c>
      <c r="CN237" s="25">
        <f t="shared" si="325"/>
        <v>0</v>
      </c>
      <c r="CO237" s="25">
        <f t="shared" si="326"/>
        <v>0</v>
      </c>
      <c r="CP237" s="29" t="str">
        <f t="shared" ref="CP237:DQ237" si="393">IF($CL237=CP$78,$CN237,"0")</f>
        <v>0</v>
      </c>
      <c r="CQ237" s="29" t="str">
        <f t="shared" si="393"/>
        <v>0</v>
      </c>
      <c r="CR237" s="29" t="str">
        <f t="shared" si="393"/>
        <v>0</v>
      </c>
      <c r="CS237" s="29" t="str">
        <f t="shared" si="393"/>
        <v>0</v>
      </c>
      <c r="CT237" s="29" t="str">
        <f t="shared" si="393"/>
        <v>0</v>
      </c>
      <c r="CU237" s="29" t="str">
        <f t="shared" si="393"/>
        <v>0</v>
      </c>
      <c r="CV237" s="29" t="str">
        <f t="shared" si="393"/>
        <v>0</v>
      </c>
      <c r="CW237" s="29" t="str">
        <f t="shared" si="393"/>
        <v>0</v>
      </c>
      <c r="CX237" s="29" t="str">
        <f t="shared" si="393"/>
        <v>0</v>
      </c>
      <c r="CY237" s="29" t="str">
        <f t="shared" si="393"/>
        <v>0</v>
      </c>
      <c r="CZ237" s="29" t="str">
        <f t="shared" si="393"/>
        <v>0</v>
      </c>
      <c r="DA237" s="29" t="str">
        <f t="shared" si="393"/>
        <v>0</v>
      </c>
      <c r="DB237" s="29" t="str">
        <f t="shared" si="393"/>
        <v>0</v>
      </c>
      <c r="DC237" s="29" t="str">
        <f t="shared" si="393"/>
        <v>0</v>
      </c>
      <c r="DD237" s="29" t="str">
        <f t="shared" si="393"/>
        <v>0</v>
      </c>
      <c r="DE237" s="29" t="str">
        <f t="shared" si="393"/>
        <v>0</v>
      </c>
      <c r="DF237" s="29" t="str">
        <f t="shared" si="393"/>
        <v>0</v>
      </c>
      <c r="DG237" s="29" t="str">
        <f t="shared" si="393"/>
        <v>0</v>
      </c>
      <c r="DH237" s="29" t="str">
        <f t="shared" si="393"/>
        <v>0</v>
      </c>
      <c r="DI237" s="29" t="str">
        <f t="shared" si="393"/>
        <v>0</v>
      </c>
      <c r="DJ237" s="29" t="str">
        <f t="shared" si="393"/>
        <v>0</v>
      </c>
      <c r="DK237" s="29" t="str">
        <f t="shared" si="393"/>
        <v>0</v>
      </c>
      <c r="DL237" s="29" t="str">
        <f t="shared" si="393"/>
        <v>0</v>
      </c>
      <c r="DM237" s="29" t="str">
        <f t="shared" si="393"/>
        <v>0</v>
      </c>
      <c r="DN237" s="29" t="str">
        <f t="shared" si="393"/>
        <v>0</v>
      </c>
      <c r="DO237" s="29" t="str">
        <f t="shared" si="393"/>
        <v>0</v>
      </c>
      <c r="DP237" s="29" t="str">
        <f t="shared" si="393"/>
        <v>0</v>
      </c>
      <c r="DQ237" s="29" t="str">
        <f t="shared" si="393"/>
        <v>0</v>
      </c>
      <c r="DR237" s="29"/>
      <c r="DS237" s="25">
        <v>0</v>
      </c>
      <c r="EE237" s="25" t="str">
        <f t="shared" si="328"/>
        <v>0</v>
      </c>
    </row>
    <row r="238" spans="1:135">
      <c r="A238" s="48">
        <v>1003040</v>
      </c>
      <c r="B238" s="49" t="s">
        <v>321</v>
      </c>
      <c r="C238" s="25">
        <f t="shared" si="299"/>
        <v>40</v>
      </c>
      <c r="D238" s="25">
        <f t="array" ref="D238">INDEX(C$5:C$67,MATCH($B238,$B$5:$B$67,0))</f>
        <v>7700</v>
      </c>
      <c r="E238" s="25">
        <f t="array" ref="E238">INDEX(D$5:D$67,MATCH($B238,$B$5:$B$67,0))</f>
        <v>616</v>
      </c>
      <c r="F238" s="25">
        <f t="array" ref="F238">INDEX(E$5:E$67,MATCH($B238,$B$5:$B$67,0))</f>
        <v>734</v>
      </c>
      <c r="G238" s="25">
        <f t="array" ref="G238">INDEX(F$5:F$67,MATCH($B238,$B$5:$B$67,0))</f>
        <v>58.72</v>
      </c>
      <c r="H238" s="25">
        <f t="array" ref="H238">INDEX(G$5:G$66,MATCH($B238,$B$5:$B$67,0))</f>
        <v>918</v>
      </c>
      <c r="I238" s="25">
        <f t="array" ref="I238">INDEX(H$5:H$67,MATCH($B238,$B$5:$B$67,0))</f>
        <v>73.44</v>
      </c>
      <c r="J238" s="25">
        <f t="array" ref="J238">INDEX(I$5:I$67,MATCH($B238,$B$5:$B$67,0))</f>
        <v>900</v>
      </c>
      <c r="K238" s="25">
        <f t="array" ref="K238">INDEX(J$5:J$67,MATCH($B238,$B$5:$B$67,0))</f>
        <v>72</v>
      </c>
      <c r="L238" s="25">
        <f t="shared" si="309"/>
        <v>32340</v>
      </c>
      <c r="M238" s="25">
        <f t="shared" si="310"/>
        <v>3083</v>
      </c>
      <c r="N238" s="25">
        <f t="shared" si="311"/>
        <v>3856</v>
      </c>
      <c r="O238" s="25">
        <f t="shared" si="312"/>
        <v>3780</v>
      </c>
      <c r="R238" s="50">
        <f t="array" ref="R238">INDEX($B$46:$B$68,MATCH(S238,$C$46:$C$68,0))*1000+T238</f>
        <v>1006025</v>
      </c>
      <c r="S238" s="51" t="s">
        <v>328</v>
      </c>
      <c r="T238" s="29">
        <f t="shared" si="385"/>
        <v>25</v>
      </c>
      <c r="U238" s="25">
        <f t="array" ref="U238">INDEX(K$5:K$67,MATCH($S238,$B$5:$B$67,0))</f>
        <v>340.8</v>
      </c>
      <c r="V238" s="25">
        <f t="array" ref="V238">INDEX(L$5:L$67,MATCH($S238,$B$5:$B$67,0))</f>
        <v>156.67</v>
      </c>
      <c r="W238" s="25">
        <f t="array" ref="W238">INDEX(M$5:M$67,MATCH($S238,$B$5:$B$67,0))</f>
        <v>122.88</v>
      </c>
      <c r="X238" s="25">
        <f t="array" ref="X238">INDEX(N$5:N$67,MATCH($S238,$B$5:$B$67,0))</f>
        <v>83.3</v>
      </c>
      <c r="Y238" s="25">
        <f t="shared" si="313"/>
        <v>8520</v>
      </c>
      <c r="Z238" s="25">
        <f t="shared" si="314"/>
        <v>3917</v>
      </c>
      <c r="AA238" s="25">
        <f t="shared" si="315"/>
        <v>3072</v>
      </c>
      <c r="AB238" s="25">
        <f t="shared" si="316"/>
        <v>2083</v>
      </c>
      <c r="AF238" s="25">
        <v>160</v>
      </c>
      <c r="AG238" s="25">
        <f t="array" ref="AG238">INDEX($AE$79:$AE$116,QUOTIENT(AF238-1,8)+1)</f>
        <v>1024</v>
      </c>
      <c r="AH238" s="25">
        <f t="shared" si="345"/>
        <v>8</v>
      </c>
      <c r="AI238" s="25">
        <f t="shared" si="317"/>
        <v>10248</v>
      </c>
      <c r="AJ238" s="25" t="str">
        <f t="shared" si="318"/>
        <v>卡薇</v>
      </c>
      <c r="AK238" s="25">
        <f t="shared" si="346"/>
        <v>3</v>
      </c>
      <c r="AL238" s="25" t="str">
        <f t="array" ref="AL238">INDEX($O$5:$O$42,MATCH(AJ238,$B$5:$B$42,0))</f>
        <v>攻击百分比</v>
      </c>
      <c r="AM238" s="25" t="str">
        <f t="array" ref="AM238">INDEX($P$5:$P$42,MATCH(AJ238,$B$5:$B$42,0))</f>
        <v>必杀伤害加成</v>
      </c>
      <c r="AN238" s="25" t="str">
        <f t="array" ref="AN238">INDEX($Q$5:$Q$42,MATCH(AJ238,$B$5:$B$42,0))</f>
        <v>技能伤害加成</v>
      </c>
      <c r="AO238" s="25" t="str">
        <f t="array" ref="AO238">INDEX(AL238:AN238,0,AK238)</f>
        <v>技能伤害加成</v>
      </c>
      <c r="AP238" s="25">
        <f t="shared" si="304"/>
        <v>0.216666666666667</v>
      </c>
      <c r="AQ238" s="25">
        <f t="shared" si="319"/>
        <v>0.26</v>
      </c>
      <c r="AR238" s="25" t="str">
        <f t="shared" ref="AR238:BZ238" si="394">IF(AR$78=$AO238,$AQ238,"0")</f>
        <v>0</v>
      </c>
      <c r="AS238" s="25" t="str">
        <f t="shared" si="394"/>
        <v>0</v>
      </c>
      <c r="AT238" s="25" t="str">
        <f t="shared" si="394"/>
        <v>0</v>
      </c>
      <c r="AU238" s="25" t="str">
        <f t="shared" si="394"/>
        <v>0</v>
      </c>
      <c r="AV238" s="25" t="str">
        <f t="shared" si="394"/>
        <v>0</v>
      </c>
      <c r="AW238" s="25" t="str">
        <f t="shared" si="394"/>
        <v>0</v>
      </c>
      <c r="AX238" s="25" t="str">
        <f t="shared" si="394"/>
        <v>0</v>
      </c>
      <c r="AY238" s="25" t="str">
        <f t="shared" si="394"/>
        <v>0</v>
      </c>
      <c r="AZ238" s="25" t="str">
        <f t="shared" si="394"/>
        <v>0</v>
      </c>
      <c r="BA238" s="25" t="str">
        <f t="shared" si="394"/>
        <v>0</v>
      </c>
      <c r="BB238" s="25" t="str">
        <f t="shared" si="394"/>
        <v>0</v>
      </c>
      <c r="BC238" s="25" t="str">
        <f t="shared" si="394"/>
        <v>0</v>
      </c>
      <c r="BD238" s="25" t="str">
        <f t="shared" si="394"/>
        <v>0</v>
      </c>
      <c r="BE238" s="25" t="str">
        <f t="shared" si="394"/>
        <v>0</v>
      </c>
      <c r="BF238" s="25" t="str">
        <f t="shared" si="394"/>
        <v>0</v>
      </c>
      <c r="BG238" s="25" t="str">
        <f t="shared" si="394"/>
        <v>0</v>
      </c>
      <c r="BH238" s="25" t="str">
        <f t="shared" si="394"/>
        <v>0</v>
      </c>
      <c r="BI238" s="25" t="str">
        <f t="shared" si="394"/>
        <v>0</v>
      </c>
      <c r="BJ238" s="25" t="str">
        <f t="shared" si="394"/>
        <v>0</v>
      </c>
      <c r="BK238" s="25" t="str">
        <f t="shared" si="394"/>
        <v>0</v>
      </c>
      <c r="BL238" s="25" t="str">
        <f t="shared" si="394"/>
        <v>0</v>
      </c>
      <c r="BM238" s="25" t="str">
        <f t="shared" si="394"/>
        <v>0</v>
      </c>
      <c r="BN238" s="25">
        <f t="shared" si="394"/>
        <v>0.26</v>
      </c>
      <c r="BO238" s="25" t="str">
        <f t="shared" si="394"/>
        <v>0</v>
      </c>
      <c r="BP238" s="25" t="str">
        <f t="shared" si="394"/>
        <v>0</v>
      </c>
      <c r="BQ238" s="25" t="str">
        <f t="shared" si="394"/>
        <v>0</v>
      </c>
      <c r="BR238" s="25" t="str">
        <f t="shared" si="394"/>
        <v>0</v>
      </c>
      <c r="BS238" s="25" t="str">
        <f t="shared" si="394"/>
        <v>0</v>
      </c>
      <c r="BT238" s="25" t="str">
        <f t="shared" si="394"/>
        <v>0</v>
      </c>
      <c r="BU238" s="25" t="str">
        <f t="shared" si="394"/>
        <v>0</v>
      </c>
      <c r="BV238" s="25" t="str">
        <f t="shared" si="394"/>
        <v>0</v>
      </c>
      <c r="BW238" s="25" t="str">
        <f t="shared" si="394"/>
        <v>0</v>
      </c>
      <c r="BX238" s="25" t="str">
        <f t="shared" si="394"/>
        <v>0</v>
      </c>
      <c r="BY238" s="25" t="str">
        <f t="shared" si="394"/>
        <v>0</v>
      </c>
      <c r="BZ238" s="25" t="str">
        <f t="shared" si="394"/>
        <v>0</v>
      </c>
      <c r="CC238" s="25" t="str">
        <f t="array" ref="CC238">INDEX($C$46:$C$74,MATCH(CD238,$B$46:$B$74,0))</f>
        <v>莫莉</v>
      </c>
      <c r="CD238" s="1">
        <v>1030</v>
      </c>
      <c r="CE238" s="1">
        <v>5</v>
      </c>
      <c r="CF238" s="25" t="str">
        <f t="array" ref="CF238">INDEX($T$5:$T$44,MATCH(CC238,$B$5:$B$44,0))</f>
        <v>魔法</v>
      </c>
      <c r="CG238" s="25">
        <f t="shared" si="342"/>
        <v>0.3</v>
      </c>
      <c r="CH238" s="25">
        <f t="shared" si="321"/>
        <v>1.3</v>
      </c>
      <c r="CI238" s="25">
        <f t="shared" si="322"/>
        <v>1</v>
      </c>
      <c r="CJ238" s="25">
        <f t="shared" si="323"/>
        <v>1.3</v>
      </c>
      <c r="CK238" s="25">
        <f t="shared" si="324"/>
        <v>1.3</v>
      </c>
      <c r="CL238" s="25" t="str">
        <f t="array" ref="CL238">INDEX($S$5:$S$43,MATCH(CC238,$B$5:$B$43,0))</f>
        <v>必杀伤害加成</v>
      </c>
      <c r="CM238" s="25">
        <f t="shared" si="343"/>
        <v>0.3</v>
      </c>
      <c r="CN238" s="25">
        <f t="shared" si="325"/>
        <v>0.36</v>
      </c>
      <c r="CO238" s="25">
        <f t="shared" si="326"/>
        <v>1</v>
      </c>
      <c r="CP238" s="29" t="str">
        <f t="shared" ref="CP238:DQ238" si="395">IF($CL238=CP$78,$CN238,"0")</f>
        <v>0</v>
      </c>
      <c r="CQ238" s="29" t="str">
        <f t="shared" si="395"/>
        <v>0</v>
      </c>
      <c r="CR238" s="29" t="str">
        <f t="shared" si="395"/>
        <v>0</v>
      </c>
      <c r="CS238" s="29" t="str">
        <f t="shared" si="395"/>
        <v>0</v>
      </c>
      <c r="CT238" s="29" t="str">
        <f t="shared" si="395"/>
        <v>0</v>
      </c>
      <c r="CU238" s="29" t="str">
        <f t="shared" si="395"/>
        <v>0</v>
      </c>
      <c r="CV238" s="29" t="str">
        <f t="shared" si="395"/>
        <v>0</v>
      </c>
      <c r="CW238" s="29" t="str">
        <f t="shared" si="395"/>
        <v>0</v>
      </c>
      <c r="CX238" s="29" t="str">
        <f t="shared" si="395"/>
        <v>0</v>
      </c>
      <c r="CY238" s="29" t="str">
        <f t="shared" si="395"/>
        <v>0</v>
      </c>
      <c r="CZ238" s="29" t="str">
        <f t="shared" si="395"/>
        <v>0</v>
      </c>
      <c r="DA238" s="29" t="str">
        <f t="shared" si="395"/>
        <v>0</v>
      </c>
      <c r="DB238" s="29" t="str">
        <f t="shared" si="395"/>
        <v>0</v>
      </c>
      <c r="DC238" s="29" t="str">
        <f t="shared" si="395"/>
        <v>0</v>
      </c>
      <c r="DD238" s="29" t="str">
        <f t="shared" si="395"/>
        <v>0</v>
      </c>
      <c r="DE238" s="29" t="str">
        <f t="shared" si="395"/>
        <v>0</v>
      </c>
      <c r="DF238" s="29">
        <f t="shared" si="395"/>
        <v>0.36</v>
      </c>
      <c r="DG238" s="29" t="str">
        <f t="shared" si="395"/>
        <v>0</v>
      </c>
      <c r="DH238" s="29" t="str">
        <f t="shared" si="395"/>
        <v>0</v>
      </c>
      <c r="DI238" s="29" t="str">
        <f t="shared" si="395"/>
        <v>0</v>
      </c>
      <c r="DJ238" s="29" t="str">
        <f t="shared" si="395"/>
        <v>0</v>
      </c>
      <c r="DK238" s="29" t="str">
        <f t="shared" si="395"/>
        <v>0</v>
      </c>
      <c r="DL238" s="29" t="str">
        <f t="shared" si="395"/>
        <v>0</v>
      </c>
      <c r="DM238" s="29" t="str">
        <f t="shared" si="395"/>
        <v>0</v>
      </c>
      <c r="DN238" s="29" t="str">
        <f t="shared" si="395"/>
        <v>0</v>
      </c>
      <c r="DO238" s="29" t="str">
        <f t="shared" si="395"/>
        <v>0</v>
      </c>
      <c r="DP238" s="29" t="str">
        <f t="shared" si="395"/>
        <v>0</v>
      </c>
      <c r="DQ238" s="29" t="str">
        <f t="shared" si="395"/>
        <v>0</v>
      </c>
      <c r="DR238" s="29"/>
      <c r="DS238" s="25" t="s">
        <v>1011</v>
      </c>
      <c r="DT238" s="25" t="str">
        <f>TEXT(角色升星!$F$18,"0%")</f>
        <v>15%</v>
      </c>
      <c r="DU238" s="25" t="s">
        <v>779</v>
      </c>
      <c r="DV238" s="25" t="str">
        <f>IF(CF238="物理","PhysicsAttack,+","MagicAttack,+")</f>
        <v>MagicAttack,+</v>
      </c>
      <c r="DW238" s="25" t="str">
        <f>TEXT(角色升星!$F$18,"0%")</f>
        <v>15%</v>
      </c>
      <c r="DX238" s="25" t="s">
        <v>779</v>
      </c>
      <c r="DY238" s="25" t="s">
        <v>1012</v>
      </c>
      <c r="DZ238" s="25" t="str">
        <f>TEXT(角色升星!$F$18,"0%")</f>
        <v>15%</v>
      </c>
      <c r="EA238" s="25" t="s">
        <v>779</v>
      </c>
      <c r="EB238" s="25" t="str">
        <f>VLOOKUP(CL238,$O$46:$P$73,2,0)</f>
        <v>UltimateDmgBonus</v>
      </c>
      <c r="EC238" s="25" t="s">
        <v>1013</v>
      </c>
      <c r="ED238" s="25" t="str">
        <f>IF(CN238&gt;1,CN238,TEXT(CN238,"0%"))</f>
        <v>36%</v>
      </c>
      <c r="EE238" s="25" t="str">
        <f t="shared" si="328"/>
        <v>Hp,+15%;MagicAttack,+15%;Armor,+15%;UltimateDmgBonus,+36%</v>
      </c>
    </row>
    <row r="239" spans="1:135">
      <c r="A239" s="48">
        <v>1003041</v>
      </c>
      <c r="B239" s="49" t="s">
        <v>321</v>
      </c>
      <c r="C239" s="25">
        <f t="shared" si="299"/>
        <v>41</v>
      </c>
      <c r="D239" s="25">
        <f t="array" ref="D239">INDEX(C$5:C$67,MATCH($B239,$B$5:$B$67,0))</f>
        <v>7700</v>
      </c>
      <c r="E239" s="25">
        <f t="array" ref="E239">INDEX(D$5:D$67,MATCH($B239,$B$5:$B$67,0))</f>
        <v>616</v>
      </c>
      <c r="F239" s="25">
        <f t="array" ref="F239">INDEX(E$5:E$67,MATCH($B239,$B$5:$B$67,0))</f>
        <v>734</v>
      </c>
      <c r="G239" s="25">
        <f t="array" ref="G239">INDEX(F$5:F$67,MATCH($B239,$B$5:$B$67,0))</f>
        <v>58.72</v>
      </c>
      <c r="H239" s="25">
        <f t="array" ref="H239">INDEX(G$5:G$66,MATCH($B239,$B$5:$B$67,0))</f>
        <v>918</v>
      </c>
      <c r="I239" s="25">
        <f t="array" ref="I239">INDEX(H$5:H$67,MATCH($B239,$B$5:$B$67,0))</f>
        <v>73.44</v>
      </c>
      <c r="J239" s="25">
        <f t="array" ref="J239">INDEX(I$5:I$67,MATCH($B239,$B$5:$B$67,0))</f>
        <v>900</v>
      </c>
      <c r="K239" s="25">
        <f t="array" ref="K239">INDEX(J$5:J$67,MATCH($B239,$B$5:$B$67,0))</f>
        <v>72</v>
      </c>
      <c r="L239" s="25">
        <f t="shared" si="309"/>
        <v>32956</v>
      </c>
      <c r="M239" s="25">
        <f t="shared" si="310"/>
        <v>3142</v>
      </c>
      <c r="N239" s="25">
        <f t="shared" si="311"/>
        <v>3929</v>
      </c>
      <c r="O239" s="25">
        <f t="shared" si="312"/>
        <v>3852</v>
      </c>
      <c r="R239" s="50">
        <f t="array" ref="R239">INDEX($B$46:$B$68,MATCH(S239,$C$46:$C$68,0))*1000+T239</f>
        <v>1006026</v>
      </c>
      <c r="S239" s="51" t="s">
        <v>328</v>
      </c>
      <c r="T239" s="29">
        <f t="shared" si="385"/>
        <v>26</v>
      </c>
      <c r="U239" s="25">
        <f t="array" ref="U239">INDEX(K$5:K$67,MATCH($S239,$B$5:$B$67,0))</f>
        <v>340.8</v>
      </c>
      <c r="V239" s="25">
        <f t="array" ref="V239">INDEX(L$5:L$67,MATCH($S239,$B$5:$B$67,0))</f>
        <v>156.67</v>
      </c>
      <c r="W239" s="25">
        <f t="array" ref="W239">INDEX(M$5:M$67,MATCH($S239,$B$5:$B$67,0))</f>
        <v>122.88</v>
      </c>
      <c r="X239" s="25">
        <f t="array" ref="X239">INDEX(N$5:N$67,MATCH($S239,$B$5:$B$67,0))</f>
        <v>83.3</v>
      </c>
      <c r="Y239" s="25">
        <f t="shared" si="313"/>
        <v>8861</v>
      </c>
      <c r="Z239" s="25">
        <f t="shared" si="314"/>
        <v>4073</v>
      </c>
      <c r="AA239" s="25">
        <f t="shared" si="315"/>
        <v>3195</v>
      </c>
      <c r="AB239" s="25">
        <f t="shared" si="316"/>
        <v>2166</v>
      </c>
      <c r="AF239" s="25">
        <v>161</v>
      </c>
      <c r="AG239" s="25">
        <f t="array" ref="AG239">INDEX($AE$79:$AE$116,QUOTIENT(AF239-1,8)+1)</f>
        <v>1026</v>
      </c>
      <c r="AH239" s="25">
        <f t="shared" si="345"/>
        <v>1</v>
      </c>
      <c r="AI239" s="25">
        <f t="shared" si="317"/>
        <v>10261</v>
      </c>
      <c r="AJ239" s="25" t="str">
        <f t="shared" si="318"/>
        <v>乔一</v>
      </c>
      <c r="AK239" s="25">
        <f t="shared" si="346"/>
        <v>1</v>
      </c>
      <c r="AL239" s="25" t="str">
        <f t="array" ref="AL239">INDEX($O$5:$O$42,MATCH(AJ239,$B$5:$B$42,0))</f>
        <v>攻击百分比</v>
      </c>
      <c r="AM239" s="25" t="str">
        <f t="array" ref="AM239">INDEX($P$5:$P$42,MATCH(AJ239,$B$5:$B$42,0))</f>
        <v>必杀伤害加成</v>
      </c>
      <c r="AN239" s="25" t="str">
        <f t="array" ref="AN239">INDEX($Q$5:$Q$42,MATCH(AJ239,$B$5:$B$42,0))</f>
        <v>暴击等级</v>
      </c>
      <c r="AO239" s="25" t="str">
        <f t="array" ref="AO239">INDEX(AL239:AN239,0,AK239)</f>
        <v>攻击百分比</v>
      </c>
      <c r="AP239" s="25">
        <f t="shared" si="304"/>
        <v>0.216666666666667</v>
      </c>
      <c r="AQ239" s="25">
        <f t="shared" si="319"/>
        <v>0.216666666666667</v>
      </c>
      <c r="AR239" s="25" t="str">
        <f t="shared" ref="AR239:BZ239" si="396">IF(AR$78=$AO239,$AQ239,"0")</f>
        <v>0</v>
      </c>
      <c r="AS239" s="25" t="str">
        <f t="shared" si="396"/>
        <v>0</v>
      </c>
      <c r="AT239" s="25" t="str">
        <f t="shared" si="396"/>
        <v>0</v>
      </c>
      <c r="AU239" s="25">
        <f t="shared" si="396"/>
        <v>0.216666666666667</v>
      </c>
      <c r="AV239" s="25" t="str">
        <f t="shared" si="396"/>
        <v>0</v>
      </c>
      <c r="AW239" s="25">
        <f t="shared" si="396"/>
        <v>0.216666666666667</v>
      </c>
      <c r="AX239" s="25" t="str">
        <f t="shared" si="396"/>
        <v>0</v>
      </c>
      <c r="AY239" s="25" t="str">
        <f t="shared" si="396"/>
        <v>0</v>
      </c>
      <c r="AZ239" s="25" t="str">
        <f t="shared" si="396"/>
        <v>0</v>
      </c>
      <c r="BA239" s="25" t="str">
        <f t="shared" si="396"/>
        <v>0</v>
      </c>
      <c r="BB239" s="25" t="str">
        <f t="shared" si="396"/>
        <v>0</v>
      </c>
      <c r="BC239" s="25" t="str">
        <f t="shared" si="396"/>
        <v>0</v>
      </c>
      <c r="BD239" s="25" t="str">
        <f t="shared" si="396"/>
        <v>0</v>
      </c>
      <c r="BE239" s="25" t="str">
        <f t="shared" si="396"/>
        <v>0</v>
      </c>
      <c r="BF239" s="25" t="str">
        <f t="shared" si="396"/>
        <v>0</v>
      </c>
      <c r="BG239" s="25" t="str">
        <f t="shared" si="396"/>
        <v>0</v>
      </c>
      <c r="BH239" s="25" t="str">
        <f t="shared" si="396"/>
        <v>0</v>
      </c>
      <c r="BI239" s="25" t="str">
        <f t="shared" si="396"/>
        <v>0</v>
      </c>
      <c r="BJ239" s="25" t="str">
        <f t="shared" si="396"/>
        <v>0</v>
      </c>
      <c r="BK239" s="25" t="str">
        <f t="shared" si="396"/>
        <v>0</v>
      </c>
      <c r="BL239" s="25" t="str">
        <f t="shared" si="396"/>
        <v>0</v>
      </c>
      <c r="BM239" s="25" t="str">
        <f t="shared" si="396"/>
        <v>0</v>
      </c>
      <c r="BN239" s="25" t="str">
        <f t="shared" si="396"/>
        <v>0</v>
      </c>
      <c r="BO239" s="25" t="str">
        <f t="shared" si="396"/>
        <v>0</v>
      </c>
      <c r="BP239" s="25" t="str">
        <f t="shared" si="396"/>
        <v>0</v>
      </c>
      <c r="BQ239" s="25" t="str">
        <f t="shared" si="396"/>
        <v>0</v>
      </c>
      <c r="BR239" s="25" t="str">
        <f t="shared" si="396"/>
        <v>0</v>
      </c>
      <c r="BS239" s="25" t="str">
        <f t="shared" si="396"/>
        <v>0</v>
      </c>
      <c r="BT239" s="25" t="str">
        <f t="shared" si="396"/>
        <v>0</v>
      </c>
      <c r="BU239" s="25" t="str">
        <f t="shared" si="396"/>
        <v>0</v>
      </c>
      <c r="BV239" s="25" t="str">
        <f t="shared" si="396"/>
        <v>0</v>
      </c>
      <c r="BW239" s="25" t="str">
        <f t="shared" si="396"/>
        <v>0</v>
      </c>
      <c r="BX239" s="25" t="str">
        <f t="shared" si="396"/>
        <v>0</v>
      </c>
      <c r="BY239" s="25" t="str">
        <f t="shared" si="396"/>
        <v>0</v>
      </c>
      <c r="BZ239" s="25" t="str">
        <f t="shared" si="396"/>
        <v>0</v>
      </c>
      <c r="CC239" s="25" t="str">
        <f t="array" ref="CC239">INDEX($C$46:$C$74,MATCH(CD239,$B$46:$B$74,0))</f>
        <v>莫莉</v>
      </c>
      <c r="CD239" s="1">
        <v>1030</v>
      </c>
      <c r="CE239" s="1">
        <v>6</v>
      </c>
      <c r="CF239" s="25" t="str">
        <f t="array" ref="CF239">INDEX($T$5:$T$44,MATCH(CC239,$B$5:$B$44,0))</f>
        <v>魔法</v>
      </c>
      <c r="CG239" s="25">
        <f t="shared" si="342"/>
        <v>0.3</v>
      </c>
      <c r="CH239" s="25">
        <f t="shared" si="321"/>
        <v>1.3</v>
      </c>
      <c r="CI239" s="25">
        <f t="shared" si="322"/>
        <v>1</v>
      </c>
      <c r="CJ239" s="25">
        <f t="shared" si="323"/>
        <v>1.3</v>
      </c>
      <c r="CK239" s="25">
        <f t="shared" si="324"/>
        <v>1.3</v>
      </c>
      <c r="CL239" s="25">
        <v>0</v>
      </c>
      <c r="CM239" s="25">
        <f t="shared" si="343"/>
        <v>0</v>
      </c>
      <c r="CN239" s="25">
        <f t="shared" si="325"/>
        <v>0</v>
      </c>
      <c r="CO239" s="25">
        <f t="shared" si="326"/>
        <v>0</v>
      </c>
      <c r="CP239" s="29" t="str">
        <f t="shared" ref="CP239:DQ239" si="397">IF($CL239=CP$78,$CN239,"0")</f>
        <v>0</v>
      </c>
      <c r="CQ239" s="29" t="str">
        <f t="shared" si="397"/>
        <v>0</v>
      </c>
      <c r="CR239" s="29" t="str">
        <f t="shared" si="397"/>
        <v>0</v>
      </c>
      <c r="CS239" s="29" t="str">
        <f t="shared" si="397"/>
        <v>0</v>
      </c>
      <c r="CT239" s="29" t="str">
        <f t="shared" si="397"/>
        <v>0</v>
      </c>
      <c r="CU239" s="29" t="str">
        <f t="shared" si="397"/>
        <v>0</v>
      </c>
      <c r="CV239" s="29" t="str">
        <f t="shared" si="397"/>
        <v>0</v>
      </c>
      <c r="CW239" s="29" t="str">
        <f t="shared" si="397"/>
        <v>0</v>
      </c>
      <c r="CX239" s="29" t="str">
        <f t="shared" si="397"/>
        <v>0</v>
      </c>
      <c r="CY239" s="29" t="str">
        <f t="shared" si="397"/>
        <v>0</v>
      </c>
      <c r="CZ239" s="29" t="str">
        <f t="shared" si="397"/>
        <v>0</v>
      </c>
      <c r="DA239" s="29" t="str">
        <f t="shared" si="397"/>
        <v>0</v>
      </c>
      <c r="DB239" s="29" t="str">
        <f t="shared" si="397"/>
        <v>0</v>
      </c>
      <c r="DC239" s="29" t="str">
        <f t="shared" si="397"/>
        <v>0</v>
      </c>
      <c r="DD239" s="29" t="str">
        <f t="shared" si="397"/>
        <v>0</v>
      </c>
      <c r="DE239" s="29" t="str">
        <f t="shared" si="397"/>
        <v>0</v>
      </c>
      <c r="DF239" s="29" t="str">
        <f t="shared" si="397"/>
        <v>0</v>
      </c>
      <c r="DG239" s="29" t="str">
        <f t="shared" si="397"/>
        <v>0</v>
      </c>
      <c r="DH239" s="29" t="str">
        <f t="shared" si="397"/>
        <v>0</v>
      </c>
      <c r="DI239" s="29" t="str">
        <f t="shared" si="397"/>
        <v>0</v>
      </c>
      <c r="DJ239" s="29" t="str">
        <f t="shared" si="397"/>
        <v>0</v>
      </c>
      <c r="DK239" s="29" t="str">
        <f t="shared" si="397"/>
        <v>0</v>
      </c>
      <c r="DL239" s="29" t="str">
        <f t="shared" si="397"/>
        <v>0</v>
      </c>
      <c r="DM239" s="29" t="str">
        <f t="shared" si="397"/>
        <v>0</v>
      </c>
      <c r="DN239" s="29" t="str">
        <f t="shared" si="397"/>
        <v>0</v>
      </c>
      <c r="DO239" s="29" t="str">
        <f t="shared" si="397"/>
        <v>0</v>
      </c>
      <c r="DP239" s="29" t="str">
        <f t="shared" si="397"/>
        <v>0</v>
      </c>
      <c r="DQ239" s="29" t="str">
        <f t="shared" si="397"/>
        <v>0</v>
      </c>
      <c r="DR239" s="29"/>
      <c r="DS239" s="25">
        <v>0</v>
      </c>
      <c r="EE239" s="25" t="str">
        <f t="shared" si="328"/>
        <v>0</v>
      </c>
    </row>
    <row r="240" spans="1:135">
      <c r="A240" s="48">
        <v>1003042</v>
      </c>
      <c r="B240" s="49" t="s">
        <v>321</v>
      </c>
      <c r="C240" s="25">
        <f t="shared" si="299"/>
        <v>42</v>
      </c>
      <c r="D240" s="25">
        <f t="array" ref="D240">INDEX(C$5:C$67,MATCH($B240,$B$5:$B$67,0))</f>
        <v>7700</v>
      </c>
      <c r="E240" s="25">
        <f t="array" ref="E240">INDEX(D$5:D$67,MATCH($B240,$B$5:$B$67,0))</f>
        <v>616</v>
      </c>
      <c r="F240" s="25">
        <f t="array" ref="F240">INDEX(E$5:E$67,MATCH($B240,$B$5:$B$67,0))</f>
        <v>734</v>
      </c>
      <c r="G240" s="25">
        <f t="array" ref="G240">INDEX(F$5:F$67,MATCH($B240,$B$5:$B$67,0))</f>
        <v>58.72</v>
      </c>
      <c r="H240" s="25">
        <f t="array" ref="H240">INDEX(G$5:G$66,MATCH($B240,$B$5:$B$67,0))</f>
        <v>918</v>
      </c>
      <c r="I240" s="25">
        <f t="array" ref="I240">INDEX(H$5:H$67,MATCH($B240,$B$5:$B$67,0))</f>
        <v>73.44</v>
      </c>
      <c r="J240" s="25">
        <f t="array" ref="J240">INDEX(I$5:I$67,MATCH($B240,$B$5:$B$67,0))</f>
        <v>900</v>
      </c>
      <c r="K240" s="25">
        <f t="array" ref="K240">INDEX(J$5:J$67,MATCH($B240,$B$5:$B$67,0))</f>
        <v>72</v>
      </c>
      <c r="L240" s="25">
        <f t="shared" si="309"/>
        <v>33572</v>
      </c>
      <c r="M240" s="25">
        <f t="shared" si="310"/>
        <v>3200</v>
      </c>
      <c r="N240" s="25">
        <f t="shared" si="311"/>
        <v>4002</v>
      </c>
      <c r="O240" s="25">
        <f t="shared" si="312"/>
        <v>3924</v>
      </c>
      <c r="R240" s="50">
        <f t="array" ref="R240">INDEX($B$46:$B$68,MATCH(S240,$C$46:$C$68,0))*1000+T240</f>
        <v>1006027</v>
      </c>
      <c r="S240" s="51" t="s">
        <v>328</v>
      </c>
      <c r="T240" s="29">
        <f t="shared" si="385"/>
        <v>27</v>
      </c>
      <c r="U240" s="25">
        <f t="array" ref="U240">INDEX(K$5:K$67,MATCH($S240,$B$5:$B$67,0))</f>
        <v>340.8</v>
      </c>
      <c r="V240" s="25">
        <f t="array" ref="V240">INDEX(L$5:L$67,MATCH($S240,$B$5:$B$67,0))</f>
        <v>156.67</v>
      </c>
      <c r="W240" s="25">
        <f t="array" ref="W240">INDEX(M$5:M$67,MATCH($S240,$B$5:$B$67,0))</f>
        <v>122.88</v>
      </c>
      <c r="X240" s="25">
        <f t="array" ref="X240">INDEX(N$5:N$67,MATCH($S240,$B$5:$B$67,0))</f>
        <v>83.3</v>
      </c>
      <c r="Y240" s="25">
        <f t="shared" si="313"/>
        <v>9202</v>
      </c>
      <c r="Z240" s="25">
        <f t="shared" si="314"/>
        <v>4230</v>
      </c>
      <c r="AA240" s="25">
        <f t="shared" si="315"/>
        <v>3318</v>
      </c>
      <c r="AB240" s="25">
        <f t="shared" si="316"/>
        <v>2249</v>
      </c>
      <c r="AF240" s="25">
        <v>162</v>
      </c>
      <c r="AG240" s="25">
        <f t="array" ref="AG240">INDEX($AE$79:$AE$116,QUOTIENT(AF240-1,8)+1)</f>
        <v>1026</v>
      </c>
      <c r="AH240" s="25">
        <f t="shared" si="345"/>
        <v>2</v>
      </c>
      <c r="AI240" s="25">
        <f t="shared" si="317"/>
        <v>10262</v>
      </c>
      <c r="AJ240" s="25" t="str">
        <f t="shared" si="318"/>
        <v>乔一</v>
      </c>
      <c r="AK240" s="25">
        <f t="shared" si="346"/>
        <v>2</v>
      </c>
      <c r="AL240" s="25" t="str">
        <f t="array" ref="AL240">INDEX($O$5:$O$42,MATCH(AJ240,$B$5:$B$42,0))</f>
        <v>攻击百分比</v>
      </c>
      <c r="AM240" s="25" t="str">
        <f t="array" ref="AM240">INDEX($P$5:$P$42,MATCH(AJ240,$B$5:$B$42,0))</f>
        <v>必杀伤害加成</v>
      </c>
      <c r="AN240" s="25" t="str">
        <f t="array" ref="AN240">INDEX($Q$5:$Q$42,MATCH(AJ240,$B$5:$B$42,0))</f>
        <v>暴击等级</v>
      </c>
      <c r="AO240" s="25" t="str">
        <f t="array" ref="AO240">INDEX(AL240:AN240,0,AK240)</f>
        <v>必杀伤害加成</v>
      </c>
      <c r="AP240" s="25">
        <f t="shared" si="304"/>
        <v>0.15</v>
      </c>
      <c r="AQ240" s="25">
        <f t="shared" si="319"/>
        <v>0.18</v>
      </c>
      <c r="AR240" s="25" t="str">
        <f t="shared" ref="AR240:BZ240" si="398">IF(AR$78=$AO240,$AQ240,"0")</f>
        <v>0</v>
      </c>
      <c r="AS240" s="25" t="str">
        <f t="shared" si="398"/>
        <v>0</v>
      </c>
      <c r="AT240" s="25" t="str">
        <f t="shared" si="398"/>
        <v>0</v>
      </c>
      <c r="AU240" s="25" t="str">
        <f t="shared" si="398"/>
        <v>0</v>
      </c>
      <c r="AV240" s="25" t="str">
        <f t="shared" si="398"/>
        <v>0</v>
      </c>
      <c r="AW240" s="25" t="str">
        <f t="shared" si="398"/>
        <v>0</v>
      </c>
      <c r="AX240" s="25" t="str">
        <f t="shared" si="398"/>
        <v>0</v>
      </c>
      <c r="AY240" s="25" t="str">
        <f t="shared" si="398"/>
        <v>0</v>
      </c>
      <c r="AZ240" s="25" t="str">
        <f t="shared" si="398"/>
        <v>0</v>
      </c>
      <c r="BA240" s="25" t="str">
        <f t="shared" si="398"/>
        <v>0</v>
      </c>
      <c r="BB240" s="25" t="str">
        <f t="shared" si="398"/>
        <v>0</v>
      </c>
      <c r="BC240" s="25" t="str">
        <f t="shared" si="398"/>
        <v>0</v>
      </c>
      <c r="BD240" s="25" t="str">
        <f t="shared" si="398"/>
        <v>0</v>
      </c>
      <c r="BE240" s="25" t="str">
        <f t="shared" si="398"/>
        <v>0</v>
      </c>
      <c r="BF240" s="25" t="str">
        <f t="shared" si="398"/>
        <v>0</v>
      </c>
      <c r="BG240" s="25" t="str">
        <f t="shared" si="398"/>
        <v>0</v>
      </c>
      <c r="BH240" s="25" t="str">
        <f t="shared" si="398"/>
        <v>0</v>
      </c>
      <c r="BI240" s="25" t="str">
        <f t="shared" si="398"/>
        <v>0</v>
      </c>
      <c r="BJ240" s="25" t="str">
        <f t="shared" si="398"/>
        <v>0</v>
      </c>
      <c r="BK240" s="25" t="str">
        <f t="shared" si="398"/>
        <v>0</v>
      </c>
      <c r="BL240" s="25" t="str">
        <f t="shared" si="398"/>
        <v>0</v>
      </c>
      <c r="BM240" s="25" t="str">
        <f t="shared" si="398"/>
        <v>0</v>
      </c>
      <c r="BN240" s="25" t="str">
        <f t="shared" si="398"/>
        <v>0</v>
      </c>
      <c r="BO240" s="25">
        <f t="shared" si="398"/>
        <v>0.18</v>
      </c>
      <c r="BP240" s="25" t="str">
        <f t="shared" si="398"/>
        <v>0</v>
      </c>
      <c r="BQ240" s="25" t="str">
        <f t="shared" si="398"/>
        <v>0</v>
      </c>
      <c r="BR240" s="25" t="str">
        <f t="shared" si="398"/>
        <v>0</v>
      </c>
      <c r="BS240" s="25" t="str">
        <f t="shared" si="398"/>
        <v>0</v>
      </c>
      <c r="BT240" s="25" t="str">
        <f t="shared" si="398"/>
        <v>0</v>
      </c>
      <c r="BU240" s="25" t="str">
        <f t="shared" si="398"/>
        <v>0</v>
      </c>
      <c r="BV240" s="25" t="str">
        <f t="shared" si="398"/>
        <v>0</v>
      </c>
      <c r="BW240" s="25" t="str">
        <f t="shared" si="398"/>
        <v>0</v>
      </c>
      <c r="BX240" s="25" t="str">
        <f t="shared" si="398"/>
        <v>0</v>
      </c>
      <c r="BY240" s="25" t="str">
        <f t="shared" si="398"/>
        <v>0</v>
      </c>
      <c r="BZ240" s="25" t="str">
        <f t="shared" si="398"/>
        <v>0</v>
      </c>
      <c r="CC240" s="25" t="str">
        <f t="array" ref="CC240">INDEX($C$46:$C$74,MATCH(CD240,$B$46:$B$74,0))</f>
        <v>碎冰者</v>
      </c>
      <c r="CD240" s="29">
        <v>1035</v>
      </c>
      <c r="CE240" s="1">
        <v>0</v>
      </c>
      <c r="CF240" s="25" t="str">
        <f t="array" ref="CF240">INDEX($T$5:$T$44,MATCH(CC240,$B$5:$B$44,0))</f>
        <v>魔法</v>
      </c>
      <c r="CG240" s="25">
        <f t="shared" si="342"/>
        <v>0</v>
      </c>
      <c r="CH240" s="25">
        <f t="shared" si="321"/>
        <v>1</v>
      </c>
      <c r="CI240" s="25">
        <f t="shared" si="322"/>
        <v>1</v>
      </c>
      <c r="CJ240" s="25">
        <f t="shared" si="323"/>
        <v>1</v>
      </c>
      <c r="CK240" s="25">
        <f t="shared" si="324"/>
        <v>1</v>
      </c>
      <c r="CL240" s="25">
        <v>0</v>
      </c>
      <c r="CM240" s="25">
        <f t="shared" si="343"/>
        <v>0</v>
      </c>
      <c r="CN240" s="25">
        <f t="shared" si="325"/>
        <v>0</v>
      </c>
      <c r="CO240" s="25">
        <f t="shared" si="326"/>
        <v>0</v>
      </c>
      <c r="CP240" s="29" t="str">
        <f t="shared" ref="CP240:DQ240" si="399">IF($CL240=CP$78,$CN240,"0")</f>
        <v>0</v>
      </c>
      <c r="CQ240" s="29" t="str">
        <f t="shared" si="399"/>
        <v>0</v>
      </c>
      <c r="CR240" s="29" t="str">
        <f t="shared" si="399"/>
        <v>0</v>
      </c>
      <c r="CS240" s="29" t="str">
        <f t="shared" si="399"/>
        <v>0</v>
      </c>
      <c r="CT240" s="29" t="str">
        <f t="shared" si="399"/>
        <v>0</v>
      </c>
      <c r="CU240" s="29" t="str">
        <f t="shared" si="399"/>
        <v>0</v>
      </c>
      <c r="CV240" s="29" t="str">
        <f t="shared" si="399"/>
        <v>0</v>
      </c>
      <c r="CW240" s="29" t="str">
        <f t="shared" si="399"/>
        <v>0</v>
      </c>
      <c r="CX240" s="29" t="str">
        <f t="shared" si="399"/>
        <v>0</v>
      </c>
      <c r="CY240" s="29" t="str">
        <f t="shared" si="399"/>
        <v>0</v>
      </c>
      <c r="CZ240" s="29" t="str">
        <f t="shared" si="399"/>
        <v>0</v>
      </c>
      <c r="DA240" s="29" t="str">
        <f t="shared" si="399"/>
        <v>0</v>
      </c>
      <c r="DB240" s="29" t="str">
        <f t="shared" si="399"/>
        <v>0</v>
      </c>
      <c r="DC240" s="29" t="str">
        <f t="shared" si="399"/>
        <v>0</v>
      </c>
      <c r="DD240" s="29" t="str">
        <f t="shared" si="399"/>
        <v>0</v>
      </c>
      <c r="DE240" s="29" t="str">
        <f t="shared" si="399"/>
        <v>0</v>
      </c>
      <c r="DF240" s="29" t="str">
        <f t="shared" si="399"/>
        <v>0</v>
      </c>
      <c r="DG240" s="29" t="str">
        <f t="shared" si="399"/>
        <v>0</v>
      </c>
      <c r="DH240" s="29" t="str">
        <f t="shared" si="399"/>
        <v>0</v>
      </c>
      <c r="DI240" s="29" t="str">
        <f t="shared" si="399"/>
        <v>0</v>
      </c>
      <c r="DJ240" s="29" t="str">
        <f t="shared" si="399"/>
        <v>0</v>
      </c>
      <c r="DK240" s="29" t="str">
        <f t="shared" si="399"/>
        <v>0</v>
      </c>
      <c r="DL240" s="29" t="str">
        <f t="shared" si="399"/>
        <v>0</v>
      </c>
      <c r="DM240" s="29" t="str">
        <f t="shared" si="399"/>
        <v>0</v>
      </c>
      <c r="DN240" s="29" t="str">
        <f t="shared" si="399"/>
        <v>0</v>
      </c>
      <c r="DO240" s="29" t="str">
        <f t="shared" si="399"/>
        <v>0</v>
      </c>
      <c r="DP240" s="29" t="str">
        <f t="shared" si="399"/>
        <v>0</v>
      </c>
      <c r="DQ240" s="29" t="str">
        <f t="shared" si="399"/>
        <v>0</v>
      </c>
      <c r="DS240" s="25">
        <v>0</v>
      </c>
      <c r="EE240" s="25" t="str">
        <f t="shared" si="328"/>
        <v>0</v>
      </c>
    </row>
    <row r="241" spans="1:135">
      <c r="A241" s="48">
        <v>1003043</v>
      </c>
      <c r="B241" s="49" t="s">
        <v>321</v>
      </c>
      <c r="C241" s="25">
        <f t="shared" si="299"/>
        <v>43</v>
      </c>
      <c r="D241" s="25">
        <f t="array" ref="D241">INDEX(C$5:C$67,MATCH($B241,$B$5:$B$67,0))</f>
        <v>7700</v>
      </c>
      <c r="E241" s="25">
        <f t="array" ref="E241">INDEX(D$5:D$67,MATCH($B241,$B$5:$B$67,0))</f>
        <v>616</v>
      </c>
      <c r="F241" s="25">
        <f t="array" ref="F241">INDEX(E$5:E$67,MATCH($B241,$B$5:$B$67,0))</f>
        <v>734</v>
      </c>
      <c r="G241" s="25">
        <f t="array" ref="G241">INDEX(F$5:F$67,MATCH($B241,$B$5:$B$67,0))</f>
        <v>58.72</v>
      </c>
      <c r="H241" s="25">
        <f t="array" ref="H241">INDEX(G$5:G$66,MATCH($B241,$B$5:$B$67,0))</f>
        <v>918</v>
      </c>
      <c r="I241" s="25">
        <f t="array" ref="I241">INDEX(H$5:H$67,MATCH($B241,$B$5:$B$67,0))</f>
        <v>73.44</v>
      </c>
      <c r="J241" s="25">
        <f t="array" ref="J241">INDEX(I$5:I$67,MATCH($B241,$B$5:$B$67,0))</f>
        <v>900</v>
      </c>
      <c r="K241" s="25">
        <f t="array" ref="K241">INDEX(J$5:J$67,MATCH($B241,$B$5:$B$67,0))</f>
        <v>72</v>
      </c>
      <c r="L241" s="25">
        <f t="shared" si="309"/>
        <v>34188</v>
      </c>
      <c r="M241" s="25">
        <f t="shared" si="310"/>
        <v>3259</v>
      </c>
      <c r="N241" s="25">
        <f t="shared" si="311"/>
        <v>4076</v>
      </c>
      <c r="O241" s="25">
        <f t="shared" si="312"/>
        <v>3996</v>
      </c>
      <c r="R241" s="50">
        <f t="array" ref="R241">INDEX($B$46:$B$68,MATCH(S241,$C$46:$C$68,0))*1000+T241</f>
        <v>1007001</v>
      </c>
      <c r="S241" s="51" t="s">
        <v>329</v>
      </c>
      <c r="T241" s="29">
        <f t="shared" si="385"/>
        <v>1</v>
      </c>
      <c r="U241" s="25">
        <f t="array" ref="U241">INDEX(K$5:K$67,MATCH($S241,$B$5:$B$67,0))</f>
        <v>383.4</v>
      </c>
      <c r="V241" s="25">
        <f t="array" ref="V241">INDEX(L$5:L$67,MATCH($S241,$B$5:$B$67,0))</f>
        <v>92.16</v>
      </c>
      <c r="W241" s="25">
        <f t="array" ref="W241">INDEX(M$5:M$67,MATCH($S241,$B$5:$B$67,0))</f>
        <v>126.72</v>
      </c>
      <c r="X241" s="25">
        <f t="array" ref="X241">INDEX(N$5:N$67,MATCH($S241,$B$5:$B$67,0))</f>
        <v>93.5</v>
      </c>
      <c r="Y241" s="25">
        <f t="shared" si="313"/>
        <v>383</v>
      </c>
      <c r="Z241" s="25">
        <f t="shared" si="314"/>
        <v>92</v>
      </c>
      <c r="AA241" s="25">
        <f t="shared" si="315"/>
        <v>127</v>
      </c>
      <c r="AB241" s="25">
        <f t="shared" si="316"/>
        <v>94</v>
      </c>
      <c r="AF241" s="25">
        <v>163</v>
      </c>
      <c r="AG241" s="25">
        <f t="array" ref="AG241">INDEX($AE$79:$AE$116,QUOTIENT(AF241-1,8)+1)</f>
        <v>1026</v>
      </c>
      <c r="AH241" s="25">
        <f t="shared" si="345"/>
        <v>3</v>
      </c>
      <c r="AI241" s="25">
        <f t="shared" si="317"/>
        <v>10263</v>
      </c>
      <c r="AJ241" s="25" t="str">
        <f t="shared" si="318"/>
        <v>乔一</v>
      </c>
      <c r="AK241" s="25">
        <f t="shared" si="346"/>
        <v>3</v>
      </c>
      <c r="AL241" s="25" t="str">
        <f t="array" ref="AL241">INDEX($O$5:$O$42,MATCH(AJ241,$B$5:$B$42,0))</f>
        <v>攻击百分比</v>
      </c>
      <c r="AM241" s="25" t="str">
        <f t="array" ref="AM241">INDEX($P$5:$P$42,MATCH(AJ241,$B$5:$B$42,0))</f>
        <v>必杀伤害加成</v>
      </c>
      <c r="AN241" s="25" t="str">
        <f t="array" ref="AN241">INDEX($Q$5:$Q$42,MATCH(AJ241,$B$5:$B$42,0))</f>
        <v>暴击等级</v>
      </c>
      <c r="AO241" s="25" t="str">
        <f t="array" ref="AO241">INDEX(AL241:AN241,0,AK241)</f>
        <v>暴击等级</v>
      </c>
      <c r="AP241" s="25">
        <f t="shared" si="304"/>
        <v>0.216666666666667</v>
      </c>
      <c r="AQ241" s="25">
        <f t="shared" si="319"/>
        <v>1950</v>
      </c>
      <c r="AR241" s="25" t="str">
        <f t="shared" ref="AR241:BZ241" si="400">IF(AR$78=$AO241,$AQ241,"0")</f>
        <v>0</v>
      </c>
      <c r="AS241" s="25" t="str">
        <f t="shared" si="400"/>
        <v>0</v>
      </c>
      <c r="AT241" s="25" t="str">
        <f t="shared" si="400"/>
        <v>0</v>
      </c>
      <c r="AU241" s="25" t="str">
        <f t="shared" si="400"/>
        <v>0</v>
      </c>
      <c r="AV241" s="25" t="str">
        <f t="shared" si="400"/>
        <v>0</v>
      </c>
      <c r="AW241" s="25" t="str">
        <f t="shared" si="400"/>
        <v>0</v>
      </c>
      <c r="AX241" s="25" t="str">
        <f t="shared" si="400"/>
        <v>0</v>
      </c>
      <c r="AY241" s="25" t="str">
        <f t="shared" si="400"/>
        <v>0</v>
      </c>
      <c r="AZ241" s="25" t="str">
        <f t="shared" si="400"/>
        <v>0</v>
      </c>
      <c r="BA241" s="25" t="str">
        <f t="shared" si="400"/>
        <v>0</v>
      </c>
      <c r="BB241" s="25" t="str">
        <f t="shared" si="400"/>
        <v>0</v>
      </c>
      <c r="BC241" s="25" t="str">
        <f t="shared" si="400"/>
        <v>0</v>
      </c>
      <c r="BD241" s="25" t="str">
        <f t="shared" si="400"/>
        <v>0</v>
      </c>
      <c r="BE241" s="25" t="str">
        <f t="shared" si="400"/>
        <v>0</v>
      </c>
      <c r="BF241" s="25" t="str">
        <f t="shared" si="400"/>
        <v>0</v>
      </c>
      <c r="BG241" s="25" t="str">
        <f t="shared" si="400"/>
        <v>0</v>
      </c>
      <c r="BH241" s="25" t="str">
        <f t="shared" si="400"/>
        <v>0</v>
      </c>
      <c r="BI241" s="25" t="str">
        <f t="shared" si="400"/>
        <v>0</v>
      </c>
      <c r="BJ241" s="25" t="str">
        <f t="shared" si="400"/>
        <v>0</v>
      </c>
      <c r="BK241" s="25" t="str">
        <f t="shared" si="400"/>
        <v>0</v>
      </c>
      <c r="BL241" s="25" t="str">
        <f t="shared" si="400"/>
        <v>0</v>
      </c>
      <c r="BM241" s="25" t="str">
        <f t="shared" si="400"/>
        <v>0</v>
      </c>
      <c r="BN241" s="25" t="str">
        <f t="shared" si="400"/>
        <v>0</v>
      </c>
      <c r="BO241" s="25" t="str">
        <f t="shared" si="400"/>
        <v>0</v>
      </c>
      <c r="BP241" s="25" t="str">
        <f t="shared" si="400"/>
        <v>0</v>
      </c>
      <c r="BQ241" s="25" t="str">
        <f t="shared" si="400"/>
        <v>0</v>
      </c>
      <c r="BR241" s="25" t="str">
        <f t="shared" si="400"/>
        <v>0</v>
      </c>
      <c r="BS241" s="25" t="str">
        <f t="shared" si="400"/>
        <v>0</v>
      </c>
      <c r="BT241" s="25" t="str">
        <f t="shared" si="400"/>
        <v>0</v>
      </c>
      <c r="BU241" s="25" t="str">
        <f t="shared" si="400"/>
        <v>0</v>
      </c>
      <c r="BV241" s="25" t="str">
        <f t="shared" si="400"/>
        <v>0</v>
      </c>
      <c r="BW241" s="25">
        <f t="shared" si="400"/>
        <v>1950</v>
      </c>
      <c r="BX241" s="25" t="str">
        <f t="shared" si="400"/>
        <v>0</v>
      </c>
      <c r="BY241" s="25" t="str">
        <f t="shared" si="400"/>
        <v>0</v>
      </c>
      <c r="BZ241" s="25" t="str">
        <f t="shared" si="400"/>
        <v>0</v>
      </c>
      <c r="CC241" s="25" t="str">
        <f t="array" ref="CC241">INDEX($C$46:$C$74,MATCH(CD241,$B$46:$B$74,0))</f>
        <v>碎冰者</v>
      </c>
      <c r="CD241" s="29">
        <v>1035</v>
      </c>
      <c r="CE241" s="1">
        <v>1</v>
      </c>
      <c r="CF241" s="25" t="str">
        <f t="array" ref="CF241">INDEX($T$5:$T$44,MATCH(CC241,$B$5:$B$44,0))</f>
        <v>魔法</v>
      </c>
      <c r="CG241" s="25">
        <f t="shared" si="342"/>
        <v>0</v>
      </c>
      <c r="CH241" s="25">
        <f t="shared" si="321"/>
        <v>1</v>
      </c>
      <c r="CI241" s="25">
        <f t="shared" si="322"/>
        <v>1</v>
      </c>
      <c r="CJ241" s="25">
        <f t="shared" si="323"/>
        <v>1</v>
      </c>
      <c r="CK241" s="25">
        <f t="shared" si="324"/>
        <v>1</v>
      </c>
      <c r="CL241" s="25">
        <v>0</v>
      </c>
      <c r="CM241" s="25">
        <f t="shared" si="343"/>
        <v>0</v>
      </c>
      <c r="CN241" s="25">
        <f t="shared" si="325"/>
        <v>0</v>
      </c>
      <c r="CO241" s="25">
        <f t="shared" si="326"/>
        <v>0</v>
      </c>
      <c r="CP241" s="29" t="str">
        <f t="shared" ref="CP241:DQ241" si="401">IF($CL241=CP$78,$CN241,"0")</f>
        <v>0</v>
      </c>
      <c r="CQ241" s="29" t="str">
        <f t="shared" si="401"/>
        <v>0</v>
      </c>
      <c r="CR241" s="29" t="str">
        <f t="shared" si="401"/>
        <v>0</v>
      </c>
      <c r="CS241" s="29" t="str">
        <f t="shared" si="401"/>
        <v>0</v>
      </c>
      <c r="CT241" s="29" t="str">
        <f t="shared" si="401"/>
        <v>0</v>
      </c>
      <c r="CU241" s="29" t="str">
        <f t="shared" si="401"/>
        <v>0</v>
      </c>
      <c r="CV241" s="29" t="str">
        <f t="shared" si="401"/>
        <v>0</v>
      </c>
      <c r="CW241" s="29" t="str">
        <f t="shared" si="401"/>
        <v>0</v>
      </c>
      <c r="CX241" s="29" t="str">
        <f t="shared" si="401"/>
        <v>0</v>
      </c>
      <c r="CY241" s="29" t="str">
        <f t="shared" si="401"/>
        <v>0</v>
      </c>
      <c r="CZ241" s="29" t="str">
        <f t="shared" si="401"/>
        <v>0</v>
      </c>
      <c r="DA241" s="29" t="str">
        <f t="shared" si="401"/>
        <v>0</v>
      </c>
      <c r="DB241" s="29" t="str">
        <f t="shared" si="401"/>
        <v>0</v>
      </c>
      <c r="DC241" s="29" t="str">
        <f t="shared" si="401"/>
        <v>0</v>
      </c>
      <c r="DD241" s="29" t="str">
        <f t="shared" si="401"/>
        <v>0</v>
      </c>
      <c r="DE241" s="29" t="str">
        <f t="shared" si="401"/>
        <v>0</v>
      </c>
      <c r="DF241" s="29" t="str">
        <f t="shared" si="401"/>
        <v>0</v>
      </c>
      <c r="DG241" s="29" t="str">
        <f t="shared" si="401"/>
        <v>0</v>
      </c>
      <c r="DH241" s="29" t="str">
        <f t="shared" si="401"/>
        <v>0</v>
      </c>
      <c r="DI241" s="29" t="str">
        <f t="shared" si="401"/>
        <v>0</v>
      </c>
      <c r="DJ241" s="29" t="str">
        <f t="shared" si="401"/>
        <v>0</v>
      </c>
      <c r="DK241" s="29" t="str">
        <f t="shared" si="401"/>
        <v>0</v>
      </c>
      <c r="DL241" s="29" t="str">
        <f t="shared" si="401"/>
        <v>0</v>
      </c>
      <c r="DM241" s="29" t="str">
        <f t="shared" si="401"/>
        <v>0</v>
      </c>
      <c r="DN241" s="29" t="str">
        <f t="shared" si="401"/>
        <v>0</v>
      </c>
      <c r="DO241" s="29" t="str">
        <f t="shared" si="401"/>
        <v>0</v>
      </c>
      <c r="DP241" s="29" t="str">
        <f t="shared" si="401"/>
        <v>0</v>
      </c>
      <c r="DQ241" s="29" t="str">
        <f t="shared" si="401"/>
        <v>0</v>
      </c>
      <c r="DS241" s="25">
        <v>0</v>
      </c>
      <c r="EE241" s="25" t="str">
        <f t="shared" si="328"/>
        <v>0</v>
      </c>
    </row>
    <row r="242" spans="1:135">
      <c r="A242" s="48">
        <v>1003044</v>
      </c>
      <c r="B242" s="49" t="s">
        <v>321</v>
      </c>
      <c r="C242" s="25">
        <f t="shared" si="299"/>
        <v>44</v>
      </c>
      <c r="D242" s="25">
        <f t="array" ref="D242">INDEX(C$5:C$67,MATCH($B242,$B$5:$B$67,0))</f>
        <v>7700</v>
      </c>
      <c r="E242" s="25">
        <f t="array" ref="E242">INDEX(D$5:D$67,MATCH($B242,$B$5:$B$67,0))</f>
        <v>616</v>
      </c>
      <c r="F242" s="25">
        <f t="array" ref="F242">INDEX(E$5:E$67,MATCH($B242,$B$5:$B$67,0))</f>
        <v>734</v>
      </c>
      <c r="G242" s="25">
        <f t="array" ref="G242">INDEX(F$5:F$67,MATCH($B242,$B$5:$B$67,0))</f>
        <v>58.72</v>
      </c>
      <c r="H242" s="25">
        <f t="array" ref="H242">INDEX(G$5:G$66,MATCH($B242,$B$5:$B$67,0))</f>
        <v>918</v>
      </c>
      <c r="I242" s="25">
        <f t="array" ref="I242">INDEX(H$5:H$67,MATCH($B242,$B$5:$B$67,0))</f>
        <v>73.44</v>
      </c>
      <c r="J242" s="25">
        <f t="array" ref="J242">INDEX(I$5:I$67,MATCH($B242,$B$5:$B$67,0))</f>
        <v>900</v>
      </c>
      <c r="K242" s="25">
        <f t="array" ref="K242">INDEX(J$5:J$67,MATCH($B242,$B$5:$B$67,0))</f>
        <v>72</v>
      </c>
      <c r="L242" s="25">
        <f t="shared" si="309"/>
        <v>34804</v>
      </c>
      <c r="M242" s="25">
        <f t="shared" si="310"/>
        <v>3318</v>
      </c>
      <c r="N242" s="25">
        <f t="shared" si="311"/>
        <v>4149</v>
      </c>
      <c r="O242" s="25">
        <f t="shared" si="312"/>
        <v>4068</v>
      </c>
      <c r="R242" s="50">
        <f t="array" ref="R242">INDEX($B$46:$B$68,MATCH(S242,$C$46:$C$68,0))*1000+T242</f>
        <v>1007002</v>
      </c>
      <c r="S242" s="51" t="s">
        <v>329</v>
      </c>
      <c r="T242" s="29">
        <f t="shared" si="385"/>
        <v>2</v>
      </c>
      <c r="U242" s="25">
        <f t="array" ref="U242">INDEX(K$5:K$67,MATCH($S242,$B$5:$B$67,0))</f>
        <v>383.4</v>
      </c>
      <c r="V242" s="25">
        <f t="array" ref="V242">INDEX(L$5:L$67,MATCH($S242,$B$5:$B$67,0))</f>
        <v>92.16</v>
      </c>
      <c r="W242" s="25">
        <f t="array" ref="W242">INDEX(M$5:M$67,MATCH($S242,$B$5:$B$67,0))</f>
        <v>126.72</v>
      </c>
      <c r="X242" s="25">
        <f t="array" ref="X242">INDEX(N$5:N$67,MATCH($S242,$B$5:$B$67,0))</f>
        <v>93.5</v>
      </c>
      <c r="Y242" s="25">
        <f t="shared" si="313"/>
        <v>767</v>
      </c>
      <c r="Z242" s="25">
        <f t="shared" si="314"/>
        <v>184</v>
      </c>
      <c r="AA242" s="25">
        <f t="shared" si="315"/>
        <v>253</v>
      </c>
      <c r="AB242" s="25">
        <f t="shared" si="316"/>
        <v>187</v>
      </c>
      <c r="AF242" s="25">
        <v>164</v>
      </c>
      <c r="AG242" s="25">
        <f t="array" ref="AG242">INDEX($AE$79:$AE$116,QUOTIENT(AF242-1,8)+1)</f>
        <v>1026</v>
      </c>
      <c r="AH242" s="25">
        <f t="shared" si="345"/>
        <v>4</v>
      </c>
      <c r="AI242" s="25">
        <f t="shared" si="317"/>
        <v>10264</v>
      </c>
      <c r="AJ242" s="25" t="str">
        <f t="shared" si="318"/>
        <v>乔一</v>
      </c>
      <c r="AK242" s="25">
        <f t="shared" si="346"/>
        <v>2</v>
      </c>
      <c r="AL242" s="25" t="str">
        <f t="array" ref="AL242">INDEX($O$5:$O$42,MATCH(AJ242,$B$5:$B$42,0))</f>
        <v>攻击百分比</v>
      </c>
      <c r="AM242" s="25" t="str">
        <f t="array" ref="AM242">INDEX($P$5:$P$42,MATCH(AJ242,$B$5:$B$42,0))</f>
        <v>必杀伤害加成</v>
      </c>
      <c r="AN242" s="25" t="str">
        <f t="array" ref="AN242">INDEX($Q$5:$Q$42,MATCH(AJ242,$B$5:$B$42,0))</f>
        <v>暴击等级</v>
      </c>
      <c r="AO242" s="25" t="str">
        <f t="array" ref="AO242">INDEX(AL242:AN242,0,AK242)</f>
        <v>必杀伤害加成</v>
      </c>
      <c r="AP242" s="25">
        <f t="shared" si="304"/>
        <v>0.15</v>
      </c>
      <c r="AQ242" s="25">
        <f t="shared" si="319"/>
        <v>0.18</v>
      </c>
      <c r="AR242" s="25" t="str">
        <f t="shared" ref="AR242:BZ242" si="402">IF(AR$78=$AO242,$AQ242,"0")</f>
        <v>0</v>
      </c>
      <c r="AS242" s="25" t="str">
        <f t="shared" si="402"/>
        <v>0</v>
      </c>
      <c r="AT242" s="25" t="str">
        <f t="shared" si="402"/>
        <v>0</v>
      </c>
      <c r="AU242" s="25" t="str">
        <f t="shared" si="402"/>
        <v>0</v>
      </c>
      <c r="AV242" s="25" t="str">
        <f t="shared" si="402"/>
        <v>0</v>
      </c>
      <c r="AW242" s="25" t="str">
        <f t="shared" si="402"/>
        <v>0</v>
      </c>
      <c r="AX242" s="25" t="str">
        <f t="shared" si="402"/>
        <v>0</v>
      </c>
      <c r="AY242" s="25" t="str">
        <f t="shared" si="402"/>
        <v>0</v>
      </c>
      <c r="AZ242" s="25" t="str">
        <f t="shared" si="402"/>
        <v>0</v>
      </c>
      <c r="BA242" s="25" t="str">
        <f t="shared" si="402"/>
        <v>0</v>
      </c>
      <c r="BB242" s="25" t="str">
        <f t="shared" si="402"/>
        <v>0</v>
      </c>
      <c r="BC242" s="25" t="str">
        <f t="shared" si="402"/>
        <v>0</v>
      </c>
      <c r="BD242" s="25" t="str">
        <f t="shared" si="402"/>
        <v>0</v>
      </c>
      <c r="BE242" s="25" t="str">
        <f t="shared" si="402"/>
        <v>0</v>
      </c>
      <c r="BF242" s="25" t="str">
        <f t="shared" si="402"/>
        <v>0</v>
      </c>
      <c r="BG242" s="25" t="str">
        <f t="shared" si="402"/>
        <v>0</v>
      </c>
      <c r="BH242" s="25" t="str">
        <f t="shared" si="402"/>
        <v>0</v>
      </c>
      <c r="BI242" s="25" t="str">
        <f t="shared" si="402"/>
        <v>0</v>
      </c>
      <c r="BJ242" s="25" t="str">
        <f t="shared" si="402"/>
        <v>0</v>
      </c>
      <c r="BK242" s="25" t="str">
        <f t="shared" si="402"/>
        <v>0</v>
      </c>
      <c r="BL242" s="25" t="str">
        <f t="shared" si="402"/>
        <v>0</v>
      </c>
      <c r="BM242" s="25" t="str">
        <f t="shared" si="402"/>
        <v>0</v>
      </c>
      <c r="BN242" s="25" t="str">
        <f t="shared" si="402"/>
        <v>0</v>
      </c>
      <c r="BO242" s="25">
        <f t="shared" si="402"/>
        <v>0.18</v>
      </c>
      <c r="BP242" s="25" t="str">
        <f t="shared" si="402"/>
        <v>0</v>
      </c>
      <c r="BQ242" s="25" t="str">
        <f t="shared" si="402"/>
        <v>0</v>
      </c>
      <c r="BR242" s="25" t="str">
        <f t="shared" si="402"/>
        <v>0</v>
      </c>
      <c r="BS242" s="25" t="str">
        <f t="shared" si="402"/>
        <v>0</v>
      </c>
      <c r="BT242" s="25" t="str">
        <f t="shared" si="402"/>
        <v>0</v>
      </c>
      <c r="BU242" s="25" t="str">
        <f t="shared" si="402"/>
        <v>0</v>
      </c>
      <c r="BV242" s="25" t="str">
        <f t="shared" si="402"/>
        <v>0</v>
      </c>
      <c r="BW242" s="25" t="str">
        <f t="shared" si="402"/>
        <v>0</v>
      </c>
      <c r="BX242" s="25" t="str">
        <f t="shared" si="402"/>
        <v>0</v>
      </c>
      <c r="BY242" s="25" t="str">
        <f t="shared" si="402"/>
        <v>0</v>
      </c>
      <c r="BZ242" s="25" t="str">
        <f t="shared" si="402"/>
        <v>0</v>
      </c>
      <c r="CC242" s="25" t="str">
        <f t="array" ref="CC242">INDEX($C$46:$C$74,MATCH(CD242,$B$46:$B$74,0))</f>
        <v>碎冰者</v>
      </c>
      <c r="CD242" s="29">
        <v>1035</v>
      </c>
      <c r="CE242" s="1">
        <v>2</v>
      </c>
      <c r="CF242" s="25" t="str">
        <f t="array" ref="CF242">INDEX($T$5:$T$44,MATCH(CC242,$B$5:$B$44,0))</f>
        <v>魔法</v>
      </c>
      <c r="CG242" s="25">
        <f t="shared" si="342"/>
        <v>0</v>
      </c>
      <c r="CH242" s="25">
        <f t="shared" si="321"/>
        <v>1</v>
      </c>
      <c r="CI242" s="25">
        <f t="shared" si="322"/>
        <v>1</v>
      </c>
      <c r="CJ242" s="25">
        <f t="shared" si="323"/>
        <v>1</v>
      </c>
      <c r="CK242" s="25">
        <f t="shared" si="324"/>
        <v>1</v>
      </c>
      <c r="CL242" s="25">
        <v>0</v>
      </c>
      <c r="CM242" s="25">
        <f t="shared" si="343"/>
        <v>0</v>
      </c>
      <c r="CN242" s="25">
        <f t="shared" si="325"/>
        <v>0</v>
      </c>
      <c r="CO242" s="25">
        <f t="shared" si="326"/>
        <v>0</v>
      </c>
      <c r="CP242" s="29" t="str">
        <f t="shared" ref="CP242:DQ242" si="403">IF($CL242=CP$78,$CN242,"0")</f>
        <v>0</v>
      </c>
      <c r="CQ242" s="29" t="str">
        <f t="shared" si="403"/>
        <v>0</v>
      </c>
      <c r="CR242" s="29" t="str">
        <f t="shared" si="403"/>
        <v>0</v>
      </c>
      <c r="CS242" s="29" t="str">
        <f t="shared" si="403"/>
        <v>0</v>
      </c>
      <c r="CT242" s="29" t="str">
        <f t="shared" si="403"/>
        <v>0</v>
      </c>
      <c r="CU242" s="29" t="str">
        <f t="shared" si="403"/>
        <v>0</v>
      </c>
      <c r="CV242" s="29" t="str">
        <f t="shared" si="403"/>
        <v>0</v>
      </c>
      <c r="CW242" s="29" t="str">
        <f t="shared" si="403"/>
        <v>0</v>
      </c>
      <c r="CX242" s="29" t="str">
        <f t="shared" si="403"/>
        <v>0</v>
      </c>
      <c r="CY242" s="29" t="str">
        <f t="shared" si="403"/>
        <v>0</v>
      </c>
      <c r="CZ242" s="29" t="str">
        <f t="shared" si="403"/>
        <v>0</v>
      </c>
      <c r="DA242" s="29" t="str">
        <f t="shared" si="403"/>
        <v>0</v>
      </c>
      <c r="DB242" s="29" t="str">
        <f t="shared" si="403"/>
        <v>0</v>
      </c>
      <c r="DC242" s="29" t="str">
        <f t="shared" si="403"/>
        <v>0</v>
      </c>
      <c r="DD242" s="29" t="str">
        <f t="shared" si="403"/>
        <v>0</v>
      </c>
      <c r="DE242" s="29" t="str">
        <f t="shared" si="403"/>
        <v>0</v>
      </c>
      <c r="DF242" s="29" t="str">
        <f t="shared" si="403"/>
        <v>0</v>
      </c>
      <c r="DG242" s="29" t="str">
        <f t="shared" si="403"/>
        <v>0</v>
      </c>
      <c r="DH242" s="29" t="str">
        <f t="shared" si="403"/>
        <v>0</v>
      </c>
      <c r="DI242" s="29" t="str">
        <f t="shared" si="403"/>
        <v>0</v>
      </c>
      <c r="DJ242" s="29" t="str">
        <f t="shared" si="403"/>
        <v>0</v>
      </c>
      <c r="DK242" s="29" t="str">
        <f t="shared" si="403"/>
        <v>0</v>
      </c>
      <c r="DL242" s="29" t="str">
        <f t="shared" si="403"/>
        <v>0</v>
      </c>
      <c r="DM242" s="29" t="str">
        <f t="shared" si="403"/>
        <v>0</v>
      </c>
      <c r="DN242" s="29" t="str">
        <f t="shared" si="403"/>
        <v>0</v>
      </c>
      <c r="DO242" s="29" t="str">
        <f t="shared" si="403"/>
        <v>0</v>
      </c>
      <c r="DP242" s="29" t="str">
        <f t="shared" si="403"/>
        <v>0</v>
      </c>
      <c r="DQ242" s="29" t="str">
        <f t="shared" si="403"/>
        <v>0</v>
      </c>
      <c r="DS242" s="25">
        <v>0</v>
      </c>
      <c r="EE242" s="25" t="str">
        <f t="shared" si="328"/>
        <v>0</v>
      </c>
    </row>
    <row r="243" spans="1:135">
      <c r="A243" s="48">
        <v>1003045</v>
      </c>
      <c r="B243" s="49" t="s">
        <v>321</v>
      </c>
      <c r="C243" s="25">
        <f t="shared" si="299"/>
        <v>45</v>
      </c>
      <c r="D243" s="25">
        <f t="array" ref="D243">INDEX(C$5:C$67,MATCH($B243,$B$5:$B$67,0))</f>
        <v>7700</v>
      </c>
      <c r="E243" s="25">
        <f t="array" ref="E243">INDEX(D$5:D$67,MATCH($B243,$B$5:$B$67,0))</f>
        <v>616</v>
      </c>
      <c r="F243" s="25">
        <f t="array" ref="F243">INDEX(E$5:E$67,MATCH($B243,$B$5:$B$67,0))</f>
        <v>734</v>
      </c>
      <c r="G243" s="25">
        <f t="array" ref="G243">INDEX(F$5:F$67,MATCH($B243,$B$5:$B$67,0))</f>
        <v>58.72</v>
      </c>
      <c r="H243" s="25">
        <f t="array" ref="H243">INDEX(G$5:G$66,MATCH($B243,$B$5:$B$67,0))</f>
        <v>918</v>
      </c>
      <c r="I243" s="25">
        <f t="array" ref="I243">INDEX(H$5:H$67,MATCH($B243,$B$5:$B$67,0))</f>
        <v>73.44</v>
      </c>
      <c r="J243" s="25">
        <f t="array" ref="J243">INDEX(I$5:I$67,MATCH($B243,$B$5:$B$67,0))</f>
        <v>900</v>
      </c>
      <c r="K243" s="25">
        <f t="array" ref="K243">INDEX(J$5:J$67,MATCH($B243,$B$5:$B$67,0))</f>
        <v>72</v>
      </c>
      <c r="L243" s="25">
        <f t="shared" si="309"/>
        <v>35420</v>
      </c>
      <c r="M243" s="25">
        <f t="shared" si="310"/>
        <v>3376</v>
      </c>
      <c r="N243" s="25">
        <f t="shared" si="311"/>
        <v>4223</v>
      </c>
      <c r="O243" s="25">
        <f t="shared" si="312"/>
        <v>4140</v>
      </c>
      <c r="R243" s="50">
        <f t="array" ref="R243">INDEX($B$46:$B$68,MATCH(S243,$C$46:$C$68,0))*1000+T243</f>
        <v>1007003</v>
      </c>
      <c r="S243" s="51" t="s">
        <v>329</v>
      </c>
      <c r="T243" s="29">
        <f t="shared" si="385"/>
        <v>3</v>
      </c>
      <c r="U243" s="25">
        <f t="array" ref="U243">INDEX(K$5:K$67,MATCH($S243,$B$5:$B$67,0))</f>
        <v>383.4</v>
      </c>
      <c r="V243" s="25">
        <f t="array" ref="V243">INDEX(L$5:L$67,MATCH($S243,$B$5:$B$67,0))</f>
        <v>92.16</v>
      </c>
      <c r="W243" s="25">
        <f t="array" ref="W243">INDEX(M$5:M$67,MATCH($S243,$B$5:$B$67,0))</f>
        <v>126.72</v>
      </c>
      <c r="X243" s="25">
        <f t="array" ref="X243">INDEX(N$5:N$67,MATCH($S243,$B$5:$B$67,0))</f>
        <v>93.5</v>
      </c>
      <c r="Y243" s="25">
        <f t="shared" si="313"/>
        <v>1150</v>
      </c>
      <c r="Z243" s="25">
        <f t="shared" si="314"/>
        <v>276</v>
      </c>
      <c r="AA243" s="25">
        <f t="shared" si="315"/>
        <v>380</v>
      </c>
      <c r="AB243" s="25">
        <f t="shared" si="316"/>
        <v>281</v>
      </c>
      <c r="AF243" s="25">
        <v>165</v>
      </c>
      <c r="AG243" s="25">
        <f t="array" ref="AG243">INDEX($AE$79:$AE$116,QUOTIENT(AF243-1,8)+1)</f>
        <v>1026</v>
      </c>
      <c r="AH243" s="25">
        <f t="shared" si="345"/>
        <v>5</v>
      </c>
      <c r="AI243" s="25">
        <f t="shared" si="317"/>
        <v>10265</v>
      </c>
      <c r="AJ243" s="25" t="str">
        <f t="shared" si="318"/>
        <v>乔一</v>
      </c>
      <c r="AK243" s="25">
        <f t="shared" si="346"/>
        <v>3</v>
      </c>
      <c r="AL243" s="25" t="str">
        <f t="array" ref="AL243">INDEX($O$5:$O$42,MATCH(AJ243,$B$5:$B$42,0))</f>
        <v>攻击百分比</v>
      </c>
      <c r="AM243" s="25" t="str">
        <f t="array" ref="AM243">INDEX($P$5:$P$42,MATCH(AJ243,$B$5:$B$42,0))</f>
        <v>必杀伤害加成</v>
      </c>
      <c r="AN243" s="25" t="str">
        <f t="array" ref="AN243">INDEX($Q$5:$Q$42,MATCH(AJ243,$B$5:$B$42,0))</f>
        <v>暴击等级</v>
      </c>
      <c r="AO243" s="25" t="str">
        <f t="array" ref="AO243">INDEX(AL243:AN243,0,AK243)</f>
        <v>暴击等级</v>
      </c>
      <c r="AP243" s="25">
        <f t="shared" si="304"/>
        <v>0.216666666666667</v>
      </c>
      <c r="AQ243" s="25">
        <f t="shared" si="319"/>
        <v>1950</v>
      </c>
      <c r="AR243" s="25" t="str">
        <f t="shared" ref="AR243:BZ243" si="404">IF(AR$78=$AO243,$AQ243,"0")</f>
        <v>0</v>
      </c>
      <c r="AS243" s="25" t="str">
        <f t="shared" si="404"/>
        <v>0</v>
      </c>
      <c r="AT243" s="25" t="str">
        <f t="shared" si="404"/>
        <v>0</v>
      </c>
      <c r="AU243" s="25" t="str">
        <f t="shared" si="404"/>
        <v>0</v>
      </c>
      <c r="AV243" s="25" t="str">
        <f t="shared" si="404"/>
        <v>0</v>
      </c>
      <c r="AW243" s="25" t="str">
        <f t="shared" si="404"/>
        <v>0</v>
      </c>
      <c r="AX243" s="25" t="str">
        <f t="shared" si="404"/>
        <v>0</v>
      </c>
      <c r="AY243" s="25" t="str">
        <f t="shared" si="404"/>
        <v>0</v>
      </c>
      <c r="AZ243" s="25" t="str">
        <f t="shared" si="404"/>
        <v>0</v>
      </c>
      <c r="BA243" s="25" t="str">
        <f t="shared" si="404"/>
        <v>0</v>
      </c>
      <c r="BB243" s="25" t="str">
        <f t="shared" si="404"/>
        <v>0</v>
      </c>
      <c r="BC243" s="25" t="str">
        <f t="shared" si="404"/>
        <v>0</v>
      </c>
      <c r="BD243" s="25" t="str">
        <f t="shared" si="404"/>
        <v>0</v>
      </c>
      <c r="BE243" s="25" t="str">
        <f t="shared" si="404"/>
        <v>0</v>
      </c>
      <c r="BF243" s="25" t="str">
        <f t="shared" si="404"/>
        <v>0</v>
      </c>
      <c r="BG243" s="25" t="str">
        <f t="shared" si="404"/>
        <v>0</v>
      </c>
      <c r="BH243" s="25" t="str">
        <f t="shared" si="404"/>
        <v>0</v>
      </c>
      <c r="BI243" s="25" t="str">
        <f t="shared" si="404"/>
        <v>0</v>
      </c>
      <c r="BJ243" s="25" t="str">
        <f t="shared" si="404"/>
        <v>0</v>
      </c>
      <c r="BK243" s="25" t="str">
        <f t="shared" si="404"/>
        <v>0</v>
      </c>
      <c r="BL243" s="25" t="str">
        <f t="shared" si="404"/>
        <v>0</v>
      </c>
      <c r="BM243" s="25" t="str">
        <f t="shared" si="404"/>
        <v>0</v>
      </c>
      <c r="BN243" s="25" t="str">
        <f t="shared" si="404"/>
        <v>0</v>
      </c>
      <c r="BO243" s="25" t="str">
        <f t="shared" si="404"/>
        <v>0</v>
      </c>
      <c r="BP243" s="25" t="str">
        <f t="shared" si="404"/>
        <v>0</v>
      </c>
      <c r="BQ243" s="25" t="str">
        <f t="shared" si="404"/>
        <v>0</v>
      </c>
      <c r="BR243" s="25" t="str">
        <f t="shared" si="404"/>
        <v>0</v>
      </c>
      <c r="BS243" s="25" t="str">
        <f t="shared" si="404"/>
        <v>0</v>
      </c>
      <c r="BT243" s="25" t="str">
        <f t="shared" si="404"/>
        <v>0</v>
      </c>
      <c r="BU243" s="25" t="str">
        <f t="shared" si="404"/>
        <v>0</v>
      </c>
      <c r="BV243" s="25" t="str">
        <f t="shared" si="404"/>
        <v>0</v>
      </c>
      <c r="BW243" s="25">
        <f t="shared" si="404"/>
        <v>1950</v>
      </c>
      <c r="BX243" s="25" t="str">
        <f t="shared" si="404"/>
        <v>0</v>
      </c>
      <c r="BY243" s="25" t="str">
        <f t="shared" si="404"/>
        <v>0</v>
      </c>
      <c r="BZ243" s="25" t="str">
        <f t="shared" si="404"/>
        <v>0</v>
      </c>
      <c r="CC243" s="25" t="str">
        <f t="array" ref="CC243">INDEX($C$46:$C$74,MATCH(CD243,$B$46:$B$74,0))</f>
        <v>碎冰者</v>
      </c>
      <c r="CD243" s="29">
        <v>1035</v>
      </c>
      <c r="CE243" s="1">
        <v>3</v>
      </c>
      <c r="CF243" s="25" t="str">
        <f t="array" ref="CF243">INDEX($T$5:$T$44,MATCH(CC243,$B$5:$B$44,0))</f>
        <v>魔法</v>
      </c>
      <c r="CG243" s="25">
        <f t="shared" si="342"/>
        <v>0.15</v>
      </c>
      <c r="CH243" s="25">
        <f t="shared" si="321"/>
        <v>1.15</v>
      </c>
      <c r="CI243" s="25">
        <f t="shared" si="322"/>
        <v>1</v>
      </c>
      <c r="CJ243" s="25">
        <f t="shared" si="323"/>
        <v>1.15</v>
      </c>
      <c r="CK243" s="25">
        <f t="shared" si="324"/>
        <v>1.15</v>
      </c>
      <c r="CL243" s="25" t="str">
        <f t="array" ref="CL243">INDEX($R$5:$R$43,MATCH(CC243,$B$5:$B$43,0))</f>
        <v>魔法伤害加成</v>
      </c>
      <c r="CM243" s="25">
        <f t="shared" si="343"/>
        <v>0.3</v>
      </c>
      <c r="CN243" s="25">
        <f t="shared" si="325"/>
        <v>0.12</v>
      </c>
      <c r="CO243" s="25">
        <f t="shared" si="326"/>
        <v>1</v>
      </c>
      <c r="CP243" s="29" t="str">
        <f t="shared" ref="CP243:DQ243" si="405">IF($CL243=CP$78,$CN243,"0")</f>
        <v>0</v>
      </c>
      <c r="CQ243" s="29" t="str">
        <f t="shared" si="405"/>
        <v>0</v>
      </c>
      <c r="CR243" s="29" t="str">
        <f t="shared" si="405"/>
        <v>0</v>
      </c>
      <c r="CS243" s="29" t="str">
        <f t="shared" si="405"/>
        <v>0</v>
      </c>
      <c r="CT243" s="29" t="str">
        <f t="shared" si="405"/>
        <v>0</v>
      </c>
      <c r="CU243" s="29" t="str">
        <f t="shared" si="405"/>
        <v>0</v>
      </c>
      <c r="CV243" s="29" t="str">
        <f t="shared" si="405"/>
        <v>0</v>
      </c>
      <c r="CW243" s="29" t="str">
        <f t="shared" si="405"/>
        <v>0</v>
      </c>
      <c r="CX243" s="29" t="str">
        <f t="shared" si="405"/>
        <v>0</v>
      </c>
      <c r="CY243" s="29" t="str">
        <f t="shared" si="405"/>
        <v>0</v>
      </c>
      <c r="CZ243" s="29" t="str">
        <f t="shared" si="405"/>
        <v>0</v>
      </c>
      <c r="DA243" s="29" t="str">
        <f t="shared" si="405"/>
        <v>0</v>
      </c>
      <c r="DB243" s="29" t="str">
        <f t="shared" si="405"/>
        <v>0</v>
      </c>
      <c r="DC243" s="29">
        <f t="shared" si="405"/>
        <v>0.12</v>
      </c>
      <c r="DD243" s="29" t="str">
        <f t="shared" si="405"/>
        <v>0</v>
      </c>
      <c r="DE243" s="29" t="str">
        <f t="shared" si="405"/>
        <v>0</v>
      </c>
      <c r="DF243" s="29" t="str">
        <f t="shared" si="405"/>
        <v>0</v>
      </c>
      <c r="DG243" s="29" t="str">
        <f t="shared" si="405"/>
        <v>0</v>
      </c>
      <c r="DH243" s="29" t="str">
        <f t="shared" si="405"/>
        <v>0</v>
      </c>
      <c r="DI243" s="29" t="str">
        <f t="shared" si="405"/>
        <v>0</v>
      </c>
      <c r="DJ243" s="29" t="str">
        <f t="shared" si="405"/>
        <v>0</v>
      </c>
      <c r="DK243" s="29" t="str">
        <f t="shared" si="405"/>
        <v>0</v>
      </c>
      <c r="DL243" s="29" t="str">
        <f t="shared" si="405"/>
        <v>0</v>
      </c>
      <c r="DM243" s="29" t="str">
        <f t="shared" si="405"/>
        <v>0</v>
      </c>
      <c r="DN243" s="29" t="str">
        <f t="shared" si="405"/>
        <v>0</v>
      </c>
      <c r="DO243" s="29" t="str">
        <f t="shared" si="405"/>
        <v>0</v>
      </c>
      <c r="DP243" s="29" t="str">
        <f t="shared" si="405"/>
        <v>0</v>
      </c>
      <c r="DQ243" s="29" t="str">
        <f t="shared" si="405"/>
        <v>0</v>
      </c>
      <c r="DS243" s="25" t="s">
        <v>1011</v>
      </c>
      <c r="DT243" s="25" t="str">
        <f>TEXT(角色升星!$F$18,"0%")</f>
        <v>15%</v>
      </c>
      <c r="DU243" s="25" t="s">
        <v>779</v>
      </c>
      <c r="DV243" s="25" t="str">
        <f>IF(CF243="物理","PhysicsAttack,+","MagicAttack,+")</f>
        <v>MagicAttack,+</v>
      </c>
      <c r="DW243" s="25" t="str">
        <f>TEXT(角色升星!$F$18,"0%")</f>
        <v>15%</v>
      </c>
      <c r="DX243" s="25" t="s">
        <v>779</v>
      </c>
      <c r="DY243" s="25" t="s">
        <v>1012</v>
      </c>
      <c r="DZ243" s="25" t="str">
        <f>TEXT(角色升星!$F$18,"0%")</f>
        <v>15%</v>
      </c>
      <c r="EA243" s="25" t="s">
        <v>779</v>
      </c>
      <c r="EB243" s="25" t="str">
        <f>VLOOKUP(CL243,$O$46:$P$73,2,0)</f>
        <v>MagicDmgBonus</v>
      </c>
      <c r="EC243" s="25" t="s">
        <v>1013</v>
      </c>
      <c r="ED243" s="25" t="str">
        <f>IF(CN243&gt;1,CN243,TEXT(CN243,"0%"))</f>
        <v>12%</v>
      </c>
      <c r="EE243" s="25" t="str">
        <f t="shared" si="328"/>
        <v>Hp,+15%;MagicAttack,+15%;Armor,+15%;MagicDmgBonus,+12%</v>
      </c>
    </row>
    <row r="244" spans="1:135">
      <c r="A244" s="48">
        <v>1003046</v>
      </c>
      <c r="B244" s="49" t="s">
        <v>321</v>
      </c>
      <c r="C244" s="25">
        <f t="shared" si="299"/>
        <v>46</v>
      </c>
      <c r="D244" s="25">
        <f t="array" ref="D244">INDEX(C$5:C$67,MATCH($B244,$B$5:$B$67,0))</f>
        <v>7700</v>
      </c>
      <c r="E244" s="25">
        <f t="array" ref="E244">INDEX(D$5:D$67,MATCH($B244,$B$5:$B$67,0))</f>
        <v>616</v>
      </c>
      <c r="F244" s="25">
        <f t="array" ref="F244">INDEX(E$5:E$67,MATCH($B244,$B$5:$B$67,0))</f>
        <v>734</v>
      </c>
      <c r="G244" s="25">
        <f t="array" ref="G244">INDEX(F$5:F$67,MATCH($B244,$B$5:$B$67,0))</f>
        <v>58.72</v>
      </c>
      <c r="H244" s="25">
        <f t="array" ref="H244">INDEX(G$5:G$66,MATCH($B244,$B$5:$B$67,0))</f>
        <v>918</v>
      </c>
      <c r="I244" s="25">
        <f t="array" ref="I244">INDEX(H$5:H$67,MATCH($B244,$B$5:$B$67,0))</f>
        <v>73.44</v>
      </c>
      <c r="J244" s="25">
        <f t="array" ref="J244">INDEX(I$5:I$67,MATCH($B244,$B$5:$B$67,0))</f>
        <v>900</v>
      </c>
      <c r="K244" s="25">
        <f t="array" ref="K244">INDEX(J$5:J$67,MATCH($B244,$B$5:$B$67,0))</f>
        <v>72</v>
      </c>
      <c r="L244" s="25">
        <f t="shared" si="309"/>
        <v>36036</v>
      </c>
      <c r="M244" s="25">
        <f t="shared" si="310"/>
        <v>3435</v>
      </c>
      <c r="N244" s="25">
        <f t="shared" si="311"/>
        <v>4296</v>
      </c>
      <c r="O244" s="25">
        <f t="shared" si="312"/>
        <v>4212</v>
      </c>
      <c r="R244" s="50">
        <f t="array" ref="R244">INDEX($B$46:$B$68,MATCH(S244,$C$46:$C$68,0))*1000+T244</f>
        <v>1007004</v>
      </c>
      <c r="S244" s="51" t="s">
        <v>329</v>
      </c>
      <c r="T244" s="29">
        <f t="shared" si="385"/>
        <v>4</v>
      </c>
      <c r="U244" s="25">
        <f t="array" ref="U244">INDEX(K$5:K$67,MATCH($S244,$B$5:$B$67,0))</f>
        <v>383.4</v>
      </c>
      <c r="V244" s="25">
        <f t="array" ref="V244">INDEX(L$5:L$67,MATCH($S244,$B$5:$B$67,0))</f>
        <v>92.16</v>
      </c>
      <c r="W244" s="25">
        <f t="array" ref="W244">INDEX(M$5:M$67,MATCH($S244,$B$5:$B$67,0))</f>
        <v>126.72</v>
      </c>
      <c r="X244" s="25">
        <f t="array" ref="X244">INDEX(N$5:N$67,MATCH($S244,$B$5:$B$67,0))</f>
        <v>93.5</v>
      </c>
      <c r="Y244" s="25">
        <f t="shared" si="313"/>
        <v>1534</v>
      </c>
      <c r="Z244" s="25">
        <f t="shared" si="314"/>
        <v>369</v>
      </c>
      <c r="AA244" s="25">
        <f t="shared" si="315"/>
        <v>507</v>
      </c>
      <c r="AB244" s="25">
        <f t="shared" si="316"/>
        <v>374</v>
      </c>
      <c r="AF244" s="25">
        <v>166</v>
      </c>
      <c r="AG244" s="25">
        <f t="array" ref="AG244">INDEX($AE$79:$AE$116,QUOTIENT(AF244-1,8)+1)</f>
        <v>1026</v>
      </c>
      <c r="AH244" s="25">
        <f t="shared" si="345"/>
        <v>6</v>
      </c>
      <c r="AI244" s="25">
        <f t="shared" si="317"/>
        <v>10266</v>
      </c>
      <c r="AJ244" s="25" t="str">
        <f t="shared" si="318"/>
        <v>乔一</v>
      </c>
      <c r="AK244" s="25">
        <f t="shared" si="346"/>
        <v>1</v>
      </c>
      <c r="AL244" s="25" t="str">
        <f t="array" ref="AL244">INDEX($O$5:$O$42,MATCH(AJ244,$B$5:$B$42,0))</f>
        <v>攻击百分比</v>
      </c>
      <c r="AM244" s="25" t="str">
        <f t="array" ref="AM244">INDEX($P$5:$P$42,MATCH(AJ244,$B$5:$B$42,0))</f>
        <v>必杀伤害加成</v>
      </c>
      <c r="AN244" s="25" t="str">
        <f t="array" ref="AN244">INDEX($Q$5:$Q$42,MATCH(AJ244,$B$5:$B$42,0))</f>
        <v>暴击等级</v>
      </c>
      <c r="AO244" s="25" t="str">
        <f t="array" ref="AO244">INDEX(AL244:AN244,0,AK244)</f>
        <v>攻击百分比</v>
      </c>
      <c r="AP244" s="25">
        <f t="shared" si="304"/>
        <v>0.216666666666667</v>
      </c>
      <c r="AQ244" s="25">
        <f t="shared" si="319"/>
        <v>0.216666666666667</v>
      </c>
      <c r="AR244" s="25" t="str">
        <f t="shared" ref="AR244:BZ244" si="406">IF(AR$78=$AO244,$AQ244,"0")</f>
        <v>0</v>
      </c>
      <c r="AS244" s="25" t="str">
        <f t="shared" si="406"/>
        <v>0</v>
      </c>
      <c r="AT244" s="25" t="str">
        <f t="shared" si="406"/>
        <v>0</v>
      </c>
      <c r="AU244" s="25">
        <f t="shared" si="406"/>
        <v>0.216666666666667</v>
      </c>
      <c r="AV244" s="25" t="str">
        <f t="shared" si="406"/>
        <v>0</v>
      </c>
      <c r="AW244" s="25">
        <f t="shared" si="406"/>
        <v>0.216666666666667</v>
      </c>
      <c r="AX244" s="25" t="str">
        <f t="shared" si="406"/>
        <v>0</v>
      </c>
      <c r="AY244" s="25" t="str">
        <f t="shared" si="406"/>
        <v>0</v>
      </c>
      <c r="AZ244" s="25" t="str">
        <f t="shared" si="406"/>
        <v>0</v>
      </c>
      <c r="BA244" s="25" t="str">
        <f t="shared" si="406"/>
        <v>0</v>
      </c>
      <c r="BB244" s="25" t="str">
        <f t="shared" si="406"/>
        <v>0</v>
      </c>
      <c r="BC244" s="25" t="str">
        <f t="shared" si="406"/>
        <v>0</v>
      </c>
      <c r="BD244" s="25" t="str">
        <f t="shared" si="406"/>
        <v>0</v>
      </c>
      <c r="BE244" s="25" t="str">
        <f t="shared" si="406"/>
        <v>0</v>
      </c>
      <c r="BF244" s="25" t="str">
        <f t="shared" si="406"/>
        <v>0</v>
      </c>
      <c r="BG244" s="25" t="str">
        <f t="shared" si="406"/>
        <v>0</v>
      </c>
      <c r="BH244" s="25" t="str">
        <f t="shared" si="406"/>
        <v>0</v>
      </c>
      <c r="BI244" s="25" t="str">
        <f t="shared" si="406"/>
        <v>0</v>
      </c>
      <c r="BJ244" s="25" t="str">
        <f t="shared" si="406"/>
        <v>0</v>
      </c>
      <c r="BK244" s="25" t="str">
        <f t="shared" si="406"/>
        <v>0</v>
      </c>
      <c r="BL244" s="25" t="str">
        <f t="shared" si="406"/>
        <v>0</v>
      </c>
      <c r="BM244" s="25" t="str">
        <f t="shared" si="406"/>
        <v>0</v>
      </c>
      <c r="BN244" s="25" t="str">
        <f t="shared" si="406"/>
        <v>0</v>
      </c>
      <c r="BO244" s="25" t="str">
        <f t="shared" si="406"/>
        <v>0</v>
      </c>
      <c r="BP244" s="25" t="str">
        <f t="shared" si="406"/>
        <v>0</v>
      </c>
      <c r="BQ244" s="25" t="str">
        <f t="shared" si="406"/>
        <v>0</v>
      </c>
      <c r="BR244" s="25" t="str">
        <f t="shared" si="406"/>
        <v>0</v>
      </c>
      <c r="BS244" s="25" t="str">
        <f t="shared" si="406"/>
        <v>0</v>
      </c>
      <c r="BT244" s="25" t="str">
        <f t="shared" si="406"/>
        <v>0</v>
      </c>
      <c r="BU244" s="25" t="str">
        <f t="shared" si="406"/>
        <v>0</v>
      </c>
      <c r="BV244" s="25" t="str">
        <f t="shared" si="406"/>
        <v>0</v>
      </c>
      <c r="BW244" s="25" t="str">
        <f t="shared" si="406"/>
        <v>0</v>
      </c>
      <c r="BX244" s="25" t="str">
        <f t="shared" si="406"/>
        <v>0</v>
      </c>
      <c r="BY244" s="25" t="str">
        <f t="shared" si="406"/>
        <v>0</v>
      </c>
      <c r="BZ244" s="25" t="str">
        <f t="shared" si="406"/>
        <v>0</v>
      </c>
      <c r="CC244" s="25" t="str">
        <f t="array" ref="CC244">INDEX($C$46:$C$74,MATCH(CD244,$B$46:$B$74,0))</f>
        <v>碎冰者</v>
      </c>
      <c r="CD244" s="29">
        <v>1035</v>
      </c>
      <c r="CE244" s="1">
        <v>4</v>
      </c>
      <c r="CF244" s="25" t="str">
        <f t="array" ref="CF244">INDEX($T$5:$T$44,MATCH(CC244,$B$5:$B$44,0))</f>
        <v>魔法</v>
      </c>
      <c r="CG244" s="25">
        <f t="shared" si="342"/>
        <v>0.15</v>
      </c>
      <c r="CH244" s="25">
        <f t="shared" si="321"/>
        <v>1.15</v>
      </c>
      <c r="CI244" s="25">
        <f t="shared" si="322"/>
        <v>1</v>
      </c>
      <c r="CJ244" s="25">
        <f t="shared" si="323"/>
        <v>1.15</v>
      </c>
      <c r="CK244" s="25">
        <f t="shared" si="324"/>
        <v>1.15</v>
      </c>
      <c r="CL244" s="25">
        <v>0</v>
      </c>
      <c r="CM244" s="25">
        <f t="shared" si="343"/>
        <v>0</v>
      </c>
      <c r="CN244" s="25">
        <f t="shared" si="325"/>
        <v>0</v>
      </c>
      <c r="CO244" s="25">
        <f t="shared" si="326"/>
        <v>0</v>
      </c>
      <c r="CP244" s="29" t="str">
        <f t="shared" ref="CP244:DQ244" si="407">IF($CL244=CP$78,$CN244,"0")</f>
        <v>0</v>
      </c>
      <c r="CQ244" s="29" t="str">
        <f t="shared" si="407"/>
        <v>0</v>
      </c>
      <c r="CR244" s="29" t="str">
        <f t="shared" si="407"/>
        <v>0</v>
      </c>
      <c r="CS244" s="29" t="str">
        <f t="shared" si="407"/>
        <v>0</v>
      </c>
      <c r="CT244" s="29" t="str">
        <f t="shared" si="407"/>
        <v>0</v>
      </c>
      <c r="CU244" s="29" t="str">
        <f t="shared" si="407"/>
        <v>0</v>
      </c>
      <c r="CV244" s="29" t="str">
        <f t="shared" si="407"/>
        <v>0</v>
      </c>
      <c r="CW244" s="29" t="str">
        <f t="shared" si="407"/>
        <v>0</v>
      </c>
      <c r="CX244" s="29" t="str">
        <f t="shared" si="407"/>
        <v>0</v>
      </c>
      <c r="CY244" s="29" t="str">
        <f t="shared" si="407"/>
        <v>0</v>
      </c>
      <c r="CZ244" s="29" t="str">
        <f t="shared" si="407"/>
        <v>0</v>
      </c>
      <c r="DA244" s="29" t="str">
        <f t="shared" si="407"/>
        <v>0</v>
      </c>
      <c r="DB244" s="29" t="str">
        <f t="shared" si="407"/>
        <v>0</v>
      </c>
      <c r="DC244" s="29" t="str">
        <f t="shared" si="407"/>
        <v>0</v>
      </c>
      <c r="DD244" s="29" t="str">
        <f t="shared" si="407"/>
        <v>0</v>
      </c>
      <c r="DE244" s="29" t="str">
        <f t="shared" si="407"/>
        <v>0</v>
      </c>
      <c r="DF244" s="29" t="str">
        <f t="shared" si="407"/>
        <v>0</v>
      </c>
      <c r="DG244" s="29" t="str">
        <f t="shared" si="407"/>
        <v>0</v>
      </c>
      <c r="DH244" s="29" t="str">
        <f t="shared" si="407"/>
        <v>0</v>
      </c>
      <c r="DI244" s="29" t="str">
        <f t="shared" si="407"/>
        <v>0</v>
      </c>
      <c r="DJ244" s="29" t="str">
        <f t="shared" si="407"/>
        <v>0</v>
      </c>
      <c r="DK244" s="29" t="str">
        <f t="shared" si="407"/>
        <v>0</v>
      </c>
      <c r="DL244" s="29" t="str">
        <f t="shared" si="407"/>
        <v>0</v>
      </c>
      <c r="DM244" s="29" t="str">
        <f t="shared" si="407"/>
        <v>0</v>
      </c>
      <c r="DN244" s="29" t="str">
        <f t="shared" si="407"/>
        <v>0</v>
      </c>
      <c r="DO244" s="29" t="str">
        <f t="shared" si="407"/>
        <v>0</v>
      </c>
      <c r="DP244" s="29" t="str">
        <f t="shared" si="407"/>
        <v>0</v>
      </c>
      <c r="DQ244" s="29" t="str">
        <f t="shared" si="407"/>
        <v>0</v>
      </c>
      <c r="DS244" s="25">
        <v>0</v>
      </c>
      <c r="EE244" s="25" t="str">
        <f t="shared" si="328"/>
        <v>0</v>
      </c>
    </row>
    <row r="245" spans="1:135">
      <c r="A245" s="48">
        <v>1003047</v>
      </c>
      <c r="B245" s="49" t="s">
        <v>321</v>
      </c>
      <c r="C245" s="25">
        <f t="shared" si="299"/>
        <v>47</v>
      </c>
      <c r="D245" s="25">
        <f t="array" ref="D245">INDEX(C$5:C$67,MATCH($B245,$B$5:$B$67,0))</f>
        <v>7700</v>
      </c>
      <c r="E245" s="25">
        <f t="array" ref="E245">INDEX(D$5:D$67,MATCH($B245,$B$5:$B$67,0))</f>
        <v>616</v>
      </c>
      <c r="F245" s="25">
        <f t="array" ref="F245">INDEX(E$5:E$67,MATCH($B245,$B$5:$B$67,0))</f>
        <v>734</v>
      </c>
      <c r="G245" s="25">
        <f t="array" ref="G245">INDEX(F$5:F$67,MATCH($B245,$B$5:$B$67,0))</f>
        <v>58.72</v>
      </c>
      <c r="H245" s="25">
        <f t="array" ref="H245">INDEX(G$5:G$66,MATCH($B245,$B$5:$B$67,0))</f>
        <v>918</v>
      </c>
      <c r="I245" s="25">
        <f t="array" ref="I245">INDEX(H$5:H$67,MATCH($B245,$B$5:$B$67,0))</f>
        <v>73.44</v>
      </c>
      <c r="J245" s="25">
        <f t="array" ref="J245">INDEX(I$5:I$67,MATCH($B245,$B$5:$B$67,0))</f>
        <v>900</v>
      </c>
      <c r="K245" s="25">
        <f t="array" ref="K245">INDEX(J$5:J$67,MATCH($B245,$B$5:$B$67,0))</f>
        <v>72</v>
      </c>
      <c r="L245" s="25">
        <f t="shared" si="309"/>
        <v>36652</v>
      </c>
      <c r="M245" s="25">
        <f t="shared" si="310"/>
        <v>3494</v>
      </c>
      <c r="N245" s="25">
        <f t="shared" si="311"/>
        <v>4370</v>
      </c>
      <c r="O245" s="25">
        <f t="shared" si="312"/>
        <v>4284</v>
      </c>
      <c r="R245" s="50">
        <f t="array" ref="R245">INDEX($B$46:$B$68,MATCH(S245,$C$46:$C$68,0))*1000+T245</f>
        <v>1007005</v>
      </c>
      <c r="S245" s="51" t="s">
        <v>329</v>
      </c>
      <c r="T245" s="29">
        <f t="shared" si="385"/>
        <v>5</v>
      </c>
      <c r="U245" s="25">
        <f t="array" ref="U245">INDEX(K$5:K$67,MATCH($S245,$B$5:$B$67,0))</f>
        <v>383.4</v>
      </c>
      <c r="V245" s="25">
        <f t="array" ref="V245">INDEX(L$5:L$67,MATCH($S245,$B$5:$B$67,0))</f>
        <v>92.16</v>
      </c>
      <c r="W245" s="25">
        <f t="array" ref="W245">INDEX(M$5:M$67,MATCH($S245,$B$5:$B$67,0))</f>
        <v>126.72</v>
      </c>
      <c r="X245" s="25">
        <f t="array" ref="X245">INDEX(N$5:N$67,MATCH($S245,$B$5:$B$67,0))</f>
        <v>93.5</v>
      </c>
      <c r="Y245" s="25">
        <f t="shared" si="313"/>
        <v>1917</v>
      </c>
      <c r="Z245" s="25">
        <f t="shared" si="314"/>
        <v>461</v>
      </c>
      <c r="AA245" s="25">
        <f t="shared" si="315"/>
        <v>634</v>
      </c>
      <c r="AB245" s="25">
        <f t="shared" si="316"/>
        <v>468</v>
      </c>
      <c r="AF245" s="25">
        <v>167</v>
      </c>
      <c r="AG245" s="25">
        <f t="array" ref="AG245">INDEX($AE$79:$AE$116,QUOTIENT(AF245-1,8)+1)</f>
        <v>1026</v>
      </c>
      <c r="AH245" s="25">
        <f t="shared" si="345"/>
        <v>7</v>
      </c>
      <c r="AI245" s="25">
        <f t="shared" si="317"/>
        <v>10267</v>
      </c>
      <c r="AJ245" s="25" t="str">
        <f t="shared" si="318"/>
        <v>乔一</v>
      </c>
      <c r="AK245" s="25">
        <f t="shared" si="346"/>
        <v>2</v>
      </c>
      <c r="AL245" s="25" t="str">
        <f t="array" ref="AL245">INDEX($O$5:$O$42,MATCH(AJ245,$B$5:$B$42,0))</f>
        <v>攻击百分比</v>
      </c>
      <c r="AM245" s="25" t="str">
        <f t="array" ref="AM245">INDEX($P$5:$P$42,MATCH(AJ245,$B$5:$B$42,0))</f>
        <v>必杀伤害加成</v>
      </c>
      <c r="AN245" s="25" t="str">
        <f t="array" ref="AN245">INDEX($Q$5:$Q$42,MATCH(AJ245,$B$5:$B$42,0))</f>
        <v>暴击等级</v>
      </c>
      <c r="AO245" s="25" t="str">
        <f t="array" ref="AO245">INDEX(AL245:AN245,0,AK245)</f>
        <v>必杀伤害加成</v>
      </c>
      <c r="AP245" s="25">
        <f t="shared" si="304"/>
        <v>0.15</v>
      </c>
      <c r="AQ245" s="25">
        <f t="shared" si="319"/>
        <v>0.18</v>
      </c>
      <c r="AR245" s="25" t="str">
        <f t="shared" ref="AR245:BZ245" si="408">IF(AR$78=$AO245,$AQ245,"0")</f>
        <v>0</v>
      </c>
      <c r="AS245" s="25" t="str">
        <f t="shared" si="408"/>
        <v>0</v>
      </c>
      <c r="AT245" s="25" t="str">
        <f t="shared" si="408"/>
        <v>0</v>
      </c>
      <c r="AU245" s="25" t="str">
        <f t="shared" si="408"/>
        <v>0</v>
      </c>
      <c r="AV245" s="25" t="str">
        <f t="shared" si="408"/>
        <v>0</v>
      </c>
      <c r="AW245" s="25" t="str">
        <f t="shared" si="408"/>
        <v>0</v>
      </c>
      <c r="AX245" s="25" t="str">
        <f t="shared" si="408"/>
        <v>0</v>
      </c>
      <c r="AY245" s="25" t="str">
        <f t="shared" si="408"/>
        <v>0</v>
      </c>
      <c r="AZ245" s="25" t="str">
        <f t="shared" si="408"/>
        <v>0</v>
      </c>
      <c r="BA245" s="25" t="str">
        <f t="shared" si="408"/>
        <v>0</v>
      </c>
      <c r="BB245" s="25" t="str">
        <f t="shared" si="408"/>
        <v>0</v>
      </c>
      <c r="BC245" s="25" t="str">
        <f t="shared" si="408"/>
        <v>0</v>
      </c>
      <c r="BD245" s="25" t="str">
        <f t="shared" si="408"/>
        <v>0</v>
      </c>
      <c r="BE245" s="25" t="str">
        <f t="shared" si="408"/>
        <v>0</v>
      </c>
      <c r="BF245" s="25" t="str">
        <f t="shared" si="408"/>
        <v>0</v>
      </c>
      <c r="BG245" s="25" t="str">
        <f t="shared" si="408"/>
        <v>0</v>
      </c>
      <c r="BH245" s="25" t="str">
        <f t="shared" si="408"/>
        <v>0</v>
      </c>
      <c r="BI245" s="25" t="str">
        <f t="shared" si="408"/>
        <v>0</v>
      </c>
      <c r="BJ245" s="25" t="str">
        <f t="shared" si="408"/>
        <v>0</v>
      </c>
      <c r="BK245" s="25" t="str">
        <f t="shared" si="408"/>
        <v>0</v>
      </c>
      <c r="BL245" s="25" t="str">
        <f t="shared" si="408"/>
        <v>0</v>
      </c>
      <c r="BM245" s="25" t="str">
        <f t="shared" si="408"/>
        <v>0</v>
      </c>
      <c r="BN245" s="25" t="str">
        <f t="shared" si="408"/>
        <v>0</v>
      </c>
      <c r="BO245" s="25">
        <f t="shared" si="408"/>
        <v>0.18</v>
      </c>
      <c r="BP245" s="25" t="str">
        <f t="shared" si="408"/>
        <v>0</v>
      </c>
      <c r="BQ245" s="25" t="str">
        <f t="shared" si="408"/>
        <v>0</v>
      </c>
      <c r="BR245" s="25" t="str">
        <f t="shared" si="408"/>
        <v>0</v>
      </c>
      <c r="BS245" s="25" t="str">
        <f t="shared" si="408"/>
        <v>0</v>
      </c>
      <c r="BT245" s="25" t="str">
        <f t="shared" si="408"/>
        <v>0</v>
      </c>
      <c r="BU245" s="25" t="str">
        <f t="shared" si="408"/>
        <v>0</v>
      </c>
      <c r="BV245" s="25" t="str">
        <f t="shared" si="408"/>
        <v>0</v>
      </c>
      <c r="BW245" s="25" t="str">
        <f t="shared" si="408"/>
        <v>0</v>
      </c>
      <c r="BX245" s="25" t="str">
        <f t="shared" si="408"/>
        <v>0</v>
      </c>
      <c r="BY245" s="25" t="str">
        <f t="shared" si="408"/>
        <v>0</v>
      </c>
      <c r="BZ245" s="25" t="str">
        <f t="shared" si="408"/>
        <v>0</v>
      </c>
      <c r="CC245" s="25" t="str">
        <f t="array" ref="CC245">INDEX($C$46:$C$74,MATCH(CD245,$B$46:$B$74,0))</f>
        <v>碎冰者</v>
      </c>
      <c r="CD245" s="29">
        <v>1035</v>
      </c>
      <c r="CE245" s="1">
        <v>5</v>
      </c>
      <c r="CF245" s="25" t="str">
        <f t="array" ref="CF245">INDEX($T$5:$T$44,MATCH(CC245,$B$5:$B$44,0))</f>
        <v>魔法</v>
      </c>
      <c r="CG245" s="25">
        <f t="shared" si="342"/>
        <v>0.3</v>
      </c>
      <c r="CH245" s="25">
        <f t="shared" si="321"/>
        <v>1.3</v>
      </c>
      <c r="CI245" s="25">
        <f t="shared" si="322"/>
        <v>1</v>
      </c>
      <c r="CJ245" s="25">
        <f t="shared" si="323"/>
        <v>1.3</v>
      </c>
      <c r="CK245" s="25">
        <f t="shared" si="324"/>
        <v>1.3</v>
      </c>
      <c r="CL245" s="25" t="str">
        <f t="array" ref="CL245">INDEX($S$5:$S$43,MATCH(CC245,$B$5:$B$43,0))</f>
        <v>暴击伤害等级</v>
      </c>
      <c r="CM245" s="25">
        <f t="shared" si="343"/>
        <v>0.3</v>
      </c>
      <c r="CN245" s="25">
        <f t="shared" si="325"/>
        <v>3300</v>
      </c>
      <c r="CO245" s="25">
        <f t="shared" si="326"/>
        <v>1</v>
      </c>
      <c r="CP245" s="29" t="str">
        <f t="shared" ref="CP245:DQ245" si="409">IF($CL245=CP$78,$CN245,"0")</f>
        <v>0</v>
      </c>
      <c r="CQ245" s="29" t="str">
        <f t="shared" si="409"/>
        <v>0</v>
      </c>
      <c r="CR245" s="29" t="str">
        <f t="shared" si="409"/>
        <v>0</v>
      </c>
      <c r="CS245" s="29" t="str">
        <f t="shared" si="409"/>
        <v>0</v>
      </c>
      <c r="CT245" s="29" t="str">
        <f t="shared" si="409"/>
        <v>0</v>
      </c>
      <c r="CU245" s="29" t="str">
        <f t="shared" si="409"/>
        <v>0</v>
      </c>
      <c r="CV245" s="29" t="str">
        <f t="shared" si="409"/>
        <v>0</v>
      </c>
      <c r="CW245" s="29" t="str">
        <f t="shared" si="409"/>
        <v>0</v>
      </c>
      <c r="CX245" s="29" t="str">
        <f t="shared" si="409"/>
        <v>0</v>
      </c>
      <c r="CY245" s="29" t="str">
        <f t="shared" si="409"/>
        <v>0</v>
      </c>
      <c r="CZ245" s="29" t="str">
        <f t="shared" si="409"/>
        <v>0</v>
      </c>
      <c r="DA245" s="29" t="str">
        <f t="shared" si="409"/>
        <v>0</v>
      </c>
      <c r="DB245" s="29" t="str">
        <f t="shared" si="409"/>
        <v>0</v>
      </c>
      <c r="DC245" s="29" t="str">
        <f t="shared" si="409"/>
        <v>0</v>
      </c>
      <c r="DD245" s="29" t="str">
        <f t="shared" si="409"/>
        <v>0</v>
      </c>
      <c r="DE245" s="29" t="str">
        <f t="shared" si="409"/>
        <v>0</v>
      </c>
      <c r="DF245" s="29" t="str">
        <f t="shared" si="409"/>
        <v>0</v>
      </c>
      <c r="DG245" s="29" t="str">
        <f t="shared" si="409"/>
        <v>0</v>
      </c>
      <c r="DH245" s="29" t="str">
        <f t="shared" si="409"/>
        <v>0</v>
      </c>
      <c r="DI245" s="29" t="str">
        <f t="shared" si="409"/>
        <v>0</v>
      </c>
      <c r="DJ245" s="29" t="str">
        <f t="shared" si="409"/>
        <v>0</v>
      </c>
      <c r="DK245" s="29" t="str">
        <f t="shared" si="409"/>
        <v>0</v>
      </c>
      <c r="DL245" s="29" t="str">
        <f t="shared" si="409"/>
        <v>0</v>
      </c>
      <c r="DM245" s="29" t="str">
        <f t="shared" si="409"/>
        <v>0</v>
      </c>
      <c r="DN245" s="29" t="str">
        <f t="shared" si="409"/>
        <v>0</v>
      </c>
      <c r="DO245" s="29">
        <f t="shared" si="409"/>
        <v>3300</v>
      </c>
      <c r="DP245" s="29" t="str">
        <f t="shared" si="409"/>
        <v>0</v>
      </c>
      <c r="DQ245" s="29" t="str">
        <f t="shared" si="409"/>
        <v>0</v>
      </c>
      <c r="DS245" s="25" t="s">
        <v>1011</v>
      </c>
      <c r="DT245" s="25" t="str">
        <f>TEXT(角色升星!$F$18,"0%")</f>
        <v>15%</v>
      </c>
      <c r="DU245" s="25" t="s">
        <v>779</v>
      </c>
      <c r="DV245" s="25" t="str">
        <f>IF(CF245="物理","PhysicsAttack,+","MagicAttack,+")</f>
        <v>MagicAttack,+</v>
      </c>
      <c r="DW245" s="25" t="str">
        <f>TEXT(角色升星!$F$18,"0%")</f>
        <v>15%</v>
      </c>
      <c r="DX245" s="25" t="s">
        <v>779</v>
      </c>
      <c r="DY245" s="25" t="s">
        <v>1012</v>
      </c>
      <c r="DZ245" s="25" t="str">
        <f>TEXT(角色升星!$F$18,"0%")</f>
        <v>15%</v>
      </c>
      <c r="EA245" s="25" t="s">
        <v>779</v>
      </c>
      <c r="EB245" s="25" t="str">
        <f>VLOOKUP(CL245,$O$46:$P$73,2,0)</f>
        <v>CritDmgBonusLevel</v>
      </c>
      <c r="EC245" s="25" t="s">
        <v>1013</v>
      </c>
      <c r="ED245" s="25">
        <f>IF(CN245&gt;1,CN245,TEXT(CN245,"0%"))</f>
        <v>3300</v>
      </c>
      <c r="EE245" s="25" t="str">
        <f t="shared" si="328"/>
        <v>Hp,+15%;MagicAttack,+15%;Armor,+15%;CritDmgBonusLevel,+3300</v>
      </c>
    </row>
    <row r="246" spans="1:135">
      <c r="A246" s="48">
        <v>1003048</v>
      </c>
      <c r="B246" s="49" t="s">
        <v>321</v>
      </c>
      <c r="C246" s="25">
        <f t="shared" si="299"/>
        <v>48</v>
      </c>
      <c r="D246" s="25">
        <f t="array" ref="D246">INDEX(C$5:C$67,MATCH($B246,$B$5:$B$67,0))</f>
        <v>7700</v>
      </c>
      <c r="E246" s="25">
        <f t="array" ref="E246">INDEX(D$5:D$67,MATCH($B246,$B$5:$B$67,0))</f>
        <v>616</v>
      </c>
      <c r="F246" s="25">
        <f t="array" ref="F246">INDEX(E$5:E$67,MATCH($B246,$B$5:$B$67,0))</f>
        <v>734</v>
      </c>
      <c r="G246" s="25">
        <f t="array" ref="G246">INDEX(F$5:F$67,MATCH($B246,$B$5:$B$67,0))</f>
        <v>58.72</v>
      </c>
      <c r="H246" s="25">
        <f t="array" ref="H246">INDEX(G$5:G$66,MATCH($B246,$B$5:$B$67,0))</f>
        <v>918</v>
      </c>
      <c r="I246" s="25">
        <f t="array" ref="I246">INDEX(H$5:H$67,MATCH($B246,$B$5:$B$67,0))</f>
        <v>73.44</v>
      </c>
      <c r="J246" s="25">
        <f t="array" ref="J246">INDEX(I$5:I$67,MATCH($B246,$B$5:$B$67,0))</f>
        <v>900</v>
      </c>
      <c r="K246" s="25">
        <f t="array" ref="K246">INDEX(J$5:J$67,MATCH($B246,$B$5:$B$67,0))</f>
        <v>72</v>
      </c>
      <c r="L246" s="25">
        <f t="shared" si="309"/>
        <v>37268</v>
      </c>
      <c r="M246" s="25">
        <f t="shared" si="310"/>
        <v>3553</v>
      </c>
      <c r="N246" s="25">
        <f t="shared" si="311"/>
        <v>4443</v>
      </c>
      <c r="O246" s="25">
        <f t="shared" si="312"/>
        <v>4356</v>
      </c>
      <c r="R246" s="50">
        <f t="array" ref="R246">INDEX($B$46:$B$68,MATCH(S246,$C$46:$C$68,0))*1000+T246</f>
        <v>1007006</v>
      </c>
      <c r="S246" s="51" t="s">
        <v>329</v>
      </c>
      <c r="T246" s="29">
        <f t="shared" si="385"/>
        <v>6</v>
      </c>
      <c r="U246" s="25">
        <f t="array" ref="U246">INDEX(K$5:K$67,MATCH($S246,$B$5:$B$67,0))</f>
        <v>383.4</v>
      </c>
      <c r="V246" s="25">
        <f t="array" ref="V246">INDEX(L$5:L$67,MATCH($S246,$B$5:$B$67,0))</f>
        <v>92.16</v>
      </c>
      <c r="W246" s="25">
        <f t="array" ref="W246">INDEX(M$5:M$67,MATCH($S246,$B$5:$B$67,0))</f>
        <v>126.72</v>
      </c>
      <c r="X246" s="25">
        <f t="array" ref="X246">INDEX(N$5:N$67,MATCH($S246,$B$5:$B$67,0))</f>
        <v>93.5</v>
      </c>
      <c r="Y246" s="25">
        <f t="shared" si="313"/>
        <v>2300</v>
      </c>
      <c r="Z246" s="25">
        <f t="shared" si="314"/>
        <v>553</v>
      </c>
      <c r="AA246" s="25">
        <f t="shared" si="315"/>
        <v>760</v>
      </c>
      <c r="AB246" s="25">
        <f t="shared" si="316"/>
        <v>561</v>
      </c>
      <c r="AF246" s="25">
        <v>168</v>
      </c>
      <c r="AG246" s="25">
        <f t="array" ref="AG246">INDEX($AE$79:$AE$116,QUOTIENT(AF246-1,8)+1)</f>
        <v>1026</v>
      </c>
      <c r="AH246" s="25">
        <f t="shared" si="345"/>
        <v>8</v>
      </c>
      <c r="AI246" s="25">
        <f t="shared" si="317"/>
        <v>10268</v>
      </c>
      <c r="AJ246" s="25" t="str">
        <f t="shared" si="318"/>
        <v>乔一</v>
      </c>
      <c r="AK246" s="25">
        <f t="shared" si="346"/>
        <v>3</v>
      </c>
      <c r="AL246" s="25" t="str">
        <f t="array" ref="AL246">INDEX($O$5:$O$42,MATCH(AJ246,$B$5:$B$42,0))</f>
        <v>攻击百分比</v>
      </c>
      <c r="AM246" s="25" t="str">
        <f t="array" ref="AM246">INDEX($P$5:$P$42,MATCH(AJ246,$B$5:$B$42,0))</f>
        <v>必杀伤害加成</v>
      </c>
      <c r="AN246" s="25" t="str">
        <f t="array" ref="AN246">INDEX($Q$5:$Q$42,MATCH(AJ246,$B$5:$B$42,0))</f>
        <v>暴击等级</v>
      </c>
      <c r="AO246" s="25" t="str">
        <f t="array" ref="AO246">INDEX(AL246:AN246,0,AK246)</f>
        <v>暴击等级</v>
      </c>
      <c r="AP246" s="25">
        <f t="shared" si="304"/>
        <v>0.216666666666667</v>
      </c>
      <c r="AQ246" s="25">
        <f t="shared" si="319"/>
        <v>1950</v>
      </c>
      <c r="AR246" s="25" t="str">
        <f t="shared" ref="AR246:BZ246" si="410">IF(AR$78=$AO246,$AQ246,"0")</f>
        <v>0</v>
      </c>
      <c r="AS246" s="25" t="str">
        <f t="shared" si="410"/>
        <v>0</v>
      </c>
      <c r="AT246" s="25" t="str">
        <f t="shared" si="410"/>
        <v>0</v>
      </c>
      <c r="AU246" s="25" t="str">
        <f t="shared" si="410"/>
        <v>0</v>
      </c>
      <c r="AV246" s="25" t="str">
        <f t="shared" si="410"/>
        <v>0</v>
      </c>
      <c r="AW246" s="25" t="str">
        <f t="shared" si="410"/>
        <v>0</v>
      </c>
      <c r="AX246" s="25" t="str">
        <f t="shared" si="410"/>
        <v>0</v>
      </c>
      <c r="AY246" s="25" t="str">
        <f t="shared" si="410"/>
        <v>0</v>
      </c>
      <c r="AZ246" s="25" t="str">
        <f t="shared" si="410"/>
        <v>0</v>
      </c>
      <c r="BA246" s="25" t="str">
        <f t="shared" si="410"/>
        <v>0</v>
      </c>
      <c r="BB246" s="25" t="str">
        <f t="shared" si="410"/>
        <v>0</v>
      </c>
      <c r="BC246" s="25" t="str">
        <f t="shared" si="410"/>
        <v>0</v>
      </c>
      <c r="BD246" s="25" t="str">
        <f t="shared" si="410"/>
        <v>0</v>
      </c>
      <c r="BE246" s="25" t="str">
        <f t="shared" si="410"/>
        <v>0</v>
      </c>
      <c r="BF246" s="25" t="str">
        <f t="shared" si="410"/>
        <v>0</v>
      </c>
      <c r="BG246" s="25" t="str">
        <f t="shared" si="410"/>
        <v>0</v>
      </c>
      <c r="BH246" s="25" t="str">
        <f t="shared" si="410"/>
        <v>0</v>
      </c>
      <c r="BI246" s="25" t="str">
        <f t="shared" si="410"/>
        <v>0</v>
      </c>
      <c r="BJ246" s="25" t="str">
        <f t="shared" si="410"/>
        <v>0</v>
      </c>
      <c r="BK246" s="25" t="str">
        <f t="shared" si="410"/>
        <v>0</v>
      </c>
      <c r="BL246" s="25" t="str">
        <f t="shared" si="410"/>
        <v>0</v>
      </c>
      <c r="BM246" s="25" t="str">
        <f t="shared" si="410"/>
        <v>0</v>
      </c>
      <c r="BN246" s="25" t="str">
        <f t="shared" si="410"/>
        <v>0</v>
      </c>
      <c r="BO246" s="25" t="str">
        <f t="shared" si="410"/>
        <v>0</v>
      </c>
      <c r="BP246" s="25" t="str">
        <f t="shared" si="410"/>
        <v>0</v>
      </c>
      <c r="BQ246" s="25" t="str">
        <f t="shared" si="410"/>
        <v>0</v>
      </c>
      <c r="BR246" s="25" t="str">
        <f t="shared" si="410"/>
        <v>0</v>
      </c>
      <c r="BS246" s="25" t="str">
        <f t="shared" si="410"/>
        <v>0</v>
      </c>
      <c r="BT246" s="25" t="str">
        <f t="shared" si="410"/>
        <v>0</v>
      </c>
      <c r="BU246" s="25" t="str">
        <f t="shared" si="410"/>
        <v>0</v>
      </c>
      <c r="BV246" s="25" t="str">
        <f t="shared" si="410"/>
        <v>0</v>
      </c>
      <c r="BW246" s="25">
        <f t="shared" si="410"/>
        <v>1950</v>
      </c>
      <c r="BX246" s="25" t="str">
        <f t="shared" si="410"/>
        <v>0</v>
      </c>
      <c r="BY246" s="25" t="str">
        <f t="shared" si="410"/>
        <v>0</v>
      </c>
      <c r="BZ246" s="25" t="str">
        <f t="shared" si="410"/>
        <v>0</v>
      </c>
      <c r="CC246" s="25" t="str">
        <f t="array" ref="CC246">INDEX($C$46:$C$74,MATCH(CD246,$B$46:$B$74,0))</f>
        <v>碎冰者</v>
      </c>
      <c r="CD246" s="29">
        <v>1035</v>
      </c>
      <c r="CE246" s="1">
        <v>6</v>
      </c>
      <c r="CF246" s="25" t="str">
        <f t="array" ref="CF246">INDEX($T$5:$T$44,MATCH(CC246,$B$5:$B$44,0))</f>
        <v>魔法</v>
      </c>
      <c r="CG246" s="25">
        <f t="shared" si="342"/>
        <v>0.3</v>
      </c>
      <c r="CH246" s="25">
        <f t="shared" si="321"/>
        <v>1.3</v>
      </c>
      <c r="CI246" s="25">
        <f t="shared" si="322"/>
        <v>1</v>
      </c>
      <c r="CJ246" s="25">
        <f t="shared" si="323"/>
        <v>1.3</v>
      </c>
      <c r="CK246" s="25">
        <f t="shared" si="324"/>
        <v>1.3</v>
      </c>
      <c r="CL246" s="25">
        <v>0</v>
      </c>
      <c r="CM246" s="25">
        <f t="shared" si="343"/>
        <v>0</v>
      </c>
      <c r="CN246" s="25">
        <f t="shared" si="325"/>
        <v>0</v>
      </c>
      <c r="CO246" s="25">
        <f t="shared" si="326"/>
        <v>0</v>
      </c>
      <c r="CP246" s="29" t="str">
        <f t="shared" ref="CP246:DQ246" si="411">IF($CL246=CP$78,$CN246,"0")</f>
        <v>0</v>
      </c>
      <c r="CQ246" s="29" t="str">
        <f t="shared" si="411"/>
        <v>0</v>
      </c>
      <c r="CR246" s="29" t="str">
        <f t="shared" si="411"/>
        <v>0</v>
      </c>
      <c r="CS246" s="29" t="str">
        <f t="shared" si="411"/>
        <v>0</v>
      </c>
      <c r="CT246" s="29" t="str">
        <f t="shared" si="411"/>
        <v>0</v>
      </c>
      <c r="CU246" s="29" t="str">
        <f t="shared" si="411"/>
        <v>0</v>
      </c>
      <c r="CV246" s="29" t="str">
        <f t="shared" si="411"/>
        <v>0</v>
      </c>
      <c r="CW246" s="29" t="str">
        <f t="shared" si="411"/>
        <v>0</v>
      </c>
      <c r="CX246" s="29" t="str">
        <f t="shared" si="411"/>
        <v>0</v>
      </c>
      <c r="CY246" s="29" t="str">
        <f t="shared" si="411"/>
        <v>0</v>
      </c>
      <c r="CZ246" s="29" t="str">
        <f t="shared" si="411"/>
        <v>0</v>
      </c>
      <c r="DA246" s="29" t="str">
        <f t="shared" si="411"/>
        <v>0</v>
      </c>
      <c r="DB246" s="29" t="str">
        <f t="shared" si="411"/>
        <v>0</v>
      </c>
      <c r="DC246" s="29" t="str">
        <f t="shared" si="411"/>
        <v>0</v>
      </c>
      <c r="DD246" s="29" t="str">
        <f t="shared" si="411"/>
        <v>0</v>
      </c>
      <c r="DE246" s="29" t="str">
        <f t="shared" si="411"/>
        <v>0</v>
      </c>
      <c r="DF246" s="29" t="str">
        <f t="shared" si="411"/>
        <v>0</v>
      </c>
      <c r="DG246" s="29" t="str">
        <f t="shared" si="411"/>
        <v>0</v>
      </c>
      <c r="DH246" s="29" t="str">
        <f t="shared" si="411"/>
        <v>0</v>
      </c>
      <c r="DI246" s="29" t="str">
        <f t="shared" si="411"/>
        <v>0</v>
      </c>
      <c r="DJ246" s="29" t="str">
        <f t="shared" si="411"/>
        <v>0</v>
      </c>
      <c r="DK246" s="29" t="str">
        <f t="shared" si="411"/>
        <v>0</v>
      </c>
      <c r="DL246" s="29" t="str">
        <f t="shared" si="411"/>
        <v>0</v>
      </c>
      <c r="DM246" s="29" t="str">
        <f t="shared" si="411"/>
        <v>0</v>
      </c>
      <c r="DN246" s="29" t="str">
        <f t="shared" si="411"/>
        <v>0</v>
      </c>
      <c r="DO246" s="29" t="str">
        <f t="shared" si="411"/>
        <v>0</v>
      </c>
      <c r="DP246" s="29" t="str">
        <f t="shared" si="411"/>
        <v>0</v>
      </c>
      <c r="DQ246" s="29" t="str">
        <f t="shared" si="411"/>
        <v>0</v>
      </c>
      <c r="DS246" s="25">
        <v>0</v>
      </c>
      <c r="EE246" s="25" t="str">
        <f t="shared" si="328"/>
        <v>0</v>
      </c>
    </row>
    <row r="247" spans="1:135">
      <c r="A247" s="48">
        <v>1003049</v>
      </c>
      <c r="B247" s="49" t="s">
        <v>321</v>
      </c>
      <c r="C247" s="25">
        <f t="shared" si="299"/>
        <v>49</v>
      </c>
      <c r="D247" s="25">
        <f t="array" ref="D247">INDEX(C$5:C$67,MATCH($B247,$B$5:$B$67,0))</f>
        <v>7700</v>
      </c>
      <c r="E247" s="25">
        <f t="array" ref="E247">INDEX(D$5:D$67,MATCH($B247,$B$5:$B$67,0))</f>
        <v>616</v>
      </c>
      <c r="F247" s="25">
        <f t="array" ref="F247">INDEX(E$5:E$67,MATCH($B247,$B$5:$B$67,0))</f>
        <v>734</v>
      </c>
      <c r="G247" s="25">
        <f t="array" ref="G247">INDEX(F$5:F$67,MATCH($B247,$B$5:$B$67,0))</f>
        <v>58.72</v>
      </c>
      <c r="H247" s="25">
        <f t="array" ref="H247">INDEX(G$5:G$66,MATCH($B247,$B$5:$B$67,0))</f>
        <v>918</v>
      </c>
      <c r="I247" s="25">
        <f t="array" ref="I247">INDEX(H$5:H$67,MATCH($B247,$B$5:$B$67,0))</f>
        <v>73.44</v>
      </c>
      <c r="J247" s="25">
        <f t="array" ref="J247">INDEX(I$5:I$67,MATCH($B247,$B$5:$B$67,0))</f>
        <v>900</v>
      </c>
      <c r="K247" s="25">
        <f t="array" ref="K247">INDEX(J$5:J$67,MATCH($B247,$B$5:$B$67,0))</f>
        <v>72</v>
      </c>
      <c r="L247" s="25">
        <f t="shared" si="309"/>
        <v>37884</v>
      </c>
      <c r="M247" s="25">
        <f t="shared" si="310"/>
        <v>3611</v>
      </c>
      <c r="N247" s="25">
        <f t="shared" si="311"/>
        <v>4517</v>
      </c>
      <c r="O247" s="25">
        <f t="shared" si="312"/>
        <v>4428</v>
      </c>
      <c r="R247" s="50">
        <f t="array" ref="R247">INDEX($B$46:$B$68,MATCH(S247,$C$46:$C$68,0))*1000+T247</f>
        <v>1007007</v>
      </c>
      <c r="S247" s="51" t="s">
        <v>329</v>
      </c>
      <c r="T247" s="29">
        <f t="shared" si="385"/>
        <v>7</v>
      </c>
      <c r="U247" s="25">
        <f t="array" ref="U247">INDEX(K$5:K$67,MATCH($S247,$B$5:$B$67,0))</f>
        <v>383.4</v>
      </c>
      <c r="V247" s="25">
        <f t="array" ref="V247">INDEX(L$5:L$67,MATCH($S247,$B$5:$B$67,0))</f>
        <v>92.16</v>
      </c>
      <c r="W247" s="25">
        <f t="array" ref="W247">INDEX(M$5:M$67,MATCH($S247,$B$5:$B$67,0))</f>
        <v>126.72</v>
      </c>
      <c r="X247" s="25">
        <f t="array" ref="X247">INDEX(N$5:N$67,MATCH($S247,$B$5:$B$67,0))</f>
        <v>93.5</v>
      </c>
      <c r="Y247" s="25">
        <f t="shared" si="313"/>
        <v>2684</v>
      </c>
      <c r="Z247" s="25">
        <f t="shared" si="314"/>
        <v>645</v>
      </c>
      <c r="AA247" s="25">
        <f t="shared" si="315"/>
        <v>887</v>
      </c>
      <c r="AB247" s="25">
        <f t="shared" si="316"/>
        <v>655</v>
      </c>
      <c r="AF247" s="25">
        <v>169</v>
      </c>
      <c r="AG247" s="25">
        <f t="array" ref="AG247">INDEX($AE$79:$AE$116,QUOTIENT(AF247-1,8)+1)</f>
        <v>1029</v>
      </c>
      <c r="AH247" s="25">
        <f t="shared" si="345"/>
        <v>1</v>
      </c>
      <c r="AI247" s="25">
        <f t="shared" si="317"/>
        <v>10291</v>
      </c>
      <c r="AJ247" s="25" t="str">
        <f t="shared" si="318"/>
        <v>凯兰</v>
      </c>
      <c r="AK247" s="25">
        <f t="shared" si="346"/>
        <v>1</v>
      </c>
      <c r="AL247" s="25" t="str">
        <f t="array" ref="AL247">INDEX($O$5:$O$42,MATCH(AJ247,$B$5:$B$42,0))</f>
        <v>暴击等级</v>
      </c>
      <c r="AM247" s="25" t="str">
        <f t="array" ref="AM247">INDEX($P$5:$P$42,MATCH(AJ247,$B$5:$B$42,0))</f>
        <v>能量回复等级</v>
      </c>
      <c r="AN247" s="25" t="str">
        <f t="array" ref="AN247">INDEX($Q$5:$Q$42,MATCH(AJ247,$B$5:$B$42,0))</f>
        <v>技能冷却等级</v>
      </c>
      <c r="AO247" s="25" t="str">
        <f t="array" ref="AO247">INDEX(AL247:AN247,0,AK247)</f>
        <v>暴击等级</v>
      </c>
      <c r="AP247" s="25">
        <f t="shared" si="304"/>
        <v>0.216666666666667</v>
      </c>
      <c r="AQ247" s="25">
        <f t="shared" si="319"/>
        <v>1950</v>
      </c>
      <c r="AR247" s="25" t="str">
        <f t="shared" ref="AR247:BZ247" si="412">IF(AR$78=$AO247,$AQ247,"0")</f>
        <v>0</v>
      </c>
      <c r="AS247" s="25" t="str">
        <f t="shared" si="412"/>
        <v>0</v>
      </c>
      <c r="AT247" s="25" t="str">
        <f t="shared" si="412"/>
        <v>0</v>
      </c>
      <c r="AU247" s="25" t="str">
        <f t="shared" si="412"/>
        <v>0</v>
      </c>
      <c r="AV247" s="25" t="str">
        <f t="shared" si="412"/>
        <v>0</v>
      </c>
      <c r="AW247" s="25" t="str">
        <f t="shared" si="412"/>
        <v>0</v>
      </c>
      <c r="AX247" s="25" t="str">
        <f t="shared" si="412"/>
        <v>0</v>
      </c>
      <c r="AY247" s="25" t="str">
        <f t="shared" si="412"/>
        <v>0</v>
      </c>
      <c r="AZ247" s="25" t="str">
        <f t="shared" si="412"/>
        <v>0</v>
      </c>
      <c r="BA247" s="25" t="str">
        <f t="shared" si="412"/>
        <v>0</v>
      </c>
      <c r="BB247" s="25" t="str">
        <f t="shared" si="412"/>
        <v>0</v>
      </c>
      <c r="BC247" s="25" t="str">
        <f t="shared" si="412"/>
        <v>0</v>
      </c>
      <c r="BD247" s="25" t="str">
        <f t="shared" si="412"/>
        <v>0</v>
      </c>
      <c r="BE247" s="25" t="str">
        <f t="shared" si="412"/>
        <v>0</v>
      </c>
      <c r="BF247" s="25" t="str">
        <f t="shared" si="412"/>
        <v>0</v>
      </c>
      <c r="BG247" s="25" t="str">
        <f t="shared" si="412"/>
        <v>0</v>
      </c>
      <c r="BH247" s="25" t="str">
        <f t="shared" si="412"/>
        <v>0</v>
      </c>
      <c r="BI247" s="25" t="str">
        <f t="shared" si="412"/>
        <v>0</v>
      </c>
      <c r="BJ247" s="25" t="str">
        <f t="shared" si="412"/>
        <v>0</v>
      </c>
      <c r="BK247" s="25" t="str">
        <f t="shared" si="412"/>
        <v>0</v>
      </c>
      <c r="BL247" s="25" t="str">
        <f t="shared" si="412"/>
        <v>0</v>
      </c>
      <c r="BM247" s="25" t="str">
        <f t="shared" si="412"/>
        <v>0</v>
      </c>
      <c r="BN247" s="25" t="str">
        <f t="shared" si="412"/>
        <v>0</v>
      </c>
      <c r="BO247" s="25" t="str">
        <f t="shared" si="412"/>
        <v>0</v>
      </c>
      <c r="BP247" s="25" t="str">
        <f t="shared" si="412"/>
        <v>0</v>
      </c>
      <c r="BQ247" s="25" t="str">
        <f t="shared" si="412"/>
        <v>0</v>
      </c>
      <c r="BR247" s="25" t="str">
        <f t="shared" si="412"/>
        <v>0</v>
      </c>
      <c r="BS247" s="25" t="str">
        <f t="shared" si="412"/>
        <v>0</v>
      </c>
      <c r="BT247" s="25" t="str">
        <f t="shared" si="412"/>
        <v>0</v>
      </c>
      <c r="BU247" s="25" t="str">
        <f t="shared" si="412"/>
        <v>0</v>
      </c>
      <c r="BV247" s="25" t="str">
        <f t="shared" si="412"/>
        <v>0</v>
      </c>
      <c r="BW247" s="25">
        <f t="shared" si="412"/>
        <v>1950</v>
      </c>
      <c r="BX247" s="25" t="str">
        <f t="shared" si="412"/>
        <v>0</v>
      </c>
      <c r="BY247" s="25" t="str">
        <f t="shared" si="412"/>
        <v>0</v>
      </c>
      <c r="BZ247" s="25" t="str">
        <f t="shared" si="412"/>
        <v>0</v>
      </c>
      <c r="CC247" s="25" t="str">
        <f t="array" ref="CC247">INDEX($C$46:$C$74,MATCH(CD247,$B$46:$B$74,0))</f>
        <v>霜狼法师</v>
      </c>
      <c r="CD247" s="29">
        <v>1036</v>
      </c>
      <c r="CE247" s="1">
        <v>0</v>
      </c>
      <c r="CF247" s="25" t="str">
        <f t="array" ref="CF247">INDEX($T$5:$T$44,MATCH(CC247,$B$5:$B$44,0))</f>
        <v>魔法</v>
      </c>
      <c r="CG247" s="25">
        <f t="shared" si="342"/>
        <v>0</v>
      </c>
      <c r="CH247" s="25">
        <f t="shared" si="321"/>
        <v>1</v>
      </c>
      <c r="CI247" s="25">
        <f t="shared" si="322"/>
        <v>1</v>
      </c>
      <c r="CJ247" s="25">
        <f t="shared" si="323"/>
        <v>1</v>
      </c>
      <c r="CK247" s="25">
        <f t="shared" si="324"/>
        <v>1</v>
      </c>
      <c r="CL247" s="25">
        <v>0</v>
      </c>
      <c r="CM247" s="25">
        <f t="shared" si="343"/>
        <v>0</v>
      </c>
      <c r="CN247" s="25">
        <f t="shared" si="325"/>
        <v>0</v>
      </c>
      <c r="CO247" s="25">
        <f t="shared" si="326"/>
        <v>0</v>
      </c>
      <c r="CP247" s="29" t="str">
        <f t="shared" ref="CP247:DQ247" si="413">IF($CL247=CP$78,$CN247,"0")</f>
        <v>0</v>
      </c>
      <c r="CQ247" s="29" t="str">
        <f t="shared" si="413"/>
        <v>0</v>
      </c>
      <c r="CR247" s="29" t="str">
        <f t="shared" si="413"/>
        <v>0</v>
      </c>
      <c r="CS247" s="29" t="str">
        <f t="shared" si="413"/>
        <v>0</v>
      </c>
      <c r="CT247" s="29" t="str">
        <f t="shared" si="413"/>
        <v>0</v>
      </c>
      <c r="CU247" s="29" t="str">
        <f t="shared" si="413"/>
        <v>0</v>
      </c>
      <c r="CV247" s="29" t="str">
        <f t="shared" si="413"/>
        <v>0</v>
      </c>
      <c r="CW247" s="29" t="str">
        <f t="shared" si="413"/>
        <v>0</v>
      </c>
      <c r="CX247" s="29" t="str">
        <f t="shared" si="413"/>
        <v>0</v>
      </c>
      <c r="CY247" s="29" t="str">
        <f t="shared" si="413"/>
        <v>0</v>
      </c>
      <c r="CZ247" s="29" t="str">
        <f t="shared" si="413"/>
        <v>0</v>
      </c>
      <c r="DA247" s="29" t="str">
        <f t="shared" si="413"/>
        <v>0</v>
      </c>
      <c r="DB247" s="29" t="str">
        <f t="shared" si="413"/>
        <v>0</v>
      </c>
      <c r="DC247" s="29" t="str">
        <f t="shared" si="413"/>
        <v>0</v>
      </c>
      <c r="DD247" s="29" t="str">
        <f t="shared" si="413"/>
        <v>0</v>
      </c>
      <c r="DE247" s="29" t="str">
        <f t="shared" si="413"/>
        <v>0</v>
      </c>
      <c r="DF247" s="29" t="str">
        <f t="shared" si="413"/>
        <v>0</v>
      </c>
      <c r="DG247" s="29" t="str">
        <f t="shared" si="413"/>
        <v>0</v>
      </c>
      <c r="DH247" s="29" t="str">
        <f t="shared" si="413"/>
        <v>0</v>
      </c>
      <c r="DI247" s="29" t="str">
        <f t="shared" si="413"/>
        <v>0</v>
      </c>
      <c r="DJ247" s="29" t="str">
        <f t="shared" si="413"/>
        <v>0</v>
      </c>
      <c r="DK247" s="29" t="str">
        <f t="shared" si="413"/>
        <v>0</v>
      </c>
      <c r="DL247" s="29" t="str">
        <f t="shared" si="413"/>
        <v>0</v>
      </c>
      <c r="DM247" s="29" t="str">
        <f t="shared" si="413"/>
        <v>0</v>
      </c>
      <c r="DN247" s="29" t="str">
        <f t="shared" si="413"/>
        <v>0</v>
      </c>
      <c r="DO247" s="29" t="str">
        <f t="shared" si="413"/>
        <v>0</v>
      </c>
      <c r="DP247" s="29" t="str">
        <f t="shared" si="413"/>
        <v>0</v>
      </c>
      <c r="DQ247" s="29" t="str">
        <f t="shared" si="413"/>
        <v>0</v>
      </c>
      <c r="DS247" s="25">
        <v>0</v>
      </c>
      <c r="EE247" s="25" t="str">
        <f t="shared" si="328"/>
        <v>0</v>
      </c>
    </row>
    <row r="248" spans="1:135">
      <c r="A248" s="48">
        <v>1003050</v>
      </c>
      <c r="B248" s="49" t="s">
        <v>321</v>
      </c>
      <c r="C248" s="25">
        <f t="shared" si="299"/>
        <v>50</v>
      </c>
      <c r="D248" s="25">
        <f t="array" ref="D248">INDEX(C$5:C$67,MATCH($B248,$B$5:$B$67,0))</f>
        <v>7700</v>
      </c>
      <c r="E248" s="25">
        <f t="array" ref="E248">INDEX(D$5:D$67,MATCH($B248,$B$5:$B$67,0))</f>
        <v>616</v>
      </c>
      <c r="F248" s="25">
        <f t="array" ref="F248">INDEX(E$5:E$67,MATCH($B248,$B$5:$B$67,0))</f>
        <v>734</v>
      </c>
      <c r="G248" s="25">
        <f t="array" ref="G248">INDEX(F$5:F$67,MATCH($B248,$B$5:$B$67,0))</f>
        <v>58.72</v>
      </c>
      <c r="H248" s="25">
        <f t="array" ref="H248">INDEX(G$5:G$66,MATCH($B248,$B$5:$B$67,0))</f>
        <v>918</v>
      </c>
      <c r="I248" s="25">
        <f t="array" ref="I248">INDEX(H$5:H$67,MATCH($B248,$B$5:$B$67,0))</f>
        <v>73.44</v>
      </c>
      <c r="J248" s="25">
        <f t="array" ref="J248">INDEX(I$5:I$67,MATCH($B248,$B$5:$B$67,0))</f>
        <v>900</v>
      </c>
      <c r="K248" s="25">
        <f t="array" ref="K248">INDEX(J$5:J$67,MATCH($B248,$B$5:$B$67,0))</f>
        <v>72</v>
      </c>
      <c r="L248" s="25">
        <f t="shared" si="309"/>
        <v>38500</v>
      </c>
      <c r="M248" s="25">
        <f t="shared" si="310"/>
        <v>3670</v>
      </c>
      <c r="N248" s="25">
        <f t="shared" si="311"/>
        <v>4590</v>
      </c>
      <c r="O248" s="25">
        <f t="shared" si="312"/>
        <v>4500</v>
      </c>
      <c r="R248" s="50">
        <f t="array" ref="R248">INDEX($B$46:$B$68,MATCH(S248,$C$46:$C$68,0))*1000+T248</f>
        <v>1007008</v>
      </c>
      <c r="S248" s="51" t="s">
        <v>329</v>
      </c>
      <c r="T248" s="29">
        <f t="shared" si="385"/>
        <v>8</v>
      </c>
      <c r="U248" s="25">
        <f t="array" ref="U248">INDEX(K$5:K$67,MATCH($S248,$B$5:$B$67,0))</f>
        <v>383.4</v>
      </c>
      <c r="V248" s="25">
        <f t="array" ref="V248">INDEX(L$5:L$67,MATCH($S248,$B$5:$B$67,0))</f>
        <v>92.16</v>
      </c>
      <c r="W248" s="25">
        <f t="array" ref="W248">INDEX(M$5:M$67,MATCH($S248,$B$5:$B$67,0))</f>
        <v>126.72</v>
      </c>
      <c r="X248" s="25">
        <f t="array" ref="X248">INDEX(N$5:N$67,MATCH($S248,$B$5:$B$67,0))</f>
        <v>93.5</v>
      </c>
      <c r="Y248" s="25">
        <f t="shared" si="313"/>
        <v>3067</v>
      </c>
      <c r="Z248" s="25">
        <f t="shared" si="314"/>
        <v>737</v>
      </c>
      <c r="AA248" s="25">
        <f t="shared" si="315"/>
        <v>1014</v>
      </c>
      <c r="AB248" s="25">
        <f t="shared" si="316"/>
        <v>748</v>
      </c>
      <c r="AF248" s="25">
        <v>170</v>
      </c>
      <c r="AG248" s="25">
        <f t="array" ref="AG248">INDEX($AE$79:$AE$116,QUOTIENT(AF248-1,8)+1)</f>
        <v>1029</v>
      </c>
      <c r="AH248" s="25">
        <f t="shared" si="345"/>
        <v>2</v>
      </c>
      <c r="AI248" s="25">
        <f t="shared" si="317"/>
        <v>10292</v>
      </c>
      <c r="AJ248" s="25" t="str">
        <f t="shared" si="318"/>
        <v>凯兰</v>
      </c>
      <c r="AK248" s="25">
        <f t="shared" si="346"/>
        <v>2</v>
      </c>
      <c r="AL248" s="25" t="str">
        <f t="array" ref="AL248">INDEX($O$5:$O$42,MATCH(AJ248,$B$5:$B$42,0))</f>
        <v>暴击等级</v>
      </c>
      <c r="AM248" s="25" t="str">
        <f t="array" ref="AM248">INDEX($P$5:$P$42,MATCH(AJ248,$B$5:$B$42,0))</f>
        <v>能量回复等级</v>
      </c>
      <c r="AN248" s="25" t="str">
        <f t="array" ref="AN248">INDEX($Q$5:$Q$42,MATCH(AJ248,$B$5:$B$42,0))</f>
        <v>技能冷却等级</v>
      </c>
      <c r="AO248" s="25" t="str">
        <f t="array" ref="AO248">INDEX(AL248:AN248,0,AK248)</f>
        <v>能量回复等级</v>
      </c>
      <c r="AP248" s="25">
        <f t="shared" si="304"/>
        <v>0.15</v>
      </c>
      <c r="AQ248" s="25">
        <f t="shared" si="319"/>
        <v>1350</v>
      </c>
      <c r="AR248" s="25" t="str">
        <f t="shared" ref="AR248:BZ248" si="414">IF(AR$78=$AO248,$AQ248,"0")</f>
        <v>0</v>
      </c>
      <c r="AS248" s="25" t="str">
        <f t="shared" si="414"/>
        <v>0</v>
      </c>
      <c r="AT248" s="25" t="str">
        <f t="shared" si="414"/>
        <v>0</v>
      </c>
      <c r="AU248" s="25" t="str">
        <f t="shared" si="414"/>
        <v>0</v>
      </c>
      <c r="AV248" s="25" t="str">
        <f t="shared" si="414"/>
        <v>0</v>
      </c>
      <c r="AW248" s="25" t="str">
        <f t="shared" si="414"/>
        <v>0</v>
      </c>
      <c r="AX248" s="25" t="str">
        <f t="shared" si="414"/>
        <v>0</v>
      </c>
      <c r="AY248" s="25" t="str">
        <f t="shared" si="414"/>
        <v>0</v>
      </c>
      <c r="AZ248" s="25" t="str">
        <f t="shared" si="414"/>
        <v>0</v>
      </c>
      <c r="BA248" s="25" t="str">
        <f t="shared" si="414"/>
        <v>0</v>
      </c>
      <c r="BB248" s="25" t="str">
        <f t="shared" si="414"/>
        <v>0</v>
      </c>
      <c r="BC248" s="25" t="str">
        <f t="shared" si="414"/>
        <v>0</v>
      </c>
      <c r="BD248" s="25" t="str">
        <f t="shared" si="414"/>
        <v>0</v>
      </c>
      <c r="BE248" s="25" t="str">
        <f t="shared" si="414"/>
        <v>0</v>
      </c>
      <c r="BF248" s="25" t="str">
        <f t="shared" si="414"/>
        <v>0</v>
      </c>
      <c r="BG248" s="25" t="str">
        <f t="shared" si="414"/>
        <v>0</v>
      </c>
      <c r="BH248" s="25" t="str">
        <f t="shared" si="414"/>
        <v>0</v>
      </c>
      <c r="BI248" s="25" t="str">
        <f t="shared" si="414"/>
        <v>0</v>
      </c>
      <c r="BJ248" s="25" t="str">
        <f t="shared" si="414"/>
        <v>0</v>
      </c>
      <c r="BK248" s="25" t="str">
        <f t="shared" si="414"/>
        <v>0</v>
      </c>
      <c r="BL248" s="25" t="str">
        <f t="shared" si="414"/>
        <v>0</v>
      </c>
      <c r="BM248" s="25" t="str">
        <f t="shared" si="414"/>
        <v>0</v>
      </c>
      <c r="BN248" s="25" t="str">
        <f t="shared" si="414"/>
        <v>0</v>
      </c>
      <c r="BO248" s="25" t="str">
        <f t="shared" si="414"/>
        <v>0</v>
      </c>
      <c r="BP248" s="25" t="str">
        <f t="shared" si="414"/>
        <v>0</v>
      </c>
      <c r="BQ248" s="25" t="str">
        <f t="shared" si="414"/>
        <v>0</v>
      </c>
      <c r="BR248" s="25" t="str">
        <f t="shared" si="414"/>
        <v>0</v>
      </c>
      <c r="BS248" s="25" t="str">
        <f t="shared" si="414"/>
        <v>0</v>
      </c>
      <c r="BT248" s="25" t="str">
        <f t="shared" si="414"/>
        <v>0</v>
      </c>
      <c r="BU248" s="25" t="str">
        <f t="shared" si="414"/>
        <v>0</v>
      </c>
      <c r="BV248" s="25" t="str">
        <f t="shared" si="414"/>
        <v>0</v>
      </c>
      <c r="BW248" s="25" t="str">
        <f t="shared" si="414"/>
        <v>0</v>
      </c>
      <c r="BX248" s="25" t="str">
        <f t="shared" si="414"/>
        <v>0</v>
      </c>
      <c r="BY248" s="25">
        <f t="shared" si="414"/>
        <v>1350</v>
      </c>
      <c r="BZ248" s="25" t="str">
        <f t="shared" si="414"/>
        <v>0</v>
      </c>
      <c r="CC248" s="25" t="str">
        <f t="array" ref="CC248">INDEX($C$46:$C$74,MATCH(CD248,$B$46:$B$74,0))</f>
        <v>霜狼法师</v>
      </c>
      <c r="CD248" s="29">
        <v>1036</v>
      </c>
      <c r="CE248" s="1">
        <v>1</v>
      </c>
      <c r="CF248" s="25" t="str">
        <f t="array" ref="CF248">INDEX($T$5:$T$44,MATCH(CC248,$B$5:$B$44,0))</f>
        <v>魔法</v>
      </c>
      <c r="CG248" s="25">
        <f t="shared" si="342"/>
        <v>0</v>
      </c>
      <c r="CH248" s="25">
        <f t="shared" si="321"/>
        <v>1</v>
      </c>
      <c r="CI248" s="25">
        <f t="shared" si="322"/>
        <v>1</v>
      </c>
      <c r="CJ248" s="25">
        <f t="shared" si="323"/>
        <v>1</v>
      </c>
      <c r="CK248" s="25">
        <f t="shared" si="324"/>
        <v>1</v>
      </c>
      <c r="CL248" s="25">
        <v>0</v>
      </c>
      <c r="CM248" s="25">
        <f t="shared" si="343"/>
        <v>0</v>
      </c>
      <c r="CN248" s="25">
        <f t="shared" si="325"/>
        <v>0</v>
      </c>
      <c r="CO248" s="25">
        <f t="shared" si="326"/>
        <v>0</v>
      </c>
      <c r="CP248" s="29" t="str">
        <f t="shared" ref="CP248:DQ248" si="415">IF($CL248=CP$78,$CN248,"0")</f>
        <v>0</v>
      </c>
      <c r="CQ248" s="29" t="str">
        <f t="shared" si="415"/>
        <v>0</v>
      </c>
      <c r="CR248" s="29" t="str">
        <f t="shared" si="415"/>
        <v>0</v>
      </c>
      <c r="CS248" s="29" t="str">
        <f t="shared" si="415"/>
        <v>0</v>
      </c>
      <c r="CT248" s="29" t="str">
        <f t="shared" si="415"/>
        <v>0</v>
      </c>
      <c r="CU248" s="29" t="str">
        <f t="shared" si="415"/>
        <v>0</v>
      </c>
      <c r="CV248" s="29" t="str">
        <f t="shared" si="415"/>
        <v>0</v>
      </c>
      <c r="CW248" s="29" t="str">
        <f t="shared" si="415"/>
        <v>0</v>
      </c>
      <c r="CX248" s="29" t="str">
        <f t="shared" si="415"/>
        <v>0</v>
      </c>
      <c r="CY248" s="29" t="str">
        <f t="shared" si="415"/>
        <v>0</v>
      </c>
      <c r="CZ248" s="29" t="str">
        <f t="shared" si="415"/>
        <v>0</v>
      </c>
      <c r="DA248" s="29" t="str">
        <f t="shared" si="415"/>
        <v>0</v>
      </c>
      <c r="DB248" s="29" t="str">
        <f t="shared" si="415"/>
        <v>0</v>
      </c>
      <c r="DC248" s="29" t="str">
        <f t="shared" si="415"/>
        <v>0</v>
      </c>
      <c r="DD248" s="29" t="str">
        <f t="shared" si="415"/>
        <v>0</v>
      </c>
      <c r="DE248" s="29" t="str">
        <f t="shared" si="415"/>
        <v>0</v>
      </c>
      <c r="DF248" s="29" t="str">
        <f t="shared" si="415"/>
        <v>0</v>
      </c>
      <c r="DG248" s="29" t="str">
        <f t="shared" si="415"/>
        <v>0</v>
      </c>
      <c r="DH248" s="29" t="str">
        <f t="shared" si="415"/>
        <v>0</v>
      </c>
      <c r="DI248" s="29" t="str">
        <f t="shared" si="415"/>
        <v>0</v>
      </c>
      <c r="DJ248" s="29" t="str">
        <f t="shared" si="415"/>
        <v>0</v>
      </c>
      <c r="DK248" s="29" t="str">
        <f t="shared" si="415"/>
        <v>0</v>
      </c>
      <c r="DL248" s="29" t="str">
        <f t="shared" si="415"/>
        <v>0</v>
      </c>
      <c r="DM248" s="29" t="str">
        <f t="shared" si="415"/>
        <v>0</v>
      </c>
      <c r="DN248" s="29" t="str">
        <f t="shared" si="415"/>
        <v>0</v>
      </c>
      <c r="DO248" s="29" t="str">
        <f t="shared" si="415"/>
        <v>0</v>
      </c>
      <c r="DP248" s="29" t="str">
        <f t="shared" si="415"/>
        <v>0</v>
      </c>
      <c r="DQ248" s="29" t="str">
        <f t="shared" si="415"/>
        <v>0</v>
      </c>
      <c r="DS248" s="25">
        <v>0</v>
      </c>
      <c r="EE248" s="25" t="str">
        <f t="shared" si="328"/>
        <v>0</v>
      </c>
    </row>
    <row r="249" spans="1:135">
      <c r="A249" s="48">
        <v>1003051</v>
      </c>
      <c r="B249" s="49" t="s">
        <v>321</v>
      </c>
      <c r="C249" s="25">
        <f t="shared" si="299"/>
        <v>51</v>
      </c>
      <c r="D249" s="25">
        <f t="array" ref="D249">INDEX(C$5:C$67,MATCH($B249,$B$5:$B$67,0))</f>
        <v>7700</v>
      </c>
      <c r="E249" s="25">
        <f t="array" ref="E249">INDEX(D$5:D$67,MATCH($B249,$B$5:$B$67,0))</f>
        <v>616</v>
      </c>
      <c r="F249" s="25">
        <f t="array" ref="F249">INDEX(E$5:E$67,MATCH($B249,$B$5:$B$67,0))</f>
        <v>734</v>
      </c>
      <c r="G249" s="25">
        <f t="array" ref="G249">INDEX(F$5:F$67,MATCH($B249,$B$5:$B$67,0))</f>
        <v>58.72</v>
      </c>
      <c r="H249" s="25">
        <f t="array" ref="H249">INDEX(G$5:G$66,MATCH($B249,$B$5:$B$67,0))</f>
        <v>918</v>
      </c>
      <c r="I249" s="25">
        <f t="array" ref="I249">INDEX(H$5:H$67,MATCH($B249,$B$5:$B$67,0))</f>
        <v>73.44</v>
      </c>
      <c r="J249" s="25">
        <f t="array" ref="J249">INDEX(I$5:I$67,MATCH($B249,$B$5:$B$67,0))</f>
        <v>900</v>
      </c>
      <c r="K249" s="25">
        <f t="array" ref="K249">INDEX(J$5:J$67,MATCH($B249,$B$5:$B$67,0))</f>
        <v>72</v>
      </c>
      <c r="L249" s="25">
        <f t="shared" si="309"/>
        <v>39116</v>
      </c>
      <c r="M249" s="25">
        <f t="shared" si="310"/>
        <v>3729</v>
      </c>
      <c r="N249" s="25">
        <f t="shared" si="311"/>
        <v>4663</v>
      </c>
      <c r="O249" s="25">
        <f t="shared" si="312"/>
        <v>4572</v>
      </c>
      <c r="R249" s="50">
        <f t="array" ref="R249">INDEX($B$46:$B$68,MATCH(S249,$C$46:$C$68,0))*1000+T249</f>
        <v>1007009</v>
      </c>
      <c r="S249" s="51" t="s">
        <v>329</v>
      </c>
      <c r="T249" s="29">
        <f t="shared" si="385"/>
        <v>9</v>
      </c>
      <c r="U249" s="25">
        <f t="array" ref="U249">INDEX(K$5:K$67,MATCH($S249,$B$5:$B$67,0))</f>
        <v>383.4</v>
      </c>
      <c r="V249" s="25">
        <f t="array" ref="V249">INDEX(L$5:L$67,MATCH($S249,$B$5:$B$67,0))</f>
        <v>92.16</v>
      </c>
      <c r="W249" s="25">
        <f t="array" ref="W249">INDEX(M$5:M$67,MATCH($S249,$B$5:$B$67,0))</f>
        <v>126.72</v>
      </c>
      <c r="X249" s="25">
        <f t="array" ref="X249">INDEX(N$5:N$67,MATCH($S249,$B$5:$B$67,0))</f>
        <v>93.5</v>
      </c>
      <c r="Y249" s="25">
        <f t="shared" si="313"/>
        <v>3451</v>
      </c>
      <c r="Z249" s="25">
        <f t="shared" si="314"/>
        <v>829</v>
      </c>
      <c r="AA249" s="25">
        <f t="shared" si="315"/>
        <v>1140</v>
      </c>
      <c r="AB249" s="25">
        <f t="shared" si="316"/>
        <v>842</v>
      </c>
      <c r="AF249" s="25">
        <v>171</v>
      </c>
      <c r="AG249" s="25">
        <f t="array" ref="AG249">INDEX($AE$79:$AE$116,QUOTIENT(AF249-1,8)+1)</f>
        <v>1029</v>
      </c>
      <c r="AH249" s="25">
        <f t="shared" si="345"/>
        <v>3</v>
      </c>
      <c r="AI249" s="25">
        <f t="shared" si="317"/>
        <v>10293</v>
      </c>
      <c r="AJ249" s="25" t="str">
        <f t="shared" si="318"/>
        <v>凯兰</v>
      </c>
      <c r="AK249" s="25">
        <f t="shared" si="346"/>
        <v>3</v>
      </c>
      <c r="AL249" s="25" t="str">
        <f t="array" ref="AL249">INDEX($O$5:$O$42,MATCH(AJ249,$B$5:$B$42,0))</f>
        <v>暴击等级</v>
      </c>
      <c r="AM249" s="25" t="str">
        <f t="array" ref="AM249">INDEX($P$5:$P$42,MATCH(AJ249,$B$5:$B$42,0))</f>
        <v>能量回复等级</v>
      </c>
      <c r="AN249" s="25" t="str">
        <f t="array" ref="AN249">INDEX($Q$5:$Q$42,MATCH(AJ249,$B$5:$B$42,0))</f>
        <v>技能冷却等级</v>
      </c>
      <c r="AO249" s="25" t="str">
        <f t="array" ref="AO249">INDEX(AL249:AN249,0,AK249)</f>
        <v>技能冷却等级</v>
      </c>
      <c r="AP249" s="25">
        <f t="shared" si="304"/>
        <v>0.216666666666667</v>
      </c>
      <c r="AQ249" s="25">
        <f t="shared" si="319"/>
        <v>2816.66666666667</v>
      </c>
      <c r="AR249" s="25" t="str">
        <f t="shared" ref="AR249:BZ249" si="416">IF(AR$78=$AO249,$AQ249,"0")</f>
        <v>0</v>
      </c>
      <c r="AS249" s="25" t="str">
        <f t="shared" si="416"/>
        <v>0</v>
      </c>
      <c r="AT249" s="25" t="str">
        <f t="shared" si="416"/>
        <v>0</v>
      </c>
      <c r="AU249" s="25" t="str">
        <f t="shared" si="416"/>
        <v>0</v>
      </c>
      <c r="AV249" s="25" t="str">
        <f t="shared" si="416"/>
        <v>0</v>
      </c>
      <c r="AW249" s="25" t="str">
        <f t="shared" si="416"/>
        <v>0</v>
      </c>
      <c r="AX249" s="25" t="str">
        <f t="shared" si="416"/>
        <v>0</v>
      </c>
      <c r="AY249" s="25" t="str">
        <f t="shared" si="416"/>
        <v>0</v>
      </c>
      <c r="AZ249" s="25" t="str">
        <f t="shared" si="416"/>
        <v>0</v>
      </c>
      <c r="BA249" s="25" t="str">
        <f t="shared" si="416"/>
        <v>0</v>
      </c>
      <c r="BB249" s="25" t="str">
        <f t="shared" si="416"/>
        <v>0</v>
      </c>
      <c r="BC249" s="25" t="str">
        <f t="shared" si="416"/>
        <v>0</v>
      </c>
      <c r="BD249" s="25" t="str">
        <f t="shared" si="416"/>
        <v>0</v>
      </c>
      <c r="BE249" s="25" t="str">
        <f t="shared" si="416"/>
        <v>0</v>
      </c>
      <c r="BF249" s="25" t="str">
        <f t="shared" si="416"/>
        <v>0</v>
      </c>
      <c r="BG249" s="25" t="str">
        <f t="shared" si="416"/>
        <v>0</v>
      </c>
      <c r="BH249" s="25" t="str">
        <f t="shared" si="416"/>
        <v>0</v>
      </c>
      <c r="BI249" s="25" t="str">
        <f t="shared" si="416"/>
        <v>0</v>
      </c>
      <c r="BJ249" s="25" t="str">
        <f t="shared" si="416"/>
        <v>0</v>
      </c>
      <c r="BK249" s="25" t="str">
        <f t="shared" si="416"/>
        <v>0</v>
      </c>
      <c r="BL249" s="25" t="str">
        <f t="shared" si="416"/>
        <v>0</v>
      </c>
      <c r="BM249" s="25" t="str">
        <f t="shared" si="416"/>
        <v>0</v>
      </c>
      <c r="BN249" s="25" t="str">
        <f t="shared" si="416"/>
        <v>0</v>
      </c>
      <c r="BO249" s="25" t="str">
        <f t="shared" si="416"/>
        <v>0</v>
      </c>
      <c r="BP249" s="25" t="str">
        <f t="shared" si="416"/>
        <v>0</v>
      </c>
      <c r="BQ249" s="25" t="str">
        <f t="shared" si="416"/>
        <v>0</v>
      </c>
      <c r="BR249" s="25" t="str">
        <f t="shared" si="416"/>
        <v>0</v>
      </c>
      <c r="BS249" s="25" t="str">
        <f t="shared" si="416"/>
        <v>0</v>
      </c>
      <c r="BT249" s="25" t="str">
        <f t="shared" si="416"/>
        <v>0</v>
      </c>
      <c r="BU249" s="25" t="str">
        <f t="shared" si="416"/>
        <v>0</v>
      </c>
      <c r="BV249" s="25" t="str">
        <f t="shared" si="416"/>
        <v>0</v>
      </c>
      <c r="BW249" s="25" t="str">
        <f t="shared" si="416"/>
        <v>0</v>
      </c>
      <c r="BX249" s="25" t="str">
        <f t="shared" si="416"/>
        <v>0</v>
      </c>
      <c r="BY249" s="25" t="str">
        <f t="shared" si="416"/>
        <v>0</v>
      </c>
      <c r="BZ249" s="25">
        <f t="shared" si="416"/>
        <v>2816.66666666667</v>
      </c>
      <c r="CC249" s="25" t="str">
        <f t="array" ref="CC249">INDEX($C$46:$C$74,MATCH(CD249,$B$46:$B$74,0))</f>
        <v>霜狼法师</v>
      </c>
      <c r="CD249" s="29">
        <v>1036</v>
      </c>
      <c r="CE249" s="1">
        <v>2</v>
      </c>
      <c r="CF249" s="25" t="str">
        <f t="array" ref="CF249">INDEX($T$5:$T$44,MATCH(CC249,$B$5:$B$44,0))</f>
        <v>魔法</v>
      </c>
      <c r="CG249" s="25">
        <f t="shared" si="342"/>
        <v>0</v>
      </c>
      <c r="CH249" s="25">
        <f t="shared" si="321"/>
        <v>1</v>
      </c>
      <c r="CI249" s="25">
        <f t="shared" si="322"/>
        <v>1</v>
      </c>
      <c r="CJ249" s="25">
        <f t="shared" si="323"/>
        <v>1</v>
      </c>
      <c r="CK249" s="25">
        <f t="shared" si="324"/>
        <v>1</v>
      </c>
      <c r="CL249" s="25">
        <v>0</v>
      </c>
      <c r="CM249" s="25">
        <f t="shared" si="343"/>
        <v>0</v>
      </c>
      <c r="CN249" s="25">
        <f t="shared" si="325"/>
        <v>0</v>
      </c>
      <c r="CO249" s="25">
        <f t="shared" si="326"/>
        <v>0</v>
      </c>
      <c r="CP249" s="29" t="str">
        <f t="shared" ref="CP249:DQ249" si="417">IF($CL249=CP$78,$CN249,"0")</f>
        <v>0</v>
      </c>
      <c r="CQ249" s="29" t="str">
        <f t="shared" si="417"/>
        <v>0</v>
      </c>
      <c r="CR249" s="29" t="str">
        <f t="shared" si="417"/>
        <v>0</v>
      </c>
      <c r="CS249" s="29" t="str">
        <f t="shared" si="417"/>
        <v>0</v>
      </c>
      <c r="CT249" s="29" t="str">
        <f t="shared" si="417"/>
        <v>0</v>
      </c>
      <c r="CU249" s="29" t="str">
        <f t="shared" si="417"/>
        <v>0</v>
      </c>
      <c r="CV249" s="29" t="str">
        <f t="shared" si="417"/>
        <v>0</v>
      </c>
      <c r="CW249" s="29" t="str">
        <f t="shared" si="417"/>
        <v>0</v>
      </c>
      <c r="CX249" s="29" t="str">
        <f t="shared" si="417"/>
        <v>0</v>
      </c>
      <c r="CY249" s="29" t="str">
        <f t="shared" si="417"/>
        <v>0</v>
      </c>
      <c r="CZ249" s="29" t="str">
        <f t="shared" si="417"/>
        <v>0</v>
      </c>
      <c r="DA249" s="29" t="str">
        <f t="shared" si="417"/>
        <v>0</v>
      </c>
      <c r="DB249" s="29" t="str">
        <f t="shared" si="417"/>
        <v>0</v>
      </c>
      <c r="DC249" s="29" t="str">
        <f t="shared" si="417"/>
        <v>0</v>
      </c>
      <c r="DD249" s="29" t="str">
        <f t="shared" si="417"/>
        <v>0</v>
      </c>
      <c r="DE249" s="29" t="str">
        <f t="shared" si="417"/>
        <v>0</v>
      </c>
      <c r="DF249" s="29" t="str">
        <f t="shared" si="417"/>
        <v>0</v>
      </c>
      <c r="DG249" s="29" t="str">
        <f t="shared" si="417"/>
        <v>0</v>
      </c>
      <c r="DH249" s="29" t="str">
        <f t="shared" si="417"/>
        <v>0</v>
      </c>
      <c r="DI249" s="29" t="str">
        <f t="shared" si="417"/>
        <v>0</v>
      </c>
      <c r="DJ249" s="29" t="str">
        <f t="shared" si="417"/>
        <v>0</v>
      </c>
      <c r="DK249" s="29" t="str">
        <f t="shared" si="417"/>
        <v>0</v>
      </c>
      <c r="DL249" s="29" t="str">
        <f t="shared" si="417"/>
        <v>0</v>
      </c>
      <c r="DM249" s="29" t="str">
        <f t="shared" si="417"/>
        <v>0</v>
      </c>
      <c r="DN249" s="29" t="str">
        <f t="shared" si="417"/>
        <v>0</v>
      </c>
      <c r="DO249" s="29" t="str">
        <f t="shared" si="417"/>
        <v>0</v>
      </c>
      <c r="DP249" s="29" t="str">
        <f t="shared" si="417"/>
        <v>0</v>
      </c>
      <c r="DQ249" s="29" t="str">
        <f t="shared" si="417"/>
        <v>0</v>
      </c>
      <c r="DS249" s="25">
        <v>0</v>
      </c>
      <c r="EE249" s="25" t="str">
        <f t="shared" si="328"/>
        <v>0</v>
      </c>
    </row>
    <row r="250" spans="1:135">
      <c r="A250" s="48">
        <v>1003052</v>
      </c>
      <c r="B250" s="49" t="s">
        <v>321</v>
      </c>
      <c r="C250" s="25">
        <f t="shared" si="299"/>
        <v>52</v>
      </c>
      <c r="D250" s="25">
        <f t="array" ref="D250">INDEX(C$5:C$67,MATCH($B250,$B$5:$B$67,0))</f>
        <v>7700</v>
      </c>
      <c r="E250" s="25">
        <f t="array" ref="E250">INDEX(D$5:D$67,MATCH($B250,$B$5:$B$67,0))</f>
        <v>616</v>
      </c>
      <c r="F250" s="25">
        <f t="array" ref="F250">INDEX(E$5:E$67,MATCH($B250,$B$5:$B$67,0))</f>
        <v>734</v>
      </c>
      <c r="G250" s="25">
        <f t="array" ref="G250">INDEX(F$5:F$67,MATCH($B250,$B$5:$B$67,0))</f>
        <v>58.72</v>
      </c>
      <c r="H250" s="25">
        <f t="array" ref="H250">INDEX(G$5:G$66,MATCH($B250,$B$5:$B$67,0))</f>
        <v>918</v>
      </c>
      <c r="I250" s="25">
        <f t="array" ref="I250">INDEX(H$5:H$67,MATCH($B250,$B$5:$B$67,0))</f>
        <v>73.44</v>
      </c>
      <c r="J250" s="25">
        <f t="array" ref="J250">INDEX(I$5:I$67,MATCH($B250,$B$5:$B$67,0))</f>
        <v>900</v>
      </c>
      <c r="K250" s="25">
        <f t="array" ref="K250">INDEX(J$5:J$67,MATCH($B250,$B$5:$B$67,0))</f>
        <v>72</v>
      </c>
      <c r="L250" s="25">
        <f t="shared" si="309"/>
        <v>39732</v>
      </c>
      <c r="M250" s="25">
        <f t="shared" si="310"/>
        <v>3787</v>
      </c>
      <c r="N250" s="25">
        <f t="shared" si="311"/>
        <v>4737</v>
      </c>
      <c r="O250" s="25">
        <f t="shared" si="312"/>
        <v>4644</v>
      </c>
      <c r="R250" s="50">
        <f t="array" ref="R250">INDEX($B$46:$B$68,MATCH(S250,$C$46:$C$68,0))*1000+T250</f>
        <v>1007010</v>
      </c>
      <c r="S250" s="51" t="s">
        <v>329</v>
      </c>
      <c r="T250" s="29">
        <f t="shared" si="385"/>
        <v>10</v>
      </c>
      <c r="U250" s="25">
        <f t="array" ref="U250">INDEX(K$5:K$67,MATCH($S250,$B$5:$B$67,0))</f>
        <v>383.4</v>
      </c>
      <c r="V250" s="25">
        <f t="array" ref="V250">INDEX(L$5:L$67,MATCH($S250,$B$5:$B$67,0))</f>
        <v>92.16</v>
      </c>
      <c r="W250" s="25">
        <f t="array" ref="W250">INDEX(M$5:M$67,MATCH($S250,$B$5:$B$67,0))</f>
        <v>126.72</v>
      </c>
      <c r="X250" s="25">
        <f t="array" ref="X250">INDEX(N$5:N$67,MATCH($S250,$B$5:$B$67,0))</f>
        <v>93.5</v>
      </c>
      <c r="Y250" s="25">
        <f t="shared" si="313"/>
        <v>3834</v>
      </c>
      <c r="Z250" s="25">
        <f t="shared" si="314"/>
        <v>922</v>
      </c>
      <c r="AA250" s="25">
        <f t="shared" si="315"/>
        <v>1267</v>
      </c>
      <c r="AB250" s="25">
        <f t="shared" si="316"/>
        <v>935</v>
      </c>
      <c r="AF250" s="25">
        <v>172</v>
      </c>
      <c r="AG250" s="25">
        <f t="array" ref="AG250">INDEX($AE$79:$AE$116,QUOTIENT(AF250-1,8)+1)</f>
        <v>1029</v>
      </c>
      <c r="AH250" s="25">
        <f t="shared" si="345"/>
        <v>4</v>
      </c>
      <c r="AI250" s="25">
        <f t="shared" si="317"/>
        <v>10294</v>
      </c>
      <c r="AJ250" s="25" t="str">
        <f t="shared" si="318"/>
        <v>凯兰</v>
      </c>
      <c r="AK250" s="25">
        <f t="shared" si="346"/>
        <v>2</v>
      </c>
      <c r="AL250" s="25" t="str">
        <f t="array" ref="AL250">INDEX($O$5:$O$42,MATCH(AJ250,$B$5:$B$42,0))</f>
        <v>暴击等级</v>
      </c>
      <c r="AM250" s="25" t="str">
        <f t="array" ref="AM250">INDEX($P$5:$P$42,MATCH(AJ250,$B$5:$B$42,0))</f>
        <v>能量回复等级</v>
      </c>
      <c r="AN250" s="25" t="str">
        <f t="array" ref="AN250">INDEX($Q$5:$Q$42,MATCH(AJ250,$B$5:$B$42,0))</f>
        <v>技能冷却等级</v>
      </c>
      <c r="AO250" s="25" t="str">
        <f t="array" ref="AO250">INDEX(AL250:AN250,0,AK250)</f>
        <v>能量回复等级</v>
      </c>
      <c r="AP250" s="25">
        <f t="shared" si="304"/>
        <v>0.15</v>
      </c>
      <c r="AQ250" s="25">
        <f t="shared" si="319"/>
        <v>1350</v>
      </c>
      <c r="AR250" s="25" t="str">
        <f t="shared" ref="AR250:BZ250" si="418">IF(AR$78=$AO250,$AQ250,"0")</f>
        <v>0</v>
      </c>
      <c r="AS250" s="25" t="str">
        <f t="shared" si="418"/>
        <v>0</v>
      </c>
      <c r="AT250" s="25" t="str">
        <f t="shared" si="418"/>
        <v>0</v>
      </c>
      <c r="AU250" s="25" t="str">
        <f t="shared" si="418"/>
        <v>0</v>
      </c>
      <c r="AV250" s="25" t="str">
        <f t="shared" si="418"/>
        <v>0</v>
      </c>
      <c r="AW250" s="25" t="str">
        <f t="shared" si="418"/>
        <v>0</v>
      </c>
      <c r="AX250" s="25" t="str">
        <f t="shared" si="418"/>
        <v>0</v>
      </c>
      <c r="AY250" s="25" t="str">
        <f t="shared" si="418"/>
        <v>0</v>
      </c>
      <c r="AZ250" s="25" t="str">
        <f t="shared" si="418"/>
        <v>0</v>
      </c>
      <c r="BA250" s="25" t="str">
        <f t="shared" si="418"/>
        <v>0</v>
      </c>
      <c r="BB250" s="25" t="str">
        <f t="shared" si="418"/>
        <v>0</v>
      </c>
      <c r="BC250" s="25" t="str">
        <f t="shared" si="418"/>
        <v>0</v>
      </c>
      <c r="BD250" s="25" t="str">
        <f t="shared" si="418"/>
        <v>0</v>
      </c>
      <c r="BE250" s="25" t="str">
        <f t="shared" si="418"/>
        <v>0</v>
      </c>
      <c r="BF250" s="25" t="str">
        <f t="shared" si="418"/>
        <v>0</v>
      </c>
      <c r="BG250" s="25" t="str">
        <f t="shared" si="418"/>
        <v>0</v>
      </c>
      <c r="BH250" s="25" t="str">
        <f t="shared" si="418"/>
        <v>0</v>
      </c>
      <c r="BI250" s="25" t="str">
        <f t="shared" si="418"/>
        <v>0</v>
      </c>
      <c r="BJ250" s="25" t="str">
        <f t="shared" si="418"/>
        <v>0</v>
      </c>
      <c r="BK250" s="25" t="str">
        <f t="shared" si="418"/>
        <v>0</v>
      </c>
      <c r="BL250" s="25" t="str">
        <f t="shared" si="418"/>
        <v>0</v>
      </c>
      <c r="BM250" s="25" t="str">
        <f t="shared" si="418"/>
        <v>0</v>
      </c>
      <c r="BN250" s="25" t="str">
        <f t="shared" si="418"/>
        <v>0</v>
      </c>
      <c r="BO250" s="25" t="str">
        <f t="shared" si="418"/>
        <v>0</v>
      </c>
      <c r="BP250" s="25" t="str">
        <f t="shared" si="418"/>
        <v>0</v>
      </c>
      <c r="BQ250" s="25" t="str">
        <f t="shared" si="418"/>
        <v>0</v>
      </c>
      <c r="BR250" s="25" t="str">
        <f t="shared" si="418"/>
        <v>0</v>
      </c>
      <c r="BS250" s="25" t="str">
        <f t="shared" si="418"/>
        <v>0</v>
      </c>
      <c r="BT250" s="25" t="str">
        <f t="shared" si="418"/>
        <v>0</v>
      </c>
      <c r="BU250" s="25" t="str">
        <f t="shared" si="418"/>
        <v>0</v>
      </c>
      <c r="BV250" s="25" t="str">
        <f t="shared" si="418"/>
        <v>0</v>
      </c>
      <c r="BW250" s="25" t="str">
        <f t="shared" si="418"/>
        <v>0</v>
      </c>
      <c r="BX250" s="25" t="str">
        <f t="shared" si="418"/>
        <v>0</v>
      </c>
      <c r="BY250" s="25">
        <f t="shared" si="418"/>
        <v>1350</v>
      </c>
      <c r="BZ250" s="25" t="str">
        <f t="shared" si="418"/>
        <v>0</v>
      </c>
      <c r="CC250" s="25" t="str">
        <f t="array" ref="CC250">INDEX($C$46:$C$74,MATCH(CD250,$B$46:$B$74,0))</f>
        <v>霜狼法师</v>
      </c>
      <c r="CD250" s="29">
        <v>1036</v>
      </c>
      <c r="CE250" s="1">
        <v>3</v>
      </c>
      <c r="CF250" s="25" t="str">
        <f t="array" ref="CF250">INDEX($T$5:$T$44,MATCH(CC250,$B$5:$B$44,0))</f>
        <v>魔法</v>
      </c>
      <c r="CG250" s="25">
        <f t="shared" si="342"/>
        <v>0.15</v>
      </c>
      <c r="CH250" s="25">
        <f t="shared" si="321"/>
        <v>1.15</v>
      </c>
      <c r="CI250" s="25">
        <f t="shared" si="322"/>
        <v>1</v>
      </c>
      <c r="CJ250" s="25">
        <f t="shared" si="323"/>
        <v>1.15</v>
      </c>
      <c r="CK250" s="25">
        <f t="shared" si="324"/>
        <v>1.15</v>
      </c>
      <c r="CL250" s="25" t="str">
        <f t="array" ref="CL250">INDEX($R$5:$R$43,MATCH(CC250,$B$5:$B$43,0))</f>
        <v>魔法伤害加成</v>
      </c>
      <c r="CM250" s="25">
        <f t="shared" si="343"/>
        <v>0.3</v>
      </c>
      <c r="CN250" s="25">
        <f t="shared" si="325"/>
        <v>0.12</v>
      </c>
      <c r="CO250" s="25">
        <f t="shared" si="326"/>
        <v>1</v>
      </c>
      <c r="CP250" s="29" t="str">
        <f t="shared" ref="CP250:DQ250" si="419">IF($CL250=CP$78,$CN250,"0")</f>
        <v>0</v>
      </c>
      <c r="CQ250" s="29" t="str">
        <f t="shared" si="419"/>
        <v>0</v>
      </c>
      <c r="CR250" s="29" t="str">
        <f t="shared" si="419"/>
        <v>0</v>
      </c>
      <c r="CS250" s="29" t="str">
        <f t="shared" si="419"/>
        <v>0</v>
      </c>
      <c r="CT250" s="29" t="str">
        <f t="shared" si="419"/>
        <v>0</v>
      </c>
      <c r="CU250" s="29" t="str">
        <f t="shared" si="419"/>
        <v>0</v>
      </c>
      <c r="CV250" s="29" t="str">
        <f t="shared" si="419"/>
        <v>0</v>
      </c>
      <c r="CW250" s="29" t="str">
        <f t="shared" si="419"/>
        <v>0</v>
      </c>
      <c r="CX250" s="29" t="str">
        <f t="shared" si="419"/>
        <v>0</v>
      </c>
      <c r="CY250" s="29" t="str">
        <f t="shared" si="419"/>
        <v>0</v>
      </c>
      <c r="CZ250" s="29" t="str">
        <f t="shared" si="419"/>
        <v>0</v>
      </c>
      <c r="DA250" s="29" t="str">
        <f t="shared" si="419"/>
        <v>0</v>
      </c>
      <c r="DB250" s="29" t="str">
        <f t="shared" si="419"/>
        <v>0</v>
      </c>
      <c r="DC250" s="29">
        <f t="shared" si="419"/>
        <v>0.12</v>
      </c>
      <c r="DD250" s="29" t="str">
        <f t="shared" si="419"/>
        <v>0</v>
      </c>
      <c r="DE250" s="29" t="str">
        <f t="shared" si="419"/>
        <v>0</v>
      </c>
      <c r="DF250" s="29" t="str">
        <f t="shared" si="419"/>
        <v>0</v>
      </c>
      <c r="DG250" s="29" t="str">
        <f t="shared" si="419"/>
        <v>0</v>
      </c>
      <c r="DH250" s="29" t="str">
        <f t="shared" si="419"/>
        <v>0</v>
      </c>
      <c r="DI250" s="29" t="str">
        <f t="shared" si="419"/>
        <v>0</v>
      </c>
      <c r="DJ250" s="29" t="str">
        <f t="shared" si="419"/>
        <v>0</v>
      </c>
      <c r="DK250" s="29" t="str">
        <f t="shared" si="419"/>
        <v>0</v>
      </c>
      <c r="DL250" s="29" t="str">
        <f t="shared" si="419"/>
        <v>0</v>
      </c>
      <c r="DM250" s="29" t="str">
        <f t="shared" si="419"/>
        <v>0</v>
      </c>
      <c r="DN250" s="29" t="str">
        <f t="shared" si="419"/>
        <v>0</v>
      </c>
      <c r="DO250" s="29" t="str">
        <f t="shared" si="419"/>
        <v>0</v>
      </c>
      <c r="DP250" s="29" t="str">
        <f t="shared" si="419"/>
        <v>0</v>
      </c>
      <c r="DQ250" s="29" t="str">
        <f t="shared" si="419"/>
        <v>0</v>
      </c>
      <c r="DS250" s="25" t="s">
        <v>1011</v>
      </c>
      <c r="DT250" s="25" t="str">
        <f>TEXT(角色升星!$F$18,"0%")</f>
        <v>15%</v>
      </c>
      <c r="DU250" s="25" t="s">
        <v>779</v>
      </c>
      <c r="DV250" s="25" t="str">
        <f>IF(CF250="物理","PhysicsAttack,+","MagicAttack,+")</f>
        <v>MagicAttack,+</v>
      </c>
      <c r="DW250" s="25" t="str">
        <f>TEXT(角色升星!$F$18,"0%")</f>
        <v>15%</v>
      </c>
      <c r="DX250" s="25" t="s">
        <v>779</v>
      </c>
      <c r="DY250" s="25" t="s">
        <v>1012</v>
      </c>
      <c r="DZ250" s="25" t="str">
        <f>TEXT(角色升星!$F$18,"0%")</f>
        <v>15%</v>
      </c>
      <c r="EA250" s="25" t="s">
        <v>779</v>
      </c>
      <c r="EB250" s="25" t="str">
        <f>VLOOKUP(CL250,$O$46:$P$73,2,0)</f>
        <v>MagicDmgBonus</v>
      </c>
      <c r="EC250" s="25" t="s">
        <v>1013</v>
      </c>
      <c r="ED250" s="25" t="str">
        <f>IF(CN250&gt;1,CN250,TEXT(CN250,"0%"))</f>
        <v>12%</v>
      </c>
      <c r="EE250" s="25" t="str">
        <f t="shared" si="328"/>
        <v>Hp,+15%;MagicAttack,+15%;Armor,+15%;MagicDmgBonus,+12%</v>
      </c>
    </row>
    <row r="251" spans="1:135">
      <c r="A251" s="48">
        <v>1003053</v>
      </c>
      <c r="B251" s="49" t="s">
        <v>321</v>
      </c>
      <c r="C251" s="25">
        <f t="shared" si="299"/>
        <v>53</v>
      </c>
      <c r="D251" s="25">
        <f t="array" ref="D251">INDEX(C$5:C$67,MATCH($B251,$B$5:$B$67,0))</f>
        <v>7700</v>
      </c>
      <c r="E251" s="25">
        <f t="array" ref="E251">INDEX(D$5:D$67,MATCH($B251,$B$5:$B$67,0))</f>
        <v>616</v>
      </c>
      <c r="F251" s="25">
        <f t="array" ref="F251">INDEX(E$5:E$67,MATCH($B251,$B$5:$B$67,0))</f>
        <v>734</v>
      </c>
      <c r="G251" s="25">
        <f t="array" ref="G251">INDEX(F$5:F$67,MATCH($B251,$B$5:$B$67,0))</f>
        <v>58.72</v>
      </c>
      <c r="H251" s="25">
        <f t="array" ref="H251">INDEX(G$5:G$66,MATCH($B251,$B$5:$B$67,0))</f>
        <v>918</v>
      </c>
      <c r="I251" s="25">
        <f t="array" ref="I251">INDEX(H$5:H$67,MATCH($B251,$B$5:$B$67,0))</f>
        <v>73.44</v>
      </c>
      <c r="J251" s="25">
        <f t="array" ref="J251">INDEX(I$5:I$67,MATCH($B251,$B$5:$B$67,0))</f>
        <v>900</v>
      </c>
      <c r="K251" s="25">
        <f t="array" ref="K251">INDEX(J$5:J$67,MATCH($B251,$B$5:$B$67,0))</f>
        <v>72</v>
      </c>
      <c r="L251" s="25">
        <f t="shared" si="309"/>
        <v>40348</v>
      </c>
      <c r="M251" s="25">
        <f t="shared" si="310"/>
        <v>3846</v>
      </c>
      <c r="N251" s="25">
        <f t="shared" si="311"/>
        <v>4810</v>
      </c>
      <c r="O251" s="25">
        <f t="shared" si="312"/>
        <v>4716</v>
      </c>
      <c r="R251" s="50">
        <f t="array" ref="R251">INDEX($B$46:$B$68,MATCH(S251,$C$46:$C$68,0))*1000+T251</f>
        <v>1007011</v>
      </c>
      <c r="S251" s="51" t="s">
        <v>329</v>
      </c>
      <c r="T251" s="29">
        <f t="shared" si="385"/>
        <v>11</v>
      </c>
      <c r="U251" s="25">
        <f t="array" ref="U251">INDEX(K$5:K$67,MATCH($S251,$B$5:$B$67,0))</f>
        <v>383.4</v>
      </c>
      <c r="V251" s="25">
        <f t="array" ref="V251">INDEX(L$5:L$67,MATCH($S251,$B$5:$B$67,0))</f>
        <v>92.16</v>
      </c>
      <c r="W251" s="25">
        <f t="array" ref="W251">INDEX(M$5:M$67,MATCH($S251,$B$5:$B$67,0))</f>
        <v>126.72</v>
      </c>
      <c r="X251" s="25">
        <f t="array" ref="X251">INDEX(N$5:N$67,MATCH($S251,$B$5:$B$67,0))</f>
        <v>93.5</v>
      </c>
      <c r="Y251" s="25">
        <f t="shared" si="313"/>
        <v>4217</v>
      </c>
      <c r="Z251" s="25">
        <f t="shared" si="314"/>
        <v>1014</v>
      </c>
      <c r="AA251" s="25">
        <f t="shared" si="315"/>
        <v>1394</v>
      </c>
      <c r="AB251" s="25">
        <f t="shared" si="316"/>
        <v>1029</v>
      </c>
      <c r="AF251" s="25">
        <v>173</v>
      </c>
      <c r="AG251" s="25">
        <f t="array" ref="AG251">INDEX($AE$79:$AE$116,QUOTIENT(AF251-1,8)+1)</f>
        <v>1029</v>
      </c>
      <c r="AH251" s="25">
        <f t="shared" si="345"/>
        <v>5</v>
      </c>
      <c r="AI251" s="25">
        <f t="shared" si="317"/>
        <v>10295</v>
      </c>
      <c r="AJ251" s="25" t="str">
        <f t="shared" si="318"/>
        <v>凯兰</v>
      </c>
      <c r="AK251" s="25">
        <f t="shared" si="346"/>
        <v>3</v>
      </c>
      <c r="AL251" s="25" t="str">
        <f t="array" ref="AL251">INDEX($O$5:$O$42,MATCH(AJ251,$B$5:$B$42,0))</f>
        <v>暴击等级</v>
      </c>
      <c r="AM251" s="25" t="str">
        <f t="array" ref="AM251">INDEX($P$5:$P$42,MATCH(AJ251,$B$5:$B$42,0))</f>
        <v>能量回复等级</v>
      </c>
      <c r="AN251" s="25" t="str">
        <f t="array" ref="AN251">INDEX($Q$5:$Q$42,MATCH(AJ251,$B$5:$B$42,0))</f>
        <v>技能冷却等级</v>
      </c>
      <c r="AO251" s="25" t="str">
        <f t="array" ref="AO251">INDEX(AL251:AN251,0,AK251)</f>
        <v>技能冷却等级</v>
      </c>
      <c r="AP251" s="25">
        <f t="shared" si="304"/>
        <v>0.216666666666667</v>
      </c>
      <c r="AQ251" s="25">
        <f t="shared" si="319"/>
        <v>2816.66666666667</v>
      </c>
      <c r="AR251" s="25" t="str">
        <f t="shared" ref="AR251:BZ251" si="420">IF(AR$78=$AO251,$AQ251,"0")</f>
        <v>0</v>
      </c>
      <c r="AS251" s="25" t="str">
        <f t="shared" si="420"/>
        <v>0</v>
      </c>
      <c r="AT251" s="25" t="str">
        <f t="shared" si="420"/>
        <v>0</v>
      </c>
      <c r="AU251" s="25" t="str">
        <f t="shared" si="420"/>
        <v>0</v>
      </c>
      <c r="AV251" s="25" t="str">
        <f t="shared" si="420"/>
        <v>0</v>
      </c>
      <c r="AW251" s="25" t="str">
        <f t="shared" si="420"/>
        <v>0</v>
      </c>
      <c r="AX251" s="25" t="str">
        <f t="shared" si="420"/>
        <v>0</v>
      </c>
      <c r="AY251" s="25" t="str">
        <f t="shared" si="420"/>
        <v>0</v>
      </c>
      <c r="AZ251" s="25" t="str">
        <f t="shared" si="420"/>
        <v>0</v>
      </c>
      <c r="BA251" s="25" t="str">
        <f t="shared" si="420"/>
        <v>0</v>
      </c>
      <c r="BB251" s="25" t="str">
        <f t="shared" si="420"/>
        <v>0</v>
      </c>
      <c r="BC251" s="25" t="str">
        <f t="shared" si="420"/>
        <v>0</v>
      </c>
      <c r="BD251" s="25" t="str">
        <f t="shared" si="420"/>
        <v>0</v>
      </c>
      <c r="BE251" s="25" t="str">
        <f t="shared" si="420"/>
        <v>0</v>
      </c>
      <c r="BF251" s="25" t="str">
        <f t="shared" si="420"/>
        <v>0</v>
      </c>
      <c r="BG251" s="25" t="str">
        <f t="shared" si="420"/>
        <v>0</v>
      </c>
      <c r="BH251" s="25" t="str">
        <f t="shared" si="420"/>
        <v>0</v>
      </c>
      <c r="BI251" s="25" t="str">
        <f t="shared" si="420"/>
        <v>0</v>
      </c>
      <c r="BJ251" s="25" t="str">
        <f t="shared" si="420"/>
        <v>0</v>
      </c>
      <c r="BK251" s="25" t="str">
        <f t="shared" si="420"/>
        <v>0</v>
      </c>
      <c r="BL251" s="25" t="str">
        <f t="shared" si="420"/>
        <v>0</v>
      </c>
      <c r="BM251" s="25" t="str">
        <f t="shared" si="420"/>
        <v>0</v>
      </c>
      <c r="BN251" s="25" t="str">
        <f t="shared" si="420"/>
        <v>0</v>
      </c>
      <c r="BO251" s="25" t="str">
        <f t="shared" si="420"/>
        <v>0</v>
      </c>
      <c r="BP251" s="25" t="str">
        <f t="shared" si="420"/>
        <v>0</v>
      </c>
      <c r="BQ251" s="25" t="str">
        <f t="shared" si="420"/>
        <v>0</v>
      </c>
      <c r="BR251" s="25" t="str">
        <f t="shared" si="420"/>
        <v>0</v>
      </c>
      <c r="BS251" s="25" t="str">
        <f t="shared" si="420"/>
        <v>0</v>
      </c>
      <c r="BT251" s="25" t="str">
        <f t="shared" si="420"/>
        <v>0</v>
      </c>
      <c r="BU251" s="25" t="str">
        <f t="shared" si="420"/>
        <v>0</v>
      </c>
      <c r="BV251" s="25" t="str">
        <f t="shared" si="420"/>
        <v>0</v>
      </c>
      <c r="BW251" s="25" t="str">
        <f t="shared" si="420"/>
        <v>0</v>
      </c>
      <c r="BX251" s="25" t="str">
        <f t="shared" si="420"/>
        <v>0</v>
      </c>
      <c r="BY251" s="25" t="str">
        <f t="shared" si="420"/>
        <v>0</v>
      </c>
      <c r="BZ251" s="25">
        <f t="shared" si="420"/>
        <v>2816.66666666667</v>
      </c>
      <c r="CC251" s="25" t="str">
        <f t="array" ref="CC251">INDEX($C$46:$C$74,MATCH(CD251,$B$46:$B$74,0))</f>
        <v>霜狼法师</v>
      </c>
      <c r="CD251" s="29">
        <v>1036</v>
      </c>
      <c r="CE251" s="1">
        <v>4</v>
      </c>
      <c r="CF251" s="25" t="str">
        <f t="array" ref="CF251">INDEX($T$5:$T$44,MATCH(CC251,$B$5:$B$44,0))</f>
        <v>魔法</v>
      </c>
      <c r="CG251" s="25">
        <f t="shared" si="342"/>
        <v>0.15</v>
      </c>
      <c r="CH251" s="25">
        <f t="shared" si="321"/>
        <v>1.15</v>
      </c>
      <c r="CI251" s="25">
        <f t="shared" si="322"/>
        <v>1</v>
      </c>
      <c r="CJ251" s="25">
        <f t="shared" si="323"/>
        <v>1.15</v>
      </c>
      <c r="CK251" s="25">
        <f t="shared" si="324"/>
        <v>1.15</v>
      </c>
      <c r="CL251" s="25">
        <v>0</v>
      </c>
      <c r="CM251" s="25">
        <f t="shared" si="343"/>
        <v>0</v>
      </c>
      <c r="CN251" s="25">
        <f t="shared" si="325"/>
        <v>0</v>
      </c>
      <c r="CO251" s="25">
        <f t="shared" si="326"/>
        <v>0</v>
      </c>
      <c r="CP251" s="29" t="str">
        <f t="shared" ref="CP251:DQ251" si="421">IF($CL251=CP$78,$CN251,"0")</f>
        <v>0</v>
      </c>
      <c r="CQ251" s="29" t="str">
        <f t="shared" si="421"/>
        <v>0</v>
      </c>
      <c r="CR251" s="29" t="str">
        <f t="shared" si="421"/>
        <v>0</v>
      </c>
      <c r="CS251" s="29" t="str">
        <f t="shared" si="421"/>
        <v>0</v>
      </c>
      <c r="CT251" s="29" t="str">
        <f t="shared" si="421"/>
        <v>0</v>
      </c>
      <c r="CU251" s="29" t="str">
        <f t="shared" si="421"/>
        <v>0</v>
      </c>
      <c r="CV251" s="29" t="str">
        <f t="shared" si="421"/>
        <v>0</v>
      </c>
      <c r="CW251" s="29" t="str">
        <f t="shared" si="421"/>
        <v>0</v>
      </c>
      <c r="CX251" s="29" t="str">
        <f t="shared" si="421"/>
        <v>0</v>
      </c>
      <c r="CY251" s="29" t="str">
        <f t="shared" si="421"/>
        <v>0</v>
      </c>
      <c r="CZ251" s="29" t="str">
        <f t="shared" si="421"/>
        <v>0</v>
      </c>
      <c r="DA251" s="29" t="str">
        <f t="shared" si="421"/>
        <v>0</v>
      </c>
      <c r="DB251" s="29" t="str">
        <f t="shared" si="421"/>
        <v>0</v>
      </c>
      <c r="DC251" s="29" t="str">
        <f t="shared" si="421"/>
        <v>0</v>
      </c>
      <c r="DD251" s="29" t="str">
        <f t="shared" si="421"/>
        <v>0</v>
      </c>
      <c r="DE251" s="29" t="str">
        <f t="shared" si="421"/>
        <v>0</v>
      </c>
      <c r="DF251" s="29" t="str">
        <f t="shared" si="421"/>
        <v>0</v>
      </c>
      <c r="DG251" s="29" t="str">
        <f t="shared" si="421"/>
        <v>0</v>
      </c>
      <c r="DH251" s="29" t="str">
        <f t="shared" si="421"/>
        <v>0</v>
      </c>
      <c r="DI251" s="29" t="str">
        <f t="shared" si="421"/>
        <v>0</v>
      </c>
      <c r="DJ251" s="29" t="str">
        <f t="shared" si="421"/>
        <v>0</v>
      </c>
      <c r="DK251" s="29" t="str">
        <f t="shared" si="421"/>
        <v>0</v>
      </c>
      <c r="DL251" s="29" t="str">
        <f t="shared" si="421"/>
        <v>0</v>
      </c>
      <c r="DM251" s="29" t="str">
        <f t="shared" si="421"/>
        <v>0</v>
      </c>
      <c r="DN251" s="29" t="str">
        <f t="shared" si="421"/>
        <v>0</v>
      </c>
      <c r="DO251" s="29" t="str">
        <f t="shared" si="421"/>
        <v>0</v>
      </c>
      <c r="DP251" s="29" t="str">
        <f t="shared" si="421"/>
        <v>0</v>
      </c>
      <c r="DQ251" s="29" t="str">
        <f t="shared" si="421"/>
        <v>0</v>
      </c>
      <c r="DS251" s="25">
        <v>0</v>
      </c>
      <c r="EE251" s="25" t="str">
        <f t="shared" si="328"/>
        <v>0</v>
      </c>
    </row>
    <row r="252" spans="1:135">
      <c r="A252" s="48">
        <v>1003054</v>
      </c>
      <c r="B252" s="49" t="s">
        <v>321</v>
      </c>
      <c r="C252" s="25">
        <f t="shared" si="299"/>
        <v>54</v>
      </c>
      <c r="D252" s="25">
        <f t="array" ref="D252">INDEX(C$5:C$67,MATCH($B252,$B$5:$B$67,0))</f>
        <v>7700</v>
      </c>
      <c r="E252" s="25">
        <f t="array" ref="E252">INDEX(D$5:D$67,MATCH($B252,$B$5:$B$67,0))</f>
        <v>616</v>
      </c>
      <c r="F252" s="25">
        <f t="array" ref="F252">INDEX(E$5:E$67,MATCH($B252,$B$5:$B$67,0))</f>
        <v>734</v>
      </c>
      <c r="G252" s="25">
        <f t="array" ref="G252">INDEX(F$5:F$67,MATCH($B252,$B$5:$B$67,0))</f>
        <v>58.72</v>
      </c>
      <c r="H252" s="25">
        <f t="array" ref="H252">INDEX(G$5:G$66,MATCH($B252,$B$5:$B$67,0))</f>
        <v>918</v>
      </c>
      <c r="I252" s="25">
        <f t="array" ref="I252">INDEX(H$5:H$67,MATCH($B252,$B$5:$B$67,0))</f>
        <v>73.44</v>
      </c>
      <c r="J252" s="25">
        <f t="array" ref="J252">INDEX(I$5:I$67,MATCH($B252,$B$5:$B$67,0))</f>
        <v>900</v>
      </c>
      <c r="K252" s="25">
        <f t="array" ref="K252">INDEX(J$5:J$67,MATCH($B252,$B$5:$B$67,0))</f>
        <v>72</v>
      </c>
      <c r="L252" s="25">
        <f t="shared" si="309"/>
        <v>40964</v>
      </c>
      <c r="M252" s="25">
        <f t="shared" si="310"/>
        <v>3905</v>
      </c>
      <c r="N252" s="25">
        <f t="shared" si="311"/>
        <v>4884</v>
      </c>
      <c r="O252" s="25">
        <f t="shared" si="312"/>
        <v>4788</v>
      </c>
      <c r="R252" s="50">
        <f t="array" ref="R252">INDEX($B$46:$B$68,MATCH(S252,$C$46:$C$68,0))*1000+T252</f>
        <v>1007012</v>
      </c>
      <c r="S252" s="51" t="s">
        <v>329</v>
      </c>
      <c r="T252" s="29">
        <f t="shared" si="385"/>
        <v>12</v>
      </c>
      <c r="U252" s="25">
        <f t="array" ref="U252">INDEX(K$5:K$67,MATCH($S252,$B$5:$B$67,0))</f>
        <v>383.4</v>
      </c>
      <c r="V252" s="25">
        <f t="array" ref="V252">INDEX(L$5:L$67,MATCH($S252,$B$5:$B$67,0))</f>
        <v>92.16</v>
      </c>
      <c r="W252" s="25">
        <f t="array" ref="W252">INDEX(M$5:M$67,MATCH($S252,$B$5:$B$67,0))</f>
        <v>126.72</v>
      </c>
      <c r="X252" s="25">
        <f t="array" ref="X252">INDEX(N$5:N$67,MATCH($S252,$B$5:$B$67,0))</f>
        <v>93.5</v>
      </c>
      <c r="Y252" s="25">
        <f t="shared" si="313"/>
        <v>4601</v>
      </c>
      <c r="Z252" s="25">
        <f t="shared" si="314"/>
        <v>1106</v>
      </c>
      <c r="AA252" s="25">
        <f t="shared" si="315"/>
        <v>1521</v>
      </c>
      <c r="AB252" s="25">
        <f t="shared" si="316"/>
        <v>1122</v>
      </c>
      <c r="AF252" s="25">
        <v>174</v>
      </c>
      <c r="AG252" s="25">
        <f t="array" ref="AG252">INDEX($AE$79:$AE$116,QUOTIENT(AF252-1,8)+1)</f>
        <v>1029</v>
      </c>
      <c r="AH252" s="25">
        <f t="shared" si="345"/>
        <v>6</v>
      </c>
      <c r="AI252" s="25">
        <f t="shared" si="317"/>
        <v>10296</v>
      </c>
      <c r="AJ252" s="25" t="str">
        <f t="shared" si="318"/>
        <v>凯兰</v>
      </c>
      <c r="AK252" s="25">
        <f t="shared" si="346"/>
        <v>1</v>
      </c>
      <c r="AL252" s="25" t="str">
        <f t="array" ref="AL252">INDEX($O$5:$O$42,MATCH(AJ252,$B$5:$B$42,0))</f>
        <v>暴击等级</v>
      </c>
      <c r="AM252" s="25" t="str">
        <f t="array" ref="AM252">INDEX($P$5:$P$42,MATCH(AJ252,$B$5:$B$42,0))</f>
        <v>能量回复等级</v>
      </c>
      <c r="AN252" s="25" t="str">
        <f t="array" ref="AN252">INDEX($Q$5:$Q$42,MATCH(AJ252,$B$5:$B$42,0))</f>
        <v>技能冷却等级</v>
      </c>
      <c r="AO252" s="25" t="str">
        <f t="array" ref="AO252">INDEX(AL252:AN252,0,AK252)</f>
        <v>暴击等级</v>
      </c>
      <c r="AP252" s="25">
        <f t="shared" si="304"/>
        <v>0.216666666666667</v>
      </c>
      <c r="AQ252" s="25">
        <f t="shared" si="319"/>
        <v>1950</v>
      </c>
      <c r="AR252" s="25" t="str">
        <f t="shared" ref="AR252:BZ252" si="422">IF(AR$78=$AO252,$AQ252,"0")</f>
        <v>0</v>
      </c>
      <c r="AS252" s="25" t="str">
        <f t="shared" si="422"/>
        <v>0</v>
      </c>
      <c r="AT252" s="25" t="str">
        <f t="shared" si="422"/>
        <v>0</v>
      </c>
      <c r="AU252" s="25" t="str">
        <f t="shared" si="422"/>
        <v>0</v>
      </c>
      <c r="AV252" s="25" t="str">
        <f t="shared" si="422"/>
        <v>0</v>
      </c>
      <c r="AW252" s="25" t="str">
        <f t="shared" si="422"/>
        <v>0</v>
      </c>
      <c r="AX252" s="25" t="str">
        <f t="shared" si="422"/>
        <v>0</v>
      </c>
      <c r="AY252" s="25" t="str">
        <f t="shared" si="422"/>
        <v>0</v>
      </c>
      <c r="AZ252" s="25" t="str">
        <f t="shared" si="422"/>
        <v>0</v>
      </c>
      <c r="BA252" s="25" t="str">
        <f t="shared" si="422"/>
        <v>0</v>
      </c>
      <c r="BB252" s="25" t="str">
        <f t="shared" si="422"/>
        <v>0</v>
      </c>
      <c r="BC252" s="25" t="str">
        <f t="shared" si="422"/>
        <v>0</v>
      </c>
      <c r="BD252" s="25" t="str">
        <f t="shared" si="422"/>
        <v>0</v>
      </c>
      <c r="BE252" s="25" t="str">
        <f t="shared" si="422"/>
        <v>0</v>
      </c>
      <c r="BF252" s="25" t="str">
        <f t="shared" si="422"/>
        <v>0</v>
      </c>
      <c r="BG252" s="25" t="str">
        <f t="shared" si="422"/>
        <v>0</v>
      </c>
      <c r="BH252" s="25" t="str">
        <f t="shared" si="422"/>
        <v>0</v>
      </c>
      <c r="BI252" s="25" t="str">
        <f t="shared" si="422"/>
        <v>0</v>
      </c>
      <c r="BJ252" s="25" t="str">
        <f t="shared" si="422"/>
        <v>0</v>
      </c>
      <c r="BK252" s="25" t="str">
        <f t="shared" si="422"/>
        <v>0</v>
      </c>
      <c r="BL252" s="25" t="str">
        <f t="shared" si="422"/>
        <v>0</v>
      </c>
      <c r="BM252" s="25" t="str">
        <f t="shared" si="422"/>
        <v>0</v>
      </c>
      <c r="BN252" s="25" t="str">
        <f t="shared" si="422"/>
        <v>0</v>
      </c>
      <c r="BO252" s="25" t="str">
        <f t="shared" si="422"/>
        <v>0</v>
      </c>
      <c r="BP252" s="25" t="str">
        <f t="shared" si="422"/>
        <v>0</v>
      </c>
      <c r="BQ252" s="25" t="str">
        <f t="shared" si="422"/>
        <v>0</v>
      </c>
      <c r="BR252" s="25" t="str">
        <f t="shared" si="422"/>
        <v>0</v>
      </c>
      <c r="BS252" s="25" t="str">
        <f t="shared" si="422"/>
        <v>0</v>
      </c>
      <c r="BT252" s="25" t="str">
        <f t="shared" si="422"/>
        <v>0</v>
      </c>
      <c r="BU252" s="25" t="str">
        <f t="shared" si="422"/>
        <v>0</v>
      </c>
      <c r="BV252" s="25" t="str">
        <f t="shared" si="422"/>
        <v>0</v>
      </c>
      <c r="BW252" s="25">
        <f t="shared" si="422"/>
        <v>1950</v>
      </c>
      <c r="BX252" s="25" t="str">
        <f t="shared" si="422"/>
        <v>0</v>
      </c>
      <c r="BY252" s="25" t="str">
        <f t="shared" si="422"/>
        <v>0</v>
      </c>
      <c r="BZ252" s="25" t="str">
        <f t="shared" si="422"/>
        <v>0</v>
      </c>
      <c r="CC252" s="25" t="str">
        <f t="array" ref="CC252">INDEX($C$46:$C$74,MATCH(CD252,$B$46:$B$74,0))</f>
        <v>霜狼法师</v>
      </c>
      <c r="CD252" s="29">
        <v>1036</v>
      </c>
      <c r="CE252" s="1">
        <v>5</v>
      </c>
      <c r="CF252" s="25" t="str">
        <f t="array" ref="CF252">INDEX($T$5:$T$44,MATCH(CC252,$B$5:$B$44,0))</f>
        <v>魔法</v>
      </c>
      <c r="CG252" s="25">
        <f t="shared" si="342"/>
        <v>0.3</v>
      </c>
      <c r="CH252" s="25">
        <f t="shared" si="321"/>
        <v>1.3</v>
      </c>
      <c r="CI252" s="25">
        <f t="shared" si="322"/>
        <v>1</v>
      </c>
      <c r="CJ252" s="25">
        <f t="shared" si="323"/>
        <v>1.3</v>
      </c>
      <c r="CK252" s="25">
        <f t="shared" si="324"/>
        <v>1.3</v>
      </c>
      <c r="CL252" s="25" t="str">
        <f t="array" ref="CL252">INDEX($S$5:$S$43,MATCH(CC252,$B$5:$B$43,0))</f>
        <v>技能冷却等级</v>
      </c>
      <c r="CM252" s="25">
        <f t="shared" si="343"/>
        <v>0.3</v>
      </c>
      <c r="CN252" s="25">
        <f t="shared" si="325"/>
        <v>3900</v>
      </c>
      <c r="CO252" s="25">
        <f t="shared" si="326"/>
        <v>1</v>
      </c>
      <c r="CP252" s="29" t="str">
        <f t="shared" ref="CP252:DQ252" si="423">IF($CL252=CP$78,$CN252,"0")</f>
        <v>0</v>
      </c>
      <c r="CQ252" s="29" t="str">
        <f t="shared" si="423"/>
        <v>0</v>
      </c>
      <c r="CR252" s="29" t="str">
        <f t="shared" si="423"/>
        <v>0</v>
      </c>
      <c r="CS252" s="29" t="str">
        <f t="shared" si="423"/>
        <v>0</v>
      </c>
      <c r="CT252" s="29" t="str">
        <f t="shared" si="423"/>
        <v>0</v>
      </c>
      <c r="CU252" s="29" t="str">
        <f t="shared" si="423"/>
        <v>0</v>
      </c>
      <c r="CV252" s="29" t="str">
        <f t="shared" si="423"/>
        <v>0</v>
      </c>
      <c r="CW252" s="29" t="str">
        <f t="shared" si="423"/>
        <v>0</v>
      </c>
      <c r="CX252" s="29" t="str">
        <f t="shared" si="423"/>
        <v>0</v>
      </c>
      <c r="CY252" s="29" t="str">
        <f t="shared" si="423"/>
        <v>0</v>
      </c>
      <c r="CZ252" s="29" t="str">
        <f t="shared" si="423"/>
        <v>0</v>
      </c>
      <c r="DA252" s="29" t="str">
        <f t="shared" si="423"/>
        <v>0</v>
      </c>
      <c r="DB252" s="29" t="str">
        <f t="shared" si="423"/>
        <v>0</v>
      </c>
      <c r="DC252" s="29" t="str">
        <f t="shared" si="423"/>
        <v>0</v>
      </c>
      <c r="DD252" s="29" t="str">
        <f t="shared" si="423"/>
        <v>0</v>
      </c>
      <c r="DE252" s="29" t="str">
        <f t="shared" si="423"/>
        <v>0</v>
      </c>
      <c r="DF252" s="29" t="str">
        <f t="shared" si="423"/>
        <v>0</v>
      </c>
      <c r="DG252" s="29" t="str">
        <f t="shared" si="423"/>
        <v>0</v>
      </c>
      <c r="DH252" s="29" t="str">
        <f t="shared" si="423"/>
        <v>0</v>
      </c>
      <c r="DI252" s="29" t="str">
        <f t="shared" si="423"/>
        <v>0</v>
      </c>
      <c r="DJ252" s="29" t="str">
        <f t="shared" si="423"/>
        <v>0</v>
      </c>
      <c r="DK252" s="29" t="str">
        <f t="shared" si="423"/>
        <v>0</v>
      </c>
      <c r="DL252" s="29" t="str">
        <f t="shared" si="423"/>
        <v>0</v>
      </c>
      <c r="DM252" s="29" t="str">
        <f t="shared" si="423"/>
        <v>0</v>
      </c>
      <c r="DN252" s="29" t="str">
        <f t="shared" si="423"/>
        <v>0</v>
      </c>
      <c r="DO252" s="29" t="str">
        <f t="shared" si="423"/>
        <v>0</v>
      </c>
      <c r="DP252" s="29" t="str">
        <f t="shared" si="423"/>
        <v>0</v>
      </c>
      <c r="DQ252" s="29">
        <f t="shared" si="423"/>
        <v>3900</v>
      </c>
      <c r="DS252" s="25" t="s">
        <v>1011</v>
      </c>
      <c r="DT252" s="25" t="str">
        <f>TEXT(角色升星!$F$18,"0%")</f>
        <v>15%</v>
      </c>
      <c r="DU252" s="25" t="s">
        <v>779</v>
      </c>
      <c r="DV252" s="25" t="str">
        <f>IF(CF252="物理","PhysicsAttack,+","MagicAttack,+")</f>
        <v>MagicAttack,+</v>
      </c>
      <c r="DW252" s="25" t="str">
        <f>TEXT(角色升星!$F$18,"0%")</f>
        <v>15%</v>
      </c>
      <c r="DX252" s="25" t="s">
        <v>779</v>
      </c>
      <c r="DY252" s="25" t="s">
        <v>1012</v>
      </c>
      <c r="DZ252" s="25" t="str">
        <f>TEXT(角色升星!$F$18,"0%")</f>
        <v>15%</v>
      </c>
      <c r="EA252" s="25" t="s">
        <v>779</v>
      </c>
      <c r="EB252" s="25" t="str">
        <f>VLOOKUP(CL252,$O$46:$P$73,2,0)</f>
        <v>CoolDownReduceLevel</v>
      </c>
      <c r="EC252" s="25" t="s">
        <v>1013</v>
      </c>
      <c r="ED252" s="25">
        <f>IF(CN252&gt;1,CN252,TEXT(CN252,"0%"))</f>
        <v>3900</v>
      </c>
      <c r="EE252" s="25" t="str">
        <f t="shared" si="328"/>
        <v>Hp,+15%;MagicAttack,+15%;Armor,+15%;CoolDownReduceLevel,+3900</v>
      </c>
    </row>
    <row r="253" spans="1:135">
      <c r="A253" s="48">
        <v>1003055</v>
      </c>
      <c r="B253" s="49" t="s">
        <v>321</v>
      </c>
      <c r="C253" s="25">
        <f t="shared" si="299"/>
        <v>55</v>
      </c>
      <c r="D253" s="25">
        <f t="array" ref="D253">INDEX(C$5:C$67,MATCH($B253,$B$5:$B$67,0))</f>
        <v>7700</v>
      </c>
      <c r="E253" s="25">
        <f t="array" ref="E253">INDEX(D$5:D$67,MATCH($B253,$B$5:$B$67,0))</f>
        <v>616</v>
      </c>
      <c r="F253" s="25">
        <f t="array" ref="F253">INDEX(E$5:E$67,MATCH($B253,$B$5:$B$67,0))</f>
        <v>734</v>
      </c>
      <c r="G253" s="25">
        <f t="array" ref="G253">INDEX(F$5:F$67,MATCH($B253,$B$5:$B$67,0))</f>
        <v>58.72</v>
      </c>
      <c r="H253" s="25">
        <f t="array" ref="H253">INDEX(G$5:G$66,MATCH($B253,$B$5:$B$67,0))</f>
        <v>918</v>
      </c>
      <c r="I253" s="25">
        <f t="array" ref="I253">INDEX(H$5:H$67,MATCH($B253,$B$5:$B$67,0))</f>
        <v>73.44</v>
      </c>
      <c r="J253" s="25">
        <f t="array" ref="J253">INDEX(I$5:I$67,MATCH($B253,$B$5:$B$67,0))</f>
        <v>900</v>
      </c>
      <c r="K253" s="25">
        <f t="array" ref="K253">INDEX(J$5:J$67,MATCH($B253,$B$5:$B$67,0))</f>
        <v>72</v>
      </c>
      <c r="L253" s="25">
        <f t="shared" si="309"/>
        <v>41580</v>
      </c>
      <c r="M253" s="25">
        <f t="shared" si="310"/>
        <v>3964</v>
      </c>
      <c r="N253" s="25">
        <f t="shared" si="311"/>
        <v>4957</v>
      </c>
      <c r="O253" s="25">
        <f t="shared" si="312"/>
        <v>4860</v>
      </c>
      <c r="R253" s="50">
        <f t="array" ref="R253">INDEX($B$46:$B$68,MATCH(S253,$C$46:$C$68,0))*1000+T253</f>
        <v>1007013</v>
      </c>
      <c r="S253" s="51" t="s">
        <v>329</v>
      </c>
      <c r="T253" s="29">
        <f t="shared" si="385"/>
        <v>13</v>
      </c>
      <c r="U253" s="25">
        <f t="array" ref="U253">INDEX(K$5:K$67,MATCH($S253,$B$5:$B$67,0))</f>
        <v>383.4</v>
      </c>
      <c r="V253" s="25">
        <f t="array" ref="V253">INDEX(L$5:L$67,MATCH($S253,$B$5:$B$67,0))</f>
        <v>92.16</v>
      </c>
      <c r="W253" s="25">
        <f t="array" ref="W253">INDEX(M$5:M$67,MATCH($S253,$B$5:$B$67,0))</f>
        <v>126.72</v>
      </c>
      <c r="X253" s="25">
        <f t="array" ref="X253">INDEX(N$5:N$67,MATCH($S253,$B$5:$B$67,0))</f>
        <v>93.5</v>
      </c>
      <c r="Y253" s="25">
        <f t="shared" si="313"/>
        <v>4984</v>
      </c>
      <c r="Z253" s="25">
        <f t="shared" si="314"/>
        <v>1198</v>
      </c>
      <c r="AA253" s="25">
        <f t="shared" si="315"/>
        <v>1647</v>
      </c>
      <c r="AB253" s="25">
        <f t="shared" si="316"/>
        <v>1216</v>
      </c>
      <c r="AF253" s="25">
        <v>175</v>
      </c>
      <c r="AG253" s="25">
        <f t="array" ref="AG253">INDEX($AE$79:$AE$116,QUOTIENT(AF253-1,8)+1)</f>
        <v>1029</v>
      </c>
      <c r="AH253" s="25">
        <f t="shared" si="345"/>
        <v>7</v>
      </c>
      <c r="AI253" s="25">
        <f t="shared" si="317"/>
        <v>10297</v>
      </c>
      <c r="AJ253" s="25" t="str">
        <f t="shared" si="318"/>
        <v>凯兰</v>
      </c>
      <c r="AK253" s="25">
        <f t="shared" si="346"/>
        <v>2</v>
      </c>
      <c r="AL253" s="25" t="str">
        <f t="array" ref="AL253">INDEX($O$5:$O$42,MATCH(AJ253,$B$5:$B$42,0))</f>
        <v>暴击等级</v>
      </c>
      <c r="AM253" s="25" t="str">
        <f t="array" ref="AM253">INDEX($P$5:$P$42,MATCH(AJ253,$B$5:$B$42,0))</f>
        <v>能量回复等级</v>
      </c>
      <c r="AN253" s="25" t="str">
        <f t="array" ref="AN253">INDEX($Q$5:$Q$42,MATCH(AJ253,$B$5:$B$42,0))</f>
        <v>技能冷却等级</v>
      </c>
      <c r="AO253" s="25" t="str">
        <f t="array" ref="AO253">INDEX(AL253:AN253,0,AK253)</f>
        <v>能量回复等级</v>
      </c>
      <c r="AP253" s="25">
        <f t="shared" si="304"/>
        <v>0.15</v>
      </c>
      <c r="AQ253" s="25">
        <f t="shared" si="319"/>
        <v>1350</v>
      </c>
      <c r="AR253" s="25" t="str">
        <f t="shared" ref="AR253:BZ253" si="424">IF(AR$78=$AO253,$AQ253,"0")</f>
        <v>0</v>
      </c>
      <c r="AS253" s="25" t="str">
        <f t="shared" si="424"/>
        <v>0</v>
      </c>
      <c r="AT253" s="25" t="str">
        <f t="shared" si="424"/>
        <v>0</v>
      </c>
      <c r="AU253" s="25" t="str">
        <f t="shared" si="424"/>
        <v>0</v>
      </c>
      <c r="AV253" s="25" t="str">
        <f t="shared" si="424"/>
        <v>0</v>
      </c>
      <c r="AW253" s="25" t="str">
        <f t="shared" si="424"/>
        <v>0</v>
      </c>
      <c r="AX253" s="25" t="str">
        <f t="shared" si="424"/>
        <v>0</v>
      </c>
      <c r="AY253" s="25" t="str">
        <f t="shared" si="424"/>
        <v>0</v>
      </c>
      <c r="AZ253" s="25" t="str">
        <f t="shared" si="424"/>
        <v>0</v>
      </c>
      <c r="BA253" s="25" t="str">
        <f t="shared" si="424"/>
        <v>0</v>
      </c>
      <c r="BB253" s="25" t="str">
        <f t="shared" si="424"/>
        <v>0</v>
      </c>
      <c r="BC253" s="25" t="str">
        <f t="shared" si="424"/>
        <v>0</v>
      </c>
      <c r="BD253" s="25" t="str">
        <f t="shared" si="424"/>
        <v>0</v>
      </c>
      <c r="BE253" s="25" t="str">
        <f t="shared" si="424"/>
        <v>0</v>
      </c>
      <c r="BF253" s="25" t="str">
        <f t="shared" si="424"/>
        <v>0</v>
      </c>
      <c r="BG253" s="25" t="str">
        <f t="shared" si="424"/>
        <v>0</v>
      </c>
      <c r="BH253" s="25" t="str">
        <f t="shared" si="424"/>
        <v>0</v>
      </c>
      <c r="BI253" s="25" t="str">
        <f t="shared" si="424"/>
        <v>0</v>
      </c>
      <c r="BJ253" s="25" t="str">
        <f t="shared" si="424"/>
        <v>0</v>
      </c>
      <c r="BK253" s="25" t="str">
        <f t="shared" si="424"/>
        <v>0</v>
      </c>
      <c r="BL253" s="25" t="str">
        <f t="shared" si="424"/>
        <v>0</v>
      </c>
      <c r="BM253" s="25" t="str">
        <f t="shared" si="424"/>
        <v>0</v>
      </c>
      <c r="BN253" s="25" t="str">
        <f t="shared" si="424"/>
        <v>0</v>
      </c>
      <c r="BO253" s="25" t="str">
        <f t="shared" si="424"/>
        <v>0</v>
      </c>
      <c r="BP253" s="25" t="str">
        <f t="shared" si="424"/>
        <v>0</v>
      </c>
      <c r="BQ253" s="25" t="str">
        <f t="shared" si="424"/>
        <v>0</v>
      </c>
      <c r="BR253" s="25" t="str">
        <f t="shared" si="424"/>
        <v>0</v>
      </c>
      <c r="BS253" s="25" t="str">
        <f t="shared" si="424"/>
        <v>0</v>
      </c>
      <c r="BT253" s="25" t="str">
        <f t="shared" si="424"/>
        <v>0</v>
      </c>
      <c r="BU253" s="25" t="str">
        <f t="shared" si="424"/>
        <v>0</v>
      </c>
      <c r="BV253" s="25" t="str">
        <f t="shared" si="424"/>
        <v>0</v>
      </c>
      <c r="BW253" s="25" t="str">
        <f t="shared" si="424"/>
        <v>0</v>
      </c>
      <c r="BX253" s="25" t="str">
        <f t="shared" si="424"/>
        <v>0</v>
      </c>
      <c r="BY253" s="25">
        <f t="shared" si="424"/>
        <v>1350</v>
      </c>
      <c r="BZ253" s="25" t="str">
        <f t="shared" si="424"/>
        <v>0</v>
      </c>
      <c r="CC253" s="25" t="str">
        <f t="array" ref="CC253">INDEX($C$46:$C$74,MATCH(CD253,$B$46:$B$74,0))</f>
        <v>霜狼法师</v>
      </c>
      <c r="CD253" s="29">
        <v>1036</v>
      </c>
      <c r="CE253" s="1">
        <v>6</v>
      </c>
      <c r="CF253" s="25" t="str">
        <f t="array" ref="CF253">INDEX($T$5:$T$44,MATCH(CC253,$B$5:$B$44,0))</f>
        <v>魔法</v>
      </c>
      <c r="CG253" s="25">
        <f t="shared" si="342"/>
        <v>0.3</v>
      </c>
      <c r="CH253" s="25">
        <f t="shared" si="321"/>
        <v>1.3</v>
      </c>
      <c r="CI253" s="25">
        <f t="shared" si="322"/>
        <v>1</v>
      </c>
      <c r="CJ253" s="25">
        <f t="shared" si="323"/>
        <v>1.3</v>
      </c>
      <c r="CK253" s="25">
        <f t="shared" si="324"/>
        <v>1.3</v>
      </c>
      <c r="CL253" s="25">
        <v>0</v>
      </c>
      <c r="CM253" s="25">
        <f t="shared" si="343"/>
        <v>0</v>
      </c>
      <c r="CN253" s="25">
        <f t="shared" si="325"/>
        <v>0</v>
      </c>
      <c r="CO253" s="25">
        <f t="shared" si="326"/>
        <v>0</v>
      </c>
      <c r="CP253" s="29" t="str">
        <f t="shared" ref="CP253:DQ253" si="425">IF($CL253=CP$78,$CN253,"0")</f>
        <v>0</v>
      </c>
      <c r="CQ253" s="29" t="str">
        <f t="shared" si="425"/>
        <v>0</v>
      </c>
      <c r="CR253" s="29" t="str">
        <f t="shared" si="425"/>
        <v>0</v>
      </c>
      <c r="CS253" s="29" t="str">
        <f t="shared" si="425"/>
        <v>0</v>
      </c>
      <c r="CT253" s="29" t="str">
        <f t="shared" si="425"/>
        <v>0</v>
      </c>
      <c r="CU253" s="29" t="str">
        <f t="shared" si="425"/>
        <v>0</v>
      </c>
      <c r="CV253" s="29" t="str">
        <f t="shared" si="425"/>
        <v>0</v>
      </c>
      <c r="CW253" s="29" t="str">
        <f t="shared" si="425"/>
        <v>0</v>
      </c>
      <c r="CX253" s="29" t="str">
        <f t="shared" si="425"/>
        <v>0</v>
      </c>
      <c r="CY253" s="29" t="str">
        <f t="shared" si="425"/>
        <v>0</v>
      </c>
      <c r="CZ253" s="29" t="str">
        <f t="shared" si="425"/>
        <v>0</v>
      </c>
      <c r="DA253" s="29" t="str">
        <f t="shared" si="425"/>
        <v>0</v>
      </c>
      <c r="DB253" s="29" t="str">
        <f t="shared" si="425"/>
        <v>0</v>
      </c>
      <c r="DC253" s="29" t="str">
        <f t="shared" si="425"/>
        <v>0</v>
      </c>
      <c r="DD253" s="29" t="str">
        <f t="shared" si="425"/>
        <v>0</v>
      </c>
      <c r="DE253" s="29" t="str">
        <f t="shared" si="425"/>
        <v>0</v>
      </c>
      <c r="DF253" s="29" t="str">
        <f t="shared" si="425"/>
        <v>0</v>
      </c>
      <c r="DG253" s="29" t="str">
        <f t="shared" si="425"/>
        <v>0</v>
      </c>
      <c r="DH253" s="29" t="str">
        <f t="shared" si="425"/>
        <v>0</v>
      </c>
      <c r="DI253" s="29" t="str">
        <f t="shared" si="425"/>
        <v>0</v>
      </c>
      <c r="DJ253" s="29" t="str">
        <f t="shared" si="425"/>
        <v>0</v>
      </c>
      <c r="DK253" s="29" t="str">
        <f t="shared" si="425"/>
        <v>0</v>
      </c>
      <c r="DL253" s="29" t="str">
        <f t="shared" si="425"/>
        <v>0</v>
      </c>
      <c r="DM253" s="29" t="str">
        <f t="shared" si="425"/>
        <v>0</v>
      </c>
      <c r="DN253" s="29" t="str">
        <f t="shared" si="425"/>
        <v>0</v>
      </c>
      <c r="DO253" s="29" t="str">
        <f t="shared" si="425"/>
        <v>0</v>
      </c>
      <c r="DP253" s="29" t="str">
        <f t="shared" si="425"/>
        <v>0</v>
      </c>
      <c r="DQ253" s="29" t="str">
        <f t="shared" si="425"/>
        <v>0</v>
      </c>
      <c r="DS253" s="25">
        <v>0</v>
      </c>
      <c r="EE253" s="25" t="str">
        <f t="shared" si="328"/>
        <v>0</v>
      </c>
    </row>
    <row r="254" spans="1:135">
      <c r="A254" s="48">
        <v>1003056</v>
      </c>
      <c r="B254" s="49" t="s">
        <v>321</v>
      </c>
      <c r="C254" s="25">
        <f t="shared" si="299"/>
        <v>56</v>
      </c>
      <c r="D254" s="25">
        <f t="array" ref="D254">INDEX(C$5:C$67,MATCH($B254,$B$5:$B$67,0))</f>
        <v>7700</v>
      </c>
      <c r="E254" s="25">
        <f t="array" ref="E254">INDEX(D$5:D$67,MATCH($B254,$B$5:$B$67,0))</f>
        <v>616</v>
      </c>
      <c r="F254" s="25">
        <f t="array" ref="F254">INDEX(E$5:E$67,MATCH($B254,$B$5:$B$67,0))</f>
        <v>734</v>
      </c>
      <c r="G254" s="25">
        <f t="array" ref="G254">INDEX(F$5:F$67,MATCH($B254,$B$5:$B$67,0))</f>
        <v>58.72</v>
      </c>
      <c r="H254" s="25">
        <f t="array" ref="H254">INDEX(G$5:G$66,MATCH($B254,$B$5:$B$67,0))</f>
        <v>918</v>
      </c>
      <c r="I254" s="25">
        <f t="array" ref="I254">INDEX(H$5:H$67,MATCH($B254,$B$5:$B$67,0))</f>
        <v>73.44</v>
      </c>
      <c r="J254" s="25">
        <f t="array" ref="J254">INDEX(I$5:I$67,MATCH($B254,$B$5:$B$67,0))</f>
        <v>900</v>
      </c>
      <c r="K254" s="25">
        <f t="array" ref="K254">INDEX(J$5:J$67,MATCH($B254,$B$5:$B$67,0))</f>
        <v>72</v>
      </c>
      <c r="L254" s="25">
        <f t="shared" si="309"/>
        <v>42196</v>
      </c>
      <c r="M254" s="25">
        <f t="shared" si="310"/>
        <v>4022</v>
      </c>
      <c r="N254" s="25">
        <f t="shared" si="311"/>
        <v>5031</v>
      </c>
      <c r="O254" s="25">
        <f t="shared" si="312"/>
        <v>4932</v>
      </c>
      <c r="R254" s="50">
        <f t="array" ref="R254">INDEX($B$46:$B$68,MATCH(S254,$C$46:$C$68,0))*1000+T254</f>
        <v>1007014</v>
      </c>
      <c r="S254" s="51" t="s">
        <v>329</v>
      </c>
      <c r="T254" s="29">
        <f t="shared" si="385"/>
        <v>14</v>
      </c>
      <c r="U254" s="25">
        <f t="array" ref="U254">INDEX(K$5:K$67,MATCH($S254,$B$5:$B$67,0))</f>
        <v>383.4</v>
      </c>
      <c r="V254" s="25">
        <f t="array" ref="V254">INDEX(L$5:L$67,MATCH($S254,$B$5:$B$67,0))</f>
        <v>92.16</v>
      </c>
      <c r="W254" s="25">
        <f t="array" ref="W254">INDEX(M$5:M$67,MATCH($S254,$B$5:$B$67,0))</f>
        <v>126.72</v>
      </c>
      <c r="X254" s="25">
        <f t="array" ref="X254">INDEX(N$5:N$67,MATCH($S254,$B$5:$B$67,0))</f>
        <v>93.5</v>
      </c>
      <c r="Y254" s="25">
        <f t="shared" si="313"/>
        <v>5368</v>
      </c>
      <c r="Z254" s="25">
        <f t="shared" si="314"/>
        <v>1290</v>
      </c>
      <c r="AA254" s="25">
        <f t="shared" si="315"/>
        <v>1774</v>
      </c>
      <c r="AB254" s="25">
        <f t="shared" si="316"/>
        <v>1309</v>
      </c>
      <c r="AF254" s="25">
        <v>176</v>
      </c>
      <c r="AG254" s="25">
        <f t="array" ref="AG254">INDEX($AE$79:$AE$116,QUOTIENT(AF254-1,8)+1)</f>
        <v>1029</v>
      </c>
      <c r="AH254" s="25">
        <f t="shared" si="345"/>
        <v>8</v>
      </c>
      <c r="AI254" s="25">
        <f t="shared" si="317"/>
        <v>10298</v>
      </c>
      <c r="AJ254" s="25" t="str">
        <f t="shared" si="318"/>
        <v>凯兰</v>
      </c>
      <c r="AK254" s="25">
        <f t="shared" si="346"/>
        <v>3</v>
      </c>
      <c r="AL254" s="25" t="str">
        <f t="array" ref="AL254">INDEX($O$5:$O$42,MATCH(AJ254,$B$5:$B$42,0))</f>
        <v>暴击等级</v>
      </c>
      <c r="AM254" s="25" t="str">
        <f t="array" ref="AM254">INDEX($P$5:$P$42,MATCH(AJ254,$B$5:$B$42,0))</f>
        <v>能量回复等级</v>
      </c>
      <c r="AN254" s="25" t="str">
        <f t="array" ref="AN254">INDEX($Q$5:$Q$42,MATCH(AJ254,$B$5:$B$42,0))</f>
        <v>技能冷却等级</v>
      </c>
      <c r="AO254" s="25" t="str">
        <f t="array" ref="AO254">INDEX(AL254:AN254,0,AK254)</f>
        <v>技能冷却等级</v>
      </c>
      <c r="AP254" s="25">
        <f t="shared" si="304"/>
        <v>0.216666666666667</v>
      </c>
      <c r="AQ254" s="25">
        <f t="shared" si="319"/>
        <v>2816.66666666667</v>
      </c>
      <c r="AR254" s="25" t="str">
        <f t="shared" ref="AR254:BZ254" si="426">IF(AR$78=$AO254,$AQ254,"0")</f>
        <v>0</v>
      </c>
      <c r="AS254" s="25" t="str">
        <f t="shared" si="426"/>
        <v>0</v>
      </c>
      <c r="AT254" s="25" t="str">
        <f t="shared" si="426"/>
        <v>0</v>
      </c>
      <c r="AU254" s="25" t="str">
        <f t="shared" si="426"/>
        <v>0</v>
      </c>
      <c r="AV254" s="25" t="str">
        <f t="shared" si="426"/>
        <v>0</v>
      </c>
      <c r="AW254" s="25" t="str">
        <f t="shared" si="426"/>
        <v>0</v>
      </c>
      <c r="AX254" s="25" t="str">
        <f t="shared" si="426"/>
        <v>0</v>
      </c>
      <c r="AY254" s="25" t="str">
        <f t="shared" si="426"/>
        <v>0</v>
      </c>
      <c r="AZ254" s="25" t="str">
        <f t="shared" si="426"/>
        <v>0</v>
      </c>
      <c r="BA254" s="25" t="str">
        <f t="shared" si="426"/>
        <v>0</v>
      </c>
      <c r="BB254" s="25" t="str">
        <f t="shared" si="426"/>
        <v>0</v>
      </c>
      <c r="BC254" s="25" t="str">
        <f t="shared" si="426"/>
        <v>0</v>
      </c>
      <c r="BD254" s="25" t="str">
        <f t="shared" si="426"/>
        <v>0</v>
      </c>
      <c r="BE254" s="25" t="str">
        <f t="shared" si="426"/>
        <v>0</v>
      </c>
      <c r="BF254" s="25" t="str">
        <f t="shared" si="426"/>
        <v>0</v>
      </c>
      <c r="BG254" s="25" t="str">
        <f t="shared" si="426"/>
        <v>0</v>
      </c>
      <c r="BH254" s="25" t="str">
        <f t="shared" si="426"/>
        <v>0</v>
      </c>
      <c r="BI254" s="25" t="str">
        <f t="shared" si="426"/>
        <v>0</v>
      </c>
      <c r="BJ254" s="25" t="str">
        <f t="shared" si="426"/>
        <v>0</v>
      </c>
      <c r="BK254" s="25" t="str">
        <f t="shared" si="426"/>
        <v>0</v>
      </c>
      <c r="BL254" s="25" t="str">
        <f t="shared" si="426"/>
        <v>0</v>
      </c>
      <c r="BM254" s="25" t="str">
        <f t="shared" si="426"/>
        <v>0</v>
      </c>
      <c r="BN254" s="25" t="str">
        <f t="shared" si="426"/>
        <v>0</v>
      </c>
      <c r="BO254" s="25" t="str">
        <f t="shared" si="426"/>
        <v>0</v>
      </c>
      <c r="BP254" s="25" t="str">
        <f t="shared" si="426"/>
        <v>0</v>
      </c>
      <c r="BQ254" s="25" t="str">
        <f t="shared" si="426"/>
        <v>0</v>
      </c>
      <c r="BR254" s="25" t="str">
        <f t="shared" si="426"/>
        <v>0</v>
      </c>
      <c r="BS254" s="25" t="str">
        <f t="shared" si="426"/>
        <v>0</v>
      </c>
      <c r="BT254" s="25" t="str">
        <f t="shared" si="426"/>
        <v>0</v>
      </c>
      <c r="BU254" s="25" t="str">
        <f t="shared" si="426"/>
        <v>0</v>
      </c>
      <c r="BV254" s="25" t="str">
        <f t="shared" si="426"/>
        <v>0</v>
      </c>
      <c r="BW254" s="25" t="str">
        <f t="shared" si="426"/>
        <v>0</v>
      </c>
      <c r="BX254" s="25" t="str">
        <f t="shared" si="426"/>
        <v>0</v>
      </c>
      <c r="BY254" s="25" t="str">
        <f t="shared" si="426"/>
        <v>0</v>
      </c>
      <c r="BZ254" s="25">
        <f t="shared" si="426"/>
        <v>2816.66666666667</v>
      </c>
      <c r="CC254" s="25" t="str">
        <f t="array" ref="CC254">INDEX($C$46:$C$74,MATCH(CD254,$B$46:$B$74,0))</f>
        <v>霜狼战士</v>
      </c>
      <c r="CD254" s="29">
        <v>1037</v>
      </c>
      <c r="CE254" s="1">
        <v>0</v>
      </c>
      <c r="CF254" s="25" t="str">
        <f t="array" ref="CF254">INDEX($T$5:$T$44,MATCH(CC254,$B$5:$B$44,0))</f>
        <v>物理</v>
      </c>
      <c r="CG254" s="25">
        <f t="shared" si="342"/>
        <v>0</v>
      </c>
      <c r="CH254" s="25">
        <f t="shared" si="321"/>
        <v>1</v>
      </c>
      <c r="CI254" s="25">
        <f t="shared" si="322"/>
        <v>1</v>
      </c>
      <c r="CJ254" s="25">
        <f t="shared" si="323"/>
        <v>1</v>
      </c>
      <c r="CK254" s="25">
        <f t="shared" si="324"/>
        <v>1</v>
      </c>
      <c r="CL254" s="25">
        <v>0</v>
      </c>
      <c r="CM254" s="25">
        <f t="shared" si="343"/>
        <v>0</v>
      </c>
      <c r="CN254" s="25">
        <f t="shared" si="325"/>
        <v>0</v>
      </c>
      <c r="CO254" s="25">
        <f t="shared" si="326"/>
        <v>0</v>
      </c>
      <c r="CP254" s="29" t="str">
        <f t="shared" ref="CP254:DQ254" si="427">IF($CL254=CP$78,$CN254,"0")</f>
        <v>0</v>
      </c>
      <c r="CQ254" s="29" t="str">
        <f t="shared" si="427"/>
        <v>0</v>
      </c>
      <c r="CR254" s="29" t="str">
        <f t="shared" si="427"/>
        <v>0</v>
      </c>
      <c r="CS254" s="29" t="str">
        <f t="shared" si="427"/>
        <v>0</v>
      </c>
      <c r="CT254" s="29" t="str">
        <f t="shared" si="427"/>
        <v>0</v>
      </c>
      <c r="CU254" s="29" t="str">
        <f t="shared" si="427"/>
        <v>0</v>
      </c>
      <c r="CV254" s="29" t="str">
        <f t="shared" si="427"/>
        <v>0</v>
      </c>
      <c r="CW254" s="29" t="str">
        <f t="shared" si="427"/>
        <v>0</v>
      </c>
      <c r="CX254" s="29" t="str">
        <f t="shared" si="427"/>
        <v>0</v>
      </c>
      <c r="CY254" s="29" t="str">
        <f t="shared" si="427"/>
        <v>0</v>
      </c>
      <c r="CZ254" s="29" t="str">
        <f t="shared" si="427"/>
        <v>0</v>
      </c>
      <c r="DA254" s="29" t="str">
        <f t="shared" si="427"/>
        <v>0</v>
      </c>
      <c r="DB254" s="29" t="str">
        <f t="shared" si="427"/>
        <v>0</v>
      </c>
      <c r="DC254" s="29" t="str">
        <f t="shared" si="427"/>
        <v>0</v>
      </c>
      <c r="DD254" s="29" t="str">
        <f t="shared" si="427"/>
        <v>0</v>
      </c>
      <c r="DE254" s="29" t="str">
        <f t="shared" si="427"/>
        <v>0</v>
      </c>
      <c r="DF254" s="29" t="str">
        <f t="shared" si="427"/>
        <v>0</v>
      </c>
      <c r="DG254" s="29" t="str">
        <f t="shared" si="427"/>
        <v>0</v>
      </c>
      <c r="DH254" s="29" t="str">
        <f t="shared" si="427"/>
        <v>0</v>
      </c>
      <c r="DI254" s="29" t="str">
        <f t="shared" si="427"/>
        <v>0</v>
      </c>
      <c r="DJ254" s="29" t="str">
        <f t="shared" si="427"/>
        <v>0</v>
      </c>
      <c r="DK254" s="29" t="str">
        <f t="shared" si="427"/>
        <v>0</v>
      </c>
      <c r="DL254" s="29" t="str">
        <f t="shared" si="427"/>
        <v>0</v>
      </c>
      <c r="DM254" s="29" t="str">
        <f t="shared" si="427"/>
        <v>0</v>
      </c>
      <c r="DN254" s="29" t="str">
        <f t="shared" si="427"/>
        <v>0</v>
      </c>
      <c r="DO254" s="29" t="str">
        <f t="shared" si="427"/>
        <v>0</v>
      </c>
      <c r="DP254" s="29" t="str">
        <f t="shared" si="427"/>
        <v>0</v>
      </c>
      <c r="DQ254" s="29" t="str">
        <f t="shared" si="427"/>
        <v>0</v>
      </c>
      <c r="DS254" s="25">
        <v>0</v>
      </c>
      <c r="EE254" s="25" t="str">
        <f t="shared" si="328"/>
        <v>0</v>
      </c>
    </row>
    <row r="255" spans="1:135">
      <c r="A255" s="48">
        <v>1003057</v>
      </c>
      <c r="B255" s="49" t="s">
        <v>321</v>
      </c>
      <c r="C255" s="25">
        <f t="shared" si="299"/>
        <v>57</v>
      </c>
      <c r="D255" s="25">
        <f t="array" ref="D255">INDEX(C$5:C$67,MATCH($B255,$B$5:$B$67,0))</f>
        <v>7700</v>
      </c>
      <c r="E255" s="25">
        <f t="array" ref="E255">INDEX(D$5:D$67,MATCH($B255,$B$5:$B$67,0))</f>
        <v>616</v>
      </c>
      <c r="F255" s="25">
        <f t="array" ref="F255">INDEX(E$5:E$67,MATCH($B255,$B$5:$B$67,0))</f>
        <v>734</v>
      </c>
      <c r="G255" s="25">
        <f t="array" ref="G255">INDEX(F$5:F$67,MATCH($B255,$B$5:$B$67,0))</f>
        <v>58.72</v>
      </c>
      <c r="H255" s="25">
        <f t="array" ref="H255">INDEX(G$5:G$66,MATCH($B255,$B$5:$B$67,0))</f>
        <v>918</v>
      </c>
      <c r="I255" s="25">
        <f t="array" ref="I255">INDEX(H$5:H$67,MATCH($B255,$B$5:$B$67,0))</f>
        <v>73.44</v>
      </c>
      <c r="J255" s="25">
        <f t="array" ref="J255">INDEX(I$5:I$67,MATCH($B255,$B$5:$B$67,0))</f>
        <v>900</v>
      </c>
      <c r="K255" s="25">
        <f t="array" ref="K255">INDEX(J$5:J$67,MATCH($B255,$B$5:$B$67,0))</f>
        <v>72</v>
      </c>
      <c r="L255" s="25">
        <f t="shared" si="309"/>
        <v>42812</v>
      </c>
      <c r="M255" s="25">
        <f t="shared" si="310"/>
        <v>4081</v>
      </c>
      <c r="N255" s="25">
        <f t="shared" si="311"/>
        <v>5104</v>
      </c>
      <c r="O255" s="25">
        <f t="shared" si="312"/>
        <v>5004</v>
      </c>
      <c r="R255" s="50">
        <f t="array" ref="R255">INDEX($B$46:$B$68,MATCH(S255,$C$46:$C$68,0))*1000+T255</f>
        <v>1007015</v>
      </c>
      <c r="S255" s="51" t="s">
        <v>329</v>
      </c>
      <c r="T255" s="29">
        <f t="shared" si="385"/>
        <v>15</v>
      </c>
      <c r="U255" s="25">
        <f t="array" ref="U255">INDEX(K$5:K$67,MATCH($S255,$B$5:$B$67,0))</f>
        <v>383.4</v>
      </c>
      <c r="V255" s="25">
        <f t="array" ref="V255">INDEX(L$5:L$67,MATCH($S255,$B$5:$B$67,0))</f>
        <v>92.16</v>
      </c>
      <c r="W255" s="25">
        <f t="array" ref="W255">INDEX(M$5:M$67,MATCH($S255,$B$5:$B$67,0))</f>
        <v>126.72</v>
      </c>
      <c r="X255" s="25">
        <f t="array" ref="X255">INDEX(N$5:N$67,MATCH($S255,$B$5:$B$67,0))</f>
        <v>93.5</v>
      </c>
      <c r="Y255" s="25">
        <f t="shared" si="313"/>
        <v>5751</v>
      </c>
      <c r="Z255" s="25">
        <f t="shared" si="314"/>
        <v>1382</v>
      </c>
      <c r="AA255" s="25">
        <f t="shared" si="315"/>
        <v>1901</v>
      </c>
      <c r="AB255" s="25">
        <f t="shared" si="316"/>
        <v>1403</v>
      </c>
      <c r="AF255" s="25">
        <v>177</v>
      </c>
      <c r="AG255" s="25">
        <f t="array" ref="AG255">INDEX($AE$79:$AE$116,QUOTIENT(AF255-1,8)+1)</f>
        <v>1030</v>
      </c>
      <c r="AH255" s="25">
        <f t="shared" si="345"/>
        <v>1</v>
      </c>
      <c r="AI255" s="25">
        <f t="shared" si="317"/>
        <v>10301</v>
      </c>
      <c r="AJ255" s="25" t="str">
        <f t="shared" si="318"/>
        <v>莫莉</v>
      </c>
      <c r="AK255" s="25">
        <f t="shared" si="346"/>
        <v>1</v>
      </c>
      <c r="AL255" s="25" t="str">
        <f t="array" ref="AL255">INDEX($O$5:$O$42,MATCH(AJ255,$B$5:$B$42,0))</f>
        <v>生命值百分比</v>
      </c>
      <c r="AM255" s="25" t="str">
        <f t="array" ref="AM255">INDEX($P$5:$P$42,MATCH(AJ255,$B$5:$B$42,0))</f>
        <v>攻击百分比</v>
      </c>
      <c r="AN255" s="25" t="str">
        <f t="array" ref="AN255">INDEX($Q$5:$Q$42,MATCH(AJ255,$B$5:$B$42,0))</f>
        <v>技能冷却等级</v>
      </c>
      <c r="AO255" s="25" t="str">
        <f t="array" ref="AO255">INDEX(AL255:AN255,0,AK255)</f>
        <v>生命值百分比</v>
      </c>
      <c r="AP255" s="25">
        <f t="shared" si="304"/>
        <v>0.216666666666667</v>
      </c>
      <c r="AQ255" s="25">
        <f t="shared" si="319"/>
        <v>0.216666666666667</v>
      </c>
      <c r="AR255" s="25" t="str">
        <f t="shared" ref="AR255:BZ255" si="428">IF(AR$78=$AO255,$AQ255,"0")</f>
        <v>0</v>
      </c>
      <c r="AS255" s="25">
        <f t="shared" si="428"/>
        <v>0.216666666666667</v>
      </c>
      <c r="AT255" s="25" t="str">
        <f t="shared" si="428"/>
        <v>0</v>
      </c>
      <c r="AU255" s="25" t="str">
        <f t="shared" si="428"/>
        <v>0</v>
      </c>
      <c r="AV255" s="25" t="str">
        <f t="shared" si="428"/>
        <v>0</v>
      </c>
      <c r="AW255" s="25" t="str">
        <f t="shared" si="428"/>
        <v>0</v>
      </c>
      <c r="AX255" s="25" t="str">
        <f t="shared" si="428"/>
        <v>0</v>
      </c>
      <c r="AY255" s="25" t="str">
        <f t="shared" si="428"/>
        <v>0</v>
      </c>
      <c r="AZ255" s="25" t="str">
        <f t="shared" si="428"/>
        <v>0</v>
      </c>
      <c r="BA255" s="25" t="str">
        <f t="shared" si="428"/>
        <v>0</v>
      </c>
      <c r="BB255" s="25" t="str">
        <f t="shared" si="428"/>
        <v>0</v>
      </c>
      <c r="BC255" s="25" t="str">
        <f t="shared" si="428"/>
        <v>0</v>
      </c>
      <c r="BD255" s="25" t="str">
        <f t="shared" si="428"/>
        <v>0</v>
      </c>
      <c r="BE255" s="25" t="str">
        <f t="shared" si="428"/>
        <v>0</v>
      </c>
      <c r="BF255" s="25" t="str">
        <f t="shared" si="428"/>
        <v>0</v>
      </c>
      <c r="BG255" s="25" t="str">
        <f t="shared" si="428"/>
        <v>0</v>
      </c>
      <c r="BH255" s="25" t="str">
        <f t="shared" si="428"/>
        <v>0</v>
      </c>
      <c r="BI255" s="25" t="str">
        <f t="shared" si="428"/>
        <v>0</v>
      </c>
      <c r="BJ255" s="25" t="str">
        <f t="shared" si="428"/>
        <v>0</v>
      </c>
      <c r="BK255" s="25" t="str">
        <f t="shared" si="428"/>
        <v>0</v>
      </c>
      <c r="BL255" s="25" t="str">
        <f t="shared" si="428"/>
        <v>0</v>
      </c>
      <c r="BM255" s="25" t="str">
        <f t="shared" si="428"/>
        <v>0</v>
      </c>
      <c r="BN255" s="25" t="str">
        <f t="shared" si="428"/>
        <v>0</v>
      </c>
      <c r="BO255" s="25" t="str">
        <f t="shared" si="428"/>
        <v>0</v>
      </c>
      <c r="BP255" s="25" t="str">
        <f t="shared" si="428"/>
        <v>0</v>
      </c>
      <c r="BQ255" s="25" t="str">
        <f t="shared" si="428"/>
        <v>0</v>
      </c>
      <c r="BR255" s="25" t="str">
        <f t="shared" si="428"/>
        <v>0</v>
      </c>
      <c r="BS255" s="25" t="str">
        <f t="shared" si="428"/>
        <v>0</v>
      </c>
      <c r="BT255" s="25" t="str">
        <f t="shared" si="428"/>
        <v>0</v>
      </c>
      <c r="BU255" s="25" t="str">
        <f t="shared" si="428"/>
        <v>0</v>
      </c>
      <c r="BV255" s="25" t="str">
        <f t="shared" si="428"/>
        <v>0</v>
      </c>
      <c r="BW255" s="25" t="str">
        <f t="shared" si="428"/>
        <v>0</v>
      </c>
      <c r="BX255" s="25" t="str">
        <f t="shared" si="428"/>
        <v>0</v>
      </c>
      <c r="BY255" s="25" t="str">
        <f t="shared" si="428"/>
        <v>0</v>
      </c>
      <c r="BZ255" s="25" t="str">
        <f t="shared" si="428"/>
        <v>0</v>
      </c>
      <c r="CC255" s="25" t="str">
        <f t="array" ref="CC255">INDEX($C$46:$C$74,MATCH(CD255,$B$46:$B$74,0))</f>
        <v>霜狼战士</v>
      </c>
      <c r="CD255" s="29">
        <v>1037</v>
      </c>
      <c r="CE255" s="1">
        <v>1</v>
      </c>
      <c r="CF255" s="25" t="str">
        <f t="array" ref="CF255">INDEX($T$5:$T$44,MATCH(CC255,$B$5:$B$44,0))</f>
        <v>物理</v>
      </c>
      <c r="CG255" s="25">
        <f t="shared" si="342"/>
        <v>0</v>
      </c>
      <c r="CH255" s="25">
        <f t="shared" si="321"/>
        <v>1</v>
      </c>
      <c r="CI255" s="25">
        <f t="shared" si="322"/>
        <v>1</v>
      </c>
      <c r="CJ255" s="25">
        <f t="shared" si="323"/>
        <v>1</v>
      </c>
      <c r="CK255" s="25">
        <f t="shared" si="324"/>
        <v>1</v>
      </c>
      <c r="CL255" s="25">
        <v>0</v>
      </c>
      <c r="CM255" s="25">
        <f t="shared" si="343"/>
        <v>0</v>
      </c>
      <c r="CN255" s="25">
        <f t="shared" si="325"/>
        <v>0</v>
      </c>
      <c r="CO255" s="25">
        <f t="shared" si="326"/>
        <v>0</v>
      </c>
      <c r="CP255" s="29" t="str">
        <f t="shared" ref="CP255:DQ255" si="429">IF($CL255=CP$78,$CN255,"0")</f>
        <v>0</v>
      </c>
      <c r="CQ255" s="29" t="str">
        <f t="shared" si="429"/>
        <v>0</v>
      </c>
      <c r="CR255" s="29" t="str">
        <f t="shared" si="429"/>
        <v>0</v>
      </c>
      <c r="CS255" s="29" t="str">
        <f t="shared" si="429"/>
        <v>0</v>
      </c>
      <c r="CT255" s="29" t="str">
        <f t="shared" si="429"/>
        <v>0</v>
      </c>
      <c r="CU255" s="29" t="str">
        <f t="shared" si="429"/>
        <v>0</v>
      </c>
      <c r="CV255" s="29" t="str">
        <f t="shared" si="429"/>
        <v>0</v>
      </c>
      <c r="CW255" s="29" t="str">
        <f t="shared" si="429"/>
        <v>0</v>
      </c>
      <c r="CX255" s="29" t="str">
        <f t="shared" si="429"/>
        <v>0</v>
      </c>
      <c r="CY255" s="29" t="str">
        <f t="shared" si="429"/>
        <v>0</v>
      </c>
      <c r="CZ255" s="29" t="str">
        <f t="shared" si="429"/>
        <v>0</v>
      </c>
      <c r="DA255" s="29" t="str">
        <f t="shared" si="429"/>
        <v>0</v>
      </c>
      <c r="DB255" s="29" t="str">
        <f t="shared" si="429"/>
        <v>0</v>
      </c>
      <c r="DC255" s="29" t="str">
        <f t="shared" si="429"/>
        <v>0</v>
      </c>
      <c r="DD255" s="29" t="str">
        <f t="shared" si="429"/>
        <v>0</v>
      </c>
      <c r="DE255" s="29" t="str">
        <f t="shared" si="429"/>
        <v>0</v>
      </c>
      <c r="DF255" s="29" t="str">
        <f t="shared" si="429"/>
        <v>0</v>
      </c>
      <c r="DG255" s="29" t="str">
        <f t="shared" si="429"/>
        <v>0</v>
      </c>
      <c r="DH255" s="29" t="str">
        <f t="shared" si="429"/>
        <v>0</v>
      </c>
      <c r="DI255" s="29" t="str">
        <f t="shared" si="429"/>
        <v>0</v>
      </c>
      <c r="DJ255" s="29" t="str">
        <f t="shared" si="429"/>
        <v>0</v>
      </c>
      <c r="DK255" s="29" t="str">
        <f t="shared" si="429"/>
        <v>0</v>
      </c>
      <c r="DL255" s="29" t="str">
        <f t="shared" si="429"/>
        <v>0</v>
      </c>
      <c r="DM255" s="29" t="str">
        <f t="shared" si="429"/>
        <v>0</v>
      </c>
      <c r="DN255" s="29" t="str">
        <f t="shared" si="429"/>
        <v>0</v>
      </c>
      <c r="DO255" s="29" t="str">
        <f t="shared" si="429"/>
        <v>0</v>
      </c>
      <c r="DP255" s="29" t="str">
        <f t="shared" si="429"/>
        <v>0</v>
      </c>
      <c r="DQ255" s="29" t="str">
        <f t="shared" si="429"/>
        <v>0</v>
      </c>
      <c r="DS255" s="25">
        <v>0</v>
      </c>
      <c r="EE255" s="25" t="str">
        <f t="shared" si="328"/>
        <v>0</v>
      </c>
    </row>
    <row r="256" spans="1:135">
      <c r="A256" s="48">
        <v>1003058</v>
      </c>
      <c r="B256" s="49" t="s">
        <v>321</v>
      </c>
      <c r="C256" s="25">
        <f t="shared" si="299"/>
        <v>58</v>
      </c>
      <c r="D256" s="25">
        <f t="array" ref="D256">INDEX(C$5:C$67,MATCH($B256,$B$5:$B$67,0))</f>
        <v>7700</v>
      </c>
      <c r="E256" s="25">
        <f t="array" ref="E256">INDEX(D$5:D$67,MATCH($B256,$B$5:$B$67,0))</f>
        <v>616</v>
      </c>
      <c r="F256" s="25">
        <f t="array" ref="F256">INDEX(E$5:E$67,MATCH($B256,$B$5:$B$67,0))</f>
        <v>734</v>
      </c>
      <c r="G256" s="25">
        <f t="array" ref="G256">INDEX(F$5:F$67,MATCH($B256,$B$5:$B$67,0))</f>
        <v>58.72</v>
      </c>
      <c r="H256" s="25">
        <f t="array" ref="H256">INDEX(G$5:G$66,MATCH($B256,$B$5:$B$67,0))</f>
        <v>918</v>
      </c>
      <c r="I256" s="25">
        <f t="array" ref="I256">INDEX(H$5:H$67,MATCH($B256,$B$5:$B$67,0))</f>
        <v>73.44</v>
      </c>
      <c r="J256" s="25">
        <f t="array" ref="J256">INDEX(I$5:I$67,MATCH($B256,$B$5:$B$67,0))</f>
        <v>900</v>
      </c>
      <c r="K256" s="25">
        <f t="array" ref="K256">INDEX(J$5:J$67,MATCH($B256,$B$5:$B$67,0))</f>
        <v>72</v>
      </c>
      <c r="L256" s="25">
        <f t="shared" si="309"/>
        <v>43428</v>
      </c>
      <c r="M256" s="25">
        <f t="shared" si="310"/>
        <v>4140</v>
      </c>
      <c r="N256" s="25">
        <f t="shared" si="311"/>
        <v>5178</v>
      </c>
      <c r="O256" s="25">
        <f t="shared" si="312"/>
        <v>5076</v>
      </c>
      <c r="R256" s="50">
        <f t="array" ref="R256">INDEX($B$46:$B$68,MATCH(S256,$C$46:$C$68,0))*1000+T256</f>
        <v>1007016</v>
      </c>
      <c r="S256" s="51" t="s">
        <v>329</v>
      </c>
      <c r="T256" s="29">
        <f t="shared" si="385"/>
        <v>16</v>
      </c>
      <c r="U256" s="25">
        <f t="array" ref="U256">INDEX(K$5:K$67,MATCH($S256,$B$5:$B$67,0))</f>
        <v>383.4</v>
      </c>
      <c r="V256" s="25">
        <f t="array" ref="V256">INDEX(L$5:L$67,MATCH($S256,$B$5:$B$67,0))</f>
        <v>92.16</v>
      </c>
      <c r="W256" s="25">
        <f t="array" ref="W256">INDEX(M$5:M$67,MATCH($S256,$B$5:$B$67,0))</f>
        <v>126.72</v>
      </c>
      <c r="X256" s="25">
        <f t="array" ref="X256">INDEX(N$5:N$67,MATCH($S256,$B$5:$B$67,0))</f>
        <v>93.5</v>
      </c>
      <c r="Y256" s="25">
        <f t="shared" si="313"/>
        <v>6134</v>
      </c>
      <c r="Z256" s="25">
        <f t="shared" si="314"/>
        <v>1475</v>
      </c>
      <c r="AA256" s="25">
        <f t="shared" si="315"/>
        <v>2028</v>
      </c>
      <c r="AB256" s="25">
        <f t="shared" si="316"/>
        <v>1496</v>
      </c>
      <c r="AF256" s="25">
        <v>178</v>
      </c>
      <c r="AG256" s="25">
        <f t="array" ref="AG256">INDEX($AE$79:$AE$116,QUOTIENT(AF256-1,8)+1)</f>
        <v>1030</v>
      </c>
      <c r="AH256" s="25">
        <f t="shared" si="345"/>
        <v>2</v>
      </c>
      <c r="AI256" s="25">
        <f t="shared" si="317"/>
        <v>10302</v>
      </c>
      <c r="AJ256" s="25" t="str">
        <f t="shared" si="318"/>
        <v>莫莉</v>
      </c>
      <c r="AK256" s="25">
        <f t="shared" si="346"/>
        <v>2</v>
      </c>
      <c r="AL256" s="25" t="str">
        <f t="array" ref="AL256">INDEX($O$5:$O$42,MATCH(AJ256,$B$5:$B$42,0))</f>
        <v>生命值百分比</v>
      </c>
      <c r="AM256" s="25" t="str">
        <f t="array" ref="AM256">INDEX($P$5:$P$42,MATCH(AJ256,$B$5:$B$42,0))</f>
        <v>攻击百分比</v>
      </c>
      <c r="AN256" s="25" t="str">
        <f t="array" ref="AN256">INDEX($Q$5:$Q$42,MATCH(AJ256,$B$5:$B$42,0))</f>
        <v>技能冷却等级</v>
      </c>
      <c r="AO256" s="25" t="str">
        <f t="array" ref="AO256">INDEX(AL256:AN256,0,AK256)</f>
        <v>攻击百分比</v>
      </c>
      <c r="AP256" s="25">
        <f t="shared" si="304"/>
        <v>0.15</v>
      </c>
      <c r="AQ256" s="25">
        <f t="shared" si="319"/>
        <v>0.15</v>
      </c>
      <c r="AR256" s="25" t="str">
        <f t="shared" ref="AR256:BZ256" si="430">IF(AR$78=$AO256,$AQ256,"0")</f>
        <v>0</v>
      </c>
      <c r="AS256" s="25" t="str">
        <f t="shared" si="430"/>
        <v>0</v>
      </c>
      <c r="AT256" s="25" t="str">
        <f t="shared" si="430"/>
        <v>0</v>
      </c>
      <c r="AU256" s="25">
        <f t="shared" si="430"/>
        <v>0.15</v>
      </c>
      <c r="AV256" s="25" t="str">
        <f t="shared" si="430"/>
        <v>0</v>
      </c>
      <c r="AW256" s="25">
        <f t="shared" si="430"/>
        <v>0.15</v>
      </c>
      <c r="AX256" s="25" t="str">
        <f t="shared" si="430"/>
        <v>0</v>
      </c>
      <c r="AY256" s="25" t="str">
        <f t="shared" si="430"/>
        <v>0</v>
      </c>
      <c r="AZ256" s="25" t="str">
        <f t="shared" si="430"/>
        <v>0</v>
      </c>
      <c r="BA256" s="25" t="str">
        <f t="shared" si="430"/>
        <v>0</v>
      </c>
      <c r="BB256" s="25" t="str">
        <f t="shared" si="430"/>
        <v>0</v>
      </c>
      <c r="BC256" s="25" t="str">
        <f t="shared" si="430"/>
        <v>0</v>
      </c>
      <c r="BD256" s="25" t="str">
        <f t="shared" si="430"/>
        <v>0</v>
      </c>
      <c r="BE256" s="25" t="str">
        <f t="shared" si="430"/>
        <v>0</v>
      </c>
      <c r="BF256" s="25" t="str">
        <f t="shared" si="430"/>
        <v>0</v>
      </c>
      <c r="BG256" s="25" t="str">
        <f t="shared" si="430"/>
        <v>0</v>
      </c>
      <c r="BH256" s="25" t="str">
        <f t="shared" si="430"/>
        <v>0</v>
      </c>
      <c r="BI256" s="25" t="str">
        <f t="shared" si="430"/>
        <v>0</v>
      </c>
      <c r="BJ256" s="25" t="str">
        <f t="shared" si="430"/>
        <v>0</v>
      </c>
      <c r="BK256" s="25" t="str">
        <f t="shared" si="430"/>
        <v>0</v>
      </c>
      <c r="BL256" s="25" t="str">
        <f t="shared" si="430"/>
        <v>0</v>
      </c>
      <c r="BM256" s="25" t="str">
        <f t="shared" si="430"/>
        <v>0</v>
      </c>
      <c r="BN256" s="25" t="str">
        <f t="shared" si="430"/>
        <v>0</v>
      </c>
      <c r="BO256" s="25" t="str">
        <f t="shared" si="430"/>
        <v>0</v>
      </c>
      <c r="BP256" s="25" t="str">
        <f t="shared" si="430"/>
        <v>0</v>
      </c>
      <c r="BQ256" s="25" t="str">
        <f t="shared" si="430"/>
        <v>0</v>
      </c>
      <c r="BR256" s="25" t="str">
        <f t="shared" si="430"/>
        <v>0</v>
      </c>
      <c r="BS256" s="25" t="str">
        <f t="shared" si="430"/>
        <v>0</v>
      </c>
      <c r="BT256" s="25" t="str">
        <f t="shared" si="430"/>
        <v>0</v>
      </c>
      <c r="BU256" s="25" t="str">
        <f t="shared" si="430"/>
        <v>0</v>
      </c>
      <c r="BV256" s="25" t="str">
        <f t="shared" si="430"/>
        <v>0</v>
      </c>
      <c r="BW256" s="25" t="str">
        <f t="shared" si="430"/>
        <v>0</v>
      </c>
      <c r="BX256" s="25" t="str">
        <f t="shared" si="430"/>
        <v>0</v>
      </c>
      <c r="BY256" s="25" t="str">
        <f t="shared" si="430"/>
        <v>0</v>
      </c>
      <c r="BZ256" s="25" t="str">
        <f t="shared" si="430"/>
        <v>0</v>
      </c>
      <c r="CC256" s="25" t="str">
        <f t="array" ref="CC256">INDEX($C$46:$C$74,MATCH(CD256,$B$46:$B$74,0))</f>
        <v>霜狼战士</v>
      </c>
      <c r="CD256" s="29">
        <v>1037</v>
      </c>
      <c r="CE256" s="1">
        <v>2</v>
      </c>
      <c r="CF256" s="25" t="str">
        <f t="array" ref="CF256">INDEX($T$5:$T$44,MATCH(CC256,$B$5:$B$44,0))</f>
        <v>物理</v>
      </c>
      <c r="CG256" s="25">
        <f t="shared" si="342"/>
        <v>0</v>
      </c>
      <c r="CH256" s="25">
        <f t="shared" si="321"/>
        <v>1</v>
      </c>
      <c r="CI256" s="25">
        <f t="shared" si="322"/>
        <v>1</v>
      </c>
      <c r="CJ256" s="25">
        <f t="shared" si="323"/>
        <v>1</v>
      </c>
      <c r="CK256" s="25">
        <f t="shared" si="324"/>
        <v>1</v>
      </c>
      <c r="CL256" s="25">
        <v>0</v>
      </c>
      <c r="CM256" s="25">
        <f t="shared" si="343"/>
        <v>0</v>
      </c>
      <c r="CN256" s="25">
        <f t="shared" si="325"/>
        <v>0</v>
      </c>
      <c r="CO256" s="25">
        <f t="shared" si="326"/>
        <v>0</v>
      </c>
      <c r="CP256" s="29" t="str">
        <f t="shared" ref="CP256:DQ256" si="431">IF($CL256=CP$78,$CN256,"0")</f>
        <v>0</v>
      </c>
      <c r="CQ256" s="29" t="str">
        <f t="shared" si="431"/>
        <v>0</v>
      </c>
      <c r="CR256" s="29" t="str">
        <f t="shared" si="431"/>
        <v>0</v>
      </c>
      <c r="CS256" s="29" t="str">
        <f t="shared" si="431"/>
        <v>0</v>
      </c>
      <c r="CT256" s="29" t="str">
        <f t="shared" si="431"/>
        <v>0</v>
      </c>
      <c r="CU256" s="29" t="str">
        <f t="shared" si="431"/>
        <v>0</v>
      </c>
      <c r="CV256" s="29" t="str">
        <f t="shared" si="431"/>
        <v>0</v>
      </c>
      <c r="CW256" s="29" t="str">
        <f t="shared" si="431"/>
        <v>0</v>
      </c>
      <c r="CX256" s="29" t="str">
        <f t="shared" si="431"/>
        <v>0</v>
      </c>
      <c r="CY256" s="29" t="str">
        <f t="shared" si="431"/>
        <v>0</v>
      </c>
      <c r="CZ256" s="29" t="str">
        <f t="shared" si="431"/>
        <v>0</v>
      </c>
      <c r="DA256" s="29" t="str">
        <f t="shared" si="431"/>
        <v>0</v>
      </c>
      <c r="DB256" s="29" t="str">
        <f t="shared" si="431"/>
        <v>0</v>
      </c>
      <c r="DC256" s="29" t="str">
        <f t="shared" si="431"/>
        <v>0</v>
      </c>
      <c r="DD256" s="29" t="str">
        <f t="shared" si="431"/>
        <v>0</v>
      </c>
      <c r="DE256" s="29" t="str">
        <f t="shared" si="431"/>
        <v>0</v>
      </c>
      <c r="DF256" s="29" t="str">
        <f t="shared" si="431"/>
        <v>0</v>
      </c>
      <c r="DG256" s="29" t="str">
        <f t="shared" si="431"/>
        <v>0</v>
      </c>
      <c r="DH256" s="29" t="str">
        <f t="shared" si="431"/>
        <v>0</v>
      </c>
      <c r="DI256" s="29" t="str">
        <f t="shared" si="431"/>
        <v>0</v>
      </c>
      <c r="DJ256" s="29" t="str">
        <f t="shared" si="431"/>
        <v>0</v>
      </c>
      <c r="DK256" s="29" t="str">
        <f t="shared" si="431"/>
        <v>0</v>
      </c>
      <c r="DL256" s="29" t="str">
        <f t="shared" si="431"/>
        <v>0</v>
      </c>
      <c r="DM256" s="29" t="str">
        <f t="shared" si="431"/>
        <v>0</v>
      </c>
      <c r="DN256" s="29" t="str">
        <f t="shared" si="431"/>
        <v>0</v>
      </c>
      <c r="DO256" s="29" t="str">
        <f t="shared" si="431"/>
        <v>0</v>
      </c>
      <c r="DP256" s="29" t="str">
        <f t="shared" si="431"/>
        <v>0</v>
      </c>
      <c r="DQ256" s="29" t="str">
        <f t="shared" si="431"/>
        <v>0</v>
      </c>
      <c r="DS256" s="25">
        <v>0</v>
      </c>
      <c r="EE256" s="25" t="str">
        <f t="shared" si="328"/>
        <v>0</v>
      </c>
    </row>
    <row r="257" spans="1:135">
      <c r="A257" s="48">
        <v>1003059</v>
      </c>
      <c r="B257" s="49" t="s">
        <v>321</v>
      </c>
      <c r="C257" s="25">
        <f t="shared" si="299"/>
        <v>59</v>
      </c>
      <c r="D257" s="25">
        <f t="array" ref="D257">INDEX(C$5:C$67,MATCH($B257,$B$5:$B$67,0))</f>
        <v>7700</v>
      </c>
      <c r="E257" s="25">
        <f t="array" ref="E257">INDEX(D$5:D$67,MATCH($B257,$B$5:$B$67,0))</f>
        <v>616</v>
      </c>
      <c r="F257" s="25">
        <f t="array" ref="F257">INDEX(E$5:E$67,MATCH($B257,$B$5:$B$67,0))</f>
        <v>734</v>
      </c>
      <c r="G257" s="25">
        <f t="array" ref="G257">INDEX(F$5:F$67,MATCH($B257,$B$5:$B$67,0))</f>
        <v>58.72</v>
      </c>
      <c r="H257" s="25">
        <f t="array" ref="H257">INDEX(G$5:G$66,MATCH($B257,$B$5:$B$67,0))</f>
        <v>918</v>
      </c>
      <c r="I257" s="25">
        <f t="array" ref="I257">INDEX(H$5:H$67,MATCH($B257,$B$5:$B$67,0))</f>
        <v>73.44</v>
      </c>
      <c r="J257" s="25">
        <f t="array" ref="J257">INDEX(I$5:I$67,MATCH($B257,$B$5:$B$67,0))</f>
        <v>900</v>
      </c>
      <c r="K257" s="25">
        <f t="array" ref="K257">INDEX(J$5:J$67,MATCH($B257,$B$5:$B$67,0))</f>
        <v>72</v>
      </c>
      <c r="L257" s="25">
        <f t="shared" si="309"/>
        <v>44044</v>
      </c>
      <c r="M257" s="25">
        <f t="shared" si="310"/>
        <v>4198</v>
      </c>
      <c r="N257" s="25">
        <f t="shared" si="311"/>
        <v>5251</v>
      </c>
      <c r="O257" s="25">
        <f t="shared" si="312"/>
        <v>5148</v>
      </c>
      <c r="R257" s="50">
        <f t="array" ref="R257">INDEX($B$46:$B$68,MATCH(S257,$C$46:$C$68,0))*1000+T257</f>
        <v>1007017</v>
      </c>
      <c r="S257" s="51" t="s">
        <v>329</v>
      </c>
      <c r="T257" s="29">
        <f t="shared" si="385"/>
        <v>17</v>
      </c>
      <c r="U257" s="25">
        <f t="array" ref="U257">INDEX(K$5:K$67,MATCH($S257,$B$5:$B$67,0))</f>
        <v>383.4</v>
      </c>
      <c r="V257" s="25">
        <f t="array" ref="V257">INDEX(L$5:L$67,MATCH($S257,$B$5:$B$67,0))</f>
        <v>92.16</v>
      </c>
      <c r="W257" s="25">
        <f t="array" ref="W257">INDEX(M$5:M$67,MATCH($S257,$B$5:$B$67,0))</f>
        <v>126.72</v>
      </c>
      <c r="X257" s="25">
        <f t="array" ref="X257">INDEX(N$5:N$67,MATCH($S257,$B$5:$B$67,0))</f>
        <v>93.5</v>
      </c>
      <c r="Y257" s="25">
        <f t="shared" si="313"/>
        <v>6518</v>
      </c>
      <c r="Z257" s="25">
        <f t="shared" si="314"/>
        <v>1567</v>
      </c>
      <c r="AA257" s="25">
        <f t="shared" si="315"/>
        <v>2154</v>
      </c>
      <c r="AB257" s="25">
        <f t="shared" si="316"/>
        <v>1590</v>
      </c>
      <c r="AF257" s="25">
        <v>179</v>
      </c>
      <c r="AG257" s="25">
        <f t="array" ref="AG257">INDEX($AE$79:$AE$116,QUOTIENT(AF257-1,8)+1)</f>
        <v>1030</v>
      </c>
      <c r="AH257" s="25">
        <f t="shared" si="345"/>
        <v>3</v>
      </c>
      <c r="AI257" s="25">
        <f t="shared" si="317"/>
        <v>10303</v>
      </c>
      <c r="AJ257" s="25" t="str">
        <f t="shared" si="318"/>
        <v>莫莉</v>
      </c>
      <c r="AK257" s="25">
        <f t="shared" si="346"/>
        <v>3</v>
      </c>
      <c r="AL257" s="25" t="str">
        <f t="array" ref="AL257">INDEX($O$5:$O$42,MATCH(AJ257,$B$5:$B$42,0))</f>
        <v>生命值百分比</v>
      </c>
      <c r="AM257" s="25" t="str">
        <f t="array" ref="AM257">INDEX($P$5:$P$42,MATCH(AJ257,$B$5:$B$42,0))</f>
        <v>攻击百分比</v>
      </c>
      <c r="AN257" s="25" t="str">
        <f t="array" ref="AN257">INDEX($Q$5:$Q$42,MATCH(AJ257,$B$5:$B$42,0))</f>
        <v>技能冷却等级</v>
      </c>
      <c r="AO257" s="25" t="str">
        <f t="array" ref="AO257">INDEX(AL257:AN257,0,AK257)</f>
        <v>技能冷却等级</v>
      </c>
      <c r="AP257" s="25">
        <f t="shared" si="304"/>
        <v>0.216666666666667</v>
      </c>
      <c r="AQ257" s="25">
        <f t="shared" si="319"/>
        <v>2816.66666666667</v>
      </c>
      <c r="AR257" s="25" t="str">
        <f t="shared" ref="AR257:BZ257" si="432">IF(AR$78=$AO257,$AQ257,"0")</f>
        <v>0</v>
      </c>
      <c r="AS257" s="25" t="str">
        <f t="shared" si="432"/>
        <v>0</v>
      </c>
      <c r="AT257" s="25" t="str">
        <f t="shared" si="432"/>
        <v>0</v>
      </c>
      <c r="AU257" s="25" t="str">
        <f t="shared" si="432"/>
        <v>0</v>
      </c>
      <c r="AV257" s="25" t="str">
        <f t="shared" si="432"/>
        <v>0</v>
      </c>
      <c r="AW257" s="25" t="str">
        <f t="shared" si="432"/>
        <v>0</v>
      </c>
      <c r="AX257" s="25" t="str">
        <f t="shared" si="432"/>
        <v>0</v>
      </c>
      <c r="AY257" s="25" t="str">
        <f t="shared" si="432"/>
        <v>0</v>
      </c>
      <c r="AZ257" s="25" t="str">
        <f t="shared" si="432"/>
        <v>0</v>
      </c>
      <c r="BA257" s="25" t="str">
        <f t="shared" si="432"/>
        <v>0</v>
      </c>
      <c r="BB257" s="25" t="str">
        <f t="shared" si="432"/>
        <v>0</v>
      </c>
      <c r="BC257" s="25" t="str">
        <f t="shared" si="432"/>
        <v>0</v>
      </c>
      <c r="BD257" s="25" t="str">
        <f t="shared" si="432"/>
        <v>0</v>
      </c>
      <c r="BE257" s="25" t="str">
        <f t="shared" si="432"/>
        <v>0</v>
      </c>
      <c r="BF257" s="25" t="str">
        <f t="shared" si="432"/>
        <v>0</v>
      </c>
      <c r="BG257" s="25" t="str">
        <f t="shared" si="432"/>
        <v>0</v>
      </c>
      <c r="BH257" s="25" t="str">
        <f t="shared" si="432"/>
        <v>0</v>
      </c>
      <c r="BI257" s="25" t="str">
        <f t="shared" si="432"/>
        <v>0</v>
      </c>
      <c r="BJ257" s="25" t="str">
        <f t="shared" si="432"/>
        <v>0</v>
      </c>
      <c r="BK257" s="25" t="str">
        <f t="shared" si="432"/>
        <v>0</v>
      </c>
      <c r="BL257" s="25" t="str">
        <f t="shared" si="432"/>
        <v>0</v>
      </c>
      <c r="BM257" s="25" t="str">
        <f t="shared" si="432"/>
        <v>0</v>
      </c>
      <c r="BN257" s="25" t="str">
        <f t="shared" si="432"/>
        <v>0</v>
      </c>
      <c r="BO257" s="25" t="str">
        <f t="shared" si="432"/>
        <v>0</v>
      </c>
      <c r="BP257" s="25" t="str">
        <f t="shared" si="432"/>
        <v>0</v>
      </c>
      <c r="BQ257" s="25" t="str">
        <f t="shared" si="432"/>
        <v>0</v>
      </c>
      <c r="BR257" s="25" t="str">
        <f t="shared" si="432"/>
        <v>0</v>
      </c>
      <c r="BS257" s="25" t="str">
        <f t="shared" si="432"/>
        <v>0</v>
      </c>
      <c r="BT257" s="25" t="str">
        <f t="shared" si="432"/>
        <v>0</v>
      </c>
      <c r="BU257" s="25" t="str">
        <f t="shared" si="432"/>
        <v>0</v>
      </c>
      <c r="BV257" s="25" t="str">
        <f t="shared" si="432"/>
        <v>0</v>
      </c>
      <c r="BW257" s="25" t="str">
        <f t="shared" si="432"/>
        <v>0</v>
      </c>
      <c r="BX257" s="25" t="str">
        <f t="shared" si="432"/>
        <v>0</v>
      </c>
      <c r="BY257" s="25" t="str">
        <f t="shared" si="432"/>
        <v>0</v>
      </c>
      <c r="BZ257" s="25">
        <f t="shared" si="432"/>
        <v>2816.66666666667</v>
      </c>
      <c r="CC257" s="25" t="str">
        <f t="array" ref="CC257">INDEX($C$46:$C$74,MATCH(CD257,$B$46:$B$74,0))</f>
        <v>霜狼战士</v>
      </c>
      <c r="CD257" s="29">
        <v>1037</v>
      </c>
      <c r="CE257" s="1">
        <v>3</v>
      </c>
      <c r="CF257" s="25" t="str">
        <f t="array" ref="CF257">INDEX($T$5:$T$44,MATCH(CC257,$B$5:$B$44,0))</f>
        <v>物理</v>
      </c>
      <c r="CG257" s="25">
        <f t="shared" si="342"/>
        <v>0.15</v>
      </c>
      <c r="CH257" s="25">
        <f t="shared" si="321"/>
        <v>1.15</v>
      </c>
      <c r="CI257" s="25">
        <f t="shared" si="322"/>
        <v>1.15</v>
      </c>
      <c r="CJ257" s="25">
        <f t="shared" si="323"/>
        <v>1</v>
      </c>
      <c r="CK257" s="25">
        <f t="shared" si="324"/>
        <v>1.15</v>
      </c>
      <c r="CL257" s="25" t="str">
        <f t="array" ref="CL257">INDEX($R$5:$R$43,MATCH(CC257,$B$5:$B$43,0))</f>
        <v>物理伤害加成</v>
      </c>
      <c r="CM257" s="25">
        <f t="shared" si="343"/>
        <v>0.3</v>
      </c>
      <c r="CN257" s="25">
        <f t="shared" si="325"/>
        <v>0.12</v>
      </c>
      <c r="CO257" s="25">
        <f t="shared" si="326"/>
        <v>1</v>
      </c>
      <c r="CP257" s="29" t="str">
        <f t="shared" ref="CP257:DQ257" si="433">IF($CL257=CP$78,$CN257,"0")</f>
        <v>0</v>
      </c>
      <c r="CQ257" s="29" t="str">
        <f t="shared" si="433"/>
        <v>0</v>
      </c>
      <c r="CR257" s="29" t="str">
        <f t="shared" si="433"/>
        <v>0</v>
      </c>
      <c r="CS257" s="29" t="str">
        <f t="shared" si="433"/>
        <v>0</v>
      </c>
      <c r="CT257" s="29" t="str">
        <f t="shared" si="433"/>
        <v>0</v>
      </c>
      <c r="CU257" s="29" t="str">
        <f t="shared" si="433"/>
        <v>0</v>
      </c>
      <c r="CV257" s="29" t="str">
        <f t="shared" si="433"/>
        <v>0</v>
      </c>
      <c r="CW257" s="29" t="str">
        <f t="shared" si="433"/>
        <v>0</v>
      </c>
      <c r="CX257" s="29" t="str">
        <f t="shared" si="433"/>
        <v>0</v>
      </c>
      <c r="CY257" s="29" t="str">
        <f t="shared" si="433"/>
        <v>0</v>
      </c>
      <c r="CZ257" s="29" t="str">
        <f t="shared" si="433"/>
        <v>0</v>
      </c>
      <c r="DA257" s="29" t="str">
        <f t="shared" si="433"/>
        <v>0</v>
      </c>
      <c r="DB257" s="29">
        <f t="shared" si="433"/>
        <v>0.12</v>
      </c>
      <c r="DC257" s="29" t="str">
        <f t="shared" si="433"/>
        <v>0</v>
      </c>
      <c r="DD257" s="29" t="str">
        <f t="shared" si="433"/>
        <v>0</v>
      </c>
      <c r="DE257" s="29" t="str">
        <f t="shared" si="433"/>
        <v>0</v>
      </c>
      <c r="DF257" s="29" t="str">
        <f t="shared" si="433"/>
        <v>0</v>
      </c>
      <c r="DG257" s="29" t="str">
        <f t="shared" si="433"/>
        <v>0</v>
      </c>
      <c r="DH257" s="29" t="str">
        <f t="shared" si="433"/>
        <v>0</v>
      </c>
      <c r="DI257" s="29" t="str">
        <f t="shared" si="433"/>
        <v>0</v>
      </c>
      <c r="DJ257" s="29" t="str">
        <f t="shared" si="433"/>
        <v>0</v>
      </c>
      <c r="DK257" s="29" t="str">
        <f t="shared" si="433"/>
        <v>0</v>
      </c>
      <c r="DL257" s="29" t="str">
        <f t="shared" si="433"/>
        <v>0</v>
      </c>
      <c r="DM257" s="29" t="str">
        <f t="shared" si="433"/>
        <v>0</v>
      </c>
      <c r="DN257" s="29" t="str">
        <f t="shared" si="433"/>
        <v>0</v>
      </c>
      <c r="DO257" s="29" t="str">
        <f t="shared" si="433"/>
        <v>0</v>
      </c>
      <c r="DP257" s="29" t="str">
        <f t="shared" si="433"/>
        <v>0</v>
      </c>
      <c r="DQ257" s="29" t="str">
        <f t="shared" si="433"/>
        <v>0</v>
      </c>
      <c r="DS257" s="25" t="s">
        <v>1011</v>
      </c>
      <c r="DT257" s="25" t="str">
        <f>TEXT(角色升星!$F$18,"0%")</f>
        <v>15%</v>
      </c>
      <c r="DU257" s="25" t="s">
        <v>779</v>
      </c>
      <c r="DV257" s="25" t="str">
        <f>IF(CF257="物理","PhysicsAttack,+","MagicAttack,+")</f>
        <v>PhysicsAttack,+</v>
      </c>
      <c r="DW257" s="25" t="str">
        <f>TEXT(角色升星!$F$18,"0%")</f>
        <v>15%</v>
      </c>
      <c r="DX257" s="25" t="s">
        <v>779</v>
      </c>
      <c r="DY257" s="25" t="s">
        <v>1012</v>
      </c>
      <c r="DZ257" s="25" t="str">
        <f>TEXT(角色升星!$F$18,"0%")</f>
        <v>15%</v>
      </c>
      <c r="EA257" s="25" t="s">
        <v>779</v>
      </c>
      <c r="EB257" s="25" t="str">
        <f>VLOOKUP(CL257,$O$46:$P$73,2,0)</f>
        <v>PhysicsDmgBonus</v>
      </c>
      <c r="EC257" s="25" t="s">
        <v>1013</v>
      </c>
      <c r="ED257" s="25" t="str">
        <f>IF(CN257&gt;1,CN257,TEXT(CN257,"0%"))</f>
        <v>12%</v>
      </c>
      <c r="EE257" s="25" t="str">
        <f t="shared" si="328"/>
        <v>Hp,+15%;PhysicsAttack,+15%;Armor,+15%;PhysicsDmgBonus,+12%</v>
      </c>
    </row>
    <row r="258" spans="1:135">
      <c r="A258" s="48">
        <v>1003060</v>
      </c>
      <c r="B258" s="49" t="s">
        <v>321</v>
      </c>
      <c r="C258" s="25">
        <f t="shared" si="299"/>
        <v>60</v>
      </c>
      <c r="D258" s="25">
        <f t="array" ref="D258">INDEX(C$5:C$67,MATCH($B258,$B$5:$B$67,0))</f>
        <v>7700</v>
      </c>
      <c r="E258" s="25">
        <f t="array" ref="E258">INDEX(D$5:D$67,MATCH($B258,$B$5:$B$67,0))</f>
        <v>616</v>
      </c>
      <c r="F258" s="25">
        <f t="array" ref="F258">INDEX(E$5:E$67,MATCH($B258,$B$5:$B$67,0))</f>
        <v>734</v>
      </c>
      <c r="G258" s="25">
        <f t="array" ref="G258">INDEX(F$5:F$67,MATCH($B258,$B$5:$B$67,0))</f>
        <v>58.72</v>
      </c>
      <c r="H258" s="25">
        <f t="array" ref="H258">INDEX(G$5:G$66,MATCH($B258,$B$5:$B$67,0))</f>
        <v>918</v>
      </c>
      <c r="I258" s="25">
        <f t="array" ref="I258">INDEX(H$5:H$67,MATCH($B258,$B$5:$B$67,0))</f>
        <v>73.44</v>
      </c>
      <c r="J258" s="25">
        <f t="array" ref="J258">INDEX(I$5:I$67,MATCH($B258,$B$5:$B$67,0))</f>
        <v>900</v>
      </c>
      <c r="K258" s="25">
        <f t="array" ref="K258">INDEX(J$5:J$67,MATCH($B258,$B$5:$B$67,0))</f>
        <v>72</v>
      </c>
      <c r="L258" s="25">
        <f t="shared" si="309"/>
        <v>44660</v>
      </c>
      <c r="M258" s="25">
        <f t="shared" si="310"/>
        <v>4257</v>
      </c>
      <c r="N258" s="25">
        <f t="shared" si="311"/>
        <v>5324</v>
      </c>
      <c r="O258" s="25">
        <f t="shared" si="312"/>
        <v>5220</v>
      </c>
      <c r="R258" s="50">
        <f t="array" ref="R258">INDEX($B$46:$B$68,MATCH(S258,$C$46:$C$68,0))*1000+T258</f>
        <v>1007018</v>
      </c>
      <c r="S258" s="51" t="s">
        <v>329</v>
      </c>
      <c r="T258" s="29">
        <f t="shared" si="385"/>
        <v>18</v>
      </c>
      <c r="U258" s="25">
        <f t="array" ref="U258">INDEX(K$5:K$67,MATCH($S258,$B$5:$B$67,0))</f>
        <v>383.4</v>
      </c>
      <c r="V258" s="25">
        <f t="array" ref="V258">INDEX(L$5:L$67,MATCH($S258,$B$5:$B$67,0))</f>
        <v>92.16</v>
      </c>
      <c r="W258" s="25">
        <f t="array" ref="W258">INDEX(M$5:M$67,MATCH($S258,$B$5:$B$67,0))</f>
        <v>126.72</v>
      </c>
      <c r="X258" s="25">
        <f t="array" ref="X258">INDEX(N$5:N$67,MATCH($S258,$B$5:$B$67,0))</f>
        <v>93.5</v>
      </c>
      <c r="Y258" s="25">
        <f t="shared" si="313"/>
        <v>6901</v>
      </c>
      <c r="Z258" s="25">
        <f t="shared" si="314"/>
        <v>1659</v>
      </c>
      <c r="AA258" s="25">
        <f t="shared" si="315"/>
        <v>2281</v>
      </c>
      <c r="AB258" s="25">
        <f t="shared" si="316"/>
        <v>1683</v>
      </c>
      <c r="AF258" s="25">
        <v>180</v>
      </c>
      <c r="AG258" s="25">
        <f t="array" ref="AG258">INDEX($AE$79:$AE$116,QUOTIENT(AF258-1,8)+1)</f>
        <v>1030</v>
      </c>
      <c r="AH258" s="25">
        <f t="shared" si="345"/>
        <v>4</v>
      </c>
      <c r="AI258" s="25">
        <f t="shared" si="317"/>
        <v>10304</v>
      </c>
      <c r="AJ258" s="25" t="str">
        <f t="shared" si="318"/>
        <v>莫莉</v>
      </c>
      <c r="AK258" s="25">
        <f t="shared" si="346"/>
        <v>2</v>
      </c>
      <c r="AL258" s="25" t="str">
        <f t="array" ref="AL258">INDEX($O$5:$O$42,MATCH(AJ258,$B$5:$B$42,0))</f>
        <v>生命值百分比</v>
      </c>
      <c r="AM258" s="25" t="str">
        <f t="array" ref="AM258">INDEX($P$5:$P$42,MATCH(AJ258,$B$5:$B$42,0))</f>
        <v>攻击百分比</v>
      </c>
      <c r="AN258" s="25" t="str">
        <f t="array" ref="AN258">INDEX($Q$5:$Q$42,MATCH(AJ258,$B$5:$B$42,0))</f>
        <v>技能冷却等级</v>
      </c>
      <c r="AO258" s="25" t="str">
        <f t="array" ref="AO258">INDEX(AL258:AN258,0,AK258)</f>
        <v>攻击百分比</v>
      </c>
      <c r="AP258" s="25">
        <f t="shared" si="304"/>
        <v>0.15</v>
      </c>
      <c r="AQ258" s="25">
        <f t="shared" si="319"/>
        <v>0.15</v>
      </c>
      <c r="AR258" s="25" t="str">
        <f t="shared" ref="AR258:BZ258" si="434">IF(AR$78=$AO258,$AQ258,"0")</f>
        <v>0</v>
      </c>
      <c r="AS258" s="25" t="str">
        <f t="shared" si="434"/>
        <v>0</v>
      </c>
      <c r="AT258" s="25" t="str">
        <f t="shared" si="434"/>
        <v>0</v>
      </c>
      <c r="AU258" s="25">
        <f t="shared" si="434"/>
        <v>0.15</v>
      </c>
      <c r="AV258" s="25" t="str">
        <f t="shared" si="434"/>
        <v>0</v>
      </c>
      <c r="AW258" s="25">
        <f t="shared" si="434"/>
        <v>0.15</v>
      </c>
      <c r="AX258" s="25" t="str">
        <f t="shared" si="434"/>
        <v>0</v>
      </c>
      <c r="AY258" s="25" t="str">
        <f t="shared" si="434"/>
        <v>0</v>
      </c>
      <c r="AZ258" s="25" t="str">
        <f t="shared" si="434"/>
        <v>0</v>
      </c>
      <c r="BA258" s="25" t="str">
        <f t="shared" si="434"/>
        <v>0</v>
      </c>
      <c r="BB258" s="25" t="str">
        <f t="shared" si="434"/>
        <v>0</v>
      </c>
      <c r="BC258" s="25" t="str">
        <f t="shared" si="434"/>
        <v>0</v>
      </c>
      <c r="BD258" s="25" t="str">
        <f t="shared" si="434"/>
        <v>0</v>
      </c>
      <c r="BE258" s="25" t="str">
        <f t="shared" si="434"/>
        <v>0</v>
      </c>
      <c r="BF258" s="25" t="str">
        <f t="shared" si="434"/>
        <v>0</v>
      </c>
      <c r="BG258" s="25" t="str">
        <f t="shared" si="434"/>
        <v>0</v>
      </c>
      <c r="BH258" s="25" t="str">
        <f t="shared" si="434"/>
        <v>0</v>
      </c>
      <c r="BI258" s="25" t="str">
        <f t="shared" si="434"/>
        <v>0</v>
      </c>
      <c r="BJ258" s="25" t="str">
        <f t="shared" si="434"/>
        <v>0</v>
      </c>
      <c r="BK258" s="25" t="str">
        <f t="shared" si="434"/>
        <v>0</v>
      </c>
      <c r="BL258" s="25" t="str">
        <f t="shared" si="434"/>
        <v>0</v>
      </c>
      <c r="BM258" s="25" t="str">
        <f t="shared" si="434"/>
        <v>0</v>
      </c>
      <c r="BN258" s="25" t="str">
        <f t="shared" si="434"/>
        <v>0</v>
      </c>
      <c r="BO258" s="25" t="str">
        <f t="shared" si="434"/>
        <v>0</v>
      </c>
      <c r="BP258" s="25" t="str">
        <f t="shared" si="434"/>
        <v>0</v>
      </c>
      <c r="BQ258" s="25" t="str">
        <f t="shared" si="434"/>
        <v>0</v>
      </c>
      <c r="BR258" s="25" t="str">
        <f t="shared" si="434"/>
        <v>0</v>
      </c>
      <c r="BS258" s="25" t="str">
        <f t="shared" si="434"/>
        <v>0</v>
      </c>
      <c r="BT258" s="25" t="str">
        <f t="shared" si="434"/>
        <v>0</v>
      </c>
      <c r="BU258" s="25" t="str">
        <f t="shared" si="434"/>
        <v>0</v>
      </c>
      <c r="BV258" s="25" t="str">
        <f t="shared" si="434"/>
        <v>0</v>
      </c>
      <c r="BW258" s="25" t="str">
        <f t="shared" si="434"/>
        <v>0</v>
      </c>
      <c r="BX258" s="25" t="str">
        <f t="shared" si="434"/>
        <v>0</v>
      </c>
      <c r="BY258" s="25" t="str">
        <f t="shared" si="434"/>
        <v>0</v>
      </c>
      <c r="BZ258" s="25" t="str">
        <f t="shared" si="434"/>
        <v>0</v>
      </c>
      <c r="CC258" s="25" t="str">
        <f t="array" ref="CC258">INDEX($C$46:$C$74,MATCH(CD258,$B$46:$B$74,0))</f>
        <v>霜狼战士</v>
      </c>
      <c r="CD258" s="29">
        <v>1037</v>
      </c>
      <c r="CE258" s="1">
        <v>4</v>
      </c>
      <c r="CF258" s="25" t="str">
        <f t="array" ref="CF258">INDEX($T$5:$T$44,MATCH(CC258,$B$5:$B$44,0))</f>
        <v>物理</v>
      </c>
      <c r="CG258" s="25">
        <f t="shared" si="342"/>
        <v>0.15</v>
      </c>
      <c r="CH258" s="25">
        <f t="shared" si="321"/>
        <v>1.15</v>
      </c>
      <c r="CI258" s="25">
        <f t="shared" si="322"/>
        <v>1.15</v>
      </c>
      <c r="CJ258" s="25">
        <f t="shared" si="323"/>
        <v>1</v>
      </c>
      <c r="CK258" s="25">
        <f t="shared" si="324"/>
        <v>1.15</v>
      </c>
      <c r="CL258" s="25">
        <v>0</v>
      </c>
      <c r="CM258" s="25">
        <f t="shared" si="343"/>
        <v>0</v>
      </c>
      <c r="CN258" s="25">
        <f t="shared" si="325"/>
        <v>0</v>
      </c>
      <c r="CO258" s="25">
        <f t="shared" si="326"/>
        <v>0</v>
      </c>
      <c r="CP258" s="29" t="str">
        <f t="shared" ref="CP258:DQ258" si="435">IF($CL258=CP$78,$CN258,"0")</f>
        <v>0</v>
      </c>
      <c r="CQ258" s="29" t="str">
        <f t="shared" si="435"/>
        <v>0</v>
      </c>
      <c r="CR258" s="29" t="str">
        <f t="shared" si="435"/>
        <v>0</v>
      </c>
      <c r="CS258" s="29" t="str">
        <f t="shared" si="435"/>
        <v>0</v>
      </c>
      <c r="CT258" s="29" t="str">
        <f t="shared" si="435"/>
        <v>0</v>
      </c>
      <c r="CU258" s="29" t="str">
        <f t="shared" si="435"/>
        <v>0</v>
      </c>
      <c r="CV258" s="29" t="str">
        <f t="shared" si="435"/>
        <v>0</v>
      </c>
      <c r="CW258" s="29" t="str">
        <f t="shared" si="435"/>
        <v>0</v>
      </c>
      <c r="CX258" s="29" t="str">
        <f t="shared" si="435"/>
        <v>0</v>
      </c>
      <c r="CY258" s="29" t="str">
        <f t="shared" si="435"/>
        <v>0</v>
      </c>
      <c r="CZ258" s="29" t="str">
        <f t="shared" si="435"/>
        <v>0</v>
      </c>
      <c r="DA258" s="29" t="str">
        <f t="shared" si="435"/>
        <v>0</v>
      </c>
      <c r="DB258" s="29" t="str">
        <f t="shared" si="435"/>
        <v>0</v>
      </c>
      <c r="DC258" s="29" t="str">
        <f t="shared" si="435"/>
        <v>0</v>
      </c>
      <c r="DD258" s="29" t="str">
        <f t="shared" si="435"/>
        <v>0</v>
      </c>
      <c r="DE258" s="29" t="str">
        <f t="shared" si="435"/>
        <v>0</v>
      </c>
      <c r="DF258" s="29" t="str">
        <f t="shared" si="435"/>
        <v>0</v>
      </c>
      <c r="DG258" s="29" t="str">
        <f t="shared" si="435"/>
        <v>0</v>
      </c>
      <c r="DH258" s="29" t="str">
        <f t="shared" si="435"/>
        <v>0</v>
      </c>
      <c r="DI258" s="29" t="str">
        <f t="shared" si="435"/>
        <v>0</v>
      </c>
      <c r="DJ258" s="29" t="str">
        <f t="shared" si="435"/>
        <v>0</v>
      </c>
      <c r="DK258" s="29" t="str">
        <f t="shared" si="435"/>
        <v>0</v>
      </c>
      <c r="DL258" s="29" t="str">
        <f t="shared" si="435"/>
        <v>0</v>
      </c>
      <c r="DM258" s="29" t="str">
        <f t="shared" si="435"/>
        <v>0</v>
      </c>
      <c r="DN258" s="29" t="str">
        <f t="shared" si="435"/>
        <v>0</v>
      </c>
      <c r="DO258" s="29" t="str">
        <f t="shared" si="435"/>
        <v>0</v>
      </c>
      <c r="DP258" s="29" t="str">
        <f t="shared" si="435"/>
        <v>0</v>
      </c>
      <c r="DQ258" s="29" t="str">
        <f t="shared" si="435"/>
        <v>0</v>
      </c>
      <c r="DS258" s="25">
        <v>0</v>
      </c>
      <c r="EE258" s="25" t="str">
        <f t="shared" si="328"/>
        <v>0</v>
      </c>
    </row>
    <row r="259" spans="1:135">
      <c r="A259" s="53">
        <v>1004001</v>
      </c>
      <c r="B259" s="49" t="s">
        <v>324</v>
      </c>
      <c r="C259" s="25">
        <f t="shared" si="299"/>
        <v>1</v>
      </c>
      <c r="D259" s="25">
        <f t="array" ref="D259">INDEX(C$5:C$67,MATCH($B259,$B$5:$B$67,0))</f>
        <v>5940</v>
      </c>
      <c r="E259" s="25">
        <f t="array" ref="E259">INDEX(D$5:D$67,MATCH($B259,$B$5:$B$67,0))</f>
        <v>475.2</v>
      </c>
      <c r="F259" s="25">
        <f t="array" ref="F259">INDEX(E$5:E$67,MATCH($B259,$B$5:$B$67,0))</f>
        <v>848</v>
      </c>
      <c r="G259" s="25">
        <f t="array" ref="G259">INDEX(F$5:F$67,MATCH($B259,$B$5:$B$67,0))</f>
        <v>67.84</v>
      </c>
      <c r="H259" s="25">
        <f t="array" ref="H259">INDEX(G$5:G$66,MATCH($B259,$B$5:$B$67,0))</f>
        <v>1103</v>
      </c>
      <c r="I259" s="25">
        <f t="array" ref="I259">INDEX(H$5:H$67,MATCH($B259,$B$5:$B$67,0))</f>
        <v>88.24</v>
      </c>
      <c r="J259" s="25">
        <f t="array" ref="J259">INDEX(I$5:I$67,MATCH($B259,$B$5:$B$67,0))</f>
        <v>1045</v>
      </c>
      <c r="K259" s="25">
        <f t="array" ref="K259">INDEX(J$5:J$67,MATCH($B259,$B$5:$B$67,0))</f>
        <v>83.6</v>
      </c>
      <c r="L259" s="25">
        <f t="shared" si="309"/>
        <v>6415</v>
      </c>
      <c r="M259" s="25">
        <f t="shared" si="310"/>
        <v>916</v>
      </c>
      <c r="N259" s="25">
        <f t="shared" si="311"/>
        <v>1191</v>
      </c>
      <c r="O259" s="25">
        <f t="shared" si="312"/>
        <v>1129</v>
      </c>
      <c r="R259" s="50">
        <f t="array" ref="R259">INDEX($B$46:$B$68,MATCH(S259,$C$46:$C$68,0))*1000+T259</f>
        <v>1007019</v>
      </c>
      <c r="S259" s="51" t="s">
        <v>329</v>
      </c>
      <c r="T259" s="29">
        <f t="shared" si="385"/>
        <v>19</v>
      </c>
      <c r="U259" s="25">
        <f t="array" ref="U259">INDEX(K$5:K$67,MATCH($S259,$B$5:$B$67,0))</f>
        <v>383.4</v>
      </c>
      <c r="V259" s="25">
        <f t="array" ref="V259">INDEX(L$5:L$67,MATCH($S259,$B$5:$B$67,0))</f>
        <v>92.16</v>
      </c>
      <c r="W259" s="25">
        <f t="array" ref="W259">INDEX(M$5:M$67,MATCH($S259,$B$5:$B$67,0))</f>
        <v>126.72</v>
      </c>
      <c r="X259" s="25">
        <f t="array" ref="X259">INDEX(N$5:N$67,MATCH($S259,$B$5:$B$67,0))</f>
        <v>93.5</v>
      </c>
      <c r="Y259" s="25">
        <f t="shared" si="313"/>
        <v>7285</v>
      </c>
      <c r="Z259" s="25">
        <f t="shared" si="314"/>
        <v>1751</v>
      </c>
      <c r="AA259" s="25">
        <f t="shared" si="315"/>
        <v>2408</v>
      </c>
      <c r="AB259" s="25">
        <f t="shared" si="316"/>
        <v>1777</v>
      </c>
      <c r="AF259" s="25">
        <v>181</v>
      </c>
      <c r="AG259" s="25">
        <f t="array" ref="AG259">INDEX($AE$79:$AE$116,QUOTIENT(AF259-1,8)+1)</f>
        <v>1030</v>
      </c>
      <c r="AH259" s="25">
        <f t="shared" si="345"/>
        <v>5</v>
      </c>
      <c r="AI259" s="25">
        <f t="shared" si="317"/>
        <v>10305</v>
      </c>
      <c r="AJ259" s="25" t="str">
        <f t="shared" si="318"/>
        <v>莫莉</v>
      </c>
      <c r="AK259" s="25">
        <f t="shared" si="346"/>
        <v>3</v>
      </c>
      <c r="AL259" s="25" t="str">
        <f t="array" ref="AL259">INDEX($O$5:$O$42,MATCH(AJ259,$B$5:$B$42,0))</f>
        <v>生命值百分比</v>
      </c>
      <c r="AM259" s="25" t="str">
        <f t="array" ref="AM259">INDEX($P$5:$P$42,MATCH(AJ259,$B$5:$B$42,0))</f>
        <v>攻击百分比</v>
      </c>
      <c r="AN259" s="25" t="str">
        <f t="array" ref="AN259">INDEX($Q$5:$Q$42,MATCH(AJ259,$B$5:$B$42,0))</f>
        <v>技能冷却等级</v>
      </c>
      <c r="AO259" s="25" t="str">
        <f t="array" ref="AO259">INDEX(AL259:AN259,0,AK259)</f>
        <v>技能冷却等级</v>
      </c>
      <c r="AP259" s="25">
        <f t="shared" si="304"/>
        <v>0.216666666666667</v>
      </c>
      <c r="AQ259" s="25">
        <f t="shared" si="319"/>
        <v>2816.66666666667</v>
      </c>
      <c r="AR259" s="25" t="str">
        <f t="shared" ref="AR259:BZ259" si="436">IF(AR$78=$AO259,$AQ259,"0")</f>
        <v>0</v>
      </c>
      <c r="AS259" s="25" t="str">
        <f t="shared" si="436"/>
        <v>0</v>
      </c>
      <c r="AT259" s="25" t="str">
        <f t="shared" si="436"/>
        <v>0</v>
      </c>
      <c r="AU259" s="25" t="str">
        <f t="shared" si="436"/>
        <v>0</v>
      </c>
      <c r="AV259" s="25" t="str">
        <f t="shared" si="436"/>
        <v>0</v>
      </c>
      <c r="AW259" s="25" t="str">
        <f t="shared" si="436"/>
        <v>0</v>
      </c>
      <c r="AX259" s="25" t="str">
        <f t="shared" si="436"/>
        <v>0</v>
      </c>
      <c r="AY259" s="25" t="str">
        <f t="shared" si="436"/>
        <v>0</v>
      </c>
      <c r="AZ259" s="25" t="str">
        <f t="shared" si="436"/>
        <v>0</v>
      </c>
      <c r="BA259" s="25" t="str">
        <f t="shared" si="436"/>
        <v>0</v>
      </c>
      <c r="BB259" s="25" t="str">
        <f t="shared" si="436"/>
        <v>0</v>
      </c>
      <c r="BC259" s="25" t="str">
        <f t="shared" si="436"/>
        <v>0</v>
      </c>
      <c r="BD259" s="25" t="str">
        <f t="shared" si="436"/>
        <v>0</v>
      </c>
      <c r="BE259" s="25" t="str">
        <f t="shared" si="436"/>
        <v>0</v>
      </c>
      <c r="BF259" s="25" t="str">
        <f t="shared" si="436"/>
        <v>0</v>
      </c>
      <c r="BG259" s="25" t="str">
        <f t="shared" si="436"/>
        <v>0</v>
      </c>
      <c r="BH259" s="25" t="str">
        <f t="shared" si="436"/>
        <v>0</v>
      </c>
      <c r="BI259" s="25" t="str">
        <f t="shared" si="436"/>
        <v>0</v>
      </c>
      <c r="BJ259" s="25" t="str">
        <f t="shared" si="436"/>
        <v>0</v>
      </c>
      <c r="BK259" s="25" t="str">
        <f t="shared" si="436"/>
        <v>0</v>
      </c>
      <c r="BL259" s="25" t="str">
        <f t="shared" si="436"/>
        <v>0</v>
      </c>
      <c r="BM259" s="25" t="str">
        <f t="shared" si="436"/>
        <v>0</v>
      </c>
      <c r="BN259" s="25" t="str">
        <f t="shared" si="436"/>
        <v>0</v>
      </c>
      <c r="BO259" s="25" t="str">
        <f t="shared" si="436"/>
        <v>0</v>
      </c>
      <c r="BP259" s="25" t="str">
        <f t="shared" si="436"/>
        <v>0</v>
      </c>
      <c r="BQ259" s="25" t="str">
        <f t="shared" si="436"/>
        <v>0</v>
      </c>
      <c r="BR259" s="25" t="str">
        <f t="shared" si="436"/>
        <v>0</v>
      </c>
      <c r="BS259" s="25" t="str">
        <f t="shared" si="436"/>
        <v>0</v>
      </c>
      <c r="BT259" s="25" t="str">
        <f t="shared" si="436"/>
        <v>0</v>
      </c>
      <c r="BU259" s="25" t="str">
        <f t="shared" si="436"/>
        <v>0</v>
      </c>
      <c r="BV259" s="25" t="str">
        <f t="shared" si="436"/>
        <v>0</v>
      </c>
      <c r="BW259" s="25" t="str">
        <f t="shared" si="436"/>
        <v>0</v>
      </c>
      <c r="BX259" s="25" t="str">
        <f t="shared" si="436"/>
        <v>0</v>
      </c>
      <c r="BY259" s="25" t="str">
        <f t="shared" si="436"/>
        <v>0</v>
      </c>
      <c r="BZ259" s="25">
        <f t="shared" si="436"/>
        <v>2816.66666666667</v>
      </c>
      <c r="CC259" s="25" t="str">
        <f t="array" ref="CC259">INDEX($C$46:$C$74,MATCH(CD259,$B$46:$B$74,0))</f>
        <v>霜狼战士</v>
      </c>
      <c r="CD259" s="29">
        <v>1037</v>
      </c>
      <c r="CE259" s="1">
        <v>5</v>
      </c>
      <c r="CF259" s="25" t="str">
        <f t="array" ref="CF259">INDEX($T$5:$T$44,MATCH(CC259,$B$5:$B$44,0))</f>
        <v>物理</v>
      </c>
      <c r="CG259" s="25">
        <f t="shared" si="342"/>
        <v>0.3</v>
      </c>
      <c r="CH259" s="25">
        <f t="shared" si="321"/>
        <v>1.3</v>
      </c>
      <c r="CI259" s="25">
        <f t="shared" si="322"/>
        <v>1.3</v>
      </c>
      <c r="CJ259" s="25">
        <f t="shared" si="323"/>
        <v>1</v>
      </c>
      <c r="CK259" s="25">
        <f t="shared" si="324"/>
        <v>1.3</v>
      </c>
      <c r="CL259" s="25" t="str">
        <f t="array" ref="CL259">INDEX($S$5:$S$43,MATCH(CC259,$B$5:$B$43,0))</f>
        <v>暴击伤害等级</v>
      </c>
      <c r="CM259" s="25">
        <f t="shared" si="343"/>
        <v>0.3</v>
      </c>
      <c r="CN259" s="25">
        <f t="shared" si="325"/>
        <v>3300</v>
      </c>
      <c r="CO259" s="25">
        <f t="shared" si="326"/>
        <v>1</v>
      </c>
      <c r="CP259" s="29" t="str">
        <f t="shared" ref="CP259:DQ259" si="437">IF($CL259=CP$78,$CN259,"0")</f>
        <v>0</v>
      </c>
      <c r="CQ259" s="29" t="str">
        <f t="shared" si="437"/>
        <v>0</v>
      </c>
      <c r="CR259" s="29" t="str">
        <f t="shared" si="437"/>
        <v>0</v>
      </c>
      <c r="CS259" s="29" t="str">
        <f t="shared" si="437"/>
        <v>0</v>
      </c>
      <c r="CT259" s="29" t="str">
        <f t="shared" si="437"/>
        <v>0</v>
      </c>
      <c r="CU259" s="29" t="str">
        <f t="shared" si="437"/>
        <v>0</v>
      </c>
      <c r="CV259" s="29" t="str">
        <f t="shared" si="437"/>
        <v>0</v>
      </c>
      <c r="CW259" s="29" t="str">
        <f t="shared" si="437"/>
        <v>0</v>
      </c>
      <c r="CX259" s="29" t="str">
        <f t="shared" si="437"/>
        <v>0</v>
      </c>
      <c r="CY259" s="29" t="str">
        <f t="shared" si="437"/>
        <v>0</v>
      </c>
      <c r="CZ259" s="29" t="str">
        <f t="shared" si="437"/>
        <v>0</v>
      </c>
      <c r="DA259" s="29" t="str">
        <f t="shared" si="437"/>
        <v>0</v>
      </c>
      <c r="DB259" s="29" t="str">
        <f t="shared" si="437"/>
        <v>0</v>
      </c>
      <c r="DC259" s="29" t="str">
        <f t="shared" si="437"/>
        <v>0</v>
      </c>
      <c r="DD259" s="29" t="str">
        <f t="shared" si="437"/>
        <v>0</v>
      </c>
      <c r="DE259" s="29" t="str">
        <f t="shared" si="437"/>
        <v>0</v>
      </c>
      <c r="DF259" s="29" t="str">
        <f t="shared" si="437"/>
        <v>0</v>
      </c>
      <c r="DG259" s="29" t="str">
        <f t="shared" si="437"/>
        <v>0</v>
      </c>
      <c r="DH259" s="29" t="str">
        <f t="shared" si="437"/>
        <v>0</v>
      </c>
      <c r="DI259" s="29" t="str">
        <f t="shared" si="437"/>
        <v>0</v>
      </c>
      <c r="DJ259" s="29" t="str">
        <f t="shared" si="437"/>
        <v>0</v>
      </c>
      <c r="DK259" s="29" t="str">
        <f t="shared" si="437"/>
        <v>0</v>
      </c>
      <c r="DL259" s="29" t="str">
        <f t="shared" si="437"/>
        <v>0</v>
      </c>
      <c r="DM259" s="29" t="str">
        <f t="shared" si="437"/>
        <v>0</v>
      </c>
      <c r="DN259" s="29" t="str">
        <f t="shared" si="437"/>
        <v>0</v>
      </c>
      <c r="DO259" s="29">
        <f t="shared" si="437"/>
        <v>3300</v>
      </c>
      <c r="DP259" s="29" t="str">
        <f t="shared" si="437"/>
        <v>0</v>
      </c>
      <c r="DQ259" s="29" t="str">
        <f t="shared" si="437"/>
        <v>0</v>
      </c>
      <c r="DS259" s="25" t="s">
        <v>1011</v>
      </c>
      <c r="DT259" s="25" t="str">
        <f>TEXT(角色升星!$F$18,"0%")</f>
        <v>15%</v>
      </c>
      <c r="DU259" s="25" t="s">
        <v>779</v>
      </c>
      <c r="DV259" s="25" t="str">
        <f>IF(CF259="物理","PhysicsAttack,+","MagicAttack,+")</f>
        <v>PhysicsAttack,+</v>
      </c>
      <c r="DW259" s="25" t="str">
        <f>TEXT(角色升星!$F$18,"0%")</f>
        <v>15%</v>
      </c>
      <c r="DX259" s="25" t="s">
        <v>779</v>
      </c>
      <c r="DY259" s="25" t="s">
        <v>1012</v>
      </c>
      <c r="DZ259" s="25" t="str">
        <f>TEXT(角色升星!$F$18,"0%")</f>
        <v>15%</v>
      </c>
      <c r="EA259" s="25" t="s">
        <v>779</v>
      </c>
      <c r="EB259" s="25" t="str">
        <f>VLOOKUP(CL259,$O$46:$P$73,2,0)</f>
        <v>CritDmgBonusLevel</v>
      </c>
      <c r="EC259" s="25" t="s">
        <v>1013</v>
      </c>
      <c r="ED259" s="25">
        <f>IF(CN259&gt;1,CN259,TEXT(CN259,"0%"))</f>
        <v>3300</v>
      </c>
      <c r="EE259" s="25" t="str">
        <f t="shared" si="328"/>
        <v>Hp,+15%;PhysicsAttack,+15%;Armor,+15%;CritDmgBonusLevel,+3300</v>
      </c>
    </row>
    <row r="260" spans="1:135">
      <c r="A260" s="53">
        <v>1004002</v>
      </c>
      <c r="B260" s="49" t="s">
        <v>324</v>
      </c>
      <c r="C260" s="25">
        <f t="shared" si="299"/>
        <v>2</v>
      </c>
      <c r="D260" s="25">
        <f t="array" ref="D260">INDEX(C$5:C$67,MATCH($B260,$B$5:$B$67,0))</f>
        <v>5940</v>
      </c>
      <c r="E260" s="25">
        <f t="array" ref="E260">INDEX(D$5:D$67,MATCH($B260,$B$5:$B$67,0))</f>
        <v>475.2</v>
      </c>
      <c r="F260" s="25">
        <f t="array" ref="F260">INDEX(E$5:E$67,MATCH($B260,$B$5:$B$67,0))</f>
        <v>848</v>
      </c>
      <c r="G260" s="25">
        <f t="array" ref="G260">INDEX(F$5:F$67,MATCH($B260,$B$5:$B$67,0))</f>
        <v>67.84</v>
      </c>
      <c r="H260" s="25">
        <f t="array" ref="H260">INDEX(G$5:G$66,MATCH($B260,$B$5:$B$67,0))</f>
        <v>1103</v>
      </c>
      <c r="I260" s="25">
        <f t="array" ref="I260">INDEX(H$5:H$67,MATCH($B260,$B$5:$B$67,0))</f>
        <v>88.24</v>
      </c>
      <c r="J260" s="25">
        <f t="array" ref="J260">INDEX(I$5:I$67,MATCH($B260,$B$5:$B$67,0))</f>
        <v>1045</v>
      </c>
      <c r="K260" s="25">
        <f t="array" ref="K260">INDEX(J$5:J$67,MATCH($B260,$B$5:$B$67,0))</f>
        <v>83.6</v>
      </c>
      <c r="L260" s="25">
        <f t="shared" si="309"/>
        <v>6890</v>
      </c>
      <c r="M260" s="25">
        <f t="shared" si="310"/>
        <v>984</v>
      </c>
      <c r="N260" s="25">
        <f t="shared" si="311"/>
        <v>1279</v>
      </c>
      <c r="O260" s="25">
        <f t="shared" si="312"/>
        <v>1212</v>
      </c>
      <c r="R260" s="50">
        <f t="array" ref="R260">INDEX($B$46:$B$68,MATCH(S260,$C$46:$C$68,0))*1000+T260</f>
        <v>1007020</v>
      </c>
      <c r="S260" s="51" t="s">
        <v>329</v>
      </c>
      <c r="T260" s="29">
        <f t="shared" si="385"/>
        <v>20</v>
      </c>
      <c r="U260" s="25">
        <f t="array" ref="U260">INDEX(K$5:K$67,MATCH($S260,$B$5:$B$67,0))</f>
        <v>383.4</v>
      </c>
      <c r="V260" s="25">
        <f t="array" ref="V260">INDEX(L$5:L$67,MATCH($S260,$B$5:$B$67,0))</f>
        <v>92.16</v>
      </c>
      <c r="W260" s="25">
        <f t="array" ref="W260">INDEX(M$5:M$67,MATCH($S260,$B$5:$B$67,0))</f>
        <v>126.72</v>
      </c>
      <c r="X260" s="25">
        <f t="array" ref="X260">INDEX(N$5:N$67,MATCH($S260,$B$5:$B$67,0))</f>
        <v>93.5</v>
      </c>
      <c r="Y260" s="25">
        <f t="shared" si="313"/>
        <v>7668</v>
      </c>
      <c r="Z260" s="25">
        <f t="shared" si="314"/>
        <v>1843</v>
      </c>
      <c r="AA260" s="25">
        <f t="shared" si="315"/>
        <v>2534</v>
      </c>
      <c r="AB260" s="25">
        <f t="shared" si="316"/>
        <v>1870</v>
      </c>
      <c r="AF260" s="25">
        <v>182</v>
      </c>
      <c r="AG260" s="25">
        <f t="array" ref="AG260">INDEX($AE$79:$AE$116,QUOTIENT(AF260-1,8)+1)</f>
        <v>1030</v>
      </c>
      <c r="AH260" s="25">
        <f t="shared" si="345"/>
        <v>6</v>
      </c>
      <c r="AI260" s="25">
        <f t="shared" si="317"/>
        <v>10306</v>
      </c>
      <c r="AJ260" s="25" t="str">
        <f t="shared" si="318"/>
        <v>莫莉</v>
      </c>
      <c r="AK260" s="25">
        <f t="shared" si="346"/>
        <v>1</v>
      </c>
      <c r="AL260" s="25" t="str">
        <f t="array" ref="AL260">INDEX($O$5:$O$42,MATCH(AJ260,$B$5:$B$42,0))</f>
        <v>生命值百分比</v>
      </c>
      <c r="AM260" s="25" t="str">
        <f t="array" ref="AM260">INDEX($P$5:$P$42,MATCH(AJ260,$B$5:$B$42,0))</f>
        <v>攻击百分比</v>
      </c>
      <c r="AN260" s="25" t="str">
        <f t="array" ref="AN260">INDEX($Q$5:$Q$42,MATCH(AJ260,$B$5:$B$42,0))</f>
        <v>技能冷却等级</v>
      </c>
      <c r="AO260" s="25" t="str">
        <f t="array" ref="AO260">INDEX(AL260:AN260,0,AK260)</f>
        <v>生命值百分比</v>
      </c>
      <c r="AP260" s="25">
        <f t="shared" si="304"/>
        <v>0.216666666666667</v>
      </c>
      <c r="AQ260" s="25">
        <f t="shared" si="319"/>
        <v>0.216666666666667</v>
      </c>
      <c r="AR260" s="25" t="str">
        <f t="shared" ref="AR260:BZ260" si="438">IF(AR$78=$AO260,$AQ260,"0")</f>
        <v>0</v>
      </c>
      <c r="AS260" s="25">
        <f t="shared" si="438"/>
        <v>0.216666666666667</v>
      </c>
      <c r="AT260" s="25" t="str">
        <f t="shared" si="438"/>
        <v>0</v>
      </c>
      <c r="AU260" s="25" t="str">
        <f t="shared" si="438"/>
        <v>0</v>
      </c>
      <c r="AV260" s="25" t="str">
        <f t="shared" si="438"/>
        <v>0</v>
      </c>
      <c r="AW260" s="25" t="str">
        <f t="shared" si="438"/>
        <v>0</v>
      </c>
      <c r="AX260" s="25" t="str">
        <f t="shared" si="438"/>
        <v>0</v>
      </c>
      <c r="AY260" s="25" t="str">
        <f t="shared" si="438"/>
        <v>0</v>
      </c>
      <c r="AZ260" s="25" t="str">
        <f t="shared" si="438"/>
        <v>0</v>
      </c>
      <c r="BA260" s="25" t="str">
        <f t="shared" si="438"/>
        <v>0</v>
      </c>
      <c r="BB260" s="25" t="str">
        <f t="shared" si="438"/>
        <v>0</v>
      </c>
      <c r="BC260" s="25" t="str">
        <f t="shared" si="438"/>
        <v>0</v>
      </c>
      <c r="BD260" s="25" t="str">
        <f t="shared" si="438"/>
        <v>0</v>
      </c>
      <c r="BE260" s="25" t="str">
        <f t="shared" si="438"/>
        <v>0</v>
      </c>
      <c r="BF260" s="25" t="str">
        <f t="shared" si="438"/>
        <v>0</v>
      </c>
      <c r="BG260" s="25" t="str">
        <f t="shared" si="438"/>
        <v>0</v>
      </c>
      <c r="BH260" s="25" t="str">
        <f t="shared" si="438"/>
        <v>0</v>
      </c>
      <c r="BI260" s="25" t="str">
        <f t="shared" si="438"/>
        <v>0</v>
      </c>
      <c r="BJ260" s="25" t="str">
        <f t="shared" si="438"/>
        <v>0</v>
      </c>
      <c r="BK260" s="25" t="str">
        <f t="shared" si="438"/>
        <v>0</v>
      </c>
      <c r="BL260" s="25" t="str">
        <f t="shared" si="438"/>
        <v>0</v>
      </c>
      <c r="BM260" s="25" t="str">
        <f t="shared" si="438"/>
        <v>0</v>
      </c>
      <c r="BN260" s="25" t="str">
        <f t="shared" si="438"/>
        <v>0</v>
      </c>
      <c r="BO260" s="25" t="str">
        <f t="shared" si="438"/>
        <v>0</v>
      </c>
      <c r="BP260" s="25" t="str">
        <f t="shared" si="438"/>
        <v>0</v>
      </c>
      <c r="BQ260" s="25" t="str">
        <f t="shared" si="438"/>
        <v>0</v>
      </c>
      <c r="BR260" s="25" t="str">
        <f t="shared" si="438"/>
        <v>0</v>
      </c>
      <c r="BS260" s="25" t="str">
        <f t="shared" si="438"/>
        <v>0</v>
      </c>
      <c r="BT260" s="25" t="str">
        <f t="shared" si="438"/>
        <v>0</v>
      </c>
      <c r="BU260" s="25" t="str">
        <f t="shared" si="438"/>
        <v>0</v>
      </c>
      <c r="BV260" s="25" t="str">
        <f t="shared" si="438"/>
        <v>0</v>
      </c>
      <c r="BW260" s="25" t="str">
        <f t="shared" si="438"/>
        <v>0</v>
      </c>
      <c r="BX260" s="25" t="str">
        <f t="shared" si="438"/>
        <v>0</v>
      </c>
      <c r="BY260" s="25" t="str">
        <f t="shared" si="438"/>
        <v>0</v>
      </c>
      <c r="BZ260" s="25" t="str">
        <f t="shared" si="438"/>
        <v>0</v>
      </c>
      <c r="CC260" s="25" t="str">
        <f t="array" ref="CC260">INDEX($C$46:$C$74,MATCH(CD260,$B$46:$B$74,0))</f>
        <v>霜狼战士</v>
      </c>
      <c r="CD260" s="29">
        <v>1037</v>
      </c>
      <c r="CE260" s="1">
        <v>6</v>
      </c>
      <c r="CF260" s="25" t="str">
        <f t="array" ref="CF260">INDEX($T$5:$T$44,MATCH(CC260,$B$5:$B$44,0))</f>
        <v>物理</v>
      </c>
      <c r="CG260" s="25">
        <f t="shared" si="342"/>
        <v>0.3</v>
      </c>
      <c r="CH260" s="25">
        <f t="shared" si="321"/>
        <v>1.3</v>
      </c>
      <c r="CI260" s="25">
        <f t="shared" si="322"/>
        <v>1.3</v>
      </c>
      <c r="CJ260" s="25">
        <f t="shared" si="323"/>
        <v>1</v>
      </c>
      <c r="CK260" s="25">
        <f t="shared" si="324"/>
        <v>1.3</v>
      </c>
      <c r="CL260" s="25">
        <v>0</v>
      </c>
      <c r="CM260" s="25">
        <f t="shared" si="343"/>
        <v>0</v>
      </c>
      <c r="CN260" s="25">
        <f t="shared" si="325"/>
        <v>0</v>
      </c>
      <c r="CO260" s="25">
        <f t="shared" si="326"/>
        <v>0</v>
      </c>
      <c r="CP260" s="29" t="str">
        <f t="shared" ref="CP260:DQ260" si="439">IF($CL260=CP$78,$CN260,"0")</f>
        <v>0</v>
      </c>
      <c r="CQ260" s="29" t="str">
        <f t="shared" si="439"/>
        <v>0</v>
      </c>
      <c r="CR260" s="29" t="str">
        <f t="shared" si="439"/>
        <v>0</v>
      </c>
      <c r="CS260" s="29" t="str">
        <f t="shared" si="439"/>
        <v>0</v>
      </c>
      <c r="CT260" s="29" t="str">
        <f t="shared" si="439"/>
        <v>0</v>
      </c>
      <c r="CU260" s="29" t="str">
        <f t="shared" si="439"/>
        <v>0</v>
      </c>
      <c r="CV260" s="29" t="str">
        <f t="shared" si="439"/>
        <v>0</v>
      </c>
      <c r="CW260" s="29" t="str">
        <f t="shared" si="439"/>
        <v>0</v>
      </c>
      <c r="CX260" s="29" t="str">
        <f t="shared" si="439"/>
        <v>0</v>
      </c>
      <c r="CY260" s="29" t="str">
        <f t="shared" si="439"/>
        <v>0</v>
      </c>
      <c r="CZ260" s="29" t="str">
        <f t="shared" si="439"/>
        <v>0</v>
      </c>
      <c r="DA260" s="29" t="str">
        <f t="shared" si="439"/>
        <v>0</v>
      </c>
      <c r="DB260" s="29" t="str">
        <f t="shared" si="439"/>
        <v>0</v>
      </c>
      <c r="DC260" s="29" t="str">
        <f t="shared" si="439"/>
        <v>0</v>
      </c>
      <c r="DD260" s="29" t="str">
        <f t="shared" si="439"/>
        <v>0</v>
      </c>
      <c r="DE260" s="29" t="str">
        <f t="shared" si="439"/>
        <v>0</v>
      </c>
      <c r="DF260" s="29" t="str">
        <f t="shared" si="439"/>
        <v>0</v>
      </c>
      <c r="DG260" s="29" t="str">
        <f t="shared" si="439"/>
        <v>0</v>
      </c>
      <c r="DH260" s="29" t="str">
        <f t="shared" si="439"/>
        <v>0</v>
      </c>
      <c r="DI260" s="29" t="str">
        <f t="shared" si="439"/>
        <v>0</v>
      </c>
      <c r="DJ260" s="29" t="str">
        <f t="shared" si="439"/>
        <v>0</v>
      </c>
      <c r="DK260" s="29" t="str">
        <f t="shared" si="439"/>
        <v>0</v>
      </c>
      <c r="DL260" s="29" t="str">
        <f t="shared" si="439"/>
        <v>0</v>
      </c>
      <c r="DM260" s="29" t="str">
        <f t="shared" si="439"/>
        <v>0</v>
      </c>
      <c r="DN260" s="29" t="str">
        <f t="shared" si="439"/>
        <v>0</v>
      </c>
      <c r="DO260" s="29" t="str">
        <f t="shared" si="439"/>
        <v>0</v>
      </c>
      <c r="DP260" s="29" t="str">
        <f t="shared" si="439"/>
        <v>0</v>
      </c>
      <c r="DQ260" s="29" t="str">
        <f t="shared" si="439"/>
        <v>0</v>
      </c>
      <c r="DS260" s="25">
        <v>0</v>
      </c>
      <c r="EE260" s="25" t="str">
        <f t="shared" si="328"/>
        <v>0</v>
      </c>
    </row>
    <row r="261" spans="1:135">
      <c r="A261" s="53">
        <v>1004003</v>
      </c>
      <c r="B261" s="49" t="s">
        <v>324</v>
      </c>
      <c r="C261" s="25">
        <f t="shared" si="299"/>
        <v>3</v>
      </c>
      <c r="D261" s="25">
        <f t="array" ref="D261">INDEX(C$5:C$67,MATCH($B261,$B$5:$B$67,0))</f>
        <v>5940</v>
      </c>
      <c r="E261" s="25">
        <f t="array" ref="E261">INDEX(D$5:D$67,MATCH($B261,$B$5:$B$67,0))</f>
        <v>475.2</v>
      </c>
      <c r="F261" s="25">
        <f t="array" ref="F261">INDEX(E$5:E$67,MATCH($B261,$B$5:$B$67,0))</f>
        <v>848</v>
      </c>
      <c r="G261" s="25">
        <f t="array" ref="G261">INDEX(F$5:F$67,MATCH($B261,$B$5:$B$67,0))</f>
        <v>67.84</v>
      </c>
      <c r="H261" s="25">
        <f t="array" ref="H261">INDEX(G$5:G$66,MATCH($B261,$B$5:$B$67,0))</f>
        <v>1103</v>
      </c>
      <c r="I261" s="25">
        <f t="array" ref="I261">INDEX(H$5:H$67,MATCH($B261,$B$5:$B$67,0))</f>
        <v>88.24</v>
      </c>
      <c r="J261" s="25">
        <f t="array" ref="J261">INDEX(I$5:I$67,MATCH($B261,$B$5:$B$67,0))</f>
        <v>1045</v>
      </c>
      <c r="K261" s="25">
        <f t="array" ref="K261">INDEX(J$5:J$67,MATCH($B261,$B$5:$B$67,0))</f>
        <v>83.6</v>
      </c>
      <c r="L261" s="25">
        <f t="shared" si="309"/>
        <v>7366</v>
      </c>
      <c r="M261" s="25">
        <f t="shared" si="310"/>
        <v>1052</v>
      </c>
      <c r="N261" s="25">
        <f t="shared" si="311"/>
        <v>1368</v>
      </c>
      <c r="O261" s="25">
        <f t="shared" si="312"/>
        <v>1296</v>
      </c>
      <c r="R261" s="50">
        <f t="array" ref="R261">INDEX($B$46:$B$68,MATCH(S261,$C$46:$C$68,0))*1000+T261</f>
        <v>1007021</v>
      </c>
      <c r="S261" s="51" t="s">
        <v>329</v>
      </c>
      <c r="T261" s="29">
        <f t="shared" si="385"/>
        <v>21</v>
      </c>
      <c r="U261" s="25">
        <f t="array" ref="U261">INDEX(K$5:K$67,MATCH($S261,$B$5:$B$67,0))</f>
        <v>383.4</v>
      </c>
      <c r="V261" s="25">
        <f t="array" ref="V261">INDEX(L$5:L$67,MATCH($S261,$B$5:$B$67,0))</f>
        <v>92.16</v>
      </c>
      <c r="W261" s="25">
        <f t="array" ref="W261">INDEX(M$5:M$67,MATCH($S261,$B$5:$B$67,0))</f>
        <v>126.72</v>
      </c>
      <c r="X261" s="25">
        <f t="array" ref="X261">INDEX(N$5:N$67,MATCH($S261,$B$5:$B$67,0))</f>
        <v>93.5</v>
      </c>
      <c r="Y261" s="25">
        <f t="shared" si="313"/>
        <v>8051</v>
      </c>
      <c r="Z261" s="25">
        <f t="shared" si="314"/>
        <v>1935</v>
      </c>
      <c r="AA261" s="25">
        <f t="shared" si="315"/>
        <v>2661</v>
      </c>
      <c r="AB261" s="25">
        <f t="shared" si="316"/>
        <v>1964</v>
      </c>
      <c r="AF261" s="25">
        <v>183</v>
      </c>
      <c r="AG261" s="25">
        <f t="array" ref="AG261">INDEX($AE$79:$AE$116,QUOTIENT(AF261-1,8)+1)</f>
        <v>1030</v>
      </c>
      <c r="AH261" s="25">
        <f t="shared" si="345"/>
        <v>7</v>
      </c>
      <c r="AI261" s="25">
        <f t="shared" si="317"/>
        <v>10307</v>
      </c>
      <c r="AJ261" s="25" t="str">
        <f t="shared" si="318"/>
        <v>莫莉</v>
      </c>
      <c r="AK261" s="25">
        <f t="shared" si="346"/>
        <v>2</v>
      </c>
      <c r="AL261" s="25" t="str">
        <f t="array" ref="AL261">INDEX($O$5:$O$42,MATCH(AJ261,$B$5:$B$42,0))</f>
        <v>生命值百分比</v>
      </c>
      <c r="AM261" s="25" t="str">
        <f t="array" ref="AM261">INDEX($P$5:$P$42,MATCH(AJ261,$B$5:$B$42,0))</f>
        <v>攻击百分比</v>
      </c>
      <c r="AN261" s="25" t="str">
        <f t="array" ref="AN261">INDEX($Q$5:$Q$42,MATCH(AJ261,$B$5:$B$42,0))</f>
        <v>技能冷却等级</v>
      </c>
      <c r="AO261" s="25" t="str">
        <f t="array" ref="AO261">INDEX(AL261:AN261,0,AK261)</f>
        <v>攻击百分比</v>
      </c>
      <c r="AP261" s="25">
        <f t="shared" si="304"/>
        <v>0.15</v>
      </c>
      <c r="AQ261" s="25">
        <f t="shared" si="319"/>
        <v>0.15</v>
      </c>
      <c r="AR261" s="25" t="str">
        <f t="shared" ref="AR261:BZ261" si="440">IF(AR$78=$AO261,$AQ261,"0")</f>
        <v>0</v>
      </c>
      <c r="AS261" s="25" t="str">
        <f t="shared" si="440"/>
        <v>0</v>
      </c>
      <c r="AT261" s="25" t="str">
        <f t="shared" si="440"/>
        <v>0</v>
      </c>
      <c r="AU261" s="25">
        <f t="shared" si="440"/>
        <v>0.15</v>
      </c>
      <c r="AV261" s="25" t="str">
        <f t="shared" si="440"/>
        <v>0</v>
      </c>
      <c r="AW261" s="25">
        <f t="shared" si="440"/>
        <v>0.15</v>
      </c>
      <c r="AX261" s="25" t="str">
        <f t="shared" si="440"/>
        <v>0</v>
      </c>
      <c r="AY261" s="25" t="str">
        <f t="shared" si="440"/>
        <v>0</v>
      </c>
      <c r="AZ261" s="25" t="str">
        <f t="shared" si="440"/>
        <v>0</v>
      </c>
      <c r="BA261" s="25" t="str">
        <f t="shared" si="440"/>
        <v>0</v>
      </c>
      <c r="BB261" s="25" t="str">
        <f t="shared" si="440"/>
        <v>0</v>
      </c>
      <c r="BC261" s="25" t="str">
        <f t="shared" si="440"/>
        <v>0</v>
      </c>
      <c r="BD261" s="25" t="str">
        <f t="shared" si="440"/>
        <v>0</v>
      </c>
      <c r="BE261" s="25" t="str">
        <f t="shared" si="440"/>
        <v>0</v>
      </c>
      <c r="BF261" s="25" t="str">
        <f t="shared" si="440"/>
        <v>0</v>
      </c>
      <c r="BG261" s="25" t="str">
        <f t="shared" si="440"/>
        <v>0</v>
      </c>
      <c r="BH261" s="25" t="str">
        <f t="shared" si="440"/>
        <v>0</v>
      </c>
      <c r="BI261" s="25" t="str">
        <f t="shared" si="440"/>
        <v>0</v>
      </c>
      <c r="BJ261" s="25" t="str">
        <f t="shared" si="440"/>
        <v>0</v>
      </c>
      <c r="BK261" s="25" t="str">
        <f t="shared" si="440"/>
        <v>0</v>
      </c>
      <c r="BL261" s="25" t="str">
        <f t="shared" si="440"/>
        <v>0</v>
      </c>
      <c r="BM261" s="25" t="str">
        <f t="shared" si="440"/>
        <v>0</v>
      </c>
      <c r="BN261" s="25" t="str">
        <f t="shared" si="440"/>
        <v>0</v>
      </c>
      <c r="BO261" s="25" t="str">
        <f t="shared" si="440"/>
        <v>0</v>
      </c>
      <c r="BP261" s="25" t="str">
        <f t="shared" si="440"/>
        <v>0</v>
      </c>
      <c r="BQ261" s="25" t="str">
        <f t="shared" si="440"/>
        <v>0</v>
      </c>
      <c r="BR261" s="25" t="str">
        <f t="shared" si="440"/>
        <v>0</v>
      </c>
      <c r="BS261" s="25" t="str">
        <f t="shared" si="440"/>
        <v>0</v>
      </c>
      <c r="BT261" s="25" t="str">
        <f t="shared" si="440"/>
        <v>0</v>
      </c>
      <c r="BU261" s="25" t="str">
        <f t="shared" si="440"/>
        <v>0</v>
      </c>
      <c r="BV261" s="25" t="str">
        <f t="shared" si="440"/>
        <v>0</v>
      </c>
      <c r="BW261" s="25" t="str">
        <f t="shared" si="440"/>
        <v>0</v>
      </c>
      <c r="BX261" s="25" t="str">
        <f t="shared" si="440"/>
        <v>0</v>
      </c>
      <c r="BY261" s="25" t="str">
        <f t="shared" si="440"/>
        <v>0</v>
      </c>
      <c r="BZ261" s="25" t="str">
        <f t="shared" si="440"/>
        <v>0</v>
      </c>
      <c r="CC261" s="25" t="str">
        <f t="array" ref="CC261">INDEX($C$46:$C$74,MATCH(CD261,$B$46:$B$74,0))</f>
        <v>桑尼商队战斗员</v>
      </c>
      <c r="CD261" s="29">
        <v>1038</v>
      </c>
      <c r="CE261" s="1">
        <v>0</v>
      </c>
      <c r="CF261" s="25" t="str">
        <f t="array" ref="CF261">INDEX($T$5:$T$44,MATCH(CC261,$B$5:$B$44,0))</f>
        <v>物理</v>
      </c>
      <c r="CG261" s="25">
        <f t="shared" si="342"/>
        <v>0</v>
      </c>
      <c r="CH261" s="25">
        <f t="shared" si="321"/>
        <v>1</v>
      </c>
      <c r="CI261" s="25">
        <f t="shared" si="322"/>
        <v>1</v>
      </c>
      <c r="CJ261" s="25">
        <f t="shared" si="323"/>
        <v>1</v>
      </c>
      <c r="CK261" s="25">
        <f t="shared" si="324"/>
        <v>1</v>
      </c>
      <c r="CL261" s="25">
        <v>0</v>
      </c>
      <c r="CM261" s="25">
        <f t="shared" si="343"/>
        <v>0</v>
      </c>
      <c r="CN261" s="25">
        <f t="shared" si="325"/>
        <v>0</v>
      </c>
      <c r="CO261" s="25">
        <f t="shared" si="326"/>
        <v>0</v>
      </c>
      <c r="CP261" s="29" t="str">
        <f t="shared" ref="CP261:DQ261" si="441">IF($CL261=CP$78,$CN261,"0")</f>
        <v>0</v>
      </c>
      <c r="CQ261" s="29" t="str">
        <f t="shared" si="441"/>
        <v>0</v>
      </c>
      <c r="CR261" s="29" t="str">
        <f t="shared" si="441"/>
        <v>0</v>
      </c>
      <c r="CS261" s="29" t="str">
        <f t="shared" si="441"/>
        <v>0</v>
      </c>
      <c r="CT261" s="29" t="str">
        <f t="shared" si="441"/>
        <v>0</v>
      </c>
      <c r="CU261" s="29" t="str">
        <f t="shared" si="441"/>
        <v>0</v>
      </c>
      <c r="CV261" s="29" t="str">
        <f t="shared" si="441"/>
        <v>0</v>
      </c>
      <c r="CW261" s="29" t="str">
        <f t="shared" si="441"/>
        <v>0</v>
      </c>
      <c r="CX261" s="29" t="str">
        <f t="shared" si="441"/>
        <v>0</v>
      </c>
      <c r="CY261" s="29" t="str">
        <f t="shared" si="441"/>
        <v>0</v>
      </c>
      <c r="CZ261" s="29" t="str">
        <f t="shared" si="441"/>
        <v>0</v>
      </c>
      <c r="DA261" s="29" t="str">
        <f t="shared" si="441"/>
        <v>0</v>
      </c>
      <c r="DB261" s="29" t="str">
        <f t="shared" si="441"/>
        <v>0</v>
      </c>
      <c r="DC261" s="29" t="str">
        <f t="shared" si="441"/>
        <v>0</v>
      </c>
      <c r="DD261" s="29" t="str">
        <f t="shared" si="441"/>
        <v>0</v>
      </c>
      <c r="DE261" s="29" t="str">
        <f t="shared" si="441"/>
        <v>0</v>
      </c>
      <c r="DF261" s="29" t="str">
        <f t="shared" si="441"/>
        <v>0</v>
      </c>
      <c r="DG261" s="29" t="str">
        <f t="shared" si="441"/>
        <v>0</v>
      </c>
      <c r="DH261" s="29" t="str">
        <f t="shared" si="441"/>
        <v>0</v>
      </c>
      <c r="DI261" s="29" t="str">
        <f t="shared" si="441"/>
        <v>0</v>
      </c>
      <c r="DJ261" s="29" t="str">
        <f t="shared" si="441"/>
        <v>0</v>
      </c>
      <c r="DK261" s="29" t="str">
        <f t="shared" si="441"/>
        <v>0</v>
      </c>
      <c r="DL261" s="29" t="str">
        <f t="shared" si="441"/>
        <v>0</v>
      </c>
      <c r="DM261" s="29" t="str">
        <f t="shared" si="441"/>
        <v>0</v>
      </c>
      <c r="DN261" s="29" t="str">
        <f t="shared" si="441"/>
        <v>0</v>
      </c>
      <c r="DO261" s="29" t="str">
        <f t="shared" si="441"/>
        <v>0</v>
      </c>
      <c r="DP261" s="29" t="str">
        <f t="shared" si="441"/>
        <v>0</v>
      </c>
      <c r="DQ261" s="29" t="str">
        <f t="shared" si="441"/>
        <v>0</v>
      </c>
      <c r="DS261" s="25">
        <v>0</v>
      </c>
      <c r="EE261" s="25" t="str">
        <f t="shared" si="328"/>
        <v>0</v>
      </c>
    </row>
    <row r="262" spans="1:135">
      <c r="A262" s="53">
        <v>1004004</v>
      </c>
      <c r="B262" s="49" t="s">
        <v>324</v>
      </c>
      <c r="C262" s="25">
        <f t="shared" si="299"/>
        <v>4</v>
      </c>
      <c r="D262" s="25">
        <f t="array" ref="D262">INDEX(C$5:C$67,MATCH($B262,$B$5:$B$67,0))</f>
        <v>5940</v>
      </c>
      <c r="E262" s="25">
        <f t="array" ref="E262">INDEX(D$5:D$67,MATCH($B262,$B$5:$B$67,0))</f>
        <v>475.2</v>
      </c>
      <c r="F262" s="25">
        <f t="array" ref="F262">INDEX(E$5:E$67,MATCH($B262,$B$5:$B$67,0))</f>
        <v>848</v>
      </c>
      <c r="G262" s="25">
        <f t="array" ref="G262">INDEX(F$5:F$67,MATCH($B262,$B$5:$B$67,0))</f>
        <v>67.84</v>
      </c>
      <c r="H262" s="25">
        <f t="array" ref="H262">INDEX(G$5:G$66,MATCH($B262,$B$5:$B$67,0))</f>
        <v>1103</v>
      </c>
      <c r="I262" s="25">
        <f t="array" ref="I262">INDEX(H$5:H$67,MATCH($B262,$B$5:$B$67,0))</f>
        <v>88.24</v>
      </c>
      <c r="J262" s="25">
        <f t="array" ref="J262">INDEX(I$5:I$67,MATCH($B262,$B$5:$B$67,0))</f>
        <v>1045</v>
      </c>
      <c r="K262" s="25">
        <f t="array" ref="K262">INDEX(J$5:J$67,MATCH($B262,$B$5:$B$67,0))</f>
        <v>83.6</v>
      </c>
      <c r="L262" s="25">
        <f t="shared" si="309"/>
        <v>7841</v>
      </c>
      <c r="M262" s="25">
        <f t="shared" si="310"/>
        <v>1119</v>
      </c>
      <c r="N262" s="25">
        <f t="shared" si="311"/>
        <v>1456</v>
      </c>
      <c r="O262" s="25">
        <f t="shared" si="312"/>
        <v>1379</v>
      </c>
      <c r="R262" s="50">
        <f t="array" ref="R262">INDEX($B$46:$B$68,MATCH(S262,$C$46:$C$68,0))*1000+T262</f>
        <v>1007022</v>
      </c>
      <c r="S262" s="51" t="s">
        <v>329</v>
      </c>
      <c r="T262" s="29">
        <f t="shared" si="385"/>
        <v>22</v>
      </c>
      <c r="U262" s="25">
        <f t="array" ref="U262">INDEX(K$5:K$67,MATCH($S262,$B$5:$B$67,0))</f>
        <v>383.4</v>
      </c>
      <c r="V262" s="25">
        <f t="array" ref="V262">INDEX(L$5:L$67,MATCH($S262,$B$5:$B$67,0))</f>
        <v>92.16</v>
      </c>
      <c r="W262" s="25">
        <f t="array" ref="W262">INDEX(M$5:M$67,MATCH($S262,$B$5:$B$67,0))</f>
        <v>126.72</v>
      </c>
      <c r="X262" s="25">
        <f t="array" ref="X262">INDEX(N$5:N$67,MATCH($S262,$B$5:$B$67,0))</f>
        <v>93.5</v>
      </c>
      <c r="Y262" s="25">
        <f t="shared" si="313"/>
        <v>8435</v>
      </c>
      <c r="Z262" s="25">
        <f t="shared" si="314"/>
        <v>2028</v>
      </c>
      <c r="AA262" s="25">
        <f t="shared" si="315"/>
        <v>2788</v>
      </c>
      <c r="AB262" s="25">
        <f t="shared" si="316"/>
        <v>2057</v>
      </c>
      <c r="AF262" s="25">
        <v>184</v>
      </c>
      <c r="AG262" s="25">
        <f t="array" ref="AG262">INDEX($AE$79:$AE$116,QUOTIENT(AF262-1,8)+1)</f>
        <v>1030</v>
      </c>
      <c r="AH262" s="25">
        <f t="shared" si="345"/>
        <v>8</v>
      </c>
      <c r="AI262" s="25">
        <f t="shared" si="317"/>
        <v>10308</v>
      </c>
      <c r="AJ262" s="25" t="str">
        <f t="shared" si="318"/>
        <v>莫莉</v>
      </c>
      <c r="AK262" s="25">
        <f t="shared" si="346"/>
        <v>3</v>
      </c>
      <c r="AL262" s="25" t="str">
        <f t="array" ref="AL262">INDEX($O$5:$O$42,MATCH(AJ262,$B$5:$B$42,0))</f>
        <v>生命值百分比</v>
      </c>
      <c r="AM262" s="25" t="str">
        <f t="array" ref="AM262">INDEX($P$5:$P$42,MATCH(AJ262,$B$5:$B$42,0))</f>
        <v>攻击百分比</v>
      </c>
      <c r="AN262" s="25" t="str">
        <f t="array" ref="AN262">INDEX($Q$5:$Q$42,MATCH(AJ262,$B$5:$B$42,0))</f>
        <v>技能冷却等级</v>
      </c>
      <c r="AO262" s="25" t="str">
        <f t="array" ref="AO262">INDEX(AL262:AN262,0,AK262)</f>
        <v>技能冷却等级</v>
      </c>
      <c r="AP262" s="25">
        <f t="shared" si="304"/>
        <v>0.216666666666667</v>
      </c>
      <c r="AQ262" s="25">
        <f t="shared" si="319"/>
        <v>2816.66666666667</v>
      </c>
      <c r="AR262" s="25" t="str">
        <f t="shared" ref="AR262:BZ262" si="442">IF(AR$78=$AO262,$AQ262,"0")</f>
        <v>0</v>
      </c>
      <c r="AS262" s="25" t="str">
        <f t="shared" si="442"/>
        <v>0</v>
      </c>
      <c r="AT262" s="25" t="str">
        <f t="shared" si="442"/>
        <v>0</v>
      </c>
      <c r="AU262" s="25" t="str">
        <f t="shared" si="442"/>
        <v>0</v>
      </c>
      <c r="AV262" s="25" t="str">
        <f t="shared" si="442"/>
        <v>0</v>
      </c>
      <c r="AW262" s="25" t="str">
        <f t="shared" si="442"/>
        <v>0</v>
      </c>
      <c r="AX262" s="25" t="str">
        <f t="shared" si="442"/>
        <v>0</v>
      </c>
      <c r="AY262" s="25" t="str">
        <f t="shared" si="442"/>
        <v>0</v>
      </c>
      <c r="AZ262" s="25" t="str">
        <f t="shared" si="442"/>
        <v>0</v>
      </c>
      <c r="BA262" s="25" t="str">
        <f t="shared" si="442"/>
        <v>0</v>
      </c>
      <c r="BB262" s="25" t="str">
        <f t="shared" si="442"/>
        <v>0</v>
      </c>
      <c r="BC262" s="25" t="str">
        <f t="shared" si="442"/>
        <v>0</v>
      </c>
      <c r="BD262" s="25" t="str">
        <f t="shared" si="442"/>
        <v>0</v>
      </c>
      <c r="BE262" s="25" t="str">
        <f t="shared" si="442"/>
        <v>0</v>
      </c>
      <c r="BF262" s="25" t="str">
        <f t="shared" si="442"/>
        <v>0</v>
      </c>
      <c r="BG262" s="25" t="str">
        <f t="shared" si="442"/>
        <v>0</v>
      </c>
      <c r="BH262" s="25" t="str">
        <f t="shared" si="442"/>
        <v>0</v>
      </c>
      <c r="BI262" s="25" t="str">
        <f t="shared" si="442"/>
        <v>0</v>
      </c>
      <c r="BJ262" s="25" t="str">
        <f t="shared" si="442"/>
        <v>0</v>
      </c>
      <c r="BK262" s="25" t="str">
        <f t="shared" si="442"/>
        <v>0</v>
      </c>
      <c r="BL262" s="25" t="str">
        <f t="shared" si="442"/>
        <v>0</v>
      </c>
      <c r="BM262" s="25" t="str">
        <f t="shared" si="442"/>
        <v>0</v>
      </c>
      <c r="BN262" s="25" t="str">
        <f t="shared" si="442"/>
        <v>0</v>
      </c>
      <c r="BO262" s="25" t="str">
        <f t="shared" si="442"/>
        <v>0</v>
      </c>
      <c r="BP262" s="25" t="str">
        <f t="shared" si="442"/>
        <v>0</v>
      </c>
      <c r="BQ262" s="25" t="str">
        <f t="shared" si="442"/>
        <v>0</v>
      </c>
      <c r="BR262" s="25" t="str">
        <f t="shared" si="442"/>
        <v>0</v>
      </c>
      <c r="BS262" s="25" t="str">
        <f t="shared" si="442"/>
        <v>0</v>
      </c>
      <c r="BT262" s="25" t="str">
        <f t="shared" si="442"/>
        <v>0</v>
      </c>
      <c r="BU262" s="25" t="str">
        <f t="shared" si="442"/>
        <v>0</v>
      </c>
      <c r="BV262" s="25" t="str">
        <f t="shared" si="442"/>
        <v>0</v>
      </c>
      <c r="BW262" s="25" t="str">
        <f t="shared" si="442"/>
        <v>0</v>
      </c>
      <c r="BX262" s="25" t="str">
        <f t="shared" si="442"/>
        <v>0</v>
      </c>
      <c r="BY262" s="25" t="str">
        <f t="shared" si="442"/>
        <v>0</v>
      </c>
      <c r="BZ262" s="25">
        <f t="shared" si="442"/>
        <v>2816.66666666667</v>
      </c>
      <c r="CC262" s="25" t="str">
        <f t="array" ref="CC262">INDEX($C$46:$C$74,MATCH(CD262,$B$46:$B$74,0))</f>
        <v>桑尼商队战斗员</v>
      </c>
      <c r="CD262" s="29">
        <v>1038</v>
      </c>
      <c r="CE262" s="1">
        <v>1</v>
      </c>
      <c r="CF262" s="25" t="str">
        <f t="array" ref="CF262">INDEX($T$5:$T$44,MATCH(CC262,$B$5:$B$44,0))</f>
        <v>物理</v>
      </c>
      <c r="CG262" s="25">
        <f t="shared" si="342"/>
        <v>0</v>
      </c>
      <c r="CH262" s="25">
        <f t="shared" si="321"/>
        <v>1</v>
      </c>
      <c r="CI262" s="25">
        <f t="shared" si="322"/>
        <v>1</v>
      </c>
      <c r="CJ262" s="25">
        <f t="shared" si="323"/>
        <v>1</v>
      </c>
      <c r="CK262" s="25">
        <f t="shared" si="324"/>
        <v>1</v>
      </c>
      <c r="CL262" s="25">
        <v>0</v>
      </c>
      <c r="CM262" s="25">
        <f t="shared" si="343"/>
        <v>0</v>
      </c>
      <c r="CN262" s="25">
        <f t="shared" si="325"/>
        <v>0</v>
      </c>
      <c r="CO262" s="25">
        <f t="shared" si="326"/>
        <v>0</v>
      </c>
      <c r="CP262" s="29" t="str">
        <f t="shared" ref="CP262:DQ262" si="443">IF($CL262=CP$78,$CN262,"0")</f>
        <v>0</v>
      </c>
      <c r="CQ262" s="29" t="str">
        <f t="shared" si="443"/>
        <v>0</v>
      </c>
      <c r="CR262" s="29" t="str">
        <f t="shared" si="443"/>
        <v>0</v>
      </c>
      <c r="CS262" s="29" t="str">
        <f t="shared" si="443"/>
        <v>0</v>
      </c>
      <c r="CT262" s="29" t="str">
        <f t="shared" si="443"/>
        <v>0</v>
      </c>
      <c r="CU262" s="29" t="str">
        <f t="shared" si="443"/>
        <v>0</v>
      </c>
      <c r="CV262" s="29" t="str">
        <f t="shared" si="443"/>
        <v>0</v>
      </c>
      <c r="CW262" s="29" t="str">
        <f t="shared" si="443"/>
        <v>0</v>
      </c>
      <c r="CX262" s="29" t="str">
        <f t="shared" si="443"/>
        <v>0</v>
      </c>
      <c r="CY262" s="29" t="str">
        <f t="shared" si="443"/>
        <v>0</v>
      </c>
      <c r="CZ262" s="29" t="str">
        <f t="shared" si="443"/>
        <v>0</v>
      </c>
      <c r="DA262" s="29" t="str">
        <f t="shared" si="443"/>
        <v>0</v>
      </c>
      <c r="DB262" s="29" t="str">
        <f t="shared" si="443"/>
        <v>0</v>
      </c>
      <c r="DC262" s="29" t="str">
        <f t="shared" si="443"/>
        <v>0</v>
      </c>
      <c r="DD262" s="29" t="str">
        <f t="shared" si="443"/>
        <v>0</v>
      </c>
      <c r="DE262" s="29" t="str">
        <f t="shared" si="443"/>
        <v>0</v>
      </c>
      <c r="DF262" s="29" t="str">
        <f t="shared" si="443"/>
        <v>0</v>
      </c>
      <c r="DG262" s="29" t="str">
        <f t="shared" si="443"/>
        <v>0</v>
      </c>
      <c r="DH262" s="29" t="str">
        <f t="shared" si="443"/>
        <v>0</v>
      </c>
      <c r="DI262" s="29" t="str">
        <f t="shared" si="443"/>
        <v>0</v>
      </c>
      <c r="DJ262" s="29" t="str">
        <f t="shared" si="443"/>
        <v>0</v>
      </c>
      <c r="DK262" s="29" t="str">
        <f t="shared" si="443"/>
        <v>0</v>
      </c>
      <c r="DL262" s="29" t="str">
        <f t="shared" si="443"/>
        <v>0</v>
      </c>
      <c r="DM262" s="29" t="str">
        <f t="shared" si="443"/>
        <v>0</v>
      </c>
      <c r="DN262" s="29" t="str">
        <f t="shared" si="443"/>
        <v>0</v>
      </c>
      <c r="DO262" s="29" t="str">
        <f t="shared" si="443"/>
        <v>0</v>
      </c>
      <c r="DP262" s="29" t="str">
        <f t="shared" si="443"/>
        <v>0</v>
      </c>
      <c r="DQ262" s="29" t="str">
        <f t="shared" si="443"/>
        <v>0</v>
      </c>
      <c r="DS262" s="25">
        <v>0</v>
      </c>
      <c r="EE262" s="25" t="str">
        <f t="shared" si="328"/>
        <v>0</v>
      </c>
    </row>
    <row r="263" spans="1:135">
      <c r="A263" s="53">
        <v>1004005</v>
      </c>
      <c r="B263" s="49" t="s">
        <v>324</v>
      </c>
      <c r="C263" s="25">
        <f t="shared" si="299"/>
        <v>5</v>
      </c>
      <c r="D263" s="25">
        <f t="array" ref="D263">INDEX(C$5:C$67,MATCH($B263,$B$5:$B$67,0))</f>
        <v>5940</v>
      </c>
      <c r="E263" s="25">
        <f t="array" ref="E263">INDEX(D$5:D$67,MATCH($B263,$B$5:$B$67,0))</f>
        <v>475.2</v>
      </c>
      <c r="F263" s="25">
        <f t="array" ref="F263">INDEX(E$5:E$67,MATCH($B263,$B$5:$B$67,0))</f>
        <v>848</v>
      </c>
      <c r="G263" s="25">
        <f t="array" ref="G263">INDEX(F$5:F$67,MATCH($B263,$B$5:$B$67,0))</f>
        <v>67.84</v>
      </c>
      <c r="H263" s="25">
        <f t="array" ref="H263">INDEX(G$5:G$66,MATCH($B263,$B$5:$B$67,0))</f>
        <v>1103</v>
      </c>
      <c r="I263" s="25">
        <f t="array" ref="I263">INDEX(H$5:H$67,MATCH($B263,$B$5:$B$67,0))</f>
        <v>88.24</v>
      </c>
      <c r="J263" s="25">
        <f t="array" ref="J263">INDEX(I$5:I$67,MATCH($B263,$B$5:$B$67,0))</f>
        <v>1045</v>
      </c>
      <c r="K263" s="25">
        <f t="array" ref="K263">INDEX(J$5:J$67,MATCH($B263,$B$5:$B$67,0))</f>
        <v>83.6</v>
      </c>
      <c r="L263" s="25">
        <f t="shared" si="309"/>
        <v>8316</v>
      </c>
      <c r="M263" s="25">
        <f t="shared" si="310"/>
        <v>1187</v>
      </c>
      <c r="N263" s="25">
        <f t="shared" si="311"/>
        <v>1544</v>
      </c>
      <c r="O263" s="25">
        <f t="shared" si="312"/>
        <v>1463</v>
      </c>
      <c r="R263" s="50">
        <f t="array" ref="R263">INDEX($B$46:$B$68,MATCH(S263,$C$46:$C$68,0))*1000+T263</f>
        <v>1007023</v>
      </c>
      <c r="S263" s="51" t="s">
        <v>329</v>
      </c>
      <c r="T263" s="29">
        <f t="shared" si="385"/>
        <v>23</v>
      </c>
      <c r="U263" s="25">
        <f t="array" ref="U263">INDEX(K$5:K$67,MATCH($S263,$B$5:$B$67,0))</f>
        <v>383.4</v>
      </c>
      <c r="V263" s="25">
        <f t="array" ref="V263">INDEX(L$5:L$67,MATCH($S263,$B$5:$B$67,0))</f>
        <v>92.16</v>
      </c>
      <c r="W263" s="25">
        <f t="array" ref="W263">INDEX(M$5:M$67,MATCH($S263,$B$5:$B$67,0))</f>
        <v>126.72</v>
      </c>
      <c r="X263" s="25">
        <f t="array" ref="X263">INDEX(N$5:N$67,MATCH($S263,$B$5:$B$67,0))</f>
        <v>93.5</v>
      </c>
      <c r="Y263" s="25">
        <f t="shared" si="313"/>
        <v>8818</v>
      </c>
      <c r="Z263" s="25">
        <f t="shared" si="314"/>
        <v>2120</v>
      </c>
      <c r="AA263" s="25">
        <f t="shared" si="315"/>
        <v>2915</v>
      </c>
      <c r="AB263" s="25">
        <f t="shared" si="316"/>
        <v>2151</v>
      </c>
      <c r="AF263" s="25">
        <v>185</v>
      </c>
      <c r="AG263" s="25">
        <f t="array" ref="AG263">INDEX($AE$79:$AE$116,QUOTIENT(AF263-1,8)+1)</f>
        <v>1035</v>
      </c>
      <c r="AH263" s="25">
        <f t="shared" si="345"/>
        <v>1</v>
      </c>
      <c r="AI263" s="25">
        <f t="shared" si="317"/>
        <v>10351</v>
      </c>
      <c r="AJ263" s="25" t="str">
        <f t="shared" si="318"/>
        <v>碎冰者</v>
      </c>
      <c r="AK263" s="25">
        <f t="shared" si="346"/>
        <v>1</v>
      </c>
      <c r="AL263" s="25" t="str">
        <f t="array" ref="AL263">INDEX($O$5:$O$42,MATCH(AJ263,$B$5:$B$42,0))</f>
        <v>攻击百分比</v>
      </c>
      <c r="AM263" s="25" t="str">
        <f t="array" ref="AM263">INDEX($P$5:$P$42,MATCH(AJ263,$B$5:$B$42,0))</f>
        <v>暴击等级</v>
      </c>
      <c r="AN263" s="25" t="str">
        <f t="array" ref="AN263">INDEX($Q$5:$Q$42,MATCH(AJ263,$B$5:$B$42,0))</f>
        <v>必杀伤害加成</v>
      </c>
      <c r="AO263" s="25" t="str">
        <f t="array" ref="AO263">INDEX(AL263:AN263,0,AK263)</f>
        <v>攻击百分比</v>
      </c>
      <c r="AP263" s="25">
        <f t="shared" si="304"/>
        <v>0.216666666666667</v>
      </c>
      <c r="AQ263" s="25">
        <f t="shared" si="319"/>
        <v>0.216666666666667</v>
      </c>
      <c r="AR263" s="25" t="str">
        <f t="shared" ref="AR263:BZ263" si="444">IF(AR$78=$AO263,$AQ263,"0")</f>
        <v>0</v>
      </c>
      <c r="AS263" s="25" t="str">
        <f t="shared" si="444"/>
        <v>0</v>
      </c>
      <c r="AT263" s="25" t="str">
        <f t="shared" si="444"/>
        <v>0</v>
      </c>
      <c r="AU263" s="25">
        <f t="shared" si="444"/>
        <v>0.216666666666667</v>
      </c>
      <c r="AV263" s="25" t="str">
        <f t="shared" si="444"/>
        <v>0</v>
      </c>
      <c r="AW263" s="25">
        <f t="shared" si="444"/>
        <v>0.216666666666667</v>
      </c>
      <c r="AX263" s="25" t="str">
        <f t="shared" si="444"/>
        <v>0</v>
      </c>
      <c r="AY263" s="25" t="str">
        <f t="shared" si="444"/>
        <v>0</v>
      </c>
      <c r="AZ263" s="25" t="str">
        <f t="shared" si="444"/>
        <v>0</v>
      </c>
      <c r="BA263" s="25" t="str">
        <f t="shared" si="444"/>
        <v>0</v>
      </c>
      <c r="BB263" s="25" t="str">
        <f t="shared" si="444"/>
        <v>0</v>
      </c>
      <c r="BC263" s="25" t="str">
        <f t="shared" si="444"/>
        <v>0</v>
      </c>
      <c r="BD263" s="25" t="str">
        <f t="shared" si="444"/>
        <v>0</v>
      </c>
      <c r="BE263" s="25" t="str">
        <f t="shared" si="444"/>
        <v>0</v>
      </c>
      <c r="BF263" s="25" t="str">
        <f t="shared" si="444"/>
        <v>0</v>
      </c>
      <c r="BG263" s="25" t="str">
        <f t="shared" si="444"/>
        <v>0</v>
      </c>
      <c r="BH263" s="25" t="str">
        <f t="shared" si="444"/>
        <v>0</v>
      </c>
      <c r="BI263" s="25" t="str">
        <f t="shared" si="444"/>
        <v>0</v>
      </c>
      <c r="BJ263" s="25" t="str">
        <f t="shared" si="444"/>
        <v>0</v>
      </c>
      <c r="BK263" s="25" t="str">
        <f t="shared" si="444"/>
        <v>0</v>
      </c>
      <c r="BL263" s="25" t="str">
        <f t="shared" si="444"/>
        <v>0</v>
      </c>
      <c r="BM263" s="25" t="str">
        <f t="shared" si="444"/>
        <v>0</v>
      </c>
      <c r="BN263" s="25" t="str">
        <f t="shared" si="444"/>
        <v>0</v>
      </c>
      <c r="BO263" s="25" t="str">
        <f t="shared" si="444"/>
        <v>0</v>
      </c>
      <c r="BP263" s="25" t="str">
        <f t="shared" si="444"/>
        <v>0</v>
      </c>
      <c r="BQ263" s="25" t="str">
        <f t="shared" si="444"/>
        <v>0</v>
      </c>
      <c r="BR263" s="25" t="str">
        <f t="shared" si="444"/>
        <v>0</v>
      </c>
      <c r="BS263" s="25" t="str">
        <f t="shared" si="444"/>
        <v>0</v>
      </c>
      <c r="BT263" s="25" t="str">
        <f t="shared" si="444"/>
        <v>0</v>
      </c>
      <c r="BU263" s="25" t="str">
        <f t="shared" si="444"/>
        <v>0</v>
      </c>
      <c r="BV263" s="25" t="str">
        <f t="shared" si="444"/>
        <v>0</v>
      </c>
      <c r="BW263" s="25" t="str">
        <f t="shared" si="444"/>
        <v>0</v>
      </c>
      <c r="BX263" s="25" t="str">
        <f t="shared" si="444"/>
        <v>0</v>
      </c>
      <c r="BY263" s="25" t="str">
        <f t="shared" si="444"/>
        <v>0</v>
      </c>
      <c r="BZ263" s="25" t="str">
        <f t="shared" si="444"/>
        <v>0</v>
      </c>
      <c r="CC263" s="25" t="str">
        <f t="array" ref="CC263">INDEX($C$46:$C$74,MATCH(CD263,$B$46:$B$74,0))</f>
        <v>桑尼商队战斗员</v>
      </c>
      <c r="CD263" s="29">
        <v>1038</v>
      </c>
      <c r="CE263" s="1">
        <v>2</v>
      </c>
      <c r="CF263" s="25" t="str">
        <f t="array" ref="CF263">INDEX($T$5:$T$44,MATCH(CC263,$B$5:$B$44,0))</f>
        <v>物理</v>
      </c>
      <c r="CG263" s="25">
        <f t="shared" si="342"/>
        <v>0</v>
      </c>
      <c r="CH263" s="25">
        <f t="shared" si="321"/>
        <v>1</v>
      </c>
      <c r="CI263" s="25">
        <f t="shared" si="322"/>
        <v>1</v>
      </c>
      <c r="CJ263" s="25">
        <f t="shared" si="323"/>
        <v>1</v>
      </c>
      <c r="CK263" s="25">
        <f t="shared" si="324"/>
        <v>1</v>
      </c>
      <c r="CL263" s="25">
        <v>0</v>
      </c>
      <c r="CM263" s="25">
        <f t="shared" si="343"/>
        <v>0</v>
      </c>
      <c r="CN263" s="25">
        <f t="shared" si="325"/>
        <v>0</v>
      </c>
      <c r="CO263" s="25">
        <f t="shared" si="326"/>
        <v>0</v>
      </c>
      <c r="CP263" s="29" t="str">
        <f t="shared" ref="CP263:DQ263" si="445">IF($CL263=CP$78,$CN263,"0")</f>
        <v>0</v>
      </c>
      <c r="CQ263" s="29" t="str">
        <f t="shared" si="445"/>
        <v>0</v>
      </c>
      <c r="CR263" s="29" t="str">
        <f t="shared" si="445"/>
        <v>0</v>
      </c>
      <c r="CS263" s="29" t="str">
        <f t="shared" si="445"/>
        <v>0</v>
      </c>
      <c r="CT263" s="29" t="str">
        <f t="shared" si="445"/>
        <v>0</v>
      </c>
      <c r="CU263" s="29" t="str">
        <f t="shared" si="445"/>
        <v>0</v>
      </c>
      <c r="CV263" s="29" t="str">
        <f t="shared" si="445"/>
        <v>0</v>
      </c>
      <c r="CW263" s="29" t="str">
        <f t="shared" si="445"/>
        <v>0</v>
      </c>
      <c r="CX263" s="29" t="str">
        <f t="shared" si="445"/>
        <v>0</v>
      </c>
      <c r="CY263" s="29" t="str">
        <f t="shared" si="445"/>
        <v>0</v>
      </c>
      <c r="CZ263" s="29" t="str">
        <f t="shared" si="445"/>
        <v>0</v>
      </c>
      <c r="DA263" s="29" t="str">
        <f t="shared" si="445"/>
        <v>0</v>
      </c>
      <c r="DB263" s="29" t="str">
        <f t="shared" si="445"/>
        <v>0</v>
      </c>
      <c r="DC263" s="29" t="str">
        <f t="shared" si="445"/>
        <v>0</v>
      </c>
      <c r="DD263" s="29" t="str">
        <f t="shared" si="445"/>
        <v>0</v>
      </c>
      <c r="DE263" s="29" t="str">
        <f t="shared" si="445"/>
        <v>0</v>
      </c>
      <c r="DF263" s="29" t="str">
        <f t="shared" si="445"/>
        <v>0</v>
      </c>
      <c r="DG263" s="29" t="str">
        <f t="shared" si="445"/>
        <v>0</v>
      </c>
      <c r="DH263" s="29" t="str">
        <f t="shared" si="445"/>
        <v>0</v>
      </c>
      <c r="DI263" s="29" t="str">
        <f t="shared" si="445"/>
        <v>0</v>
      </c>
      <c r="DJ263" s="29" t="str">
        <f t="shared" si="445"/>
        <v>0</v>
      </c>
      <c r="DK263" s="29" t="str">
        <f t="shared" si="445"/>
        <v>0</v>
      </c>
      <c r="DL263" s="29" t="str">
        <f t="shared" si="445"/>
        <v>0</v>
      </c>
      <c r="DM263" s="29" t="str">
        <f t="shared" si="445"/>
        <v>0</v>
      </c>
      <c r="DN263" s="29" t="str">
        <f t="shared" si="445"/>
        <v>0</v>
      </c>
      <c r="DO263" s="29" t="str">
        <f t="shared" si="445"/>
        <v>0</v>
      </c>
      <c r="DP263" s="29" t="str">
        <f t="shared" si="445"/>
        <v>0</v>
      </c>
      <c r="DQ263" s="29" t="str">
        <f t="shared" si="445"/>
        <v>0</v>
      </c>
      <c r="DS263" s="25">
        <v>0</v>
      </c>
      <c r="EE263" s="25" t="str">
        <f t="shared" si="328"/>
        <v>0</v>
      </c>
    </row>
    <row r="264" spans="1:135">
      <c r="A264" s="53">
        <v>1004006</v>
      </c>
      <c r="B264" s="49" t="s">
        <v>324</v>
      </c>
      <c r="C264" s="25">
        <f t="shared" si="299"/>
        <v>6</v>
      </c>
      <c r="D264" s="25">
        <f t="array" ref="D264">INDEX(C$5:C$67,MATCH($B264,$B$5:$B$67,0))</f>
        <v>5940</v>
      </c>
      <c r="E264" s="25">
        <f t="array" ref="E264">INDEX(D$5:D$67,MATCH($B264,$B$5:$B$67,0))</f>
        <v>475.2</v>
      </c>
      <c r="F264" s="25">
        <f t="array" ref="F264">INDEX(E$5:E$67,MATCH($B264,$B$5:$B$67,0))</f>
        <v>848</v>
      </c>
      <c r="G264" s="25">
        <f t="array" ref="G264">INDEX(F$5:F$67,MATCH($B264,$B$5:$B$67,0))</f>
        <v>67.84</v>
      </c>
      <c r="H264" s="25">
        <f t="array" ref="H264">INDEX(G$5:G$66,MATCH($B264,$B$5:$B$67,0))</f>
        <v>1103</v>
      </c>
      <c r="I264" s="25">
        <f t="array" ref="I264">INDEX(H$5:H$67,MATCH($B264,$B$5:$B$67,0))</f>
        <v>88.24</v>
      </c>
      <c r="J264" s="25">
        <f t="array" ref="J264">INDEX(I$5:I$67,MATCH($B264,$B$5:$B$67,0))</f>
        <v>1045</v>
      </c>
      <c r="K264" s="25">
        <f t="array" ref="K264">INDEX(J$5:J$67,MATCH($B264,$B$5:$B$67,0))</f>
        <v>83.6</v>
      </c>
      <c r="L264" s="25">
        <f t="shared" si="309"/>
        <v>8791</v>
      </c>
      <c r="M264" s="25">
        <f t="shared" si="310"/>
        <v>1255</v>
      </c>
      <c r="N264" s="25">
        <f t="shared" si="311"/>
        <v>1632</v>
      </c>
      <c r="O264" s="25">
        <f t="shared" si="312"/>
        <v>1547</v>
      </c>
      <c r="R264" s="50">
        <f t="array" ref="R264">INDEX($B$46:$B$68,MATCH(S264,$C$46:$C$68,0))*1000+T264</f>
        <v>1007024</v>
      </c>
      <c r="S264" s="51" t="s">
        <v>329</v>
      </c>
      <c r="T264" s="29">
        <f t="shared" si="385"/>
        <v>24</v>
      </c>
      <c r="U264" s="25">
        <f t="array" ref="U264">INDEX(K$5:K$67,MATCH($S264,$B$5:$B$67,0))</f>
        <v>383.4</v>
      </c>
      <c r="V264" s="25">
        <f t="array" ref="V264">INDEX(L$5:L$67,MATCH($S264,$B$5:$B$67,0))</f>
        <v>92.16</v>
      </c>
      <c r="W264" s="25">
        <f t="array" ref="W264">INDEX(M$5:M$67,MATCH($S264,$B$5:$B$67,0))</f>
        <v>126.72</v>
      </c>
      <c r="X264" s="25">
        <f t="array" ref="X264">INDEX(N$5:N$67,MATCH($S264,$B$5:$B$67,0))</f>
        <v>93.5</v>
      </c>
      <c r="Y264" s="25">
        <f t="shared" si="313"/>
        <v>9202</v>
      </c>
      <c r="Z264" s="25">
        <f t="shared" si="314"/>
        <v>2212</v>
      </c>
      <c r="AA264" s="25">
        <f t="shared" si="315"/>
        <v>3041</v>
      </c>
      <c r="AB264" s="25">
        <f t="shared" si="316"/>
        <v>2244</v>
      </c>
      <c r="AF264" s="25">
        <v>186</v>
      </c>
      <c r="AG264" s="25">
        <f t="array" ref="AG264">INDEX($AE$79:$AE$116,QUOTIENT(AF264-1,8)+1)</f>
        <v>1035</v>
      </c>
      <c r="AH264" s="25">
        <f t="shared" si="345"/>
        <v>2</v>
      </c>
      <c r="AI264" s="25">
        <f t="shared" si="317"/>
        <v>10352</v>
      </c>
      <c r="AJ264" s="25" t="str">
        <f t="shared" si="318"/>
        <v>碎冰者</v>
      </c>
      <c r="AK264" s="25">
        <f t="shared" si="346"/>
        <v>2</v>
      </c>
      <c r="AL264" s="25" t="str">
        <f t="array" ref="AL264">INDEX($O$5:$O$42,MATCH(AJ264,$B$5:$B$42,0))</f>
        <v>攻击百分比</v>
      </c>
      <c r="AM264" s="25" t="str">
        <f t="array" ref="AM264">INDEX($P$5:$P$42,MATCH(AJ264,$B$5:$B$42,0))</f>
        <v>暴击等级</v>
      </c>
      <c r="AN264" s="25" t="str">
        <f t="array" ref="AN264">INDEX($Q$5:$Q$42,MATCH(AJ264,$B$5:$B$42,0))</f>
        <v>必杀伤害加成</v>
      </c>
      <c r="AO264" s="25" t="str">
        <f t="array" ref="AO264">INDEX(AL264:AN264,0,AK264)</f>
        <v>暴击等级</v>
      </c>
      <c r="AP264" s="25">
        <f t="shared" si="304"/>
        <v>0.15</v>
      </c>
      <c r="AQ264" s="25">
        <f t="shared" si="319"/>
        <v>1350</v>
      </c>
      <c r="AR264" s="25" t="str">
        <f t="shared" ref="AR264:BZ264" si="446">IF(AR$78=$AO264,$AQ264,"0")</f>
        <v>0</v>
      </c>
      <c r="AS264" s="25" t="str">
        <f t="shared" si="446"/>
        <v>0</v>
      </c>
      <c r="AT264" s="25" t="str">
        <f t="shared" si="446"/>
        <v>0</v>
      </c>
      <c r="AU264" s="25" t="str">
        <f t="shared" si="446"/>
        <v>0</v>
      </c>
      <c r="AV264" s="25" t="str">
        <f t="shared" si="446"/>
        <v>0</v>
      </c>
      <c r="AW264" s="25" t="str">
        <f t="shared" si="446"/>
        <v>0</v>
      </c>
      <c r="AX264" s="25" t="str">
        <f t="shared" si="446"/>
        <v>0</v>
      </c>
      <c r="AY264" s="25" t="str">
        <f t="shared" si="446"/>
        <v>0</v>
      </c>
      <c r="AZ264" s="25" t="str">
        <f t="shared" si="446"/>
        <v>0</v>
      </c>
      <c r="BA264" s="25" t="str">
        <f t="shared" si="446"/>
        <v>0</v>
      </c>
      <c r="BB264" s="25" t="str">
        <f t="shared" si="446"/>
        <v>0</v>
      </c>
      <c r="BC264" s="25" t="str">
        <f t="shared" si="446"/>
        <v>0</v>
      </c>
      <c r="BD264" s="25" t="str">
        <f t="shared" si="446"/>
        <v>0</v>
      </c>
      <c r="BE264" s="25" t="str">
        <f t="shared" si="446"/>
        <v>0</v>
      </c>
      <c r="BF264" s="25" t="str">
        <f t="shared" si="446"/>
        <v>0</v>
      </c>
      <c r="BG264" s="25" t="str">
        <f t="shared" si="446"/>
        <v>0</v>
      </c>
      <c r="BH264" s="25" t="str">
        <f t="shared" si="446"/>
        <v>0</v>
      </c>
      <c r="BI264" s="25" t="str">
        <f t="shared" si="446"/>
        <v>0</v>
      </c>
      <c r="BJ264" s="25" t="str">
        <f t="shared" si="446"/>
        <v>0</v>
      </c>
      <c r="BK264" s="25" t="str">
        <f t="shared" si="446"/>
        <v>0</v>
      </c>
      <c r="BL264" s="25" t="str">
        <f t="shared" si="446"/>
        <v>0</v>
      </c>
      <c r="BM264" s="25" t="str">
        <f t="shared" si="446"/>
        <v>0</v>
      </c>
      <c r="BN264" s="25" t="str">
        <f t="shared" si="446"/>
        <v>0</v>
      </c>
      <c r="BO264" s="25" t="str">
        <f t="shared" si="446"/>
        <v>0</v>
      </c>
      <c r="BP264" s="25" t="str">
        <f t="shared" si="446"/>
        <v>0</v>
      </c>
      <c r="BQ264" s="25" t="str">
        <f t="shared" si="446"/>
        <v>0</v>
      </c>
      <c r="BR264" s="25" t="str">
        <f t="shared" si="446"/>
        <v>0</v>
      </c>
      <c r="BS264" s="25" t="str">
        <f t="shared" si="446"/>
        <v>0</v>
      </c>
      <c r="BT264" s="25" t="str">
        <f t="shared" si="446"/>
        <v>0</v>
      </c>
      <c r="BU264" s="25" t="str">
        <f t="shared" si="446"/>
        <v>0</v>
      </c>
      <c r="BV264" s="25" t="str">
        <f t="shared" si="446"/>
        <v>0</v>
      </c>
      <c r="BW264" s="25">
        <f t="shared" si="446"/>
        <v>1350</v>
      </c>
      <c r="BX264" s="25" t="str">
        <f t="shared" si="446"/>
        <v>0</v>
      </c>
      <c r="BY264" s="25" t="str">
        <f t="shared" si="446"/>
        <v>0</v>
      </c>
      <c r="BZ264" s="25" t="str">
        <f t="shared" si="446"/>
        <v>0</v>
      </c>
      <c r="CC264" s="25" t="str">
        <f t="array" ref="CC264">INDEX($C$46:$C$74,MATCH(CD264,$B$46:$B$74,0))</f>
        <v>桑尼商队战斗员</v>
      </c>
      <c r="CD264" s="29">
        <v>1038</v>
      </c>
      <c r="CE264" s="1">
        <v>3</v>
      </c>
      <c r="CF264" s="25" t="str">
        <f t="array" ref="CF264">INDEX($T$5:$T$44,MATCH(CC264,$B$5:$B$44,0))</f>
        <v>物理</v>
      </c>
      <c r="CG264" s="25">
        <f t="shared" si="342"/>
        <v>0.15</v>
      </c>
      <c r="CH264" s="25">
        <f t="shared" si="321"/>
        <v>1.15</v>
      </c>
      <c r="CI264" s="25">
        <f t="shared" si="322"/>
        <v>1.15</v>
      </c>
      <c r="CJ264" s="25">
        <f t="shared" si="323"/>
        <v>1</v>
      </c>
      <c r="CK264" s="25">
        <f t="shared" si="324"/>
        <v>1.15</v>
      </c>
      <c r="CL264" s="25" t="str">
        <f t="array" ref="CL264">INDEX($R$5:$R$43,MATCH(CC264,$B$5:$B$43,0))</f>
        <v>能量回复等级</v>
      </c>
      <c r="CM264" s="25">
        <f t="shared" si="343"/>
        <v>0.3</v>
      </c>
      <c r="CN264" s="25">
        <f t="shared" si="325"/>
        <v>2700</v>
      </c>
      <c r="CO264" s="25">
        <f t="shared" si="326"/>
        <v>1</v>
      </c>
      <c r="CP264" s="29" t="str">
        <f t="shared" ref="CP264:DQ264" si="447">IF($CL264=CP$78,$CN264,"0")</f>
        <v>0</v>
      </c>
      <c r="CQ264" s="29" t="str">
        <f t="shared" si="447"/>
        <v>0</v>
      </c>
      <c r="CR264" s="29" t="str">
        <f t="shared" si="447"/>
        <v>0</v>
      </c>
      <c r="CS264" s="29" t="str">
        <f t="shared" si="447"/>
        <v>0</v>
      </c>
      <c r="CT264" s="29" t="str">
        <f t="shared" si="447"/>
        <v>0</v>
      </c>
      <c r="CU264" s="29" t="str">
        <f t="shared" si="447"/>
        <v>0</v>
      </c>
      <c r="CV264" s="29" t="str">
        <f t="shared" si="447"/>
        <v>0</v>
      </c>
      <c r="CW264" s="29" t="str">
        <f t="shared" si="447"/>
        <v>0</v>
      </c>
      <c r="CX264" s="29" t="str">
        <f t="shared" si="447"/>
        <v>0</v>
      </c>
      <c r="CY264" s="29" t="str">
        <f t="shared" si="447"/>
        <v>0</v>
      </c>
      <c r="CZ264" s="29" t="str">
        <f t="shared" si="447"/>
        <v>0</v>
      </c>
      <c r="DA264" s="29" t="str">
        <f t="shared" si="447"/>
        <v>0</v>
      </c>
      <c r="DB264" s="29" t="str">
        <f t="shared" si="447"/>
        <v>0</v>
      </c>
      <c r="DC264" s="29" t="str">
        <f t="shared" si="447"/>
        <v>0</v>
      </c>
      <c r="DD264" s="29" t="str">
        <f t="shared" si="447"/>
        <v>0</v>
      </c>
      <c r="DE264" s="29" t="str">
        <f t="shared" si="447"/>
        <v>0</v>
      </c>
      <c r="DF264" s="29" t="str">
        <f t="shared" si="447"/>
        <v>0</v>
      </c>
      <c r="DG264" s="29" t="str">
        <f t="shared" si="447"/>
        <v>0</v>
      </c>
      <c r="DH264" s="29" t="str">
        <f t="shared" si="447"/>
        <v>0</v>
      </c>
      <c r="DI264" s="29" t="str">
        <f t="shared" si="447"/>
        <v>0</v>
      </c>
      <c r="DJ264" s="29" t="str">
        <f t="shared" si="447"/>
        <v>0</v>
      </c>
      <c r="DK264" s="29" t="str">
        <f t="shared" si="447"/>
        <v>0</v>
      </c>
      <c r="DL264" s="29" t="str">
        <f t="shared" si="447"/>
        <v>0</v>
      </c>
      <c r="DM264" s="29" t="str">
        <f t="shared" si="447"/>
        <v>0</v>
      </c>
      <c r="DN264" s="29" t="str">
        <f t="shared" si="447"/>
        <v>0</v>
      </c>
      <c r="DO264" s="29" t="str">
        <f t="shared" si="447"/>
        <v>0</v>
      </c>
      <c r="DP264" s="29">
        <f t="shared" si="447"/>
        <v>2700</v>
      </c>
      <c r="DQ264" s="29" t="str">
        <f t="shared" si="447"/>
        <v>0</v>
      </c>
      <c r="DS264" s="25" t="s">
        <v>1011</v>
      </c>
      <c r="DT264" s="25" t="str">
        <f>TEXT(角色升星!$F$18,"0%")</f>
        <v>15%</v>
      </c>
      <c r="DU264" s="25" t="s">
        <v>779</v>
      </c>
      <c r="DV264" s="25" t="str">
        <f>IF(CF264="物理","PhysicsAttack,+","MagicAttack,+")</f>
        <v>PhysicsAttack,+</v>
      </c>
      <c r="DW264" s="25" t="str">
        <f>TEXT(角色升星!$F$18,"0%")</f>
        <v>15%</v>
      </c>
      <c r="DX264" s="25" t="s">
        <v>779</v>
      </c>
      <c r="DY264" s="25" t="s">
        <v>1012</v>
      </c>
      <c r="DZ264" s="25" t="str">
        <f>TEXT(角色升星!$F$18,"0%")</f>
        <v>15%</v>
      </c>
      <c r="EA264" s="25" t="s">
        <v>779</v>
      </c>
      <c r="EB264" s="25" t="str">
        <f>VLOOKUP(CL264,$O$46:$P$73,2,0)</f>
        <v>EnergyPreAddBonusLevel</v>
      </c>
      <c r="EC264" s="25" t="s">
        <v>1013</v>
      </c>
      <c r="ED264" s="25">
        <f>IF(CN264&gt;1,CN264,TEXT(CN264,"0%"))</f>
        <v>2700</v>
      </c>
      <c r="EE264" s="25" t="str">
        <f t="shared" si="328"/>
        <v>Hp,+15%;PhysicsAttack,+15%;Armor,+15%;EnergyPreAddBonusLevel,+2700</v>
      </c>
    </row>
    <row r="265" spans="1:135">
      <c r="A265" s="53">
        <v>1004007</v>
      </c>
      <c r="B265" s="49" t="s">
        <v>324</v>
      </c>
      <c r="C265" s="25">
        <f t="shared" si="299"/>
        <v>7</v>
      </c>
      <c r="D265" s="25">
        <f t="array" ref="D265">INDEX(C$5:C$67,MATCH($B265,$B$5:$B$67,0))</f>
        <v>5940</v>
      </c>
      <c r="E265" s="25">
        <f t="array" ref="E265">INDEX(D$5:D$67,MATCH($B265,$B$5:$B$67,0))</f>
        <v>475.2</v>
      </c>
      <c r="F265" s="25">
        <f t="array" ref="F265">INDEX(E$5:E$67,MATCH($B265,$B$5:$B$67,0))</f>
        <v>848</v>
      </c>
      <c r="G265" s="25">
        <f t="array" ref="G265">INDEX(F$5:F$67,MATCH($B265,$B$5:$B$67,0))</f>
        <v>67.84</v>
      </c>
      <c r="H265" s="25">
        <f t="array" ref="H265">INDEX(G$5:G$66,MATCH($B265,$B$5:$B$67,0))</f>
        <v>1103</v>
      </c>
      <c r="I265" s="25">
        <f t="array" ref="I265">INDEX(H$5:H$67,MATCH($B265,$B$5:$B$67,0))</f>
        <v>88.24</v>
      </c>
      <c r="J265" s="25">
        <f t="array" ref="J265">INDEX(I$5:I$67,MATCH($B265,$B$5:$B$67,0))</f>
        <v>1045</v>
      </c>
      <c r="K265" s="25">
        <f t="array" ref="K265">INDEX(J$5:J$67,MATCH($B265,$B$5:$B$67,0))</f>
        <v>83.6</v>
      </c>
      <c r="L265" s="25">
        <f t="shared" si="309"/>
        <v>9266</v>
      </c>
      <c r="M265" s="25">
        <f t="shared" si="310"/>
        <v>1323</v>
      </c>
      <c r="N265" s="25">
        <f t="shared" si="311"/>
        <v>1721</v>
      </c>
      <c r="O265" s="25">
        <f t="shared" si="312"/>
        <v>1630</v>
      </c>
      <c r="R265" s="50">
        <f t="array" ref="R265">INDEX($B$46:$B$68,MATCH(S265,$C$46:$C$68,0))*1000+T265</f>
        <v>1007025</v>
      </c>
      <c r="S265" s="51" t="s">
        <v>329</v>
      </c>
      <c r="T265" s="29">
        <f t="shared" si="385"/>
        <v>25</v>
      </c>
      <c r="U265" s="25">
        <f t="array" ref="U265">INDEX(K$5:K$67,MATCH($S265,$B$5:$B$67,0))</f>
        <v>383.4</v>
      </c>
      <c r="V265" s="25">
        <f t="array" ref="V265">INDEX(L$5:L$67,MATCH($S265,$B$5:$B$67,0))</f>
        <v>92.16</v>
      </c>
      <c r="W265" s="25">
        <f t="array" ref="W265">INDEX(M$5:M$67,MATCH($S265,$B$5:$B$67,0))</f>
        <v>126.72</v>
      </c>
      <c r="X265" s="25">
        <f t="array" ref="X265">INDEX(N$5:N$67,MATCH($S265,$B$5:$B$67,0))</f>
        <v>93.5</v>
      </c>
      <c r="Y265" s="25">
        <f t="shared" si="313"/>
        <v>9585</v>
      </c>
      <c r="Z265" s="25">
        <f t="shared" si="314"/>
        <v>2304</v>
      </c>
      <c r="AA265" s="25">
        <f t="shared" si="315"/>
        <v>3168</v>
      </c>
      <c r="AB265" s="25">
        <f t="shared" si="316"/>
        <v>2338</v>
      </c>
      <c r="AF265" s="25">
        <v>187</v>
      </c>
      <c r="AG265" s="25">
        <f t="array" ref="AG265">INDEX($AE$79:$AE$116,QUOTIENT(AF265-1,8)+1)</f>
        <v>1035</v>
      </c>
      <c r="AH265" s="25">
        <f t="shared" si="345"/>
        <v>3</v>
      </c>
      <c r="AI265" s="25">
        <f t="shared" si="317"/>
        <v>10353</v>
      </c>
      <c r="AJ265" s="25" t="str">
        <f t="shared" si="318"/>
        <v>碎冰者</v>
      </c>
      <c r="AK265" s="25">
        <f t="shared" si="346"/>
        <v>3</v>
      </c>
      <c r="AL265" s="25" t="str">
        <f t="array" ref="AL265">INDEX($O$5:$O$42,MATCH(AJ265,$B$5:$B$42,0))</f>
        <v>攻击百分比</v>
      </c>
      <c r="AM265" s="25" t="str">
        <f t="array" ref="AM265">INDEX($P$5:$P$42,MATCH(AJ265,$B$5:$B$42,0))</f>
        <v>暴击等级</v>
      </c>
      <c r="AN265" s="25" t="str">
        <f t="array" ref="AN265">INDEX($Q$5:$Q$42,MATCH(AJ265,$B$5:$B$42,0))</f>
        <v>必杀伤害加成</v>
      </c>
      <c r="AO265" s="25" t="str">
        <f t="array" ref="AO265">INDEX(AL265:AN265,0,AK265)</f>
        <v>必杀伤害加成</v>
      </c>
      <c r="AP265" s="25">
        <f t="shared" si="304"/>
        <v>0.216666666666667</v>
      </c>
      <c r="AQ265" s="25">
        <f t="shared" si="319"/>
        <v>0.26</v>
      </c>
      <c r="AR265" s="25" t="str">
        <f t="shared" ref="AR265:BZ265" si="448">IF(AR$78=$AO265,$AQ265,"0")</f>
        <v>0</v>
      </c>
      <c r="AS265" s="25" t="str">
        <f t="shared" si="448"/>
        <v>0</v>
      </c>
      <c r="AT265" s="25" t="str">
        <f t="shared" si="448"/>
        <v>0</v>
      </c>
      <c r="AU265" s="25" t="str">
        <f t="shared" si="448"/>
        <v>0</v>
      </c>
      <c r="AV265" s="25" t="str">
        <f t="shared" si="448"/>
        <v>0</v>
      </c>
      <c r="AW265" s="25" t="str">
        <f t="shared" si="448"/>
        <v>0</v>
      </c>
      <c r="AX265" s="25" t="str">
        <f t="shared" si="448"/>
        <v>0</v>
      </c>
      <c r="AY265" s="25" t="str">
        <f t="shared" si="448"/>
        <v>0</v>
      </c>
      <c r="AZ265" s="25" t="str">
        <f t="shared" si="448"/>
        <v>0</v>
      </c>
      <c r="BA265" s="25" t="str">
        <f t="shared" si="448"/>
        <v>0</v>
      </c>
      <c r="BB265" s="25" t="str">
        <f t="shared" si="448"/>
        <v>0</v>
      </c>
      <c r="BC265" s="25" t="str">
        <f t="shared" si="448"/>
        <v>0</v>
      </c>
      <c r="BD265" s="25" t="str">
        <f t="shared" si="448"/>
        <v>0</v>
      </c>
      <c r="BE265" s="25" t="str">
        <f t="shared" si="448"/>
        <v>0</v>
      </c>
      <c r="BF265" s="25" t="str">
        <f t="shared" si="448"/>
        <v>0</v>
      </c>
      <c r="BG265" s="25" t="str">
        <f t="shared" si="448"/>
        <v>0</v>
      </c>
      <c r="BH265" s="25" t="str">
        <f t="shared" si="448"/>
        <v>0</v>
      </c>
      <c r="BI265" s="25" t="str">
        <f t="shared" si="448"/>
        <v>0</v>
      </c>
      <c r="BJ265" s="25" t="str">
        <f t="shared" si="448"/>
        <v>0</v>
      </c>
      <c r="BK265" s="25" t="str">
        <f t="shared" si="448"/>
        <v>0</v>
      </c>
      <c r="BL265" s="25" t="str">
        <f t="shared" si="448"/>
        <v>0</v>
      </c>
      <c r="BM265" s="25" t="str">
        <f t="shared" si="448"/>
        <v>0</v>
      </c>
      <c r="BN265" s="25" t="str">
        <f t="shared" si="448"/>
        <v>0</v>
      </c>
      <c r="BO265" s="25">
        <f t="shared" si="448"/>
        <v>0.26</v>
      </c>
      <c r="BP265" s="25" t="str">
        <f t="shared" si="448"/>
        <v>0</v>
      </c>
      <c r="BQ265" s="25" t="str">
        <f t="shared" si="448"/>
        <v>0</v>
      </c>
      <c r="BR265" s="25" t="str">
        <f t="shared" si="448"/>
        <v>0</v>
      </c>
      <c r="BS265" s="25" t="str">
        <f t="shared" si="448"/>
        <v>0</v>
      </c>
      <c r="BT265" s="25" t="str">
        <f t="shared" si="448"/>
        <v>0</v>
      </c>
      <c r="BU265" s="25" t="str">
        <f t="shared" si="448"/>
        <v>0</v>
      </c>
      <c r="BV265" s="25" t="str">
        <f t="shared" si="448"/>
        <v>0</v>
      </c>
      <c r="BW265" s="25" t="str">
        <f t="shared" si="448"/>
        <v>0</v>
      </c>
      <c r="BX265" s="25" t="str">
        <f t="shared" si="448"/>
        <v>0</v>
      </c>
      <c r="BY265" s="25" t="str">
        <f t="shared" si="448"/>
        <v>0</v>
      </c>
      <c r="BZ265" s="25" t="str">
        <f t="shared" si="448"/>
        <v>0</v>
      </c>
      <c r="CC265" s="25" t="str">
        <f t="array" ref="CC265">INDEX($C$46:$C$74,MATCH(CD265,$B$46:$B$74,0))</f>
        <v>桑尼商队战斗员</v>
      </c>
      <c r="CD265" s="29">
        <v>1038</v>
      </c>
      <c r="CE265" s="1">
        <v>4</v>
      </c>
      <c r="CF265" s="25" t="str">
        <f t="array" ref="CF265">INDEX($T$5:$T$44,MATCH(CC265,$B$5:$B$44,0))</f>
        <v>物理</v>
      </c>
      <c r="CG265" s="25">
        <f t="shared" si="342"/>
        <v>0.15</v>
      </c>
      <c r="CH265" s="25">
        <f t="shared" si="321"/>
        <v>1.15</v>
      </c>
      <c r="CI265" s="25">
        <f t="shared" si="322"/>
        <v>1.15</v>
      </c>
      <c r="CJ265" s="25">
        <f t="shared" si="323"/>
        <v>1</v>
      </c>
      <c r="CK265" s="25">
        <f t="shared" si="324"/>
        <v>1.15</v>
      </c>
      <c r="CL265" s="25">
        <v>0</v>
      </c>
      <c r="CM265" s="25">
        <f t="shared" si="343"/>
        <v>0</v>
      </c>
      <c r="CN265" s="25">
        <f t="shared" si="325"/>
        <v>0</v>
      </c>
      <c r="CO265" s="25">
        <f t="shared" si="326"/>
        <v>0</v>
      </c>
      <c r="CP265" s="29" t="str">
        <f t="shared" ref="CP265:DQ265" si="449">IF($CL265=CP$78,$CN265,"0")</f>
        <v>0</v>
      </c>
      <c r="CQ265" s="29" t="str">
        <f t="shared" si="449"/>
        <v>0</v>
      </c>
      <c r="CR265" s="29" t="str">
        <f t="shared" si="449"/>
        <v>0</v>
      </c>
      <c r="CS265" s="29" t="str">
        <f t="shared" si="449"/>
        <v>0</v>
      </c>
      <c r="CT265" s="29" t="str">
        <f t="shared" si="449"/>
        <v>0</v>
      </c>
      <c r="CU265" s="29" t="str">
        <f t="shared" si="449"/>
        <v>0</v>
      </c>
      <c r="CV265" s="29" t="str">
        <f t="shared" si="449"/>
        <v>0</v>
      </c>
      <c r="CW265" s="29" t="str">
        <f t="shared" si="449"/>
        <v>0</v>
      </c>
      <c r="CX265" s="29" t="str">
        <f t="shared" si="449"/>
        <v>0</v>
      </c>
      <c r="CY265" s="29" t="str">
        <f t="shared" si="449"/>
        <v>0</v>
      </c>
      <c r="CZ265" s="29" t="str">
        <f t="shared" si="449"/>
        <v>0</v>
      </c>
      <c r="DA265" s="29" t="str">
        <f t="shared" si="449"/>
        <v>0</v>
      </c>
      <c r="DB265" s="29" t="str">
        <f t="shared" si="449"/>
        <v>0</v>
      </c>
      <c r="DC265" s="29" t="str">
        <f t="shared" si="449"/>
        <v>0</v>
      </c>
      <c r="DD265" s="29" t="str">
        <f t="shared" si="449"/>
        <v>0</v>
      </c>
      <c r="DE265" s="29" t="str">
        <f t="shared" si="449"/>
        <v>0</v>
      </c>
      <c r="DF265" s="29" t="str">
        <f t="shared" si="449"/>
        <v>0</v>
      </c>
      <c r="DG265" s="29" t="str">
        <f t="shared" si="449"/>
        <v>0</v>
      </c>
      <c r="DH265" s="29" t="str">
        <f t="shared" si="449"/>
        <v>0</v>
      </c>
      <c r="DI265" s="29" t="str">
        <f t="shared" si="449"/>
        <v>0</v>
      </c>
      <c r="DJ265" s="29" t="str">
        <f t="shared" si="449"/>
        <v>0</v>
      </c>
      <c r="DK265" s="29" t="str">
        <f t="shared" si="449"/>
        <v>0</v>
      </c>
      <c r="DL265" s="29" t="str">
        <f t="shared" si="449"/>
        <v>0</v>
      </c>
      <c r="DM265" s="29" t="str">
        <f t="shared" si="449"/>
        <v>0</v>
      </c>
      <c r="DN265" s="29" t="str">
        <f t="shared" si="449"/>
        <v>0</v>
      </c>
      <c r="DO265" s="29" t="str">
        <f t="shared" si="449"/>
        <v>0</v>
      </c>
      <c r="DP265" s="29" t="str">
        <f t="shared" si="449"/>
        <v>0</v>
      </c>
      <c r="DQ265" s="29" t="str">
        <f t="shared" si="449"/>
        <v>0</v>
      </c>
      <c r="DS265" s="25">
        <v>0</v>
      </c>
      <c r="EE265" s="25" t="str">
        <f t="shared" si="328"/>
        <v>0</v>
      </c>
    </row>
    <row r="266" spans="1:135">
      <c r="A266" s="53">
        <v>1004008</v>
      </c>
      <c r="B266" s="49" t="s">
        <v>324</v>
      </c>
      <c r="C266" s="25">
        <f t="shared" si="299"/>
        <v>8</v>
      </c>
      <c r="D266" s="25">
        <f t="array" ref="D266">INDEX(C$5:C$67,MATCH($B266,$B$5:$B$67,0))</f>
        <v>5940</v>
      </c>
      <c r="E266" s="25">
        <f t="array" ref="E266">INDEX(D$5:D$67,MATCH($B266,$B$5:$B$67,0))</f>
        <v>475.2</v>
      </c>
      <c r="F266" s="25">
        <f t="array" ref="F266">INDEX(E$5:E$67,MATCH($B266,$B$5:$B$67,0))</f>
        <v>848</v>
      </c>
      <c r="G266" s="25">
        <f t="array" ref="G266">INDEX(F$5:F$67,MATCH($B266,$B$5:$B$67,0))</f>
        <v>67.84</v>
      </c>
      <c r="H266" s="25">
        <f t="array" ref="H266">INDEX(G$5:G$66,MATCH($B266,$B$5:$B$67,0))</f>
        <v>1103</v>
      </c>
      <c r="I266" s="25">
        <f t="array" ref="I266">INDEX(H$5:H$67,MATCH($B266,$B$5:$B$67,0))</f>
        <v>88.24</v>
      </c>
      <c r="J266" s="25">
        <f t="array" ref="J266">INDEX(I$5:I$67,MATCH($B266,$B$5:$B$67,0))</f>
        <v>1045</v>
      </c>
      <c r="K266" s="25">
        <f t="array" ref="K266">INDEX(J$5:J$67,MATCH($B266,$B$5:$B$67,0))</f>
        <v>83.6</v>
      </c>
      <c r="L266" s="25">
        <f t="shared" si="309"/>
        <v>9742</v>
      </c>
      <c r="M266" s="25">
        <f t="shared" si="310"/>
        <v>1391</v>
      </c>
      <c r="N266" s="25">
        <f t="shared" si="311"/>
        <v>1809</v>
      </c>
      <c r="O266" s="25">
        <f t="shared" si="312"/>
        <v>1714</v>
      </c>
      <c r="R266" s="50">
        <f t="array" ref="R266">INDEX($B$46:$B$68,MATCH(S266,$C$46:$C$68,0))*1000+T266</f>
        <v>1007026</v>
      </c>
      <c r="S266" s="51" t="s">
        <v>329</v>
      </c>
      <c r="T266" s="29">
        <f t="shared" si="385"/>
        <v>26</v>
      </c>
      <c r="U266" s="25">
        <f t="array" ref="U266">INDEX(K$5:K$67,MATCH($S266,$B$5:$B$67,0))</f>
        <v>383.4</v>
      </c>
      <c r="V266" s="25">
        <f t="array" ref="V266">INDEX(L$5:L$67,MATCH($S266,$B$5:$B$67,0))</f>
        <v>92.16</v>
      </c>
      <c r="W266" s="25">
        <f t="array" ref="W266">INDEX(M$5:M$67,MATCH($S266,$B$5:$B$67,0))</f>
        <v>126.72</v>
      </c>
      <c r="X266" s="25">
        <f t="array" ref="X266">INDEX(N$5:N$67,MATCH($S266,$B$5:$B$67,0))</f>
        <v>93.5</v>
      </c>
      <c r="Y266" s="25">
        <f t="shared" si="313"/>
        <v>9968</v>
      </c>
      <c r="Z266" s="25">
        <f t="shared" si="314"/>
        <v>2396</v>
      </c>
      <c r="AA266" s="25">
        <f t="shared" si="315"/>
        <v>3295</v>
      </c>
      <c r="AB266" s="25">
        <f t="shared" si="316"/>
        <v>2431</v>
      </c>
      <c r="AF266" s="25">
        <v>188</v>
      </c>
      <c r="AG266" s="25">
        <f t="array" ref="AG266">INDEX($AE$79:$AE$116,QUOTIENT(AF266-1,8)+1)</f>
        <v>1035</v>
      </c>
      <c r="AH266" s="25">
        <f t="shared" si="345"/>
        <v>4</v>
      </c>
      <c r="AI266" s="25">
        <f t="shared" si="317"/>
        <v>10354</v>
      </c>
      <c r="AJ266" s="25" t="str">
        <f t="shared" si="318"/>
        <v>碎冰者</v>
      </c>
      <c r="AK266" s="25">
        <f t="shared" si="346"/>
        <v>2</v>
      </c>
      <c r="AL266" s="25" t="str">
        <f t="array" ref="AL266">INDEX($O$5:$O$42,MATCH(AJ266,$B$5:$B$42,0))</f>
        <v>攻击百分比</v>
      </c>
      <c r="AM266" s="25" t="str">
        <f t="array" ref="AM266">INDEX($P$5:$P$42,MATCH(AJ266,$B$5:$B$42,0))</f>
        <v>暴击等级</v>
      </c>
      <c r="AN266" s="25" t="str">
        <f t="array" ref="AN266">INDEX($Q$5:$Q$42,MATCH(AJ266,$B$5:$B$42,0))</f>
        <v>必杀伤害加成</v>
      </c>
      <c r="AO266" s="25" t="str">
        <f t="array" ref="AO266">INDEX(AL266:AN266,0,AK266)</f>
        <v>暴击等级</v>
      </c>
      <c r="AP266" s="25">
        <f t="shared" si="304"/>
        <v>0.15</v>
      </c>
      <c r="AQ266" s="25">
        <f t="shared" si="319"/>
        <v>1350</v>
      </c>
      <c r="AR266" s="25" t="str">
        <f t="shared" ref="AR266:BZ266" si="450">IF(AR$78=$AO266,$AQ266,"0")</f>
        <v>0</v>
      </c>
      <c r="AS266" s="25" t="str">
        <f t="shared" si="450"/>
        <v>0</v>
      </c>
      <c r="AT266" s="25" t="str">
        <f t="shared" si="450"/>
        <v>0</v>
      </c>
      <c r="AU266" s="25" t="str">
        <f t="shared" si="450"/>
        <v>0</v>
      </c>
      <c r="AV266" s="25" t="str">
        <f t="shared" si="450"/>
        <v>0</v>
      </c>
      <c r="AW266" s="25" t="str">
        <f t="shared" si="450"/>
        <v>0</v>
      </c>
      <c r="AX266" s="25" t="str">
        <f t="shared" si="450"/>
        <v>0</v>
      </c>
      <c r="AY266" s="25" t="str">
        <f t="shared" si="450"/>
        <v>0</v>
      </c>
      <c r="AZ266" s="25" t="str">
        <f t="shared" si="450"/>
        <v>0</v>
      </c>
      <c r="BA266" s="25" t="str">
        <f t="shared" si="450"/>
        <v>0</v>
      </c>
      <c r="BB266" s="25" t="str">
        <f t="shared" si="450"/>
        <v>0</v>
      </c>
      <c r="BC266" s="25" t="str">
        <f t="shared" si="450"/>
        <v>0</v>
      </c>
      <c r="BD266" s="25" t="str">
        <f t="shared" si="450"/>
        <v>0</v>
      </c>
      <c r="BE266" s="25" t="str">
        <f t="shared" si="450"/>
        <v>0</v>
      </c>
      <c r="BF266" s="25" t="str">
        <f t="shared" si="450"/>
        <v>0</v>
      </c>
      <c r="BG266" s="25" t="str">
        <f t="shared" si="450"/>
        <v>0</v>
      </c>
      <c r="BH266" s="25" t="str">
        <f t="shared" si="450"/>
        <v>0</v>
      </c>
      <c r="BI266" s="25" t="str">
        <f t="shared" si="450"/>
        <v>0</v>
      </c>
      <c r="BJ266" s="25" t="str">
        <f t="shared" si="450"/>
        <v>0</v>
      </c>
      <c r="BK266" s="25" t="str">
        <f t="shared" si="450"/>
        <v>0</v>
      </c>
      <c r="BL266" s="25" t="str">
        <f t="shared" si="450"/>
        <v>0</v>
      </c>
      <c r="BM266" s="25" t="str">
        <f t="shared" si="450"/>
        <v>0</v>
      </c>
      <c r="BN266" s="25" t="str">
        <f t="shared" si="450"/>
        <v>0</v>
      </c>
      <c r="BO266" s="25" t="str">
        <f t="shared" si="450"/>
        <v>0</v>
      </c>
      <c r="BP266" s="25" t="str">
        <f t="shared" si="450"/>
        <v>0</v>
      </c>
      <c r="BQ266" s="25" t="str">
        <f t="shared" si="450"/>
        <v>0</v>
      </c>
      <c r="BR266" s="25" t="str">
        <f t="shared" si="450"/>
        <v>0</v>
      </c>
      <c r="BS266" s="25" t="str">
        <f t="shared" si="450"/>
        <v>0</v>
      </c>
      <c r="BT266" s="25" t="str">
        <f t="shared" si="450"/>
        <v>0</v>
      </c>
      <c r="BU266" s="25" t="str">
        <f t="shared" si="450"/>
        <v>0</v>
      </c>
      <c r="BV266" s="25" t="str">
        <f t="shared" si="450"/>
        <v>0</v>
      </c>
      <c r="BW266" s="25">
        <f t="shared" si="450"/>
        <v>1350</v>
      </c>
      <c r="BX266" s="25" t="str">
        <f t="shared" si="450"/>
        <v>0</v>
      </c>
      <c r="BY266" s="25" t="str">
        <f t="shared" si="450"/>
        <v>0</v>
      </c>
      <c r="BZ266" s="25" t="str">
        <f t="shared" si="450"/>
        <v>0</v>
      </c>
      <c r="CC266" s="25" t="str">
        <f t="array" ref="CC266">INDEX($C$46:$C$74,MATCH(CD266,$B$46:$B$74,0))</f>
        <v>桑尼商队战斗员</v>
      </c>
      <c r="CD266" s="29">
        <v>1038</v>
      </c>
      <c r="CE266" s="1">
        <v>5</v>
      </c>
      <c r="CF266" s="25" t="str">
        <f t="array" ref="CF266">INDEX($T$5:$T$44,MATCH(CC266,$B$5:$B$44,0))</f>
        <v>物理</v>
      </c>
      <c r="CG266" s="25">
        <f t="shared" si="342"/>
        <v>0.3</v>
      </c>
      <c r="CH266" s="25">
        <f t="shared" si="321"/>
        <v>1.3</v>
      </c>
      <c r="CI266" s="25">
        <f t="shared" si="322"/>
        <v>1.3</v>
      </c>
      <c r="CJ266" s="25">
        <f t="shared" si="323"/>
        <v>1</v>
      </c>
      <c r="CK266" s="25">
        <f t="shared" si="324"/>
        <v>1.3</v>
      </c>
      <c r="CL266" s="25" t="str">
        <f t="array" ref="CL266">INDEX($S$5:$S$43,MATCH(CC266,$B$5:$B$43,0))</f>
        <v>技能冷却等级</v>
      </c>
      <c r="CM266" s="25">
        <f t="shared" si="343"/>
        <v>0.3</v>
      </c>
      <c r="CN266" s="25">
        <f t="shared" si="325"/>
        <v>3900</v>
      </c>
      <c r="CO266" s="25">
        <f t="shared" si="326"/>
        <v>1</v>
      </c>
      <c r="CP266" s="29" t="str">
        <f t="shared" ref="CP266:DQ266" si="451">IF($CL266=CP$78,$CN266,"0")</f>
        <v>0</v>
      </c>
      <c r="CQ266" s="29" t="str">
        <f t="shared" si="451"/>
        <v>0</v>
      </c>
      <c r="CR266" s="29" t="str">
        <f t="shared" si="451"/>
        <v>0</v>
      </c>
      <c r="CS266" s="29" t="str">
        <f t="shared" si="451"/>
        <v>0</v>
      </c>
      <c r="CT266" s="29" t="str">
        <f t="shared" si="451"/>
        <v>0</v>
      </c>
      <c r="CU266" s="29" t="str">
        <f t="shared" si="451"/>
        <v>0</v>
      </c>
      <c r="CV266" s="29" t="str">
        <f t="shared" si="451"/>
        <v>0</v>
      </c>
      <c r="CW266" s="29" t="str">
        <f t="shared" si="451"/>
        <v>0</v>
      </c>
      <c r="CX266" s="29" t="str">
        <f t="shared" si="451"/>
        <v>0</v>
      </c>
      <c r="CY266" s="29" t="str">
        <f t="shared" si="451"/>
        <v>0</v>
      </c>
      <c r="CZ266" s="29" t="str">
        <f t="shared" si="451"/>
        <v>0</v>
      </c>
      <c r="DA266" s="29" t="str">
        <f t="shared" si="451"/>
        <v>0</v>
      </c>
      <c r="DB266" s="29" t="str">
        <f t="shared" si="451"/>
        <v>0</v>
      </c>
      <c r="DC266" s="29" t="str">
        <f t="shared" si="451"/>
        <v>0</v>
      </c>
      <c r="DD266" s="29" t="str">
        <f t="shared" si="451"/>
        <v>0</v>
      </c>
      <c r="DE266" s="29" t="str">
        <f t="shared" si="451"/>
        <v>0</v>
      </c>
      <c r="DF266" s="29" t="str">
        <f t="shared" si="451"/>
        <v>0</v>
      </c>
      <c r="DG266" s="29" t="str">
        <f t="shared" si="451"/>
        <v>0</v>
      </c>
      <c r="DH266" s="29" t="str">
        <f t="shared" si="451"/>
        <v>0</v>
      </c>
      <c r="DI266" s="29" t="str">
        <f t="shared" si="451"/>
        <v>0</v>
      </c>
      <c r="DJ266" s="29" t="str">
        <f t="shared" si="451"/>
        <v>0</v>
      </c>
      <c r="DK266" s="29" t="str">
        <f t="shared" si="451"/>
        <v>0</v>
      </c>
      <c r="DL266" s="29" t="str">
        <f t="shared" si="451"/>
        <v>0</v>
      </c>
      <c r="DM266" s="29" t="str">
        <f t="shared" si="451"/>
        <v>0</v>
      </c>
      <c r="DN266" s="29" t="str">
        <f t="shared" si="451"/>
        <v>0</v>
      </c>
      <c r="DO266" s="29" t="str">
        <f t="shared" si="451"/>
        <v>0</v>
      </c>
      <c r="DP266" s="29" t="str">
        <f t="shared" si="451"/>
        <v>0</v>
      </c>
      <c r="DQ266" s="29">
        <f t="shared" si="451"/>
        <v>3900</v>
      </c>
      <c r="DS266" s="25" t="s">
        <v>1011</v>
      </c>
      <c r="DT266" s="25" t="str">
        <f>TEXT(角色升星!$F$18,"0%")</f>
        <v>15%</v>
      </c>
      <c r="DU266" s="25" t="s">
        <v>779</v>
      </c>
      <c r="DV266" s="25" t="str">
        <f>IF(CF266="物理","PhysicsAttack,+","MagicAttack,+")</f>
        <v>PhysicsAttack,+</v>
      </c>
      <c r="DW266" s="25" t="str">
        <f>TEXT(角色升星!$F$18,"0%")</f>
        <v>15%</v>
      </c>
      <c r="DX266" s="25" t="s">
        <v>779</v>
      </c>
      <c r="DY266" s="25" t="s">
        <v>1012</v>
      </c>
      <c r="DZ266" s="25" t="str">
        <f>TEXT(角色升星!$F$18,"0%")</f>
        <v>15%</v>
      </c>
      <c r="EA266" s="25" t="s">
        <v>779</v>
      </c>
      <c r="EB266" s="25" t="str">
        <f>VLOOKUP(CL266,$O$46:$P$73,2,0)</f>
        <v>CoolDownReduceLevel</v>
      </c>
      <c r="EC266" s="25" t="s">
        <v>1013</v>
      </c>
      <c r="ED266" s="25">
        <f>IF(CN266&gt;1,CN266,TEXT(CN266,"0%"))</f>
        <v>3900</v>
      </c>
      <c r="EE266" s="25" t="str">
        <f t="shared" si="328"/>
        <v>Hp,+15%;PhysicsAttack,+15%;Armor,+15%;CoolDownReduceLevel,+3900</v>
      </c>
    </row>
    <row r="267" spans="1:135">
      <c r="A267" s="53">
        <v>1004009</v>
      </c>
      <c r="B267" s="49" t="s">
        <v>324</v>
      </c>
      <c r="C267" s="25">
        <f t="shared" ref="C267:C330" si="452">C207</f>
        <v>9</v>
      </c>
      <c r="D267" s="25">
        <f t="array" ref="D267">INDEX(C$5:C$67,MATCH($B267,$B$5:$B$67,0))</f>
        <v>5940</v>
      </c>
      <c r="E267" s="25">
        <f t="array" ref="E267">INDEX(D$5:D$67,MATCH($B267,$B$5:$B$67,0))</f>
        <v>475.2</v>
      </c>
      <c r="F267" s="25">
        <f t="array" ref="F267">INDEX(E$5:E$67,MATCH($B267,$B$5:$B$67,0))</f>
        <v>848</v>
      </c>
      <c r="G267" s="25">
        <f t="array" ref="G267">INDEX(F$5:F$67,MATCH($B267,$B$5:$B$67,0))</f>
        <v>67.84</v>
      </c>
      <c r="H267" s="25">
        <f t="array" ref="H267">INDEX(G$5:G$66,MATCH($B267,$B$5:$B$67,0))</f>
        <v>1103</v>
      </c>
      <c r="I267" s="25">
        <f t="array" ref="I267">INDEX(H$5:H$67,MATCH($B267,$B$5:$B$67,0))</f>
        <v>88.24</v>
      </c>
      <c r="J267" s="25">
        <f t="array" ref="J267">INDEX(I$5:I$67,MATCH($B267,$B$5:$B$67,0))</f>
        <v>1045</v>
      </c>
      <c r="K267" s="25">
        <f t="array" ref="K267">INDEX(J$5:J$67,MATCH($B267,$B$5:$B$67,0))</f>
        <v>83.6</v>
      </c>
      <c r="L267" s="25">
        <f t="shared" si="309"/>
        <v>10217</v>
      </c>
      <c r="M267" s="25">
        <f t="shared" si="310"/>
        <v>1459</v>
      </c>
      <c r="N267" s="25">
        <f t="shared" si="311"/>
        <v>1897</v>
      </c>
      <c r="O267" s="25">
        <f t="shared" si="312"/>
        <v>1797</v>
      </c>
      <c r="R267" s="50">
        <f t="array" ref="R267">INDEX($B$46:$B$68,MATCH(S267,$C$46:$C$68,0))*1000+T267</f>
        <v>1007027</v>
      </c>
      <c r="S267" s="51" t="s">
        <v>329</v>
      </c>
      <c r="T267" s="29">
        <f t="shared" si="385"/>
        <v>27</v>
      </c>
      <c r="U267" s="25">
        <f t="array" ref="U267">INDEX(K$5:K$67,MATCH($S267,$B$5:$B$67,0))</f>
        <v>383.4</v>
      </c>
      <c r="V267" s="25">
        <f t="array" ref="V267">INDEX(L$5:L$67,MATCH($S267,$B$5:$B$67,0))</f>
        <v>92.16</v>
      </c>
      <c r="W267" s="25">
        <f t="array" ref="W267">INDEX(M$5:M$67,MATCH($S267,$B$5:$B$67,0))</f>
        <v>126.72</v>
      </c>
      <c r="X267" s="25">
        <f t="array" ref="X267">INDEX(N$5:N$67,MATCH($S267,$B$5:$B$67,0))</f>
        <v>93.5</v>
      </c>
      <c r="Y267" s="25">
        <f t="shared" si="313"/>
        <v>10352</v>
      </c>
      <c r="Z267" s="25">
        <f t="shared" si="314"/>
        <v>2488</v>
      </c>
      <c r="AA267" s="25">
        <f t="shared" si="315"/>
        <v>3421</v>
      </c>
      <c r="AB267" s="25">
        <f t="shared" si="316"/>
        <v>2525</v>
      </c>
      <c r="AF267" s="25">
        <v>189</v>
      </c>
      <c r="AG267" s="25">
        <f t="array" ref="AG267">INDEX($AE$79:$AE$116,QUOTIENT(AF267-1,8)+1)</f>
        <v>1035</v>
      </c>
      <c r="AH267" s="25">
        <f t="shared" si="345"/>
        <v>5</v>
      </c>
      <c r="AI267" s="25">
        <f t="shared" si="317"/>
        <v>10355</v>
      </c>
      <c r="AJ267" s="25" t="str">
        <f t="shared" si="318"/>
        <v>碎冰者</v>
      </c>
      <c r="AK267" s="25">
        <f t="shared" si="346"/>
        <v>3</v>
      </c>
      <c r="AL267" s="25" t="str">
        <f t="array" ref="AL267">INDEX($O$5:$O$42,MATCH(AJ267,$B$5:$B$42,0))</f>
        <v>攻击百分比</v>
      </c>
      <c r="AM267" s="25" t="str">
        <f t="array" ref="AM267">INDEX($P$5:$P$42,MATCH(AJ267,$B$5:$B$42,0))</f>
        <v>暴击等级</v>
      </c>
      <c r="AN267" s="25" t="str">
        <f t="array" ref="AN267">INDEX($Q$5:$Q$42,MATCH(AJ267,$B$5:$B$42,0))</f>
        <v>必杀伤害加成</v>
      </c>
      <c r="AO267" s="25" t="str">
        <f t="array" ref="AO267">INDEX(AL267:AN267,0,AK267)</f>
        <v>必杀伤害加成</v>
      </c>
      <c r="AP267" s="25">
        <f t="shared" si="304"/>
        <v>0.216666666666667</v>
      </c>
      <c r="AQ267" s="25">
        <f t="shared" si="319"/>
        <v>0.26</v>
      </c>
      <c r="AR267" s="25" t="str">
        <f t="shared" ref="AR267:BZ267" si="453">IF(AR$78=$AO267,$AQ267,"0")</f>
        <v>0</v>
      </c>
      <c r="AS267" s="25" t="str">
        <f t="shared" si="453"/>
        <v>0</v>
      </c>
      <c r="AT267" s="25" t="str">
        <f t="shared" si="453"/>
        <v>0</v>
      </c>
      <c r="AU267" s="25" t="str">
        <f t="shared" si="453"/>
        <v>0</v>
      </c>
      <c r="AV267" s="25" t="str">
        <f t="shared" si="453"/>
        <v>0</v>
      </c>
      <c r="AW267" s="25" t="str">
        <f t="shared" si="453"/>
        <v>0</v>
      </c>
      <c r="AX267" s="25" t="str">
        <f t="shared" si="453"/>
        <v>0</v>
      </c>
      <c r="AY267" s="25" t="str">
        <f t="shared" si="453"/>
        <v>0</v>
      </c>
      <c r="AZ267" s="25" t="str">
        <f t="shared" si="453"/>
        <v>0</v>
      </c>
      <c r="BA267" s="25" t="str">
        <f t="shared" si="453"/>
        <v>0</v>
      </c>
      <c r="BB267" s="25" t="str">
        <f t="shared" si="453"/>
        <v>0</v>
      </c>
      <c r="BC267" s="25" t="str">
        <f t="shared" si="453"/>
        <v>0</v>
      </c>
      <c r="BD267" s="25" t="str">
        <f t="shared" si="453"/>
        <v>0</v>
      </c>
      <c r="BE267" s="25" t="str">
        <f t="shared" si="453"/>
        <v>0</v>
      </c>
      <c r="BF267" s="25" t="str">
        <f t="shared" si="453"/>
        <v>0</v>
      </c>
      <c r="BG267" s="25" t="str">
        <f t="shared" si="453"/>
        <v>0</v>
      </c>
      <c r="BH267" s="25" t="str">
        <f t="shared" si="453"/>
        <v>0</v>
      </c>
      <c r="BI267" s="25" t="str">
        <f t="shared" si="453"/>
        <v>0</v>
      </c>
      <c r="BJ267" s="25" t="str">
        <f t="shared" si="453"/>
        <v>0</v>
      </c>
      <c r="BK267" s="25" t="str">
        <f t="shared" si="453"/>
        <v>0</v>
      </c>
      <c r="BL267" s="25" t="str">
        <f t="shared" si="453"/>
        <v>0</v>
      </c>
      <c r="BM267" s="25" t="str">
        <f t="shared" si="453"/>
        <v>0</v>
      </c>
      <c r="BN267" s="25" t="str">
        <f t="shared" si="453"/>
        <v>0</v>
      </c>
      <c r="BO267" s="25">
        <f t="shared" si="453"/>
        <v>0.26</v>
      </c>
      <c r="BP267" s="25" t="str">
        <f t="shared" si="453"/>
        <v>0</v>
      </c>
      <c r="BQ267" s="25" t="str">
        <f t="shared" si="453"/>
        <v>0</v>
      </c>
      <c r="BR267" s="25" t="str">
        <f t="shared" si="453"/>
        <v>0</v>
      </c>
      <c r="BS267" s="25" t="str">
        <f t="shared" si="453"/>
        <v>0</v>
      </c>
      <c r="BT267" s="25" t="str">
        <f t="shared" si="453"/>
        <v>0</v>
      </c>
      <c r="BU267" s="25" t="str">
        <f t="shared" si="453"/>
        <v>0</v>
      </c>
      <c r="BV267" s="25" t="str">
        <f t="shared" si="453"/>
        <v>0</v>
      </c>
      <c r="BW267" s="25" t="str">
        <f t="shared" si="453"/>
        <v>0</v>
      </c>
      <c r="BX267" s="25" t="str">
        <f t="shared" si="453"/>
        <v>0</v>
      </c>
      <c r="BY267" s="25" t="str">
        <f t="shared" si="453"/>
        <v>0</v>
      </c>
      <c r="BZ267" s="25" t="str">
        <f t="shared" si="453"/>
        <v>0</v>
      </c>
      <c r="CC267" s="25" t="str">
        <f t="array" ref="CC267">INDEX($C$46:$C$74,MATCH(CD267,$B$46:$B$74,0))</f>
        <v>桑尼商队战斗员</v>
      </c>
      <c r="CD267" s="29">
        <v>1038</v>
      </c>
      <c r="CE267" s="1">
        <v>6</v>
      </c>
      <c r="CF267" s="25" t="str">
        <f t="array" ref="CF267">INDEX($T$5:$T$44,MATCH(CC267,$B$5:$B$44,0))</f>
        <v>物理</v>
      </c>
      <c r="CG267" s="25">
        <f t="shared" si="342"/>
        <v>0.3</v>
      </c>
      <c r="CH267" s="25">
        <f t="shared" si="321"/>
        <v>1.3</v>
      </c>
      <c r="CI267" s="25">
        <f t="shared" si="322"/>
        <v>1.3</v>
      </c>
      <c r="CJ267" s="25">
        <f t="shared" si="323"/>
        <v>1</v>
      </c>
      <c r="CK267" s="25">
        <f t="shared" si="324"/>
        <v>1.3</v>
      </c>
      <c r="CL267" s="25">
        <v>0</v>
      </c>
      <c r="CM267" s="25">
        <f t="shared" si="343"/>
        <v>0</v>
      </c>
      <c r="CN267" s="25">
        <f t="shared" si="325"/>
        <v>0</v>
      </c>
      <c r="CO267" s="25">
        <f t="shared" si="326"/>
        <v>0</v>
      </c>
      <c r="CP267" s="29" t="str">
        <f t="shared" ref="CP267:DQ267" si="454">IF($CL267=CP$78,$CN267,"0")</f>
        <v>0</v>
      </c>
      <c r="CQ267" s="29" t="str">
        <f t="shared" si="454"/>
        <v>0</v>
      </c>
      <c r="CR267" s="29" t="str">
        <f t="shared" si="454"/>
        <v>0</v>
      </c>
      <c r="CS267" s="29" t="str">
        <f t="shared" si="454"/>
        <v>0</v>
      </c>
      <c r="CT267" s="29" t="str">
        <f t="shared" si="454"/>
        <v>0</v>
      </c>
      <c r="CU267" s="29" t="str">
        <f t="shared" si="454"/>
        <v>0</v>
      </c>
      <c r="CV267" s="29" t="str">
        <f t="shared" si="454"/>
        <v>0</v>
      </c>
      <c r="CW267" s="29" t="str">
        <f t="shared" si="454"/>
        <v>0</v>
      </c>
      <c r="CX267" s="29" t="str">
        <f t="shared" si="454"/>
        <v>0</v>
      </c>
      <c r="CY267" s="29" t="str">
        <f t="shared" si="454"/>
        <v>0</v>
      </c>
      <c r="CZ267" s="29" t="str">
        <f t="shared" si="454"/>
        <v>0</v>
      </c>
      <c r="DA267" s="29" t="str">
        <f t="shared" si="454"/>
        <v>0</v>
      </c>
      <c r="DB267" s="29" t="str">
        <f t="shared" si="454"/>
        <v>0</v>
      </c>
      <c r="DC267" s="29" t="str">
        <f t="shared" si="454"/>
        <v>0</v>
      </c>
      <c r="DD267" s="29" t="str">
        <f t="shared" si="454"/>
        <v>0</v>
      </c>
      <c r="DE267" s="29" t="str">
        <f t="shared" si="454"/>
        <v>0</v>
      </c>
      <c r="DF267" s="29" t="str">
        <f t="shared" si="454"/>
        <v>0</v>
      </c>
      <c r="DG267" s="29" t="str">
        <f t="shared" si="454"/>
        <v>0</v>
      </c>
      <c r="DH267" s="29" t="str">
        <f t="shared" si="454"/>
        <v>0</v>
      </c>
      <c r="DI267" s="29" t="str">
        <f t="shared" si="454"/>
        <v>0</v>
      </c>
      <c r="DJ267" s="29" t="str">
        <f t="shared" si="454"/>
        <v>0</v>
      </c>
      <c r="DK267" s="29" t="str">
        <f t="shared" si="454"/>
        <v>0</v>
      </c>
      <c r="DL267" s="29" t="str">
        <f t="shared" si="454"/>
        <v>0</v>
      </c>
      <c r="DM267" s="29" t="str">
        <f t="shared" si="454"/>
        <v>0</v>
      </c>
      <c r="DN267" s="29" t="str">
        <f t="shared" si="454"/>
        <v>0</v>
      </c>
      <c r="DO267" s="29" t="str">
        <f t="shared" si="454"/>
        <v>0</v>
      </c>
      <c r="DP267" s="29" t="str">
        <f t="shared" si="454"/>
        <v>0</v>
      </c>
      <c r="DQ267" s="29" t="str">
        <f t="shared" si="454"/>
        <v>0</v>
      </c>
      <c r="DS267" s="25">
        <v>0</v>
      </c>
      <c r="EE267" s="25" t="str">
        <f t="shared" si="328"/>
        <v>0</v>
      </c>
    </row>
    <row r="268" spans="1:135">
      <c r="A268" s="53">
        <v>1004010</v>
      </c>
      <c r="B268" s="49" t="s">
        <v>324</v>
      </c>
      <c r="C268" s="25">
        <f t="shared" si="452"/>
        <v>10</v>
      </c>
      <c r="D268" s="25">
        <f t="array" ref="D268">INDEX(C$5:C$67,MATCH($B268,$B$5:$B$67,0))</f>
        <v>5940</v>
      </c>
      <c r="E268" s="25">
        <f t="array" ref="E268">INDEX(D$5:D$67,MATCH($B268,$B$5:$B$67,0))</f>
        <v>475.2</v>
      </c>
      <c r="F268" s="25">
        <f t="array" ref="F268">INDEX(E$5:E$67,MATCH($B268,$B$5:$B$67,0))</f>
        <v>848</v>
      </c>
      <c r="G268" s="25">
        <f t="array" ref="G268">INDEX(F$5:F$67,MATCH($B268,$B$5:$B$67,0))</f>
        <v>67.84</v>
      </c>
      <c r="H268" s="25">
        <f t="array" ref="H268">INDEX(G$5:G$66,MATCH($B268,$B$5:$B$67,0))</f>
        <v>1103</v>
      </c>
      <c r="I268" s="25">
        <f t="array" ref="I268">INDEX(H$5:H$67,MATCH($B268,$B$5:$B$67,0))</f>
        <v>88.24</v>
      </c>
      <c r="J268" s="25">
        <f t="array" ref="J268">INDEX(I$5:I$67,MATCH($B268,$B$5:$B$67,0))</f>
        <v>1045</v>
      </c>
      <c r="K268" s="25">
        <f t="array" ref="K268">INDEX(J$5:J$67,MATCH($B268,$B$5:$B$67,0))</f>
        <v>83.6</v>
      </c>
      <c r="L268" s="25">
        <f t="shared" si="309"/>
        <v>10692</v>
      </c>
      <c r="M268" s="25">
        <f t="shared" si="310"/>
        <v>1526</v>
      </c>
      <c r="N268" s="25">
        <f t="shared" si="311"/>
        <v>1985</v>
      </c>
      <c r="O268" s="25">
        <f t="shared" si="312"/>
        <v>1881</v>
      </c>
      <c r="R268" s="50">
        <f t="array" ref="R268">INDEX($B$46:$B$68,MATCH(S268,$C$46:$C$68,0))*1000+T268</f>
        <v>1008001</v>
      </c>
      <c r="S268" s="51" t="s">
        <v>332</v>
      </c>
      <c r="T268" s="29">
        <f t="shared" si="385"/>
        <v>1</v>
      </c>
      <c r="U268" s="25">
        <f t="array" ref="U268">INDEX(K$5:K$67,MATCH($S268,$B$5:$B$67,0))</f>
        <v>383.4</v>
      </c>
      <c r="V268" s="25">
        <f t="array" ref="V268">INDEX(L$5:L$67,MATCH($S268,$B$5:$B$67,0))</f>
        <v>140.45</v>
      </c>
      <c r="W268" s="25">
        <f t="array" ref="W268">INDEX(M$5:M$67,MATCH($S268,$B$5:$B$67,0))</f>
        <v>140.45</v>
      </c>
      <c r="X268" s="25">
        <f t="array" ref="X268">INDEX(N$5:N$67,MATCH($S268,$B$5:$B$67,0))</f>
        <v>85</v>
      </c>
      <c r="Y268" s="25">
        <f t="shared" si="313"/>
        <v>383</v>
      </c>
      <c r="Z268" s="25">
        <f t="shared" si="314"/>
        <v>140</v>
      </c>
      <c r="AA268" s="25">
        <f t="shared" si="315"/>
        <v>140</v>
      </c>
      <c r="AB268" s="25">
        <f t="shared" si="316"/>
        <v>85</v>
      </c>
      <c r="AF268" s="25">
        <v>190</v>
      </c>
      <c r="AG268" s="25">
        <f t="array" ref="AG268">INDEX($AE$79:$AE$116,QUOTIENT(AF268-1,8)+1)</f>
        <v>1035</v>
      </c>
      <c r="AH268" s="25">
        <f t="shared" si="345"/>
        <v>6</v>
      </c>
      <c r="AI268" s="25">
        <f t="shared" si="317"/>
        <v>10356</v>
      </c>
      <c r="AJ268" s="25" t="str">
        <f t="shared" si="318"/>
        <v>碎冰者</v>
      </c>
      <c r="AK268" s="25">
        <f t="shared" si="346"/>
        <v>1</v>
      </c>
      <c r="AL268" s="25" t="str">
        <f t="array" ref="AL268">INDEX($O$5:$O$42,MATCH(AJ268,$B$5:$B$42,0))</f>
        <v>攻击百分比</v>
      </c>
      <c r="AM268" s="25" t="str">
        <f t="array" ref="AM268">INDEX($P$5:$P$42,MATCH(AJ268,$B$5:$B$42,0))</f>
        <v>暴击等级</v>
      </c>
      <c r="AN268" s="25" t="str">
        <f t="array" ref="AN268">INDEX($Q$5:$Q$42,MATCH(AJ268,$B$5:$B$42,0))</f>
        <v>必杀伤害加成</v>
      </c>
      <c r="AO268" s="25" t="str">
        <f t="array" ref="AO268">INDEX(AL268:AN268,0,AK268)</f>
        <v>攻击百分比</v>
      </c>
      <c r="AP268" s="25">
        <f t="shared" si="304"/>
        <v>0.216666666666667</v>
      </c>
      <c r="AQ268" s="25">
        <f t="shared" si="319"/>
        <v>0.216666666666667</v>
      </c>
      <c r="AR268" s="25" t="str">
        <f t="shared" ref="AR268:BZ268" si="455">IF(AR$78=$AO268,$AQ268,"0")</f>
        <v>0</v>
      </c>
      <c r="AS268" s="25" t="str">
        <f t="shared" si="455"/>
        <v>0</v>
      </c>
      <c r="AT268" s="25" t="str">
        <f t="shared" si="455"/>
        <v>0</v>
      </c>
      <c r="AU268" s="25">
        <f t="shared" si="455"/>
        <v>0.216666666666667</v>
      </c>
      <c r="AV268" s="25" t="str">
        <f t="shared" si="455"/>
        <v>0</v>
      </c>
      <c r="AW268" s="25">
        <f t="shared" si="455"/>
        <v>0.216666666666667</v>
      </c>
      <c r="AX268" s="25" t="str">
        <f t="shared" si="455"/>
        <v>0</v>
      </c>
      <c r="AY268" s="25" t="str">
        <f t="shared" si="455"/>
        <v>0</v>
      </c>
      <c r="AZ268" s="25" t="str">
        <f t="shared" si="455"/>
        <v>0</v>
      </c>
      <c r="BA268" s="25" t="str">
        <f t="shared" si="455"/>
        <v>0</v>
      </c>
      <c r="BB268" s="25" t="str">
        <f t="shared" si="455"/>
        <v>0</v>
      </c>
      <c r="BC268" s="25" t="str">
        <f t="shared" si="455"/>
        <v>0</v>
      </c>
      <c r="BD268" s="25" t="str">
        <f t="shared" si="455"/>
        <v>0</v>
      </c>
      <c r="BE268" s="25" t="str">
        <f t="shared" si="455"/>
        <v>0</v>
      </c>
      <c r="BF268" s="25" t="str">
        <f t="shared" si="455"/>
        <v>0</v>
      </c>
      <c r="BG268" s="25" t="str">
        <f t="shared" si="455"/>
        <v>0</v>
      </c>
      <c r="BH268" s="25" t="str">
        <f t="shared" si="455"/>
        <v>0</v>
      </c>
      <c r="BI268" s="25" t="str">
        <f t="shared" si="455"/>
        <v>0</v>
      </c>
      <c r="BJ268" s="25" t="str">
        <f t="shared" si="455"/>
        <v>0</v>
      </c>
      <c r="BK268" s="25" t="str">
        <f t="shared" si="455"/>
        <v>0</v>
      </c>
      <c r="BL268" s="25" t="str">
        <f t="shared" si="455"/>
        <v>0</v>
      </c>
      <c r="BM268" s="25" t="str">
        <f t="shared" si="455"/>
        <v>0</v>
      </c>
      <c r="BN268" s="25" t="str">
        <f t="shared" si="455"/>
        <v>0</v>
      </c>
      <c r="BO268" s="25" t="str">
        <f t="shared" si="455"/>
        <v>0</v>
      </c>
      <c r="BP268" s="25" t="str">
        <f t="shared" si="455"/>
        <v>0</v>
      </c>
      <c r="BQ268" s="25" t="str">
        <f t="shared" si="455"/>
        <v>0</v>
      </c>
      <c r="BR268" s="25" t="str">
        <f t="shared" si="455"/>
        <v>0</v>
      </c>
      <c r="BS268" s="25" t="str">
        <f t="shared" si="455"/>
        <v>0</v>
      </c>
      <c r="BT268" s="25" t="str">
        <f t="shared" si="455"/>
        <v>0</v>
      </c>
      <c r="BU268" s="25" t="str">
        <f t="shared" si="455"/>
        <v>0</v>
      </c>
      <c r="BV268" s="25" t="str">
        <f t="shared" si="455"/>
        <v>0</v>
      </c>
      <c r="BW268" s="25" t="str">
        <f t="shared" si="455"/>
        <v>0</v>
      </c>
      <c r="BX268" s="25" t="str">
        <f t="shared" si="455"/>
        <v>0</v>
      </c>
      <c r="BY268" s="25" t="str">
        <f t="shared" si="455"/>
        <v>0</v>
      </c>
      <c r="BZ268" s="25" t="str">
        <f t="shared" si="455"/>
        <v>0</v>
      </c>
      <c r="CC268" s="25" t="str">
        <f t="array" ref="CC268">INDEX($C$46:$C$74,MATCH(CD268,$B$46:$B$74,0))</f>
        <v>桑尼商队枪手</v>
      </c>
      <c r="CD268" s="29">
        <v>1039</v>
      </c>
      <c r="CE268" s="1">
        <v>0</v>
      </c>
      <c r="CF268" s="25" t="str">
        <f t="array" ref="CF268">INDEX($T$5:$T$44,MATCH(CC268,$B$5:$B$44,0))</f>
        <v>物理</v>
      </c>
      <c r="CG268" s="25">
        <f t="shared" si="342"/>
        <v>0</v>
      </c>
      <c r="CH268" s="25">
        <f t="shared" si="321"/>
        <v>1</v>
      </c>
      <c r="CI268" s="25">
        <f t="shared" si="322"/>
        <v>1</v>
      </c>
      <c r="CJ268" s="25">
        <f t="shared" si="323"/>
        <v>1</v>
      </c>
      <c r="CK268" s="25">
        <f t="shared" si="324"/>
        <v>1</v>
      </c>
      <c r="CL268" s="25">
        <v>0</v>
      </c>
      <c r="CM268" s="25">
        <f t="shared" si="343"/>
        <v>0</v>
      </c>
      <c r="CN268" s="25">
        <f t="shared" si="325"/>
        <v>0</v>
      </c>
      <c r="CO268" s="25">
        <f t="shared" si="326"/>
        <v>0</v>
      </c>
      <c r="CP268" s="29" t="str">
        <f t="shared" ref="CP268:DQ268" si="456">IF($CL268=CP$78,$CN268,"0")</f>
        <v>0</v>
      </c>
      <c r="CQ268" s="29" t="str">
        <f t="shared" si="456"/>
        <v>0</v>
      </c>
      <c r="CR268" s="29" t="str">
        <f t="shared" si="456"/>
        <v>0</v>
      </c>
      <c r="CS268" s="29" t="str">
        <f t="shared" si="456"/>
        <v>0</v>
      </c>
      <c r="CT268" s="29" t="str">
        <f t="shared" si="456"/>
        <v>0</v>
      </c>
      <c r="CU268" s="29" t="str">
        <f t="shared" si="456"/>
        <v>0</v>
      </c>
      <c r="CV268" s="29" t="str">
        <f t="shared" si="456"/>
        <v>0</v>
      </c>
      <c r="CW268" s="29" t="str">
        <f t="shared" si="456"/>
        <v>0</v>
      </c>
      <c r="CX268" s="29" t="str">
        <f t="shared" si="456"/>
        <v>0</v>
      </c>
      <c r="CY268" s="29" t="str">
        <f t="shared" si="456"/>
        <v>0</v>
      </c>
      <c r="CZ268" s="29" t="str">
        <f t="shared" si="456"/>
        <v>0</v>
      </c>
      <c r="DA268" s="29" t="str">
        <f t="shared" si="456"/>
        <v>0</v>
      </c>
      <c r="DB268" s="29" t="str">
        <f t="shared" si="456"/>
        <v>0</v>
      </c>
      <c r="DC268" s="29" t="str">
        <f t="shared" si="456"/>
        <v>0</v>
      </c>
      <c r="DD268" s="29" t="str">
        <f t="shared" si="456"/>
        <v>0</v>
      </c>
      <c r="DE268" s="29" t="str">
        <f t="shared" si="456"/>
        <v>0</v>
      </c>
      <c r="DF268" s="29" t="str">
        <f t="shared" si="456"/>
        <v>0</v>
      </c>
      <c r="DG268" s="29" t="str">
        <f t="shared" si="456"/>
        <v>0</v>
      </c>
      <c r="DH268" s="29" t="str">
        <f t="shared" si="456"/>
        <v>0</v>
      </c>
      <c r="DI268" s="29" t="str">
        <f t="shared" si="456"/>
        <v>0</v>
      </c>
      <c r="DJ268" s="29" t="str">
        <f t="shared" si="456"/>
        <v>0</v>
      </c>
      <c r="DK268" s="29" t="str">
        <f t="shared" si="456"/>
        <v>0</v>
      </c>
      <c r="DL268" s="29" t="str">
        <f t="shared" si="456"/>
        <v>0</v>
      </c>
      <c r="DM268" s="29" t="str">
        <f t="shared" si="456"/>
        <v>0</v>
      </c>
      <c r="DN268" s="29" t="str">
        <f t="shared" si="456"/>
        <v>0</v>
      </c>
      <c r="DO268" s="29" t="str">
        <f t="shared" si="456"/>
        <v>0</v>
      </c>
      <c r="DP268" s="29" t="str">
        <f t="shared" si="456"/>
        <v>0</v>
      </c>
      <c r="DQ268" s="29" t="str">
        <f t="shared" si="456"/>
        <v>0</v>
      </c>
      <c r="DS268" s="25">
        <v>0</v>
      </c>
      <c r="EE268" s="25" t="str">
        <f t="shared" si="328"/>
        <v>0</v>
      </c>
    </row>
    <row r="269" spans="1:135">
      <c r="A269" s="53">
        <v>1004011</v>
      </c>
      <c r="B269" s="49" t="s">
        <v>324</v>
      </c>
      <c r="C269" s="25">
        <f t="shared" si="452"/>
        <v>11</v>
      </c>
      <c r="D269" s="25">
        <f t="array" ref="D269">INDEX(C$5:C$67,MATCH($B269,$B$5:$B$67,0))</f>
        <v>5940</v>
      </c>
      <c r="E269" s="25">
        <f t="array" ref="E269">INDEX(D$5:D$67,MATCH($B269,$B$5:$B$67,0))</f>
        <v>475.2</v>
      </c>
      <c r="F269" s="25">
        <f t="array" ref="F269">INDEX(E$5:E$67,MATCH($B269,$B$5:$B$67,0))</f>
        <v>848</v>
      </c>
      <c r="G269" s="25">
        <f t="array" ref="G269">INDEX(F$5:F$67,MATCH($B269,$B$5:$B$67,0))</f>
        <v>67.84</v>
      </c>
      <c r="H269" s="25">
        <f t="array" ref="H269">INDEX(G$5:G$66,MATCH($B269,$B$5:$B$67,0))</f>
        <v>1103</v>
      </c>
      <c r="I269" s="25">
        <f t="array" ref="I269">INDEX(H$5:H$67,MATCH($B269,$B$5:$B$67,0))</f>
        <v>88.24</v>
      </c>
      <c r="J269" s="25">
        <f t="array" ref="J269">INDEX(I$5:I$67,MATCH($B269,$B$5:$B$67,0))</f>
        <v>1045</v>
      </c>
      <c r="K269" s="25">
        <f t="array" ref="K269">INDEX(J$5:J$67,MATCH($B269,$B$5:$B$67,0))</f>
        <v>83.6</v>
      </c>
      <c r="L269" s="25">
        <f t="shared" si="309"/>
        <v>11167</v>
      </c>
      <c r="M269" s="25">
        <f t="shared" si="310"/>
        <v>1594</v>
      </c>
      <c r="N269" s="25">
        <f t="shared" si="311"/>
        <v>2074</v>
      </c>
      <c r="O269" s="25">
        <f t="shared" si="312"/>
        <v>1965</v>
      </c>
      <c r="R269" s="50">
        <f t="array" ref="R269">INDEX($B$46:$B$68,MATCH(S269,$C$46:$C$68,0))*1000+T269</f>
        <v>1008002</v>
      </c>
      <c r="S269" s="51" t="s">
        <v>332</v>
      </c>
      <c r="T269" s="29">
        <f t="shared" si="385"/>
        <v>2</v>
      </c>
      <c r="U269" s="25">
        <f t="array" ref="U269">INDEX(K$5:K$67,MATCH($S269,$B$5:$B$67,0))</f>
        <v>383.4</v>
      </c>
      <c r="V269" s="25">
        <f t="array" ref="V269">INDEX(L$5:L$67,MATCH($S269,$B$5:$B$67,0))</f>
        <v>140.45</v>
      </c>
      <c r="W269" s="25">
        <f t="array" ref="W269">INDEX(M$5:M$67,MATCH($S269,$B$5:$B$67,0))</f>
        <v>140.45</v>
      </c>
      <c r="X269" s="25">
        <f t="array" ref="X269">INDEX(N$5:N$67,MATCH($S269,$B$5:$B$67,0))</f>
        <v>85</v>
      </c>
      <c r="Y269" s="25">
        <f t="shared" si="313"/>
        <v>767</v>
      </c>
      <c r="Z269" s="25">
        <f t="shared" si="314"/>
        <v>281</v>
      </c>
      <c r="AA269" s="25">
        <f t="shared" si="315"/>
        <v>281</v>
      </c>
      <c r="AB269" s="25">
        <f t="shared" si="316"/>
        <v>170</v>
      </c>
      <c r="AF269" s="25">
        <v>191</v>
      </c>
      <c r="AG269" s="25">
        <f t="array" ref="AG269">INDEX($AE$79:$AE$116,QUOTIENT(AF269-1,8)+1)</f>
        <v>1035</v>
      </c>
      <c r="AH269" s="25">
        <f t="shared" si="345"/>
        <v>7</v>
      </c>
      <c r="AI269" s="25">
        <f t="shared" si="317"/>
        <v>10357</v>
      </c>
      <c r="AJ269" s="25" t="str">
        <f t="shared" si="318"/>
        <v>碎冰者</v>
      </c>
      <c r="AK269" s="25">
        <f t="shared" si="346"/>
        <v>2</v>
      </c>
      <c r="AL269" s="25" t="str">
        <f t="array" ref="AL269">INDEX($O$5:$O$42,MATCH(AJ269,$B$5:$B$42,0))</f>
        <v>攻击百分比</v>
      </c>
      <c r="AM269" s="25" t="str">
        <f t="array" ref="AM269">INDEX($P$5:$P$42,MATCH(AJ269,$B$5:$B$42,0))</f>
        <v>暴击等级</v>
      </c>
      <c r="AN269" s="25" t="str">
        <f t="array" ref="AN269">INDEX($Q$5:$Q$42,MATCH(AJ269,$B$5:$B$42,0))</f>
        <v>必杀伤害加成</v>
      </c>
      <c r="AO269" s="25" t="str">
        <f t="array" ref="AO269">INDEX(AL269:AN269,0,AK269)</f>
        <v>暴击等级</v>
      </c>
      <c r="AP269" s="25">
        <f t="shared" ref="AP269:AP310" si="457">AP261</f>
        <v>0.15</v>
      </c>
      <c r="AQ269" s="25">
        <f t="shared" si="319"/>
        <v>1350</v>
      </c>
      <c r="AR269" s="25" t="str">
        <f t="shared" ref="AR269:BZ269" si="458">IF(AR$78=$AO269,$AQ269,"0")</f>
        <v>0</v>
      </c>
      <c r="AS269" s="25" t="str">
        <f t="shared" si="458"/>
        <v>0</v>
      </c>
      <c r="AT269" s="25" t="str">
        <f t="shared" si="458"/>
        <v>0</v>
      </c>
      <c r="AU269" s="25" t="str">
        <f t="shared" si="458"/>
        <v>0</v>
      </c>
      <c r="AV269" s="25" t="str">
        <f t="shared" si="458"/>
        <v>0</v>
      </c>
      <c r="AW269" s="25" t="str">
        <f t="shared" si="458"/>
        <v>0</v>
      </c>
      <c r="AX269" s="25" t="str">
        <f t="shared" si="458"/>
        <v>0</v>
      </c>
      <c r="AY269" s="25" t="str">
        <f t="shared" si="458"/>
        <v>0</v>
      </c>
      <c r="AZ269" s="25" t="str">
        <f t="shared" si="458"/>
        <v>0</v>
      </c>
      <c r="BA269" s="25" t="str">
        <f t="shared" si="458"/>
        <v>0</v>
      </c>
      <c r="BB269" s="25" t="str">
        <f t="shared" si="458"/>
        <v>0</v>
      </c>
      <c r="BC269" s="25" t="str">
        <f t="shared" si="458"/>
        <v>0</v>
      </c>
      <c r="BD269" s="25" t="str">
        <f t="shared" si="458"/>
        <v>0</v>
      </c>
      <c r="BE269" s="25" t="str">
        <f t="shared" si="458"/>
        <v>0</v>
      </c>
      <c r="BF269" s="25" t="str">
        <f t="shared" si="458"/>
        <v>0</v>
      </c>
      <c r="BG269" s="25" t="str">
        <f t="shared" si="458"/>
        <v>0</v>
      </c>
      <c r="BH269" s="25" t="str">
        <f t="shared" si="458"/>
        <v>0</v>
      </c>
      <c r="BI269" s="25" t="str">
        <f t="shared" si="458"/>
        <v>0</v>
      </c>
      <c r="BJ269" s="25" t="str">
        <f t="shared" si="458"/>
        <v>0</v>
      </c>
      <c r="BK269" s="25" t="str">
        <f t="shared" si="458"/>
        <v>0</v>
      </c>
      <c r="BL269" s="25" t="str">
        <f t="shared" si="458"/>
        <v>0</v>
      </c>
      <c r="BM269" s="25" t="str">
        <f t="shared" si="458"/>
        <v>0</v>
      </c>
      <c r="BN269" s="25" t="str">
        <f t="shared" si="458"/>
        <v>0</v>
      </c>
      <c r="BO269" s="25" t="str">
        <f t="shared" si="458"/>
        <v>0</v>
      </c>
      <c r="BP269" s="25" t="str">
        <f t="shared" si="458"/>
        <v>0</v>
      </c>
      <c r="BQ269" s="25" t="str">
        <f t="shared" si="458"/>
        <v>0</v>
      </c>
      <c r="BR269" s="25" t="str">
        <f t="shared" si="458"/>
        <v>0</v>
      </c>
      <c r="BS269" s="25" t="str">
        <f t="shared" si="458"/>
        <v>0</v>
      </c>
      <c r="BT269" s="25" t="str">
        <f t="shared" si="458"/>
        <v>0</v>
      </c>
      <c r="BU269" s="25" t="str">
        <f t="shared" si="458"/>
        <v>0</v>
      </c>
      <c r="BV269" s="25" t="str">
        <f t="shared" si="458"/>
        <v>0</v>
      </c>
      <c r="BW269" s="25">
        <f t="shared" si="458"/>
        <v>1350</v>
      </c>
      <c r="BX269" s="25" t="str">
        <f t="shared" si="458"/>
        <v>0</v>
      </c>
      <c r="BY269" s="25" t="str">
        <f t="shared" si="458"/>
        <v>0</v>
      </c>
      <c r="BZ269" s="25" t="str">
        <f t="shared" si="458"/>
        <v>0</v>
      </c>
      <c r="CC269" s="25" t="str">
        <f t="array" ref="CC269">INDEX($C$46:$C$74,MATCH(CD269,$B$46:$B$74,0))</f>
        <v>桑尼商队枪手</v>
      </c>
      <c r="CD269" s="29">
        <v>1039</v>
      </c>
      <c r="CE269" s="1">
        <v>1</v>
      </c>
      <c r="CF269" s="25" t="str">
        <f t="array" ref="CF269">INDEX($T$5:$T$44,MATCH(CC269,$B$5:$B$44,0))</f>
        <v>物理</v>
      </c>
      <c r="CG269" s="25">
        <f t="shared" si="342"/>
        <v>0</v>
      </c>
      <c r="CH269" s="25">
        <f t="shared" si="321"/>
        <v>1</v>
      </c>
      <c r="CI269" s="25">
        <f t="shared" si="322"/>
        <v>1</v>
      </c>
      <c r="CJ269" s="25">
        <f t="shared" si="323"/>
        <v>1</v>
      </c>
      <c r="CK269" s="25">
        <f t="shared" si="324"/>
        <v>1</v>
      </c>
      <c r="CL269" s="25">
        <v>0</v>
      </c>
      <c r="CM269" s="25">
        <f t="shared" si="343"/>
        <v>0</v>
      </c>
      <c r="CN269" s="25">
        <f t="shared" si="325"/>
        <v>0</v>
      </c>
      <c r="CO269" s="25">
        <f t="shared" si="326"/>
        <v>0</v>
      </c>
      <c r="CP269" s="29" t="str">
        <f t="shared" ref="CP269:DQ269" si="459">IF($CL269=CP$78,$CN269,"0")</f>
        <v>0</v>
      </c>
      <c r="CQ269" s="29" t="str">
        <f t="shared" si="459"/>
        <v>0</v>
      </c>
      <c r="CR269" s="29" t="str">
        <f t="shared" si="459"/>
        <v>0</v>
      </c>
      <c r="CS269" s="29" t="str">
        <f t="shared" si="459"/>
        <v>0</v>
      </c>
      <c r="CT269" s="29" t="str">
        <f t="shared" si="459"/>
        <v>0</v>
      </c>
      <c r="CU269" s="29" t="str">
        <f t="shared" si="459"/>
        <v>0</v>
      </c>
      <c r="CV269" s="29" t="str">
        <f t="shared" si="459"/>
        <v>0</v>
      </c>
      <c r="CW269" s="29" t="str">
        <f t="shared" si="459"/>
        <v>0</v>
      </c>
      <c r="CX269" s="29" t="str">
        <f t="shared" si="459"/>
        <v>0</v>
      </c>
      <c r="CY269" s="29" t="str">
        <f t="shared" si="459"/>
        <v>0</v>
      </c>
      <c r="CZ269" s="29" t="str">
        <f t="shared" si="459"/>
        <v>0</v>
      </c>
      <c r="DA269" s="29" t="str">
        <f t="shared" si="459"/>
        <v>0</v>
      </c>
      <c r="DB269" s="29" t="str">
        <f t="shared" si="459"/>
        <v>0</v>
      </c>
      <c r="DC269" s="29" t="str">
        <f t="shared" si="459"/>
        <v>0</v>
      </c>
      <c r="DD269" s="29" t="str">
        <f t="shared" si="459"/>
        <v>0</v>
      </c>
      <c r="DE269" s="29" t="str">
        <f t="shared" si="459"/>
        <v>0</v>
      </c>
      <c r="DF269" s="29" t="str">
        <f t="shared" si="459"/>
        <v>0</v>
      </c>
      <c r="DG269" s="29" t="str">
        <f t="shared" si="459"/>
        <v>0</v>
      </c>
      <c r="DH269" s="29" t="str">
        <f t="shared" si="459"/>
        <v>0</v>
      </c>
      <c r="DI269" s="29" t="str">
        <f t="shared" si="459"/>
        <v>0</v>
      </c>
      <c r="DJ269" s="29" t="str">
        <f t="shared" si="459"/>
        <v>0</v>
      </c>
      <c r="DK269" s="29" t="str">
        <f t="shared" si="459"/>
        <v>0</v>
      </c>
      <c r="DL269" s="29" t="str">
        <f t="shared" si="459"/>
        <v>0</v>
      </c>
      <c r="DM269" s="29" t="str">
        <f t="shared" si="459"/>
        <v>0</v>
      </c>
      <c r="DN269" s="29" t="str">
        <f t="shared" si="459"/>
        <v>0</v>
      </c>
      <c r="DO269" s="29" t="str">
        <f t="shared" si="459"/>
        <v>0</v>
      </c>
      <c r="DP269" s="29" t="str">
        <f t="shared" si="459"/>
        <v>0</v>
      </c>
      <c r="DQ269" s="29" t="str">
        <f t="shared" si="459"/>
        <v>0</v>
      </c>
      <c r="DS269" s="25">
        <v>0</v>
      </c>
      <c r="EE269" s="25" t="str">
        <f t="shared" si="328"/>
        <v>0</v>
      </c>
    </row>
    <row r="270" spans="1:135">
      <c r="A270" s="53">
        <v>1004012</v>
      </c>
      <c r="B270" s="49" t="s">
        <v>324</v>
      </c>
      <c r="C270" s="25">
        <f t="shared" si="452"/>
        <v>12</v>
      </c>
      <c r="D270" s="25">
        <f t="array" ref="D270">INDEX(C$5:C$67,MATCH($B270,$B$5:$B$67,0))</f>
        <v>5940</v>
      </c>
      <c r="E270" s="25">
        <f t="array" ref="E270">INDEX(D$5:D$67,MATCH($B270,$B$5:$B$67,0))</f>
        <v>475.2</v>
      </c>
      <c r="F270" s="25">
        <f t="array" ref="F270">INDEX(E$5:E$67,MATCH($B270,$B$5:$B$67,0))</f>
        <v>848</v>
      </c>
      <c r="G270" s="25">
        <f t="array" ref="G270">INDEX(F$5:F$67,MATCH($B270,$B$5:$B$67,0))</f>
        <v>67.84</v>
      </c>
      <c r="H270" s="25">
        <f t="array" ref="H270">INDEX(G$5:G$66,MATCH($B270,$B$5:$B$67,0))</f>
        <v>1103</v>
      </c>
      <c r="I270" s="25">
        <f t="array" ref="I270">INDEX(H$5:H$67,MATCH($B270,$B$5:$B$67,0))</f>
        <v>88.24</v>
      </c>
      <c r="J270" s="25">
        <f t="array" ref="J270">INDEX(I$5:I$67,MATCH($B270,$B$5:$B$67,0))</f>
        <v>1045</v>
      </c>
      <c r="K270" s="25">
        <f t="array" ref="K270">INDEX(J$5:J$67,MATCH($B270,$B$5:$B$67,0))</f>
        <v>83.6</v>
      </c>
      <c r="L270" s="25">
        <f t="shared" si="309"/>
        <v>11642</v>
      </c>
      <c r="M270" s="25">
        <f t="shared" si="310"/>
        <v>1662</v>
      </c>
      <c r="N270" s="25">
        <f t="shared" si="311"/>
        <v>2162</v>
      </c>
      <c r="O270" s="25">
        <f t="shared" si="312"/>
        <v>2048</v>
      </c>
      <c r="R270" s="50">
        <f t="array" ref="R270">INDEX($B$46:$B$68,MATCH(S270,$C$46:$C$68,0))*1000+T270</f>
        <v>1008003</v>
      </c>
      <c r="S270" s="51" t="s">
        <v>332</v>
      </c>
      <c r="T270" s="29">
        <f t="shared" si="385"/>
        <v>3</v>
      </c>
      <c r="U270" s="25">
        <f t="array" ref="U270">INDEX(K$5:K$67,MATCH($S270,$B$5:$B$67,0))</f>
        <v>383.4</v>
      </c>
      <c r="V270" s="25">
        <f t="array" ref="V270">INDEX(L$5:L$67,MATCH($S270,$B$5:$B$67,0))</f>
        <v>140.45</v>
      </c>
      <c r="W270" s="25">
        <f t="array" ref="W270">INDEX(M$5:M$67,MATCH($S270,$B$5:$B$67,0))</f>
        <v>140.45</v>
      </c>
      <c r="X270" s="25">
        <f t="array" ref="X270">INDEX(N$5:N$67,MATCH($S270,$B$5:$B$67,0))</f>
        <v>85</v>
      </c>
      <c r="Y270" s="25">
        <f t="shared" si="313"/>
        <v>1150</v>
      </c>
      <c r="Z270" s="25">
        <f t="shared" si="314"/>
        <v>421</v>
      </c>
      <c r="AA270" s="25">
        <f t="shared" si="315"/>
        <v>421</v>
      </c>
      <c r="AB270" s="25">
        <f t="shared" si="316"/>
        <v>255</v>
      </c>
      <c r="AF270" s="25">
        <v>192</v>
      </c>
      <c r="AG270" s="25">
        <f t="array" ref="AG270">INDEX($AE$79:$AE$116,QUOTIENT(AF270-1,8)+1)</f>
        <v>1035</v>
      </c>
      <c r="AH270" s="25">
        <f t="shared" si="345"/>
        <v>8</v>
      </c>
      <c r="AI270" s="25">
        <f t="shared" si="317"/>
        <v>10358</v>
      </c>
      <c r="AJ270" s="25" t="str">
        <f t="shared" si="318"/>
        <v>碎冰者</v>
      </c>
      <c r="AK270" s="25">
        <f t="shared" si="346"/>
        <v>3</v>
      </c>
      <c r="AL270" s="25" t="str">
        <f t="array" ref="AL270">INDEX($O$5:$O$42,MATCH(AJ270,$B$5:$B$42,0))</f>
        <v>攻击百分比</v>
      </c>
      <c r="AM270" s="25" t="str">
        <f t="array" ref="AM270">INDEX($P$5:$P$42,MATCH(AJ270,$B$5:$B$42,0))</f>
        <v>暴击等级</v>
      </c>
      <c r="AN270" s="25" t="str">
        <f t="array" ref="AN270">INDEX($Q$5:$Q$42,MATCH(AJ270,$B$5:$B$42,0))</f>
        <v>必杀伤害加成</v>
      </c>
      <c r="AO270" s="25" t="str">
        <f t="array" ref="AO270">INDEX(AL270:AN270,0,AK270)</f>
        <v>必杀伤害加成</v>
      </c>
      <c r="AP270" s="25">
        <f t="shared" si="457"/>
        <v>0.216666666666667</v>
      </c>
      <c r="AQ270" s="25">
        <f t="shared" si="319"/>
        <v>0.26</v>
      </c>
      <c r="AR270" s="25" t="str">
        <f t="shared" ref="AR270:BZ270" si="460">IF(AR$78=$AO270,$AQ270,"0")</f>
        <v>0</v>
      </c>
      <c r="AS270" s="25" t="str">
        <f t="shared" si="460"/>
        <v>0</v>
      </c>
      <c r="AT270" s="25" t="str">
        <f t="shared" si="460"/>
        <v>0</v>
      </c>
      <c r="AU270" s="25" t="str">
        <f t="shared" si="460"/>
        <v>0</v>
      </c>
      <c r="AV270" s="25" t="str">
        <f t="shared" si="460"/>
        <v>0</v>
      </c>
      <c r="AW270" s="25" t="str">
        <f t="shared" si="460"/>
        <v>0</v>
      </c>
      <c r="AX270" s="25" t="str">
        <f t="shared" si="460"/>
        <v>0</v>
      </c>
      <c r="AY270" s="25" t="str">
        <f t="shared" si="460"/>
        <v>0</v>
      </c>
      <c r="AZ270" s="25" t="str">
        <f t="shared" si="460"/>
        <v>0</v>
      </c>
      <c r="BA270" s="25" t="str">
        <f t="shared" si="460"/>
        <v>0</v>
      </c>
      <c r="BB270" s="25" t="str">
        <f t="shared" si="460"/>
        <v>0</v>
      </c>
      <c r="BC270" s="25" t="str">
        <f t="shared" si="460"/>
        <v>0</v>
      </c>
      <c r="BD270" s="25" t="str">
        <f t="shared" si="460"/>
        <v>0</v>
      </c>
      <c r="BE270" s="25" t="str">
        <f t="shared" si="460"/>
        <v>0</v>
      </c>
      <c r="BF270" s="25" t="str">
        <f t="shared" si="460"/>
        <v>0</v>
      </c>
      <c r="BG270" s="25" t="str">
        <f t="shared" si="460"/>
        <v>0</v>
      </c>
      <c r="BH270" s="25" t="str">
        <f t="shared" si="460"/>
        <v>0</v>
      </c>
      <c r="BI270" s="25" t="str">
        <f t="shared" si="460"/>
        <v>0</v>
      </c>
      <c r="BJ270" s="25" t="str">
        <f t="shared" si="460"/>
        <v>0</v>
      </c>
      <c r="BK270" s="25" t="str">
        <f t="shared" si="460"/>
        <v>0</v>
      </c>
      <c r="BL270" s="25" t="str">
        <f t="shared" si="460"/>
        <v>0</v>
      </c>
      <c r="BM270" s="25" t="str">
        <f t="shared" si="460"/>
        <v>0</v>
      </c>
      <c r="BN270" s="25" t="str">
        <f t="shared" si="460"/>
        <v>0</v>
      </c>
      <c r="BO270" s="25">
        <f t="shared" si="460"/>
        <v>0.26</v>
      </c>
      <c r="BP270" s="25" t="str">
        <f t="shared" si="460"/>
        <v>0</v>
      </c>
      <c r="BQ270" s="25" t="str">
        <f t="shared" si="460"/>
        <v>0</v>
      </c>
      <c r="BR270" s="25" t="str">
        <f t="shared" si="460"/>
        <v>0</v>
      </c>
      <c r="BS270" s="25" t="str">
        <f t="shared" si="460"/>
        <v>0</v>
      </c>
      <c r="BT270" s="25" t="str">
        <f t="shared" si="460"/>
        <v>0</v>
      </c>
      <c r="BU270" s="25" t="str">
        <f t="shared" si="460"/>
        <v>0</v>
      </c>
      <c r="BV270" s="25" t="str">
        <f t="shared" si="460"/>
        <v>0</v>
      </c>
      <c r="BW270" s="25" t="str">
        <f t="shared" si="460"/>
        <v>0</v>
      </c>
      <c r="BX270" s="25" t="str">
        <f t="shared" si="460"/>
        <v>0</v>
      </c>
      <c r="BY270" s="25" t="str">
        <f t="shared" si="460"/>
        <v>0</v>
      </c>
      <c r="BZ270" s="25" t="str">
        <f t="shared" si="460"/>
        <v>0</v>
      </c>
      <c r="CC270" s="25" t="str">
        <f t="array" ref="CC270">INDEX($C$46:$C$74,MATCH(CD270,$B$46:$B$74,0))</f>
        <v>桑尼商队枪手</v>
      </c>
      <c r="CD270" s="29">
        <v>1039</v>
      </c>
      <c r="CE270" s="1">
        <v>2</v>
      </c>
      <c r="CF270" s="25" t="str">
        <f t="array" ref="CF270">INDEX($T$5:$T$44,MATCH(CC270,$B$5:$B$44,0))</f>
        <v>物理</v>
      </c>
      <c r="CG270" s="25">
        <f t="shared" si="342"/>
        <v>0</v>
      </c>
      <c r="CH270" s="25">
        <f t="shared" si="321"/>
        <v>1</v>
      </c>
      <c r="CI270" s="25">
        <f t="shared" si="322"/>
        <v>1</v>
      </c>
      <c r="CJ270" s="25">
        <f t="shared" si="323"/>
        <v>1</v>
      </c>
      <c r="CK270" s="25">
        <f t="shared" si="324"/>
        <v>1</v>
      </c>
      <c r="CL270" s="25">
        <v>0</v>
      </c>
      <c r="CM270" s="25">
        <f t="shared" si="343"/>
        <v>0</v>
      </c>
      <c r="CN270" s="25">
        <f t="shared" si="325"/>
        <v>0</v>
      </c>
      <c r="CO270" s="25">
        <f t="shared" si="326"/>
        <v>0</v>
      </c>
      <c r="CP270" s="29" t="str">
        <f t="shared" ref="CP270:DQ270" si="461">IF($CL270=CP$78,$CN270,"0")</f>
        <v>0</v>
      </c>
      <c r="CQ270" s="29" t="str">
        <f t="shared" si="461"/>
        <v>0</v>
      </c>
      <c r="CR270" s="29" t="str">
        <f t="shared" si="461"/>
        <v>0</v>
      </c>
      <c r="CS270" s="29" t="str">
        <f t="shared" si="461"/>
        <v>0</v>
      </c>
      <c r="CT270" s="29" t="str">
        <f t="shared" si="461"/>
        <v>0</v>
      </c>
      <c r="CU270" s="29" t="str">
        <f t="shared" si="461"/>
        <v>0</v>
      </c>
      <c r="CV270" s="29" t="str">
        <f t="shared" si="461"/>
        <v>0</v>
      </c>
      <c r="CW270" s="29" t="str">
        <f t="shared" si="461"/>
        <v>0</v>
      </c>
      <c r="CX270" s="29" t="str">
        <f t="shared" si="461"/>
        <v>0</v>
      </c>
      <c r="CY270" s="29" t="str">
        <f t="shared" si="461"/>
        <v>0</v>
      </c>
      <c r="CZ270" s="29" t="str">
        <f t="shared" si="461"/>
        <v>0</v>
      </c>
      <c r="DA270" s="29" t="str">
        <f t="shared" si="461"/>
        <v>0</v>
      </c>
      <c r="DB270" s="29" t="str">
        <f t="shared" si="461"/>
        <v>0</v>
      </c>
      <c r="DC270" s="29" t="str">
        <f t="shared" si="461"/>
        <v>0</v>
      </c>
      <c r="DD270" s="29" t="str">
        <f t="shared" si="461"/>
        <v>0</v>
      </c>
      <c r="DE270" s="29" t="str">
        <f t="shared" si="461"/>
        <v>0</v>
      </c>
      <c r="DF270" s="29" t="str">
        <f t="shared" si="461"/>
        <v>0</v>
      </c>
      <c r="DG270" s="29" t="str">
        <f t="shared" si="461"/>
        <v>0</v>
      </c>
      <c r="DH270" s="29" t="str">
        <f t="shared" si="461"/>
        <v>0</v>
      </c>
      <c r="DI270" s="29" t="str">
        <f t="shared" si="461"/>
        <v>0</v>
      </c>
      <c r="DJ270" s="29" t="str">
        <f t="shared" si="461"/>
        <v>0</v>
      </c>
      <c r="DK270" s="29" t="str">
        <f t="shared" si="461"/>
        <v>0</v>
      </c>
      <c r="DL270" s="29" t="str">
        <f t="shared" si="461"/>
        <v>0</v>
      </c>
      <c r="DM270" s="29" t="str">
        <f t="shared" si="461"/>
        <v>0</v>
      </c>
      <c r="DN270" s="29" t="str">
        <f t="shared" si="461"/>
        <v>0</v>
      </c>
      <c r="DO270" s="29" t="str">
        <f t="shared" si="461"/>
        <v>0</v>
      </c>
      <c r="DP270" s="29" t="str">
        <f t="shared" si="461"/>
        <v>0</v>
      </c>
      <c r="DQ270" s="29" t="str">
        <f t="shared" si="461"/>
        <v>0</v>
      </c>
      <c r="DS270" s="25">
        <v>0</v>
      </c>
      <c r="EE270" s="25" t="str">
        <f t="shared" si="328"/>
        <v>0</v>
      </c>
    </row>
    <row r="271" spans="1:135">
      <c r="A271" s="53">
        <v>1004013</v>
      </c>
      <c r="B271" s="49" t="s">
        <v>324</v>
      </c>
      <c r="C271" s="25">
        <f t="shared" si="452"/>
        <v>13</v>
      </c>
      <c r="D271" s="25">
        <f t="array" ref="D271">INDEX(C$5:C$67,MATCH($B271,$B$5:$B$67,0))</f>
        <v>5940</v>
      </c>
      <c r="E271" s="25">
        <f t="array" ref="E271">INDEX(D$5:D$67,MATCH($B271,$B$5:$B$67,0))</f>
        <v>475.2</v>
      </c>
      <c r="F271" s="25">
        <f t="array" ref="F271">INDEX(E$5:E$67,MATCH($B271,$B$5:$B$67,0))</f>
        <v>848</v>
      </c>
      <c r="G271" s="25">
        <f t="array" ref="G271">INDEX(F$5:F$67,MATCH($B271,$B$5:$B$67,0))</f>
        <v>67.84</v>
      </c>
      <c r="H271" s="25">
        <f t="array" ref="H271">INDEX(G$5:G$66,MATCH($B271,$B$5:$B$67,0))</f>
        <v>1103</v>
      </c>
      <c r="I271" s="25">
        <f t="array" ref="I271">INDEX(H$5:H$67,MATCH($B271,$B$5:$B$67,0))</f>
        <v>88.24</v>
      </c>
      <c r="J271" s="25">
        <f t="array" ref="J271">INDEX(I$5:I$67,MATCH($B271,$B$5:$B$67,0))</f>
        <v>1045</v>
      </c>
      <c r="K271" s="25">
        <f t="array" ref="K271">INDEX(J$5:J$67,MATCH($B271,$B$5:$B$67,0))</f>
        <v>83.6</v>
      </c>
      <c r="L271" s="25">
        <f t="shared" ref="L271:L334" si="462">ROUND(D271+E271*$C271,0)</f>
        <v>12118</v>
      </c>
      <c r="M271" s="25">
        <f t="shared" ref="M271:M334" si="463">ROUND(F271+G271*$C271,0)</f>
        <v>1730</v>
      </c>
      <c r="N271" s="25">
        <f t="shared" ref="N271:N334" si="464">ROUND(H271+I271*$C271,0)</f>
        <v>2250</v>
      </c>
      <c r="O271" s="25">
        <f t="shared" ref="O271:O334" si="465">ROUND(J271+K271*$C271,0)</f>
        <v>2132</v>
      </c>
      <c r="R271" s="50">
        <f t="array" ref="R271">INDEX($B$46:$B$68,MATCH(S271,$C$46:$C$68,0))*1000+T271</f>
        <v>1008004</v>
      </c>
      <c r="S271" s="51" t="s">
        <v>332</v>
      </c>
      <c r="T271" s="29">
        <f t="shared" si="385"/>
        <v>4</v>
      </c>
      <c r="U271" s="25">
        <f t="array" ref="U271">INDEX(K$5:K$67,MATCH($S271,$B$5:$B$67,0))</f>
        <v>383.4</v>
      </c>
      <c r="V271" s="25">
        <f t="array" ref="V271">INDEX(L$5:L$67,MATCH($S271,$B$5:$B$67,0))</f>
        <v>140.45</v>
      </c>
      <c r="W271" s="25">
        <f t="array" ref="W271">INDEX(M$5:M$67,MATCH($S271,$B$5:$B$67,0))</f>
        <v>140.45</v>
      </c>
      <c r="X271" s="25">
        <f t="array" ref="X271">INDEX(N$5:N$67,MATCH($S271,$B$5:$B$67,0))</f>
        <v>85</v>
      </c>
      <c r="Y271" s="25">
        <f t="shared" ref="Y271:Y334" si="466">ROUND($T271*U271,0)</f>
        <v>1534</v>
      </c>
      <c r="Z271" s="25">
        <f t="shared" ref="Z271:Z334" si="467">ROUND($T271*V271,0)</f>
        <v>562</v>
      </c>
      <c r="AA271" s="25">
        <f t="shared" ref="AA271:AA334" si="468">ROUND($T271*W271,0)</f>
        <v>562</v>
      </c>
      <c r="AB271" s="25">
        <f t="shared" ref="AB271:AB334" si="469">ROUND($T271*X271,0)</f>
        <v>340</v>
      </c>
      <c r="AF271" s="25">
        <v>193</v>
      </c>
      <c r="AG271" s="25">
        <f t="array" ref="AG271">INDEX($AE$79:$AE$116,QUOTIENT(AF271-1,8)+1)</f>
        <v>1036</v>
      </c>
      <c r="AH271" s="25">
        <f t="shared" si="345"/>
        <v>1</v>
      </c>
      <c r="AI271" s="25">
        <f t="shared" ref="AI271:AI310" si="470">AG271*10+AH271</f>
        <v>10361</v>
      </c>
      <c r="AJ271" s="25" t="str">
        <f t="shared" ref="AJ271:AJ310" si="471">VLOOKUP(AG271,$B$46:$C$76,2,0)</f>
        <v>霜狼法师</v>
      </c>
      <c r="AK271" s="25">
        <f t="shared" si="346"/>
        <v>1</v>
      </c>
      <c r="AL271" s="25" t="str">
        <f t="array" ref="AL271">INDEX($O$5:$O$42,MATCH(AJ271,$B$5:$B$42,0))</f>
        <v>攻击百分比</v>
      </c>
      <c r="AM271" s="25" t="str">
        <f t="array" ref="AM271">INDEX($P$5:$P$42,MATCH(AJ271,$B$5:$B$42,0))</f>
        <v>技能伤害加成</v>
      </c>
      <c r="AN271" s="25" t="str">
        <f t="array" ref="AN271">INDEX($Q$5:$Q$42,MATCH(AJ271,$B$5:$B$42,0))</f>
        <v>技能冷却等级</v>
      </c>
      <c r="AO271" s="25" t="str">
        <f t="array" ref="AO271">INDEX(AL271:AN271,0,AK271)</f>
        <v>攻击百分比</v>
      </c>
      <c r="AP271" s="25">
        <f t="shared" si="457"/>
        <v>0.216666666666667</v>
      </c>
      <c r="AQ271" s="25">
        <f t="shared" ref="AQ271:AQ310" si="472">VLOOKUP(AO271,$F$46:$G$72,2,0)*AP271/$G$46</f>
        <v>0.216666666666667</v>
      </c>
      <c r="AR271" s="25" t="str">
        <f t="shared" ref="AR271:BZ271" si="473">IF(AR$78=$AO271,$AQ271,"0")</f>
        <v>0</v>
      </c>
      <c r="AS271" s="25" t="str">
        <f t="shared" si="473"/>
        <v>0</v>
      </c>
      <c r="AT271" s="25" t="str">
        <f t="shared" si="473"/>
        <v>0</v>
      </c>
      <c r="AU271" s="25">
        <f t="shared" si="473"/>
        <v>0.216666666666667</v>
      </c>
      <c r="AV271" s="25" t="str">
        <f t="shared" si="473"/>
        <v>0</v>
      </c>
      <c r="AW271" s="25">
        <f t="shared" si="473"/>
        <v>0.216666666666667</v>
      </c>
      <c r="AX271" s="25" t="str">
        <f t="shared" si="473"/>
        <v>0</v>
      </c>
      <c r="AY271" s="25" t="str">
        <f t="shared" si="473"/>
        <v>0</v>
      </c>
      <c r="AZ271" s="25" t="str">
        <f t="shared" si="473"/>
        <v>0</v>
      </c>
      <c r="BA271" s="25" t="str">
        <f t="shared" si="473"/>
        <v>0</v>
      </c>
      <c r="BB271" s="25" t="str">
        <f t="shared" si="473"/>
        <v>0</v>
      </c>
      <c r="BC271" s="25" t="str">
        <f t="shared" si="473"/>
        <v>0</v>
      </c>
      <c r="BD271" s="25" t="str">
        <f t="shared" si="473"/>
        <v>0</v>
      </c>
      <c r="BE271" s="25" t="str">
        <f t="shared" si="473"/>
        <v>0</v>
      </c>
      <c r="BF271" s="25" t="str">
        <f t="shared" si="473"/>
        <v>0</v>
      </c>
      <c r="BG271" s="25" t="str">
        <f t="shared" si="473"/>
        <v>0</v>
      </c>
      <c r="BH271" s="25" t="str">
        <f t="shared" si="473"/>
        <v>0</v>
      </c>
      <c r="BI271" s="25" t="str">
        <f t="shared" si="473"/>
        <v>0</v>
      </c>
      <c r="BJ271" s="25" t="str">
        <f t="shared" si="473"/>
        <v>0</v>
      </c>
      <c r="BK271" s="25" t="str">
        <f t="shared" si="473"/>
        <v>0</v>
      </c>
      <c r="BL271" s="25" t="str">
        <f t="shared" si="473"/>
        <v>0</v>
      </c>
      <c r="BM271" s="25" t="str">
        <f t="shared" si="473"/>
        <v>0</v>
      </c>
      <c r="BN271" s="25" t="str">
        <f t="shared" si="473"/>
        <v>0</v>
      </c>
      <c r="BO271" s="25" t="str">
        <f t="shared" si="473"/>
        <v>0</v>
      </c>
      <c r="BP271" s="25" t="str">
        <f t="shared" si="473"/>
        <v>0</v>
      </c>
      <c r="BQ271" s="25" t="str">
        <f t="shared" si="473"/>
        <v>0</v>
      </c>
      <c r="BR271" s="25" t="str">
        <f t="shared" si="473"/>
        <v>0</v>
      </c>
      <c r="BS271" s="25" t="str">
        <f t="shared" si="473"/>
        <v>0</v>
      </c>
      <c r="BT271" s="25" t="str">
        <f t="shared" si="473"/>
        <v>0</v>
      </c>
      <c r="BU271" s="25" t="str">
        <f t="shared" si="473"/>
        <v>0</v>
      </c>
      <c r="BV271" s="25" t="str">
        <f t="shared" si="473"/>
        <v>0</v>
      </c>
      <c r="BW271" s="25" t="str">
        <f t="shared" si="473"/>
        <v>0</v>
      </c>
      <c r="BX271" s="25" t="str">
        <f t="shared" si="473"/>
        <v>0</v>
      </c>
      <c r="BY271" s="25" t="str">
        <f t="shared" si="473"/>
        <v>0</v>
      </c>
      <c r="BZ271" s="25" t="str">
        <f t="shared" si="473"/>
        <v>0</v>
      </c>
      <c r="CC271" s="25" t="str">
        <f t="array" ref="CC271">INDEX($C$46:$C$74,MATCH(CD271,$B$46:$B$74,0))</f>
        <v>桑尼商队枪手</v>
      </c>
      <c r="CD271" s="29">
        <v>1039</v>
      </c>
      <c r="CE271" s="1">
        <v>3</v>
      </c>
      <c r="CF271" s="25" t="str">
        <f t="array" ref="CF271">INDEX($T$5:$T$44,MATCH(CC271,$B$5:$B$44,0))</f>
        <v>物理</v>
      </c>
      <c r="CG271" s="25">
        <f t="shared" si="342"/>
        <v>0.15</v>
      </c>
      <c r="CH271" s="25">
        <f t="shared" ref="CH271:CH281" si="474">1+$CG271</f>
        <v>1.15</v>
      </c>
      <c r="CI271" s="25">
        <f t="shared" ref="CI271:CI281" si="475">IF(OR(CF271="物理",CF271="混合"),1+$CG271,1)</f>
        <v>1.15</v>
      </c>
      <c r="CJ271" s="25">
        <f t="shared" ref="CJ271:CJ281" si="476">IF(OR(CF271="魔法",CF271="混合"),1+$CG271,1)</f>
        <v>1</v>
      </c>
      <c r="CK271" s="25">
        <f t="shared" ref="CK271:CK281" si="477">1+$CG271</f>
        <v>1.15</v>
      </c>
      <c r="CL271" s="25" t="str">
        <f t="array" ref="CL271">INDEX($R$5:$R$43,MATCH(CC271,$B$5:$B$43,0))</f>
        <v>物理伤害加成</v>
      </c>
      <c r="CM271" s="25">
        <f t="shared" si="343"/>
        <v>0.3</v>
      </c>
      <c r="CN271" s="25">
        <f t="shared" ref="CN271:CN281" si="478">ROUNDDOWN(_xlfn.IFNA(VLOOKUP(CL271,$F$46:$G$66,2,0)*CM271/$G$46,0),2)</f>
        <v>0.12</v>
      </c>
      <c r="CO271" s="25">
        <f t="shared" ref="CO271:CO281" si="479">COUNTIF($CP$78:$DQ$78,CL271)</f>
        <v>1</v>
      </c>
      <c r="CP271" s="29" t="str">
        <f t="shared" ref="CP271:DQ271" si="480">IF($CL271=CP$78,$CN271,"0")</f>
        <v>0</v>
      </c>
      <c r="CQ271" s="29" t="str">
        <f t="shared" si="480"/>
        <v>0</v>
      </c>
      <c r="CR271" s="29" t="str">
        <f t="shared" si="480"/>
        <v>0</v>
      </c>
      <c r="CS271" s="29" t="str">
        <f t="shared" si="480"/>
        <v>0</v>
      </c>
      <c r="CT271" s="29" t="str">
        <f t="shared" si="480"/>
        <v>0</v>
      </c>
      <c r="CU271" s="29" t="str">
        <f t="shared" si="480"/>
        <v>0</v>
      </c>
      <c r="CV271" s="29" t="str">
        <f t="shared" si="480"/>
        <v>0</v>
      </c>
      <c r="CW271" s="29" t="str">
        <f t="shared" si="480"/>
        <v>0</v>
      </c>
      <c r="CX271" s="29" t="str">
        <f t="shared" si="480"/>
        <v>0</v>
      </c>
      <c r="CY271" s="29" t="str">
        <f t="shared" si="480"/>
        <v>0</v>
      </c>
      <c r="CZ271" s="29" t="str">
        <f t="shared" si="480"/>
        <v>0</v>
      </c>
      <c r="DA271" s="29" t="str">
        <f t="shared" si="480"/>
        <v>0</v>
      </c>
      <c r="DB271" s="29">
        <f t="shared" si="480"/>
        <v>0.12</v>
      </c>
      <c r="DC271" s="29" t="str">
        <f t="shared" si="480"/>
        <v>0</v>
      </c>
      <c r="DD271" s="29" t="str">
        <f t="shared" si="480"/>
        <v>0</v>
      </c>
      <c r="DE271" s="29" t="str">
        <f t="shared" si="480"/>
        <v>0</v>
      </c>
      <c r="DF271" s="29" t="str">
        <f t="shared" si="480"/>
        <v>0</v>
      </c>
      <c r="DG271" s="29" t="str">
        <f t="shared" si="480"/>
        <v>0</v>
      </c>
      <c r="DH271" s="29" t="str">
        <f t="shared" si="480"/>
        <v>0</v>
      </c>
      <c r="DI271" s="29" t="str">
        <f t="shared" si="480"/>
        <v>0</v>
      </c>
      <c r="DJ271" s="29" t="str">
        <f t="shared" si="480"/>
        <v>0</v>
      </c>
      <c r="DK271" s="29" t="str">
        <f t="shared" si="480"/>
        <v>0</v>
      </c>
      <c r="DL271" s="29" t="str">
        <f t="shared" si="480"/>
        <v>0</v>
      </c>
      <c r="DM271" s="29" t="str">
        <f t="shared" si="480"/>
        <v>0</v>
      </c>
      <c r="DN271" s="29" t="str">
        <f t="shared" si="480"/>
        <v>0</v>
      </c>
      <c r="DO271" s="29" t="str">
        <f t="shared" si="480"/>
        <v>0</v>
      </c>
      <c r="DP271" s="29" t="str">
        <f t="shared" si="480"/>
        <v>0</v>
      </c>
      <c r="DQ271" s="29" t="str">
        <f t="shared" si="480"/>
        <v>0</v>
      </c>
      <c r="DS271" s="25" t="s">
        <v>1011</v>
      </c>
      <c r="DT271" s="25" t="str">
        <f>TEXT(角色升星!$F$18,"0%")</f>
        <v>15%</v>
      </c>
      <c r="DU271" s="25" t="s">
        <v>779</v>
      </c>
      <c r="DV271" s="25" t="str">
        <f>IF(CF271="物理","PhysicsAttack,+","MagicAttack,+")</f>
        <v>PhysicsAttack,+</v>
      </c>
      <c r="DW271" s="25" t="str">
        <f>TEXT(角色升星!$F$18,"0%")</f>
        <v>15%</v>
      </c>
      <c r="DX271" s="25" t="s">
        <v>779</v>
      </c>
      <c r="DY271" s="25" t="s">
        <v>1012</v>
      </c>
      <c r="DZ271" s="25" t="str">
        <f>TEXT(角色升星!$F$18,"0%")</f>
        <v>15%</v>
      </c>
      <c r="EA271" s="25" t="s">
        <v>779</v>
      </c>
      <c r="EB271" s="25" t="str">
        <f>VLOOKUP(CL271,$O$46:$P$73,2,0)</f>
        <v>PhysicsDmgBonus</v>
      </c>
      <c r="EC271" s="25" t="s">
        <v>1013</v>
      </c>
      <c r="ED271" s="25" t="str">
        <f>IF(CN271&gt;1,CN271,TEXT(CN271,"0%"))</f>
        <v>12%</v>
      </c>
      <c r="EE271" s="25" t="str">
        <f t="shared" ref="EE271:EE281" si="481">_xlfn.CONCAT(DS271,DT271,DU271,DV271,DW271,DX271,DY271,DZ271,EA271,EB271,EC271,ED271)</f>
        <v>Hp,+15%;PhysicsAttack,+15%;Armor,+15%;PhysicsDmgBonus,+12%</v>
      </c>
    </row>
    <row r="272" spans="1:135">
      <c r="A272" s="53">
        <v>1004014</v>
      </c>
      <c r="B272" s="49" t="s">
        <v>324</v>
      </c>
      <c r="C272" s="25">
        <f t="shared" si="452"/>
        <v>14</v>
      </c>
      <c r="D272" s="25">
        <f t="array" ref="D272">INDEX(C$5:C$67,MATCH($B272,$B$5:$B$67,0))</f>
        <v>5940</v>
      </c>
      <c r="E272" s="25">
        <f t="array" ref="E272">INDEX(D$5:D$67,MATCH($B272,$B$5:$B$67,0))</f>
        <v>475.2</v>
      </c>
      <c r="F272" s="25">
        <f t="array" ref="F272">INDEX(E$5:E$67,MATCH($B272,$B$5:$B$67,0))</f>
        <v>848</v>
      </c>
      <c r="G272" s="25">
        <f t="array" ref="G272">INDEX(F$5:F$67,MATCH($B272,$B$5:$B$67,0))</f>
        <v>67.84</v>
      </c>
      <c r="H272" s="25">
        <f t="array" ref="H272">INDEX(G$5:G$66,MATCH($B272,$B$5:$B$67,0))</f>
        <v>1103</v>
      </c>
      <c r="I272" s="25">
        <f t="array" ref="I272">INDEX(H$5:H$67,MATCH($B272,$B$5:$B$67,0))</f>
        <v>88.24</v>
      </c>
      <c r="J272" s="25">
        <f t="array" ref="J272">INDEX(I$5:I$67,MATCH($B272,$B$5:$B$67,0))</f>
        <v>1045</v>
      </c>
      <c r="K272" s="25">
        <f t="array" ref="K272">INDEX(J$5:J$67,MATCH($B272,$B$5:$B$67,0))</f>
        <v>83.6</v>
      </c>
      <c r="L272" s="25">
        <f t="shared" si="462"/>
        <v>12593</v>
      </c>
      <c r="M272" s="25">
        <f t="shared" si="463"/>
        <v>1798</v>
      </c>
      <c r="N272" s="25">
        <f t="shared" si="464"/>
        <v>2338</v>
      </c>
      <c r="O272" s="25">
        <f t="shared" si="465"/>
        <v>2215</v>
      </c>
      <c r="R272" s="50">
        <f t="array" ref="R272">INDEX($B$46:$B$68,MATCH(S272,$C$46:$C$68,0))*1000+T272</f>
        <v>1008005</v>
      </c>
      <c r="S272" s="51" t="s">
        <v>332</v>
      </c>
      <c r="T272" s="29">
        <f t="shared" si="385"/>
        <v>5</v>
      </c>
      <c r="U272" s="25">
        <f t="array" ref="U272">INDEX(K$5:K$67,MATCH($S272,$B$5:$B$67,0))</f>
        <v>383.4</v>
      </c>
      <c r="V272" s="25">
        <f t="array" ref="V272">INDEX(L$5:L$67,MATCH($S272,$B$5:$B$67,0))</f>
        <v>140.45</v>
      </c>
      <c r="W272" s="25">
        <f t="array" ref="W272">INDEX(M$5:M$67,MATCH($S272,$B$5:$B$67,0))</f>
        <v>140.45</v>
      </c>
      <c r="X272" s="25">
        <f t="array" ref="X272">INDEX(N$5:N$67,MATCH($S272,$B$5:$B$67,0))</f>
        <v>85</v>
      </c>
      <c r="Y272" s="25">
        <f t="shared" si="466"/>
        <v>1917</v>
      </c>
      <c r="Z272" s="25">
        <f t="shared" si="467"/>
        <v>702</v>
      </c>
      <c r="AA272" s="25">
        <f t="shared" si="468"/>
        <v>702</v>
      </c>
      <c r="AB272" s="25">
        <f t="shared" si="469"/>
        <v>425</v>
      </c>
      <c r="AF272" s="25">
        <v>194</v>
      </c>
      <c r="AG272" s="25">
        <f t="array" ref="AG272">INDEX($AE$79:$AE$116,QUOTIENT(AF272-1,8)+1)</f>
        <v>1036</v>
      </c>
      <c r="AH272" s="25">
        <f t="shared" si="345"/>
        <v>2</v>
      </c>
      <c r="AI272" s="25">
        <f t="shared" si="470"/>
        <v>10362</v>
      </c>
      <c r="AJ272" s="25" t="str">
        <f t="shared" si="471"/>
        <v>霜狼法师</v>
      </c>
      <c r="AK272" s="25">
        <f t="shared" si="346"/>
        <v>2</v>
      </c>
      <c r="AL272" s="25" t="str">
        <f t="array" ref="AL272">INDEX($O$5:$O$42,MATCH(AJ272,$B$5:$B$42,0))</f>
        <v>攻击百分比</v>
      </c>
      <c r="AM272" s="25" t="str">
        <f t="array" ref="AM272">INDEX($P$5:$P$42,MATCH(AJ272,$B$5:$B$42,0))</f>
        <v>技能伤害加成</v>
      </c>
      <c r="AN272" s="25" t="str">
        <f t="array" ref="AN272">INDEX($Q$5:$Q$42,MATCH(AJ272,$B$5:$B$42,0))</f>
        <v>技能冷却等级</v>
      </c>
      <c r="AO272" s="25" t="str">
        <f t="array" ref="AO272">INDEX(AL272:AN272,0,AK272)</f>
        <v>技能伤害加成</v>
      </c>
      <c r="AP272" s="25">
        <f t="shared" si="457"/>
        <v>0.15</v>
      </c>
      <c r="AQ272" s="25">
        <f t="shared" si="472"/>
        <v>0.18</v>
      </c>
      <c r="AR272" s="25" t="str">
        <f t="shared" ref="AR272:BZ272" si="482">IF(AR$78=$AO272,$AQ272,"0")</f>
        <v>0</v>
      </c>
      <c r="AS272" s="25" t="str">
        <f t="shared" si="482"/>
        <v>0</v>
      </c>
      <c r="AT272" s="25" t="str">
        <f t="shared" si="482"/>
        <v>0</v>
      </c>
      <c r="AU272" s="25" t="str">
        <f t="shared" si="482"/>
        <v>0</v>
      </c>
      <c r="AV272" s="25" t="str">
        <f t="shared" si="482"/>
        <v>0</v>
      </c>
      <c r="AW272" s="25" t="str">
        <f t="shared" si="482"/>
        <v>0</v>
      </c>
      <c r="AX272" s="25" t="str">
        <f t="shared" si="482"/>
        <v>0</v>
      </c>
      <c r="AY272" s="25" t="str">
        <f t="shared" si="482"/>
        <v>0</v>
      </c>
      <c r="AZ272" s="25" t="str">
        <f t="shared" si="482"/>
        <v>0</v>
      </c>
      <c r="BA272" s="25" t="str">
        <f t="shared" si="482"/>
        <v>0</v>
      </c>
      <c r="BB272" s="25" t="str">
        <f t="shared" si="482"/>
        <v>0</v>
      </c>
      <c r="BC272" s="25" t="str">
        <f t="shared" si="482"/>
        <v>0</v>
      </c>
      <c r="BD272" s="25" t="str">
        <f t="shared" si="482"/>
        <v>0</v>
      </c>
      <c r="BE272" s="25" t="str">
        <f t="shared" si="482"/>
        <v>0</v>
      </c>
      <c r="BF272" s="25" t="str">
        <f t="shared" si="482"/>
        <v>0</v>
      </c>
      <c r="BG272" s="25" t="str">
        <f t="shared" si="482"/>
        <v>0</v>
      </c>
      <c r="BH272" s="25" t="str">
        <f t="shared" si="482"/>
        <v>0</v>
      </c>
      <c r="BI272" s="25" t="str">
        <f t="shared" si="482"/>
        <v>0</v>
      </c>
      <c r="BJ272" s="25" t="str">
        <f t="shared" si="482"/>
        <v>0</v>
      </c>
      <c r="BK272" s="25" t="str">
        <f t="shared" si="482"/>
        <v>0</v>
      </c>
      <c r="BL272" s="25" t="str">
        <f t="shared" si="482"/>
        <v>0</v>
      </c>
      <c r="BM272" s="25" t="str">
        <f t="shared" si="482"/>
        <v>0</v>
      </c>
      <c r="BN272" s="25">
        <f t="shared" si="482"/>
        <v>0.18</v>
      </c>
      <c r="BO272" s="25" t="str">
        <f t="shared" si="482"/>
        <v>0</v>
      </c>
      <c r="BP272" s="25" t="str">
        <f t="shared" si="482"/>
        <v>0</v>
      </c>
      <c r="BQ272" s="25" t="str">
        <f t="shared" si="482"/>
        <v>0</v>
      </c>
      <c r="BR272" s="25" t="str">
        <f t="shared" si="482"/>
        <v>0</v>
      </c>
      <c r="BS272" s="25" t="str">
        <f t="shared" si="482"/>
        <v>0</v>
      </c>
      <c r="BT272" s="25" t="str">
        <f t="shared" si="482"/>
        <v>0</v>
      </c>
      <c r="BU272" s="25" t="str">
        <f t="shared" si="482"/>
        <v>0</v>
      </c>
      <c r="BV272" s="25" t="str">
        <f t="shared" si="482"/>
        <v>0</v>
      </c>
      <c r="BW272" s="25" t="str">
        <f t="shared" si="482"/>
        <v>0</v>
      </c>
      <c r="BX272" s="25" t="str">
        <f t="shared" si="482"/>
        <v>0</v>
      </c>
      <c r="BY272" s="25" t="str">
        <f t="shared" si="482"/>
        <v>0</v>
      </c>
      <c r="BZ272" s="25" t="str">
        <f t="shared" si="482"/>
        <v>0</v>
      </c>
      <c r="CC272" s="25" t="str">
        <f t="array" ref="CC272">INDEX($C$46:$C$74,MATCH(CD272,$B$46:$B$74,0))</f>
        <v>桑尼商队枪手</v>
      </c>
      <c r="CD272" s="29">
        <v>1039</v>
      </c>
      <c r="CE272" s="1">
        <v>4</v>
      </c>
      <c r="CF272" s="25" t="str">
        <f t="array" ref="CF272">INDEX($T$5:$T$44,MATCH(CC272,$B$5:$B$44,0))</f>
        <v>物理</v>
      </c>
      <c r="CG272" s="25">
        <f t="shared" si="342"/>
        <v>0.15</v>
      </c>
      <c r="CH272" s="25">
        <f t="shared" si="474"/>
        <v>1.15</v>
      </c>
      <c r="CI272" s="25">
        <f t="shared" si="475"/>
        <v>1.15</v>
      </c>
      <c r="CJ272" s="25">
        <f t="shared" si="476"/>
        <v>1</v>
      </c>
      <c r="CK272" s="25">
        <f t="shared" si="477"/>
        <v>1.15</v>
      </c>
      <c r="CL272" s="25">
        <v>0</v>
      </c>
      <c r="CM272" s="25">
        <f t="shared" si="343"/>
        <v>0</v>
      </c>
      <c r="CN272" s="25">
        <f t="shared" si="478"/>
        <v>0</v>
      </c>
      <c r="CO272" s="25">
        <f t="shared" si="479"/>
        <v>0</v>
      </c>
      <c r="CP272" s="29" t="str">
        <f t="shared" ref="CP272:DQ272" si="483">IF($CL272=CP$78,$CN272,"0")</f>
        <v>0</v>
      </c>
      <c r="CQ272" s="29" t="str">
        <f t="shared" si="483"/>
        <v>0</v>
      </c>
      <c r="CR272" s="29" t="str">
        <f t="shared" si="483"/>
        <v>0</v>
      </c>
      <c r="CS272" s="29" t="str">
        <f t="shared" si="483"/>
        <v>0</v>
      </c>
      <c r="CT272" s="29" t="str">
        <f t="shared" si="483"/>
        <v>0</v>
      </c>
      <c r="CU272" s="29" t="str">
        <f t="shared" si="483"/>
        <v>0</v>
      </c>
      <c r="CV272" s="29" t="str">
        <f t="shared" si="483"/>
        <v>0</v>
      </c>
      <c r="CW272" s="29" t="str">
        <f t="shared" si="483"/>
        <v>0</v>
      </c>
      <c r="CX272" s="29" t="str">
        <f t="shared" si="483"/>
        <v>0</v>
      </c>
      <c r="CY272" s="29" t="str">
        <f t="shared" si="483"/>
        <v>0</v>
      </c>
      <c r="CZ272" s="29" t="str">
        <f t="shared" si="483"/>
        <v>0</v>
      </c>
      <c r="DA272" s="29" t="str">
        <f t="shared" si="483"/>
        <v>0</v>
      </c>
      <c r="DB272" s="29" t="str">
        <f t="shared" si="483"/>
        <v>0</v>
      </c>
      <c r="DC272" s="29" t="str">
        <f t="shared" si="483"/>
        <v>0</v>
      </c>
      <c r="DD272" s="29" t="str">
        <f t="shared" si="483"/>
        <v>0</v>
      </c>
      <c r="DE272" s="29" t="str">
        <f t="shared" si="483"/>
        <v>0</v>
      </c>
      <c r="DF272" s="29" t="str">
        <f t="shared" si="483"/>
        <v>0</v>
      </c>
      <c r="DG272" s="29" t="str">
        <f t="shared" si="483"/>
        <v>0</v>
      </c>
      <c r="DH272" s="29" t="str">
        <f t="shared" si="483"/>
        <v>0</v>
      </c>
      <c r="DI272" s="29" t="str">
        <f t="shared" si="483"/>
        <v>0</v>
      </c>
      <c r="DJ272" s="29" t="str">
        <f t="shared" si="483"/>
        <v>0</v>
      </c>
      <c r="DK272" s="29" t="str">
        <f t="shared" si="483"/>
        <v>0</v>
      </c>
      <c r="DL272" s="29" t="str">
        <f t="shared" si="483"/>
        <v>0</v>
      </c>
      <c r="DM272" s="29" t="str">
        <f t="shared" si="483"/>
        <v>0</v>
      </c>
      <c r="DN272" s="29" t="str">
        <f t="shared" si="483"/>
        <v>0</v>
      </c>
      <c r="DO272" s="29" t="str">
        <f t="shared" si="483"/>
        <v>0</v>
      </c>
      <c r="DP272" s="29" t="str">
        <f t="shared" si="483"/>
        <v>0</v>
      </c>
      <c r="DQ272" s="29" t="str">
        <f t="shared" si="483"/>
        <v>0</v>
      </c>
      <c r="DS272" s="25">
        <v>0</v>
      </c>
      <c r="EE272" s="25" t="str">
        <f t="shared" si="481"/>
        <v>0</v>
      </c>
    </row>
    <row r="273" spans="1:135">
      <c r="A273" s="53">
        <v>1004015</v>
      </c>
      <c r="B273" s="49" t="s">
        <v>324</v>
      </c>
      <c r="C273" s="25">
        <f t="shared" si="452"/>
        <v>15</v>
      </c>
      <c r="D273" s="25">
        <f t="array" ref="D273">INDEX(C$5:C$67,MATCH($B273,$B$5:$B$67,0))</f>
        <v>5940</v>
      </c>
      <c r="E273" s="25">
        <f t="array" ref="E273">INDEX(D$5:D$67,MATCH($B273,$B$5:$B$67,0))</f>
        <v>475.2</v>
      </c>
      <c r="F273" s="25">
        <f t="array" ref="F273">INDEX(E$5:E$67,MATCH($B273,$B$5:$B$67,0))</f>
        <v>848</v>
      </c>
      <c r="G273" s="25">
        <f t="array" ref="G273">INDEX(F$5:F$67,MATCH($B273,$B$5:$B$67,0))</f>
        <v>67.84</v>
      </c>
      <c r="H273" s="25">
        <f t="array" ref="H273">INDEX(G$5:G$66,MATCH($B273,$B$5:$B$67,0))</f>
        <v>1103</v>
      </c>
      <c r="I273" s="25">
        <f t="array" ref="I273">INDEX(H$5:H$67,MATCH($B273,$B$5:$B$67,0))</f>
        <v>88.24</v>
      </c>
      <c r="J273" s="25">
        <f t="array" ref="J273">INDEX(I$5:I$67,MATCH($B273,$B$5:$B$67,0))</f>
        <v>1045</v>
      </c>
      <c r="K273" s="25">
        <f t="array" ref="K273">INDEX(J$5:J$67,MATCH($B273,$B$5:$B$67,0))</f>
        <v>83.6</v>
      </c>
      <c r="L273" s="25">
        <f t="shared" si="462"/>
        <v>13068</v>
      </c>
      <c r="M273" s="25">
        <f t="shared" si="463"/>
        <v>1866</v>
      </c>
      <c r="N273" s="25">
        <f t="shared" si="464"/>
        <v>2427</v>
      </c>
      <c r="O273" s="25">
        <f t="shared" si="465"/>
        <v>2299</v>
      </c>
      <c r="R273" s="50">
        <f t="array" ref="R273">INDEX($B$46:$B$68,MATCH(S273,$C$46:$C$68,0))*1000+T273</f>
        <v>1008006</v>
      </c>
      <c r="S273" s="51" t="s">
        <v>332</v>
      </c>
      <c r="T273" s="29">
        <f t="shared" si="385"/>
        <v>6</v>
      </c>
      <c r="U273" s="25">
        <f t="array" ref="U273">INDEX(K$5:K$67,MATCH($S273,$B$5:$B$67,0))</f>
        <v>383.4</v>
      </c>
      <c r="V273" s="25">
        <f t="array" ref="V273">INDEX(L$5:L$67,MATCH($S273,$B$5:$B$67,0))</f>
        <v>140.45</v>
      </c>
      <c r="W273" s="25">
        <f t="array" ref="W273">INDEX(M$5:M$67,MATCH($S273,$B$5:$B$67,0))</f>
        <v>140.45</v>
      </c>
      <c r="X273" s="25">
        <f t="array" ref="X273">INDEX(N$5:N$67,MATCH($S273,$B$5:$B$67,0))</f>
        <v>85</v>
      </c>
      <c r="Y273" s="25">
        <f t="shared" si="466"/>
        <v>2300</v>
      </c>
      <c r="Z273" s="25">
        <f t="shared" si="467"/>
        <v>843</v>
      </c>
      <c r="AA273" s="25">
        <f t="shared" si="468"/>
        <v>843</v>
      </c>
      <c r="AB273" s="25">
        <f t="shared" si="469"/>
        <v>510</v>
      </c>
      <c r="AF273" s="25">
        <v>195</v>
      </c>
      <c r="AG273" s="25">
        <f t="array" ref="AG273">INDEX($AE$79:$AE$116,QUOTIENT(AF273-1,8)+1)</f>
        <v>1036</v>
      </c>
      <c r="AH273" s="25">
        <f t="shared" si="345"/>
        <v>3</v>
      </c>
      <c r="AI273" s="25">
        <f t="shared" si="470"/>
        <v>10363</v>
      </c>
      <c r="AJ273" s="25" t="str">
        <f t="shared" si="471"/>
        <v>霜狼法师</v>
      </c>
      <c r="AK273" s="25">
        <f t="shared" si="346"/>
        <v>3</v>
      </c>
      <c r="AL273" s="25" t="str">
        <f t="array" ref="AL273">INDEX($O$5:$O$42,MATCH(AJ273,$B$5:$B$42,0))</f>
        <v>攻击百分比</v>
      </c>
      <c r="AM273" s="25" t="str">
        <f t="array" ref="AM273">INDEX($P$5:$P$42,MATCH(AJ273,$B$5:$B$42,0))</f>
        <v>技能伤害加成</v>
      </c>
      <c r="AN273" s="25" t="str">
        <f t="array" ref="AN273">INDEX($Q$5:$Q$42,MATCH(AJ273,$B$5:$B$42,0))</f>
        <v>技能冷却等级</v>
      </c>
      <c r="AO273" s="25" t="str">
        <f t="array" ref="AO273">INDEX(AL273:AN273,0,AK273)</f>
        <v>技能冷却等级</v>
      </c>
      <c r="AP273" s="25">
        <f t="shared" si="457"/>
        <v>0.216666666666667</v>
      </c>
      <c r="AQ273" s="25">
        <f t="shared" si="472"/>
        <v>2816.66666666667</v>
      </c>
      <c r="AR273" s="25" t="str">
        <f t="shared" ref="AR273:BZ273" si="484">IF(AR$78=$AO273,$AQ273,"0")</f>
        <v>0</v>
      </c>
      <c r="AS273" s="25" t="str">
        <f t="shared" si="484"/>
        <v>0</v>
      </c>
      <c r="AT273" s="25" t="str">
        <f t="shared" si="484"/>
        <v>0</v>
      </c>
      <c r="AU273" s="25" t="str">
        <f t="shared" si="484"/>
        <v>0</v>
      </c>
      <c r="AV273" s="25" t="str">
        <f t="shared" si="484"/>
        <v>0</v>
      </c>
      <c r="AW273" s="25" t="str">
        <f t="shared" si="484"/>
        <v>0</v>
      </c>
      <c r="AX273" s="25" t="str">
        <f t="shared" si="484"/>
        <v>0</v>
      </c>
      <c r="AY273" s="25" t="str">
        <f t="shared" si="484"/>
        <v>0</v>
      </c>
      <c r="AZ273" s="25" t="str">
        <f t="shared" si="484"/>
        <v>0</v>
      </c>
      <c r="BA273" s="25" t="str">
        <f t="shared" si="484"/>
        <v>0</v>
      </c>
      <c r="BB273" s="25" t="str">
        <f t="shared" si="484"/>
        <v>0</v>
      </c>
      <c r="BC273" s="25" t="str">
        <f t="shared" si="484"/>
        <v>0</v>
      </c>
      <c r="BD273" s="25" t="str">
        <f t="shared" si="484"/>
        <v>0</v>
      </c>
      <c r="BE273" s="25" t="str">
        <f t="shared" si="484"/>
        <v>0</v>
      </c>
      <c r="BF273" s="25" t="str">
        <f t="shared" si="484"/>
        <v>0</v>
      </c>
      <c r="BG273" s="25" t="str">
        <f t="shared" si="484"/>
        <v>0</v>
      </c>
      <c r="BH273" s="25" t="str">
        <f t="shared" si="484"/>
        <v>0</v>
      </c>
      <c r="BI273" s="25" t="str">
        <f t="shared" si="484"/>
        <v>0</v>
      </c>
      <c r="BJ273" s="25" t="str">
        <f t="shared" si="484"/>
        <v>0</v>
      </c>
      <c r="BK273" s="25" t="str">
        <f t="shared" si="484"/>
        <v>0</v>
      </c>
      <c r="BL273" s="25" t="str">
        <f t="shared" si="484"/>
        <v>0</v>
      </c>
      <c r="BM273" s="25" t="str">
        <f t="shared" si="484"/>
        <v>0</v>
      </c>
      <c r="BN273" s="25" t="str">
        <f t="shared" si="484"/>
        <v>0</v>
      </c>
      <c r="BO273" s="25" t="str">
        <f t="shared" si="484"/>
        <v>0</v>
      </c>
      <c r="BP273" s="25" t="str">
        <f t="shared" si="484"/>
        <v>0</v>
      </c>
      <c r="BQ273" s="25" t="str">
        <f t="shared" si="484"/>
        <v>0</v>
      </c>
      <c r="BR273" s="25" t="str">
        <f t="shared" si="484"/>
        <v>0</v>
      </c>
      <c r="BS273" s="25" t="str">
        <f t="shared" si="484"/>
        <v>0</v>
      </c>
      <c r="BT273" s="25" t="str">
        <f t="shared" si="484"/>
        <v>0</v>
      </c>
      <c r="BU273" s="25" t="str">
        <f t="shared" si="484"/>
        <v>0</v>
      </c>
      <c r="BV273" s="25" t="str">
        <f t="shared" si="484"/>
        <v>0</v>
      </c>
      <c r="BW273" s="25" t="str">
        <f t="shared" si="484"/>
        <v>0</v>
      </c>
      <c r="BX273" s="25" t="str">
        <f t="shared" si="484"/>
        <v>0</v>
      </c>
      <c r="BY273" s="25" t="str">
        <f t="shared" si="484"/>
        <v>0</v>
      </c>
      <c r="BZ273" s="25">
        <f t="shared" si="484"/>
        <v>2816.66666666667</v>
      </c>
      <c r="CC273" s="25" t="str">
        <f t="array" ref="CC273">INDEX($C$46:$C$74,MATCH(CD273,$B$46:$B$74,0))</f>
        <v>桑尼商队枪手</v>
      </c>
      <c r="CD273" s="29">
        <v>1039</v>
      </c>
      <c r="CE273" s="1">
        <v>5</v>
      </c>
      <c r="CF273" s="25" t="str">
        <f t="array" ref="CF273">INDEX($T$5:$T$44,MATCH(CC273,$B$5:$B$44,0))</f>
        <v>物理</v>
      </c>
      <c r="CG273" s="25">
        <f t="shared" si="342"/>
        <v>0.3</v>
      </c>
      <c r="CH273" s="25">
        <f t="shared" si="474"/>
        <v>1.3</v>
      </c>
      <c r="CI273" s="25">
        <f t="shared" si="475"/>
        <v>1.3</v>
      </c>
      <c r="CJ273" s="25">
        <f t="shared" si="476"/>
        <v>1</v>
      </c>
      <c r="CK273" s="25">
        <f t="shared" si="477"/>
        <v>1.3</v>
      </c>
      <c r="CL273" s="25" t="str">
        <f t="array" ref="CL273">INDEX($S$5:$S$43,MATCH(CC273,$B$5:$B$43,0))</f>
        <v>暴击伤害等级</v>
      </c>
      <c r="CM273" s="25">
        <f t="shared" si="343"/>
        <v>0.3</v>
      </c>
      <c r="CN273" s="25">
        <f t="shared" si="478"/>
        <v>3300</v>
      </c>
      <c r="CO273" s="25">
        <f t="shared" si="479"/>
        <v>1</v>
      </c>
      <c r="CP273" s="29" t="str">
        <f t="shared" ref="CP273:DQ273" si="485">IF($CL273=CP$78,$CN273,"0")</f>
        <v>0</v>
      </c>
      <c r="CQ273" s="29" t="str">
        <f t="shared" si="485"/>
        <v>0</v>
      </c>
      <c r="CR273" s="29" t="str">
        <f t="shared" si="485"/>
        <v>0</v>
      </c>
      <c r="CS273" s="29" t="str">
        <f t="shared" si="485"/>
        <v>0</v>
      </c>
      <c r="CT273" s="29" t="str">
        <f t="shared" si="485"/>
        <v>0</v>
      </c>
      <c r="CU273" s="29" t="str">
        <f t="shared" si="485"/>
        <v>0</v>
      </c>
      <c r="CV273" s="29" t="str">
        <f t="shared" si="485"/>
        <v>0</v>
      </c>
      <c r="CW273" s="29" t="str">
        <f t="shared" si="485"/>
        <v>0</v>
      </c>
      <c r="CX273" s="29" t="str">
        <f t="shared" si="485"/>
        <v>0</v>
      </c>
      <c r="CY273" s="29" t="str">
        <f t="shared" si="485"/>
        <v>0</v>
      </c>
      <c r="CZ273" s="29" t="str">
        <f t="shared" si="485"/>
        <v>0</v>
      </c>
      <c r="DA273" s="29" t="str">
        <f t="shared" si="485"/>
        <v>0</v>
      </c>
      <c r="DB273" s="29" t="str">
        <f t="shared" si="485"/>
        <v>0</v>
      </c>
      <c r="DC273" s="29" t="str">
        <f t="shared" si="485"/>
        <v>0</v>
      </c>
      <c r="DD273" s="29" t="str">
        <f t="shared" si="485"/>
        <v>0</v>
      </c>
      <c r="DE273" s="29" t="str">
        <f t="shared" si="485"/>
        <v>0</v>
      </c>
      <c r="DF273" s="29" t="str">
        <f t="shared" si="485"/>
        <v>0</v>
      </c>
      <c r="DG273" s="29" t="str">
        <f t="shared" si="485"/>
        <v>0</v>
      </c>
      <c r="DH273" s="29" t="str">
        <f t="shared" si="485"/>
        <v>0</v>
      </c>
      <c r="DI273" s="29" t="str">
        <f t="shared" si="485"/>
        <v>0</v>
      </c>
      <c r="DJ273" s="29" t="str">
        <f t="shared" si="485"/>
        <v>0</v>
      </c>
      <c r="DK273" s="29" t="str">
        <f t="shared" si="485"/>
        <v>0</v>
      </c>
      <c r="DL273" s="29" t="str">
        <f t="shared" si="485"/>
        <v>0</v>
      </c>
      <c r="DM273" s="29" t="str">
        <f t="shared" si="485"/>
        <v>0</v>
      </c>
      <c r="DN273" s="29" t="str">
        <f t="shared" si="485"/>
        <v>0</v>
      </c>
      <c r="DO273" s="29">
        <f t="shared" si="485"/>
        <v>3300</v>
      </c>
      <c r="DP273" s="29" t="str">
        <f t="shared" si="485"/>
        <v>0</v>
      </c>
      <c r="DQ273" s="29" t="str">
        <f t="shared" si="485"/>
        <v>0</v>
      </c>
      <c r="DS273" s="25" t="s">
        <v>1011</v>
      </c>
      <c r="DT273" s="25" t="str">
        <f>TEXT(角色升星!$F$18,"0%")</f>
        <v>15%</v>
      </c>
      <c r="DU273" s="25" t="s">
        <v>779</v>
      </c>
      <c r="DV273" s="25" t="str">
        <f>IF(CF273="物理","PhysicsAttack,+","MagicAttack,+")</f>
        <v>PhysicsAttack,+</v>
      </c>
      <c r="DW273" s="25" t="str">
        <f>TEXT(角色升星!$F$18,"0%")</f>
        <v>15%</v>
      </c>
      <c r="DX273" s="25" t="s">
        <v>779</v>
      </c>
      <c r="DY273" s="25" t="s">
        <v>1012</v>
      </c>
      <c r="DZ273" s="25" t="str">
        <f>TEXT(角色升星!$F$18,"0%")</f>
        <v>15%</v>
      </c>
      <c r="EA273" s="25" t="s">
        <v>779</v>
      </c>
      <c r="EB273" s="25" t="str">
        <f>VLOOKUP(CL273,$O$46:$P$73,2,0)</f>
        <v>CritDmgBonusLevel</v>
      </c>
      <c r="EC273" s="25" t="s">
        <v>1013</v>
      </c>
      <c r="ED273" s="25">
        <f>IF(CN273&gt;1,CN273,TEXT(CN273,"0%"))</f>
        <v>3300</v>
      </c>
      <c r="EE273" s="25" t="str">
        <f t="shared" si="481"/>
        <v>Hp,+15%;PhysicsAttack,+15%;Armor,+15%;CritDmgBonusLevel,+3300</v>
      </c>
    </row>
    <row r="274" spans="1:135">
      <c r="A274" s="53">
        <v>1004016</v>
      </c>
      <c r="B274" s="49" t="s">
        <v>324</v>
      </c>
      <c r="C274" s="25">
        <f t="shared" si="452"/>
        <v>16</v>
      </c>
      <c r="D274" s="25">
        <f t="array" ref="D274">INDEX(C$5:C$67,MATCH($B274,$B$5:$B$67,0))</f>
        <v>5940</v>
      </c>
      <c r="E274" s="25">
        <f t="array" ref="E274">INDEX(D$5:D$67,MATCH($B274,$B$5:$B$67,0))</f>
        <v>475.2</v>
      </c>
      <c r="F274" s="25">
        <f t="array" ref="F274">INDEX(E$5:E$67,MATCH($B274,$B$5:$B$67,0))</f>
        <v>848</v>
      </c>
      <c r="G274" s="25">
        <f t="array" ref="G274">INDEX(F$5:F$67,MATCH($B274,$B$5:$B$67,0))</f>
        <v>67.84</v>
      </c>
      <c r="H274" s="25">
        <f t="array" ref="H274">INDEX(G$5:G$66,MATCH($B274,$B$5:$B$67,0))</f>
        <v>1103</v>
      </c>
      <c r="I274" s="25">
        <f t="array" ref="I274">INDEX(H$5:H$67,MATCH($B274,$B$5:$B$67,0))</f>
        <v>88.24</v>
      </c>
      <c r="J274" s="25">
        <f t="array" ref="J274">INDEX(I$5:I$67,MATCH($B274,$B$5:$B$67,0))</f>
        <v>1045</v>
      </c>
      <c r="K274" s="25">
        <f t="array" ref="K274">INDEX(J$5:J$67,MATCH($B274,$B$5:$B$67,0))</f>
        <v>83.6</v>
      </c>
      <c r="L274" s="25">
        <f t="shared" si="462"/>
        <v>13543</v>
      </c>
      <c r="M274" s="25">
        <f t="shared" si="463"/>
        <v>1933</v>
      </c>
      <c r="N274" s="25">
        <f t="shared" si="464"/>
        <v>2515</v>
      </c>
      <c r="O274" s="25">
        <f t="shared" si="465"/>
        <v>2383</v>
      </c>
      <c r="R274" s="50">
        <f t="array" ref="R274">INDEX($B$46:$B$68,MATCH(S274,$C$46:$C$68,0))*1000+T274</f>
        <v>1008007</v>
      </c>
      <c r="S274" s="51" t="s">
        <v>332</v>
      </c>
      <c r="T274" s="29">
        <f t="shared" si="385"/>
        <v>7</v>
      </c>
      <c r="U274" s="25">
        <f t="array" ref="U274">INDEX(K$5:K$67,MATCH($S274,$B$5:$B$67,0))</f>
        <v>383.4</v>
      </c>
      <c r="V274" s="25">
        <f t="array" ref="V274">INDEX(L$5:L$67,MATCH($S274,$B$5:$B$67,0))</f>
        <v>140.45</v>
      </c>
      <c r="W274" s="25">
        <f t="array" ref="W274">INDEX(M$5:M$67,MATCH($S274,$B$5:$B$67,0))</f>
        <v>140.45</v>
      </c>
      <c r="X274" s="25">
        <f t="array" ref="X274">INDEX(N$5:N$67,MATCH($S274,$B$5:$B$67,0))</f>
        <v>85</v>
      </c>
      <c r="Y274" s="25">
        <f t="shared" si="466"/>
        <v>2684</v>
      </c>
      <c r="Z274" s="25">
        <f t="shared" si="467"/>
        <v>983</v>
      </c>
      <c r="AA274" s="25">
        <f t="shared" si="468"/>
        <v>983</v>
      </c>
      <c r="AB274" s="25">
        <f t="shared" si="469"/>
        <v>595</v>
      </c>
      <c r="AF274" s="25">
        <v>196</v>
      </c>
      <c r="AG274" s="25">
        <f t="array" ref="AG274">INDEX($AE$79:$AE$116,QUOTIENT(AF274-1,8)+1)</f>
        <v>1036</v>
      </c>
      <c r="AH274" s="25">
        <f t="shared" si="345"/>
        <v>4</v>
      </c>
      <c r="AI274" s="25">
        <f t="shared" si="470"/>
        <v>10364</v>
      </c>
      <c r="AJ274" s="25" t="str">
        <f t="shared" si="471"/>
        <v>霜狼法师</v>
      </c>
      <c r="AK274" s="25">
        <f t="shared" si="346"/>
        <v>2</v>
      </c>
      <c r="AL274" s="25" t="str">
        <f t="array" ref="AL274">INDEX($O$5:$O$42,MATCH(AJ274,$B$5:$B$42,0))</f>
        <v>攻击百分比</v>
      </c>
      <c r="AM274" s="25" t="str">
        <f t="array" ref="AM274">INDEX($P$5:$P$42,MATCH(AJ274,$B$5:$B$42,0))</f>
        <v>技能伤害加成</v>
      </c>
      <c r="AN274" s="25" t="str">
        <f t="array" ref="AN274">INDEX($Q$5:$Q$42,MATCH(AJ274,$B$5:$B$42,0))</f>
        <v>技能冷却等级</v>
      </c>
      <c r="AO274" s="25" t="str">
        <f t="array" ref="AO274">INDEX(AL274:AN274,0,AK274)</f>
        <v>技能伤害加成</v>
      </c>
      <c r="AP274" s="25">
        <f t="shared" si="457"/>
        <v>0.15</v>
      </c>
      <c r="AQ274" s="25">
        <f t="shared" si="472"/>
        <v>0.18</v>
      </c>
      <c r="AR274" s="25" t="str">
        <f t="shared" ref="AR274:BZ274" si="486">IF(AR$78=$AO274,$AQ274,"0")</f>
        <v>0</v>
      </c>
      <c r="AS274" s="25" t="str">
        <f t="shared" si="486"/>
        <v>0</v>
      </c>
      <c r="AT274" s="25" t="str">
        <f t="shared" si="486"/>
        <v>0</v>
      </c>
      <c r="AU274" s="25" t="str">
        <f t="shared" si="486"/>
        <v>0</v>
      </c>
      <c r="AV274" s="25" t="str">
        <f t="shared" si="486"/>
        <v>0</v>
      </c>
      <c r="AW274" s="25" t="str">
        <f t="shared" si="486"/>
        <v>0</v>
      </c>
      <c r="AX274" s="25" t="str">
        <f t="shared" si="486"/>
        <v>0</v>
      </c>
      <c r="AY274" s="25" t="str">
        <f t="shared" si="486"/>
        <v>0</v>
      </c>
      <c r="AZ274" s="25" t="str">
        <f t="shared" si="486"/>
        <v>0</v>
      </c>
      <c r="BA274" s="25" t="str">
        <f t="shared" si="486"/>
        <v>0</v>
      </c>
      <c r="BB274" s="25" t="str">
        <f t="shared" si="486"/>
        <v>0</v>
      </c>
      <c r="BC274" s="25" t="str">
        <f t="shared" si="486"/>
        <v>0</v>
      </c>
      <c r="BD274" s="25" t="str">
        <f t="shared" si="486"/>
        <v>0</v>
      </c>
      <c r="BE274" s="25" t="str">
        <f t="shared" si="486"/>
        <v>0</v>
      </c>
      <c r="BF274" s="25" t="str">
        <f t="shared" si="486"/>
        <v>0</v>
      </c>
      <c r="BG274" s="25" t="str">
        <f t="shared" si="486"/>
        <v>0</v>
      </c>
      <c r="BH274" s="25" t="str">
        <f t="shared" si="486"/>
        <v>0</v>
      </c>
      <c r="BI274" s="25" t="str">
        <f t="shared" si="486"/>
        <v>0</v>
      </c>
      <c r="BJ274" s="25" t="str">
        <f t="shared" si="486"/>
        <v>0</v>
      </c>
      <c r="BK274" s="25" t="str">
        <f t="shared" si="486"/>
        <v>0</v>
      </c>
      <c r="BL274" s="25" t="str">
        <f t="shared" si="486"/>
        <v>0</v>
      </c>
      <c r="BM274" s="25" t="str">
        <f t="shared" si="486"/>
        <v>0</v>
      </c>
      <c r="BN274" s="25">
        <f t="shared" si="486"/>
        <v>0.18</v>
      </c>
      <c r="BO274" s="25" t="str">
        <f t="shared" si="486"/>
        <v>0</v>
      </c>
      <c r="BP274" s="25" t="str">
        <f t="shared" si="486"/>
        <v>0</v>
      </c>
      <c r="BQ274" s="25" t="str">
        <f t="shared" si="486"/>
        <v>0</v>
      </c>
      <c r="BR274" s="25" t="str">
        <f t="shared" si="486"/>
        <v>0</v>
      </c>
      <c r="BS274" s="25" t="str">
        <f t="shared" si="486"/>
        <v>0</v>
      </c>
      <c r="BT274" s="25" t="str">
        <f t="shared" si="486"/>
        <v>0</v>
      </c>
      <c r="BU274" s="25" t="str">
        <f t="shared" si="486"/>
        <v>0</v>
      </c>
      <c r="BV274" s="25" t="str">
        <f t="shared" si="486"/>
        <v>0</v>
      </c>
      <c r="BW274" s="25" t="str">
        <f t="shared" si="486"/>
        <v>0</v>
      </c>
      <c r="BX274" s="25" t="str">
        <f t="shared" si="486"/>
        <v>0</v>
      </c>
      <c r="BY274" s="25" t="str">
        <f t="shared" si="486"/>
        <v>0</v>
      </c>
      <c r="BZ274" s="25" t="str">
        <f t="shared" si="486"/>
        <v>0</v>
      </c>
      <c r="CC274" s="25" t="str">
        <f t="array" ref="CC274">INDEX($C$46:$C$74,MATCH(CD274,$B$46:$B$74,0))</f>
        <v>桑尼商队枪手</v>
      </c>
      <c r="CD274" s="29">
        <v>1039</v>
      </c>
      <c r="CE274" s="1">
        <v>6</v>
      </c>
      <c r="CF274" s="25" t="str">
        <f t="array" ref="CF274">INDEX($T$5:$T$44,MATCH(CC274,$B$5:$B$44,0))</f>
        <v>物理</v>
      </c>
      <c r="CG274" s="25">
        <f t="shared" si="342"/>
        <v>0.3</v>
      </c>
      <c r="CH274" s="25">
        <f t="shared" si="474"/>
        <v>1.3</v>
      </c>
      <c r="CI274" s="25">
        <f t="shared" si="475"/>
        <v>1.3</v>
      </c>
      <c r="CJ274" s="25">
        <f t="shared" si="476"/>
        <v>1</v>
      </c>
      <c r="CK274" s="25">
        <f t="shared" si="477"/>
        <v>1.3</v>
      </c>
      <c r="CL274" s="25">
        <v>0</v>
      </c>
      <c r="CM274" s="25">
        <f t="shared" si="343"/>
        <v>0</v>
      </c>
      <c r="CN274" s="25">
        <f t="shared" si="478"/>
        <v>0</v>
      </c>
      <c r="CO274" s="25">
        <f t="shared" si="479"/>
        <v>0</v>
      </c>
      <c r="CP274" s="29" t="str">
        <f t="shared" ref="CP274:DQ274" si="487">IF($CL274=CP$78,$CN274,"0")</f>
        <v>0</v>
      </c>
      <c r="CQ274" s="29" t="str">
        <f t="shared" si="487"/>
        <v>0</v>
      </c>
      <c r="CR274" s="29" t="str">
        <f t="shared" si="487"/>
        <v>0</v>
      </c>
      <c r="CS274" s="29" t="str">
        <f t="shared" si="487"/>
        <v>0</v>
      </c>
      <c r="CT274" s="29" t="str">
        <f t="shared" si="487"/>
        <v>0</v>
      </c>
      <c r="CU274" s="29" t="str">
        <f t="shared" si="487"/>
        <v>0</v>
      </c>
      <c r="CV274" s="29" t="str">
        <f t="shared" si="487"/>
        <v>0</v>
      </c>
      <c r="CW274" s="29" t="str">
        <f t="shared" si="487"/>
        <v>0</v>
      </c>
      <c r="CX274" s="29" t="str">
        <f t="shared" si="487"/>
        <v>0</v>
      </c>
      <c r="CY274" s="29" t="str">
        <f t="shared" si="487"/>
        <v>0</v>
      </c>
      <c r="CZ274" s="29" t="str">
        <f t="shared" si="487"/>
        <v>0</v>
      </c>
      <c r="DA274" s="29" t="str">
        <f t="shared" si="487"/>
        <v>0</v>
      </c>
      <c r="DB274" s="29" t="str">
        <f t="shared" si="487"/>
        <v>0</v>
      </c>
      <c r="DC274" s="29" t="str">
        <f t="shared" si="487"/>
        <v>0</v>
      </c>
      <c r="DD274" s="29" t="str">
        <f t="shared" si="487"/>
        <v>0</v>
      </c>
      <c r="DE274" s="29" t="str">
        <f t="shared" si="487"/>
        <v>0</v>
      </c>
      <c r="DF274" s="29" t="str">
        <f t="shared" si="487"/>
        <v>0</v>
      </c>
      <c r="DG274" s="29" t="str">
        <f t="shared" si="487"/>
        <v>0</v>
      </c>
      <c r="DH274" s="29" t="str">
        <f t="shared" si="487"/>
        <v>0</v>
      </c>
      <c r="DI274" s="29" t="str">
        <f t="shared" si="487"/>
        <v>0</v>
      </c>
      <c r="DJ274" s="29" t="str">
        <f t="shared" si="487"/>
        <v>0</v>
      </c>
      <c r="DK274" s="29" t="str">
        <f t="shared" si="487"/>
        <v>0</v>
      </c>
      <c r="DL274" s="29" t="str">
        <f t="shared" si="487"/>
        <v>0</v>
      </c>
      <c r="DM274" s="29" t="str">
        <f t="shared" si="487"/>
        <v>0</v>
      </c>
      <c r="DN274" s="29" t="str">
        <f t="shared" si="487"/>
        <v>0</v>
      </c>
      <c r="DO274" s="29" t="str">
        <f t="shared" si="487"/>
        <v>0</v>
      </c>
      <c r="DP274" s="29" t="str">
        <f t="shared" si="487"/>
        <v>0</v>
      </c>
      <c r="DQ274" s="29" t="str">
        <f t="shared" si="487"/>
        <v>0</v>
      </c>
      <c r="DS274" s="25">
        <v>0</v>
      </c>
      <c r="EE274" s="25" t="str">
        <f t="shared" si="481"/>
        <v>0</v>
      </c>
    </row>
    <row r="275" spans="1:135">
      <c r="A275" s="53">
        <v>1004017</v>
      </c>
      <c r="B275" s="49" t="s">
        <v>324</v>
      </c>
      <c r="C275" s="25">
        <f t="shared" si="452"/>
        <v>17</v>
      </c>
      <c r="D275" s="25">
        <f t="array" ref="D275">INDEX(C$5:C$67,MATCH($B275,$B$5:$B$67,0))</f>
        <v>5940</v>
      </c>
      <c r="E275" s="25">
        <f t="array" ref="E275">INDEX(D$5:D$67,MATCH($B275,$B$5:$B$67,0))</f>
        <v>475.2</v>
      </c>
      <c r="F275" s="25">
        <f t="array" ref="F275">INDEX(E$5:E$67,MATCH($B275,$B$5:$B$67,0))</f>
        <v>848</v>
      </c>
      <c r="G275" s="25">
        <f t="array" ref="G275">INDEX(F$5:F$67,MATCH($B275,$B$5:$B$67,0))</f>
        <v>67.84</v>
      </c>
      <c r="H275" s="25">
        <f t="array" ref="H275">INDEX(G$5:G$66,MATCH($B275,$B$5:$B$67,0))</f>
        <v>1103</v>
      </c>
      <c r="I275" s="25">
        <f t="array" ref="I275">INDEX(H$5:H$67,MATCH($B275,$B$5:$B$67,0))</f>
        <v>88.24</v>
      </c>
      <c r="J275" s="25">
        <f t="array" ref="J275">INDEX(I$5:I$67,MATCH($B275,$B$5:$B$67,0))</f>
        <v>1045</v>
      </c>
      <c r="K275" s="25">
        <f t="array" ref="K275">INDEX(J$5:J$67,MATCH($B275,$B$5:$B$67,0))</f>
        <v>83.6</v>
      </c>
      <c r="L275" s="25">
        <f t="shared" si="462"/>
        <v>14018</v>
      </c>
      <c r="M275" s="25">
        <f t="shared" si="463"/>
        <v>2001</v>
      </c>
      <c r="N275" s="25">
        <f t="shared" si="464"/>
        <v>2603</v>
      </c>
      <c r="O275" s="25">
        <f t="shared" si="465"/>
        <v>2466</v>
      </c>
      <c r="R275" s="50">
        <f t="array" ref="R275">INDEX($B$46:$B$68,MATCH(S275,$C$46:$C$68,0))*1000+T275</f>
        <v>1008008</v>
      </c>
      <c r="S275" s="51" t="s">
        <v>332</v>
      </c>
      <c r="T275" s="29">
        <f t="shared" si="385"/>
        <v>8</v>
      </c>
      <c r="U275" s="25">
        <f t="array" ref="U275">INDEX(K$5:K$67,MATCH($S275,$B$5:$B$67,0))</f>
        <v>383.4</v>
      </c>
      <c r="V275" s="25">
        <f t="array" ref="V275">INDEX(L$5:L$67,MATCH($S275,$B$5:$B$67,0))</f>
        <v>140.45</v>
      </c>
      <c r="W275" s="25">
        <f t="array" ref="W275">INDEX(M$5:M$67,MATCH($S275,$B$5:$B$67,0))</f>
        <v>140.45</v>
      </c>
      <c r="X275" s="25">
        <f t="array" ref="X275">INDEX(N$5:N$67,MATCH($S275,$B$5:$B$67,0))</f>
        <v>85</v>
      </c>
      <c r="Y275" s="25">
        <f t="shared" si="466"/>
        <v>3067</v>
      </c>
      <c r="Z275" s="25">
        <f t="shared" si="467"/>
        <v>1124</v>
      </c>
      <c r="AA275" s="25">
        <f t="shared" si="468"/>
        <v>1124</v>
      </c>
      <c r="AB275" s="25">
        <f t="shared" si="469"/>
        <v>680</v>
      </c>
      <c r="AF275" s="25">
        <v>197</v>
      </c>
      <c r="AG275" s="25">
        <f t="array" ref="AG275">INDEX($AE$79:$AE$116,QUOTIENT(AF275-1,8)+1)</f>
        <v>1036</v>
      </c>
      <c r="AH275" s="25">
        <f t="shared" si="345"/>
        <v>5</v>
      </c>
      <c r="AI275" s="25">
        <f t="shared" si="470"/>
        <v>10365</v>
      </c>
      <c r="AJ275" s="25" t="str">
        <f t="shared" si="471"/>
        <v>霜狼法师</v>
      </c>
      <c r="AK275" s="25">
        <f t="shared" si="346"/>
        <v>3</v>
      </c>
      <c r="AL275" s="25" t="str">
        <f t="array" ref="AL275">INDEX($O$5:$O$42,MATCH(AJ275,$B$5:$B$42,0))</f>
        <v>攻击百分比</v>
      </c>
      <c r="AM275" s="25" t="str">
        <f t="array" ref="AM275">INDEX($P$5:$P$42,MATCH(AJ275,$B$5:$B$42,0))</f>
        <v>技能伤害加成</v>
      </c>
      <c r="AN275" s="25" t="str">
        <f t="array" ref="AN275">INDEX($Q$5:$Q$42,MATCH(AJ275,$B$5:$B$42,0))</f>
        <v>技能冷却等级</v>
      </c>
      <c r="AO275" s="25" t="str">
        <f t="array" ref="AO275">INDEX(AL275:AN275,0,AK275)</f>
        <v>技能冷却等级</v>
      </c>
      <c r="AP275" s="25">
        <f t="shared" si="457"/>
        <v>0.216666666666667</v>
      </c>
      <c r="AQ275" s="25">
        <f t="shared" si="472"/>
        <v>2816.66666666667</v>
      </c>
      <c r="AR275" s="25" t="str">
        <f t="shared" ref="AR275:BZ275" si="488">IF(AR$78=$AO275,$AQ275,"0")</f>
        <v>0</v>
      </c>
      <c r="AS275" s="25" t="str">
        <f t="shared" si="488"/>
        <v>0</v>
      </c>
      <c r="AT275" s="25" t="str">
        <f t="shared" si="488"/>
        <v>0</v>
      </c>
      <c r="AU275" s="25" t="str">
        <f t="shared" si="488"/>
        <v>0</v>
      </c>
      <c r="AV275" s="25" t="str">
        <f t="shared" si="488"/>
        <v>0</v>
      </c>
      <c r="AW275" s="25" t="str">
        <f t="shared" si="488"/>
        <v>0</v>
      </c>
      <c r="AX275" s="25" t="str">
        <f t="shared" si="488"/>
        <v>0</v>
      </c>
      <c r="AY275" s="25" t="str">
        <f t="shared" si="488"/>
        <v>0</v>
      </c>
      <c r="AZ275" s="25" t="str">
        <f t="shared" si="488"/>
        <v>0</v>
      </c>
      <c r="BA275" s="25" t="str">
        <f t="shared" si="488"/>
        <v>0</v>
      </c>
      <c r="BB275" s="25" t="str">
        <f t="shared" si="488"/>
        <v>0</v>
      </c>
      <c r="BC275" s="25" t="str">
        <f t="shared" si="488"/>
        <v>0</v>
      </c>
      <c r="BD275" s="25" t="str">
        <f t="shared" si="488"/>
        <v>0</v>
      </c>
      <c r="BE275" s="25" t="str">
        <f t="shared" si="488"/>
        <v>0</v>
      </c>
      <c r="BF275" s="25" t="str">
        <f t="shared" si="488"/>
        <v>0</v>
      </c>
      <c r="BG275" s="25" t="str">
        <f t="shared" si="488"/>
        <v>0</v>
      </c>
      <c r="BH275" s="25" t="str">
        <f t="shared" si="488"/>
        <v>0</v>
      </c>
      <c r="BI275" s="25" t="str">
        <f t="shared" si="488"/>
        <v>0</v>
      </c>
      <c r="BJ275" s="25" t="str">
        <f t="shared" si="488"/>
        <v>0</v>
      </c>
      <c r="BK275" s="25" t="str">
        <f t="shared" si="488"/>
        <v>0</v>
      </c>
      <c r="BL275" s="25" t="str">
        <f t="shared" si="488"/>
        <v>0</v>
      </c>
      <c r="BM275" s="25" t="str">
        <f t="shared" si="488"/>
        <v>0</v>
      </c>
      <c r="BN275" s="25" t="str">
        <f t="shared" si="488"/>
        <v>0</v>
      </c>
      <c r="BO275" s="25" t="str">
        <f t="shared" si="488"/>
        <v>0</v>
      </c>
      <c r="BP275" s="25" t="str">
        <f t="shared" si="488"/>
        <v>0</v>
      </c>
      <c r="BQ275" s="25" t="str">
        <f t="shared" si="488"/>
        <v>0</v>
      </c>
      <c r="BR275" s="25" t="str">
        <f t="shared" si="488"/>
        <v>0</v>
      </c>
      <c r="BS275" s="25" t="str">
        <f t="shared" si="488"/>
        <v>0</v>
      </c>
      <c r="BT275" s="25" t="str">
        <f t="shared" si="488"/>
        <v>0</v>
      </c>
      <c r="BU275" s="25" t="str">
        <f t="shared" si="488"/>
        <v>0</v>
      </c>
      <c r="BV275" s="25" t="str">
        <f t="shared" si="488"/>
        <v>0</v>
      </c>
      <c r="BW275" s="25" t="str">
        <f t="shared" si="488"/>
        <v>0</v>
      </c>
      <c r="BX275" s="25" t="str">
        <f t="shared" si="488"/>
        <v>0</v>
      </c>
      <c r="BY275" s="25" t="str">
        <f t="shared" si="488"/>
        <v>0</v>
      </c>
      <c r="BZ275" s="25">
        <f t="shared" si="488"/>
        <v>2816.66666666667</v>
      </c>
      <c r="CC275" s="25" t="str">
        <f t="array" ref="CC275">INDEX($C$46:$C$74,MATCH(CD275,$B$46:$B$74,0))</f>
        <v>小寒</v>
      </c>
      <c r="CD275" s="29">
        <v>1040</v>
      </c>
      <c r="CE275" s="1">
        <v>0</v>
      </c>
      <c r="CF275" s="25" t="str">
        <f t="array" ref="CF275">INDEX($T$5:$T$44,MATCH(CC275,$B$5:$B$44,0))</f>
        <v>魔法</v>
      </c>
      <c r="CG275" s="25">
        <f t="shared" si="342"/>
        <v>0</v>
      </c>
      <c r="CH275" s="25">
        <f t="shared" si="474"/>
        <v>1</v>
      </c>
      <c r="CI275" s="25">
        <f t="shared" si="475"/>
        <v>1</v>
      </c>
      <c r="CJ275" s="25">
        <f t="shared" si="476"/>
        <v>1</v>
      </c>
      <c r="CK275" s="25">
        <f t="shared" si="477"/>
        <v>1</v>
      </c>
      <c r="CL275" s="25">
        <v>0</v>
      </c>
      <c r="CM275" s="25">
        <f t="shared" si="343"/>
        <v>0</v>
      </c>
      <c r="CN275" s="25">
        <f t="shared" si="478"/>
        <v>0</v>
      </c>
      <c r="CO275" s="25">
        <f t="shared" si="479"/>
        <v>0</v>
      </c>
      <c r="CP275" s="29" t="str">
        <f t="shared" ref="CP275:DQ275" si="489">IF($CL275=CP$78,$CN275,"0")</f>
        <v>0</v>
      </c>
      <c r="CQ275" s="29" t="str">
        <f t="shared" si="489"/>
        <v>0</v>
      </c>
      <c r="CR275" s="29" t="str">
        <f t="shared" si="489"/>
        <v>0</v>
      </c>
      <c r="CS275" s="29" t="str">
        <f t="shared" si="489"/>
        <v>0</v>
      </c>
      <c r="CT275" s="29" t="str">
        <f t="shared" si="489"/>
        <v>0</v>
      </c>
      <c r="CU275" s="29" t="str">
        <f t="shared" si="489"/>
        <v>0</v>
      </c>
      <c r="CV275" s="29" t="str">
        <f t="shared" si="489"/>
        <v>0</v>
      </c>
      <c r="CW275" s="29" t="str">
        <f t="shared" si="489"/>
        <v>0</v>
      </c>
      <c r="CX275" s="29" t="str">
        <f t="shared" si="489"/>
        <v>0</v>
      </c>
      <c r="CY275" s="29" t="str">
        <f t="shared" si="489"/>
        <v>0</v>
      </c>
      <c r="CZ275" s="29" t="str">
        <f t="shared" si="489"/>
        <v>0</v>
      </c>
      <c r="DA275" s="29" t="str">
        <f t="shared" si="489"/>
        <v>0</v>
      </c>
      <c r="DB275" s="29" t="str">
        <f t="shared" si="489"/>
        <v>0</v>
      </c>
      <c r="DC275" s="29" t="str">
        <f t="shared" si="489"/>
        <v>0</v>
      </c>
      <c r="DD275" s="29" t="str">
        <f t="shared" si="489"/>
        <v>0</v>
      </c>
      <c r="DE275" s="29" t="str">
        <f t="shared" si="489"/>
        <v>0</v>
      </c>
      <c r="DF275" s="29" t="str">
        <f t="shared" si="489"/>
        <v>0</v>
      </c>
      <c r="DG275" s="29" t="str">
        <f t="shared" si="489"/>
        <v>0</v>
      </c>
      <c r="DH275" s="29" t="str">
        <f t="shared" si="489"/>
        <v>0</v>
      </c>
      <c r="DI275" s="29" t="str">
        <f t="shared" si="489"/>
        <v>0</v>
      </c>
      <c r="DJ275" s="29" t="str">
        <f t="shared" si="489"/>
        <v>0</v>
      </c>
      <c r="DK275" s="29" t="str">
        <f t="shared" si="489"/>
        <v>0</v>
      </c>
      <c r="DL275" s="29" t="str">
        <f t="shared" si="489"/>
        <v>0</v>
      </c>
      <c r="DM275" s="29" t="str">
        <f t="shared" si="489"/>
        <v>0</v>
      </c>
      <c r="DN275" s="29" t="str">
        <f t="shared" si="489"/>
        <v>0</v>
      </c>
      <c r="DO275" s="29" t="str">
        <f t="shared" si="489"/>
        <v>0</v>
      </c>
      <c r="DP275" s="29" t="str">
        <f t="shared" si="489"/>
        <v>0</v>
      </c>
      <c r="DQ275" s="29" t="str">
        <f t="shared" si="489"/>
        <v>0</v>
      </c>
      <c r="DS275" s="25">
        <v>0</v>
      </c>
      <c r="EE275" s="25" t="str">
        <f t="shared" si="481"/>
        <v>0</v>
      </c>
    </row>
    <row r="276" spans="1:135">
      <c r="A276" s="53">
        <v>1004018</v>
      </c>
      <c r="B276" s="49" t="s">
        <v>324</v>
      </c>
      <c r="C276" s="25">
        <f t="shared" si="452"/>
        <v>18</v>
      </c>
      <c r="D276" s="25">
        <f t="array" ref="D276">INDEX(C$5:C$67,MATCH($B276,$B$5:$B$67,0))</f>
        <v>5940</v>
      </c>
      <c r="E276" s="25">
        <f t="array" ref="E276">INDEX(D$5:D$67,MATCH($B276,$B$5:$B$67,0))</f>
        <v>475.2</v>
      </c>
      <c r="F276" s="25">
        <f t="array" ref="F276">INDEX(E$5:E$67,MATCH($B276,$B$5:$B$67,0))</f>
        <v>848</v>
      </c>
      <c r="G276" s="25">
        <f t="array" ref="G276">INDEX(F$5:F$67,MATCH($B276,$B$5:$B$67,0))</f>
        <v>67.84</v>
      </c>
      <c r="H276" s="25">
        <f t="array" ref="H276">INDEX(G$5:G$66,MATCH($B276,$B$5:$B$67,0))</f>
        <v>1103</v>
      </c>
      <c r="I276" s="25">
        <f t="array" ref="I276">INDEX(H$5:H$67,MATCH($B276,$B$5:$B$67,0))</f>
        <v>88.24</v>
      </c>
      <c r="J276" s="25">
        <f t="array" ref="J276">INDEX(I$5:I$67,MATCH($B276,$B$5:$B$67,0))</f>
        <v>1045</v>
      </c>
      <c r="K276" s="25">
        <f t="array" ref="K276">INDEX(J$5:J$67,MATCH($B276,$B$5:$B$67,0))</f>
        <v>83.6</v>
      </c>
      <c r="L276" s="25">
        <f t="shared" si="462"/>
        <v>14494</v>
      </c>
      <c r="M276" s="25">
        <f t="shared" si="463"/>
        <v>2069</v>
      </c>
      <c r="N276" s="25">
        <f t="shared" si="464"/>
        <v>2691</v>
      </c>
      <c r="O276" s="25">
        <f t="shared" si="465"/>
        <v>2550</v>
      </c>
      <c r="R276" s="50">
        <f t="array" ref="R276">INDEX($B$46:$B$68,MATCH(S276,$C$46:$C$68,0))*1000+T276</f>
        <v>1008009</v>
      </c>
      <c r="S276" s="51" t="s">
        <v>332</v>
      </c>
      <c r="T276" s="29">
        <f t="shared" si="385"/>
        <v>9</v>
      </c>
      <c r="U276" s="25">
        <f t="array" ref="U276">INDEX(K$5:K$67,MATCH($S276,$B$5:$B$67,0))</f>
        <v>383.4</v>
      </c>
      <c r="V276" s="25">
        <f t="array" ref="V276">INDEX(L$5:L$67,MATCH($S276,$B$5:$B$67,0))</f>
        <v>140.45</v>
      </c>
      <c r="W276" s="25">
        <f t="array" ref="W276">INDEX(M$5:M$67,MATCH($S276,$B$5:$B$67,0))</f>
        <v>140.45</v>
      </c>
      <c r="X276" s="25">
        <f t="array" ref="X276">INDEX(N$5:N$67,MATCH($S276,$B$5:$B$67,0))</f>
        <v>85</v>
      </c>
      <c r="Y276" s="25">
        <f t="shared" si="466"/>
        <v>3451</v>
      </c>
      <c r="Z276" s="25">
        <f t="shared" si="467"/>
        <v>1264</v>
      </c>
      <c r="AA276" s="25">
        <f t="shared" si="468"/>
        <v>1264</v>
      </c>
      <c r="AB276" s="25">
        <f t="shared" si="469"/>
        <v>765</v>
      </c>
      <c r="AF276" s="25">
        <v>198</v>
      </c>
      <c r="AG276" s="25">
        <f t="array" ref="AG276">INDEX($AE$79:$AE$116,QUOTIENT(AF276-1,8)+1)</f>
        <v>1036</v>
      </c>
      <c r="AH276" s="25">
        <f t="shared" si="345"/>
        <v>6</v>
      </c>
      <c r="AI276" s="25">
        <f t="shared" si="470"/>
        <v>10366</v>
      </c>
      <c r="AJ276" s="25" t="str">
        <f t="shared" si="471"/>
        <v>霜狼法师</v>
      </c>
      <c r="AK276" s="25">
        <f t="shared" si="346"/>
        <v>1</v>
      </c>
      <c r="AL276" s="25" t="str">
        <f t="array" ref="AL276">INDEX($O$5:$O$42,MATCH(AJ276,$B$5:$B$42,0))</f>
        <v>攻击百分比</v>
      </c>
      <c r="AM276" s="25" t="str">
        <f t="array" ref="AM276">INDEX($P$5:$P$42,MATCH(AJ276,$B$5:$B$42,0))</f>
        <v>技能伤害加成</v>
      </c>
      <c r="AN276" s="25" t="str">
        <f t="array" ref="AN276">INDEX($Q$5:$Q$42,MATCH(AJ276,$B$5:$B$42,0))</f>
        <v>技能冷却等级</v>
      </c>
      <c r="AO276" s="25" t="str">
        <f t="array" ref="AO276">INDEX(AL276:AN276,0,AK276)</f>
        <v>攻击百分比</v>
      </c>
      <c r="AP276" s="25">
        <f t="shared" si="457"/>
        <v>0.216666666666667</v>
      </c>
      <c r="AQ276" s="25">
        <f t="shared" si="472"/>
        <v>0.216666666666667</v>
      </c>
      <c r="AR276" s="25" t="str">
        <f t="shared" ref="AR276:BZ276" si="490">IF(AR$78=$AO276,$AQ276,"0")</f>
        <v>0</v>
      </c>
      <c r="AS276" s="25" t="str">
        <f t="shared" si="490"/>
        <v>0</v>
      </c>
      <c r="AT276" s="25" t="str">
        <f t="shared" si="490"/>
        <v>0</v>
      </c>
      <c r="AU276" s="25">
        <f t="shared" si="490"/>
        <v>0.216666666666667</v>
      </c>
      <c r="AV276" s="25" t="str">
        <f t="shared" si="490"/>
        <v>0</v>
      </c>
      <c r="AW276" s="25">
        <f t="shared" si="490"/>
        <v>0.216666666666667</v>
      </c>
      <c r="AX276" s="25" t="str">
        <f t="shared" si="490"/>
        <v>0</v>
      </c>
      <c r="AY276" s="25" t="str">
        <f t="shared" si="490"/>
        <v>0</v>
      </c>
      <c r="AZ276" s="25" t="str">
        <f t="shared" si="490"/>
        <v>0</v>
      </c>
      <c r="BA276" s="25" t="str">
        <f t="shared" si="490"/>
        <v>0</v>
      </c>
      <c r="BB276" s="25" t="str">
        <f t="shared" si="490"/>
        <v>0</v>
      </c>
      <c r="BC276" s="25" t="str">
        <f t="shared" si="490"/>
        <v>0</v>
      </c>
      <c r="BD276" s="25" t="str">
        <f t="shared" si="490"/>
        <v>0</v>
      </c>
      <c r="BE276" s="25" t="str">
        <f t="shared" si="490"/>
        <v>0</v>
      </c>
      <c r="BF276" s="25" t="str">
        <f t="shared" si="490"/>
        <v>0</v>
      </c>
      <c r="BG276" s="25" t="str">
        <f t="shared" si="490"/>
        <v>0</v>
      </c>
      <c r="BH276" s="25" t="str">
        <f t="shared" si="490"/>
        <v>0</v>
      </c>
      <c r="BI276" s="25" t="str">
        <f t="shared" si="490"/>
        <v>0</v>
      </c>
      <c r="BJ276" s="25" t="str">
        <f t="shared" si="490"/>
        <v>0</v>
      </c>
      <c r="BK276" s="25" t="str">
        <f t="shared" si="490"/>
        <v>0</v>
      </c>
      <c r="BL276" s="25" t="str">
        <f t="shared" si="490"/>
        <v>0</v>
      </c>
      <c r="BM276" s="25" t="str">
        <f t="shared" si="490"/>
        <v>0</v>
      </c>
      <c r="BN276" s="25" t="str">
        <f t="shared" si="490"/>
        <v>0</v>
      </c>
      <c r="BO276" s="25" t="str">
        <f t="shared" si="490"/>
        <v>0</v>
      </c>
      <c r="BP276" s="25" t="str">
        <f t="shared" si="490"/>
        <v>0</v>
      </c>
      <c r="BQ276" s="25" t="str">
        <f t="shared" si="490"/>
        <v>0</v>
      </c>
      <c r="BR276" s="25" t="str">
        <f t="shared" si="490"/>
        <v>0</v>
      </c>
      <c r="BS276" s="25" t="str">
        <f t="shared" si="490"/>
        <v>0</v>
      </c>
      <c r="BT276" s="25" t="str">
        <f t="shared" si="490"/>
        <v>0</v>
      </c>
      <c r="BU276" s="25" t="str">
        <f t="shared" si="490"/>
        <v>0</v>
      </c>
      <c r="BV276" s="25" t="str">
        <f t="shared" si="490"/>
        <v>0</v>
      </c>
      <c r="BW276" s="25" t="str">
        <f t="shared" si="490"/>
        <v>0</v>
      </c>
      <c r="BX276" s="25" t="str">
        <f t="shared" si="490"/>
        <v>0</v>
      </c>
      <c r="BY276" s="25" t="str">
        <f t="shared" si="490"/>
        <v>0</v>
      </c>
      <c r="BZ276" s="25" t="str">
        <f t="shared" si="490"/>
        <v>0</v>
      </c>
      <c r="CC276" s="25" t="str">
        <f t="array" ref="CC276">INDEX($C$46:$C$74,MATCH(CD276,$B$46:$B$74,0))</f>
        <v>小寒</v>
      </c>
      <c r="CD276" s="29">
        <v>1040</v>
      </c>
      <c r="CE276" s="1">
        <v>1</v>
      </c>
      <c r="CF276" s="25" t="str">
        <f t="array" ref="CF276">INDEX($T$5:$T$44,MATCH(CC276,$B$5:$B$44,0))</f>
        <v>魔法</v>
      </c>
      <c r="CG276" s="25">
        <f t="shared" si="342"/>
        <v>0</v>
      </c>
      <c r="CH276" s="25">
        <f t="shared" si="474"/>
        <v>1</v>
      </c>
      <c r="CI276" s="25">
        <f t="shared" si="475"/>
        <v>1</v>
      </c>
      <c r="CJ276" s="25">
        <f t="shared" si="476"/>
        <v>1</v>
      </c>
      <c r="CK276" s="25">
        <f t="shared" si="477"/>
        <v>1</v>
      </c>
      <c r="CL276" s="25">
        <v>0</v>
      </c>
      <c r="CM276" s="25">
        <f t="shared" si="343"/>
        <v>0</v>
      </c>
      <c r="CN276" s="25">
        <f t="shared" si="478"/>
        <v>0</v>
      </c>
      <c r="CO276" s="25">
        <f t="shared" si="479"/>
        <v>0</v>
      </c>
      <c r="CP276" s="29" t="str">
        <f t="shared" ref="CP276:DQ276" si="491">IF($CL276=CP$78,$CN276,"0")</f>
        <v>0</v>
      </c>
      <c r="CQ276" s="29" t="str">
        <f t="shared" si="491"/>
        <v>0</v>
      </c>
      <c r="CR276" s="29" t="str">
        <f t="shared" si="491"/>
        <v>0</v>
      </c>
      <c r="CS276" s="29" t="str">
        <f t="shared" si="491"/>
        <v>0</v>
      </c>
      <c r="CT276" s="29" t="str">
        <f t="shared" si="491"/>
        <v>0</v>
      </c>
      <c r="CU276" s="29" t="str">
        <f t="shared" si="491"/>
        <v>0</v>
      </c>
      <c r="CV276" s="29" t="str">
        <f t="shared" si="491"/>
        <v>0</v>
      </c>
      <c r="CW276" s="29" t="str">
        <f t="shared" si="491"/>
        <v>0</v>
      </c>
      <c r="CX276" s="29" t="str">
        <f t="shared" si="491"/>
        <v>0</v>
      </c>
      <c r="CY276" s="29" t="str">
        <f t="shared" si="491"/>
        <v>0</v>
      </c>
      <c r="CZ276" s="29" t="str">
        <f t="shared" si="491"/>
        <v>0</v>
      </c>
      <c r="DA276" s="29" t="str">
        <f t="shared" si="491"/>
        <v>0</v>
      </c>
      <c r="DB276" s="29" t="str">
        <f t="shared" si="491"/>
        <v>0</v>
      </c>
      <c r="DC276" s="29" t="str">
        <f t="shared" si="491"/>
        <v>0</v>
      </c>
      <c r="DD276" s="29" t="str">
        <f t="shared" si="491"/>
        <v>0</v>
      </c>
      <c r="DE276" s="29" t="str">
        <f t="shared" si="491"/>
        <v>0</v>
      </c>
      <c r="DF276" s="29" t="str">
        <f t="shared" si="491"/>
        <v>0</v>
      </c>
      <c r="DG276" s="29" t="str">
        <f t="shared" si="491"/>
        <v>0</v>
      </c>
      <c r="DH276" s="29" t="str">
        <f t="shared" si="491"/>
        <v>0</v>
      </c>
      <c r="DI276" s="29" t="str">
        <f t="shared" si="491"/>
        <v>0</v>
      </c>
      <c r="DJ276" s="29" t="str">
        <f t="shared" si="491"/>
        <v>0</v>
      </c>
      <c r="DK276" s="29" t="str">
        <f t="shared" si="491"/>
        <v>0</v>
      </c>
      <c r="DL276" s="29" t="str">
        <f t="shared" si="491"/>
        <v>0</v>
      </c>
      <c r="DM276" s="29" t="str">
        <f t="shared" si="491"/>
        <v>0</v>
      </c>
      <c r="DN276" s="29" t="str">
        <f t="shared" si="491"/>
        <v>0</v>
      </c>
      <c r="DO276" s="29" t="str">
        <f t="shared" si="491"/>
        <v>0</v>
      </c>
      <c r="DP276" s="29" t="str">
        <f t="shared" si="491"/>
        <v>0</v>
      </c>
      <c r="DQ276" s="29" t="str">
        <f t="shared" si="491"/>
        <v>0</v>
      </c>
      <c r="DS276" s="25">
        <v>0</v>
      </c>
      <c r="EE276" s="25" t="str">
        <f t="shared" si="481"/>
        <v>0</v>
      </c>
    </row>
    <row r="277" spans="1:135">
      <c r="A277" s="53">
        <v>1004019</v>
      </c>
      <c r="B277" s="49" t="s">
        <v>324</v>
      </c>
      <c r="C277" s="25">
        <f t="shared" si="452"/>
        <v>19</v>
      </c>
      <c r="D277" s="25">
        <f t="array" ref="D277">INDEX(C$5:C$67,MATCH($B277,$B$5:$B$67,0))</f>
        <v>5940</v>
      </c>
      <c r="E277" s="25">
        <f t="array" ref="E277">INDEX(D$5:D$67,MATCH($B277,$B$5:$B$67,0))</f>
        <v>475.2</v>
      </c>
      <c r="F277" s="25">
        <f t="array" ref="F277">INDEX(E$5:E$67,MATCH($B277,$B$5:$B$67,0))</f>
        <v>848</v>
      </c>
      <c r="G277" s="25">
        <f t="array" ref="G277">INDEX(F$5:F$67,MATCH($B277,$B$5:$B$67,0))</f>
        <v>67.84</v>
      </c>
      <c r="H277" s="25">
        <f t="array" ref="H277">INDEX(G$5:G$66,MATCH($B277,$B$5:$B$67,0))</f>
        <v>1103</v>
      </c>
      <c r="I277" s="25">
        <f t="array" ref="I277">INDEX(H$5:H$67,MATCH($B277,$B$5:$B$67,0))</f>
        <v>88.24</v>
      </c>
      <c r="J277" s="25">
        <f t="array" ref="J277">INDEX(I$5:I$67,MATCH($B277,$B$5:$B$67,0))</f>
        <v>1045</v>
      </c>
      <c r="K277" s="25">
        <f t="array" ref="K277">INDEX(J$5:J$67,MATCH($B277,$B$5:$B$67,0))</f>
        <v>83.6</v>
      </c>
      <c r="L277" s="25">
        <f t="shared" si="462"/>
        <v>14969</v>
      </c>
      <c r="M277" s="25">
        <f t="shared" si="463"/>
        <v>2137</v>
      </c>
      <c r="N277" s="25">
        <f t="shared" si="464"/>
        <v>2780</v>
      </c>
      <c r="O277" s="25">
        <f t="shared" si="465"/>
        <v>2633</v>
      </c>
      <c r="R277" s="50">
        <f t="array" ref="R277">INDEX($B$46:$B$68,MATCH(S277,$C$46:$C$68,0))*1000+T277</f>
        <v>1008010</v>
      </c>
      <c r="S277" s="51" t="s">
        <v>332</v>
      </c>
      <c r="T277" s="29">
        <f t="shared" si="385"/>
        <v>10</v>
      </c>
      <c r="U277" s="25">
        <f t="array" ref="U277">INDEX(K$5:K$67,MATCH($S277,$B$5:$B$67,0))</f>
        <v>383.4</v>
      </c>
      <c r="V277" s="25">
        <f t="array" ref="V277">INDEX(L$5:L$67,MATCH($S277,$B$5:$B$67,0))</f>
        <v>140.45</v>
      </c>
      <c r="W277" s="25">
        <f t="array" ref="W277">INDEX(M$5:M$67,MATCH($S277,$B$5:$B$67,0))</f>
        <v>140.45</v>
      </c>
      <c r="X277" s="25">
        <f t="array" ref="X277">INDEX(N$5:N$67,MATCH($S277,$B$5:$B$67,0))</f>
        <v>85</v>
      </c>
      <c r="Y277" s="25">
        <f t="shared" si="466"/>
        <v>3834</v>
      </c>
      <c r="Z277" s="25">
        <f t="shared" si="467"/>
        <v>1405</v>
      </c>
      <c r="AA277" s="25">
        <f t="shared" si="468"/>
        <v>1405</v>
      </c>
      <c r="AB277" s="25">
        <f t="shared" si="469"/>
        <v>850</v>
      </c>
      <c r="AF277" s="25">
        <v>199</v>
      </c>
      <c r="AG277" s="25">
        <f t="array" ref="AG277">INDEX($AE$79:$AE$116,QUOTIENT(AF277-1,8)+1)</f>
        <v>1036</v>
      </c>
      <c r="AH277" s="25">
        <f t="shared" si="345"/>
        <v>7</v>
      </c>
      <c r="AI277" s="25">
        <f t="shared" si="470"/>
        <v>10367</v>
      </c>
      <c r="AJ277" s="25" t="str">
        <f t="shared" si="471"/>
        <v>霜狼法师</v>
      </c>
      <c r="AK277" s="25">
        <f t="shared" si="346"/>
        <v>2</v>
      </c>
      <c r="AL277" s="25" t="str">
        <f t="array" ref="AL277">INDEX($O$5:$O$42,MATCH(AJ277,$B$5:$B$42,0))</f>
        <v>攻击百分比</v>
      </c>
      <c r="AM277" s="25" t="str">
        <f t="array" ref="AM277">INDEX($P$5:$P$42,MATCH(AJ277,$B$5:$B$42,0))</f>
        <v>技能伤害加成</v>
      </c>
      <c r="AN277" s="25" t="str">
        <f t="array" ref="AN277">INDEX($Q$5:$Q$42,MATCH(AJ277,$B$5:$B$42,0))</f>
        <v>技能冷却等级</v>
      </c>
      <c r="AO277" s="25" t="str">
        <f t="array" ref="AO277">INDEX(AL277:AN277,0,AK277)</f>
        <v>技能伤害加成</v>
      </c>
      <c r="AP277" s="25">
        <f t="shared" si="457"/>
        <v>0.15</v>
      </c>
      <c r="AQ277" s="25">
        <f t="shared" si="472"/>
        <v>0.18</v>
      </c>
      <c r="AR277" s="25" t="str">
        <f t="shared" ref="AR277:BZ277" si="492">IF(AR$78=$AO277,$AQ277,"0")</f>
        <v>0</v>
      </c>
      <c r="AS277" s="25" t="str">
        <f t="shared" si="492"/>
        <v>0</v>
      </c>
      <c r="AT277" s="25" t="str">
        <f t="shared" si="492"/>
        <v>0</v>
      </c>
      <c r="AU277" s="25" t="str">
        <f t="shared" si="492"/>
        <v>0</v>
      </c>
      <c r="AV277" s="25" t="str">
        <f t="shared" si="492"/>
        <v>0</v>
      </c>
      <c r="AW277" s="25" t="str">
        <f t="shared" si="492"/>
        <v>0</v>
      </c>
      <c r="AX277" s="25" t="str">
        <f t="shared" si="492"/>
        <v>0</v>
      </c>
      <c r="AY277" s="25" t="str">
        <f t="shared" si="492"/>
        <v>0</v>
      </c>
      <c r="AZ277" s="25" t="str">
        <f t="shared" si="492"/>
        <v>0</v>
      </c>
      <c r="BA277" s="25" t="str">
        <f t="shared" si="492"/>
        <v>0</v>
      </c>
      <c r="BB277" s="25" t="str">
        <f t="shared" si="492"/>
        <v>0</v>
      </c>
      <c r="BC277" s="25" t="str">
        <f t="shared" si="492"/>
        <v>0</v>
      </c>
      <c r="BD277" s="25" t="str">
        <f t="shared" si="492"/>
        <v>0</v>
      </c>
      <c r="BE277" s="25" t="str">
        <f t="shared" si="492"/>
        <v>0</v>
      </c>
      <c r="BF277" s="25" t="str">
        <f t="shared" si="492"/>
        <v>0</v>
      </c>
      <c r="BG277" s="25" t="str">
        <f t="shared" si="492"/>
        <v>0</v>
      </c>
      <c r="BH277" s="25" t="str">
        <f t="shared" si="492"/>
        <v>0</v>
      </c>
      <c r="BI277" s="25" t="str">
        <f t="shared" si="492"/>
        <v>0</v>
      </c>
      <c r="BJ277" s="25" t="str">
        <f t="shared" si="492"/>
        <v>0</v>
      </c>
      <c r="BK277" s="25" t="str">
        <f t="shared" si="492"/>
        <v>0</v>
      </c>
      <c r="BL277" s="25" t="str">
        <f t="shared" si="492"/>
        <v>0</v>
      </c>
      <c r="BM277" s="25" t="str">
        <f t="shared" si="492"/>
        <v>0</v>
      </c>
      <c r="BN277" s="25">
        <f t="shared" si="492"/>
        <v>0.18</v>
      </c>
      <c r="BO277" s="25" t="str">
        <f t="shared" si="492"/>
        <v>0</v>
      </c>
      <c r="BP277" s="25" t="str">
        <f t="shared" si="492"/>
        <v>0</v>
      </c>
      <c r="BQ277" s="25" t="str">
        <f t="shared" si="492"/>
        <v>0</v>
      </c>
      <c r="BR277" s="25" t="str">
        <f t="shared" si="492"/>
        <v>0</v>
      </c>
      <c r="BS277" s="25" t="str">
        <f t="shared" si="492"/>
        <v>0</v>
      </c>
      <c r="BT277" s="25" t="str">
        <f t="shared" si="492"/>
        <v>0</v>
      </c>
      <c r="BU277" s="25" t="str">
        <f t="shared" si="492"/>
        <v>0</v>
      </c>
      <c r="BV277" s="25" t="str">
        <f t="shared" si="492"/>
        <v>0</v>
      </c>
      <c r="BW277" s="25" t="str">
        <f t="shared" si="492"/>
        <v>0</v>
      </c>
      <c r="BX277" s="25" t="str">
        <f t="shared" si="492"/>
        <v>0</v>
      </c>
      <c r="BY277" s="25" t="str">
        <f t="shared" si="492"/>
        <v>0</v>
      </c>
      <c r="BZ277" s="25" t="str">
        <f t="shared" si="492"/>
        <v>0</v>
      </c>
      <c r="CC277" s="25" t="str">
        <f t="array" ref="CC277">INDEX($C$46:$C$74,MATCH(CD277,$B$46:$B$74,0))</f>
        <v>小寒</v>
      </c>
      <c r="CD277" s="29">
        <v>1040</v>
      </c>
      <c r="CE277" s="1">
        <v>2</v>
      </c>
      <c r="CF277" s="25" t="str">
        <f t="array" ref="CF277">INDEX($T$5:$T$44,MATCH(CC277,$B$5:$B$44,0))</f>
        <v>魔法</v>
      </c>
      <c r="CG277" s="25">
        <f t="shared" si="342"/>
        <v>0</v>
      </c>
      <c r="CH277" s="25">
        <f t="shared" si="474"/>
        <v>1</v>
      </c>
      <c r="CI277" s="25">
        <f t="shared" si="475"/>
        <v>1</v>
      </c>
      <c r="CJ277" s="25">
        <f t="shared" si="476"/>
        <v>1</v>
      </c>
      <c r="CK277" s="25">
        <f t="shared" si="477"/>
        <v>1</v>
      </c>
      <c r="CL277" s="25">
        <v>0</v>
      </c>
      <c r="CM277" s="25">
        <f t="shared" si="343"/>
        <v>0</v>
      </c>
      <c r="CN277" s="25">
        <f t="shared" si="478"/>
        <v>0</v>
      </c>
      <c r="CO277" s="25">
        <f t="shared" si="479"/>
        <v>0</v>
      </c>
      <c r="CP277" s="29" t="str">
        <f t="shared" ref="CP277:DQ277" si="493">IF($CL277=CP$78,$CN277,"0")</f>
        <v>0</v>
      </c>
      <c r="CQ277" s="29" t="str">
        <f t="shared" si="493"/>
        <v>0</v>
      </c>
      <c r="CR277" s="29" t="str">
        <f t="shared" si="493"/>
        <v>0</v>
      </c>
      <c r="CS277" s="29" t="str">
        <f t="shared" si="493"/>
        <v>0</v>
      </c>
      <c r="CT277" s="29" t="str">
        <f t="shared" si="493"/>
        <v>0</v>
      </c>
      <c r="CU277" s="29" t="str">
        <f t="shared" si="493"/>
        <v>0</v>
      </c>
      <c r="CV277" s="29" t="str">
        <f t="shared" si="493"/>
        <v>0</v>
      </c>
      <c r="CW277" s="29" t="str">
        <f t="shared" si="493"/>
        <v>0</v>
      </c>
      <c r="CX277" s="29" t="str">
        <f t="shared" si="493"/>
        <v>0</v>
      </c>
      <c r="CY277" s="29" t="str">
        <f t="shared" si="493"/>
        <v>0</v>
      </c>
      <c r="CZ277" s="29" t="str">
        <f t="shared" si="493"/>
        <v>0</v>
      </c>
      <c r="DA277" s="29" t="str">
        <f t="shared" si="493"/>
        <v>0</v>
      </c>
      <c r="DB277" s="29" t="str">
        <f t="shared" si="493"/>
        <v>0</v>
      </c>
      <c r="DC277" s="29" t="str">
        <f t="shared" si="493"/>
        <v>0</v>
      </c>
      <c r="DD277" s="29" t="str">
        <f t="shared" si="493"/>
        <v>0</v>
      </c>
      <c r="DE277" s="29" t="str">
        <f t="shared" si="493"/>
        <v>0</v>
      </c>
      <c r="DF277" s="29" t="str">
        <f t="shared" si="493"/>
        <v>0</v>
      </c>
      <c r="DG277" s="29" t="str">
        <f t="shared" si="493"/>
        <v>0</v>
      </c>
      <c r="DH277" s="29" t="str">
        <f t="shared" si="493"/>
        <v>0</v>
      </c>
      <c r="DI277" s="29" t="str">
        <f t="shared" si="493"/>
        <v>0</v>
      </c>
      <c r="DJ277" s="29" t="str">
        <f t="shared" si="493"/>
        <v>0</v>
      </c>
      <c r="DK277" s="29" t="str">
        <f t="shared" si="493"/>
        <v>0</v>
      </c>
      <c r="DL277" s="29" t="str">
        <f t="shared" si="493"/>
        <v>0</v>
      </c>
      <c r="DM277" s="29" t="str">
        <f t="shared" si="493"/>
        <v>0</v>
      </c>
      <c r="DN277" s="29" t="str">
        <f t="shared" si="493"/>
        <v>0</v>
      </c>
      <c r="DO277" s="29" t="str">
        <f t="shared" si="493"/>
        <v>0</v>
      </c>
      <c r="DP277" s="29" t="str">
        <f t="shared" si="493"/>
        <v>0</v>
      </c>
      <c r="DQ277" s="29" t="str">
        <f t="shared" si="493"/>
        <v>0</v>
      </c>
      <c r="DS277" s="25">
        <v>0</v>
      </c>
      <c r="EE277" s="25" t="str">
        <f t="shared" si="481"/>
        <v>0</v>
      </c>
    </row>
    <row r="278" spans="1:135">
      <c r="A278" s="53">
        <v>1004020</v>
      </c>
      <c r="B278" s="49" t="s">
        <v>324</v>
      </c>
      <c r="C278" s="25">
        <f t="shared" si="452"/>
        <v>20</v>
      </c>
      <c r="D278" s="25">
        <f t="array" ref="D278">INDEX(C$5:C$67,MATCH($B278,$B$5:$B$67,0))</f>
        <v>5940</v>
      </c>
      <c r="E278" s="25">
        <f t="array" ref="E278">INDEX(D$5:D$67,MATCH($B278,$B$5:$B$67,0))</f>
        <v>475.2</v>
      </c>
      <c r="F278" s="25">
        <f t="array" ref="F278">INDEX(E$5:E$67,MATCH($B278,$B$5:$B$67,0))</f>
        <v>848</v>
      </c>
      <c r="G278" s="25">
        <f t="array" ref="G278">INDEX(F$5:F$67,MATCH($B278,$B$5:$B$67,0))</f>
        <v>67.84</v>
      </c>
      <c r="H278" s="25">
        <f t="array" ref="H278">INDEX(G$5:G$66,MATCH($B278,$B$5:$B$67,0))</f>
        <v>1103</v>
      </c>
      <c r="I278" s="25">
        <f t="array" ref="I278">INDEX(H$5:H$67,MATCH($B278,$B$5:$B$67,0))</f>
        <v>88.24</v>
      </c>
      <c r="J278" s="25">
        <f t="array" ref="J278">INDEX(I$5:I$67,MATCH($B278,$B$5:$B$67,0))</f>
        <v>1045</v>
      </c>
      <c r="K278" s="25">
        <f t="array" ref="K278">INDEX(J$5:J$67,MATCH($B278,$B$5:$B$67,0))</f>
        <v>83.6</v>
      </c>
      <c r="L278" s="25">
        <f t="shared" si="462"/>
        <v>15444</v>
      </c>
      <c r="M278" s="25">
        <f t="shared" si="463"/>
        <v>2205</v>
      </c>
      <c r="N278" s="25">
        <f t="shared" si="464"/>
        <v>2868</v>
      </c>
      <c r="O278" s="25">
        <f t="shared" si="465"/>
        <v>2717</v>
      </c>
      <c r="R278" s="50">
        <f t="array" ref="R278">INDEX($B$46:$B$68,MATCH(S278,$C$46:$C$68,0))*1000+T278</f>
        <v>1008011</v>
      </c>
      <c r="S278" s="51" t="s">
        <v>332</v>
      </c>
      <c r="T278" s="29">
        <f t="shared" si="385"/>
        <v>11</v>
      </c>
      <c r="U278" s="25">
        <f t="array" ref="U278">INDEX(K$5:K$67,MATCH($S278,$B$5:$B$67,0))</f>
        <v>383.4</v>
      </c>
      <c r="V278" s="25">
        <f t="array" ref="V278">INDEX(L$5:L$67,MATCH($S278,$B$5:$B$67,0))</f>
        <v>140.45</v>
      </c>
      <c r="W278" s="25">
        <f t="array" ref="W278">INDEX(M$5:M$67,MATCH($S278,$B$5:$B$67,0))</f>
        <v>140.45</v>
      </c>
      <c r="X278" s="25">
        <f t="array" ref="X278">INDEX(N$5:N$67,MATCH($S278,$B$5:$B$67,0))</f>
        <v>85</v>
      </c>
      <c r="Y278" s="25">
        <f t="shared" si="466"/>
        <v>4217</v>
      </c>
      <c r="Z278" s="25">
        <f t="shared" si="467"/>
        <v>1545</v>
      </c>
      <c r="AA278" s="25">
        <f t="shared" si="468"/>
        <v>1545</v>
      </c>
      <c r="AB278" s="25">
        <f t="shared" si="469"/>
        <v>935</v>
      </c>
      <c r="AF278" s="25">
        <v>200</v>
      </c>
      <c r="AG278" s="25">
        <f t="array" ref="AG278">INDEX($AE$79:$AE$116,QUOTIENT(AF278-1,8)+1)</f>
        <v>1036</v>
      </c>
      <c r="AH278" s="25">
        <f t="shared" si="345"/>
        <v>8</v>
      </c>
      <c r="AI278" s="25">
        <f t="shared" si="470"/>
        <v>10368</v>
      </c>
      <c r="AJ278" s="25" t="str">
        <f t="shared" si="471"/>
        <v>霜狼法师</v>
      </c>
      <c r="AK278" s="25">
        <f t="shared" si="346"/>
        <v>3</v>
      </c>
      <c r="AL278" s="25" t="str">
        <f t="array" ref="AL278">INDEX($O$5:$O$42,MATCH(AJ278,$B$5:$B$42,0))</f>
        <v>攻击百分比</v>
      </c>
      <c r="AM278" s="25" t="str">
        <f t="array" ref="AM278">INDEX($P$5:$P$42,MATCH(AJ278,$B$5:$B$42,0))</f>
        <v>技能伤害加成</v>
      </c>
      <c r="AN278" s="25" t="str">
        <f t="array" ref="AN278">INDEX($Q$5:$Q$42,MATCH(AJ278,$B$5:$B$42,0))</f>
        <v>技能冷却等级</v>
      </c>
      <c r="AO278" s="25" t="str">
        <f t="array" ref="AO278">INDEX(AL278:AN278,0,AK278)</f>
        <v>技能冷却等级</v>
      </c>
      <c r="AP278" s="25">
        <f t="shared" si="457"/>
        <v>0.216666666666667</v>
      </c>
      <c r="AQ278" s="25">
        <f t="shared" si="472"/>
        <v>2816.66666666667</v>
      </c>
      <c r="AR278" s="25" t="str">
        <f t="shared" ref="AR278:BZ278" si="494">IF(AR$78=$AO278,$AQ278,"0")</f>
        <v>0</v>
      </c>
      <c r="AS278" s="25" t="str">
        <f t="shared" si="494"/>
        <v>0</v>
      </c>
      <c r="AT278" s="25" t="str">
        <f t="shared" si="494"/>
        <v>0</v>
      </c>
      <c r="AU278" s="25" t="str">
        <f t="shared" si="494"/>
        <v>0</v>
      </c>
      <c r="AV278" s="25" t="str">
        <f t="shared" si="494"/>
        <v>0</v>
      </c>
      <c r="AW278" s="25" t="str">
        <f t="shared" si="494"/>
        <v>0</v>
      </c>
      <c r="AX278" s="25" t="str">
        <f t="shared" si="494"/>
        <v>0</v>
      </c>
      <c r="AY278" s="25" t="str">
        <f t="shared" si="494"/>
        <v>0</v>
      </c>
      <c r="AZ278" s="25" t="str">
        <f t="shared" si="494"/>
        <v>0</v>
      </c>
      <c r="BA278" s="25" t="str">
        <f t="shared" si="494"/>
        <v>0</v>
      </c>
      <c r="BB278" s="25" t="str">
        <f t="shared" si="494"/>
        <v>0</v>
      </c>
      <c r="BC278" s="25" t="str">
        <f t="shared" si="494"/>
        <v>0</v>
      </c>
      <c r="BD278" s="25" t="str">
        <f t="shared" si="494"/>
        <v>0</v>
      </c>
      <c r="BE278" s="25" t="str">
        <f t="shared" si="494"/>
        <v>0</v>
      </c>
      <c r="BF278" s="25" t="str">
        <f t="shared" si="494"/>
        <v>0</v>
      </c>
      <c r="BG278" s="25" t="str">
        <f t="shared" si="494"/>
        <v>0</v>
      </c>
      <c r="BH278" s="25" t="str">
        <f t="shared" si="494"/>
        <v>0</v>
      </c>
      <c r="BI278" s="25" t="str">
        <f t="shared" si="494"/>
        <v>0</v>
      </c>
      <c r="BJ278" s="25" t="str">
        <f t="shared" si="494"/>
        <v>0</v>
      </c>
      <c r="BK278" s="25" t="str">
        <f t="shared" si="494"/>
        <v>0</v>
      </c>
      <c r="BL278" s="25" t="str">
        <f t="shared" si="494"/>
        <v>0</v>
      </c>
      <c r="BM278" s="25" t="str">
        <f t="shared" si="494"/>
        <v>0</v>
      </c>
      <c r="BN278" s="25" t="str">
        <f t="shared" si="494"/>
        <v>0</v>
      </c>
      <c r="BO278" s="25" t="str">
        <f t="shared" si="494"/>
        <v>0</v>
      </c>
      <c r="BP278" s="25" t="str">
        <f t="shared" si="494"/>
        <v>0</v>
      </c>
      <c r="BQ278" s="25" t="str">
        <f t="shared" si="494"/>
        <v>0</v>
      </c>
      <c r="BR278" s="25" t="str">
        <f t="shared" si="494"/>
        <v>0</v>
      </c>
      <c r="BS278" s="25" t="str">
        <f t="shared" si="494"/>
        <v>0</v>
      </c>
      <c r="BT278" s="25" t="str">
        <f t="shared" si="494"/>
        <v>0</v>
      </c>
      <c r="BU278" s="25" t="str">
        <f t="shared" si="494"/>
        <v>0</v>
      </c>
      <c r="BV278" s="25" t="str">
        <f t="shared" si="494"/>
        <v>0</v>
      </c>
      <c r="BW278" s="25" t="str">
        <f t="shared" si="494"/>
        <v>0</v>
      </c>
      <c r="BX278" s="25" t="str">
        <f t="shared" si="494"/>
        <v>0</v>
      </c>
      <c r="BY278" s="25" t="str">
        <f t="shared" si="494"/>
        <v>0</v>
      </c>
      <c r="BZ278" s="25">
        <f t="shared" si="494"/>
        <v>2816.66666666667</v>
      </c>
      <c r="CC278" s="25" t="str">
        <f t="array" ref="CC278">INDEX($C$46:$C$74,MATCH(CD278,$B$46:$B$74,0))</f>
        <v>小寒</v>
      </c>
      <c r="CD278" s="29">
        <v>1040</v>
      </c>
      <c r="CE278" s="1">
        <v>3</v>
      </c>
      <c r="CF278" s="25" t="str">
        <f t="array" ref="CF278">INDEX($T$5:$T$44,MATCH(CC278,$B$5:$B$44,0))</f>
        <v>魔法</v>
      </c>
      <c r="CG278" s="25">
        <f>CG271</f>
        <v>0.15</v>
      </c>
      <c r="CH278" s="25">
        <f t="shared" si="474"/>
        <v>1.15</v>
      </c>
      <c r="CI278" s="25">
        <f t="shared" si="475"/>
        <v>1</v>
      </c>
      <c r="CJ278" s="25">
        <f t="shared" si="476"/>
        <v>1.15</v>
      </c>
      <c r="CK278" s="25">
        <f t="shared" si="477"/>
        <v>1.15</v>
      </c>
      <c r="CL278" s="25" t="str">
        <f t="array" ref="CL278">INDEX($R$5:$R$43,MATCH(CC278,$B$5:$B$43,0))</f>
        <v>魔法伤害加成</v>
      </c>
      <c r="CM278" s="25">
        <f>CM271</f>
        <v>0.3</v>
      </c>
      <c r="CN278" s="25">
        <f t="shared" si="478"/>
        <v>0.12</v>
      </c>
      <c r="CO278" s="25">
        <f t="shared" si="479"/>
        <v>1</v>
      </c>
      <c r="CP278" s="29" t="str">
        <f t="shared" ref="CP278:DQ278" si="495">IF($CL278=CP$78,$CN278,"0")</f>
        <v>0</v>
      </c>
      <c r="CQ278" s="29" t="str">
        <f t="shared" si="495"/>
        <v>0</v>
      </c>
      <c r="CR278" s="29" t="str">
        <f t="shared" si="495"/>
        <v>0</v>
      </c>
      <c r="CS278" s="29" t="str">
        <f t="shared" si="495"/>
        <v>0</v>
      </c>
      <c r="CT278" s="29" t="str">
        <f t="shared" si="495"/>
        <v>0</v>
      </c>
      <c r="CU278" s="29" t="str">
        <f t="shared" si="495"/>
        <v>0</v>
      </c>
      <c r="CV278" s="29" t="str">
        <f t="shared" si="495"/>
        <v>0</v>
      </c>
      <c r="CW278" s="29" t="str">
        <f t="shared" si="495"/>
        <v>0</v>
      </c>
      <c r="CX278" s="29" t="str">
        <f t="shared" si="495"/>
        <v>0</v>
      </c>
      <c r="CY278" s="29" t="str">
        <f t="shared" si="495"/>
        <v>0</v>
      </c>
      <c r="CZ278" s="29" t="str">
        <f t="shared" si="495"/>
        <v>0</v>
      </c>
      <c r="DA278" s="29" t="str">
        <f t="shared" si="495"/>
        <v>0</v>
      </c>
      <c r="DB278" s="29" t="str">
        <f t="shared" si="495"/>
        <v>0</v>
      </c>
      <c r="DC278" s="29">
        <f t="shared" si="495"/>
        <v>0.12</v>
      </c>
      <c r="DD278" s="29" t="str">
        <f t="shared" si="495"/>
        <v>0</v>
      </c>
      <c r="DE278" s="29" t="str">
        <f t="shared" si="495"/>
        <v>0</v>
      </c>
      <c r="DF278" s="29" t="str">
        <f t="shared" si="495"/>
        <v>0</v>
      </c>
      <c r="DG278" s="29" t="str">
        <f t="shared" si="495"/>
        <v>0</v>
      </c>
      <c r="DH278" s="29" t="str">
        <f t="shared" si="495"/>
        <v>0</v>
      </c>
      <c r="DI278" s="29" t="str">
        <f t="shared" si="495"/>
        <v>0</v>
      </c>
      <c r="DJ278" s="29" t="str">
        <f t="shared" si="495"/>
        <v>0</v>
      </c>
      <c r="DK278" s="29" t="str">
        <f t="shared" si="495"/>
        <v>0</v>
      </c>
      <c r="DL278" s="29" t="str">
        <f t="shared" si="495"/>
        <v>0</v>
      </c>
      <c r="DM278" s="29" t="str">
        <f t="shared" si="495"/>
        <v>0</v>
      </c>
      <c r="DN278" s="29" t="str">
        <f t="shared" si="495"/>
        <v>0</v>
      </c>
      <c r="DO278" s="29" t="str">
        <f t="shared" si="495"/>
        <v>0</v>
      </c>
      <c r="DP278" s="29" t="str">
        <f t="shared" si="495"/>
        <v>0</v>
      </c>
      <c r="DQ278" s="29" t="str">
        <f t="shared" si="495"/>
        <v>0</v>
      </c>
      <c r="DS278" s="25" t="s">
        <v>1011</v>
      </c>
      <c r="DT278" s="25" t="str">
        <f>TEXT(角色升星!$F$18,"0%")</f>
        <v>15%</v>
      </c>
      <c r="DU278" s="25" t="s">
        <v>779</v>
      </c>
      <c r="DV278" s="25" t="str">
        <f>IF(CF278="物理","PhysicsAttack,+","MagicAttack,+")</f>
        <v>MagicAttack,+</v>
      </c>
      <c r="DW278" s="25" t="str">
        <f>TEXT(角色升星!$F$18,"0%")</f>
        <v>15%</v>
      </c>
      <c r="DX278" s="25" t="s">
        <v>779</v>
      </c>
      <c r="DY278" s="25" t="s">
        <v>1012</v>
      </c>
      <c r="DZ278" s="25" t="str">
        <f>TEXT(角色升星!$F$18,"0%")</f>
        <v>15%</v>
      </c>
      <c r="EA278" s="25" t="s">
        <v>779</v>
      </c>
      <c r="EB278" s="25" t="str">
        <f>VLOOKUP(CL278,$O$46:$P$73,2,0)</f>
        <v>MagicDmgBonus</v>
      </c>
      <c r="EC278" s="25" t="s">
        <v>1013</v>
      </c>
      <c r="ED278" s="25" t="str">
        <f>IF(CN278&gt;1,CN278,TEXT(CN278,"0%"))</f>
        <v>12%</v>
      </c>
      <c r="EE278" s="25" t="str">
        <f t="shared" si="481"/>
        <v>Hp,+15%;MagicAttack,+15%;Armor,+15%;MagicDmgBonus,+12%</v>
      </c>
    </row>
    <row r="279" spans="1:135">
      <c r="A279" s="53">
        <v>1004021</v>
      </c>
      <c r="B279" s="49" t="s">
        <v>324</v>
      </c>
      <c r="C279" s="25">
        <f t="shared" si="452"/>
        <v>21</v>
      </c>
      <c r="D279" s="25">
        <f t="array" ref="D279">INDEX(C$5:C$67,MATCH($B279,$B$5:$B$67,0))</f>
        <v>5940</v>
      </c>
      <c r="E279" s="25">
        <f t="array" ref="E279">INDEX(D$5:D$67,MATCH($B279,$B$5:$B$67,0))</f>
        <v>475.2</v>
      </c>
      <c r="F279" s="25">
        <f t="array" ref="F279">INDEX(E$5:E$67,MATCH($B279,$B$5:$B$67,0))</f>
        <v>848</v>
      </c>
      <c r="G279" s="25">
        <f t="array" ref="G279">INDEX(F$5:F$67,MATCH($B279,$B$5:$B$67,0))</f>
        <v>67.84</v>
      </c>
      <c r="H279" s="25">
        <f t="array" ref="H279">INDEX(G$5:G$66,MATCH($B279,$B$5:$B$67,0))</f>
        <v>1103</v>
      </c>
      <c r="I279" s="25">
        <f t="array" ref="I279">INDEX(H$5:H$67,MATCH($B279,$B$5:$B$67,0))</f>
        <v>88.24</v>
      </c>
      <c r="J279" s="25">
        <f t="array" ref="J279">INDEX(I$5:I$67,MATCH($B279,$B$5:$B$67,0))</f>
        <v>1045</v>
      </c>
      <c r="K279" s="25">
        <f t="array" ref="K279">INDEX(J$5:J$67,MATCH($B279,$B$5:$B$67,0))</f>
        <v>83.6</v>
      </c>
      <c r="L279" s="25">
        <f t="shared" si="462"/>
        <v>15919</v>
      </c>
      <c r="M279" s="25">
        <f t="shared" si="463"/>
        <v>2273</v>
      </c>
      <c r="N279" s="25">
        <f t="shared" si="464"/>
        <v>2956</v>
      </c>
      <c r="O279" s="25">
        <f t="shared" si="465"/>
        <v>2801</v>
      </c>
      <c r="R279" s="50">
        <f t="array" ref="R279">INDEX($B$46:$B$68,MATCH(S279,$C$46:$C$68,0))*1000+T279</f>
        <v>1008012</v>
      </c>
      <c r="S279" s="51" t="s">
        <v>332</v>
      </c>
      <c r="T279" s="29">
        <f t="shared" si="385"/>
        <v>12</v>
      </c>
      <c r="U279" s="25">
        <f t="array" ref="U279">INDEX(K$5:K$67,MATCH($S279,$B$5:$B$67,0))</f>
        <v>383.4</v>
      </c>
      <c r="V279" s="25">
        <f t="array" ref="V279">INDEX(L$5:L$67,MATCH($S279,$B$5:$B$67,0))</f>
        <v>140.45</v>
      </c>
      <c r="W279" s="25">
        <f t="array" ref="W279">INDEX(M$5:M$67,MATCH($S279,$B$5:$B$67,0))</f>
        <v>140.45</v>
      </c>
      <c r="X279" s="25">
        <f t="array" ref="X279">INDEX(N$5:N$67,MATCH($S279,$B$5:$B$67,0))</f>
        <v>85</v>
      </c>
      <c r="Y279" s="25">
        <f t="shared" si="466"/>
        <v>4601</v>
      </c>
      <c r="Z279" s="25">
        <f t="shared" si="467"/>
        <v>1685</v>
      </c>
      <c r="AA279" s="25">
        <f t="shared" si="468"/>
        <v>1685</v>
      </c>
      <c r="AB279" s="25">
        <f t="shared" si="469"/>
        <v>1020</v>
      </c>
      <c r="AF279" s="25">
        <v>201</v>
      </c>
      <c r="AG279" s="25">
        <f t="array" ref="AG279">INDEX($AE$79:$AE$116,QUOTIENT(AF279-1,8)+1)</f>
        <v>1037</v>
      </c>
      <c r="AH279" s="25">
        <f t="shared" ref="AH279:AH310" si="496">AH271</f>
        <v>1</v>
      </c>
      <c r="AI279" s="25">
        <f t="shared" si="470"/>
        <v>10371</v>
      </c>
      <c r="AJ279" s="25" t="str">
        <f t="shared" si="471"/>
        <v>霜狼战士</v>
      </c>
      <c r="AK279" s="25">
        <f t="shared" ref="AK279:AK310" si="497">AK271</f>
        <v>1</v>
      </c>
      <c r="AL279" s="25" t="str">
        <f t="array" ref="AL279">INDEX($O$5:$O$42,MATCH(AJ279,$B$5:$B$42,0))</f>
        <v>攻击百分比</v>
      </c>
      <c r="AM279" s="25" t="str">
        <f t="array" ref="AM279">INDEX($P$5:$P$42,MATCH(AJ279,$B$5:$B$42,0))</f>
        <v>暴击等级</v>
      </c>
      <c r="AN279" s="25" t="str">
        <f t="array" ref="AN279">INDEX($Q$5:$Q$42,MATCH(AJ279,$B$5:$B$42,0))</f>
        <v>普攻伤害加成</v>
      </c>
      <c r="AO279" s="25" t="str">
        <f t="array" ref="AO279">INDEX(AL279:AN279,0,AK279)</f>
        <v>攻击百分比</v>
      </c>
      <c r="AP279" s="25">
        <f t="shared" si="457"/>
        <v>0.216666666666667</v>
      </c>
      <c r="AQ279" s="25">
        <f t="shared" si="472"/>
        <v>0.216666666666667</v>
      </c>
      <c r="AR279" s="25" t="str">
        <f t="shared" ref="AR279:BZ279" si="498">IF(AR$78=$AO279,$AQ279,"0")</f>
        <v>0</v>
      </c>
      <c r="AS279" s="25" t="str">
        <f t="shared" si="498"/>
        <v>0</v>
      </c>
      <c r="AT279" s="25" t="str">
        <f t="shared" si="498"/>
        <v>0</v>
      </c>
      <c r="AU279" s="25">
        <f t="shared" si="498"/>
        <v>0.216666666666667</v>
      </c>
      <c r="AV279" s="25" t="str">
        <f t="shared" si="498"/>
        <v>0</v>
      </c>
      <c r="AW279" s="25">
        <f t="shared" si="498"/>
        <v>0.216666666666667</v>
      </c>
      <c r="AX279" s="25" t="str">
        <f t="shared" si="498"/>
        <v>0</v>
      </c>
      <c r="AY279" s="25" t="str">
        <f t="shared" si="498"/>
        <v>0</v>
      </c>
      <c r="AZ279" s="25" t="str">
        <f t="shared" si="498"/>
        <v>0</v>
      </c>
      <c r="BA279" s="25" t="str">
        <f t="shared" si="498"/>
        <v>0</v>
      </c>
      <c r="BB279" s="25" t="str">
        <f t="shared" si="498"/>
        <v>0</v>
      </c>
      <c r="BC279" s="25" t="str">
        <f t="shared" si="498"/>
        <v>0</v>
      </c>
      <c r="BD279" s="25" t="str">
        <f t="shared" si="498"/>
        <v>0</v>
      </c>
      <c r="BE279" s="25" t="str">
        <f t="shared" si="498"/>
        <v>0</v>
      </c>
      <c r="BF279" s="25" t="str">
        <f t="shared" si="498"/>
        <v>0</v>
      </c>
      <c r="BG279" s="25" t="str">
        <f t="shared" si="498"/>
        <v>0</v>
      </c>
      <c r="BH279" s="25" t="str">
        <f t="shared" si="498"/>
        <v>0</v>
      </c>
      <c r="BI279" s="25" t="str">
        <f t="shared" si="498"/>
        <v>0</v>
      </c>
      <c r="BJ279" s="25" t="str">
        <f t="shared" si="498"/>
        <v>0</v>
      </c>
      <c r="BK279" s="25" t="str">
        <f t="shared" si="498"/>
        <v>0</v>
      </c>
      <c r="BL279" s="25" t="str">
        <f t="shared" si="498"/>
        <v>0</v>
      </c>
      <c r="BM279" s="25" t="str">
        <f t="shared" si="498"/>
        <v>0</v>
      </c>
      <c r="BN279" s="25" t="str">
        <f t="shared" si="498"/>
        <v>0</v>
      </c>
      <c r="BO279" s="25" t="str">
        <f t="shared" si="498"/>
        <v>0</v>
      </c>
      <c r="BP279" s="25" t="str">
        <f t="shared" si="498"/>
        <v>0</v>
      </c>
      <c r="BQ279" s="25" t="str">
        <f t="shared" si="498"/>
        <v>0</v>
      </c>
      <c r="BR279" s="25" t="str">
        <f t="shared" si="498"/>
        <v>0</v>
      </c>
      <c r="BS279" s="25" t="str">
        <f t="shared" si="498"/>
        <v>0</v>
      </c>
      <c r="BT279" s="25" t="str">
        <f t="shared" si="498"/>
        <v>0</v>
      </c>
      <c r="BU279" s="25" t="str">
        <f t="shared" si="498"/>
        <v>0</v>
      </c>
      <c r="BV279" s="25" t="str">
        <f t="shared" si="498"/>
        <v>0</v>
      </c>
      <c r="BW279" s="25" t="str">
        <f t="shared" si="498"/>
        <v>0</v>
      </c>
      <c r="BX279" s="25" t="str">
        <f t="shared" si="498"/>
        <v>0</v>
      </c>
      <c r="BY279" s="25" t="str">
        <f t="shared" si="498"/>
        <v>0</v>
      </c>
      <c r="BZ279" s="25" t="str">
        <f t="shared" si="498"/>
        <v>0</v>
      </c>
      <c r="CC279" s="25" t="str">
        <f t="array" ref="CC279">INDEX($C$46:$C$74,MATCH(CD279,$B$46:$B$74,0))</f>
        <v>小寒</v>
      </c>
      <c r="CD279" s="29">
        <v>1040</v>
      </c>
      <c r="CE279" s="1">
        <v>4</v>
      </c>
      <c r="CF279" s="25" t="str">
        <f t="array" ref="CF279">INDEX($T$5:$T$44,MATCH(CC279,$B$5:$B$44,0))</f>
        <v>魔法</v>
      </c>
      <c r="CG279" s="25">
        <f>CG272</f>
        <v>0.15</v>
      </c>
      <c r="CH279" s="25">
        <f t="shared" si="474"/>
        <v>1.15</v>
      </c>
      <c r="CI279" s="25">
        <f t="shared" si="475"/>
        <v>1</v>
      </c>
      <c r="CJ279" s="25">
        <f t="shared" si="476"/>
        <v>1.15</v>
      </c>
      <c r="CK279" s="25">
        <f t="shared" si="477"/>
        <v>1.15</v>
      </c>
      <c r="CL279" s="25">
        <v>0</v>
      </c>
      <c r="CM279" s="25">
        <f>CM272</f>
        <v>0</v>
      </c>
      <c r="CN279" s="25">
        <f t="shared" si="478"/>
        <v>0</v>
      </c>
      <c r="CO279" s="25">
        <f t="shared" si="479"/>
        <v>0</v>
      </c>
      <c r="CP279" s="29" t="str">
        <f t="shared" ref="CP279:DQ279" si="499">IF($CL279=CP$78,$CN279,"0")</f>
        <v>0</v>
      </c>
      <c r="CQ279" s="29" t="str">
        <f t="shared" si="499"/>
        <v>0</v>
      </c>
      <c r="CR279" s="29" t="str">
        <f t="shared" si="499"/>
        <v>0</v>
      </c>
      <c r="CS279" s="29" t="str">
        <f t="shared" si="499"/>
        <v>0</v>
      </c>
      <c r="CT279" s="29" t="str">
        <f t="shared" si="499"/>
        <v>0</v>
      </c>
      <c r="CU279" s="29" t="str">
        <f t="shared" si="499"/>
        <v>0</v>
      </c>
      <c r="CV279" s="29" t="str">
        <f t="shared" si="499"/>
        <v>0</v>
      </c>
      <c r="CW279" s="29" t="str">
        <f t="shared" si="499"/>
        <v>0</v>
      </c>
      <c r="CX279" s="29" t="str">
        <f t="shared" si="499"/>
        <v>0</v>
      </c>
      <c r="CY279" s="29" t="str">
        <f t="shared" si="499"/>
        <v>0</v>
      </c>
      <c r="CZ279" s="29" t="str">
        <f t="shared" si="499"/>
        <v>0</v>
      </c>
      <c r="DA279" s="29" t="str">
        <f t="shared" si="499"/>
        <v>0</v>
      </c>
      <c r="DB279" s="29" t="str">
        <f t="shared" si="499"/>
        <v>0</v>
      </c>
      <c r="DC279" s="29" t="str">
        <f t="shared" si="499"/>
        <v>0</v>
      </c>
      <c r="DD279" s="29" t="str">
        <f t="shared" si="499"/>
        <v>0</v>
      </c>
      <c r="DE279" s="29" t="str">
        <f t="shared" si="499"/>
        <v>0</v>
      </c>
      <c r="DF279" s="29" t="str">
        <f t="shared" si="499"/>
        <v>0</v>
      </c>
      <c r="DG279" s="29" t="str">
        <f t="shared" si="499"/>
        <v>0</v>
      </c>
      <c r="DH279" s="29" t="str">
        <f t="shared" si="499"/>
        <v>0</v>
      </c>
      <c r="DI279" s="29" t="str">
        <f t="shared" si="499"/>
        <v>0</v>
      </c>
      <c r="DJ279" s="29" t="str">
        <f t="shared" si="499"/>
        <v>0</v>
      </c>
      <c r="DK279" s="29" t="str">
        <f t="shared" si="499"/>
        <v>0</v>
      </c>
      <c r="DL279" s="29" t="str">
        <f t="shared" si="499"/>
        <v>0</v>
      </c>
      <c r="DM279" s="29" t="str">
        <f t="shared" si="499"/>
        <v>0</v>
      </c>
      <c r="DN279" s="29" t="str">
        <f t="shared" si="499"/>
        <v>0</v>
      </c>
      <c r="DO279" s="29" t="str">
        <f t="shared" si="499"/>
        <v>0</v>
      </c>
      <c r="DP279" s="29" t="str">
        <f t="shared" si="499"/>
        <v>0</v>
      </c>
      <c r="DQ279" s="29" t="str">
        <f t="shared" si="499"/>
        <v>0</v>
      </c>
      <c r="DS279" s="25">
        <v>0</v>
      </c>
      <c r="EE279" s="25" t="str">
        <f t="shared" si="481"/>
        <v>0</v>
      </c>
    </row>
    <row r="280" spans="1:135">
      <c r="A280" s="53">
        <v>1004022</v>
      </c>
      <c r="B280" s="49" t="s">
        <v>324</v>
      </c>
      <c r="C280" s="25">
        <f t="shared" si="452"/>
        <v>22</v>
      </c>
      <c r="D280" s="25">
        <f t="array" ref="D280">INDEX(C$5:C$67,MATCH($B280,$B$5:$B$67,0))</f>
        <v>5940</v>
      </c>
      <c r="E280" s="25">
        <f t="array" ref="E280">INDEX(D$5:D$67,MATCH($B280,$B$5:$B$67,0))</f>
        <v>475.2</v>
      </c>
      <c r="F280" s="25">
        <f t="array" ref="F280">INDEX(E$5:E$67,MATCH($B280,$B$5:$B$67,0))</f>
        <v>848</v>
      </c>
      <c r="G280" s="25">
        <f t="array" ref="G280">INDEX(F$5:F$67,MATCH($B280,$B$5:$B$67,0))</f>
        <v>67.84</v>
      </c>
      <c r="H280" s="25">
        <f t="array" ref="H280">INDEX(G$5:G$66,MATCH($B280,$B$5:$B$67,0))</f>
        <v>1103</v>
      </c>
      <c r="I280" s="25">
        <f t="array" ref="I280">INDEX(H$5:H$67,MATCH($B280,$B$5:$B$67,0))</f>
        <v>88.24</v>
      </c>
      <c r="J280" s="25">
        <f t="array" ref="J280">INDEX(I$5:I$67,MATCH($B280,$B$5:$B$67,0))</f>
        <v>1045</v>
      </c>
      <c r="K280" s="25">
        <f t="array" ref="K280">INDEX(J$5:J$67,MATCH($B280,$B$5:$B$67,0))</f>
        <v>83.6</v>
      </c>
      <c r="L280" s="25">
        <f t="shared" si="462"/>
        <v>16394</v>
      </c>
      <c r="M280" s="25">
        <f t="shared" si="463"/>
        <v>2340</v>
      </c>
      <c r="N280" s="25">
        <f t="shared" si="464"/>
        <v>3044</v>
      </c>
      <c r="O280" s="25">
        <f t="shared" si="465"/>
        <v>2884</v>
      </c>
      <c r="R280" s="50">
        <f t="array" ref="R280">INDEX($B$46:$B$68,MATCH(S280,$C$46:$C$68,0))*1000+T280</f>
        <v>1008013</v>
      </c>
      <c r="S280" s="51" t="s">
        <v>332</v>
      </c>
      <c r="T280" s="29">
        <f t="shared" si="385"/>
        <v>13</v>
      </c>
      <c r="U280" s="25">
        <f t="array" ref="U280">INDEX(K$5:K$67,MATCH($S280,$B$5:$B$67,0))</f>
        <v>383.4</v>
      </c>
      <c r="V280" s="25">
        <f t="array" ref="V280">INDEX(L$5:L$67,MATCH($S280,$B$5:$B$67,0))</f>
        <v>140.45</v>
      </c>
      <c r="W280" s="25">
        <f t="array" ref="W280">INDEX(M$5:M$67,MATCH($S280,$B$5:$B$67,0))</f>
        <v>140.45</v>
      </c>
      <c r="X280" s="25">
        <f t="array" ref="X280">INDEX(N$5:N$67,MATCH($S280,$B$5:$B$67,0))</f>
        <v>85</v>
      </c>
      <c r="Y280" s="25">
        <f t="shared" si="466"/>
        <v>4984</v>
      </c>
      <c r="Z280" s="25">
        <f t="shared" si="467"/>
        <v>1826</v>
      </c>
      <c r="AA280" s="25">
        <f t="shared" si="468"/>
        <v>1826</v>
      </c>
      <c r="AB280" s="25">
        <f t="shared" si="469"/>
        <v>1105</v>
      </c>
      <c r="AF280" s="25">
        <v>202</v>
      </c>
      <c r="AG280" s="25">
        <f t="array" ref="AG280">INDEX($AE$79:$AE$116,QUOTIENT(AF280-1,8)+1)</f>
        <v>1037</v>
      </c>
      <c r="AH280" s="25">
        <f t="shared" si="496"/>
        <v>2</v>
      </c>
      <c r="AI280" s="25">
        <f t="shared" si="470"/>
        <v>10372</v>
      </c>
      <c r="AJ280" s="25" t="str">
        <f t="shared" si="471"/>
        <v>霜狼战士</v>
      </c>
      <c r="AK280" s="25">
        <f t="shared" si="497"/>
        <v>2</v>
      </c>
      <c r="AL280" s="25" t="str">
        <f t="array" ref="AL280">INDEX($O$5:$O$42,MATCH(AJ280,$B$5:$B$42,0))</f>
        <v>攻击百分比</v>
      </c>
      <c r="AM280" s="25" t="str">
        <f t="array" ref="AM280">INDEX($P$5:$P$42,MATCH(AJ280,$B$5:$B$42,0))</f>
        <v>暴击等级</v>
      </c>
      <c r="AN280" s="25" t="str">
        <f t="array" ref="AN280">INDEX($Q$5:$Q$42,MATCH(AJ280,$B$5:$B$42,0))</f>
        <v>普攻伤害加成</v>
      </c>
      <c r="AO280" s="25" t="str">
        <f t="array" ref="AO280">INDEX(AL280:AN280,0,AK280)</f>
        <v>暴击等级</v>
      </c>
      <c r="AP280" s="25">
        <f t="shared" si="457"/>
        <v>0.15</v>
      </c>
      <c r="AQ280" s="25">
        <f t="shared" si="472"/>
        <v>1350</v>
      </c>
      <c r="AR280" s="25" t="str">
        <f t="shared" ref="AR280:BZ280" si="500">IF(AR$78=$AO280,$AQ280,"0")</f>
        <v>0</v>
      </c>
      <c r="AS280" s="25" t="str">
        <f t="shared" si="500"/>
        <v>0</v>
      </c>
      <c r="AT280" s="25" t="str">
        <f t="shared" si="500"/>
        <v>0</v>
      </c>
      <c r="AU280" s="25" t="str">
        <f t="shared" si="500"/>
        <v>0</v>
      </c>
      <c r="AV280" s="25" t="str">
        <f t="shared" si="500"/>
        <v>0</v>
      </c>
      <c r="AW280" s="25" t="str">
        <f t="shared" si="500"/>
        <v>0</v>
      </c>
      <c r="AX280" s="25" t="str">
        <f t="shared" si="500"/>
        <v>0</v>
      </c>
      <c r="AY280" s="25" t="str">
        <f t="shared" si="500"/>
        <v>0</v>
      </c>
      <c r="AZ280" s="25" t="str">
        <f t="shared" si="500"/>
        <v>0</v>
      </c>
      <c r="BA280" s="25" t="str">
        <f t="shared" si="500"/>
        <v>0</v>
      </c>
      <c r="BB280" s="25" t="str">
        <f t="shared" si="500"/>
        <v>0</v>
      </c>
      <c r="BC280" s="25" t="str">
        <f t="shared" si="500"/>
        <v>0</v>
      </c>
      <c r="BD280" s="25" t="str">
        <f t="shared" si="500"/>
        <v>0</v>
      </c>
      <c r="BE280" s="25" t="str">
        <f t="shared" si="500"/>
        <v>0</v>
      </c>
      <c r="BF280" s="25" t="str">
        <f t="shared" si="500"/>
        <v>0</v>
      </c>
      <c r="BG280" s="25" t="str">
        <f t="shared" si="500"/>
        <v>0</v>
      </c>
      <c r="BH280" s="25" t="str">
        <f t="shared" si="500"/>
        <v>0</v>
      </c>
      <c r="BI280" s="25" t="str">
        <f t="shared" si="500"/>
        <v>0</v>
      </c>
      <c r="BJ280" s="25" t="str">
        <f t="shared" si="500"/>
        <v>0</v>
      </c>
      <c r="BK280" s="25" t="str">
        <f t="shared" si="500"/>
        <v>0</v>
      </c>
      <c r="BL280" s="25" t="str">
        <f t="shared" si="500"/>
        <v>0</v>
      </c>
      <c r="BM280" s="25" t="str">
        <f t="shared" si="500"/>
        <v>0</v>
      </c>
      <c r="BN280" s="25" t="str">
        <f t="shared" si="500"/>
        <v>0</v>
      </c>
      <c r="BO280" s="25" t="str">
        <f t="shared" si="500"/>
        <v>0</v>
      </c>
      <c r="BP280" s="25" t="str">
        <f t="shared" si="500"/>
        <v>0</v>
      </c>
      <c r="BQ280" s="25" t="str">
        <f t="shared" si="500"/>
        <v>0</v>
      </c>
      <c r="BR280" s="25" t="str">
        <f t="shared" si="500"/>
        <v>0</v>
      </c>
      <c r="BS280" s="25" t="str">
        <f t="shared" si="500"/>
        <v>0</v>
      </c>
      <c r="BT280" s="25" t="str">
        <f t="shared" si="500"/>
        <v>0</v>
      </c>
      <c r="BU280" s="25" t="str">
        <f t="shared" si="500"/>
        <v>0</v>
      </c>
      <c r="BV280" s="25" t="str">
        <f t="shared" si="500"/>
        <v>0</v>
      </c>
      <c r="BW280" s="25">
        <f t="shared" si="500"/>
        <v>1350</v>
      </c>
      <c r="BX280" s="25" t="str">
        <f t="shared" si="500"/>
        <v>0</v>
      </c>
      <c r="BY280" s="25" t="str">
        <f t="shared" si="500"/>
        <v>0</v>
      </c>
      <c r="BZ280" s="25" t="str">
        <f t="shared" si="500"/>
        <v>0</v>
      </c>
      <c r="CC280" s="25" t="str">
        <f t="array" ref="CC280">INDEX($C$46:$C$74,MATCH(CD280,$B$46:$B$74,0))</f>
        <v>小寒</v>
      </c>
      <c r="CD280" s="29">
        <v>1040</v>
      </c>
      <c r="CE280" s="1">
        <v>5</v>
      </c>
      <c r="CF280" s="25" t="str">
        <f t="array" ref="CF280">INDEX($T$5:$T$44,MATCH(CC280,$B$5:$B$44,0))</f>
        <v>魔法</v>
      </c>
      <c r="CG280" s="25">
        <f>CG273</f>
        <v>0.3</v>
      </c>
      <c r="CH280" s="25">
        <f t="shared" si="474"/>
        <v>1.3</v>
      </c>
      <c r="CI280" s="25">
        <f t="shared" si="475"/>
        <v>1</v>
      </c>
      <c r="CJ280" s="25">
        <f t="shared" si="476"/>
        <v>1.3</v>
      </c>
      <c r="CK280" s="25">
        <f t="shared" si="477"/>
        <v>1.3</v>
      </c>
      <c r="CL280" s="25" t="str">
        <f t="array" ref="CL280">INDEX($S$5:$S$43,MATCH(CC280,$B$5:$B$43,0))</f>
        <v>治疗率</v>
      </c>
      <c r="CM280" s="25">
        <f>CM273</f>
        <v>0.3</v>
      </c>
      <c r="CN280" s="25">
        <f t="shared" si="478"/>
        <v>0.15</v>
      </c>
      <c r="CO280" s="25">
        <f t="shared" si="479"/>
        <v>1</v>
      </c>
      <c r="CP280" s="29" t="str">
        <f t="shared" ref="CP280:DQ280" si="501">IF($CL280=CP$78,$CN280,"0")</f>
        <v>0</v>
      </c>
      <c r="CQ280" s="29" t="str">
        <f t="shared" si="501"/>
        <v>0</v>
      </c>
      <c r="CR280" s="29" t="str">
        <f t="shared" si="501"/>
        <v>0</v>
      </c>
      <c r="CS280" s="29">
        <f t="shared" si="501"/>
        <v>0.15</v>
      </c>
      <c r="CT280" s="29" t="str">
        <f t="shared" si="501"/>
        <v>0</v>
      </c>
      <c r="CU280" s="29" t="str">
        <f t="shared" si="501"/>
        <v>0</v>
      </c>
      <c r="CV280" s="29" t="str">
        <f t="shared" si="501"/>
        <v>0</v>
      </c>
      <c r="CW280" s="29" t="str">
        <f t="shared" si="501"/>
        <v>0</v>
      </c>
      <c r="CX280" s="29" t="str">
        <f t="shared" si="501"/>
        <v>0</v>
      </c>
      <c r="CY280" s="29" t="str">
        <f t="shared" si="501"/>
        <v>0</v>
      </c>
      <c r="CZ280" s="29" t="str">
        <f t="shared" si="501"/>
        <v>0</v>
      </c>
      <c r="DA280" s="29" t="str">
        <f t="shared" si="501"/>
        <v>0</v>
      </c>
      <c r="DB280" s="29" t="str">
        <f t="shared" si="501"/>
        <v>0</v>
      </c>
      <c r="DC280" s="29" t="str">
        <f t="shared" si="501"/>
        <v>0</v>
      </c>
      <c r="DD280" s="29" t="str">
        <f t="shared" si="501"/>
        <v>0</v>
      </c>
      <c r="DE280" s="29" t="str">
        <f t="shared" si="501"/>
        <v>0</v>
      </c>
      <c r="DF280" s="29" t="str">
        <f t="shared" si="501"/>
        <v>0</v>
      </c>
      <c r="DG280" s="29" t="str">
        <f t="shared" si="501"/>
        <v>0</v>
      </c>
      <c r="DH280" s="29" t="str">
        <f t="shared" si="501"/>
        <v>0</v>
      </c>
      <c r="DI280" s="29" t="str">
        <f t="shared" si="501"/>
        <v>0</v>
      </c>
      <c r="DJ280" s="29" t="str">
        <f t="shared" si="501"/>
        <v>0</v>
      </c>
      <c r="DK280" s="29" t="str">
        <f t="shared" si="501"/>
        <v>0</v>
      </c>
      <c r="DL280" s="29" t="str">
        <f t="shared" si="501"/>
        <v>0</v>
      </c>
      <c r="DM280" s="29" t="str">
        <f t="shared" si="501"/>
        <v>0</v>
      </c>
      <c r="DN280" s="29" t="str">
        <f t="shared" si="501"/>
        <v>0</v>
      </c>
      <c r="DO280" s="29" t="str">
        <f t="shared" si="501"/>
        <v>0</v>
      </c>
      <c r="DP280" s="29" t="str">
        <f t="shared" si="501"/>
        <v>0</v>
      </c>
      <c r="DQ280" s="29" t="str">
        <f t="shared" si="501"/>
        <v>0</v>
      </c>
      <c r="DS280" s="25" t="s">
        <v>1011</v>
      </c>
      <c r="DT280" s="25" t="str">
        <f>TEXT(角色升星!$F$18,"0%")</f>
        <v>15%</v>
      </c>
      <c r="DU280" s="25" t="s">
        <v>779</v>
      </c>
      <c r="DV280" s="25" t="str">
        <f>IF(CF280="物理","PhysicsAttack,+","MagicAttack,+")</f>
        <v>MagicAttack,+</v>
      </c>
      <c r="DW280" s="25" t="str">
        <f>TEXT(角色升星!$F$18,"0%")</f>
        <v>15%</v>
      </c>
      <c r="DX280" s="25" t="s">
        <v>779</v>
      </c>
      <c r="DY280" s="25" t="s">
        <v>1012</v>
      </c>
      <c r="DZ280" s="25" t="str">
        <f>TEXT(角色升星!$F$18,"0%")</f>
        <v>15%</v>
      </c>
      <c r="EA280" s="25" t="s">
        <v>779</v>
      </c>
      <c r="EB280" s="25" t="str">
        <f>VLOOKUP(CL280,$O$46:$P$73,2,0)</f>
        <v>Heal</v>
      </c>
      <c r="EC280" s="25" t="s">
        <v>1013</v>
      </c>
      <c r="ED280" s="25" t="str">
        <f>IF(CN280&gt;1,CN280,TEXT(CN280,"0%"))</f>
        <v>15%</v>
      </c>
      <c r="EE280" s="25" t="str">
        <f t="shared" si="481"/>
        <v>Hp,+15%;MagicAttack,+15%;Armor,+15%;Heal,+15%</v>
      </c>
    </row>
    <row r="281" spans="1:135">
      <c r="A281" s="53">
        <v>1004023</v>
      </c>
      <c r="B281" s="49" t="s">
        <v>324</v>
      </c>
      <c r="C281" s="25">
        <f t="shared" si="452"/>
        <v>23</v>
      </c>
      <c r="D281" s="25">
        <f t="array" ref="D281">INDEX(C$5:C$67,MATCH($B281,$B$5:$B$67,0))</f>
        <v>5940</v>
      </c>
      <c r="E281" s="25">
        <f t="array" ref="E281">INDEX(D$5:D$67,MATCH($B281,$B$5:$B$67,0))</f>
        <v>475.2</v>
      </c>
      <c r="F281" s="25">
        <f t="array" ref="F281">INDEX(E$5:E$67,MATCH($B281,$B$5:$B$67,0))</f>
        <v>848</v>
      </c>
      <c r="G281" s="25">
        <f t="array" ref="G281">INDEX(F$5:F$67,MATCH($B281,$B$5:$B$67,0))</f>
        <v>67.84</v>
      </c>
      <c r="H281" s="25">
        <f t="array" ref="H281">INDEX(G$5:G$66,MATCH($B281,$B$5:$B$67,0))</f>
        <v>1103</v>
      </c>
      <c r="I281" s="25">
        <f t="array" ref="I281">INDEX(H$5:H$67,MATCH($B281,$B$5:$B$67,0))</f>
        <v>88.24</v>
      </c>
      <c r="J281" s="25">
        <f t="array" ref="J281">INDEX(I$5:I$67,MATCH($B281,$B$5:$B$67,0))</f>
        <v>1045</v>
      </c>
      <c r="K281" s="25">
        <f t="array" ref="K281">INDEX(J$5:J$67,MATCH($B281,$B$5:$B$67,0))</f>
        <v>83.6</v>
      </c>
      <c r="L281" s="25">
        <f t="shared" si="462"/>
        <v>16870</v>
      </c>
      <c r="M281" s="25">
        <f t="shared" si="463"/>
        <v>2408</v>
      </c>
      <c r="N281" s="25">
        <f t="shared" si="464"/>
        <v>3133</v>
      </c>
      <c r="O281" s="25">
        <f t="shared" si="465"/>
        <v>2968</v>
      </c>
      <c r="R281" s="50">
        <f t="array" ref="R281">INDEX($B$46:$B$68,MATCH(S281,$C$46:$C$68,0))*1000+T281</f>
        <v>1008014</v>
      </c>
      <c r="S281" s="51" t="s">
        <v>332</v>
      </c>
      <c r="T281" s="29">
        <f t="shared" si="385"/>
        <v>14</v>
      </c>
      <c r="U281" s="25">
        <f t="array" ref="U281">INDEX(K$5:K$67,MATCH($S281,$B$5:$B$67,0))</f>
        <v>383.4</v>
      </c>
      <c r="V281" s="25">
        <f t="array" ref="V281">INDEX(L$5:L$67,MATCH($S281,$B$5:$B$67,0))</f>
        <v>140.45</v>
      </c>
      <c r="W281" s="25">
        <f t="array" ref="W281">INDEX(M$5:M$67,MATCH($S281,$B$5:$B$67,0))</f>
        <v>140.45</v>
      </c>
      <c r="X281" s="25">
        <f t="array" ref="X281">INDEX(N$5:N$67,MATCH($S281,$B$5:$B$67,0))</f>
        <v>85</v>
      </c>
      <c r="Y281" s="25">
        <f t="shared" si="466"/>
        <v>5368</v>
      </c>
      <c r="Z281" s="25">
        <f t="shared" si="467"/>
        <v>1966</v>
      </c>
      <c r="AA281" s="25">
        <f t="shared" si="468"/>
        <v>1966</v>
      </c>
      <c r="AB281" s="25">
        <f t="shared" si="469"/>
        <v>1190</v>
      </c>
      <c r="AF281" s="25">
        <v>203</v>
      </c>
      <c r="AG281" s="25">
        <f t="array" ref="AG281">INDEX($AE$79:$AE$116,QUOTIENT(AF281-1,8)+1)</f>
        <v>1037</v>
      </c>
      <c r="AH281" s="25">
        <f t="shared" si="496"/>
        <v>3</v>
      </c>
      <c r="AI281" s="25">
        <f t="shared" si="470"/>
        <v>10373</v>
      </c>
      <c r="AJ281" s="25" t="str">
        <f t="shared" si="471"/>
        <v>霜狼战士</v>
      </c>
      <c r="AK281" s="25">
        <f t="shared" si="497"/>
        <v>3</v>
      </c>
      <c r="AL281" s="25" t="str">
        <f t="array" ref="AL281">INDEX($O$5:$O$42,MATCH(AJ281,$B$5:$B$42,0))</f>
        <v>攻击百分比</v>
      </c>
      <c r="AM281" s="25" t="str">
        <f t="array" ref="AM281">INDEX($P$5:$P$42,MATCH(AJ281,$B$5:$B$42,0))</f>
        <v>暴击等级</v>
      </c>
      <c r="AN281" s="25" t="str">
        <f t="array" ref="AN281">INDEX($Q$5:$Q$42,MATCH(AJ281,$B$5:$B$42,0))</f>
        <v>普攻伤害加成</v>
      </c>
      <c r="AO281" s="25" t="str">
        <f t="array" ref="AO281">INDEX(AL281:AN281,0,AK281)</f>
        <v>普攻伤害加成</v>
      </c>
      <c r="AP281" s="25">
        <f t="shared" si="457"/>
        <v>0.216666666666667</v>
      </c>
      <c r="AQ281" s="25">
        <f t="shared" si="472"/>
        <v>0.195</v>
      </c>
      <c r="AR281" s="25" t="str">
        <f t="shared" ref="AR281:BZ281" si="502">IF(AR$78=$AO281,$AQ281,"0")</f>
        <v>0</v>
      </c>
      <c r="AS281" s="25" t="str">
        <f t="shared" si="502"/>
        <v>0</v>
      </c>
      <c r="AT281" s="25" t="str">
        <f t="shared" si="502"/>
        <v>0</v>
      </c>
      <c r="AU281" s="25" t="str">
        <f t="shared" si="502"/>
        <v>0</v>
      </c>
      <c r="AV281" s="25" t="str">
        <f t="shared" si="502"/>
        <v>0</v>
      </c>
      <c r="AW281" s="25" t="str">
        <f t="shared" si="502"/>
        <v>0</v>
      </c>
      <c r="AX281" s="25" t="str">
        <f t="shared" si="502"/>
        <v>0</v>
      </c>
      <c r="AY281" s="25" t="str">
        <f t="shared" si="502"/>
        <v>0</v>
      </c>
      <c r="AZ281" s="25" t="str">
        <f t="shared" si="502"/>
        <v>0</v>
      </c>
      <c r="BA281" s="25" t="str">
        <f t="shared" si="502"/>
        <v>0</v>
      </c>
      <c r="BB281" s="25" t="str">
        <f t="shared" si="502"/>
        <v>0</v>
      </c>
      <c r="BC281" s="25" t="str">
        <f t="shared" si="502"/>
        <v>0</v>
      </c>
      <c r="BD281" s="25" t="str">
        <f t="shared" si="502"/>
        <v>0</v>
      </c>
      <c r="BE281" s="25" t="str">
        <f t="shared" si="502"/>
        <v>0</v>
      </c>
      <c r="BF281" s="25" t="str">
        <f t="shared" si="502"/>
        <v>0</v>
      </c>
      <c r="BG281" s="25" t="str">
        <f t="shared" si="502"/>
        <v>0</v>
      </c>
      <c r="BH281" s="25" t="str">
        <f t="shared" si="502"/>
        <v>0</v>
      </c>
      <c r="BI281" s="25" t="str">
        <f t="shared" si="502"/>
        <v>0</v>
      </c>
      <c r="BJ281" s="25" t="str">
        <f t="shared" si="502"/>
        <v>0</v>
      </c>
      <c r="BK281" s="25" t="str">
        <f t="shared" si="502"/>
        <v>0</v>
      </c>
      <c r="BL281" s="25" t="str">
        <f t="shared" si="502"/>
        <v>0</v>
      </c>
      <c r="BM281" s="25">
        <f t="shared" si="502"/>
        <v>0.195</v>
      </c>
      <c r="BN281" s="25" t="str">
        <f t="shared" si="502"/>
        <v>0</v>
      </c>
      <c r="BO281" s="25" t="str">
        <f t="shared" si="502"/>
        <v>0</v>
      </c>
      <c r="BP281" s="25" t="str">
        <f t="shared" si="502"/>
        <v>0</v>
      </c>
      <c r="BQ281" s="25" t="str">
        <f t="shared" si="502"/>
        <v>0</v>
      </c>
      <c r="BR281" s="25" t="str">
        <f t="shared" si="502"/>
        <v>0</v>
      </c>
      <c r="BS281" s="25" t="str">
        <f t="shared" si="502"/>
        <v>0</v>
      </c>
      <c r="BT281" s="25" t="str">
        <f t="shared" si="502"/>
        <v>0</v>
      </c>
      <c r="BU281" s="25" t="str">
        <f t="shared" si="502"/>
        <v>0</v>
      </c>
      <c r="BV281" s="25" t="str">
        <f t="shared" si="502"/>
        <v>0</v>
      </c>
      <c r="BW281" s="25" t="str">
        <f t="shared" si="502"/>
        <v>0</v>
      </c>
      <c r="BX281" s="25" t="str">
        <f t="shared" si="502"/>
        <v>0</v>
      </c>
      <c r="BY281" s="25" t="str">
        <f t="shared" si="502"/>
        <v>0</v>
      </c>
      <c r="BZ281" s="25" t="str">
        <f t="shared" si="502"/>
        <v>0</v>
      </c>
      <c r="CC281" s="25" t="str">
        <f t="array" ref="CC281">INDEX($C$46:$C$74,MATCH(CD281,$B$46:$B$74,0))</f>
        <v>小寒</v>
      </c>
      <c r="CD281" s="29">
        <v>1040</v>
      </c>
      <c r="CE281" s="1">
        <v>6</v>
      </c>
      <c r="CF281" s="25" t="str">
        <f t="array" ref="CF281">INDEX($T$5:$T$44,MATCH(CC281,$B$5:$B$44,0))</f>
        <v>魔法</v>
      </c>
      <c r="CG281" s="25">
        <f>CG274</f>
        <v>0.3</v>
      </c>
      <c r="CH281" s="25">
        <f t="shared" si="474"/>
        <v>1.3</v>
      </c>
      <c r="CI281" s="25">
        <f t="shared" si="475"/>
        <v>1</v>
      </c>
      <c r="CJ281" s="25">
        <f t="shared" si="476"/>
        <v>1.3</v>
      </c>
      <c r="CK281" s="25">
        <f t="shared" si="477"/>
        <v>1.3</v>
      </c>
      <c r="CL281" s="25">
        <v>0</v>
      </c>
      <c r="CM281" s="25">
        <f>CM274</f>
        <v>0</v>
      </c>
      <c r="CN281" s="25">
        <f t="shared" si="478"/>
        <v>0</v>
      </c>
      <c r="CO281" s="25">
        <f t="shared" si="479"/>
        <v>0</v>
      </c>
      <c r="CP281" s="29" t="str">
        <f t="shared" ref="CP281:DQ281" si="503">IF($CL281=CP$78,$CN281,"0")</f>
        <v>0</v>
      </c>
      <c r="CQ281" s="29" t="str">
        <f t="shared" si="503"/>
        <v>0</v>
      </c>
      <c r="CR281" s="29" t="str">
        <f t="shared" si="503"/>
        <v>0</v>
      </c>
      <c r="CS281" s="29" t="str">
        <f t="shared" si="503"/>
        <v>0</v>
      </c>
      <c r="CT281" s="29" t="str">
        <f t="shared" si="503"/>
        <v>0</v>
      </c>
      <c r="CU281" s="29" t="str">
        <f t="shared" si="503"/>
        <v>0</v>
      </c>
      <c r="CV281" s="29" t="str">
        <f t="shared" si="503"/>
        <v>0</v>
      </c>
      <c r="CW281" s="29" t="str">
        <f t="shared" si="503"/>
        <v>0</v>
      </c>
      <c r="CX281" s="29" t="str">
        <f t="shared" si="503"/>
        <v>0</v>
      </c>
      <c r="CY281" s="29" t="str">
        <f t="shared" si="503"/>
        <v>0</v>
      </c>
      <c r="CZ281" s="29" t="str">
        <f t="shared" si="503"/>
        <v>0</v>
      </c>
      <c r="DA281" s="29" t="str">
        <f t="shared" si="503"/>
        <v>0</v>
      </c>
      <c r="DB281" s="29" t="str">
        <f t="shared" si="503"/>
        <v>0</v>
      </c>
      <c r="DC281" s="29" t="str">
        <f t="shared" si="503"/>
        <v>0</v>
      </c>
      <c r="DD281" s="29" t="str">
        <f t="shared" si="503"/>
        <v>0</v>
      </c>
      <c r="DE281" s="29" t="str">
        <f t="shared" si="503"/>
        <v>0</v>
      </c>
      <c r="DF281" s="29" t="str">
        <f t="shared" si="503"/>
        <v>0</v>
      </c>
      <c r="DG281" s="29" t="str">
        <f t="shared" si="503"/>
        <v>0</v>
      </c>
      <c r="DH281" s="29" t="str">
        <f t="shared" si="503"/>
        <v>0</v>
      </c>
      <c r="DI281" s="29" t="str">
        <f t="shared" si="503"/>
        <v>0</v>
      </c>
      <c r="DJ281" s="29" t="str">
        <f t="shared" si="503"/>
        <v>0</v>
      </c>
      <c r="DK281" s="29" t="str">
        <f t="shared" si="503"/>
        <v>0</v>
      </c>
      <c r="DL281" s="29" t="str">
        <f t="shared" si="503"/>
        <v>0</v>
      </c>
      <c r="DM281" s="29" t="str">
        <f t="shared" si="503"/>
        <v>0</v>
      </c>
      <c r="DN281" s="29" t="str">
        <f t="shared" si="503"/>
        <v>0</v>
      </c>
      <c r="DO281" s="29" t="str">
        <f t="shared" si="503"/>
        <v>0</v>
      </c>
      <c r="DP281" s="29" t="str">
        <f t="shared" si="503"/>
        <v>0</v>
      </c>
      <c r="DQ281" s="29" t="str">
        <f t="shared" si="503"/>
        <v>0</v>
      </c>
      <c r="DS281" s="25">
        <v>0</v>
      </c>
      <c r="EE281" s="25" t="str">
        <f t="shared" si="481"/>
        <v>0</v>
      </c>
    </row>
    <row r="282" spans="1:135">
      <c r="A282" s="53">
        <v>1004024</v>
      </c>
      <c r="B282" s="49" t="s">
        <v>324</v>
      </c>
      <c r="C282" s="25">
        <f t="shared" si="452"/>
        <v>24</v>
      </c>
      <c r="D282" s="25">
        <f t="array" ref="D282">INDEX(C$5:C$67,MATCH($B282,$B$5:$B$67,0))</f>
        <v>5940</v>
      </c>
      <c r="E282" s="25">
        <f t="array" ref="E282">INDEX(D$5:D$67,MATCH($B282,$B$5:$B$67,0))</f>
        <v>475.2</v>
      </c>
      <c r="F282" s="25">
        <f t="array" ref="F282">INDEX(E$5:E$67,MATCH($B282,$B$5:$B$67,0))</f>
        <v>848</v>
      </c>
      <c r="G282" s="25">
        <f t="array" ref="G282">INDEX(F$5:F$67,MATCH($B282,$B$5:$B$67,0))</f>
        <v>67.84</v>
      </c>
      <c r="H282" s="25">
        <f t="array" ref="H282">INDEX(G$5:G$66,MATCH($B282,$B$5:$B$67,0))</f>
        <v>1103</v>
      </c>
      <c r="I282" s="25">
        <f t="array" ref="I282">INDEX(H$5:H$67,MATCH($B282,$B$5:$B$67,0))</f>
        <v>88.24</v>
      </c>
      <c r="J282" s="25">
        <f t="array" ref="J282">INDEX(I$5:I$67,MATCH($B282,$B$5:$B$67,0))</f>
        <v>1045</v>
      </c>
      <c r="K282" s="25">
        <f t="array" ref="K282">INDEX(J$5:J$67,MATCH($B282,$B$5:$B$67,0))</f>
        <v>83.6</v>
      </c>
      <c r="L282" s="25">
        <f t="shared" si="462"/>
        <v>17345</v>
      </c>
      <c r="M282" s="25">
        <f t="shared" si="463"/>
        <v>2476</v>
      </c>
      <c r="N282" s="25">
        <f t="shared" si="464"/>
        <v>3221</v>
      </c>
      <c r="O282" s="25">
        <f t="shared" si="465"/>
        <v>3051</v>
      </c>
      <c r="R282" s="50">
        <f t="array" ref="R282">INDEX($B$46:$B$68,MATCH(S282,$C$46:$C$68,0))*1000+T282</f>
        <v>1008015</v>
      </c>
      <c r="S282" s="51" t="s">
        <v>332</v>
      </c>
      <c r="T282" s="29">
        <f t="shared" si="385"/>
        <v>15</v>
      </c>
      <c r="U282" s="25">
        <f t="array" ref="U282">INDEX(K$5:K$67,MATCH($S282,$B$5:$B$67,0))</f>
        <v>383.4</v>
      </c>
      <c r="V282" s="25">
        <f t="array" ref="V282">INDEX(L$5:L$67,MATCH($S282,$B$5:$B$67,0))</f>
        <v>140.45</v>
      </c>
      <c r="W282" s="25">
        <f t="array" ref="W282">INDEX(M$5:M$67,MATCH($S282,$B$5:$B$67,0))</f>
        <v>140.45</v>
      </c>
      <c r="X282" s="25">
        <f t="array" ref="X282">INDEX(N$5:N$67,MATCH($S282,$B$5:$B$67,0))</f>
        <v>85</v>
      </c>
      <c r="Y282" s="25">
        <f t="shared" si="466"/>
        <v>5751</v>
      </c>
      <c r="Z282" s="25">
        <f t="shared" si="467"/>
        <v>2107</v>
      </c>
      <c r="AA282" s="25">
        <f t="shared" si="468"/>
        <v>2107</v>
      </c>
      <c r="AB282" s="25">
        <f t="shared" si="469"/>
        <v>1275</v>
      </c>
      <c r="AF282" s="25">
        <v>204</v>
      </c>
      <c r="AG282" s="25">
        <f t="array" ref="AG282">INDEX($AE$79:$AE$116,QUOTIENT(AF282-1,8)+1)</f>
        <v>1037</v>
      </c>
      <c r="AH282" s="25">
        <f t="shared" si="496"/>
        <v>4</v>
      </c>
      <c r="AI282" s="25">
        <f t="shared" si="470"/>
        <v>10374</v>
      </c>
      <c r="AJ282" s="25" t="str">
        <f t="shared" si="471"/>
        <v>霜狼战士</v>
      </c>
      <c r="AK282" s="25">
        <f t="shared" si="497"/>
        <v>2</v>
      </c>
      <c r="AL282" s="25" t="str">
        <f t="array" ref="AL282">INDEX($O$5:$O$42,MATCH(AJ282,$B$5:$B$42,0))</f>
        <v>攻击百分比</v>
      </c>
      <c r="AM282" s="25" t="str">
        <f t="array" ref="AM282">INDEX($P$5:$P$42,MATCH(AJ282,$B$5:$B$42,0))</f>
        <v>暴击等级</v>
      </c>
      <c r="AN282" s="25" t="str">
        <f t="array" ref="AN282">INDEX($Q$5:$Q$42,MATCH(AJ282,$B$5:$B$42,0))</f>
        <v>普攻伤害加成</v>
      </c>
      <c r="AO282" s="25" t="str">
        <f t="array" ref="AO282">INDEX(AL282:AN282,0,AK282)</f>
        <v>暴击等级</v>
      </c>
      <c r="AP282" s="25">
        <f t="shared" si="457"/>
        <v>0.15</v>
      </c>
      <c r="AQ282" s="25">
        <f t="shared" si="472"/>
        <v>1350</v>
      </c>
      <c r="AR282" s="25" t="str">
        <f t="shared" ref="AR282:BZ282" si="504">IF(AR$78=$AO282,$AQ282,"0")</f>
        <v>0</v>
      </c>
      <c r="AS282" s="25" t="str">
        <f t="shared" si="504"/>
        <v>0</v>
      </c>
      <c r="AT282" s="25" t="str">
        <f t="shared" si="504"/>
        <v>0</v>
      </c>
      <c r="AU282" s="25" t="str">
        <f t="shared" si="504"/>
        <v>0</v>
      </c>
      <c r="AV282" s="25" t="str">
        <f t="shared" si="504"/>
        <v>0</v>
      </c>
      <c r="AW282" s="25" t="str">
        <f t="shared" si="504"/>
        <v>0</v>
      </c>
      <c r="AX282" s="25" t="str">
        <f t="shared" si="504"/>
        <v>0</v>
      </c>
      <c r="AY282" s="25" t="str">
        <f t="shared" si="504"/>
        <v>0</v>
      </c>
      <c r="AZ282" s="25" t="str">
        <f t="shared" si="504"/>
        <v>0</v>
      </c>
      <c r="BA282" s="25" t="str">
        <f t="shared" si="504"/>
        <v>0</v>
      </c>
      <c r="BB282" s="25" t="str">
        <f t="shared" si="504"/>
        <v>0</v>
      </c>
      <c r="BC282" s="25" t="str">
        <f t="shared" si="504"/>
        <v>0</v>
      </c>
      <c r="BD282" s="25" t="str">
        <f t="shared" si="504"/>
        <v>0</v>
      </c>
      <c r="BE282" s="25" t="str">
        <f t="shared" si="504"/>
        <v>0</v>
      </c>
      <c r="BF282" s="25" t="str">
        <f t="shared" si="504"/>
        <v>0</v>
      </c>
      <c r="BG282" s="25" t="str">
        <f t="shared" si="504"/>
        <v>0</v>
      </c>
      <c r="BH282" s="25" t="str">
        <f t="shared" si="504"/>
        <v>0</v>
      </c>
      <c r="BI282" s="25" t="str">
        <f t="shared" si="504"/>
        <v>0</v>
      </c>
      <c r="BJ282" s="25" t="str">
        <f t="shared" si="504"/>
        <v>0</v>
      </c>
      <c r="BK282" s="25" t="str">
        <f t="shared" si="504"/>
        <v>0</v>
      </c>
      <c r="BL282" s="25" t="str">
        <f t="shared" si="504"/>
        <v>0</v>
      </c>
      <c r="BM282" s="25" t="str">
        <f t="shared" si="504"/>
        <v>0</v>
      </c>
      <c r="BN282" s="25" t="str">
        <f t="shared" si="504"/>
        <v>0</v>
      </c>
      <c r="BO282" s="25" t="str">
        <f t="shared" si="504"/>
        <v>0</v>
      </c>
      <c r="BP282" s="25" t="str">
        <f t="shared" si="504"/>
        <v>0</v>
      </c>
      <c r="BQ282" s="25" t="str">
        <f t="shared" si="504"/>
        <v>0</v>
      </c>
      <c r="BR282" s="25" t="str">
        <f t="shared" si="504"/>
        <v>0</v>
      </c>
      <c r="BS282" s="25" t="str">
        <f t="shared" si="504"/>
        <v>0</v>
      </c>
      <c r="BT282" s="25" t="str">
        <f t="shared" si="504"/>
        <v>0</v>
      </c>
      <c r="BU282" s="25" t="str">
        <f t="shared" si="504"/>
        <v>0</v>
      </c>
      <c r="BV282" s="25" t="str">
        <f t="shared" si="504"/>
        <v>0</v>
      </c>
      <c r="BW282" s="25">
        <f t="shared" si="504"/>
        <v>1350</v>
      </c>
      <c r="BX282" s="25" t="str">
        <f t="shared" si="504"/>
        <v>0</v>
      </c>
      <c r="BY282" s="25" t="str">
        <f t="shared" si="504"/>
        <v>0</v>
      </c>
      <c r="BZ282" s="25" t="str">
        <f t="shared" si="504"/>
        <v>0</v>
      </c>
    </row>
    <row r="283" spans="1:135">
      <c r="A283" s="53">
        <v>1004025</v>
      </c>
      <c r="B283" s="49" t="s">
        <v>324</v>
      </c>
      <c r="C283" s="25">
        <f t="shared" si="452"/>
        <v>25</v>
      </c>
      <c r="D283" s="25">
        <f t="array" ref="D283">INDEX(C$5:C$67,MATCH($B283,$B$5:$B$67,0))</f>
        <v>5940</v>
      </c>
      <c r="E283" s="25">
        <f t="array" ref="E283">INDEX(D$5:D$67,MATCH($B283,$B$5:$B$67,0))</f>
        <v>475.2</v>
      </c>
      <c r="F283" s="25">
        <f t="array" ref="F283">INDEX(E$5:E$67,MATCH($B283,$B$5:$B$67,0))</f>
        <v>848</v>
      </c>
      <c r="G283" s="25">
        <f t="array" ref="G283">INDEX(F$5:F$67,MATCH($B283,$B$5:$B$67,0))</f>
        <v>67.84</v>
      </c>
      <c r="H283" s="25">
        <f t="array" ref="H283">INDEX(G$5:G$66,MATCH($B283,$B$5:$B$67,0))</f>
        <v>1103</v>
      </c>
      <c r="I283" s="25">
        <f t="array" ref="I283">INDEX(H$5:H$67,MATCH($B283,$B$5:$B$67,0))</f>
        <v>88.24</v>
      </c>
      <c r="J283" s="25">
        <f t="array" ref="J283">INDEX(I$5:I$67,MATCH($B283,$B$5:$B$67,0))</f>
        <v>1045</v>
      </c>
      <c r="K283" s="25">
        <f t="array" ref="K283">INDEX(J$5:J$67,MATCH($B283,$B$5:$B$67,0))</f>
        <v>83.6</v>
      </c>
      <c r="L283" s="25">
        <f t="shared" si="462"/>
        <v>17820</v>
      </c>
      <c r="M283" s="25">
        <f t="shared" si="463"/>
        <v>2544</v>
      </c>
      <c r="N283" s="25">
        <f t="shared" si="464"/>
        <v>3309</v>
      </c>
      <c r="O283" s="25">
        <f t="shared" si="465"/>
        <v>3135</v>
      </c>
      <c r="R283" s="50">
        <f t="array" ref="R283">INDEX($B$46:$B$68,MATCH(S283,$C$46:$C$68,0))*1000+T283</f>
        <v>1008016</v>
      </c>
      <c r="S283" s="51" t="s">
        <v>332</v>
      </c>
      <c r="T283" s="29">
        <f t="shared" si="385"/>
        <v>16</v>
      </c>
      <c r="U283" s="25">
        <f t="array" ref="U283">INDEX(K$5:K$67,MATCH($S283,$B$5:$B$67,0))</f>
        <v>383.4</v>
      </c>
      <c r="V283" s="25">
        <f t="array" ref="V283">INDEX(L$5:L$67,MATCH($S283,$B$5:$B$67,0))</f>
        <v>140.45</v>
      </c>
      <c r="W283" s="25">
        <f t="array" ref="W283">INDEX(M$5:M$67,MATCH($S283,$B$5:$B$67,0))</f>
        <v>140.45</v>
      </c>
      <c r="X283" s="25">
        <f t="array" ref="X283">INDEX(N$5:N$67,MATCH($S283,$B$5:$B$67,0))</f>
        <v>85</v>
      </c>
      <c r="Y283" s="25">
        <f t="shared" si="466"/>
        <v>6134</v>
      </c>
      <c r="Z283" s="25">
        <f t="shared" si="467"/>
        <v>2247</v>
      </c>
      <c r="AA283" s="25">
        <f t="shared" si="468"/>
        <v>2247</v>
      </c>
      <c r="AB283" s="25">
        <f t="shared" si="469"/>
        <v>1360</v>
      </c>
      <c r="AF283" s="25">
        <v>205</v>
      </c>
      <c r="AG283" s="25">
        <f t="array" ref="AG283">INDEX($AE$79:$AE$116,QUOTIENT(AF283-1,8)+1)</f>
        <v>1037</v>
      </c>
      <c r="AH283" s="25">
        <f t="shared" si="496"/>
        <v>5</v>
      </c>
      <c r="AI283" s="25">
        <f t="shared" si="470"/>
        <v>10375</v>
      </c>
      <c r="AJ283" s="25" t="str">
        <f t="shared" si="471"/>
        <v>霜狼战士</v>
      </c>
      <c r="AK283" s="25">
        <f t="shared" si="497"/>
        <v>3</v>
      </c>
      <c r="AL283" s="25" t="str">
        <f t="array" ref="AL283">INDEX($O$5:$O$42,MATCH(AJ283,$B$5:$B$42,0))</f>
        <v>攻击百分比</v>
      </c>
      <c r="AM283" s="25" t="str">
        <f t="array" ref="AM283">INDEX($P$5:$P$42,MATCH(AJ283,$B$5:$B$42,0))</f>
        <v>暴击等级</v>
      </c>
      <c r="AN283" s="25" t="str">
        <f t="array" ref="AN283">INDEX($Q$5:$Q$42,MATCH(AJ283,$B$5:$B$42,0))</f>
        <v>普攻伤害加成</v>
      </c>
      <c r="AO283" s="25" t="str">
        <f t="array" ref="AO283">INDEX(AL283:AN283,0,AK283)</f>
        <v>普攻伤害加成</v>
      </c>
      <c r="AP283" s="25">
        <f t="shared" si="457"/>
        <v>0.216666666666667</v>
      </c>
      <c r="AQ283" s="25">
        <f t="shared" si="472"/>
        <v>0.195</v>
      </c>
      <c r="AR283" s="25" t="str">
        <f t="shared" ref="AR283:BZ283" si="505">IF(AR$78=$AO283,$AQ283,"0")</f>
        <v>0</v>
      </c>
      <c r="AS283" s="25" t="str">
        <f t="shared" si="505"/>
        <v>0</v>
      </c>
      <c r="AT283" s="25" t="str">
        <f t="shared" si="505"/>
        <v>0</v>
      </c>
      <c r="AU283" s="25" t="str">
        <f t="shared" si="505"/>
        <v>0</v>
      </c>
      <c r="AV283" s="25" t="str">
        <f t="shared" si="505"/>
        <v>0</v>
      </c>
      <c r="AW283" s="25" t="str">
        <f t="shared" si="505"/>
        <v>0</v>
      </c>
      <c r="AX283" s="25" t="str">
        <f t="shared" si="505"/>
        <v>0</v>
      </c>
      <c r="AY283" s="25" t="str">
        <f t="shared" si="505"/>
        <v>0</v>
      </c>
      <c r="AZ283" s="25" t="str">
        <f t="shared" si="505"/>
        <v>0</v>
      </c>
      <c r="BA283" s="25" t="str">
        <f t="shared" si="505"/>
        <v>0</v>
      </c>
      <c r="BB283" s="25" t="str">
        <f t="shared" si="505"/>
        <v>0</v>
      </c>
      <c r="BC283" s="25" t="str">
        <f t="shared" si="505"/>
        <v>0</v>
      </c>
      <c r="BD283" s="25" t="str">
        <f t="shared" si="505"/>
        <v>0</v>
      </c>
      <c r="BE283" s="25" t="str">
        <f t="shared" si="505"/>
        <v>0</v>
      </c>
      <c r="BF283" s="25" t="str">
        <f t="shared" si="505"/>
        <v>0</v>
      </c>
      <c r="BG283" s="25" t="str">
        <f t="shared" si="505"/>
        <v>0</v>
      </c>
      <c r="BH283" s="25" t="str">
        <f t="shared" si="505"/>
        <v>0</v>
      </c>
      <c r="BI283" s="25" t="str">
        <f t="shared" si="505"/>
        <v>0</v>
      </c>
      <c r="BJ283" s="25" t="str">
        <f t="shared" si="505"/>
        <v>0</v>
      </c>
      <c r="BK283" s="25" t="str">
        <f t="shared" si="505"/>
        <v>0</v>
      </c>
      <c r="BL283" s="25" t="str">
        <f t="shared" si="505"/>
        <v>0</v>
      </c>
      <c r="BM283" s="25">
        <f t="shared" si="505"/>
        <v>0.195</v>
      </c>
      <c r="BN283" s="25" t="str">
        <f t="shared" si="505"/>
        <v>0</v>
      </c>
      <c r="BO283" s="25" t="str">
        <f t="shared" si="505"/>
        <v>0</v>
      </c>
      <c r="BP283" s="25" t="str">
        <f t="shared" si="505"/>
        <v>0</v>
      </c>
      <c r="BQ283" s="25" t="str">
        <f t="shared" si="505"/>
        <v>0</v>
      </c>
      <c r="BR283" s="25" t="str">
        <f t="shared" si="505"/>
        <v>0</v>
      </c>
      <c r="BS283" s="25" t="str">
        <f t="shared" si="505"/>
        <v>0</v>
      </c>
      <c r="BT283" s="25" t="str">
        <f t="shared" si="505"/>
        <v>0</v>
      </c>
      <c r="BU283" s="25" t="str">
        <f t="shared" si="505"/>
        <v>0</v>
      </c>
      <c r="BV283" s="25" t="str">
        <f t="shared" si="505"/>
        <v>0</v>
      </c>
      <c r="BW283" s="25" t="str">
        <f t="shared" si="505"/>
        <v>0</v>
      </c>
      <c r="BX283" s="25" t="str">
        <f t="shared" si="505"/>
        <v>0</v>
      </c>
      <c r="BY283" s="25" t="str">
        <f t="shared" si="505"/>
        <v>0</v>
      </c>
      <c r="BZ283" s="25" t="str">
        <f t="shared" si="505"/>
        <v>0</v>
      </c>
    </row>
    <row r="284" spans="1:135">
      <c r="A284" s="53">
        <v>1004026</v>
      </c>
      <c r="B284" s="49" t="s">
        <v>324</v>
      </c>
      <c r="C284" s="25">
        <f t="shared" si="452"/>
        <v>26</v>
      </c>
      <c r="D284" s="25">
        <f t="array" ref="D284">INDEX(C$5:C$67,MATCH($B284,$B$5:$B$67,0))</f>
        <v>5940</v>
      </c>
      <c r="E284" s="25">
        <f t="array" ref="E284">INDEX(D$5:D$67,MATCH($B284,$B$5:$B$67,0))</f>
        <v>475.2</v>
      </c>
      <c r="F284" s="25">
        <f t="array" ref="F284">INDEX(E$5:E$67,MATCH($B284,$B$5:$B$67,0))</f>
        <v>848</v>
      </c>
      <c r="G284" s="25">
        <f t="array" ref="G284">INDEX(F$5:F$67,MATCH($B284,$B$5:$B$67,0))</f>
        <v>67.84</v>
      </c>
      <c r="H284" s="25">
        <f t="array" ref="H284">INDEX(G$5:G$66,MATCH($B284,$B$5:$B$67,0))</f>
        <v>1103</v>
      </c>
      <c r="I284" s="25">
        <f t="array" ref="I284">INDEX(H$5:H$67,MATCH($B284,$B$5:$B$67,0))</f>
        <v>88.24</v>
      </c>
      <c r="J284" s="25">
        <f t="array" ref="J284">INDEX(I$5:I$67,MATCH($B284,$B$5:$B$67,0))</f>
        <v>1045</v>
      </c>
      <c r="K284" s="25">
        <f t="array" ref="K284">INDEX(J$5:J$67,MATCH($B284,$B$5:$B$67,0))</f>
        <v>83.6</v>
      </c>
      <c r="L284" s="25">
        <f t="shared" si="462"/>
        <v>18295</v>
      </c>
      <c r="M284" s="25">
        <f t="shared" si="463"/>
        <v>2612</v>
      </c>
      <c r="N284" s="25">
        <f t="shared" si="464"/>
        <v>3397</v>
      </c>
      <c r="O284" s="25">
        <f t="shared" si="465"/>
        <v>3219</v>
      </c>
      <c r="R284" s="50">
        <f t="array" ref="R284">INDEX($B$46:$B$68,MATCH(S284,$C$46:$C$68,0))*1000+T284</f>
        <v>1008017</v>
      </c>
      <c r="S284" s="51" t="s">
        <v>332</v>
      </c>
      <c r="T284" s="29">
        <f t="shared" si="385"/>
        <v>17</v>
      </c>
      <c r="U284" s="25">
        <f t="array" ref="U284">INDEX(K$5:K$67,MATCH($S284,$B$5:$B$67,0))</f>
        <v>383.4</v>
      </c>
      <c r="V284" s="25">
        <f t="array" ref="V284">INDEX(L$5:L$67,MATCH($S284,$B$5:$B$67,0))</f>
        <v>140.45</v>
      </c>
      <c r="W284" s="25">
        <f t="array" ref="W284">INDEX(M$5:M$67,MATCH($S284,$B$5:$B$67,0))</f>
        <v>140.45</v>
      </c>
      <c r="X284" s="25">
        <f t="array" ref="X284">INDEX(N$5:N$67,MATCH($S284,$B$5:$B$67,0))</f>
        <v>85</v>
      </c>
      <c r="Y284" s="25">
        <f t="shared" si="466"/>
        <v>6518</v>
      </c>
      <c r="Z284" s="25">
        <f t="shared" si="467"/>
        <v>2388</v>
      </c>
      <c r="AA284" s="25">
        <f t="shared" si="468"/>
        <v>2388</v>
      </c>
      <c r="AB284" s="25">
        <f t="shared" si="469"/>
        <v>1445</v>
      </c>
      <c r="AF284" s="25">
        <v>206</v>
      </c>
      <c r="AG284" s="25">
        <f t="array" ref="AG284">INDEX($AE$79:$AE$116,QUOTIENT(AF284-1,8)+1)</f>
        <v>1037</v>
      </c>
      <c r="AH284" s="25">
        <f t="shared" si="496"/>
        <v>6</v>
      </c>
      <c r="AI284" s="25">
        <f t="shared" si="470"/>
        <v>10376</v>
      </c>
      <c r="AJ284" s="25" t="str">
        <f t="shared" si="471"/>
        <v>霜狼战士</v>
      </c>
      <c r="AK284" s="25">
        <f t="shared" si="497"/>
        <v>1</v>
      </c>
      <c r="AL284" s="25" t="str">
        <f t="array" ref="AL284">INDEX($O$5:$O$42,MATCH(AJ284,$B$5:$B$42,0))</f>
        <v>攻击百分比</v>
      </c>
      <c r="AM284" s="25" t="str">
        <f t="array" ref="AM284">INDEX($P$5:$P$42,MATCH(AJ284,$B$5:$B$42,0))</f>
        <v>暴击等级</v>
      </c>
      <c r="AN284" s="25" t="str">
        <f t="array" ref="AN284">INDEX($Q$5:$Q$42,MATCH(AJ284,$B$5:$B$42,0))</f>
        <v>普攻伤害加成</v>
      </c>
      <c r="AO284" s="25" t="str">
        <f t="array" ref="AO284">INDEX(AL284:AN284,0,AK284)</f>
        <v>攻击百分比</v>
      </c>
      <c r="AP284" s="25">
        <f t="shared" si="457"/>
        <v>0.216666666666667</v>
      </c>
      <c r="AQ284" s="25">
        <f t="shared" si="472"/>
        <v>0.216666666666667</v>
      </c>
      <c r="AR284" s="25" t="str">
        <f t="shared" ref="AR284:BZ284" si="506">IF(AR$78=$AO284,$AQ284,"0")</f>
        <v>0</v>
      </c>
      <c r="AS284" s="25" t="str">
        <f t="shared" si="506"/>
        <v>0</v>
      </c>
      <c r="AT284" s="25" t="str">
        <f t="shared" si="506"/>
        <v>0</v>
      </c>
      <c r="AU284" s="25">
        <f t="shared" si="506"/>
        <v>0.216666666666667</v>
      </c>
      <c r="AV284" s="25" t="str">
        <f t="shared" si="506"/>
        <v>0</v>
      </c>
      <c r="AW284" s="25">
        <f t="shared" si="506"/>
        <v>0.216666666666667</v>
      </c>
      <c r="AX284" s="25" t="str">
        <f t="shared" si="506"/>
        <v>0</v>
      </c>
      <c r="AY284" s="25" t="str">
        <f t="shared" si="506"/>
        <v>0</v>
      </c>
      <c r="AZ284" s="25" t="str">
        <f t="shared" si="506"/>
        <v>0</v>
      </c>
      <c r="BA284" s="25" t="str">
        <f t="shared" si="506"/>
        <v>0</v>
      </c>
      <c r="BB284" s="25" t="str">
        <f t="shared" si="506"/>
        <v>0</v>
      </c>
      <c r="BC284" s="25" t="str">
        <f t="shared" si="506"/>
        <v>0</v>
      </c>
      <c r="BD284" s="25" t="str">
        <f t="shared" si="506"/>
        <v>0</v>
      </c>
      <c r="BE284" s="25" t="str">
        <f t="shared" si="506"/>
        <v>0</v>
      </c>
      <c r="BF284" s="25" t="str">
        <f t="shared" si="506"/>
        <v>0</v>
      </c>
      <c r="BG284" s="25" t="str">
        <f t="shared" si="506"/>
        <v>0</v>
      </c>
      <c r="BH284" s="25" t="str">
        <f t="shared" si="506"/>
        <v>0</v>
      </c>
      <c r="BI284" s="25" t="str">
        <f t="shared" si="506"/>
        <v>0</v>
      </c>
      <c r="BJ284" s="25" t="str">
        <f t="shared" si="506"/>
        <v>0</v>
      </c>
      <c r="BK284" s="25" t="str">
        <f t="shared" si="506"/>
        <v>0</v>
      </c>
      <c r="BL284" s="25" t="str">
        <f t="shared" si="506"/>
        <v>0</v>
      </c>
      <c r="BM284" s="25" t="str">
        <f t="shared" si="506"/>
        <v>0</v>
      </c>
      <c r="BN284" s="25" t="str">
        <f t="shared" si="506"/>
        <v>0</v>
      </c>
      <c r="BO284" s="25" t="str">
        <f t="shared" si="506"/>
        <v>0</v>
      </c>
      <c r="BP284" s="25" t="str">
        <f t="shared" si="506"/>
        <v>0</v>
      </c>
      <c r="BQ284" s="25" t="str">
        <f t="shared" si="506"/>
        <v>0</v>
      </c>
      <c r="BR284" s="25" t="str">
        <f t="shared" si="506"/>
        <v>0</v>
      </c>
      <c r="BS284" s="25" t="str">
        <f t="shared" si="506"/>
        <v>0</v>
      </c>
      <c r="BT284" s="25" t="str">
        <f t="shared" si="506"/>
        <v>0</v>
      </c>
      <c r="BU284" s="25" t="str">
        <f t="shared" si="506"/>
        <v>0</v>
      </c>
      <c r="BV284" s="25" t="str">
        <f t="shared" si="506"/>
        <v>0</v>
      </c>
      <c r="BW284" s="25" t="str">
        <f t="shared" si="506"/>
        <v>0</v>
      </c>
      <c r="BX284" s="25" t="str">
        <f t="shared" si="506"/>
        <v>0</v>
      </c>
      <c r="BY284" s="25" t="str">
        <f t="shared" si="506"/>
        <v>0</v>
      </c>
      <c r="BZ284" s="25" t="str">
        <f t="shared" si="506"/>
        <v>0</v>
      </c>
    </row>
    <row r="285" spans="1:135">
      <c r="A285" s="53">
        <v>1004027</v>
      </c>
      <c r="B285" s="49" t="s">
        <v>324</v>
      </c>
      <c r="C285" s="25">
        <f t="shared" si="452"/>
        <v>27</v>
      </c>
      <c r="D285" s="25">
        <f t="array" ref="D285">INDEX(C$5:C$67,MATCH($B285,$B$5:$B$67,0))</f>
        <v>5940</v>
      </c>
      <c r="E285" s="25">
        <f t="array" ref="E285">INDEX(D$5:D$67,MATCH($B285,$B$5:$B$67,0))</f>
        <v>475.2</v>
      </c>
      <c r="F285" s="25">
        <f t="array" ref="F285">INDEX(E$5:E$67,MATCH($B285,$B$5:$B$67,0))</f>
        <v>848</v>
      </c>
      <c r="G285" s="25">
        <f t="array" ref="G285">INDEX(F$5:F$67,MATCH($B285,$B$5:$B$67,0))</f>
        <v>67.84</v>
      </c>
      <c r="H285" s="25">
        <f t="array" ref="H285">INDEX(G$5:G$66,MATCH($B285,$B$5:$B$67,0))</f>
        <v>1103</v>
      </c>
      <c r="I285" s="25">
        <f t="array" ref="I285">INDEX(H$5:H$67,MATCH($B285,$B$5:$B$67,0))</f>
        <v>88.24</v>
      </c>
      <c r="J285" s="25">
        <f t="array" ref="J285">INDEX(I$5:I$67,MATCH($B285,$B$5:$B$67,0))</f>
        <v>1045</v>
      </c>
      <c r="K285" s="25">
        <f t="array" ref="K285">INDEX(J$5:J$67,MATCH($B285,$B$5:$B$67,0))</f>
        <v>83.6</v>
      </c>
      <c r="L285" s="25">
        <f t="shared" si="462"/>
        <v>18770</v>
      </c>
      <c r="M285" s="25">
        <f t="shared" si="463"/>
        <v>2680</v>
      </c>
      <c r="N285" s="25">
        <f t="shared" si="464"/>
        <v>3485</v>
      </c>
      <c r="O285" s="25">
        <f t="shared" si="465"/>
        <v>3302</v>
      </c>
      <c r="R285" s="50">
        <f t="array" ref="R285">INDEX($B$46:$B$68,MATCH(S285,$C$46:$C$68,0))*1000+T285</f>
        <v>1008018</v>
      </c>
      <c r="S285" s="51" t="s">
        <v>332</v>
      </c>
      <c r="T285" s="29">
        <f t="shared" si="385"/>
        <v>18</v>
      </c>
      <c r="U285" s="25">
        <f t="array" ref="U285">INDEX(K$5:K$67,MATCH($S285,$B$5:$B$67,0))</f>
        <v>383.4</v>
      </c>
      <c r="V285" s="25">
        <f t="array" ref="V285">INDEX(L$5:L$67,MATCH($S285,$B$5:$B$67,0))</f>
        <v>140.45</v>
      </c>
      <c r="W285" s="25">
        <f t="array" ref="W285">INDEX(M$5:M$67,MATCH($S285,$B$5:$B$67,0))</f>
        <v>140.45</v>
      </c>
      <c r="X285" s="25">
        <f t="array" ref="X285">INDEX(N$5:N$67,MATCH($S285,$B$5:$B$67,0))</f>
        <v>85</v>
      </c>
      <c r="Y285" s="25">
        <f t="shared" si="466"/>
        <v>6901</v>
      </c>
      <c r="Z285" s="25">
        <f t="shared" si="467"/>
        <v>2528</v>
      </c>
      <c r="AA285" s="25">
        <f t="shared" si="468"/>
        <v>2528</v>
      </c>
      <c r="AB285" s="25">
        <f t="shared" si="469"/>
        <v>1530</v>
      </c>
      <c r="AF285" s="25">
        <v>207</v>
      </c>
      <c r="AG285" s="25">
        <f t="array" ref="AG285">INDEX($AE$79:$AE$116,QUOTIENT(AF285-1,8)+1)</f>
        <v>1037</v>
      </c>
      <c r="AH285" s="25">
        <f t="shared" si="496"/>
        <v>7</v>
      </c>
      <c r="AI285" s="25">
        <f t="shared" si="470"/>
        <v>10377</v>
      </c>
      <c r="AJ285" s="25" t="str">
        <f t="shared" si="471"/>
        <v>霜狼战士</v>
      </c>
      <c r="AK285" s="25">
        <f t="shared" si="497"/>
        <v>2</v>
      </c>
      <c r="AL285" s="25" t="str">
        <f t="array" ref="AL285">INDEX($O$5:$O$42,MATCH(AJ285,$B$5:$B$42,0))</f>
        <v>攻击百分比</v>
      </c>
      <c r="AM285" s="25" t="str">
        <f t="array" ref="AM285">INDEX($P$5:$P$42,MATCH(AJ285,$B$5:$B$42,0))</f>
        <v>暴击等级</v>
      </c>
      <c r="AN285" s="25" t="str">
        <f t="array" ref="AN285">INDEX($Q$5:$Q$42,MATCH(AJ285,$B$5:$B$42,0))</f>
        <v>普攻伤害加成</v>
      </c>
      <c r="AO285" s="25" t="str">
        <f t="array" ref="AO285">INDEX(AL285:AN285,0,AK285)</f>
        <v>暴击等级</v>
      </c>
      <c r="AP285" s="25">
        <f t="shared" si="457"/>
        <v>0.15</v>
      </c>
      <c r="AQ285" s="25">
        <f t="shared" si="472"/>
        <v>1350</v>
      </c>
      <c r="AR285" s="25" t="str">
        <f t="shared" ref="AR285:BZ285" si="507">IF(AR$78=$AO285,$AQ285,"0")</f>
        <v>0</v>
      </c>
      <c r="AS285" s="25" t="str">
        <f t="shared" si="507"/>
        <v>0</v>
      </c>
      <c r="AT285" s="25" t="str">
        <f t="shared" si="507"/>
        <v>0</v>
      </c>
      <c r="AU285" s="25" t="str">
        <f t="shared" si="507"/>
        <v>0</v>
      </c>
      <c r="AV285" s="25" t="str">
        <f t="shared" si="507"/>
        <v>0</v>
      </c>
      <c r="AW285" s="25" t="str">
        <f t="shared" si="507"/>
        <v>0</v>
      </c>
      <c r="AX285" s="25" t="str">
        <f t="shared" si="507"/>
        <v>0</v>
      </c>
      <c r="AY285" s="25" t="str">
        <f t="shared" si="507"/>
        <v>0</v>
      </c>
      <c r="AZ285" s="25" t="str">
        <f t="shared" si="507"/>
        <v>0</v>
      </c>
      <c r="BA285" s="25" t="str">
        <f t="shared" si="507"/>
        <v>0</v>
      </c>
      <c r="BB285" s="25" t="str">
        <f t="shared" si="507"/>
        <v>0</v>
      </c>
      <c r="BC285" s="25" t="str">
        <f t="shared" si="507"/>
        <v>0</v>
      </c>
      <c r="BD285" s="25" t="str">
        <f t="shared" si="507"/>
        <v>0</v>
      </c>
      <c r="BE285" s="25" t="str">
        <f t="shared" si="507"/>
        <v>0</v>
      </c>
      <c r="BF285" s="25" t="str">
        <f t="shared" si="507"/>
        <v>0</v>
      </c>
      <c r="BG285" s="25" t="str">
        <f t="shared" si="507"/>
        <v>0</v>
      </c>
      <c r="BH285" s="25" t="str">
        <f t="shared" si="507"/>
        <v>0</v>
      </c>
      <c r="BI285" s="25" t="str">
        <f t="shared" si="507"/>
        <v>0</v>
      </c>
      <c r="BJ285" s="25" t="str">
        <f t="shared" si="507"/>
        <v>0</v>
      </c>
      <c r="BK285" s="25" t="str">
        <f t="shared" si="507"/>
        <v>0</v>
      </c>
      <c r="BL285" s="25" t="str">
        <f t="shared" si="507"/>
        <v>0</v>
      </c>
      <c r="BM285" s="25" t="str">
        <f t="shared" si="507"/>
        <v>0</v>
      </c>
      <c r="BN285" s="25" t="str">
        <f t="shared" si="507"/>
        <v>0</v>
      </c>
      <c r="BO285" s="25" t="str">
        <f t="shared" si="507"/>
        <v>0</v>
      </c>
      <c r="BP285" s="25" t="str">
        <f t="shared" si="507"/>
        <v>0</v>
      </c>
      <c r="BQ285" s="25" t="str">
        <f t="shared" si="507"/>
        <v>0</v>
      </c>
      <c r="BR285" s="25" t="str">
        <f t="shared" si="507"/>
        <v>0</v>
      </c>
      <c r="BS285" s="25" t="str">
        <f t="shared" si="507"/>
        <v>0</v>
      </c>
      <c r="BT285" s="25" t="str">
        <f t="shared" si="507"/>
        <v>0</v>
      </c>
      <c r="BU285" s="25" t="str">
        <f t="shared" si="507"/>
        <v>0</v>
      </c>
      <c r="BV285" s="25" t="str">
        <f t="shared" si="507"/>
        <v>0</v>
      </c>
      <c r="BW285" s="25">
        <f t="shared" si="507"/>
        <v>1350</v>
      </c>
      <c r="BX285" s="25" t="str">
        <f t="shared" si="507"/>
        <v>0</v>
      </c>
      <c r="BY285" s="25" t="str">
        <f t="shared" si="507"/>
        <v>0</v>
      </c>
      <c r="BZ285" s="25" t="str">
        <f t="shared" si="507"/>
        <v>0</v>
      </c>
    </row>
    <row r="286" spans="1:135">
      <c r="A286" s="53">
        <v>1004028</v>
      </c>
      <c r="B286" s="49" t="s">
        <v>324</v>
      </c>
      <c r="C286" s="25">
        <f t="shared" si="452"/>
        <v>28</v>
      </c>
      <c r="D286" s="25">
        <f t="array" ref="D286">INDEX(C$5:C$67,MATCH($B286,$B$5:$B$67,0))</f>
        <v>5940</v>
      </c>
      <c r="E286" s="25">
        <f t="array" ref="E286">INDEX(D$5:D$67,MATCH($B286,$B$5:$B$67,0))</f>
        <v>475.2</v>
      </c>
      <c r="F286" s="25">
        <f t="array" ref="F286">INDEX(E$5:E$67,MATCH($B286,$B$5:$B$67,0))</f>
        <v>848</v>
      </c>
      <c r="G286" s="25">
        <f t="array" ref="G286">INDEX(F$5:F$67,MATCH($B286,$B$5:$B$67,0))</f>
        <v>67.84</v>
      </c>
      <c r="H286" s="25">
        <f t="array" ref="H286">INDEX(G$5:G$66,MATCH($B286,$B$5:$B$67,0))</f>
        <v>1103</v>
      </c>
      <c r="I286" s="25">
        <f t="array" ref="I286">INDEX(H$5:H$67,MATCH($B286,$B$5:$B$67,0))</f>
        <v>88.24</v>
      </c>
      <c r="J286" s="25">
        <f t="array" ref="J286">INDEX(I$5:I$67,MATCH($B286,$B$5:$B$67,0))</f>
        <v>1045</v>
      </c>
      <c r="K286" s="25">
        <f t="array" ref="K286">INDEX(J$5:J$67,MATCH($B286,$B$5:$B$67,0))</f>
        <v>83.6</v>
      </c>
      <c r="L286" s="25">
        <f t="shared" si="462"/>
        <v>19246</v>
      </c>
      <c r="M286" s="25">
        <f t="shared" si="463"/>
        <v>2748</v>
      </c>
      <c r="N286" s="25">
        <f t="shared" si="464"/>
        <v>3574</v>
      </c>
      <c r="O286" s="25">
        <f t="shared" si="465"/>
        <v>3386</v>
      </c>
      <c r="R286" s="50">
        <f t="array" ref="R286">INDEX($B$46:$B$68,MATCH(S286,$C$46:$C$68,0))*1000+T286</f>
        <v>1008019</v>
      </c>
      <c r="S286" s="51" t="s">
        <v>332</v>
      </c>
      <c r="T286" s="29">
        <f t="shared" si="385"/>
        <v>19</v>
      </c>
      <c r="U286" s="25">
        <f t="array" ref="U286">INDEX(K$5:K$67,MATCH($S286,$B$5:$B$67,0))</f>
        <v>383.4</v>
      </c>
      <c r="V286" s="25">
        <f t="array" ref="V286">INDEX(L$5:L$67,MATCH($S286,$B$5:$B$67,0))</f>
        <v>140.45</v>
      </c>
      <c r="W286" s="25">
        <f t="array" ref="W286">INDEX(M$5:M$67,MATCH($S286,$B$5:$B$67,0))</f>
        <v>140.45</v>
      </c>
      <c r="X286" s="25">
        <f t="array" ref="X286">INDEX(N$5:N$67,MATCH($S286,$B$5:$B$67,0))</f>
        <v>85</v>
      </c>
      <c r="Y286" s="25">
        <f t="shared" si="466"/>
        <v>7285</v>
      </c>
      <c r="Z286" s="25">
        <f t="shared" si="467"/>
        <v>2669</v>
      </c>
      <c r="AA286" s="25">
        <f t="shared" si="468"/>
        <v>2669</v>
      </c>
      <c r="AB286" s="25">
        <f t="shared" si="469"/>
        <v>1615</v>
      </c>
      <c r="AF286" s="25">
        <v>208</v>
      </c>
      <c r="AG286" s="25">
        <f t="array" ref="AG286">INDEX($AE$79:$AE$116,QUOTIENT(AF286-1,8)+1)</f>
        <v>1037</v>
      </c>
      <c r="AH286" s="25">
        <f t="shared" si="496"/>
        <v>8</v>
      </c>
      <c r="AI286" s="25">
        <f t="shared" si="470"/>
        <v>10378</v>
      </c>
      <c r="AJ286" s="25" t="str">
        <f t="shared" si="471"/>
        <v>霜狼战士</v>
      </c>
      <c r="AK286" s="25">
        <f t="shared" si="497"/>
        <v>3</v>
      </c>
      <c r="AL286" s="25" t="str">
        <f t="array" ref="AL286">INDEX($O$5:$O$42,MATCH(AJ286,$B$5:$B$42,0))</f>
        <v>攻击百分比</v>
      </c>
      <c r="AM286" s="25" t="str">
        <f t="array" ref="AM286">INDEX($P$5:$P$42,MATCH(AJ286,$B$5:$B$42,0))</f>
        <v>暴击等级</v>
      </c>
      <c r="AN286" s="25" t="str">
        <f t="array" ref="AN286">INDEX($Q$5:$Q$42,MATCH(AJ286,$B$5:$B$42,0))</f>
        <v>普攻伤害加成</v>
      </c>
      <c r="AO286" s="25" t="str">
        <f t="array" ref="AO286">INDEX(AL286:AN286,0,AK286)</f>
        <v>普攻伤害加成</v>
      </c>
      <c r="AP286" s="25">
        <f t="shared" si="457"/>
        <v>0.216666666666667</v>
      </c>
      <c r="AQ286" s="25">
        <f t="shared" si="472"/>
        <v>0.195</v>
      </c>
      <c r="AR286" s="25" t="str">
        <f t="shared" ref="AR286:BZ286" si="508">IF(AR$78=$AO286,$AQ286,"0")</f>
        <v>0</v>
      </c>
      <c r="AS286" s="25" t="str">
        <f t="shared" si="508"/>
        <v>0</v>
      </c>
      <c r="AT286" s="25" t="str">
        <f t="shared" si="508"/>
        <v>0</v>
      </c>
      <c r="AU286" s="25" t="str">
        <f t="shared" si="508"/>
        <v>0</v>
      </c>
      <c r="AV286" s="25" t="str">
        <f t="shared" si="508"/>
        <v>0</v>
      </c>
      <c r="AW286" s="25" t="str">
        <f t="shared" si="508"/>
        <v>0</v>
      </c>
      <c r="AX286" s="25" t="str">
        <f t="shared" si="508"/>
        <v>0</v>
      </c>
      <c r="AY286" s="25" t="str">
        <f t="shared" si="508"/>
        <v>0</v>
      </c>
      <c r="AZ286" s="25" t="str">
        <f t="shared" si="508"/>
        <v>0</v>
      </c>
      <c r="BA286" s="25" t="str">
        <f t="shared" si="508"/>
        <v>0</v>
      </c>
      <c r="BB286" s="25" t="str">
        <f t="shared" si="508"/>
        <v>0</v>
      </c>
      <c r="BC286" s="25" t="str">
        <f t="shared" si="508"/>
        <v>0</v>
      </c>
      <c r="BD286" s="25" t="str">
        <f t="shared" si="508"/>
        <v>0</v>
      </c>
      <c r="BE286" s="25" t="str">
        <f t="shared" si="508"/>
        <v>0</v>
      </c>
      <c r="BF286" s="25" t="str">
        <f t="shared" si="508"/>
        <v>0</v>
      </c>
      <c r="BG286" s="25" t="str">
        <f t="shared" si="508"/>
        <v>0</v>
      </c>
      <c r="BH286" s="25" t="str">
        <f t="shared" si="508"/>
        <v>0</v>
      </c>
      <c r="BI286" s="25" t="str">
        <f t="shared" si="508"/>
        <v>0</v>
      </c>
      <c r="BJ286" s="25" t="str">
        <f t="shared" si="508"/>
        <v>0</v>
      </c>
      <c r="BK286" s="25" t="str">
        <f t="shared" si="508"/>
        <v>0</v>
      </c>
      <c r="BL286" s="25" t="str">
        <f t="shared" si="508"/>
        <v>0</v>
      </c>
      <c r="BM286" s="25">
        <f t="shared" si="508"/>
        <v>0.195</v>
      </c>
      <c r="BN286" s="25" t="str">
        <f t="shared" si="508"/>
        <v>0</v>
      </c>
      <c r="BO286" s="25" t="str">
        <f t="shared" si="508"/>
        <v>0</v>
      </c>
      <c r="BP286" s="25" t="str">
        <f t="shared" si="508"/>
        <v>0</v>
      </c>
      <c r="BQ286" s="25" t="str">
        <f t="shared" si="508"/>
        <v>0</v>
      </c>
      <c r="BR286" s="25" t="str">
        <f t="shared" si="508"/>
        <v>0</v>
      </c>
      <c r="BS286" s="25" t="str">
        <f t="shared" si="508"/>
        <v>0</v>
      </c>
      <c r="BT286" s="25" t="str">
        <f t="shared" si="508"/>
        <v>0</v>
      </c>
      <c r="BU286" s="25" t="str">
        <f t="shared" si="508"/>
        <v>0</v>
      </c>
      <c r="BV286" s="25" t="str">
        <f t="shared" si="508"/>
        <v>0</v>
      </c>
      <c r="BW286" s="25" t="str">
        <f t="shared" si="508"/>
        <v>0</v>
      </c>
      <c r="BX286" s="25" t="str">
        <f t="shared" si="508"/>
        <v>0</v>
      </c>
      <c r="BY286" s="25" t="str">
        <f t="shared" si="508"/>
        <v>0</v>
      </c>
      <c r="BZ286" s="25" t="str">
        <f t="shared" si="508"/>
        <v>0</v>
      </c>
    </row>
    <row r="287" spans="1:135">
      <c r="A287" s="53">
        <v>1004029</v>
      </c>
      <c r="B287" s="49" t="s">
        <v>324</v>
      </c>
      <c r="C287" s="25">
        <f t="shared" si="452"/>
        <v>29</v>
      </c>
      <c r="D287" s="25">
        <f t="array" ref="D287">INDEX(C$5:C$67,MATCH($B287,$B$5:$B$67,0))</f>
        <v>5940</v>
      </c>
      <c r="E287" s="25">
        <f t="array" ref="E287">INDEX(D$5:D$67,MATCH($B287,$B$5:$B$67,0))</f>
        <v>475.2</v>
      </c>
      <c r="F287" s="25">
        <f t="array" ref="F287">INDEX(E$5:E$67,MATCH($B287,$B$5:$B$67,0))</f>
        <v>848</v>
      </c>
      <c r="G287" s="25">
        <f t="array" ref="G287">INDEX(F$5:F$67,MATCH($B287,$B$5:$B$67,0))</f>
        <v>67.84</v>
      </c>
      <c r="H287" s="25">
        <f t="array" ref="H287">INDEX(G$5:G$66,MATCH($B287,$B$5:$B$67,0))</f>
        <v>1103</v>
      </c>
      <c r="I287" s="25">
        <f t="array" ref="I287">INDEX(H$5:H$67,MATCH($B287,$B$5:$B$67,0))</f>
        <v>88.24</v>
      </c>
      <c r="J287" s="25">
        <f t="array" ref="J287">INDEX(I$5:I$67,MATCH($B287,$B$5:$B$67,0))</f>
        <v>1045</v>
      </c>
      <c r="K287" s="25">
        <f t="array" ref="K287">INDEX(J$5:J$67,MATCH($B287,$B$5:$B$67,0))</f>
        <v>83.6</v>
      </c>
      <c r="L287" s="25">
        <f t="shared" si="462"/>
        <v>19721</v>
      </c>
      <c r="M287" s="25">
        <f t="shared" si="463"/>
        <v>2815</v>
      </c>
      <c r="N287" s="25">
        <f t="shared" si="464"/>
        <v>3662</v>
      </c>
      <c r="O287" s="25">
        <f t="shared" si="465"/>
        <v>3469</v>
      </c>
      <c r="R287" s="50">
        <f t="array" ref="R287">INDEX($B$46:$B$68,MATCH(S287,$C$46:$C$68,0))*1000+T287</f>
        <v>1008020</v>
      </c>
      <c r="S287" s="51" t="s">
        <v>332</v>
      </c>
      <c r="T287" s="29">
        <f t="shared" si="385"/>
        <v>20</v>
      </c>
      <c r="U287" s="25">
        <f t="array" ref="U287">INDEX(K$5:K$67,MATCH($S287,$B$5:$B$67,0))</f>
        <v>383.4</v>
      </c>
      <c r="V287" s="25">
        <f t="array" ref="V287">INDEX(L$5:L$67,MATCH($S287,$B$5:$B$67,0))</f>
        <v>140.45</v>
      </c>
      <c r="W287" s="25">
        <f t="array" ref="W287">INDEX(M$5:M$67,MATCH($S287,$B$5:$B$67,0))</f>
        <v>140.45</v>
      </c>
      <c r="X287" s="25">
        <f t="array" ref="X287">INDEX(N$5:N$67,MATCH($S287,$B$5:$B$67,0))</f>
        <v>85</v>
      </c>
      <c r="Y287" s="25">
        <f t="shared" si="466"/>
        <v>7668</v>
      </c>
      <c r="Z287" s="25">
        <f t="shared" si="467"/>
        <v>2809</v>
      </c>
      <c r="AA287" s="25">
        <f t="shared" si="468"/>
        <v>2809</v>
      </c>
      <c r="AB287" s="25">
        <f t="shared" si="469"/>
        <v>1700</v>
      </c>
      <c r="AF287" s="25">
        <v>209</v>
      </c>
      <c r="AG287" s="25">
        <f t="array" ref="AG287">INDEX($AE$79:$AE$116,QUOTIENT(AF287-1,8)+1)</f>
        <v>1038</v>
      </c>
      <c r="AH287" s="25">
        <f t="shared" si="496"/>
        <v>1</v>
      </c>
      <c r="AI287" s="25">
        <f t="shared" si="470"/>
        <v>10381</v>
      </c>
      <c r="AJ287" s="25" t="str">
        <f t="shared" si="471"/>
        <v>桑尼商队战斗员</v>
      </c>
      <c r="AK287" s="25">
        <f t="shared" si="497"/>
        <v>1</v>
      </c>
      <c r="AL287" s="25" t="str">
        <f t="array" ref="AL287">INDEX($O$5:$O$42,MATCH(AJ287,$B$5:$B$42,0))</f>
        <v>防御百分比</v>
      </c>
      <c r="AM287" s="25" t="str">
        <f t="array" ref="AM287">INDEX($P$5:$P$42,MATCH(AJ287,$B$5:$B$42,0))</f>
        <v>生命值百分比</v>
      </c>
      <c r="AN287" s="25" t="str">
        <f t="array" ref="AN287">INDEX($Q$5:$Q$42,MATCH(AJ287,$B$5:$B$42,0))</f>
        <v>技能冷却等级</v>
      </c>
      <c r="AO287" s="25" t="str">
        <f t="array" ref="AO287">INDEX(AL287:AN287,0,AK287)</f>
        <v>防御百分比</v>
      </c>
      <c r="AP287" s="25">
        <f t="shared" si="457"/>
        <v>0.216666666666667</v>
      </c>
      <c r="AQ287" s="25">
        <f t="shared" si="472"/>
        <v>0.216666666666667</v>
      </c>
      <c r="AR287" s="25" t="str">
        <f t="shared" ref="AR287:BZ287" si="509">IF(AR$78=$AO287,$AQ287,"0")</f>
        <v>0</v>
      </c>
      <c r="AS287" s="25" t="str">
        <f t="shared" si="509"/>
        <v>0</v>
      </c>
      <c r="AT287" s="25" t="str">
        <f t="shared" si="509"/>
        <v>0</v>
      </c>
      <c r="AU287" s="25" t="str">
        <f t="shared" si="509"/>
        <v>0</v>
      </c>
      <c r="AV287" s="25" t="str">
        <f t="shared" si="509"/>
        <v>0</v>
      </c>
      <c r="AW287" s="25" t="str">
        <f t="shared" si="509"/>
        <v>0</v>
      </c>
      <c r="AX287" s="25" t="str">
        <f t="shared" si="509"/>
        <v>0</v>
      </c>
      <c r="AY287" s="25">
        <f t="shared" si="509"/>
        <v>0.216666666666667</v>
      </c>
      <c r="AZ287" s="25" t="str">
        <f t="shared" si="509"/>
        <v>0</v>
      </c>
      <c r="BA287" s="25" t="str">
        <f t="shared" si="509"/>
        <v>0</v>
      </c>
      <c r="BB287" s="25" t="str">
        <f t="shared" si="509"/>
        <v>0</v>
      </c>
      <c r="BC287" s="25" t="str">
        <f t="shared" si="509"/>
        <v>0</v>
      </c>
      <c r="BD287" s="25" t="str">
        <f t="shared" si="509"/>
        <v>0</v>
      </c>
      <c r="BE287" s="25" t="str">
        <f t="shared" si="509"/>
        <v>0</v>
      </c>
      <c r="BF287" s="25" t="str">
        <f t="shared" si="509"/>
        <v>0</v>
      </c>
      <c r="BG287" s="25" t="str">
        <f t="shared" si="509"/>
        <v>0</v>
      </c>
      <c r="BH287" s="25" t="str">
        <f t="shared" si="509"/>
        <v>0</v>
      </c>
      <c r="BI287" s="25" t="str">
        <f t="shared" si="509"/>
        <v>0</v>
      </c>
      <c r="BJ287" s="25" t="str">
        <f t="shared" si="509"/>
        <v>0</v>
      </c>
      <c r="BK287" s="25" t="str">
        <f t="shared" si="509"/>
        <v>0</v>
      </c>
      <c r="BL287" s="25" t="str">
        <f t="shared" si="509"/>
        <v>0</v>
      </c>
      <c r="BM287" s="25" t="str">
        <f t="shared" si="509"/>
        <v>0</v>
      </c>
      <c r="BN287" s="25" t="str">
        <f t="shared" si="509"/>
        <v>0</v>
      </c>
      <c r="BO287" s="25" t="str">
        <f t="shared" si="509"/>
        <v>0</v>
      </c>
      <c r="BP287" s="25" t="str">
        <f t="shared" si="509"/>
        <v>0</v>
      </c>
      <c r="BQ287" s="25" t="str">
        <f t="shared" si="509"/>
        <v>0</v>
      </c>
      <c r="BR287" s="25" t="str">
        <f t="shared" si="509"/>
        <v>0</v>
      </c>
      <c r="BS287" s="25" t="str">
        <f t="shared" si="509"/>
        <v>0</v>
      </c>
      <c r="BT287" s="25" t="str">
        <f t="shared" si="509"/>
        <v>0</v>
      </c>
      <c r="BU287" s="25" t="str">
        <f t="shared" si="509"/>
        <v>0</v>
      </c>
      <c r="BV287" s="25" t="str">
        <f t="shared" si="509"/>
        <v>0</v>
      </c>
      <c r="BW287" s="25" t="str">
        <f t="shared" si="509"/>
        <v>0</v>
      </c>
      <c r="BX287" s="25" t="str">
        <f t="shared" si="509"/>
        <v>0</v>
      </c>
      <c r="BY287" s="25" t="str">
        <f t="shared" si="509"/>
        <v>0</v>
      </c>
      <c r="BZ287" s="25" t="str">
        <f t="shared" si="509"/>
        <v>0</v>
      </c>
    </row>
    <row r="288" spans="1:135">
      <c r="A288" s="53">
        <v>1004030</v>
      </c>
      <c r="B288" s="49" t="s">
        <v>324</v>
      </c>
      <c r="C288" s="25">
        <f t="shared" si="452"/>
        <v>30</v>
      </c>
      <c r="D288" s="25">
        <f t="array" ref="D288">INDEX(C$5:C$67,MATCH($B288,$B$5:$B$67,0))</f>
        <v>5940</v>
      </c>
      <c r="E288" s="25">
        <f t="array" ref="E288">INDEX(D$5:D$67,MATCH($B288,$B$5:$B$67,0))</f>
        <v>475.2</v>
      </c>
      <c r="F288" s="25">
        <f t="array" ref="F288">INDEX(E$5:E$67,MATCH($B288,$B$5:$B$67,0))</f>
        <v>848</v>
      </c>
      <c r="G288" s="25">
        <f t="array" ref="G288">INDEX(F$5:F$67,MATCH($B288,$B$5:$B$67,0))</f>
        <v>67.84</v>
      </c>
      <c r="H288" s="25">
        <f t="array" ref="H288">INDEX(G$5:G$66,MATCH($B288,$B$5:$B$67,0))</f>
        <v>1103</v>
      </c>
      <c r="I288" s="25">
        <f t="array" ref="I288">INDEX(H$5:H$67,MATCH($B288,$B$5:$B$67,0))</f>
        <v>88.24</v>
      </c>
      <c r="J288" s="25">
        <f t="array" ref="J288">INDEX(I$5:I$67,MATCH($B288,$B$5:$B$67,0))</f>
        <v>1045</v>
      </c>
      <c r="K288" s="25">
        <f t="array" ref="K288">INDEX(J$5:J$67,MATCH($B288,$B$5:$B$67,0))</f>
        <v>83.6</v>
      </c>
      <c r="L288" s="25">
        <f t="shared" si="462"/>
        <v>20196</v>
      </c>
      <c r="M288" s="25">
        <f t="shared" si="463"/>
        <v>2883</v>
      </c>
      <c r="N288" s="25">
        <f t="shared" si="464"/>
        <v>3750</v>
      </c>
      <c r="O288" s="25">
        <f t="shared" si="465"/>
        <v>3553</v>
      </c>
      <c r="R288" s="50">
        <f t="array" ref="R288">INDEX($B$46:$B$68,MATCH(S288,$C$46:$C$68,0))*1000+T288</f>
        <v>1008021</v>
      </c>
      <c r="S288" s="51" t="s">
        <v>332</v>
      </c>
      <c r="T288" s="29">
        <f t="shared" si="385"/>
        <v>21</v>
      </c>
      <c r="U288" s="25">
        <f t="array" ref="U288">INDEX(K$5:K$67,MATCH($S288,$B$5:$B$67,0))</f>
        <v>383.4</v>
      </c>
      <c r="V288" s="25">
        <f t="array" ref="V288">INDEX(L$5:L$67,MATCH($S288,$B$5:$B$67,0))</f>
        <v>140.45</v>
      </c>
      <c r="W288" s="25">
        <f t="array" ref="W288">INDEX(M$5:M$67,MATCH($S288,$B$5:$B$67,0))</f>
        <v>140.45</v>
      </c>
      <c r="X288" s="25">
        <f t="array" ref="X288">INDEX(N$5:N$67,MATCH($S288,$B$5:$B$67,0))</f>
        <v>85</v>
      </c>
      <c r="Y288" s="25">
        <f t="shared" si="466"/>
        <v>8051</v>
      </c>
      <c r="Z288" s="25">
        <f t="shared" si="467"/>
        <v>2949</v>
      </c>
      <c r="AA288" s="25">
        <f t="shared" si="468"/>
        <v>2949</v>
      </c>
      <c r="AB288" s="25">
        <f t="shared" si="469"/>
        <v>1785</v>
      </c>
      <c r="AF288" s="25">
        <v>210</v>
      </c>
      <c r="AG288" s="25">
        <f t="array" ref="AG288">INDEX($AE$79:$AE$116,QUOTIENT(AF288-1,8)+1)</f>
        <v>1038</v>
      </c>
      <c r="AH288" s="25">
        <f t="shared" si="496"/>
        <v>2</v>
      </c>
      <c r="AI288" s="25">
        <f t="shared" si="470"/>
        <v>10382</v>
      </c>
      <c r="AJ288" s="25" t="str">
        <f t="shared" si="471"/>
        <v>桑尼商队战斗员</v>
      </c>
      <c r="AK288" s="25">
        <f t="shared" si="497"/>
        <v>2</v>
      </c>
      <c r="AL288" s="25" t="str">
        <f t="array" ref="AL288">INDEX($O$5:$O$42,MATCH(AJ288,$B$5:$B$42,0))</f>
        <v>防御百分比</v>
      </c>
      <c r="AM288" s="25" t="str">
        <f t="array" ref="AM288">INDEX($P$5:$P$42,MATCH(AJ288,$B$5:$B$42,0))</f>
        <v>生命值百分比</v>
      </c>
      <c r="AN288" s="25" t="str">
        <f t="array" ref="AN288">INDEX($Q$5:$Q$42,MATCH(AJ288,$B$5:$B$42,0))</f>
        <v>技能冷却等级</v>
      </c>
      <c r="AO288" s="25" t="str">
        <f t="array" ref="AO288">INDEX(AL288:AN288,0,AK288)</f>
        <v>生命值百分比</v>
      </c>
      <c r="AP288" s="25">
        <f t="shared" si="457"/>
        <v>0.15</v>
      </c>
      <c r="AQ288" s="25">
        <f t="shared" si="472"/>
        <v>0.15</v>
      </c>
      <c r="AR288" s="25" t="str">
        <f t="shared" ref="AR288:BZ288" si="510">IF(AR$78=$AO288,$AQ288,"0")</f>
        <v>0</v>
      </c>
      <c r="AS288" s="25">
        <f t="shared" si="510"/>
        <v>0.15</v>
      </c>
      <c r="AT288" s="25" t="str">
        <f t="shared" si="510"/>
        <v>0</v>
      </c>
      <c r="AU288" s="25" t="str">
        <f t="shared" si="510"/>
        <v>0</v>
      </c>
      <c r="AV288" s="25" t="str">
        <f t="shared" si="510"/>
        <v>0</v>
      </c>
      <c r="AW288" s="25" t="str">
        <f t="shared" si="510"/>
        <v>0</v>
      </c>
      <c r="AX288" s="25" t="str">
        <f t="shared" si="510"/>
        <v>0</v>
      </c>
      <c r="AY288" s="25" t="str">
        <f t="shared" si="510"/>
        <v>0</v>
      </c>
      <c r="AZ288" s="25" t="str">
        <f t="shared" si="510"/>
        <v>0</v>
      </c>
      <c r="BA288" s="25" t="str">
        <f t="shared" si="510"/>
        <v>0</v>
      </c>
      <c r="BB288" s="25" t="str">
        <f t="shared" si="510"/>
        <v>0</v>
      </c>
      <c r="BC288" s="25" t="str">
        <f t="shared" si="510"/>
        <v>0</v>
      </c>
      <c r="BD288" s="25" t="str">
        <f t="shared" si="510"/>
        <v>0</v>
      </c>
      <c r="BE288" s="25" t="str">
        <f t="shared" si="510"/>
        <v>0</v>
      </c>
      <c r="BF288" s="25" t="str">
        <f t="shared" si="510"/>
        <v>0</v>
      </c>
      <c r="BG288" s="25" t="str">
        <f t="shared" si="510"/>
        <v>0</v>
      </c>
      <c r="BH288" s="25" t="str">
        <f t="shared" si="510"/>
        <v>0</v>
      </c>
      <c r="BI288" s="25" t="str">
        <f t="shared" si="510"/>
        <v>0</v>
      </c>
      <c r="BJ288" s="25" t="str">
        <f t="shared" si="510"/>
        <v>0</v>
      </c>
      <c r="BK288" s="25" t="str">
        <f t="shared" si="510"/>
        <v>0</v>
      </c>
      <c r="BL288" s="25" t="str">
        <f t="shared" si="510"/>
        <v>0</v>
      </c>
      <c r="BM288" s="25" t="str">
        <f t="shared" si="510"/>
        <v>0</v>
      </c>
      <c r="BN288" s="25" t="str">
        <f t="shared" si="510"/>
        <v>0</v>
      </c>
      <c r="BO288" s="25" t="str">
        <f t="shared" si="510"/>
        <v>0</v>
      </c>
      <c r="BP288" s="25" t="str">
        <f t="shared" si="510"/>
        <v>0</v>
      </c>
      <c r="BQ288" s="25" t="str">
        <f t="shared" si="510"/>
        <v>0</v>
      </c>
      <c r="BR288" s="25" t="str">
        <f t="shared" si="510"/>
        <v>0</v>
      </c>
      <c r="BS288" s="25" t="str">
        <f t="shared" si="510"/>
        <v>0</v>
      </c>
      <c r="BT288" s="25" t="str">
        <f t="shared" si="510"/>
        <v>0</v>
      </c>
      <c r="BU288" s="25" t="str">
        <f t="shared" si="510"/>
        <v>0</v>
      </c>
      <c r="BV288" s="25" t="str">
        <f t="shared" si="510"/>
        <v>0</v>
      </c>
      <c r="BW288" s="25" t="str">
        <f t="shared" si="510"/>
        <v>0</v>
      </c>
      <c r="BX288" s="25" t="str">
        <f t="shared" si="510"/>
        <v>0</v>
      </c>
      <c r="BY288" s="25" t="str">
        <f t="shared" si="510"/>
        <v>0</v>
      </c>
      <c r="BZ288" s="25" t="str">
        <f t="shared" si="510"/>
        <v>0</v>
      </c>
    </row>
    <row r="289" spans="1:78">
      <c r="A289" s="53">
        <v>1004031</v>
      </c>
      <c r="B289" s="49" t="s">
        <v>324</v>
      </c>
      <c r="C289" s="25">
        <f t="shared" si="452"/>
        <v>31</v>
      </c>
      <c r="D289" s="25">
        <f t="array" ref="D289">INDEX(C$5:C$67,MATCH($B289,$B$5:$B$67,0))</f>
        <v>5940</v>
      </c>
      <c r="E289" s="25">
        <f t="array" ref="E289">INDEX(D$5:D$67,MATCH($B289,$B$5:$B$67,0))</f>
        <v>475.2</v>
      </c>
      <c r="F289" s="25">
        <f t="array" ref="F289">INDEX(E$5:E$67,MATCH($B289,$B$5:$B$67,0))</f>
        <v>848</v>
      </c>
      <c r="G289" s="25">
        <f t="array" ref="G289">INDEX(F$5:F$67,MATCH($B289,$B$5:$B$67,0))</f>
        <v>67.84</v>
      </c>
      <c r="H289" s="25">
        <f t="array" ref="H289">INDEX(G$5:G$66,MATCH($B289,$B$5:$B$67,0))</f>
        <v>1103</v>
      </c>
      <c r="I289" s="25">
        <f t="array" ref="I289">INDEX(H$5:H$67,MATCH($B289,$B$5:$B$67,0))</f>
        <v>88.24</v>
      </c>
      <c r="J289" s="25">
        <f t="array" ref="J289">INDEX(I$5:I$67,MATCH($B289,$B$5:$B$67,0))</f>
        <v>1045</v>
      </c>
      <c r="K289" s="25">
        <f t="array" ref="K289">INDEX(J$5:J$67,MATCH($B289,$B$5:$B$67,0))</f>
        <v>83.6</v>
      </c>
      <c r="L289" s="25">
        <f t="shared" si="462"/>
        <v>20671</v>
      </c>
      <c r="M289" s="25">
        <f t="shared" si="463"/>
        <v>2951</v>
      </c>
      <c r="N289" s="25">
        <f t="shared" si="464"/>
        <v>3838</v>
      </c>
      <c r="O289" s="25">
        <f t="shared" si="465"/>
        <v>3637</v>
      </c>
      <c r="R289" s="50">
        <f t="array" ref="R289">INDEX($B$46:$B$68,MATCH(S289,$C$46:$C$68,0))*1000+T289</f>
        <v>1008022</v>
      </c>
      <c r="S289" s="51" t="s">
        <v>332</v>
      </c>
      <c r="T289" s="29">
        <f t="shared" si="385"/>
        <v>22</v>
      </c>
      <c r="U289" s="25">
        <f t="array" ref="U289">INDEX(K$5:K$67,MATCH($S289,$B$5:$B$67,0))</f>
        <v>383.4</v>
      </c>
      <c r="V289" s="25">
        <f t="array" ref="V289">INDEX(L$5:L$67,MATCH($S289,$B$5:$B$67,0))</f>
        <v>140.45</v>
      </c>
      <c r="W289" s="25">
        <f t="array" ref="W289">INDEX(M$5:M$67,MATCH($S289,$B$5:$B$67,0))</f>
        <v>140.45</v>
      </c>
      <c r="X289" s="25">
        <f t="array" ref="X289">INDEX(N$5:N$67,MATCH($S289,$B$5:$B$67,0))</f>
        <v>85</v>
      </c>
      <c r="Y289" s="25">
        <f t="shared" si="466"/>
        <v>8435</v>
      </c>
      <c r="Z289" s="25">
        <f t="shared" si="467"/>
        <v>3090</v>
      </c>
      <c r="AA289" s="25">
        <f t="shared" si="468"/>
        <v>3090</v>
      </c>
      <c r="AB289" s="25">
        <f t="shared" si="469"/>
        <v>1870</v>
      </c>
      <c r="AF289" s="25">
        <v>211</v>
      </c>
      <c r="AG289" s="25">
        <f t="array" ref="AG289">INDEX($AE$79:$AE$116,QUOTIENT(AF289-1,8)+1)</f>
        <v>1038</v>
      </c>
      <c r="AH289" s="25">
        <f t="shared" si="496"/>
        <v>3</v>
      </c>
      <c r="AI289" s="25">
        <f t="shared" si="470"/>
        <v>10383</v>
      </c>
      <c r="AJ289" s="25" t="str">
        <f t="shared" si="471"/>
        <v>桑尼商队战斗员</v>
      </c>
      <c r="AK289" s="25">
        <f t="shared" si="497"/>
        <v>3</v>
      </c>
      <c r="AL289" s="25" t="str">
        <f t="array" ref="AL289">INDEX($O$5:$O$42,MATCH(AJ289,$B$5:$B$42,0))</f>
        <v>防御百分比</v>
      </c>
      <c r="AM289" s="25" t="str">
        <f t="array" ref="AM289">INDEX($P$5:$P$42,MATCH(AJ289,$B$5:$B$42,0))</f>
        <v>生命值百分比</v>
      </c>
      <c r="AN289" s="25" t="str">
        <f t="array" ref="AN289">INDEX($Q$5:$Q$42,MATCH(AJ289,$B$5:$B$42,0))</f>
        <v>技能冷却等级</v>
      </c>
      <c r="AO289" s="25" t="str">
        <f t="array" ref="AO289">INDEX(AL289:AN289,0,AK289)</f>
        <v>技能冷却等级</v>
      </c>
      <c r="AP289" s="25">
        <f t="shared" si="457"/>
        <v>0.216666666666667</v>
      </c>
      <c r="AQ289" s="25">
        <f t="shared" si="472"/>
        <v>2816.66666666667</v>
      </c>
      <c r="AR289" s="25" t="str">
        <f t="shared" ref="AR289:BZ289" si="511">IF(AR$78=$AO289,$AQ289,"0")</f>
        <v>0</v>
      </c>
      <c r="AS289" s="25" t="str">
        <f t="shared" si="511"/>
        <v>0</v>
      </c>
      <c r="AT289" s="25" t="str">
        <f t="shared" si="511"/>
        <v>0</v>
      </c>
      <c r="AU289" s="25" t="str">
        <f t="shared" si="511"/>
        <v>0</v>
      </c>
      <c r="AV289" s="25" t="str">
        <f t="shared" si="511"/>
        <v>0</v>
      </c>
      <c r="AW289" s="25" t="str">
        <f t="shared" si="511"/>
        <v>0</v>
      </c>
      <c r="AX289" s="25" t="str">
        <f t="shared" si="511"/>
        <v>0</v>
      </c>
      <c r="AY289" s="25" t="str">
        <f t="shared" si="511"/>
        <v>0</v>
      </c>
      <c r="AZ289" s="25" t="str">
        <f t="shared" si="511"/>
        <v>0</v>
      </c>
      <c r="BA289" s="25" t="str">
        <f t="shared" si="511"/>
        <v>0</v>
      </c>
      <c r="BB289" s="25" t="str">
        <f t="shared" si="511"/>
        <v>0</v>
      </c>
      <c r="BC289" s="25" t="str">
        <f t="shared" si="511"/>
        <v>0</v>
      </c>
      <c r="BD289" s="25" t="str">
        <f t="shared" si="511"/>
        <v>0</v>
      </c>
      <c r="BE289" s="25" t="str">
        <f t="shared" si="511"/>
        <v>0</v>
      </c>
      <c r="BF289" s="25" t="str">
        <f t="shared" si="511"/>
        <v>0</v>
      </c>
      <c r="BG289" s="25" t="str">
        <f t="shared" si="511"/>
        <v>0</v>
      </c>
      <c r="BH289" s="25" t="str">
        <f t="shared" si="511"/>
        <v>0</v>
      </c>
      <c r="BI289" s="25" t="str">
        <f t="shared" si="511"/>
        <v>0</v>
      </c>
      <c r="BJ289" s="25" t="str">
        <f t="shared" si="511"/>
        <v>0</v>
      </c>
      <c r="BK289" s="25" t="str">
        <f t="shared" si="511"/>
        <v>0</v>
      </c>
      <c r="BL289" s="25" t="str">
        <f t="shared" si="511"/>
        <v>0</v>
      </c>
      <c r="BM289" s="25" t="str">
        <f t="shared" si="511"/>
        <v>0</v>
      </c>
      <c r="BN289" s="25" t="str">
        <f t="shared" si="511"/>
        <v>0</v>
      </c>
      <c r="BO289" s="25" t="str">
        <f t="shared" si="511"/>
        <v>0</v>
      </c>
      <c r="BP289" s="25" t="str">
        <f t="shared" si="511"/>
        <v>0</v>
      </c>
      <c r="BQ289" s="25" t="str">
        <f t="shared" si="511"/>
        <v>0</v>
      </c>
      <c r="BR289" s="25" t="str">
        <f t="shared" si="511"/>
        <v>0</v>
      </c>
      <c r="BS289" s="25" t="str">
        <f t="shared" si="511"/>
        <v>0</v>
      </c>
      <c r="BT289" s="25" t="str">
        <f t="shared" si="511"/>
        <v>0</v>
      </c>
      <c r="BU289" s="25" t="str">
        <f t="shared" si="511"/>
        <v>0</v>
      </c>
      <c r="BV289" s="25" t="str">
        <f t="shared" si="511"/>
        <v>0</v>
      </c>
      <c r="BW289" s="25" t="str">
        <f t="shared" si="511"/>
        <v>0</v>
      </c>
      <c r="BX289" s="25" t="str">
        <f t="shared" si="511"/>
        <v>0</v>
      </c>
      <c r="BY289" s="25" t="str">
        <f t="shared" si="511"/>
        <v>0</v>
      </c>
      <c r="BZ289" s="25">
        <f t="shared" si="511"/>
        <v>2816.66666666667</v>
      </c>
    </row>
    <row r="290" spans="1:78">
      <c r="A290" s="53">
        <v>1004032</v>
      </c>
      <c r="B290" s="49" t="s">
        <v>324</v>
      </c>
      <c r="C290" s="25">
        <f t="shared" si="452"/>
        <v>32</v>
      </c>
      <c r="D290" s="25">
        <f t="array" ref="D290">INDEX(C$5:C$67,MATCH($B290,$B$5:$B$67,0))</f>
        <v>5940</v>
      </c>
      <c r="E290" s="25">
        <f t="array" ref="E290">INDEX(D$5:D$67,MATCH($B290,$B$5:$B$67,0))</f>
        <v>475.2</v>
      </c>
      <c r="F290" s="25">
        <f t="array" ref="F290">INDEX(E$5:E$67,MATCH($B290,$B$5:$B$67,0))</f>
        <v>848</v>
      </c>
      <c r="G290" s="25">
        <f t="array" ref="G290">INDEX(F$5:F$67,MATCH($B290,$B$5:$B$67,0))</f>
        <v>67.84</v>
      </c>
      <c r="H290" s="25">
        <f t="array" ref="H290">INDEX(G$5:G$66,MATCH($B290,$B$5:$B$67,0))</f>
        <v>1103</v>
      </c>
      <c r="I290" s="25">
        <f t="array" ref="I290">INDEX(H$5:H$67,MATCH($B290,$B$5:$B$67,0))</f>
        <v>88.24</v>
      </c>
      <c r="J290" s="25">
        <f t="array" ref="J290">INDEX(I$5:I$67,MATCH($B290,$B$5:$B$67,0))</f>
        <v>1045</v>
      </c>
      <c r="K290" s="25">
        <f t="array" ref="K290">INDEX(J$5:J$67,MATCH($B290,$B$5:$B$67,0))</f>
        <v>83.6</v>
      </c>
      <c r="L290" s="25">
        <f t="shared" si="462"/>
        <v>21146</v>
      </c>
      <c r="M290" s="25">
        <f t="shared" si="463"/>
        <v>3019</v>
      </c>
      <c r="N290" s="25">
        <f t="shared" si="464"/>
        <v>3927</v>
      </c>
      <c r="O290" s="25">
        <f t="shared" si="465"/>
        <v>3720</v>
      </c>
      <c r="R290" s="50">
        <f t="array" ref="R290">INDEX($B$46:$B$68,MATCH(S290,$C$46:$C$68,0))*1000+T290</f>
        <v>1008023</v>
      </c>
      <c r="S290" s="51" t="s">
        <v>332</v>
      </c>
      <c r="T290" s="29">
        <f t="shared" si="385"/>
        <v>23</v>
      </c>
      <c r="U290" s="25">
        <f t="array" ref="U290">INDEX(K$5:K$67,MATCH($S290,$B$5:$B$67,0))</f>
        <v>383.4</v>
      </c>
      <c r="V290" s="25">
        <f t="array" ref="V290">INDEX(L$5:L$67,MATCH($S290,$B$5:$B$67,0))</f>
        <v>140.45</v>
      </c>
      <c r="W290" s="25">
        <f t="array" ref="W290">INDEX(M$5:M$67,MATCH($S290,$B$5:$B$67,0))</f>
        <v>140.45</v>
      </c>
      <c r="X290" s="25">
        <f t="array" ref="X290">INDEX(N$5:N$67,MATCH($S290,$B$5:$B$67,0))</f>
        <v>85</v>
      </c>
      <c r="Y290" s="25">
        <f t="shared" si="466"/>
        <v>8818</v>
      </c>
      <c r="Z290" s="25">
        <f t="shared" si="467"/>
        <v>3230</v>
      </c>
      <c r="AA290" s="25">
        <f t="shared" si="468"/>
        <v>3230</v>
      </c>
      <c r="AB290" s="25">
        <f t="shared" si="469"/>
        <v>1955</v>
      </c>
      <c r="AF290" s="25">
        <v>212</v>
      </c>
      <c r="AG290" s="25">
        <f t="array" ref="AG290">INDEX($AE$79:$AE$116,QUOTIENT(AF290-1,8)+1)</f>
        <v>1038</v>
      </c>
      <c r="AH290" s="25">
        <f t="shared" si="496"/>
        <v>4</v>
      </c>
      <c r="AI290" s="25">
        <f t="shared" si="470"/>
        <v>10384</v>
      </c>
      <c r="AJ290" s="25" t="str">
        <f t="shared" si="471"/>
        <v>桑尼商队战斗员</v>
      </c>
      <c r="AK290" s="25">
        <f t="shared" si="497"/>
        <v>2</v>
      </c>
      <c r="AL290" s="25" t="str">
        <f t="array" ref="AL290">INDEX($O$5:$O$42,MATCH(AJ290,$B$5:$B$42,0))</f>
        <v>防御百分比</v>
      </c>
      <c r="AM290" s="25" t="str">
        <f t="array" ref="AM290">INDEX($P$5:$P$42,MATCH(AJ290,$B$5:$B$42,0))</f>
        <v>生命值百分比</v>
      </c>
      <c r="AN290" s="25" t="str">
        <f t="array" ref="AN290">INDEX($Q$5:$Q$42,MATCH(AJ290,$B$5:$B$42,0))</f>
        <v>技能冷却等级</v>
      </c>
      <c r="AO290" s="25" t="str">
        <f t="array" ref="AO290">INDEX(AL290:AN290,0,AK290)</f>
        <v>生命值百分比</v>
      </c>
      <c r="AP290" s="25">
        <f t="shared" si="457"/>
        <v>0.15</v>
      </c>
      <c r="AQ290" s="25">
        <f t="shared" si="472"/>
        <v>0.15</v>
      </c>
      <c r="AR290" s="25" t="str">
        <f t="shared" ref="AR290:BZ290" si="512">IF(AR$78=$AO290,$AQ290,"0")</f>
        <v>0</v>
      </c>
      <c r="AS290" s="25">
        <f t="shared" si="512"/>
        <v>0.15</v>
      </c>
      <c r="AT290" s="25" t="str">
        <f t="shared" si="512"/>
        <v>0</v>
      </c>
      <c r="AU290" s="25" t="str">
        <f t="shared" si="512"/>
        <v>0</v>
      </c>
      <c r="AV290" s="25" t="str">
        <f t="shared" si="512"/>
        <v>0</v>
      </c>
      <c r="AW290" s="25" t="str">
        <f t="shared" si="512"/>
        <v>0</v>
      </c>
      <c r="AX290" s="25" t="str">
        <f t="shared" si="512"/>
        <v>0</v>
      </c>
      <c r="AY290" s="25" t="str">
        <f t="shared" si="512"/>
        <v>0</v>
      </c>
      <c r="AZ290" s="25" t="str">
        <f t="shared" si="512"/>
        <v>0</v>
      </c>
      <c r="BA290" s="25" t="str">
        <f t="shared" si="512"/>
        <v>0</v>
      </c>
      <c r="BB290" s="25" t="str">
        <f t="shared" si="512"/>
        <v>0</v>
      </c>
      <c r="BC290" s="25" t="str">
        <f t="shared" si="512"/>
        <v>0</v>
      </c>
      <c r="BD290" s="25" t="str">
        <f t="shared" si="512"/>
        <v>0</v>
      </c>
      <c r="BE290" s="25" t="str">
        <f t="shared" si="512"/>
        <v>0</v>
      </c>
      <c r="BF290" s="25" t="str">
        <f t="shared" si="512"/>
        <v>0</v>
      </c>
      <c r="BG290" s="25" t="str">
        <f t="shared" si="512"/>
        <v>0</v>
      </c>
      <c r="BH290" s="25" t="str">
        <f t="shared" si="512"/>
        <v>0</v>
      </c>
      <c r="BI290" s="25" t="str">
        <f t="shared" si="512"/>
        <v>0</v>
      </c>
      <c r="BJ290" s="25" t="str">
        <f t="shared" si="512"/>
        <v>0</v>
      </c>
      <c r="BK290" s="25" t="str">
        <f t="shared" si="512"/>
        <v>0</v>
      </c>
      <c r="BL290" s="25" t="str">
        <f t="shared" si="512"/>
        <v>0</v>
      </c>
      <c r="BM290" s="25" t="str">
        <f t="shared" si="512"/>
        <v>0</v>
      </c>
      <c r="BN290" s="25" t="str">
        <f t="shared" si="512"/>
        <v>0</v>
      </c>
      <c r="BO290" s="25" t="str">
        <f t="shared" si="512"/>
        <v>0</v>
      </c>
      <c r="BP290" s="25" t="str">
        <f t="shared" si="512"/>
        <v>0</v>
      </c>
      <c r="BQ290" s="25" t="str">
        <f t="shared" si="512"/>
        <v>0</v>
      </c>
      <c r="BR290" s="25" t="str">
        <f t="shared" si="512"/>
        <v>0</v>
      </c>
      <c r="BS290" s="25" t="str">
        <f t="shared" si="512"/>
        <v>0</v>
      </c>
      <c r="BT290" s="25" t="str">
        <f t="shared" si="512"/>
        <v>0</v>
      </c>
      <c r="BU290" s="25" t="str">
        <f t="shared" si="512"/>
        <v>0</v>
      </c>
      <c r="BV290" s="25" t="str">
        <f t="shared" si="512"/>
        <v>0</v>
      </c>
      <c r="BW290" s="25" t="str">
        <f t="shared" si="512"/>
        <v>0</v>
      </c>
      <c r="BX290" s="25" t="str">
        <f t="shared" si="512"/>
        <v>0</v>
      </c>
      <c r="BY290" s="25" t="str">
        <f t="shared" si="512"/>
        <v>0</v>
      </c>
      <c r="BZ290" s="25" t="str">
        <f t="shared" si="512"/>
        <v>0</v>
      </c>
    </row>
    <row r="291" spans="1:78">
      <c r="A291" s="53">
        <v>1004033</v>
      </c>
      <c r="B291" s="49" t="s">
        <v>324</v>
      </c>
      <c r="C291" s="25">
        <f t="shared" si="452"/>
        <v>33</v>
      </c>
      <c r="D291" s="25">
        <f t="array" ref="D291">INDEX(C$5:C$67,MATCH($B291,$B$5:$B$67,0))</f>
        <v>5940</v>
      </c>
      <c r="E291" s="25">
        <f t="array" ref="E291">INDEX(D$5:D$67,MATCH($B291,$B$5:$B$67,0))</f>
        <v>475.2</v>
      </c>
      <c r="F291" s="25">
        <f t="array" ref="F291">INDEX(E$5:E$67,MATCH($B291,$B$5:$B$67,0))</f>
        <v>848</v>
      </c>
      <c r="G291" s="25">
        <f t="array" ref="G291">INDEX(F$5:F$67,MATCH($B291,$B$5:$B$67,0))</f>
        <v>67.84</v>
      </c>
      <c r="H291" s="25">
        <f t="array" ref="H291">INDEX(G$5:G$66,MATCH($B291,$B$5:$B$67,0))</f>
        <v>1103</v>
      </c>
      <c r="I291" s="25">
        <f t="array" ref="I291">INDEX(H$5:H$67,MATCH($B291,$B$5:$B$67,0))</f>
        <v>88.24</v>
      </c>
      <c r="J291" s="25">
        <f t="array" ref="J291">INDEX(I$5:I$67,MATCH($B291,$B$5:$B$67,0))</f>
        <v>1045</v>
      </c>
      <c r="K291" s="25">
        <f t="array" ref="K291">INDEX(J$5:J$67,MATCH($B291,$B$5:$B$67,0))</f>
        <v>83.6</v>
      </c>
      <c r="L291" s="25">
        <f t="shared" si="462"/>
        <v>21622</v>
      </c>
      <c r="M291" s="25">
        <f t="shared" si="463"/>
        <v>3087</v>
      </c>
      <c r="N291" s="25">
        <f t="shared" si="464"/>
        <v>4015</v>
      </c>
      <c r="O291" s="25">
        <f t="shared" si="465"/>
        <v>3804</v>
      </c>
      <c r="R291" s="50">
        <f t="array" ref="R291">INDEX($B$46:$B$68,MATCH(S291,$C$46:$C$68,0))*1000+T291</f>
        <v>1008024</v>
      </c>
      <c r="S291" s="51" t="s">
        <v>332</v>
      </c>
      <c r="T291" s="29">
        <f t="shared" si="385"/>
        <v>24</v>
      </c>
      <c r="U291" s="25">
        <f t="array" ref="U291">INDEX(K$5:K$67,MATCH($S291,$B$5:$B$67,0))</f>
        <v>383.4</v>
      </c>
      <c r="V291" s="25">
        <f t="array" ref="V291">INDEX(L$5:L$67,MATCH($S291,$B$5:$B$67,0))</f>
        <v>140.45</v>
      </c>
      <c r="W291" s="25">
        <f t="array" ref="W291">INDEX(M$5:M$67,MATCH($S291,$B$5:$B$67,0))</f>
        <v>140.45</v>
      </c>
      <c r="X291" s="25">
        <f t="array" ref="X291">INDEX(N$5:N$67,MATCH($S291,$B$5:$B$67,0))</f>
        <v>85</v>
      </c>
      <c r="Y291" s="25">
        <f t="shared" si="466"/>
        <v>9202</v>
      </c>
      <c r="Z291" s="25">
        <f t="shared" si="467"/>
        <v>3371</v>
      </c>
      <c r="AA291" s="25">
        <f t="shared" si="468"/>
        <v>3371</v>
      </c>
      <c r="AB291" s="25">
        <f t="shared" si="469"/>
        <v>2040</v>
      </c>
      <c r="AF291" s="25">
        <v>213</v>
      </c>
      <c r="AG291" s="25">
        <f t="array" ref="AG291">INDEX($AE$79:$AE$116,QUOTIENT(AF291-1,8)+1)</f>
        <v>1038</v>
      </c>
      <c r="AH291" s="25">
        <f t="shared" si="496"/>
        <v>5</v>
      </c>
      <c r="AI291" s="25">
        <f t="shared" si="470"/>
        <v>10385</v>
      </c>
      <c r="AJ291" s="25" t="str">
        <f t="shared" si="471"/>
        <v>桑尼商队战斗员</v>
      </c>
      <c r="AK291" s="25">
        <f t="shared" si="497"/>
        <v>3</v>
      </c>
      <c r="AL291" s="25" t="str">
        <f t="array" ref="AL291">INDEX($O$5:$O$42,MATCH(AJ291,$B$5:$B$42,0))</f>
        <v>防御百分比</v>
      </c>
      <c r="AM291" s="25" t="str">
        <f t="array" ref="AM291">INDEX($P$5:$P$42,MATCH(AJ291,$B$5:$B$42,0))</f>
        <v>生命值百分比</v>
      </c>
      <c r="AN291" s="25" t="str">
        <f t="array" ref="AN291">INDEX($Q$5:$Q$42,MATCH(AJ291,$B$5:$B$42,0))</f>
        <v>技能冷却等级</v>
      </c>
      <c r="AO291" s="25" t="str">
        <f t="array" ref="AO291">INDEX(AL291:AN291,0,AK291)</f>
        <v>技能冷却等级</v>
      </c>
      <c r="AP291" s="25">
        <f t="shared" si="457"/>
        <v>0.216666666666667</v>
      </c>
      <c r="AQ291" s="25">
        <f t="shared" si="472"/>
        <v>2816.66666666667</v>
      </c>
      <c r="AR291" s="25" t="str">
        <f t="shared" ref="AR291:BZ291" si="513">IF(AR$78=$AO291,$AQ291,"0")</f>
        <v>0</v>
      </c>
      <c r="AS291" s="25" t="str">
        <f t="shared" si="513"/>
        <v>0</v>
      </c>
      <c r="AT291" s="25" t="str">
        <f t="shared" si="513"/>
        <v>0</v>
      </c>
      <c r="AU291" s="25" t="str">
        <f t="shared" si="513"/>
        <v>0</v>
      </c>
      <c r="AV291" s="25" t="str">
        <f t="shared" si="513"/>
        <v>0</v>
      </c>
      <c r="AW291" s="25" t="str">
        <f t="shared" si="513"/>
        <v>0</v>
      </c>
      <c r="AX291" s="25" t="str">
        <f t="shared" si="513"/>
        <v>0</v>
      </c>
      <c r="AY291" s="25" t="str">
        <f t="shared" si="513"/>
        <v>0</v>
      </c>
      <c r="AZ291" s="25" t="str">
        <f t="shared" si="513"/>
        <v>0</v>
      </c>
      <c r="BA291" s="25" t="str">
        <f t="shared" si="513"/>
        <v>0</v>
      </c>
      <c r="BB291" s="25" t="str">
        <f t="shared" si="513"/>
        <v>0</v>
      </c>
      <c r="BC291" s="25" t="str">
        <f t="shared" si="513"/>
        <v>0</v>
      </c>
      <c r="BD291" s="25" t="str">
        <f t="shared" si="513"/>
        <v>0</v>
      </c>
      <c r="BE291" s="25" t="str">
        <f t="shared" si="513"/>
        <v>0</v>
      </c>
      <c r="BF291" s="25" t="str">
        <f t="shared" si="513"/>
        <v>0</v>
      </c>
      <c r="BG291" s="25" t="str">
        <f t="shared" si="513"/>
        <v>0</v>
      </c>
      <c r="BH291" s="25" t="str">
        <f t="shared" si="513"/>
        <v>0</v>
      </c>
      <c r="BI291" s="25" t="str">
        <f t="shared" si="513"/>
        <v>0</v>
      </c>
      <c r="BJ291" s="25" t="str">
        <f t="shared" si="513"/>
        <v>0</v>
      </c>
      <c r="BK291" s="25" t="str">
        <f t="shared" si="513"/>
        <v>0</v>
      </c>
      <c r="BL291" s="25" t="str">
        <f t="shared" si="513"/>
        <v>0</v>
      </c>
      <c r="BM291" s="25" t="str">
        <f t="shared" si="513"/>
        <v>0</v>
      </c>
      <c r="BN291" s="25" t="str">
        <f t="shared" si="513"/>
        <v>0</v>
      </c>
      <c r="BO291" s="25" t="str">
        <f t="shared" si="513"/>
        <v>0</v>
      </c>
      <c r="BP291" s="25" t="str">
        <f t="shared" si="513"/>
        <v>0</v>
      </c>
      <c r="BQ291" s="25" t="str">
        <f t="shared" si="513"/>
        <v>0</v>
      </c>
      <c r="BR291" s="25" t="str">
        <f t="shared" si="513"/>
        <v>0</v>
      </c>
      <c r="BS291" s="25" t="str">
        <f t="shared" si="513"/>
        <v>0</v>
      </c>
      <c r="BT291" s="25" t="str">
        <f t="shared" si="513"/>
        <v>0</v>
      </c>
      <c r="BU291" s="25" t="str">
        <f t="shared" si="513"/>
        <v>0</v>
      </c>
      <c r="BV291" s="25" t="str">
        <f t="shared" si="513"/>
        <v>0</v>
      </c>
      <c r="BW291" s="25" t="str">
        <f t="shared" si="513"/>
        <v>0</v>
      </c>
      <c r="BX291" s="25" t="str">
        <f t="shared" si="513"/>
        <v>0</v>
      </c>
      <c r="BY291" s="25" t="str">
        <f t="shared" si="513"/>
        <v>0</v>
      </c>
      <c r="BZ291" s="25">
        <f t="shared" si="513"/>
        <v>2816.66666666667</v>
      </c>
    </row>
    <row r="292" spans="1:78">
      <c r="A292" s="53">
        <v>1004034</v>
      </c>
      <c r="B292" s="49" t="s">
        <v>324</v>
      </c>
      <c r="C292" s="25">
        <f t="shared" si="452"/>
        <v>34</v>
      </c>
      <c r="D292" s="25">
        <f t="array" ref="D292">INDEX(C$5:C$67,MATCH($B292,$B$5:$B$67,0))</f>
        <v>5940</v>
      </c>
      <c r="E292" s="25">
        <f t="array" ref="E292">INDEX(D$5:D$67,MATCH($B292,$B$5:$B$67,0))</f>
        <v>475.2</v>
      </c>
      <c r="F292" s="25">
        <f t="array" ref="F292">INDEX(E$5:E$67,MATCH($B292,$B$5:$B$67,0))</f>
        <v>848</v>
      </c>
      <c r="G292" s="25">
        <f t="array" ref="G292">INDEX(F$5:F$67,MATCH($B292,$B$5:$B$67,0))</f>
        <v>67.84</v>
      </c>
      <c r="H292" s="25">
        <f t="array" ref="H292">INDEX(G$5:G$66,MATCH($B292,$B$5:$B$67,0))</f>
        <v>1103</v>
      </c>
      <c r="I292" s="25">
        <f t="array" ref="I292">INDEX(H$5:H$67,MATCH($B292,$B$5:$B$67,0))</f>
        <v>88.24</v>
      </c>
      <c r="J292" s="25">
        <f t="array" ref="J292">INDEX(I$5:I$67,MATCH($B292,$B$5:$B$67,0))</f>
        <v>1045</v>
      </c>
      <c r="K292" s="25">
        <f t="array" ref="K292">INDEX(J$5:J$67,MATCH($B292,$B$5:$B$67,0))</f>
        <v>83.6</v>
      </c>
      <c r="L292" s="25">
        <f t="shared" si="462"/>
        <v>22097</v>
      </c>
      <c r="M292" s="25">
        <f t="shared" si="463"/>
        <v>3155</v>
      </c>
      <c r="N292" s="25">
        <f t="shared" si="464"/>
        <v>4103</v>
      </c>
      <c r="O292" s="25">
        <f t="shared" si="465"/>
        <v>3887</v>
      </c>
      <c r="R292" s="50">
        <f t="array" ref="R292">INDEX($B$46:$B$68,MATCH(S292,$C$46:$C$68,0))*1000+T292</f>
        <v>1008025</v>
      </c>
      <c r="S292" s="51" t="s">
        <v>332</v>
      </c>
      <c r="T292" s="29">
        <f t="shared" si="385"/>
        <v>25</v>
      </c>
      <c r="U292" s="25">
        <f t="array" ref="U292">INDEX(K$5:K$67,MATCH($S292,$B$5:$B$67,0))</f>
        <v>383.4</v>
      </c>
      <c r="V292" s="25">
        <f t="array" ref="V292">INDEX(L$5:L$67,MATCH($S292,$B$5:$B$67,0))</f>
        <v>140.45</v>
      </c>
      <c r="W292" s="25">
        <f t="array" ref="W292">INDEX(M$5:M$67,MATCH($S292,$B$5:$B$67,0))</f>
        <v>140.45</v>
      </c>
      <c r="X292" s="25">
        <f t="array" ref="X292">INDEX(N$5:N$67,MATCH($S292,$B$5:$B$67,0))</f>
        <v>85</v>
      </c>
      <c r="Y292" s="25">
        <f t="shared" si="466"/>
        <v>9585</v>
      </c>
      <c r="Z292" s="25">
        <f t="shared" si="467"/>
        <v>3511</v>
      </c>
      <c r="AA292" s="25">
        <f t="shared" si="468"/>
        <v>3511</v>
      </c>
      <c r="AB292" s="25">
        <f t="shared" si="469"/>
        <v>2125</v>
      </c>
      <c r="AF292" s="25">
        <v>214</v>
      </c>
      <c r="AG292" s="25">
        <f t="array" ref="AG292">INDEX($AE$79:$AE$116,QUOTIENT(AF292-1,8)+1)</f>
        <v>1038</v>
      </c>
      <c r="AH292" s="25">
        <f t="shared" si="496"/>
        <v>6</v>
      </c>
      <c r="AI292" s="25">
        <f t="shared" si="470"/>
        <v>10386</v>
      </c>
      <c r="AJ292" s="25" t="str">
        <f t="shared" si="471"/>
        <v>桑尼商队战斗员</v>
      </c>
      <c r="AK292" s="25">
        <f t="shared" si="497"/>
        <v>1</v>
      </c>
      <c r="AL292" s="25" t="str">
        <f t="array" ref="AL292">INDEX($O$5:$O$42,MATCH(AJ292,$B$5:$B$42,0))</f>
        <v>防御百分比</v>
      </c>
      <c r="AM292" s="25" t="str">
        <f t="array" ref="AM292">INDEX($P$5:$P$42,MATCH(AJ292,$B$5:$B$42,0))</f>
        <v>生命值百分比</v>
      </c>
      <c r="AN292" s="25" t="str">
        <f t="array" ref="AN292">INDEX($Q$5:$Q$42,MATCH(AJ292,$B$5:$B$42,0))</f>
        <v>技能冷却等级</v>
      </c>
      <c r="AO292" s="25" t="str">
        <f t="array" ref="AO292">INDEX(AL292:AN292,0,AK292)</f>
        <v>防御百分比</v>
      </c>
      <c r="AP292" s="25">
        <f t="shared" si="457"/>
        <v>0.216666666666667</v>
      </c>
      <c r="AQ292" s="25">
        <f t="shared" si="472"/>
        <v>0.216666666666667</v>
      </c>
      <c r="AR292" s="25" t="str">
        <f t="shared" ref="AR292:BZ292" si="514">IF(AR$78=$AO292,$AQ292,"0")</f>
        <v>0</v>
      </c>
      <c r="AS292" s="25" t="str">
        <f t="shared" si="514"/>
        <v>0</v>
      </c>
      <c r="AT292" s="25" t="str">
        <f t="shared" si="514"/>
        <v>0</v>
      </c>
      <c r="AU292" s="25" t="str">
        <f t="shared" si="514"/>
        <v>0</v>
      </c>
      <c r="AV292" s="25" t="str">
        <f t="shared" si="514"/>
        <v>0</v>
      </c>
      <c r="AW292" s="25" t="str">
        <f t="shared" si="514"/>
        <v>0</v>
      </c>
      <c r="AX292" s="25" t="str">
        <f t="shared" si="514"/>
        <v>0</v>
      </c>
      <c r="AY292" s="25">
        <f t="shared" si="514"/>
        <v>0.216666666666667</v>
      </c>
      <c r="AZ292" s="25" t="str">
        <f t="shared" si="514"/>
        <v>0</v>
      </c>
      <c r="BA292" s="25" t="str">
        <f t="shared" si="514"/>
        <v>0</v>
      </c>
      <c r="BB292" s="25" t="str">
        <f t="shared" si="514"/>
        <v>0</v>
      </c>
      <c r="BC292" s="25" t="str">
        <f t="shared" si="514"/>
        <v>0</v>
      </c>
      <c r="BD292" s="25" t="str">
        <f t="shared" si="514"/>
        <v>0</v>
      </c>
      <c r="BE292" s="25" t="str">
        <f t="shared" si="514"/>
        <v>0</v>
      </c>
      <c r="BF292" s="25" t="str">
        <f t="shared" si="514"/>
        <v>0</v>
      </c>
      <c r="BG292" s="25" t="str">
        <f t="shared" si="514"/>
        <v>0</v>
      </c>
      <c r="BH292" s="25" t="str">
        <f t="shared" si="514"/>
        <v>0</v>
      </c>
      <c r="BI292" s="25" t="str">
        <f t="shared" si="514"/>
        <v>0</v>
      </c>
      <c r="BJ292" s="25" t="str">
        <f t="shared" si="514"/>
        <v>0</v>
      </c>
      <c r="BK292" s="25" t="str">
        <f t="shared" si="514"/>
        <v>0</v>
      </c>
      <c r="BL292" s="25" t="str">
        <f t="shared" si="514"/>
        <v>0</v>
      </c>
      <c r="BM292" s="25" t="str">
        <f t="shared" si="514"/>
        <v>0</v>
      </c>
      <c r="BN292" s="25" t="str">
        <f t="shared" si="514"/>
        <v>0</v>
      </c>
      <c r="BO292" s="25" t="str">
        <f t="shared" si="514"/>
        <v>0</v>
      </c>
      <c r="BP292" s="25" t="str">
        <f t="shared" si="514"/>
        <v>0</v>
      </c>
      <c r="BQ292" s="25" t="str">
        <f t="shared" si="514"/>
        <v>0</v>
      </c>
      <c r="BR292" s="25" t="str">
        <f t="shared" si="514"/>
        <v>0</v>
      </c>
      <c r="BS292" s="25" t="str">
        <f t="shared" si="514"/>
        <v>0</v>
      </c>
      <c r="BT292" s="25" t="str">
        <f t="shared" si="514"/>
        <v>0</v>
      </c>
      <c r="BU292" s="25" t="str">
        <f t="shared" si="514"/>
        <v>0</v>
      </c>
      <c r="BV292" s="25" t="str">
        <f t="shared" si="514"/>
        <v>0</v>
      </c>
      <c r="BW292" s="25" t="str">
        <f t="shared" si="514"/>
        <v>0</v>
      </c>
      <c r="BX292" s="25" t="str">
        <f t="shared" si="514"/>
        <v>0</v>
      </c>
      <c r="BY292" s="25" t="str">
        <f t="shared" si="514"/>
        <v>0</v>
      </c>
      <c r="BZ292" s="25" t="str">
        <f t="shared" si="514"/>
        <v>0</v>
      </c>
    </row>
    <row r="293" spans="1:78">
      <c r="A293" s="53">
        <v>1004035</v>
      </c>
      <c r="B293" s="49" t="s">
        <v>324</v>
      </c>
      <c r="C293" s="25">
        <f t="shared" si="452"/>
        <v>35</v>
      </c>
      <c r="D293" s="25">
        <f t="array" ref="D293">INDEX(C$5:C$67,MATCH($B293,$B$5:$B$67,0))</f>
        <v>5940</v>
      </c>
      <c r="E293" s="25">
        <f t="array" ref="E293">INDEX(D$5:D$67,MATCH($B293,$B$5:$B$67,0))</f>
        <v>475.2</v>
      </c>
      <c r="F293" s="25">
        <f t="array" ref="F293">INDEX(E$5:E$67,MATCH($B293,$B$5:$B$67,0))</f>
        <v>848</v>
      </c>
      <c r="G293" s="25">
        <f t="array" ref="G293">INDEX(F$5:F$67,MATCH($B293,$B$5:$B$67,0))</f>
        <v>67.84</v>
      </c>
      <c r="H293" s="25">
        <f t="array" ref="H293">INDEX(G$5:G$66,MATCH($B293,$B$5:$B$67,0))</f>
        <v>1103</v>
      </c>
      <c r="I293" s="25">
        <f t="array" ref="I293">INDEX(H$5:H$67,MATCH($B293,$B$5:$B$67,0))</f>
        <v>88.24</v>
      </c>
      <c r="J293" s="25">
        <f t="array" ref="J293">INDEX(I$5:I$67,MATCH($B293,$B$5:$B$67,0))</f>
        <v>1045</v>
      </c>
      <c r="K293" s="25">
        <f t="array" ref="K293">INDEX(J$5:J$67,MATCH($B293,$B$5:$B$67,0))</f>
        <v>83.6</v>
      </c>
      <c r="L293" s="25">
        <f t="shared" si="462"/>
        <v>22572</v>
      </c>
      <c r="M293" s="25">
        <f t="shared" si="463"/>
        <v>3222</v>
      </c>
      <c r="N293" s="25">
        <f t="shared" si="464"/>
        <v>4191</v>
      </c>
      <c r="O293" s="25">
        <f t="shared" si="465"/>
        <v>3971</v>
      </c>
      <c r="R293" s="50">
        <f t="array" ref="R293">INDEX($B$46:$B$68,MATCH(S293,$C$46:$C$68,0))*1000+T293</f>
        <v>1008026</v>
      </c>
      <c r="S293" s="51" t="s">
        <v>332</v>
      </c>
      <c r="T293" s="29">
        <f t="shared" si="385"/>
        <v>26</v>
      </c>
      <c r="U293" s="25">
        <f t="array" ref="U293">INDEX(K$5:K$67,MATCH($S293,$B$5:$B$67,0))</f>
        <v>383.4</v>
      </c>
      <c r="V293" s="25">
        <f t="array" ref="V293">INDEX(L$5:L$67,MATCH($S293,$B$5:$B$67,0))</f>
        <v>140.45</v>
      </c>
      <c r="W293" s="25">
        <f t="array" ref="W293">INDEX(M$5:M$67,MATCH($S293,$B$5:$B$67,0))</f>
        <v>140.45</v>
      </c>
      <c r="X293" s="25">
        <f t="array" ref="X293">INDEX(N$5:N$67,MATCH($S293,$B$5:$B$67,0))</f>
        <v>85</v>
      </c>
      <c r="Y293" s="25">
        <f t="shared" si="466"/>
        <v>9968</v>
      </c>
      <c r="Z293" s="25">
        <f t="shared" si="467"/>
        <v>3652</v>
      </c>
      <c r="AA293" s="25">
        <f t="shared" si="468"/>
        <v>3652</v>
      </c>
      <c r="AB293" s="25">
        <f t="shared" si="469"/>
        <v>2210</v>
      </c>
      <c r="AF293" s="25">
        <v>215</v>
      </c>
      <c r="AG293" s="25">
        <f t="array" ref="AG293">INDEX($AE$79:$AE$116,QUOTIENT(AF293-1,8)+1)</f>
        <v>1038</v>
      </c>
      <c r="AH293" s="25">
        <f t="shared" si="496"/>
        <v>7</v>
      </c>
      <c r="AI293" s="25">
        <f t="shared" si="470"/>
        <v>10387</v>
      </c>
      <c r="AJ293" s="25" t="str">
        <f t="shared" si="471"/>
        <v>桑尼商队战斗员</v>
      </c>
      <c r="AK293" s="25">
        <f t="shared" si="497"/>
        <v>2</v>
      </c>
      <c r="AL293" s="25" t="str">
        <f t="array" ref="AL293">INDEX($O$5:$O$42,MATCH(AJ293,$B$5:$B$42,0))</f>
        <v>防御百分比</v>
      </c>
      <c r="AM293" s="25" t="str">
        <f t="array" ref="AM293">INDEX($P$5:$P$42,MATCH(AJ293,$B$5:$B$42,0))</f>
        <v>生命值百分比</v>
      </c>
      <c r="AN293" s="25" t="str">
        <f t="array" ref="AN293">INDEX($Q$5:$Q$42,MATCH(AJ293,$B$5:$B$42,0))</f>
        <v>技能冷却等级</v>
      </c>
      <c r="AO293" s="25" t="str">
        <f t="array" ref="AO293">INDEX(AL293:AN293,0,AK293)</f>
        <v>生命值百分比</v>
      </c>
      <c r="AP293" s="25">
        <f t="shared" si="457"/>
        <v>0.15</v>
      </c>
      <c r="AQ293" s="25">
        <f t="shared" si="472"/>
        <v>0.15</v>
      </c>
      <c r="AR293" s="25" t="str">
        <f t="shared" ref="AR293:BZ293" si="515">IF(AR$78=$AO293,$AQ293,"0")</f>
        <v>0</v>
      </c>
      <c r="AS293" s="25">
        <f t="shared" si="515"/>
        <v>0.15</v>
      </c>
      <c r="AT293" s="25" t="str">
        <f t="shared" si="515"/>
        <v>0</v>
      </c>
      <c r="AU293" s="25" t="str">
        <f t="shared" si="515"/>
        <v>0</v>
      </c>
      <c r="AV293" s="25" t="str">
        <f t="shared" si="515"/>
        <v>0</v>
      </c>
      <c r="AW293" s="25" t="str">
        <f t="shared" si="515"/>
        <v>0</v>
      </c>
      <c r="AX293" s="25" t="str">
        <f t="shared" si="515"/>
        <v>0</v>
      </c>
      <c r="AY293" s="25" t="str">
        <f t="shared" si="515"/>
        <v>0</v>
      </c>
      <c r="AZ293" s="25" t="str">
        <f t="shared" si="515"/>
        <v>0</v>
      </c>
      <c r="BA293" s="25" t="str">
        <f t="shared" si="515"/>
        <v>0</v>
      </c>
      <c r="BB293" s="25" t="str">
        <f t="shared" si="515"/>
        <v>0</v>
      </c>
      <c r="BC293" s="25" t="str">
        <f t="shared" si="515"/>
        <v>0</v>
      </c>
      <c r="BD293" s="25" t="str">
        <f t="shared" si="515"/>
        <v>0</v>
      </c>
      <c r="BE293" s="25" t="str">
        <f t="shared" si="515"/>
        <v>0</v>
      </c>
      <c r="BF293" s="25" t="str">
        <f t="shared" si="515"/>
        <v>0</v>
      </c>
      <c r="BG293" s="25" t="str">
        <f t="shared" si="515"/>
        <v>0</v>
      </c>
      <c r="BH293" s="25" t="str">
        <f t="shared" si="515"/>
        <v>0</v>
      </c>
      <c r="BI293" s="25" t="str">
        <f t="shared" si="515"/>
        <v>0</v>
      </c>
      <c r="BJ293" s="25" t="str">
        <f t="shared" si="515"/>
        <v>0</v>
      </c>
      <c r="BK293" s="25" t="str">
        <f t="shared" si="515"/>
        <v>0</v>
      </c>
      <c r="BL293" s="25" t="str">
        <f t="shared" si="515"/>
        <v>0</v>
      </c>
      <c r="BM293" s="25" t="str">
        <f t="shared" si="515"/>
        <v>0</v>
      </c>
      <c r="BN293" s="25" t="str">
        <f t="shared" si="515"/>
        <v>0</v>
      </c>
      <c r="BO293" s="25" t="str">
        <f t="shared" si="515"/>
        <v>0</v>
      </c>
      <c r="BP293" s="25" t="str">
        <f t="shared" si="515"/>
        <v>0</v>
      </c>
      <c r="BQ293" s="25" t="str">
        <f t="shared" si="515"/>
        <v>0</v>
      </c>
      <c r="BR293" s="25" t="str">
        <f t="shared" si="515"/>
        <v>0</v>
      </c>
      <c r="BS293" s="25" t="str">
        <f t="shared" si="515"/>
        <v>0</v>
      </c>
      <c r="BT293" s="25" t="str">
        <f t="shared" si="515"/>
        <v>0</v>
      </c>
      <c r="BU293" s="25" t="str">
        <f t="shared" si="515"/>
        <v>0</v>
      </c>
      <c r="BV293" s="25" t="str">
        <f t="shared" si="515"/>
        <v>0</v>
      </c>
      <c r="BW293" s="25" t="str">
        <f t="shared" si="515"/>
        <v>0</v>
      </c>
      <c r="BX293" s="25" t="str">
        <f t="shared" si="515"/>
        <v>0</v>
      </c>
      <c r="BY293" s="25" t="str">
        <f t="shared" si="515"/>
        <v>0</v>
      </c>
      <c r="BZ293" s="25" t="str">
        <f t="shared" si="515"/>
        <v>0</v>
      </c>
    </row>
    <row r="294" spans="1:78">
      <c r="A294" s="53">
        <v>1004036</v>
      </c>
      <c r="B294" s="49" t="s">
        <v>324</v>
      </c>
      <c r="C294" s="25">
        <f t="shared" si="452"/>
        <v>36</v>
      </c>
      <c r="D294" s="25">
        <f t="array" ref="D294">INDEX(C$5:C$67,MATCH($B294,$B$5:$B$67,0))</f>
        <v>5940</v>
      </c>
      <c r="E294" s="25">
        <f t="array" ref="E294">INDEX(D$5:D$67,MATCH($B294,$B$5:$B$67,0))</f>
        <v>475.2</v>
      </c>
      <c r="F294" s="25">
        <f t="array" ref="F294">INDEX(E$5:E$67,MATCH($B294,$B$5:$B$67,0))</f>
        <v>848</v>
      </c>
      <c r="G294" s="25">
        <f t="array" ref="G294">INDEX(F$5:F$67,MATCH($B294,$B$5:$B$67,0))</f>
        <v>67.84</v>
      </c>
      <c r="H294" s="25">
        <f t="array" ref="H294">INDEX(G$5:G$66,MATCH($B294,$B$5:$B$67,0))</f>
        <v>1103</v>
      </c>
      <c r="I294" s="25">
        <f t="array" ref="I294">INDEX(H$5:H$67,MATCH($B294,$B$5:$B$67,0))</f>
        <v>88.24</v>
      </c>
      <c r="J294" s="25">
        <f t="array" ref="J294">INDEX(I$5:I$67,MATCH($B294,$B$5:$B$67,0))</f>
        <v>1045</v>
      </c>
      <c r="K294" s="25">
        <f t="array" ref="K294">INDEX(J$5:J$67,MATCH($B294,$B$5:$B$67,0))</f>
        <v>83.6</v>
      </c>
      <c r="L294" s="25">
        <f t="shared" si="462"/>
        <v>23047</v>
      </c>
      <c r="M294" s="25">
        <f t="shared" si="463"/>
        <v>3290</v>
      </c>
      <c r="N294" s="25">
        <f t="shared" si="464"/>
        <v>4280</v>
      </c>
      <c r="O294" s="25">
        <f t="shared" si="465"/>
        <v>4055</v>
      </c>
      <c r="R294" s="50">
        <f t="array" ref="R294">INDEX($B$46:$B$68,MATCH(S294,$C$46:$C$68,0))*1000+T294</f>
        <v>1008027</v>
      </c>
      <c r="S294" s="51" t="s">
        <v>332</v>
      </c>
      <c r="T294" s="29">
        <f t="shared" si="385"/>
        <v>27</v>
      </c>
      <c r="U294" s="25">
        <f t="array" ref="U294">INDEX(K$5:K$67,MATCH($S294,$B$5:$B$67,0))</f>
        <v>383.4</v>
      </c>
      <c r="V294" s="25">
        <f t="array" ref="V294">INDEX(L$5:L$67,MATCH($S294,$B$5:$B$67,0))</f>
        <v>140.45</v>
      </c>
      <c r="W294" s="25">
        <f t="array" ref="W294">INDEX(M$5:M$67,MATCH($S294,$B$5:$B$67,0))</f>
        <v>140.45</v>
      </c>
      <c r="X294" s="25">
        <f t="array" ref="X294">INDEX(N$5:N$67,MATCH($S294,$B$5:$B$67,0))</f>
        <v>85</v>
      </c>
      <c r="Y294" s="25">
        <f t="shared" si="466"/>
        <v>10352</v>
      </c>
      <c r="Z294" s="25">
        <f t="shared" si="467"/>
        <v>3792</v>
      </c>
      <c r="AA294" s="25">
        <f t="shared" si="468"/>
        <v>3792</v>
      </c>
      <c r="AB294" s="25">
        <f t="shared" si="469"/>
        <v>2295</v>
      </c>
      <c r="AF294" s="25">
        <v>216</v>
      </c>
      <c r="AG294" s="25">
        <f t="array" ref="AG294">INDEX($AE$79:$AE$116,QUOTIENT(AF294-1,8)+1)</f>
        <v>1038</v>
      </c>
      <c r="AH294" s="25">
        <f t="shared" si="496"/>
        <v>8</v>
      </c>
      <c r="AI294" s="25">
        <f t="shared" si="470"/>
        <v>10388</v>
      </c>
      <c r="AJ294" s="25" t="str">
        <f t="shared" si="471"/>
        <v>桑尼商队战斗员</v>
      </c>
      <c r="AK294" s="25">
        <f t="shared" si="497"/>
        <v>3</v>
      </c>
      <c r="AL294" s="25" t="str">
        <f t="array" ref="AL294">INDEX($O$5:$O$42,MATCH(AJ294,$B$5:$B$42,0))</f>
        <v>防御百分比</v>
      </c>
      <c r="AM294" s="25" t="str">
        <f t="array" ref="AM294">INDEX($P$5:$P$42,MATCH(AJ294,$B$5:$B$42,0))</f>
        <v>生命值百分比</v>
      </c>
      <c r="AN294" s="25" t="str">
        <f t="array" ref="AN294">INDEX($Q$5:$Q$42,MATCH(AJ294,$B$5:$B$42,0))</f>
        <v>技能冷却等级</v>
      </c>
      <c r="AO294" s="25" t="str">
        <f t="array" ref="AO294">INDEX(AL294:AN294,0,AK294)</f>
        <v>技能冷却等级</v>
      </c>
      <c r="AP294" s="25">
        <f t="shared" si="457"/>
        <v>0.216666666666667</v>
      </c>
      <c r="AQ294" s="25">
        <f t="shared" si="472"/>
        <v>2816.66666666667</v>
      </c>
      <c r="AR294" s="25" t="str">
        <f t="shared" ref="AR294:BZ294" si="516">IF(AR$78=$AO294,$AQ294,"0")</f>
        <v>0</v>
      </c>
      <c r="AS294" s="25" t="str">
        <f t="shared" si="516"/>
        <v>0</v>
      </c>
      <c r="AT294" s="25" t="str">
        <f t="shared" si="516"/>
        <v>0</v>
      </c>
      <c r="AU294" s="25" t="str">
        <f t="shared" si="516"/>
        <v>0</v>
      </c>
      <c r="AV294" s="25" t="str">
        <f t="shared" si="516"/>
        <v>0</v>
      </c>
      <c r="AW294" s="25" t="str">
        <f t="shared" si="516"/>
        <v>0</v>
      </c>
      <c r="AX294" s="25" t="str">
        <f t="shared" si="516"/>
        <v>0</v>
      </c>
      <c r="AY294" s="25" t="str">
        <f t="shared" si="516"/>
        <v>0</v>
      </c>
      <c r="AZ294" s="25" t="str">
        <f t="shared" si="516"/>
        <v>0</v>
      </c>
      <c r="BA294" s="25" t="str">
        <f t="shared" si="516"/>
        <v>0</v>
      </c>
      <c r="BB294" s="25" t="str">
        <f t="shared" si="516"/>
        <v>0</v>
      </c>
      <c r="BC294" s="25" t="str">
        <f t="shared" si="516"/>
        <v>0</v>
      </c>
      <c r="BD294" s="25" t="str">
        <f t="shared" si="516"/>
        <v>0</v>
      </c>
      <c r="BE294" s="25" t="str">
        <f t="shared" si="516"/>
        <v>0</v>
      </c>
      <c r="BF294" s="25" t="str">
        <f t="shared" si="516"/>
        <v>0</v>
      </c>
      <c r="BG294" s="25" t="str">
        <f t="shared" si="516"/>
        <v>0</v>
      </c>
      <c r="BH294" s="25" t="str">
        <f t="shared" si="516"/>
        <v>0</v>
      </c>
      <c r="BI294" s="25" t="str">
        <f t="shared" si="516"/>
        <v>0</v>
      </c>
      <c r="BJ294" s="25" t="str">
        <f t="shared" si="516"/>
        <v>0</v>
      </c>
      <c r="BK294" s="25" t="str">
        <f t="shared" si="516"/>
        <v>0</v>
      </c>
      <c r="BL294" s="25" t="str">
        <f t="shared" si="516"/>
        <v>0</v>
      </c>
      <c r="BM294" s="25" t="str">
        <f t="shared" si="516"/>
        <v>0</v>
      </c>
      <c r="BN294" s="25" t="str">
        <f t="shared" si="516"/>
        <v>0</v>
      </c>
      <c r="BO294" s="25" t="str">
        <f t="shared" si="516"/>
        <v>0</v>
      </c>
      <c r="BP294" s="25" t="str">
        <f t="shared" si="516"/>
        <v>0</v>
      </c>
      <c r="BQ294" s="25" t="str">
        <f t="shared" si="516"/>
        <v>0</v>
      </c>
      <c r="BR294" s="25" t="str">
        <f t="shared" si="516"/>
        <v>0</v>
      </c>
      <c r="BS294" s="25" t="str">
        <f t="shared" si="516"/>
        <v>0</v>
      </c>
      <c r="BT294" s="25" t="str">
        <f t="shared" si="516"/>
        <v>0</v>
      </c>
      <c r="BU294" s="25" t="str">
        <f t="shared" si="516"/>
        <v>0</v>
      </c>
      <c r="BV294" s="25" t="str">
        <f t="shared" si="516"/>
        <v>0</v>
      </c>
      <c r="BW294" s="25" t="str">
        <f t="shared" si="516"/>
        <v>0</v>
      </c>
      <c r="BX294" s="25" t="str">
        <f t="shared" si="516"/>
        <v>0</v>
      </c>
      <c r="BY294" s="25" t="str">
        <f t="shared" si="516"/>
        <v>0</v>
      </c>
      <c r="BZ294" s="25">
        <f t="shared" si="516"/>
        <v>2816.66666666667</v>
      </c>
    </row>
    <row r="295" spans="1:78">
      <c r="A295" s="53">
        <v>1004037</v>
      </c>
      <c r="B295" s="49" t="s">
        <v>324</v>
      </c>
      <c r="C295" s="25">
        <f t="shared" si="452"/>
        <v>37</v>
      </c>
      <c r="D295" s="25">
        <f t="array" ref="D295">INDEX(C$5:C$67,MATCH($B295,$B$5:$B$67,0))</f>
        <v>5940</v>
      </c>
      <c r="E295" s="25">
        <f t="array" ref="E295">INDEX(D$5:D$67,MATCH($B295,$B$5:$B$67,0))</f>
        <v>475.2</v>
      </c>
      <c r="F295" s="25">
        <f t="array" ref="F295">INDEX(E$5:E$67,MATCH($B295,$B$5:$B$67,0))</f>
        <v>848</v>
      </c>
      <c r="G295" s="25">
        <f t="array" ref="G295">INDEX(F$5:F$67,MATCH($B295,$B$5:$B$67,0))</f>
        <v>67.84</v>
      </c>
      <c r="H295" s="25">
        <f t="array" ref="H295">INDEX(G$5:G$66,MATCH($B295,$B$5:$B$67,0))</f>
        <v>1103</v>
      </c>
      <c r="I295" s="25">
        <f t="array" ref="I295">INDEX(H$5:H$67,MATCH($B295,$B$5:$B$67,0))</f>
        <v>88.24</v>
      </c>
      <c r="J295" s="25">
        <f t="array" ref="J295">INDEX(I$5:I$67,MATCH($B295,$B$5:$B$67,0))</f>
        <v>1045</v>
      </c>
      <c r="K295" s="25">
        <f t="array" ref="K295">INDEX(J$5:J$67,MATCH($B295,$B$5:$B$67,0))</f>
        <v>83.6</v>
      </c>
      <c r="L295" s="25">
        <f t="shared" si="462"/>
        <v>23522</v>
      </c>
      <c r="M295" s="25">
        <f t="shared" si="463"/>
        <v>3358</v>
      </c>
      <c r="N295" s="25">
        <f t="shared" si="464"/>
        <v>4368</v>
      </c>
      <c r="O295" s="25">
        <f t="shared" si="465"/>
        <v>4138</v>
      </c>
      <c r="R295" s="50">
        <f t="array" ref="R295">INDEX($B$46:$B$68,MATCH(S295,$C$46:$C$68,0))*1000+T295</f>
        <v>1009001</v>
      </c>
      <c r="S295" s="51" t="s">
        <v>905</v>
      </c>
      <c r="T295" s="29">
        <f t="shared" si="385"/>
        <v>1</v>
      </c>
      <c r="U295" s="25">
        <f t="array" ref="U295">INDEX(K$5:K$67,MATCH($S295,$B$5:$B$67,0))</f>
        <v>357.84</v>
      </c>
      <c r="V295" s="25">
        <f t="array" ref="V295">INDEX(L$5:L$67,MATCH($S295,$B$5:$B$67,0))</f>
        <v>122.88</v>
      </c>
      <c r="W295" s="25">
        <f t="array" ref="W295">INDEX(M$5:M$67,MATCH($S295,$B$5:$B$67,0))</f>
        <v>155.14</v>
      </c>
      <c r="X295" s="25">
        <f t="array" ref="X295">INDEX(N$5:N$67,MATCH($S295,$B$5:$B$67,0))</f>
        <v>84.15</v>
      </c>
      <c r="Y295" s="25">
        <f t="shared" si="466"/>
        <v>358</v>
      </c>
      <c r="Z295" s="25">
        <f t="shared" si="467"/>
        <v>123</v>
      </c>
      <c r="AA295" s="25">
        <f t="shared" si="468"/>
        <v>155</v>
      </c>
      <c r="AB295" s="25">
        <f t="shared" si="469"/>
        <v>84</v>
      </c>
      <c r="AF295" s="25">
        <v>217</v>
      </c>
      <c r="AG295" s="25">
        <f t="array" ref="AG295">INDEX($AE$79:$AE$116,QUOTIENT(AF295-1,8)+1)</f>
        <v>1039</v>
      </c>
      <c r="AH295" s="25">
        <f t="shared" si="496"/>
        <v>1</v>
      </c>
      <c r="AI295" s="25">
        <f t="shared" si="470"/>
        <v>10391</v>
      </c>
      <c r="AJ295" s="25" t="str">
        <f t="shared" si="471"/>
        <v>桑尼商队枪手</v>
      </c>
      <c r="AK295" s="25">
        <f t="shared" si="497"/>
        <v>1</v>
      </c>
      <c r="AL295" s="25" t="str">
        <f t="array" ref="AL295">INDEX($O$5:$O$42,MATCH(AJ295,$B$5:$B$42,0))</f>
        <v>攻击百分比</v>
      </c>
      <c r="AM295" s="25" t="str">
        <f t="array" ref="AM295">INDEX($P$5:$P$42,MATCH(AJ295,$B$5:$B$42,0))</f>
        <v>暴击等级</v>
      </c>
      <c r="AN295" s="25" t="str">
        <f t="array" ref="AN295">INDEX($Q$5:$Q$42,MATCH(AJ295,$B$5:$B$42,0))</f>
        <v>暴击伤害等级</v>
      </c>
      <c r="AO295" s="25" t="str">
        <f t="array" ref="AO295">INDEX(AL295:AN295,0,AK295)</f>
        <v>攻击百分比</v>
      </c>
      <c r="AP295" s="25">
        <f t="shared" si="457"/>
        <v>0.216666666666667</v>
      </c>
      <c r="AQ295" s="25">
        <f t="shared" si="472"/>
        <v>0.216666666666667</v>
      </c>
      <c r="AR295" s="25" t="str">
        <f t="shared" ref="AR295:BZ295" si="517">IF(AR$78=$AO295,$AQ295,"0")</f>
        <v>0</v>
      </c>
      <c r="AS295" s="25" t="str">
        <f t="shared" si="517"/>
        <v>0</v>
      </c>
      <c r="AT295" s="25" t="str">
        <f t="shared" si="517"/>
        <v>0</v>
      </c>
      <c r="AU295" s="25">
        <f t="shared" si="517"/>
        <v>0.216666666666667</v>
      </c>
      <c r="AV295" s="25" t="str">
        <f t="shared" si="517"/>
        <v>0</v>
      </c>
      <c r="AW295" s="25">
        <f t="shared" si="517"/>
        <v>0.216666666666667</v>
      </c>
      <c r="AX295" s="25" t="str">
        <f t="shared" si="517"/>
        <v>0</v>
      </c>
      <c r="AY295" s="25" t="str">
        <f t="shared" si="517"/>
        <v>0</v>
      </c>
      <c r="AZ295" s="25" t="str">
        <f t="shared" si="517"/>
        <v>0</v>
      </c>
      <c r="BA295" s="25" t="str">
        <f t="shared" si="517"/>
        <v>0</v>
      </c>
      <c r="BB295" s="25" t="str">
        <f t="shared" si="517"/>
        <v>0</v>
      </c>
      <c r="BC295" s="25" t="str">
        <f t="shared" si="517"/>
        <v>0</v>
      </c>
      <c r="BD295" s="25" t="str">
        <f t="shared" si="517"/>
        <v>0</v>
      </c>
      <c r="BE295" s="25" t="str">
        <f t="shared" si="517"/>
        <v>0</v>
      </c>
      <c r="BF295" s="25" t="str">
        <f t="shared" si="517"/>
        <v>0</v>
      </c>
      <c r="BG295" s="25" t="str">
        <f t="shared" si="517"/>
        <v>0</v>
      </c>
      <c r="BH295" s="25" t="str">
        <f t="shared" si="517"/>
        <v>0</v>
      </c>
      <c r="BI295" s="25" t="str">
        <f t="shared" si="517"/>
        <v>0</v>
      </c>
      <c r="BJ295" s="25" t="str">
        <f t="shared" si="517"/>
        <v>0</v>
      </c>
      <c r="BK295" s="25" t="str">
        <f t="shared" si="517"/>
        <v>0</v>
      </c>
      <c r="BL295" s="25" t="str">
        <f t="shared" si="517"/>
        <v>0</v>
      </c>
      <c r="BM295" s="25" t="str">
        <f t="shared" si="517"/>
        <v>0</v>
      </c>
      <c r="BN295" s="25" t="str">
        <f t="shared" si="517"/>
        <v>0</v>
      </c>
      <c r="BO295" s="25" t="str">
        <f t="shared" si="517"/>
        <v>0</v>
      </c>
      <c r="BP295" s="25" t="str">
        <f t="shared" si="517"/>
        <v>0</v>
      </c>
      <c r="BQ295" s="25" t="str">
        <f t="shared" si="517"/>
        <v>0</v>
      </c>
      <c r="BR295" s="25" t="str">
        <f t="shared" si="517"/>
        <v>0</v>
      </c>
      <c r="BS295" s="25" t="str">
        <f t="shared" si="517"/>
        <v>0</v>
      </c>
      <c r="BT295" s="25" t="str">
        <f t="shared" si="517"/>
        <v>0</v>
      </c>
      <c r="BU295" s="25" t="str">
        <f t="shared" si="517"/>
        <v>0</v>
      </c>
      <c r="BV295" s="25" t="str">
        <f t="shared" si="517"/>
        <v>0</v>
      </c>
      <c r="BW295" s="25" t="str">
        <f t="shared" si="517"/>
        <v>0</v>
      </c>
      <c r="BX295" s="25" t="str">
        <f t="shared" si="517"/>
        <v>0</v>
      </c>
      <c r="BY295" s="25" t="str">
        <f t="shared" si="517"/>
        <v>0</v>
      </c>
      <c r="BZ295" s="25" t="str">
        <f t="shared" si="517"/>
        <v>0</v>
      </c>
    </row>
    <row r="296" spans="1:78">
      <c r="A296" s="53">
        <v>1004038</v>
      </c>
      <c r="B296" s="49" t="s">
        <v>324</v>
      </c>
      <c r="C296" s="25">
        <f t="shared" si="452"/>
        <v>38</v>
      </c>
      <c r="D296" s="25">
        <f t="array" ref="D296">INDEX(C$5:C$67,MATCH($B296,$B$5:$B$67,0))</f>
        <v>5940</v>
      </c>
      <c r="E296" s="25">
        <f t="array" ref="E296">INDEX(D$5:D$67,MATCH($B296,$B$5:$B$67,0))</f>
        <v>475.2</v>
      </c>
      <c r="F296" s="25">
        <f t="array" ref="F296">INDEX(E$5:E$67,MATCH($B296,$B$5:$B$67,0))</f>
        <v>848</v>
      </c>
      <c r="G296" s="25">
        <f t="array" ref="G296">INDEX(F$5:F$67,MATCH($B296,$B$5:$B$67,0))</f>
        <v>67.84</v>
      </c>
      <c r="H296" s="25">
        <f t="array" ref="H296">INDEX(G$5:G$66,MATCH($B296,$B$5:$B$67,0))</f>
        <v>1103</v>
      </c>
      <c r="I296" s="25">
        <f t="array" ref="I296">INDEX(H$5:H$67,MATCH($B296,$B$5:$B$67,0))</f>
        <v>88.24</v>
      </c>
      <c r="J296" s="25">
        <f t="array" ref="J296">INDEX(I$5:I$67,MATCH($B296,$B$5:$B$67,0))</f>
        <v>1045</v>
      </c>
      <c r="K296" s="25">
        <f t="array" ref="K296">INDEX(J$5:J$67,MATCH($B296,$B$5:$B$67,0))</f>
        <v>83.6</v>
      </c>
      <c r="L296" s="25">
        <f t="shared" si="462"/>
        <v>23998</v>
      </c>
      <c r="M296" s="25">
        <f t="shared" si="463"/>
        <v>3426</v>
      </c>
      <c r="N296" s="25">
        <f t="shared" si="464"/>
        <v>4456</v>
      </c>
      <c r="O296" s="25">
        <f t="shared" si="465"/>
        <v>4222</v>
      </c>
      <c r="R296" s="50">
        <f t="array" ref="R296">INDEX($B$46:$B$68,MATCH(S296,$C$46:$C$68,0))*1000+T296</f>
        <v>1009002</v>
      </c>
      <c r="S296" s="51" t="s">
        <v>905</v>
      </c>
      <c r="T296" s="29">
        <f t="shared" si="385"/>
        <v>2</v>
      </c>
      <c r="U296" s="25">
        <f t="array" ref="U296">INDEX(K$5:K$67,MATCH($S296,$B$5:$B$67,0))</f>
        <v>357.84</v>
      </c>
      <c r="V296" s="25">
        <f t="array" ref="V296">INDEX(L$5:L$67,MATCH($S296,$B$5:$B$67,0))</f>
        <v>122.88</v>
      </c>
      <c r="W296" s="25">
        <f t="array" ref="W296">INDEX(M$5:M$67,MATCH($S296,$B$5:$B$67,0))</f>
        <v>155.14</v>
      </c>
      <c r="X296" s="25">
        <f t="array" ref="X296">INDEX(N$5:N$67,MATCH($S296,$B$5:$B$67,0))</f>
        <v>84.15</v>
      </c>
      <c r="Y296" s="25">
        <f t="shared" si="466"/>
        <v>716</v>
      </c>
      <c r="Z296" s="25">
        <f t="shared" si="467"/>
        <v>246</v>
      </c>
      <c r="AA296" s="25">
        <f t="shared" si="468"/>
        <v>310</v>
      </c>
      <c r="AB296" s="25">
        <f t="shared" si="469"/>
        <v>168</v>
      </c>
      <c r="AF296" s="25">
        <v>218</v>
      </c>
      <c r="AG296" s="25">
        <f t="array" ref="AG296">INDEX($AE$79:$AE$116,QUOTIENT(AF296-1,8)+1)</f>
        <v>1039</v>
      </c>
      <c r="AH296" s="25">
        <f t="shared" si="496"/>
        <v>2</v>
      </c>
      <c r="AI296" s="25">
        <f t="shared" si="470"/>
        <v>10392</v>
      </c>
      <c r="AJ296" s="25" t="str">
        <f t="shared" si="471"/>
        <v>桑尼商队枪手</v>
      </c>
      <c r="AK296" s="25">
        <f t="shared" si="497"/>
        <v>2</v>
      </c>
      <c r="AL296" s="25" t="str">
        <f t="array" ref="AL296">INDEX($O$5:$O$42,MATCH(AJ296,$B$5:$B$42,0))</f>
        <v>攻击百分比</v>
      </c>
      <c r="AM296" s="25" t="str">
        <f t="array" ref="AM296">INDEX($P$5:$P$42,MATCH(AJ296,$B$5:$B$42,0))</f>
        <v>暴击等级</v>
      </c>
      <c r="AN296" s="25" t="str">
        <f t="array" ref="AN296">INDEX($Q$5:$Q$42,MATCH(AJ296,$B$5:$B$42,0))</f>
        <v>暴击伤害等级</v>
      </c>
      <c r="AO296" s="25" t="str">
        <f t="array" ref="AO296">INDEX(AL296:AN296,0,AK296)</f>
        <v>暴击等级</v>
      </c>
      <c r="AP296" s="25">
        <f t="shared" si="457"/>
        <v>0.15</v>
      </c>
      <c r="AQ296" s="25">
        <f t="shared" si="472"/>
        <v>1350</v>
      </c>
      <c r="AR296" s="25" t="str">
        <f t="shared" ref="AR296:BZ296" si="518">IF(AR$78=$AO296,$AQ296,"0")</f>
        <v>0</v>
      </c>
      <c r="AS296" s="25" t="str">
        <f t="shared" si="518"/>
        <v>0</v>
      </c>
      <c r="AT296" s="25" t="str">
        <f t="shared" si="518"/>
        <v>0</v>
      </c>
      <c r="AU296" s="25" t="str">
        <f t="shared" si="518"/>
        <v>0</v>
      </c>
      <c r="AV296" s="25" t="str">
        <f t="shared" si="518"/>
        <v>0</v>
      </c>
      <c r="AW296" s="25" t="str">
        <f t="shared" si="518"/>
        <v>0</v>
      </c>
      <c r="AX296" s="25" t="str">
        <f t="shared" si="518"/>
        <v>0</v>
      </c>
      <c r="AY296" s="25" t="str">
        <f t="shared" si="518"/>
        <v>0</v>
      </c>
      <c r="AZ296" s="25" t="str">
        <f t="shared" si="518"/>
        <v>0</v>
      </c>
      <c r="BA296" s="25" t="str">
        <f t="shared" si="518"/>
        <v>0</v>
      </c>
      <c r="BB296" s="25" t="str">
        <f t="shared" si="518"/>
        <v>0</v>
      </c>
      <c r="BC296" s="25" t="str">
        <f t="shared" si="518"/>
        <v>0</v>
      </c>
      <c r="BD296" s="25" t="str">
        <f t="shared" si="518"/>
        <v>0</v>
      </c>
      <c r="BE296" s="25" t="str">
        <f t="shared" si="518"/>
        <v>0</v>
      </c>
      <c r="BF296" s="25" t="str">
        <f t="shared" si="518"/>
        <v>0</v>
      </c>
      <c r="BG296" s="25" t="str">
        <f t="shared" si="518"/>
        <v>0</v>
      </c>
      <c r="BH296" s="25" t="str">
        <f t="shared" si="518"/>
        <v>0</v>
      </c>
      <c r="BI296" s="25" t="str">
        <f t="shared" si="518"/>
        <v>0</v>
      </c>
      <c r="BJ296" s="25" t="str">
        <f t="shared" si="518"/>
        <v>0</v>
      </c>
      <c r="BK296" s="25" t="str">
        <f t="shared" si="518"/>
        <v>0</v>
      </c>
      <c r="BL296" s="25" t="str">
        <f t="shared" si="518"/>
        <v>0</v>
      </c>
      <c r="BM296" s="25" t="str">
        <f t="shared" si="518"/>
        <v>0</v>
      </c>
      <c r="BN296" s="25" t="str">
        <f t="shared" si="518"/>
        <v>0</v>
      </c>
      <c r="BO296" s="25" t="str">
        <f t="shared" si="518"/>
        <v>0</v>
      </c>
      <c r="BP296" s="25" t="str">
        <f t="shared" si="518"/>
        <v>0</v>
      </c>
      <c r="BQ296" s="25" t="str">
        <f t="shared" si="518"/>
        <v>0</v>
      </c>
      <c r="BR296" s="25" t="str">
        <f t="shared" si="518"/>
        <v>0</v>
      </c>
      <c r="BS296" s="25" t="str">
        <f t="shared" si="518"/>
        <v>0</v>
      </c>
      <c r="BT296" s="25" t="str">
        <f t="shared" si="518"/>
        <v>0</v>
      </c>
      <c r="BU296" s="25" t="str">
        <f t="shared" si="518"/>
        <v>0</v>
      </c>
      <c r="BV296" s="25" t="str">
        <f t="shared" si="518"/>
        <v>0</v>
      </c>
      <c r="BW296" s="25">
        <f t="shared" si="518"/>
        <v>1350</v>
      </c>
      <c r="BX296" s="25" t="str">
        <f t="shared" si="518"/>
        <v>0</v>
      </c>
      <c r="BY296" s="25" t="str">
        <f t="shared" si="518"/>
        <v>0</v>
      </c>
      <c r="BZ296" s="25" t="str">
        <f t="shared" si="518"/>
        <v>0</v>
      </c>
    </row>
    <row r="297" spans="1:78">
      <c r="A297" s="53">
        <v>1004039</v>
      </c>
      <c r="B297" s="49" t="s">
        <v>324</v>
      </c>
      <c r="C297" s="25">
        <f t="shared" si="452"/>
        <v>39</v>
      </c>
      <c r="D297" s="25">
        <f t="array" ref="D297">INDEX(C$5:C$67,MATCH($B297,$B$5:$B$67,0))</f>
        <v>5940</v>
      </c>
      <c r="E297" s="25">
        <f t="array" ref="E297">INDEX(D$5:D$67,MATCH($B297,$B$5:$B$67,0))</f>
        <v>475.2</v>
      </c>
      <c r="F297" s="25">
        <f t="array" ref="F297">INDEX(E$5:E$67,MATCH($B297,$B$5:$B$67,0))</f>
        <v>848</v>
      </c>
      <c r="G297" s="25">
        <f t="array" ref="G297">INDEX(F$5:F$67,MATCH($B297,$B$5:$B$67,0))</f>
        <v>67.84</v>
      </c>
      <c r="H297" s="25">
        <f t="array" ref="H297">INDEX(G$5:G$66,MATCH($B297,$B$5:$B$67,0))</f>
        <v>1103</v>
      </c>
      <c r="I297" s="25">
        <f t="array" ref="I297">INDEX(H$5:H$67,MATCH($B297,$B$5:$B$67,0))</f>
        <v>88.24</v>
      </c>
      <c r="J297" s="25">
        <f t="array" ref="J297">INDEX(I$5:I$67,MATCH($B297,$B$5:$B$67,0))</f>
        <v>1045</v>
      </c>
      <c r="K297" s="25">
        <f t="array" ref="K297">INDEX(J$5:J$67,MATCH($B297,$B$5:$B$67,0))</f>
        <v>83.6</v>
      </c>
      <c r="L297" s="25">
        <f t="shared" si="462"/>
        <v>24473</v>
      </c>
      <c r="M297" s="25">
        <f t="shared" si="463"/>
        <v>3494</v>
      </c>
      <c r="N297" s="25">
        <f t="shared" si="464"/>
        <v>4544</v>
      </c>
      <c r="O297" s="25">
        <f t="shared" si="465"/>
        <v>4305</v>
      </c>
      <c r="R297" s="50">
        <f t="array" ref="R297">INDEX($B$46:$B$68,MATCH(S297,$C$46:$C$68,0))*1000+T297</f>
        <v>1009003</v>
      </c>
      <c r="S297" s="51" t="s">
        <v>905</v>
      </c>
      <c r="T297" s="29">
        <f t="shared" si="385"/>
        <v>3</v>
      </c>
      <c r="U297" s="25">
        <f t="array" ref="U297">INDEX(K$5:K$67,MATCH($S297,$B$5:$B$67,0))</f>
        <v>357.84</v>
      </c>
      <c r="V297" s="25">
        <f t="array" ref="V297">INDEX(L$5:L$67,MATCH($S297,$B$5:$B$67,0))</f>
        <v>122.88</v>
      </c>
      <c r="W297" s="25">
        <f t="array" ref="W297">INDEX(M$5:M$67,MATCH($S297,$B$5:$B$67,0))</f>
        <v>155.14</v>
      </c>
      <c r="X297" s="25">
        <f t="array" ref="X297">INDEX(N$5:N$67,MATCH($S297,$B$5:$B$67,0))</f>
        <v>84.15</v>
      </c>
      <c r="Y297" s="25">
        <f t="shared" si="466"/>
        <v>1074</v>
      </c>
      <c r="Z297" s="25">
        <f t="shared" si="467"/>
        <v>369</v>
      </c>
      <c r="AA297" s="25">
        <f t="shared" si="468"/>
        <v>465</v>
      </c>
      <c r="AB297" s="25">
        <f t="shared" si="469"/>
        <v>252</v>
      </c>
      <c r="AF297" s="25">
        <v>219</v>
      </c>
      <c r="AG297" s="25">
        <f t="array" ref="AG297">INDEX($AE$79:$AE$116,QUOTIENT(AF297-1,8)+1)</f>
        <v>1039</v>
      </c>
      <c r="AH297" s="25">
        <f t="shared" si="496"/>
        <v>3</v>
      </c>
      <c r="AI297" s="25">
        <f t="shared" si="470"/>
        <v>10393</v>
      </c>
      <c r="AJ297" s="25" t="str">
        <f t="shared" si="471"/>
        <v>桑尼商队枪手</v>
      </c>
      <c r="AK297" s="25">
        <f t="shared" si="497"/>
        <v>3</v>
      </c>
      <c r="AL297" s="25" t="str">
        <f t="array" ref="AL297">INDEX($O$5:$O$42,MATCH(AJ297,$B$5:$B$42,0))</f>
        <v>攻击百分比</v>
      </c>
      <c r="AM297" s="25" t="str">
        <f t="array" ref="AM297">INDEX($P$5:$P$42,MATCH(AJ297,$B$5:$B$42,0))</f>
        <v>暴击等级</v>
      </c>
      <c r="AN297" s="25" t="str">
        <f t="array" ref="AN297">INDEX($Q$5:$Q$42,MATCH(AJ297,$B$5:$B$42,0))</f>
        <v>暴击伤害等级</v>
      </c>
      <c r="AO297" s="25" t="str">
        <f t="array" ref="AO297">INDEX(AL297:AN297,0,AK297)</f>
        <v>暴击伤害等级</v>
      </c>
      <c r="AP297" s="25">
        <f t="shared" si="457"/>
        <v>0.216666666666667</v>
      </c>
      <c r="AQ297" s="25">
        <f t="shared" si="472"/>
        <v>2383.33333333333</v>
      </c>
      <c r="AR297" s="25" t="str">
        <f t="shared" ref="AR297:BZ297" si="519">IF(AR$78=$AO297,$AQ297,"0")</f>
        <v>0</v>
      </c>
      <c r="AS297" s="25" t="str">
        <f t="shared" si="519"/>
        <v>0</v>
      </c>
      <c r="AT297" s="25" t="str">
        <f t="shared" si="519"/>
        <v>0</v>
      </c>
      <c r="AU297" s="25" t="str">
        <f t="shared" si="519"/>
        <v>0</v>
      </c>
      <c r="AV297" s="25" t="str">
        <f t="shared" si="519"/>
        <v>0</v>
      </c>
      <c r="AW297" s="25" t="str">
        <f t="shared" si="519"/>
        <v>0</v>
      </c>
      <c r="AX297" s="25" t="str">
        <f t="shared" si="519"/>
        <v>0</v>
      </c>
      <c r="AY297" s="25" t="str">
        <f t="shared" si="519"/>
        <v>0</v>
      </c>
      <c r="AZ297" s="25" t="str">
        <f t="shared" si="519"/>
        <v>0</v>
      </c>
      <c r="BA297" s="25" t="str">
        <f t="shared" si="519"/>
        <v>0</v>
      </c>
      <c r="BB297" s="25" t="str">
        <f t="shared" si="519"/>
        <v>0</v>
      </c>
      <c r="BC297" s="25" t="str">
        <f t="shared" si="519"/>
        <v>0</v>
      </c>
      <c r="BD297" s="25" t="str">
        <f t="shared" si="519"/>
        <v>0</v>
      </c>
      <c r="BE297" s="25" t="str">
        <f t="shared" si="519"/>
        <v>0</v>
      </c>
      <c r="BF297" s="25" t="str">
        <f t="shared" si="519"/>
        <v>0</v>
      </c>
      <c r="BG297" s="25" t="str">
        <f t="shared" si="519"/>
        <v>0</v>
      </c>
      <c r="BH297" s="25" t="str">
        <f t="shared" si="519"/>
        <v>0</v>
      </c>
      <c r="BI297" s="25" t="str">
        <f t="shared" si="519"/>
        <v>0</v>
      </c>
      <c r="BJ297" s="25" t="str">
        <f t="shared" si="519"/>
        <v>0</v>
      </c>
      <c r="BK297" s="25" t="str">
        <f t="shared" si="519"/>
        <v>0</v>
      </c>
      <c r="BL297" s="25" t="str">
        <f t="shared" si="519"/>
        <v>0</v>
      </c>
      <c r="BM297" s="25" t="str">
        <f t="shared" si="519"/>
        <v>0</v>
      </c>
      <c r="BN297" s="25" t="str">
        <f t="shared" si="519"/>
        <v>0</v>
      </c>
      <c r="BO297" s="25" t="str">
        <f t="shared" si="519"/>
        <v>0</v>
      </c>
      <c r="BP297" s="25" t="str">
        <f t="shared" si="519"/>
        <v>0</v>
      </c>
      <c r="BQ297" s="25" t="str">
        <f t="shared" si="519"/>
        <v>0</v>
      </c>
      <c r="BR297" s="25" t="str">
        <f t="shared" si="519"/>
        <v>0</v>
      </c>
      <c r="BS297" s="25" t="str">
        <f t="shared" si="519"/>
        <v>0</v>
      </c>
      <c r="BT297" s="25" t="str">
        <f t="shared" si="519"/>
        <v>0</v>
      </c>
      <c r="BU297" s="25" t="str">
        <f t="shared" si="519"/>
        <v>0</v>
      </c>
      <c r="BV297" s="25" t="str">
        <f t="shared" si="519"/>
        <v>0</v>
      </c>
      <c r="BW297" s="25" t="str">
        <f t="shared" si="519"/>
        <v>0</v>
      </c>
      <c r="BX297" s="25">
        <f t="shared" si="519"/>
        <v>2383.33333333333</v>
      </c>
      <c r="BY297" s="25" t="str">
        <f t="shared" si="519"/>
        <v>0</v>
      </c>
      <c r="BZ297" s="25" t="str">
        <f t="shared" si="519"/>
        <v>0</v>
      </c>
    </row>
    <row r="298" spans="1:78">
      <c r="A298" s="53">
        <v>1004040</v>
      </c>
      <c r="B298" s="49" t="s">
        <v>324</v>
      </c>
      <c r="C298" s="25">
        <f t="shared" si="452"/>
        <v>40</v>
      </c>
      <c r="D298" s="25">
        <f t="array" ref="D298">INDEX(C$5:C$67,MATCH($B298,$B$5:$B$67,0))</f>
        <v>5940</v>
      </c>
      <c r="E298" s="25">
        <f t="array" ref="E298">INDEX(D$5:D$67,MATCH($B298,$B$5:$B$67,0))</f>
        <v>475.2</v>
      </c>
      <c r="F298" s="25">
        <f t="array" ref="F298">INDEX(E$5:E$67,MATCH($B298,$B$5:$B$67,0))</f>
        <v>848</v>
      </c>
      <c r="G298" s="25">
        <f t="array" ref="G298">INDEX(F$5:F$67,MATCH($B298,$B$5:$B$67,0))</f>
        <v>67.84</v>
      </c>
      <c r="H298" s="25">
        <f t="array" ref="H298">INDEX(G$5:G$66,MATCH($B298,$B$5:$B$67,0))</f>
        <v>1103</v>
      </c>
      <c r="I298" s="25">
        <f t="array" ref="I298">INDEX(H$5:H$67,MATCH($B298,$B$5:$B$67,0))</f>
        <v>88.24</v>
      </c>
      <c r="J298" s="25">
        <f t="array" ref="J298">INDEX(I$5:I$67,MATCH($B298,$B$5:$B$67,0))</f>
        <v>1045</v>
      </c>
      <c r="K298" s="25">
        <f t="array" ref="K298">INDEX(J$5:J$67,MATCH($B298,$B$5:$B$67,0))</f>
        <v>83.6</v>
      </c>
      <c r="L298" s="25">
        <f t="shared" si="462"/>
        <v>24948</v>
      </c>
      <c r="M298" s="25">
        <f t="shared" si="463"/>
        <v>3562</v>
      </c>
      <c r="N298" s="25">
        <f t="shared" si="464"/>
        <v>4633</v>
      </c>
      <c r="O298" s="25">
        <f t="shared" si="465"/>
        <v>4389</v>
      </c>
      <c r="R298" s="50">
        <f t="array" ref="R298">INDEX($B$46:$B$68,MATCH(S298,$C$46:$C$68,0))*1000+T298</f>
        <v>1009004</v>
      </c>
      <c r="S298" s="51" t="s">
        <v>905</v>
      </c>
      <c r="T298" s="29">
        <f t="shared" ref="T298:T361" si="520">T271</f>
        <v>4</v>
      </c>
      <c r="U298" s="25">
        <f t="array" ref="U298">INDEX(K$5:K$67,MATCH($S298,$B$5:$B$67,0))</f>
        <v>357.84</v>
      </c>
      <c r="V298" s="25">
        <f t="array" ref="V298">INDEX(L$5:L$67,MATCH($S298,$B$5:$B$67,0))</f>
        <v>122.88</v>
      </c>
      <c r="W298" s="25">
        <f t="array" ref="W298">INDEX(M$5:M$67,MATCH($S298,$B$5:$B$67,0))</f>
        <v>155.14</v>
      </c>
      <c r="X298" s="25">
        <f t="array" ref="X298">INDEX(N$5:N$67,MATCH($S298,$B$5:$B$67,0))</f>
        <v>84.15</v>
      </c>
      <c r="Y298" s="25">
        <f t="shared" si="466"/>
        <v>1431</v>
      </c>
      <c r="Z298" s="25">
        <f t="shared" si="467"/>
        <v>492</v>
      </c>
      <c r="AA298" s="25">
        <f t="shared" si="468"/>
        <v>621</v>
      </c>
      <c r="AB298" s="25">
        <f t="shared" si="469"/>
        <v>337</v>
      </c>
      <c r="AF298" s="25">
        <v>220</v>
      </c>
      <c r="AG298" s="25">
        <f t="array" ref="AG298">INDEX($AE$79:$AE$116,QUOTIENT(AF298-1,8)+1)</f>
        <v>1039</v>
      </c>
      <c r="AH298" s="25">
        <f t="shared" si="496"/>
        <v>4</v>
      </c>
      <c r="AI298" s="25">
        <f t="shared" si="470"/>
        <v>10394</v>
      </c>
      <c r="AJ298" s="25" t="str">
        <f t="shared" si="471"/>
        <v>桑尼商队枪手</v>
      </c>
      <c r="AK298" s="25">
        <f t="shared" si="497"/>
        <v>2</v>
      </c>
      <c r="AL298" s="25" t="str">
        <f t="array" ref="AL298">INDEX($O$5:$O$42,MATCH(AJ298,$B$5:$B$42,0))</f>
        <v>攻击百分比</v>
      </c>
      <c r="AM298" s="25" t="str">
        <f t="array" ref="AM298">INDEX($P$5:$P$42,MATCH(AJ298,$B$5:$B$42,0))</f>
        <v>暴击等级</v>
      </c>
      <c r="AN298" s="25" t="str">
        <f t="array" ref="AN298">INDEX($Q$5:$Q$42,MATCH(AJ298,$B$5:$B$42,0))</f>
        <v>暴击伤害等级</v>
      </c>
      <c r="AO298" s="25" t="str">
        <f t="array" ref="AO298">INDEX(AL298:AN298,0,AK298)</f>
        <v>暴击等级</v>
      </c>
      <c r="AP298" s="25">
        <f t="shared" si="457"/>
        <v>0.15</v>
      </c>
      <c r="AQ298" s="25">
        <f t="shared" si="472"/>
        <v>1350</v>
      </c>
      <c r="AR298" s="25" t="str">
        <f t="shared" ref="AR298:BZ298" si="521">IF(AR$78=$AO298,$AQ298,"0")</f>
        <v>0</v>
      </c>
      <c r="AS298" s="25" t="str">
        <f t="shared" si="521"/>
        <v>0</v>
      </c>
      <c r="AT298" s="25" t="str">
        <f t="shared" si="521"/>
        <v>0</v>
      </c>
      <c r="AU298" s="25" t="str">
        <f t="shared" si="521"/>
        <v>0</v>
      </c>
      <c r="AV298" s="25" t="str">
        <f t="shared" si="521"/>
        <v>0</v>
      </c>
      <c r="AW298" s="25" t="str">
        <f t="shared" si="521"/>
        <v>0</v>
      </c>
      <c r="AX298" s="25" t="str">
        <f t="shared" si="521"/>
        <v>0</v>
      </c>
      <c r="AY298" s="25" t="str">
        <f t="shared" si="521"/>
        <v>0</v>
      </c>
      <c r="AZ298" s="25" t="str">
        <f t="shared" si="521"/>
        <v>0</v>
      </c>
      <c r="BA298" s="25" t="str">
        <f t="shared" si="521"/>
        <v>0</v>
      </c>
      <c r="BB298" s="25" t="str">
        <f t="shared" si="521"/>
        <v>0</v>
      </c>
      <c r="BC298" s="25" t="str">
        <f t="shared" si="521"/>
        <v>0</v>
      </c>
      <c r="BD298" s="25" t="str">
        <f t="shared" si="521"/>
        <v>0</v>
      </c>
      <c r="BE298" s="25" t="str">
        <f t="shared" si="521"/>
        <v>0</v>
      </c>
      <c r="BF298" s="25" t="str">
        <f t="shared" si="521"/>
        <v>0</v>
      </c>
      <c r="BG298" s="25" t="str">
        <f t="shared" si="521"/>
        <v>0</v>
      </c>
      <c r="BH298" s="25" t="str">
        <f t="shared" si="521"/>
        <v>0</v>
      </c>
      <c r="BI298" s="25" t="str">
        <f t="shared" si="521"/>
        <v>0</v>
      </c>
      <c r="BJ298" s="25" t="str">
        <f t="shared" si="521"/>
        <v>0</v>
      </c>
      <c r="BK298" s="25" t="str">
        <f t="shared" si="521"/>
        <v>0</v>
      </c>
      <c r="BL298" s="25" t="str">
        <f t="shared" si="521"/>
        <v>0</v>
      </c>
      <c r="BM298" s="25" t="str">
        <f t="shared" si="521"/>
        <v>0</v>
      </c>
      <c r="BN298" s="25" t="str">
        <f t="shared" si="521"/>
        <v>0</v>
      </c>
      <c r="BO298" s="25" t="str">
        <f t="shared" si="521"/>
        <v>0</v>
      </c>
      <c r="BP298" s="25" t="str">
        <f t="shared" si="521"/>
        <v>0</v>
      </c>
      <c r="BQ298" s="25" t="str">
        <f t="shared" si="521"/>
        <v>0</v>
      </c>
      <c r="BR298" s="25" t="str">
        <f t="shared" si="521"/>
        <v>0</v>
      </c>
      <c r="BS298" s="25" t="str">
        <f t="shared" si="521"/>
        <v>0</v>
      </c>
      <c r="BT298" s="25" t="str">
        <f t="shared" si="521"/>
        <v>0</v>
      </c>
      <c r="BU298" s="25" t="str">
        <f t="shared" si="521"/>
        <v>0</v>
      </c>
      <c r="BV298" s="25" t="str">
        <f t="shared" si="521"/>
        <v>0</v>
      </c>
      <c r="BW298" s="25">
        <f t="shared" si="521"/>
        <v>1350</v>
      </c>
      <c r="BX298" s="25" t="str">
        <f t="shared" si="521"/>
        <v>0</v>
      </c>
      <c r="BY298" s="25" t="str">
        <f t="shared" si="521"/>
        <v>0</v>
      </c>
      <c r="BZ298" s="25" t="str">
        <f t="shared" si="521"/>
        <v>0</v>
      </c>
    </row>
    <row r="299" spans="1:78">
      <c r="A299" s="53">
        <v>1004041</v>
      </c>
      <c r="B299" s="49" t="s">
        <v>324</v>
      </c>
      <c r="C299" s="25">
        <f t="shared" si="452"/>
        <v>41</v>
      </c>
      <c r="D299" s="25">
        <f t="array" ref="D299">INDEX(C$5:C$67,MATCH($B299,$B$5:$B$67,0))</f>
        <v>5940</v>
      </c>
      <c r="E299" s="25">
        <f t="array" ref="E299">INDEX(D$5:D$67,MATCH($B299,$B$5:$B$67,0))</f>
        <v>475.2</v>
      </c>
      <c r="F299" s="25">
        <f t="array" ref="F299">INDEX(E$5:E$67,MATCH($B299,$B$5:$B$67,0))</f>
        <v>848</v>
      </c>
      <c r="G299" s="25">
        <f t="array" ref="G299">INDEX(F$5:F$67,MATCH($B299,$B$5:$B$67,0))</f>
        <v>67.84</v>
      </c>
      <c r="H299" s="25">
        <f t="array" ref="H299">INDEX(G$5:G$66,MATCH($B299,$B$5:$B$67,0))</f>
        <v>1103</v>
      </c>
      <c r="I299" s="25">
        <f t="array" ref="I299">INDEX(H$5:H$67,MATCH($B299,$B$5:$B$67,0))</f>
        <v>88.24</v>
      </c>
      <c r="J299" s="25">
        <f t="array" ref="J299">INDEX(I$5:I$67,MATCH($B299,$B$5:$B$67,0))</f>
        <v>1045</v>
      </c>
      <c r="K299" s="25">
        <f t="array" ref="K299">INDEX(J$5:J$67,MATCH($B299,$B$5:$B$67,0))</f>
        <v>83.6</v>
      </c>
      <c r="L299" s="25">
        <f t="shared" si="462"/>
        <v>25423</v>
      </c>
      <c r="M299" s="25">
        <f t="shared" si="463"/>
        <v>3629</v>
      </c>
      <c r="N299" s="25">
        <f t="shared" si="464"/>
        <v>4721</v>
      </c>
      <c r="O299" s="25">
        <f t="shared" si="465"/>
        <v>4473</v>
      </c>
      <c r="R299" s="50">
        <f t="array" ref="R299">INDEX($B$46:$B$68,MATCH(S299,$C$46:$C$68,0))*1000+T299</f>
        <v>1009005</v>
      </c>
      <c r="S299" s="51" t="s">
        <v>905</v>
      </c>
      <c r="T299" s="29">
        <f t="shared" si="520"/>
        <v>5</v>
      </c>
      <c r="U299" s="25">
        <f t="array" ref="U299">INDEX(K$5:K$67,MATCH($S299,$B$5:$B$67,0))</f>
        <v>357.84</v>
      </c>
      <c r="V299" s="25">
        <f t="array" ref="V299">INDEX(L$5:L$67,MATCH($S299,$B$5:$B$67,0))</f>
        <v>122.88</v>
      </c>
      <c r="W299" s="25">
        <f t="array" ref="W299">INDEX(M$5:M$67,MATCH($S299,$B$5:$B$67,0))</f>
        <v>155.14</v>
      </c>
      <c r="X299" s="25">
        <f t="array" ref="X299">INDEX(N$5:N$67,MATCH($S299,$B$5:$B$67,0))</f>
        <v>84.15</v>
      </c>
      <c r="Y299" s="25">
        <f t="shared" si="466"/>
        <v>1789</v>
      </c>
      <c r="Z299" s="25">
        <f t="shared" si="467"/>
        <v>614</v>
      </c>
      <c r="AA299" s="25">
        <f t="shared" si="468"/>
        <v>776</v>
      </c>
      <c r="AB299" s="25">
        <f t="shared" si="469"/>
        <v>421</v>
      </c>
      <c r="AF299" s="25">
        <v>221</v>
      </c>
      <c r="AG299" s="25">
        <f t="array" ref="AG299">INDEX($AE$79:$AE$116,QUOTIENT(AF299-1,8)+1)</f>
        <v>1039</v>
      </c>
      <c r="AH299" s="25">
        <f t="shared" si="496"/>
        <v>5</v>
      </c>
      <c r="AI299" s="25">
        <f t="shared" si="470"/>
        <v>10395</v>
      </c>
      <c r="AJ299" s="25" t="str">
        <f t="shared" si="471"/>
        <v>桑尼商队枪手</v>
      </c>
      <c r="AK299" s="25">
        <f t="shared" si="497"/>
        <v>3</v>
      </c>
      <c r="AL299" s="25" t="str">
        <f t="array" ref="AL299">INDEX($O$5:$O$42,MATCH(AJ299,$B$5:$B$42,0))</f>
        <v>攻击百分比</v>
      </c>
      <c r="AM299" s="25" t="str">
        <f t="array" ref="AM299">INDEX($P$5:$P$42,MATCH(AJ299,$B$5:$B$42,0))</f>
        <v>暴击等级</v>
      </c>
      <c r="AN299" s="25" t="str">
        <f t="array" ref="AN299">INDEX($Q$5:$Q$42,MATCH(AJ299,$B$5:$B$42,0))</f>
        <v>暴击伤害等级</v>
      </c>
      <c r="AO299" s="25" t="str">
        <f t="array" ref="AO299">INDEX(AL299:AN299,0,AK299)</f>
        <v>暴击伤害等级</v>
      </c>
      <c r="AP299" s="25">
        <f t="shared" si="457"/>
        <v>0.216666666666667</v>
      </c>
      <c r="AQ299" s="25">
        <f t="shared" si="472"/>
        <v>2383.33333333333</v>
      </c>
      <c r="AR299" s="25" t="str">
        <f t="shared" ref="AR299:BZ299" si="522">IF(AR$78=$AO299,$AQ299,"0")</f>
        <v>0</v>
      </c>
      <c r="AS299" s="25" t="str">
        <f t="shared" si="522"/>
        <v>0</v>
      </c>
      <c r="AT299" s="25" t="str">
        <f t="shared" si="522"/>
        <v>0</v>
      </c>
      <c r="AU299" s="25" t="str">
        <f t="shared" si="522"/>
        <v>0</v>
      </c>
      <c r="AV299" s="25" t="str">
        <f t="shared" si="522"/>
        <v>0</v>
      </c>
      <c r="AW299" s="25" t="str">
        <f t="shared" si="522"/>
        <v>0</v>
      </c>
      <c r="AX299" s="25" t="str">
        <f t="shared" si="522"/>
        <v>0</v>
      </c>
      <c r="AY299" s="25" t="str">
        <f t="shared" si="522"/>
        <v>0</v>
      </c>
      <c r="AZ299" s="25" t="str">
        <f t="shared" si="522"/>
        <v>0</v>
      </c>
      <c r="BA299" s="25" t="str">
        <f t="shared" si="522"/>
        <v>0</v>
      </c>
      <c r="BB299" s="25" t="str">
        <f t="shared" si="522"/>
        <v>0</v>
      </c>
      <c r="BC299" s="25" t="str">
        <f t="shared" si="522"/>
        <v>0</v>
      </c>
      <c r="BD299" s="25" t="str">
        <f t="shared" si="522"/>
        <v>0</v>
      </c>
      <c r="BE299" s="25" t="str">
        <f t="shared" si="522"/>
        <v>0</v>
      </c>
      <c r="BF299" s="25" t="str">
        <f t="shared" si="522"/>
        <v>0</v>
      </c>
      <c r="BG299" s="25" t="str">
        <f t="shared" si="522"/>
        <v>0</v>
      </c>
      <c r="BH299" s="25" t="str">
        <f t="shared" si="522"/>
        <v>0</v>
      </c>
      <c r="BI299" s="25" t="str">
        <f t="shared" si="522"/>
        <v>0</v>
      </c>
      <c r="BJ299" s="25" t="str">
        <f t="shared" si="522"/>
        <v>0</v>
      </c>
      <c r="BK299" s="25" t="str">
        <f t="shared" si="522"/>
        <v>0</v>
      </c>
      <c r="BL299" s="25" t="str">
        <f t="shared" si="522"/>
        <v>0</v>
      </c>
      <c r="BM299" s="25" t="str">
        <f t="shared" si="522"/>
        <v>0</v>
      </c>
      <c r="BN299" s="25" t="str">
        <f t="shared" si="522"/>
        <v>0</v>
      </c>
      <c r="BO299" s="25" t="str">
        <f t="shared" si="522"/>
        <v>0</v>
      </c>
      <c r="BP299" s="25" t="str">
        <f t="shared" si="522"/>
        <v>0</v>
      </c>
      <c r="BQ299" s="25" t="str">
        <f t="shared" si="522"/>
        <v>0</v>
      </c>
      <c r="BR299" s="25" t="str">
        <f t="shared" si="522"/>
        <v>0</v>
      </c>
      <c r="BS299" s="25" t="str">
        <f t="shared" si="522"/>
        <v>0</v>
      </c>
      <c r="BT299" s="25" t="str">
        <f t="shared" si="522"/>
        <v>0</v>
      </c>
      <c r="BU299" s="25" t="str">
        <f t="shared" si="522"/>
        <v>0</v>
      </c>
      <c r="BV299" s="25" t="str">
        <f t="shared" si="522"/>
        <v>0</v>
      </c>
      <c r="BW299" s="25" t="str">
        <f t="shared" si="522"/>
        <v>0</v>
      </c>
      <c r="BX299" s="25">
        <f t="shared" si="522"/>
        <v>2383.33333333333</v>
      </c>
      <c r="BY299" s="25" t="str">
        <f t="shared" si="522"/>
        <v>0</v>
      </c>
      <c r="BZ299" s="25" t="str">
        <f t="shared" si="522"/>
        <v>0</v>
      </c>
    </row>
    <row r="300" spans="1:78">
      <c r="A300" s="53">
        <v>1004042</v>
      </c>
      <c r="B300" s="49" t="s">
        <v>324</v>
      </c>
      <c r="C300" s="25">
        <f t="shared" si="452"/>
        <v>42</v>
      </c>
      <c r="D300" s="25">
        <f t="array" ref="D300">INDEX(C$5:C$67,MATCH($B300,$B$5:$B$67,0))</f>
        <v>5940</v>
      </c>
      <c r="E300" s="25">
        <f t="array" ref="E300">INDEX(D$5:D$67,MATCH($B300,$B$5:$B$67,0))</f>
        <v>475.2</v>
      </c>
      <c r="F300" s="25">
        <f t="array" ref="F300">INDEX(E$5:E$67,MATCH($B300,$B$5:$B$67,0))</f>
        <v>848</v>
      </c>
      <c r="G300" s="25">
        <f t="array" ref="G300">INDEX(F$5:F$67,MATCH($B300,$B$5:$B$67,0))</f>
        <v>67.84</v>
      </c>
      <c r="H300" s="25">
        <f t="array" ref="H300">INDEX(G$5:G$66,MATCH($B300,$B$5:$B$67,0))</f>
        <v>1103</v>
      </c>
      <c r="I300" s="25">
        <f t="array" ref="I300">INDEX(H$5:H$67,MATCH($B300,$B$5:$B$67,0))</f>
        <v>88.24</v>
      </c>
      <c r="J300" s="25">
        <f t="array" ref="J300">INDEX(I$5:I$67,MATCH($B300,$B$5:$B$67,0))</f>
        <v>1045</v>
      </c>
      <c r="K300" s="25">
        <f t="array" ref="K300">INDEX(J$5:J$67,MATCH($B300,$B$5:$B$67,0))</f>
        <v>83.6</v>
      </c>
      <c r="L300" s="25">
        <f t="shared" si="462"/>
        <v>25898</v>
      </c>
      <c r="M300" s="25">
        <f t="shared" si="463"/>
        <v>3697</v>
      </c>
      <c r="N300" s="25">
        <f t="shared" si="464"/>
        <v>4809</v>
      </c>
      <c r="O300" s="25">
        <f t="shared" si="465"/>
        <v>4556</v>
      </c>
      <c r="R300" s="50">
        <f t="array" ref="R300">INDEX($B$46:$B$68,MATCH(S300,$C$46:$C$68,0))*1000+T300</f>
        <v>1009006</v>
      </c>
      <c r="S300" s="51" t="s">
        <v>905</v>
      </c>
      <c r="T300" s="29">
        <f t="shared" si="520"/>
        <v>6</v>
      </c>
      <c r="U300" s="25">
        <f t="array" ref="U300">INDEX(K$5:K$67,MATCH($S300,$B$5:$B$67,0))</f>
        <v>357.84</v>
      </c>
      <c r="V300" s="25">
        <f t="array" ref="V300">INDEX(L$5:L$67,MATCH($S300,$B$5:$B$67,0))</f>
        <v>122.88</v>
      </c>
      <c r="W300" s="25">
        <f t="array" ref="W300">INDEX(M$5:M$67,MATCH($S300,$B$5:$B$67,0))</f>
        <v>155.14</v>
      </c>
      <c r="X300" s="25">
        <f t="array" ref="X300">INDEX(N$5:N$67,MATCH($S300,$B$5:$B$67,0))</f>
        <v>84.15</v>
      </c>
      <c r="Y300" s="25">
        <f t="shared" si="466"/>
        <v>2147</v>
      </c>
      <c r="Z300" s="25">
        <f t="shared" si="467"/>
        <v>737</v>
      </c>
      <c r="AA300" s="25">
        <f t="shared" si="468"/>
        <v>931</v>
      </c>
      <c r="AB300" s="25">
        <f t="shared" si="469"/>
        <v>505</v>
      </c>
      <c r="AF300" s="25">
        <v>222</v>
      </c>
      <c r="AG300" s="25">
        <f t="array" ref="AG300">INDEX($AE$79:$AE$116,QUOTIENT(AF300-1,8)+1)</f>
        <v>1039</v>
      </c>
      <c r="AH300" s="25">
        <f t="shared" si="496"/>
        <v>6</v>
      </c>
      <c r="AI300" s="25">
        <f t="shared" si="470"/>
        <v>10396</v>
      </c>
      <c r="AJ300" s="25" t="str">
        <f t="shared" si="471"/>
        <v>桑尼商队枪手</v>
      </c>
      <c r="AK300" s="25">
        <f t="shared" si="497"/>
        <v>1</v>
      </c>
      <c r="AL300" s="25" t="str">
        <f t="array" ref="AL300">INDEX($O$5:$O$42,MATCH(AJ300,$B$5:$B$42,0))</f>
        <v>攻击百分比</v>
      </c>
      <c r="AM300" s="25" t="str">
        <f t="array" ref="AM300">INDEX($P$5:$P$42,MATCH(AJ300,$B$5:$B$42,0))</f>
        <v>暴击等级</v>
      </c>
      <c r="AN300" s="25" t="str">
        <f t="array" ref="AN300">INDEX($Q$5:$Q$42,MATCH(AJ300,$B$5:$B$42,0))</f>
        <v>暴击伤害等级</v>
      </c>
      <c r="AO300" s="25" t="str">
        <f t="array" ref="AO300">INDEX(AL300:AN300,0,AK300)</f>
        <v>攻击百分比</v>
      </c>
      <c r="AP300" s="25">
        <f t="shared" si="457"/>
        <v>0.216666666666667</v>
      </c>
      <c r="AQ300" s="25">
        <f t="shared" si="472"/>
        <v>0.216666666666667</v>
      </c>
      <c r="AR300" s="25" t="str">
        <f t="shared" ref="AR300:BZ300" si="523">IF(AR$78=$AO300,$AQ300,"0")</f>
        <v>0</v>
      </c>
      <c r="AS300" s="25" t="str">
        <f t="shared" si="523"/>
        <v>0</v>
      </c>
      <c r="AT300" s="25" t="str">
        <f t="shared" si="523"/>
        <v>0</v>
      </c>
      <c r="AU300" s="25">
        <f t="shared" si="523"/>
        <v>0.216666666666667</v>
      </c>
      <c r="AV300" s="25" t="str">
        <f t="shared" si="523"/>
        <v>0</v>
      </c>
      <c r="AW300" s="25">
        <f t="shared" si="523"/>
        <v>0.216666666666667</v>
      </c>
      <c r="AX300" s="25" t="str">
        <f t="shared" si="523"/>
        <v>0</v>
      </c>
      <c r="AY300" s="25" t="str">
        <f t="shared" si="523"/>
        <v>0</v>
      </c>
      <c r="AZ300" s="25" t="str">
        <f t="shared" si="523"/>
        <v>0</v>
      </c>
      <c r="BA300" s="25" t="str">
        <f t="shared" si="523"/>
        <v>0</v>
      </c>
      <c r="BB300" s="25" t="str">
        <f t="shared" si="523"/>
        <v>0</v>
      </c>
      <c r="BC300" s="25" t="str">
        <f t="shared" si="523"/>
        <v>0</v>
      </c>
      <c r="BD300" s="25" t="str">
        <f t="shared" si="523"/>
        <v>0</v>
      </c>
      <c r="BE300" s="25" t="str">
        <f t="shared" si="523"/>
        <v>0</v>
      </c>
      <c r="BF300" s="25" t="str">
        <f t="shared" si="523"/>
        <v>0</v>
      </c>
      <c r="BG300" s="25" t="str">
        <f t="shared" si="523"/>
        <v>0</v>
      </c>
      <c r="BH300" s="25" t="str">
        <f t="shared" si="523"/>
        <v>0</v>
      </c>
      <c r="BI300" s="25" t="str">
        <f t="shared" si="523"/>
        <v>0</v>
      </c>
      <c r="BJ300" s="25" t="str">
        <f t="shared" si="523"/>
        <v>0</v>
      </c>
      <c r="BK300" s="25" t="str">
        <f t="shared" si="523"/>
        <v>0</v>
      </c>
      <c r="BL300" s="25" t="str">
        <f t="shared" si="523"/>
        <v>0</v>
      </c>
      <c r="BM300" s="25" t="str">
        <f t="shared" si="523"/>
        <v>0</v>
      </c>
      <c r="BN300" s="25" t="str">
        <f t="shared" si="523"/>
        <v>0</v>
      </c>
      <c r="BO300" s="25" t="str">
        <f t="shared" si="523"/>
        <v>0</v>
      </c>
      <c r="BP300" s="25" t="str">
        <f t="shared" si="523"/>
        <v>0</v>
      </c>
      <c r="BQ300" s="25" t="str">
        <f t="shared" si="523"/>
        <v>0</v>
      </c>
      <c r="BR300" s="25" t="str">
        <f t="shared" si="523"/>
        <v>0</v>
      </c>
      <c r="BS300" s="25" t="str">
        <f t="shared" si="523"/>
        <v>0</v>
      </c>
      <c r="BT300" s="25" t="str">
        <f t="shared" si="523"/>
        <v>0</v>
      </c>
      <c r="BU300" s="25" t="str">
        <f t="shared" si="523"/>
        <v>0</v>
      </c>
      <c r="BV300" s="25" t="str">
        <f t="shared" si="523"/>
        <v>0</v>
      </c>
      <c r="BW300" s="25" t="str">
        <f t="shared" si="523"/>
        <v>0</v>
      </c>
      <c r="BX300" s="25" t="str">
        <f t="shared" si="523"/>
        <v>0</v>
      </c>
      <c r="BY300" s="25" t="str">
        <f t="shared" si="523"/>
        <v>0</v>
      </c>
      <c r="BZ300" s="25" t="str">
        <f t="shared" si="523"/>
        <v>0</v>
      </c>
    </row>
    <row r="301" spans="1:78">
      <c r="A301" s="53">
        <v>1004043</v>
      </c>
      <c r="B301" s="49" t="s">
        <v>324</v>
      </c>
      <c r="C301" s="25">
        <f t="shared" si="452"/>
        <v>43</v>
      </c>
      <c r="D301" s="25">
        <f t="array" ref="D301">INDEX(C$5:C$67,MATCH($B301,$B$5:$B$67,0))</f>
        <v>5940</v>
      </c>
      <c r="E301" s="25">
        <f t="array" ref="E301">INDEX(D$5:D$67,MATCH($B301,$B$5:$B$67,0))</f>
        <v>475.2</v>
      </c>
      <c r="F301" s="25">
        <f t="array" ref="F301">INDEX(E$5:E$67,MATCH($B301,$B$5:$B$67,0))</f>
        <v>848</v>
      </c>
      <c r="G301" s="25">
        <f t="array" ref="G301">INDEX(F$5:F$67,MATCH($B301,$B$5:$B$67,0))</f>
        <v>67.84</v>
      </c>
      <c r="H301" s="25">
        <f t="array" ref="H301">INDEX(G$5:G$66,MATCH($B301,$B$5:$B$67,0))</f>
        <v>1103</v>
      </c>
      <c r="I301" s="25">
        <f t="array" ref="I301">INDEX(H$5:H$67,MATCH($B301,$B$5:$B$67,0))</f>
        <v>88.24</v>
      </c>
      <c r="J301" s="25">
        <f t="array" ref="J301">INDEX(I$5:I$67,MATCH($B301,$B$5:$B$67,0))</f>
        <v>1045</v>
      </c>
      <c r="K301" s="25">
        <f t="array" ref="K301">INDEX(J$5:J$67,MATCH($B301,$B$5:$B$67,0))</f>
        <v>83.6</v>
      </c>
      <c r="L301" s="25">
        <f t="shared" si="462"/>
        <v>26374</v>
      </c>
      <c r="M301" s="25">
        <f t="shared" si="463"/>
        <v>3765</v>
      </c>
      <c r="N301" s="25">
        <f t="shared" si="464"/>
        <v>4897</v>
      </c>
      <c r="O301" s="25">
        <f t="shared" si="465"/>
        <v>4640</v>
      </c>
      <c r="R301" s="50">
        <f t="array" ref="R301">INDEX($B$46:$B$68,MATCH(S301,$C$46:$C$68,0))*1000+T301</f>
        <v>1009007</v>
      </c>
      <c r="S301" s="51" t="s">
        <v>905</v>
      </c>
      <c r="T301" s="29">
        <f t="shared" si="520"/>
        <v>7</v>
      </c>
      <c r="U301" s="25">
        <f t="array" ref="U301">INDEX(K$5:K$67,MATCH($S301,$B$5:$B$67,0))</f>
        <v>357.84</v>
      </c>
      <c r="V301" s="25">
        <f t="array" ref="V301">INDEX(L$5:L$67,MATCH($S301,$B$5:$B$67,0))</f>
        <v>122.88</v>
      </c>
      <c r="W301" s="25">
        <f t="array" ref="W301">INDEX(M$5:M$67,MATCH($S301,$B$5:$B$67,0))</f>
        <v>155.14</v>
      </c>
      <c r="X301" s="25">
        <f t="array" ref="X301">INDEX(N$5:N$67,MATCH($S301,$B$5:$B$67,0))</f>
        <v>84.15</v>
      </c>
      <c r="Y301" s="25">
        <f t="shared" si="466"/>
        <v>2505</v>
      </c>
      <c r="Z301" s="25">
        <f t="shared" si="467"/>
        <v>860</v>
      </c>
      <c r="AA301" s="25">
        <f t="shared" si="468"/>
        <v>1086</v>
      </c>
      <c r="AB301" s="25">
        <f t="shared" si="469"/>
        <v>589</v>
      </c>
      <c r="AF301" s="25">
        <v>223</v>
      </c>
      <c r="AG301" s="25">
        <f t="array" ref="AG301">INDEX($AE$79:$AE$116,QUOTIENT(AF301-1,8)+1)</f>
        <v>1039</v>
      </c>
      <c r="AH301" s="25">
        <f t="shared" si="496"/>
        <v>7</v>
      </c>
      <c r="AI301" s="25">
        <f t="shared" si="470"/>
        <v>10397</v>
      </c>
      <c r="AJ301" s="25" t="str">
        <f t="shared" si="471"/>
        <v>桑尼商队枪手</v>
      </c>
      <c r="AK301" s="25">
        <f t="shared" si="497"/>
        <v>2</v>
      </c>
      <c r="AL301" s="25" t="str">
        <f t="array" ref="AL301">INDEX($O$5:$O$42,MATCH(AJ301,$B$5:$B$42,0))</f>
        <v>攻击百分比</v>
      </c>
      <c r="AM301" s="25" t="str">
        <f t="array" ref="AM301">INDEX($P$5:$P$42,MATCH(AJ301,$B$5:$B$42,0))</f>
        <v>暴击等级</v>
      </c>
      <c r="AN301" s="25" t="str">
        <f t="array" ref="AN301">INDEX($Q$5:$Q$42,MATCH(AJ301,$B$5:$B$42,0))</f>
        <v>暴击伤害等级</v>
      </c>
      <c r="AO301" s="25" t="str">
        <f t="array" ref="AO301">INDEX(AL301:AN301,0,AK301)</f>
        <v>暴击等级</v>
      </c>
      <c r="AP301" s="25">
        <f t="shared" si="457"/>
        <v>0.15</v>
      </c>
      <c r="AQ301" s="25">
        <f t="shared" si="472"/>
        <v>1350</v>
      </c>
      <c r="AR301" s="25" t="str">
        <f t="shared" ref="AR301:BZ301" si="524">IF(AR$78=$AO301,$AQ301,"0")</f>
        <v>0</v>
      </c>
      <c r="AS301" s="25" t="str">
        <f t="shared" si="524"/>
        <v>0</v>
      </c>
      <c r="AT301" s="25" t="str">
        <f t="shared" si="524"/>
        <v>0</v>
      </c>
      <c r="AU301" s="25" t="str">
        <f t="shared" si="524"/>
        <v>0</v>
      </c>
      <c r="AV301" s="25" t="str">
        <f t="shared" si="524"/>
        <v>0</v>
      </c>
      <c r="AW301" s="25" t="str">
        <f t="shared" si="524"/>
        <v>0</v>
      </c>
      <c r="AX301" s="25" t="str">
        <f t="shared" si="524"/>
        <v>0</v>
      </c>
      <c r="AY301" s="25" t="str">
        <f t="shared" si="524"/>
        <v>0</v>
      </c>
      <c r="AZ301" s="25" t="str">
        <f t="shared" si="524"/>
        <v>0</v>
      </c>
      <c r="BA301" s="25" t="str">
        <f t="shared" si="524"/>
        <v>0</v>
      </c>
      <c r="BB301" s="25" t="str">
        <f t="shared" si="524"/>
        <v>0</v>
      </c>
      <c r="BC301" s="25" t="str">
        <f t="shared" si="524"/>
        <v>0</v>
      </c>
      <c r="BD301" s="25" t="str">
        <f t="shared" si="524"/>
        <v>0</v>
      </c>
      <c r="BE301" s="25" t="str">
        <f t="shared" si="524"/>
        <v>0</v>
      </c>
      <c r="BF301" s="25" t="str">
        <f t="shared" si="524"/>
        <v>0</v>
      </c>
      <c r="BG301" s="25" t="str">
        <f t="shared" si="524"/>
        <v>0</v>
      </c>
      <c r="BH301" s="25" t="str">
        <f t="shared" si="524"/>
        <v>0</v>
      </c>
      <c r="BI301" s="25" t="str">
        <f t="shared" si="524"/>
        <v>0</v>
      </c>
      <c r="BJ301" s="25" t="str">
        <f t="shared" si="524"/>
        <v>0</v>
      </c>
      <c r="BK301" s="25" t="str">
        <f t="shared" si="524"/>
        <v>0</v>
      </c>
      <c r="BL301" s="25" t="str">
        <f t="shared" si="524"/>
        <v>0</v>
      </c>
      <c r="BM301" s="25" t="str">
        <f t="shared" si="524"/>
        <v>0</v>
      </c>
      <c r="BN301" s="25" t="str">
        <f t="shared" si="524"/>
        <v>0</v>
      </c>
      <c r="BO301" s="25" t="str">
        <f t="shared" si="524"/>
        <v>0</v>
      </c>
      <c r="BP301" s="25" t="str">
        <f t="shared" si="524"/>
        <v>0</v>
      </c>
      <c r="BQ301" s="25" t="str">
        <f t="shared" si="524"/>
        <v>0</v>
      </c>
      <c r="BR301" s="25" t="str">
        <f t="shared" si="524"/>
        <v>0</v>
      </c>
      <c r="BS301" s="25" t="str">
        <f t="shared" si="524"/>
        <v>0</v>
      </c>
      <c r="BT301" s="25" t="str">
        <f t="shared" si="524"/>
        <v>0</v>
      </c>
      <c r="BU301" s="25" t="str">
        <f t="shared" si="524"/>
        <v>0</v>
      </c>
      <c r="BV301" s="25" t="str">
        <f t="shared" si="524"/>
        <v>0</v>
      </c>
      <c r="BW301" s="25">
        <f t="shared" si="524"/>
        <v>1350</v>
      </c>
      <c r="BX301" s="25" t="str">
        <f t="shared" si="524"/>
        <v>0</v>
      </c>
      <c r="BY301" s="25" t="str">
        <f t="shared" si="524"/>
        <v>0</v>
      </c>
      <c r="BZ301" s="25" t="str">
        <f t="shared" si="524"/>
        <v>0</v>
      </c>
    </row>
    <row r="302" spans="1:78">
      <c r="A302" s="53">
        <v>1004044</v>
      </c>
      <c r="B302" s="49" t="s">
        <v>324</v>
      </c>
      <c r="C302" s="25">
        <f t="shared" si="452"/>
        <v>44</v>
      </c>
      <c r="D302" s="25">
        <f t="array" ref="D302">INDEX(C$5:C$67,MATCH($B302,$B$5:$B$67,0))</f>
        <v>5940</v>
      </c>
      <c r="E302" s="25">
        <f t="array" ref="E302">INDEX(D$5:D$67,MATCH($B302,$B$5:$B$67,0))</f>
        <v>475.2</v>
      </c>
      <c r="F302" s="25">
        <f t="array" ref="F302">INDEX(E$5:E$67,MATCH($B302,$B$5:$B$67,0))</f>
        <v>848</v>
      </c>
      <c r="G302" s="25">
        <f t="array" ref="G302">INDEX(F$5:F$67,MATCH($B302,$B$5:$B$67,0))</f>
        <v>67.84</v>
      </c>
      <c r="H302" s="25">
        <f t="array" ref="H302">INDEX(G$5:G$66,MATCH($B302,$B$5:$B$67,0))</f>
        <v>1103</v>
      </c>
      <c r="I302" s="25">
        <f t="array" ref="I302">INDEX(H$5:H$67,MATCH($B302,$B$5:$B$67,0))</f>
        <v>88.24</v>
      </c>
      <c r="J302" s="25">
        <f t="array" ref="J302">INDEX(I$5:I$67,MATCH($B302,$B$5:$B$67,0))</f>
        <v>1045</v>
      </c>
      <c r="K302" s="25">
        <f t="array" ref="K302">INDEX(J$5:J$67,MATCH($B302,$B$5:$B$67,0))</f>
        <v>83.6</v>
      </c>
      <c r="L302" s="25">
        <f t="shared" si="462"/>
        <v>26849</v>
      </c>
      <c r="M302" s="25">
        <f t="shared" si="463"/>
        <v>3833</v>
      </c>
      <c r="N302" s="25">
        <f t="shared" si="464"/>
        <v>4986</v>
      </c>
      <c r="O302" s="25">
        <f t="shared" si="465"/>
        <v>4723</v>
      </c>
      <c r="R302" s="50">
        <f t="array" ref="R302">INDEX($B$46:$B$68,MATCH(S302,$C$46:$C$68,0))*1000+T302</f>
        <v>1009008</v>
      </c>
      <c r="S302" s="51" t="s">
        <v>905</v>
      </c>
      <c r="T302" s="29">
        <f t="shared" si="520"/>
        <v>8</v>
      </c>
      <c r="U302" s="25">
        <f t="array" ref="U302">INDEX(K$5:K$67,MATCH($S302,$B$5:$B$67,0))</f>
        <v>357.84</v>
      </c>
      <c r="V302" s="25">
        <f t="array" ref="V302">INDEX(L$5:L$67,MATCH($S302,$B$5:$B$67,0))</f>
        <v>122.88</v>
      </c>
      <c r="W302" s="25">
        <f t="array" ref="W302">INDEX(M$5:M$67,MATCH($S302,$B$5:$B$67,0))</f>
        <v>155.14</v>
      </c>
      <c r="X302" s="25">
        <f t="array" ref="X302">INDEX(N$5:N$67,MATCH($S302,$B$5:$B$67,0))</f>
        <v>84.15</v>
      </c>
      <c r="Y302" s="25">
        <f t="shared" si="466"/>
        <v>2863</v>
      </c>
      <c r="Z302" s="25">
        <f t="shared" si="467"/>
        <v>983</v>
      </c>
      <c r="AA302" s="25">
        <f t="shared" si="468"/>
        <v>1241</v>
      </c>
      <c r="AB302" s="25">
        <f t="shared" si="469"/>
        <v>673</v>
      </c>
      <c r="AF302" s="25">
        <v>224</v>
      </c>
      <c r="AG302" s="25">
        <f t="array" ref="AG302">INDEX($AE$79:$AE$116,QUOTIENT(AF302-1,8)+1)</f>
        <v>1039</v>
      </c>
      <c r="AH302" s="25">
        <f t="shared" si="496"/>
        <v>8</v>
      </c>
      <c r="AI302" s="25">
        <f t="shared" si="470"/>
        <v>10398</v>
      </c>
      <c r="AJ302" s="25" t="str">
        <f t="shared" si="471"/>
        <v>桑尼商队枪手</v>
      </c>
      <c r="AK302" s="25">
        <f t="shared" si="497"/>
        <v>3</v>
      </c>
      <c r="AL302" s="25" t="str">
        <f t="array" ref="AL302">INDEX($O$5:$O$42,MATCH(AJ302,$B$5:$B$42,0))</f>
        <v>攻击百分比</v>
      </c>
      <c r="AM302" s="25" t="str">
        <f t="array" ref="AM302">INDEX($P$5:$P$42,MATCH(AJ302,$B$5:$B$42,0))</f>
        <v>暴击等级</v>
      </c>
      <c r="AN302" s="25" t="str">
        <f t="array" ref="AN302">INDEX($Q$5:$Q$42,MATCH(AJ302,$B$5:$B$42,0))</f>
        <v>暴击伤害等级</v>
      </c>
      <c r="AO302" s="25" t="str">
        <f t="array" ref="AO302">INDEX(AL302:AN302,0,AK302)</f>
        <v>暴击伤害等级</v>
      </c>
      <c r="AP302" s="25">
        <f t="shared" si="457"/>
        <v>0.216666666666667</v>
      </c>
      <c r="AQ302" s="25">
        <f t="shared" si="472"/>
        <v>2383.33333333333</v>
      </c>
      <c r="AR302" s="25" t="str">
        <f t="shared" ref="AR302:BZ302" si="525">IF(AR$78=$AO302,$AQ302,"0")</f>
        <v>0</v>
      </c>
      <c r="AS302" s="25" t="str">
        <f t="shared" si="525"/>
        <v>0</v>
      </c>
      <c r="AT302" s="25" t="str">
        <f t="shared" si="525"/>
        <v>0</v>
      </c>
      <c r="AU302" s="25" t="str">
        <f t="shared" si="525"/>
        <v>0</v>
      </c>
      <c r="AV302" s="25" t="str">
        <f t="shared" si="525"/>
        <v>0</v>
      </c>
      <c r="AW302" s="25" t="str">
        <f t="shared" si="525"/>
        <v>0</v>
      </c>
      <c r="AX302" s="25" t="str">
        <f t="shared" si="525"/>
        <v>0</v>
      </c>
      <c r="AY302" s="25" t="str">
        <f t="shared" si="525"/>
        <v>0</v>
      </c>
      <c r="AZ302" s="25" t="str">
        <f t="shared" si="525"/>
        <v>0</v>
      </c>
      <c r="BA302" s="25" t="str">
        <f t="shared" si="525"/>
        <v>0</v>
      </c>
      <c r="BB302" s="25" t="str">
        <f t="shared" si="525"/>
        <v>0</v>
      </c>
      <c r="BC302" s="25" t="str">
        <f t="shared" si="525"/>
        <v>0</v>
      </c>
      <c r="BD302" s="25" t="str">
        <f t="shared" si="525"/>
        <v>0</v>
      </c>
      <c r="BE302" s="25" t="str">
        <f t="shared" si="525"/>
        <v>0</v>
      </c>
      <c r="BF302" s="25" t="str">
        <f t="shared" si="525"/>
        <v>0</v>
      </c>
      <c r="BG302" s="25" t="str">
        <f t="shared" si="525"/>
        <v>0</v>
      </c>
      <c r="BH302" s="25" t="str">
        <f t="shared" si="525"/>
        <v>0</v>
      </c>
      <c r="BI302" s="25" t="str">
        <f t="shared" si="525"/>
        <v>0</v>
      </c>
      <c r="BJ302" s="25" t="str">
        <f t="shared" si="525"/>
        <v>0</v>
      </c>
      <c r="BK302" s="25" t="str">
        <f t="shared" si="525"/>
        <v>0</v>
      </c>
      <c r="BL302" s="25" t="str">
        <f t="shared" si="525"/>
        <v>0</v>
      </c>
      <c r="BM302" s="25" t="str">
        <f t="shared" si="525"/>
        <v>0</v>
      </c>
      <c r="BN302" s="25" t="str">
        <f t="shared" si="525"/>
        <v>0</v>
      </c>
      <c r="BO302" s="25" t="str">
        <f t="shared" si="525"/>
        <v>0</v>
      </c>
      <c r="BP302" s="25" t="str">
        <f t="shared" si="525"/>
        <v>0</v>
      </c>
      <c r="BQ302" s="25" t="str">
        <f t="shared" si="525"/>
        <v>0</v>
      </c>
      <c r="BR302" s="25" t="str">
        <f t="shared" si="525"/>
        <v>0</v>
      </c>
      <c r="BS302" s="25" t="str">
        <f t="shared" si="525"/>
        <v>0</v>
      </c>
      <c r="BT302" s="25" t="str">
        <f t="shared" si="525"/>
        <v>0</v>
      </c>
      <c r="BU302" s="25" t="str">
        <f t="shared" si="525"/>
        <v>0</v>
      </c>
      <c r="BV302" s="25" t="str">
        <f t="shared" si="525"/>
        <v>0</v>
      </c>
      <c r="BW302" s="25" t="str">
        <f t="shared" si="525"/>
        <v>0</v>
      </c>
      <c r="BX302" s="25">
        <f t="shared" si="525"/>
        <v>2383.33333333333</v>
      </c>
      <c r="BY302" s="25" t="str">
        <f t="shared" si="525"/>
        <v>0</v>
      </c>
      <c r="BZ302" s="25" t="str">
        <f t="shared" si="525"/>
        <v>0</v>
      </c>
    </row>
    <row r="303" spans="1:78">
      <c r="A303" s="53">
        <v>1004045</v>
      </c>
      <c r="B303" s="49" t="s">
        <v>324</v>
      </c>
      <c r="C303" s="25">
        <f t="shared" si="452"/>
        <v>45</v>
      </c>
      <c r="D303" s="25">
        <f t="array" ref="D303">INDEX(C$5:C$67,MATCH($B303,$B$5:$B$67,0))</f>
        <v>5940</v>
      </c>
      <c r="E303" s="25">
        <f t="array" ref="E303">INDEX(D$5:D$67,MATCH($B303,$B$5:$B$67,0))</f>
        <v>475.2</v>
      </c>
      <c r="F303" s="25">
        <f t="array" ref="F303">INDEX(E$5:E$67,MATCH($B303,$B$5:$B$67,0))</f>
        <v>848</v>
      </c>
      <c r="G303" s="25">
        <f t="array" ref="G303">INDEX(F$5:F$67,MATCH($B303,$B$5:$B$67,0))</f>
        <v>67.84</v>
      </c>
      <c r="H303" s="25">
        <f t="array" ref="H303">INDEX(G$5:G$66,MATCH($B303,$B$5:$B$67,0))</f>
        <v>1103</v>
      </c>
      <c r="I303" s="25">
        <f t="array" ref="I303">INDEX(H$5:H$67,MATCH($B303,$B$5:$B$67,0))</f>
        <v>88.24</v>
      </c>
      <c r="J303" s="25">
        <f t="array" ref="J303">INDEX(I$5:I$67,MATCH($B303,$B$5:$B$67,0))</f>
        <v>1045</v>
      </c>
      <c r="K303" s="25">
        <f t="array" ref="K303">INDEX(J$5:J$67,MATCH($B303,$B$5:$B$67,0))</f>
        <v>83.6</v>
      </c>
      <c r="L303" s="25">
        <f t="shared" si="462"/>
        <v>27324</v>
      </c>
      <c r="M303" s="25">
        <f t="shared" si="463"/>
        <v>3901</v>
      </c>
      <c r="N303" s="25">
        <f t="shared" si="464"/>
        <v>5074</v>
      </c>
      <c r="O303" s="25">
        <f t="shared" si="465"/>
        <v>4807</v>
      </c>
      <c r="R303" s="50">
        <f t="array" ref="R303">INDEX($B$46:$B$68,MATCH(S303,$C$46:$C$68,0))*1000+T303</f>
        <v>1009009</v>
      </c>
      <c r="S303" s="51" t="s">
        <v>905</v>
      </c>
      <c r="T303" s="29">
        <f t="shared" si="520"/>
        <v>9</v>
      </c>
      <c r="U303" s="25">
        <f t="array" ref="U303">INDEX(K$5:K$67,MATCH($S303,$B$5:$B$67,0))</f>
        <v>357.84</v>
      </c>
      <c r="V303" s="25">
        <f t="array" ref="V303">INDEX(L$5:L$67,MATCH($S303,$B$5:$B$67,0))</f>
        <v>122.88</v>
      </c>
      <c r="W303" s="25">
        <f t="array" ref="W303">INDEX(M$5:M$67,MATCH($S303,$B$5:$B$67,0))</f>
        <v>155.14</v>
      </c>
      <c r="X303" s="25">
        <f t="array" ref="X303">INDEX(N$5:N$67,MATCH($S303,$B$5:$B$67,0))</f>
        <v>84.15</v>
      </c>
      <c r="Y303" s="25">
        <f t="shared" si="466"/>
        <v>3221</v>
      </c>
      <c r="Z303" s="25">
        <f t="shared" si="467"/>
        <v>1106</v>
      </c>
      <c r="AA303" s="25">
        <f t="shared" si="468"/>
        <v>1396</v>
      </c>
      <c r="AB303" s="25">
        <f t="shared" si="469"/>
        <v>757</v>
      </c>
      <c r="AF303" s="25">
        <v>225</v>
      </c>
      <c r="AG303" s="25">
        <f t="array" ref="AG303">INDEX($AE$79:$AE$116,QUOTIENT(AF303-1,8)+1)</f>
        <v>1040</v>
      </c>
      <c r="AH303" s="25">
        <f t="shared" si="496"/>
        <v>1</v>
      </c>
      <c r="AI303" s="25">
        <f t="shared" si="470"/>
        <v>10401</v>
      </c>
      <c r="AJ303" s="25" t="str">
        <f t="shared" si="471"/>
        <v>小寒</v>
      </c>
      <c r="AK303" s="25">
        <f t="shared" si="497"/>
        <v>1</v>
      </c>
      <c r="AL303" s="25" t="str">
        <f t="array" ref="AL303">INDEX($O$5:$O$42,MATCH(AJ303,$B$5:$B$42,0))</f>
        <v>攻击百分比</v>
      </c>
      <c r="AM303" s="25" t="str">
        <f t="array" ref="AM303">INDEX($P$5:$P$42,MATCH(AJ303,$B$5:$B$42,0))</f>
        <v>治疗率</v>
      </c>
      <c r="AN303" s="25" t="str">
        <f t="array" ref="AN303">INDEX($Q$5:$Q$42,MATCH(AJ303,$B$5:$B$42,0))</f>
        <v>能量回复等级</v>
      </c>
      <c r="AO303" s="25" t="str">
        <f t="array" ref="AO303">INDEX(AL303:AN303,0,AK303)</f>
        <v>攻击百分比</v>
      </c>
      <c r="AP303" s="25">
        <f t="shared" si="457"/>
        <v>0.216666666666667</v>
      </c>
      <c r="AQ303" s="25">
        <f t="shared" si="472"/>
        <v>0.216666666666667</v>
      </c>
      <c r="AR303" s="25" t="str">
        <f t="shared" ref="AR303:BZ303" si="526">IF(AR$78=$AO303,$AQ303,"0")</f>
        <v>0</v>
      </c>
      <c r="AS303" s="25" t="str">
        <f t="shared" si="526"/>
        <v>0</v>
      </c>
      <c r="AT303" s="25" t="str">
        <f t="shared" si="526"/>
        <v>0</v>
      </c>
      <c r="AU303" s="25">
        <f t="shared" si="526"/>
        <v>0.216666666666667</v>
      </c>
      <c r="AV303" s="25" t="str">
        <f t="shared" si="526"/>
        <v>0</v>
      </c>
      <c r="AW303" s="25">
        <f t="shared" si="526"/>
        <v>0.216666666666667</v>
      </c>
      <c r="AX303" s="25" t="str">
        <f t="shared" si="526"/>
        <v>0</v>
      </c>
      <c r="AY303" s="25" t="str">
        <f t="shared" si="526"/>
        <v>0</v>
      </c>
      <c r="AZ303" s="25" t="str">
        <f t="shared" si="526"/>
        <v>0</v>
      </c>
      <c r="BA303" s="25" t="str">
        <f t="shared" si="526"/>
        <v>0</v>
      </c>
      <c r="BB303" s="25" t="str">
        <f t="shared" si="526"/>
        <v>0</v>
      </c>
      <c r="BC303" s="25" t="str">
        <f t="shared" si="526"/>
        <v>0</v>
      </c>
      <c r="BD303" s="25" t="str">
        <f t="shared" si="526"/>
        <v>0</v>
      </c>
      <c r="BE303" s="25" t="str">
        <f t="shared" si="526"/>
        <v>0</v>
      </c>
      <c r="BF303" s="25" t="str">
        <f t="shared" si="526"/>
        <v>0</v>
      </c>
      <c r="BG303" s="25" t="str">
        <f t="shared" si="526"/>
        <v>0</v>
      </c>
      <c r="BH303" s="25" t="str">
        <f t="shared" si="526"/>
        <v>0</v>
      </c>
      <c r="BI303" s="25" t="str">
        <f t="shared" si="526"/>
        <v>0</v>
      </c>
      <c r="BJ303" s="25" t="str">
        <f t="shared" si="526"/>
        <v>0</v>
      </c>
      <c r="BK303" s="25" t="str">
        <f t="shared" si="526"/>
        <v>0</v>
      </c>
      <c r="BL303" s="25" t="str">
        <f t="shared" si="526"/>
        <v>0</v>
      </c>
      <c r="BM303" s="25" t="str">
        <f t="shared" si="526"/>
        <v>0</v>
      </c>
      <c r="BN303" s="25" t="str">
        <f t="shared" si="526"/>
        <v>0</v>
      </c>
      <c r="BO303" s="25" t="str">
        <f t="shared" si="526"/>
        <v>0</v>
      </c>
      <c r="BP303" s="25" t="str">
        <f t="shared" si="526"/>
        <v>0</v>
      </c>
      <c r="BQ303" s="25" t="str">
        <f t="shared" si="526"/>
        <v>0</v>
      </c>
      <c r="BR303" s="25" t="str">
        <f t="shared" si="526"/>
        <v>0</v>
      </c>
      <c r="BS303" s="25" t="str">
        <f t="shared" si="526"/>
        <v>0</v>
      </c>
      <c r="BT303" s="25" t="str">
        <f t="shared" si="526"/>
        <v>0</v>
      </c>
      <c r="BU303" s="25" t="str">
        <f t="shared" si="526"/>
        <v>0</v>
      </c>
      <c r="BV303" s="25" t="str">
        <f t="shared" si="526"/>
        <v>0</v>
      </c>
      <c r="BW303" s="25" t="str">
        <f t="shared" si="526"/>
        <v>0</v>
      </c>
      <c r="BX303" s="25" t="str">
        <f t="shared" si="526"/>
        <v>0</v>
      </c>
      <c r="BY303" s="25" t="str">
        <f t="shared" si="526"/>
        <v>0</v>
      </c>
      <c r="BZ303" s="25" t="str">
        <f t="shared" si="526"/>
        <v>0</v>
      </c>
    </row>
    <row r="304" spans="1:78">
      <c r="A304" s="53">
        <v>1004046</v>
      </c>
      <c r="B304" s="49" t="s">
        <v>324</v>
      </c>
      <c r="C304" s="25">
        <f t="shared" si="452"/>
        <v>46</v>
      </c>
      <c r="D304" s="25">
        <f t="array" ref="D304">INDEX(C$5:C$67,MATCH($B304,$B$5:$B$67,0))</f>
        <v>5940</v>
      </c>
      <c r="E304" s="25">
        <f t="array" ref="E304">INDEX(D$5:D$67,MATCH($B304,$B$5:$B$67,0))</f>
        <v>475.2</v>
      </c>
      <c r="F304" s="25">
        <f t="array" ref="F304">INDEX(E$5:E$67,MATCH($B304,$B$5:$B$67,0))</f>
        <v>848</v>
      </c>
      <c r="G304" s="25">
        <f t="array" ref="G304">INDEX(F$5:F$67,MATCH($B304,$B$5:$B$67,0))</f>
        <v>67.84</v>
      </c>
      <c r="H304" s="25">
        <f t="array" ref="H304">INDEX(G$5:G$66,MATCH($B304,$B$5:$B$67,0))</f>
        <v>1103</v>
      </c>
      <c r="I304" s="25">
        <f t="array" ref="I304">INDEX(H$5:H$67,MATCH($B304,$B$5:$B$67,0))</f>
        <v>88.24</v>
      </c>
      <c r="J304" s="25">
        <f t="array" ref="J304">INDEX(I$5:I$67,MATCH($B304,$B$5:$B$67,0))</f>
        <v>1045</v>
      </c>
      <c r="K304" s="25">
        <f t="array" ref="K304">INDEX(J$5:J$67,MATCH($B304,$B$5:$B$67,0))</f>
        <v>83.6</v>
      </c>
      <c r="L304" s="25">
        <f t="shared" si="462"/>
        <v>27799</v>
      </c>
      <c r="M304" s="25">
        <f t="shared" si="463"/>
        <v>3969</v>
      </c>
      <c r="N304" s="25">
        <f t="shared" si="464"/>
        <v>5162</v>
      </c>
      <c r="O304" s="25">
        <f t="shared" si="465"/>
        <v>4891</v>
      </c>
      <c r="R304" s="50">
        <f t="array" ref="R304">INDEX($B$46:$B$68,MATCH(S304,$C$46:$C$68,0))*1000+T304</f>
        <v>1009010</v>
      </c>
      <c r="S304" s="51" t="s">
        <v>905</v>
      </c>
      <c r="T304" s="29">
        <f t="shared" si="520"/>
        <v>10</v>
      </c>
      <c r="U304" s="25">
        <f t="array" ref="U304">INDEX(K$5:K$67,MATCH($S304,$B$5:$B$67,0))</f>
        <v>357.84</v>
      </c>
      <c r="V304" s="25">
        <f t="array" ref="V304">INDEX(L$5:L$67,MATCH($S304,$B$5:$B$67,0))</f>
        <v>122.88</v>
      </c>
      <c r="W304" s="25">
        <f t="array" ref="W304">INDEX(M$5:M$67,MATCH($S304,$B$5:$B$67,0))</f>
        <v>155.14</v>
      </c>
      <c r="X304" s="25">
        <f t="array" ref="X304">INDEX(N$5:N$67,MATCH($S304,$B$5:$B$67,0))</f>
        <v>84.15</v>
      </c>
      <c r="Y304" s="25">
        <f t="shared" si="466"/>
        <v>3578</v>
      </c>
      <c r="Z304" s="25">
        <f t="shared" si="467"/>
        <v>1229</v>
      </c>
      <c r="AA304" s="25">
        <f t="shared" si="468"/>
        <v>1551</v>
      </c>
      <c r="AB304" s="25">
        <f t="shared" si="469"/>
        <v>842</v>
      </c>
      <c r="AF304" s="25">
        <v>226</v>
      </c>
      <c r="AG304" s="25">
        <f t="array" ref="AG304">INDEX($AE$79:$AE$116,QUOTIENT(AF304-1,8)+1)</f>
        <v>1040</v>
      </c>
      <c r="AH304" s="25">
        <f t="shared" si="496"/>
        <v>2</v>
      </c>
      <c r="AI304" s="25">
        <f t="shared" si="470"/>
        <v>10402</v>
      </c>
      <c r="AJ304" s="25" t="str">
        <f t="shared" si="471"/>
        <v>小寒</v>
      </c>
      <c r="AK304" s="25">
        <f t="shared" si="497"/>
        <v>2</v>
      </c>
      <c r="AL304" s="25" t="str">
        <f t="array" ref="AL304">INDEX($O$5:$O$42,MATCH(AJ304,$B$5:$B$42,0))</f>
        <v>攻击百分比</v>
      </c>
      <c r="AM304" s="25" t="str">
        <f t="array" ref="AM304">INDEX($P$5:$P$42,MATCH(AJ304,$B$5:$B$42,0))</f>
        <v>治疗率</v>
      </c>
      <c r="AN304" s="25" t="str">
        <f t="array" ref="AN304">INDEX($Q$5:$Q$42,MATCH(AJ304,$B$5:$B$42,0))</f>
        <v>能量回复等级</v>
      </c>
      <c r="AO304" s="25" t="str">
        <f t="array" ref="AO304">INDEX(AL304:AN304,0,AK304)</f>
        <v>治疗率</v>
      </c>
      <c r="AP304" s="25">
        <f t="shared" si="457"/>
        <v>0.15</v>
      </c>
      <c r="AQ304" s="25">
        <f t="shared" si="472"/>
        <v>0.075</v>
      </c>
      <c r="AR304" s="25" t="str">
        <f t="shared" ref="AR304:BZ304" si="527">IF(AR$78=$AO304,$AQ304,"0")</f>
        <v>0</v>
      </c>
      <c r="AS304" s="25" t="str">
        <f t="shared" si="527"/>
        <v>0</v>
      </c>
      <c r="AT304" s="25" t="str">
        <f t="shared" si="527"/>
        <v>0</v>
      </c>
      <c r="AU304" s="25" t="str">
        <f t="shared" si="527"/>
        <v>0</v>
      </c>
      <c r="AV304" s="25" t="str">
        <f t="shared" si="527"/>
        <v>0</v>
      </c>
      <c r="AW304" s="25" t="str">
        <f t="shared" si="527"/>
        <v>0</v>
      </c>
      <c r="AX304" s="25" t="str">
        <f t="shared" si="527"/>
        <v>0</v>
      </c>
      <c r="AY304" s="25" t="str">
        <f t="shared" si="527"/>
        <v>0</v>
      </c>
      <c r="AZ304" s="25" t="str">
        <f t="shared" si="527"/>
        <v>0</v>
      </c>
      <c r="BA304" s="25" t="str">
        <f t="shared" si="527"/>
        <v>0</v>
      </c>
      <c r="BB304" s="25" t="str">
        <f t="shared" si="527"/>
        <v>0</v>
      </c>
      <c r="BC304" s="25" t="str">
        <f t="shared" si="527"/>
        <v>0</v>
      </c>
      <c r="BD304" s="25" t="str">
        <f t="shared" si="527"/>
        <v>0</v>
      </c>
      <c r="BE304" s="25" t="str">
        <f t="shared" si="527"/>
        <v>0</v>
      </c>
      <c r="BF304" s="25" t="str">
        <f t="shared" si="527"/>
        <v>0</v>
      </c>
      <c r="BG304" s="25" t="str">
        <f t="shared" si="527"/>
        <v>0</v>
      </c>
      <c r="BH304" s="25" t="str">
        <f t="shared" si="527"/>
        <v>0</v>
      </c>
      <c r="BI304" s="25" t="str">
        <f t="shared" si="527"/>
        <v>0</v>
      </c>
      <c r="BJ304" s="25">
        <f t="shared" si="527"/>
        <v>0.075</v>
      </c>
      <c r="BK304" s="25" t="str">
        <f t="shared" si="527"/>
        <v>0</v>
      </c>
      <c r="BL304" s="25" t="str">
        <f t="shared" si="527"/>
        <v>0</v>
      </c>
      <c r="BM304" s="25" t="str">
        <f t="shared" si="527"/>
        <v>0</v>
      </c>
      <c r="BN304" s="25" t="str">
        <f t="shared" si="527"/>
        <v>0</v>
      </c>
      <c r="BO304" s="25" t="str">
        <f t="shared" si="527"/>
        <v>0</v>
      </c>
      <c r="BP304" s="25" t="str">
        <f t="shared" si="527"/>
        <v>0</v>
      </c>
      <c r="BQ304" s="25" t="str">
        <f t="shared" si="527"/>
        <v>0</v>
      </c>
      <c r="BR304" s="25" t="str">
        <f t="shared" si="527"/>
        <v>0</v>
      </c>
      <c r="BS304" s="25" t="str">
        <f t="shared" si="527"/>
        <v>0</v>
      </c>
      <c r="BT304" s="25" t="str">
        <f t="shared" si="527"/>
        <v>0</v>
      </c>
      <c r="BU304" s="25" t="str">
        <f t="shared" si="527"/>
        <v>0</v>
      </c>
      <c r="BV304" s="25" t="str">
        <f t="shared" si="527"/>
        <v>0</v>
      </c>
      <c r="BW304" s="25" t="str">
        <f t="shared" si="527"/>
        <v>0</v>
      </c>
      <c r="BX304" s="25" t="str">
        <f t="shared" si="527"/>
        <v>0</v>
      </c>
      <c r="BY304" s="25" t="str">
        <f t="shared" si="527"/>
        <v>0</v>
      </c>
      <c r="BZ304" s="25" t="str">
        <f t="shared" si="527"/>
        <v>0</v>
      </c>
    </row>
    <row r="305" spans="1:78">
      <c r="A305" s="53">
        <v>1004047</v>
      </c>
      <c r="B305" s="49" t="s">
        <v>324</v>
      </c>
      <c r="C305" s="25">
        <f t="shared" si="452"/>
        <v>47</v>
      </c>
      <c r="D305" s="25">
        <f t="array" ref="D305">INDEX(C$5:C$67,MATCH($B305,$B$5:$B$67,0))</f>
        <v>5940</v>
      </c>
      <c r="E305" s="25">
        <f t="array" ref="E305">INDEX(D$5:D$67,MATCH($B305,$B$5:$B$67,0))</f>
        <v>475.2</v>
      </c>
      <c r="F305" s="25">
        <f t="array" ref="F305">INDEX(E$5:E$67,MATCH($B305,$B$5:$B$67,0))</f>
        <v>848</v>
      </c>
      <c r="G305" s="25">
        <f t="array" ref="G305">INDEX(F$5:F$67,MATCH($B305,$B$5:$B$67,0))</f>
        <v>67.84</v>
      </c>
      <c r="H305" s="25">
        <f t="array" ref="H305">INDEX(G$5:G$66,MATCH($B305,$B$5:$B$67,0))</f>
        <v>1103</v>
      </c>
      <c r="I305" s="25">
        <f t="array" ref="I305">INDEX(H$5:H$67,MATCH($B305,$B$5:$B$67,0))</f>
        <v>88.24</v>
      </c>
      <c r="J305" s="25">
        <f t="array" ref="J305">INDEX(I$5:I$67,MATCH($B305,$B$5:$B$67,0))</f>
        <v>1045</v>
      </c>
      <c r="K305" s="25">
        <f t="array" ref="K305">INDEX(J$5:J$67,MATCH($B305,$B$5:$B$67,0))</f>
        <v>83.6</v>
      </c>
      <c r="L305" s="25">
        <f t="shared" si="462"/>
        <v>28274</v>
      </c>
      <c r="M305" s="25">
        <f t="shared" si="463"/>
        <v>4036</v>
      </c>
      <c r="N305" s="25">
        <f t="shared" si="464"/>
        <v>5250</v>
      </c>
      <c r="O305" s="25">
        <f t="shared" si="465"/>
        <v>4974</v>
      </c>
      <c r="R305" s="50">
        <f t="array" ref="R305">INDEX($B$46:$B$68,MATCH(S305,$C$46:$C$68,0))*1000+T305</f>
        <v>1009011</v>
      </c>
      <c r="S305" s="51" t="s">
        <v>905</v>
      </c>
      <c r="T305" s="29">
        <f t="shared" si="520"/>
        <v>11</v>
      </c>
      <c r="U305" s="25">
        <f t="array" ref="U305">INDEX(K$5:K$67,MATCH($S305,$B$5:$B$67,0))</f>
        <v>357.84</v>
      </c>
      <c r="V305" s="25">
        <f t="array" ref="V305">INDEX(L$5:L$67,MATCH($S305,$B$5:$B$67,0))</f>
        <v>122.88</v>
      </c>
      <c r="W305" s="25">
        <f t="array" ref="W305">INDEX(M$5:M$67,MATCH($S305,$B$5:$B$67,0))</f>
        <v>155.14</v>
      </c>
      <c r="X305" s="25">
        <f t="array" ref="X305">INDEX(N$5:N$67,MATCH($S305,$B$5:$B$67,0))</f>
        <v>84.15</v>
      </c>
      <c r="Y305" s="25">
        <f t="shared" si="466"/>
        <v>3936</v>
      </c>
      <c r="Z305" s="25">
        <f t="shared" si="467"/>
        <v>1352</v>
      </c>
      <c r="AA305" s="25">
        <f t="shared" si="468"/>
        <v>1707</v>
      </c>
      <c r="AB305" s="25">
        <f t="shared" si="469"/>
        <v>926</v>
      </c>
      <c r="AF305" s="25">
        <v>227</v>
      </c>
      <c r="AG305" s="25">
        <f t="array" ref="AG305">INDEX($AE$79:$AE$116,QUOTIENT(AF305-1,8)+1)</f>
        <v>1040</v>
      </c>
      <c r="AH305" s="25">
        <f t="shared" si="496"/>
        <v>3</v>
      </c>
      <c r="AI305" s="25">
        <f t="shared" si="470"/>
        <v>10403</v>
      </c>
      <c r="AJ305" s="25" t="str">
        <f t="shared" si="471"/>
        <v>小寒</v>
      </c>
      <c r="AK305" s="25">
        <f t="shared" si="497"/>
        <v>3</v>
      </c>
      <c r="AL305" s="25" t="str">
        <f t="array" ref="AL305">INDEX($O$5:$O$42,MATCH(AJ305,$B$5:$B$42,0))</f>
        <v>攻击百分比</v>
      </c>
      <c r="AM305" s="25" t="str">
        <f t="array" ref="AM305">INDEX($P$5:$P$42,MATCH(AJ305,$B$5:$B$42,0))</f>
        <v>治疗率</v>
      </c>
      <c r="AN305" s="25" t="str">
        <f t="array" ref="AN305">INDEX($Q$5:$Q$42,MATCH(AJ305,$B$5:$B$42,0))</f>
        <v>能量回复等级</v>
      </c>
      <c r="AO305" s="25" t="str">
        <f t="array" ref="AO305">INDEX(AL305:AN305,0,AK305)</f>
        <v>能量回复等级</v>
      </c>
      <c r="AP305" s="25">
        <f t="shared" si="457"/>
        <v>0.216666666666667</v>
      </c>
      <c r="AQ305" s="25">
        <f t="shared" si="472"/>
        <v>1950</v>
      </c>
      <c r="AR305" s="25" t="str">
        <f t="shared" ref="AR305:BZ305" si="528">IF(AR$78=$AO305,$AQ305,"0")</f>
        <v>0</v>
      </c>
      <c r="AS305" s="25" t="str">
        <f t="shared" si="528"/>
        <v>0</v>
      </c>
      <c r="AT305" s="25" t="str">
        <f t="shared" si="528"/>
        <v>0</v>
      </c>
      <c r="AU305" s="25" t="str">
        <f t="shared" si="528"/>
        <v>0</v>
      </c>
      <c r="AV305" s="25" t="str">
        <f t="shared" si="528"/>
        <v>0</v>
      </c>
      <c r="AW305" s="25" t="str">
        <f t="shared" si="528"/>
        <v>0</v>
      </c>
      <c r="AX305" s="25" t="str">
        <f t="shared" si="528"/>
        <v>0</v>
      </c>
      <c r="AY305" s="25" t="str">
        <f t="shared" si="528"/>
        <v>0</v>
      </c>
      <c r="AZ305" s="25" t="str">
        <f t="shared" si="528"/>
        <v>0</v>
      </c>
      <c r="BA305" s="25" t="str">
        <f t="shared" si="528"/>
        <v>0</v>
      </c>
      <c r="BB305" s="25" t="str">
        <f t="shared" si="528"/>
        <v>0</v>
      </c>
      <c r="BC305" s="25" t="str">
        <f t="shared" si="528"/>
        <v>0</v>
      </c>
      <c r="BD305" s="25" t="str">
        <f t="shared" si="528"/>
        <v>0</v>
      </c>
      <c r="BE305" s="25" t="str">
        <f t="shared" si="528"/>
        <v>0</v>
      </c>
      <c r="BF305" s="25" t="str">
        <f t="shared" si="528"/>
        <v>0</v>
      </c>
      <c r="BG305" s="25" t="str">
        <f t="shared" si="528"/>
        <v>0</v>
      </c>
      <c r="BH305" s="25" t="str">
        <f t="shared" si="528"/>
        <v>0</v>
      </c>
      <c r="BI305" s="25" t="str">
        <f t="shared" si="528"/>
        <v>0</v>
      </c>
      <c r="BJ305" s="25" t="str">
        <f t="shared" si="528"/>
        <v>0</v>
      </c>
      <c r="BK305" s="25" t="str">
        <f t="shared" si="528"/>
        <v>0</v>
      </c>
      <c r="BL305" s="25" t="str">
        <f t="shared" si="528"/>
        <v>0</v>
      </c>
      <c r="BM305" s="25" t="str">
        <f t="shared" si="528"/>
        <v>0</v>
      </c>
      <c r="BN305" s="25" t="str">
        <f t="shared" si="528"/>
        <v>0</v>
      </c>
      <c r="BO305" s="25" t="str">
        <f t="shared" si="528"/>
        <v>0</v>
      </c>
      <c r="BP305" s="25" t="str">
        <f t="shared" si="528"/>
        <v>0</v>
      </c>
      <c r="BQ305" s="25" t="str">
        <f t="shared" si="528"/>
        <v>0</v>
      </c>
      <c r="BR305" s="25" t="str">
        <f t="shared" si="528"/>
        <v>0</v>
      </c>
      <c r="BS305" s="25" t="str">
        <f t="shared" si="528"/>
        <v>0</v>
      </c>
      <c r="BT305" s="25" t="str">
        <f t="shared" si="528"/>
        <v>0</v>
      </c>
      <c r="BU305" s="25" t="str">
        <f t="shared" si="528"/>
        <v>0</v>
      </c>
      <c r="BV305" s="25" t="str">
        <f t="shared" si="528"/>
        <v>0</v>
      </c>
      <c r="BW305" s="25" t="str">
        <f t="shared" si="528"/>
        <v>0</v>
      </c>
      <c r="BX305" s="25" t="str">
        <f t="shared" si="528"/>
        <v>0</v>
      </c>
      <c r="BY305" s="25">
        <f t="shared" si="528"/>
        <v>1950</v>
      </c>
      <c r="BZ305" s="25" t="str">
        <f t="shared" si="528"/>
        <v>0</v>
      </c>
    </row>
    <row r="306" spans="1:78">
      <c r="A306" s="53">
        <v>1004048</v>
      </c>
      <c r="B306" s="49" t="s">
        <v>324</v>
      </c>
      <c r="C306" s="25">
        <f t="shared" si="452"/>
        <v>48</v>
      </c>
      <c r="D306" s="25">
        <f t="array" ref="D306">INDEX(C$5:C$67,MATCH($B306,$B$5:$B$67,0))</f>
        <v>5940</v>
      </c>
      <c r="E306" s="25">
        <f t="array" ref="E306">INDEX(D$5:D$67,MATCH($B306,$B$5:$B$67,0))</f>
        <v>475.2</v>
      </c>
      <c r="F306" s="25">
        <f t="array" ref="F306">INDEX(E$5:E$67,MATCH($B306,$B$5:$B$67,0))</f>
        <v>848</v>
      </c>
      <c r="G306" s="25">
        <f t="array" ref="G306">INDEX(F$5:F$67,MATCH($B306,$B$5:$B$67,0))</f>
        <v>67.84</v>
      </c>
      <c r="H306" s="25">
        <f t="array" ref="H306">INDEX(G$5:G$66,MATCH($B306,$B$5:$B$67,0))</f>
        <v>1103</v>
      </c>
      <c r="I306" s="25">
        <f t="array" ref="I306">INDEX(H$5:H$67,MATCH($B306,$B$5:$B$67,0))</f>
        <v>88.24</v>
      </c>
      <c r="J306" s="25">
        <f t="array" ref="J306">INDEX(I$5:I$67,MATCH($B306,$B$5:$B$67,0))</f>
        <v>1045</v>
      </c>
      <c r="K306" s="25">
        <f t="array" ref="K306">INDEX(J$5:J$67,MATCH($B306,$B$5:$B$67,0))</f>
        <v>83.6</v>
      </c>
      <c r="L306" s="25">
        <f t="shared" si="462"/>
        <v>28750</v>
      </c>
      <c r="M306" s="25">
        <f t="shared" si="463"/>
        <v>4104</v>
      </c>
      <c r="N306" s="25">
        <f t="shared" si="464"/>
        <v>5339</v>
      </c>
      <c r="O306" s="25">
        <f t="shared" si="465"/>
        <v>5058</v>
      </c>
      <c r="R306" s="50">
        <f t="array" ref="R306">INDEX($B$46:$B$68,MATCH(S306,$C$46:$C$68,0))*1000+T306</f>
        <v>1009012</v>
      </c>
      <c r="S306" s="51" t="s">
        <v>905</v>
      </c>
      <c r="T306" s="29">
        <f t="shared" si="520"/>
        <v>12</v>
      </c>
      <c r="U306" s="25">
        <f t="array" ref="U306">INDEX(K$5:K$67,MATCH($S306,$B$5:$B$67,0))</f>
        <v>357.84</v>
      </c>
      <c r="V306" s="25">
        <f t="array" ref="V306">INDEX(L$5:L$67,MATCH($S306,$B$5:$B$67,0))</f>
        <v>122.88</v>
      </c>
      <c r="W306" s="25">
        <f t="array" ref="W306">INDEX(M$5:M$67,MATCH($S306,$B$5:$B$67,0))</f>
        <v>155.14</v>
      </c>
      <c r="X306" s="25">
        <f t="array" ref="X306">INDEX(N$5:N$67,MATCH($S306,$B$5:$B$67,0))</f>
        <v>84.15</v>
      </c>
      <c r="Y306" s="25">
        <f t="shared" si="466"/>
        <v>4294</v>
      </c>
      <c r="Z306" s="25">
        <f t="shared" si="467"/>
        <v>1475</v>
      </c>
      <c r="AA306" s="25">
        <f t="shared" si="468"/>
        <v>1862</v>
      </c>
      <c r="AB306" s="25">
        <f t="shared" si="469"/>
        <v>1010</v>
      </c>
      <c r="AF306" s="25">
        <v>228</v>
      </c>
      <c r="AG306" s="25">
        <f t="array" ref="AG306">INDEX($AE$79:$AE$116,QUOTIENT(AF306-1,8)+1)</f>
        <v>1040</v>
      </c>
      <c r="AH306" s="25">
        <f t="shared" si="496"/>
        <v>4</v>
      </c>
      <c r="AI306" s="25">
        <f t="shared" si="470"/>
        <v>10404</v>
      </c>
      <c r="AJ306" s="25" t="str">
        <f t="shared" si="471"/>
        <v>小寒</v>
      </c>
      <c r="AK306" s="25">
        <f t="shared" si="497"/>
        <v>2</v>
      </c>
      <c r="AL306" s="25" t="str">
        <f t="array" ref="AL306">INDEX($O$5:$O$42,MATCH(AJ306,$B$5:$B$42,0))</f>
        <v>攻击百分比</v>
      </c>
      <c r="AM306" s="25" t="str">
        <f t="array" ref="AM306">INDEX($P$5:$P$42,MATCH(AJ306,$B$5:$B$42,0))</f>
        <v>治疗率</v>
      </c>
      <c r="AN306" s="25" t="str">
        <f t="array" ref="AN306">INDEX($Q$5:$Q$42,MATCH(AJ306,$B$5:$B$42,0))</f>
        <v>能量回复等级</v>
      </c>
      <c r="AO306" s="25" t="str">
        <f t="array" ref="AO306">INDEX(AL306:AN306,0,AK306)</f>
        <v>治疗率</v>
      </c>
      <c r="AP306" s="25">
        <f t="shared" si="457"/>
        <v>0.15</v>
      </c>
      <c r="AQ306" s="25">
        <f t="shared" si="472"/>
        <v>0.075</v>
      </c>
      <c r="AR306" s="25" t="str">
        <f t="shared" ref="AR306:BZ306" si="529">IF(AR$78=$AO306,$AQ306,"0")</f>
        <v>0</v>
      </c>
      <c r="AS306" s="25" t="str">
        <f t="shared" si="529"/>
        <v>0</v>
      </c>
      <c r="AT306" s="25" t="str">
        <f t="shared" si="529"/>
        <v>0</v>
      </c>
      <c r="AU306" s="25" t="str">
        <f t="shared" si="529"/>
        <v>0</v>
      </c>
      <c r="AV306" s="25" t="str">
        <f t="shared" si="529"/>
        <v>0</v>
      </c>
      <c r="AW306" s="25" t="str">
        <f t="shared" si="529"/>
        <v>0</v>
      </c>
      <c r="AX306" s="25" t="str">
        <f t="shared" si="529"/>
        <v>0</v>
      </c>
      <c r="AY306" s="25" t="str">
        <f t="shared" si="529"/>
        <v>0</v>
      </c>
      <c r="AZ306" s="25" t="str">
        <f t="shared" si="529"/>
        <v>0</v>
      </c>
      <c r="BA306" s="25" t="str">
        <f t="shared" si="529"/>
        <v>0</v>
      </c>
      <c r="BB306" s="25" t="str">
        <f t="shared" si="529"/>
        <v>0</v>
      </c>
      <c r="BC306" s="25" t="str">
        <f t="shared" si="529"/>
        <v>0</v>
      </c>
      <c r="BD306" s="25" t="str">
        <f t="shared" si="529"/>
        <v>0</v>
      </c>
      <c r="BE306" s="25" t="str">
        <f t="shared" si="529"/>
        <v>0</v>
      </c>
      <c r="BF306" s="25" t="str">
        <f t="shared" si="529"/>
        <v>0</v>
      </c>
      <c r="BG306" s="25" t="str">
        <f t="shared" si="529"/>
        <v>0</v>
      </c>
      <c r="BH306" s="25" t="str">
        <f t="shared" si="529"/>
        <v>0</v>
      </c>
      <c r="BI306" s="25" t="str">
        <f t="shared" si="529"/>
        <v>0</v>
      </c>
      <c r="BJ306" s="25">
        <f t="shared" si="529"/>
        <v>0.075</v>
      </c>
      <c r="BK306" s="25" t="str">
        <f t="shared" si="529"/>
        <v>0</v>
      </c>
      <c r="BL306" s="25" t="str">
        <f t="shared" si="529"/>
        <v>0</v>
      </c>
      <c r="BM306" s="25" t="str">
        <f t="shared" si="529"/>
        <v>0</v>
      </c>
      <c r="BN306" s="25" t="str">
        <f t="shared" si="529"/>
        <v>0</v>
      </c>
      <c r="BO306" s="25" t="str">
        <f t="shared" si="529"/>
        <v>0</v>
      </c>
      <c r="BP306" s="25" t="str">
        <f t="shared" si="529"/>
        <v>0</v>
      </c>
      <c r="BQ306" s="25" t="str">
        <f t="shared" si="529"/>
        <v>0</v>
      </c>
      <c r="BR306" s="25" t="str">
        <f t="shared" si="529"/>
        <v>0</v>
      </c>
      <c r="BS306" s="25" t="str">
        <f t="shared" si="529"/>
        <v>0</v>
      </c>
      <c r="BT306" s="25" t="str">
        <f t="shared" si="529"/>
        <v>0</v>
      </c>
      <c r="BU306" s="25" t="str">
        <f t="shared" si="529"/>
        <v>0</v>
      </c>
      <c r="BV306" s="25" t="str">
        <f t="shared" si="529"/>
        <v>0</v>
      </c>
      <c r="BW306" s="25" t="str">
        <f t="shared" si="529"/>
        <v>0</v>
      </c>
      <c r="BX306" s="25" t="str">
        <f t="shared" si="529"/>
        <v>0</v>
      </c>
      <c r="BY306" s="25" t="str">
        <f t="shared" si="529"/>
        <v>0</v>
      </c>
      <c r="BZ306" s="25" t="str">
        <f t="shared" si="529"/>
        <v>0</v>
      </c>
    </row>
    <row r="307" spans="1:78">
      <c r="A307" s="53">
        <v>1004049</v>
      </c>
      <c r="B307" s="49" t="s">
        <v>324</v>
      </c>
      <c r="C307" s="25">
        <f t="shared" si="452"/>
        <v>49</v>
      </c>
      <c r="D307" s="25">
        <f t="array" ref="D307">INDEX(C$5:C$67,MATCH($B307,$B$5:$B$67,0))</f>
        <v>5940</v>
      </c>
      <c r="E307" s="25">
        <f t="array" ref="E307">INDEX(D$5:D$67,MATCH($B307,$B$5:$B$67,0))</f>
        <v>475.2</v>
      </c>
      <c r="F307" s="25">
        <f t="array" ref="F307">INDEX(E$5:E$67,MATCH($B307,$B$5:$B$67,0))</f>
        <v>848</v>
      </c>
      <c r="G307" s="25">
        <f t="array" ref="G307">INDEX(F$5:F$67,MATCH($B307,$B$5:$B$67,0))</f>
        <v>67.84</v>
      </c>
      <c r="H307" s="25">
        <f t="array" ref="H307">INDEX(G$5:G$66,MATCH($B307,$B$5:$B$67,0))</f>
        <v>1103</v>
      </c>
      <c r="I307" s="25">
        <f t="array" ref="I307">INDEX(H$5:H$67,MATCH($B307,$B$5:$B$67,0))</f>
        <v>88.24</v>
      </c>
      <c r="J307" s="25">
        <f t="array" ref="J307">INDEX(I$5:I$67,MATCH($B307,$B$5:$B$67,0))</f>
        <v>1045</v>
      </c>
      <c r="K307" s="25">
        <f t="array" ref="K307">INDEX(J$5:J$67,MATCH($B307,$B$5:$B$67,0))</f>
        <v>83.6</v>
      </c>
      <c r="L307" s="25">
        <f t="shared" si="462"/>
        <v>29225</v>
      </c>
      <c r="M307" s="25">
        <f t="shared" si="463"/>
        <v>4172</v>
      </c>
      <c r="N307" s="25">
        <f t="shared" si="464"/>
        <v>5427</v>
      </c>
      <c r="O307" s="25">
        <f t="shared" si="465"/>
        <v>5141</v>
      </c>
      <c r="R307" s="50">
        <f t="array" ref="R307">INDEX($B$46:$B$68,MATCH(S307,$C$46:$C$68,0))*1000+T307</f>
        <v>1009013</v>
      </c>
      <c r="S307" s="51" t="s">
        <v>905</v>
      </c>
      <c r="T307" s="29">
        <f t="shared" si="520"/>
        <v>13</v>
      </c>
      <c r="U307" s="25">
        <f t="array" ref="U307">INDEX(K$5:K$67,MATCH($S307,$B$5:$B$67,0))</f>
        <v>357.84</v>
      </c>
      <c r="V307" s="25">
        <f t="array" ref="V307">INDEX(L$5:L$67,MATCH($S307,$B$5:$B$67,0))</f>
        <v>122.88</v>
      </c>
      <c r="W307" s="25">
        <f t="array" ref="W307">INDEX(M$5:M$67,MATCH($S307,$B$5:$B$67,0))</f>
        <v>155.14</v>
      </c>
      <c r="X307" s="25">
        <f t="array" ref="X307">INDEX(N$5:N$67,MATCH($S307,$B$5:$B$67,0))</f>
        <v>84.15</v>
      </c>
      <c r="Y307" s="25">
        <f t="shared" si="466"/>
        <v>4652</v>
      </c>
      <c r="Z307" s="25">
        <f t="shared" si="467"/>
        <v>1597</v>
      </c>
      <c r="AA307" s="25">
        <f t="shared" si="468"/>
        <v>2017</v>
      </c>
      <c r="AB307" s="25">
        <f t="shared" si="469"/>
        <v>1094</v>
      </c>
      <c r="AF307" s="25">
        <v>229</v>
      </c>
      <c r="AG307" s="25">
        <f t="array" ref="AG307">INDEX($AE$79:$AE$116,QUOTIENT(AF307-1,8)+1)</f>
        <v>1040</v>
      </c>
      <c r="AH307" s="25">
        <f t="shared" si="496"/>
        <v>5</v>
      </c>
      <c r="AI307" s="25">
        <f t="shared" si="470"/>
        <v>10405</v>
      </c>
      <c r="AJ307" s="25" t="str">
        <f t="shared" si="471"/>
        <v>小寒</v>
      </c>
      <c r="AK307" s="25">
        <f t="shared" si="497"/>
        <v>3</v>
      </c>
      <c r="AL307" s="25" t="str">
        <f t="array" ref="AL307">INDEX($O$5:$O$42,MATCH(AJ307,$B$5:$B$42,0))</f>
        <v>攻击百分比</v>
      </c>
      <c r="AM307" s="25" t="str">
        <f t="array" ref="AM307">INDEX($P$5:$P$42,MATCH(AJ307,$B$5:$B$42,0))</f>
        <v>治疗率</v>
      </c>
      <c r="AN307" s="25" t="str">
        <f t="array" ref="AN307">INDEX($Q$5:$Q$42,MATCH(AJ307,$B$5:$B$42,0))</f>
        <v>能量回复等级</v>
      </c>
      <c r="AO307" s="25" t="str">
        <f t="array" ref="AO307">INDEX(AL307:AN307,0,AK307)</f>
        <v>能量回复等级</v>
      </c>
      <c r="AP307" s="25">
        <f t="shared" si="457"/>
        <v>0.216666666666667</v>
      </c>
      <c r="AQ307" s="25">
        <f t="shared" si="472"/>
        <v>1950</v>
      </c>
      <c r="AR307" s="25" t="str">
        <f t="shared" ref="AR307:BZ307" si="530">IF(AR$78=$AO307,$AQ307,"0")</f>
        <v>0</v>
      </c>
      <c r="AS307" s="25" t="str">
        <f t="shared" si="530"/>
        <v>0</v>
      </c>
      <c r="AT307" s="25" t="str">
        <f t="shared" si="530"/>
        <v>0</v>
      </c>
      <c r="AU307" s="25" t="str">
        <f t="shared" si="530"/>
        <v>0</v>
      </c>
      <c r="AV307" s="25" t="str">
        <f t="shared" si="530"/>
        <v>0</v>
      </c>
      <c r="AW307" s="25" t="str">
        <f t="shared" si="530"/>
        <v>0</v>
      </c>
      <c r="AX307" s="25" t="str">
        <f t="shared" si="530"/>
        <v>0</v>
      </c>
      <c r="AY307" s="25" t="str">
        <f t="shared" si="530"/>
        <v>0</v>
      </c>
      <c r="AZ307" s="25" t="str">
        <f t="shared" si="530"/>
        <v>0</v>
      </c>
      <c r="BA307" s="25" t="str">
        <f t="shared" si="530"/>
        <v>0</v>
      </c>
      <c r="BB307" s="25" t="str">
        <f t="shared" si="530"/>
        <v>0</v>
      </c>
      <c r="BC307" s="25" t="str">
        <f t="shared" si="530"/>
        <v>0</v>
      </c>
      <c r="BD307" s="25" t="str">
        <f t="shared" si="530"/>
        <v>0</v>
      </c>
      <c r="BE307" s="25" t="str">
        <f t="shared" si="530"/>
        <v>0</v>
      </c>
      <c r="BF307" s="25" t="str">
        <f t="shared" si="530"/>
        <v>0</v>
      </c>
      <c r="BG307" s="25" t="str">
        <f t="shared" si="530"/>
        <v>0</v>
      </c>
      <c r="BH307" s="25" t="str">
        <f t="shared" si="530"/>
        <v>0</v>
      </c>
      <c r="BI307" s="25" t="str">
        <f t="shared" si="530"/>
        <v>0</v>
      </c>
      <c r="BJ307" s="25" t="str">
        <f t="shared" si="530"/>
        <v>0</v>
      </c>
      <c r="BK307" s="25" t="str">
        <f t="shared" si="530"/>
        <v>0</v>
      </c>
      <c r="BL307" s="25" t="str">
        <f t="shared" si="530"/>
        <v>0</v>
      </c>
      <c r="BM307" s="25" t="str">
        <f t="shared" si="530"/>
        <v>0</v>
      </c>
      <c r="BN307" s="25" t="str">
        <f t="shared" si="530"/>
        <v>0</v>
      </c>
      <c r="BO307" s="25" t="str">
        <f t="shared" si="530"/>
        <v>0</v>
      </c>
      <c r="BP307" s="25" t="str">
        <f t="shared" si="530"/>
        <v>0</v>
      </c>
      <c r="BQ307" s="25" t="str">
        <f t="shared" si="530"/>
        <v>0</v>
      </c>
      <c r="BR307" s="25" t="str">
        <f t="shared" si="530"/>
        <v>0</v>
      </c>
      <c r="BS307" s="25" t="str">
        <f t="shared" si="530"/>
        <v>0</v>
      </c>
      <c r="BT307" s="25" t="str">
        <f t="shared" si="530"/>
        <v>0</v>
      </c>
      <c r="BU307" s="25" t="str">
        <f t="shared" si="530"/>
        <v>0</v>
      </c>
      <c r="BV307" s="25" t="str">
        <f t="shared" si="530"/>
        <v>0</v>
      </c>
      <c r="BW307" s="25" t="str">
        <f t="shared" si="530"/>
        <v>0</v>
      </c>
      <c r="BX307" s="25" t="str">
        <f t="shared" si="530"/>
        <v>0</v>
      </c>
      <c r="BY307" s="25">
        <f t="shared" si="530"/>
        <v>1950</v>
      </c>
      <c r="BZ307" s="25" t="str">
        <f t="shared" si="530"/>
        <v>0</v>
      </c>
    </row>
    <row r="308" spans="1:78">
      <c r="A308" s="53">
        <v>1004050</v>
      </c>
      <c r="B308" s="49" t="s">
        <v>324</v>
      </c>
      <c r="C308" s="25">
        <f t="shared" si="452"/>
        <v>50</v>
      </c>
      <c r="D308" s="25">
        <f t="array" ref="D308">INDEX(C$5:C$67,MATCH($B308,$B$5:$B$67,0))</f>
        <v>5940</v>
      </c>
      <c r="E308" s="25">
        <f t="array" ref="E308">INDEX(D$5:D$67,MATCH($B308,$B$5:$B$67,0))</f>
        <v>475.2</v>
      </c>
      <c r="F308" s="25">
        <f t="array" ref="F308">INDEX(E$5:E$67,MATCH($B308,$B$5:$B$67,0))</f>
        <v>848</v>
      </c>
      <c r="G308" s="25">
        <f t="array" ref="G308">INDEX(F$5:F$67,MATCH($B308,$B$5:$B$67,0))</f>
        <v>67.84</v>
      </c>
      <c r="H308" s="25">
        <f t="array" ref="H308">INDEX(G$5:G$66,MATCH($B308,$B$5:$B$67,0))</f>
        <v>1103</v>
      </c>
      <c r="I308" s="25">
        <f t="array" ref="I308">INDEX(H$5:H$67,MATCH($B308,$B$5:$B$67,0))</f>
        <v>88.24</v>
      </c>
      <c r="J308" s="25">
        <f t="array" ref="J308">INDEX(I$5:I$67,MATCH($B308,$B$5:$B$67,0))</f>
        <v>1045</v>
      </c>
      <c r="K308" s="25">
        <f t="array" ref="K308">INDEX(J$5:J$67,MATCH($B308,$B$5:$B$67,0))</f>
        <v>83.6</v>
      </c>
      <c r="L308" s="25">
        <f t="shared" si="462"/>
        <v>29700</v>
      </c>
      <c r="M308" s="25">
        <f t="shared" si="463"/>
        <v>4240</v>
      </c>
      <c r="N308" s="25">
        <f t="shared" si="464"/>
        <v>5515</v>
      </c>
      <c r="O308" s="25">
        <f t="shared" si="465"/>
        <v>5225</v>
      </c>
      <c r="R308" s="50">
        <f t="array" ref="R308">INDEX($B$46:$B$68,MATCH(S308,$C$46:$C$68,0))*1000+T308</f>
        <v>1009014</v>
      </c>
      <c r="S308" s="51" t="s">
        <v>905</v>
      </c>
      <c r="T308" s="29">
        <f t="shared" si="520"/>
        <v>14</v>
      </c>
      <c r="U308" s="25">
        <f t="array" ref="U308">INDEX(K$5:K$67,MATCH($S308,$B$5:$B$67,0))</f>
        <v>357.84</v>
      </c>
      <c r="V308" s="25">
        <f t="array" ref="V308">INDEX(L$5:L$67,MATCH($S308,$B$5:$B$67,0))</f>
        <v>122.88</v>
      </c>
      <c r="W308" s="25">
        <f t="array" ref="W308">INDEX(M$5:M$67,MATCH($S308,$B$5:$B$67,0))</f>
        <v>155.14</v>
      </c>
      <c r="X308" s="25">
        <f t="array" ref="X308">INDEX(N$5:N$67,MATCH($S308,$B$5:$B$67,0))</f>
        <v>84.15</v>
      </c>
      <c r="Y308" s="25">
        <f t="shared" si="466"/>
        <v>5010</v>
      </c>
      <c r="Z308" s="25">
        <f t="shared" si="467"/>
        <v>1720</v>
      </c>
      <c r="AA308" s="25">
        <f t="shared" si="468"/>
        <v>2172</v>
      </c>
      <c r="AB308" s="25">
        <f t="shared" si="469"/>
        <v>1178</v>
      </c>
      <c r="AF308" s="25">
        <v>230</v>
      </c>
      <c r="AG308" s="25">
        <f t="array" ref="AG308">INDEX($AE$79:$AE$116,QUOTIENT(AF308-1,8)+1)</f>
        <v>1040</v>
      </c>
      <c r="AH308" s="25">
        <f t="shared" si="496"/>
        <v>6</v>
      </c>
      <c r="AI308" s="25">
        <f t="shared" si="470"/>
        <v>10406</v>
      </c>
      <c r="AJ308" s="25" t="str">
        <f t="shared" si="471"/>
        <v>小寒</v>
      </c>
      <c r="AK308" s="25">
        <f t="shared" si="497"/>
        <v>1</v>
      </c>
      <c r="AL308" s="25" t="str">
        <f t="array" ref="AL308">INDEX($O$5:$O$42,MATCH(AJ308,$B$5:$B$42,0))</f>
        <v>攻击百分比</v>
      </c>
      <c r="AM308" s="25" t="str">
        <f t="array" ref="AM308">INDEX($P$5:$P$42,MATCH(AJ308,$B$5:$B$42,0))</f>
        <v>治疗率</v>
      </c>
      <c r="AN308" s="25" t="str">
        <f t="array" ref="AN308">INDEX($Q$5:$Q$42,MATCH(AJ308,$B$5:$B$42,0))</f>
        <v>能量回复等级</v>
      </c>
      <c r="AO308" s="25" t="str">
        <f t="array" ref="AO308">INDEX(AL308:AN308,0,AK308)</f>
        <v>攻击百分比</v>
      </c>
      <c r="AP308" s="25">
        <f t="shared" si="457"/>
        <v>0.216666666666667</v>
      </c>
      <c r="AQ308" s="25">
        <f t="shared" si="472"/>
        <v>0.216666666666667</v>
      </c>
      <c r="AR308" s="25" t="str">
        <f t="shared" ref="AR308:BZ308" si="531">IF(AR$78=$AO308,$AQ308,"0")</f>
        <v>0</v>
      </c>
      <c r="AS308" s="25" t="str">
        <f t="shared" si="531"/>
        <v>0</v>
      </c>
      <c r="AT308" s="25" t="str">
        <f t="shared" si="531"/>
        <v>0</v>
      </c>
      <c r="AU308" s="25">
        <f t="shared" si="531"/>
        <v>0.216666666666667</v>
      </c>
      <c r="AV308" s="25" t="str">
        <f t="shared" si="531"/>
        <v>0</v>
      </c>
      <c r="AW308" s="25">
        <f t="shared" si="531"/>
        <v>0.216666666666667</v>
      </c>
      <c r="AX308" s="25" t="str">
        <f t="shared" si="531"/>
        <v>0</v>
      </c>
      <c r="AY308" s="25" t="str">
        <f t="shared" si="531"/>
        <v>0</v>
      </c>
      <c r="AZ308" s="25" t="str">
        <f t="shared" si="531"/>
        <v>0</v>
      </c>
      <c r="BA308" s="25" t="str">
        <f t="shared" si="531"/>
        <v>0</v>
      </c>
      <c r="BB308" s="25" t="str">
        <f t="shared" si="531"/>
        <v>0</v>
      </c>
      <c r="BC308" s="25" t="str">
        <f t="shared" si="531"/>
        <v>0</v>
      </c>
      <c r="BD308" s="25" t="str">
        <f t="shared" si="531"/>
        <v>0</v>
      </c>
      <c r="BE308" s="25" t="str">
        <f t="shared" si="531"/>
        <v>0</v>
      </c>
      <c r="BF308" s="25" t="str">
        <f t="shared" si="531"/>
        <v>0</v>
      </c>
      <c r="BG308" s="25" t="str">
        <f t="shared" si="531"/>
        <v>0</v>
      </c>
      <c r="BH308" s="25" t="str">
        <f t="shared" si="531"/>
        <v>0</v>
      </c>
      <c r="BI308" s="25" t="str">
        <f t="shared" si="531"/>
        <v>0</v>
      </c>
      <c r="BJ308" s="25" t="str">
        <f t="shared" si="531"/>
        <v>0</v>
      </c>
      <c r="BK308" s="25" t="str">
        <f t="shared" si="531"/>
        <v>0</v>
      </c>
      <c r="BL308" s="25" t="str">
        <f t="shared" si="531"/>
        <v>0</v>
      </c>
      <c r="BM308" s="25" t="str">
        <f t="shared" si="531"/>
        <v>0</v>
      </c>
      <c r="BN308" s="25" t="str">
        <f t="shared" si="531"/>
        <v>0</v>
      </c>
      <c r="BO308" s="25" t="str">
        <f t="shared" si="531"/>
        <v>0</v>
      </c>
      <c r="BP308" s="25" t="str">
        <f t="shared" si="531"/>
        <v>0</v>
      </c>
      <c r="BQ308" s="25" t="str">
        <f t="shared" si="531"/>
        <v>0</v>
      </c>
      <c r="BR308" s="25" t="str">
        <f t="shared" si="531"/>
        <v>0</v>
      </c>
      <c r="BS308" s="25" t="str">
        <f t="shared" si="531"/>
        <v>0</v>
      </c>
      <c r="BT308" s="25" t="str">
        <f t="shared" si="531"/>
        <v>0</v>
      </c>
      <c r="BU308" s="25" t="str">
        <f t="shared" si="531"/>
        <v>0</v>
      </c>
      <c r="BV308" s="25" t="str">
        <f t="shared" si="531"/>
        <v>0</v>
      </c>
      <c r="BW308" s="25" t="str">
        <f t="shared" si="531"/>
        <v>0</v>
      </c>
      <c r="BX308" s="25" t="str">
        <f t="shared" si="531"/>
        <v>0</v>
      </c>
      <c r="BY308" s="25" t="str">
        <f t="shared" si="531"/>
        <v>0</v>
      </c>
      <c r="BZ308" s="25" t="str">
        <f t="shared" si="531"/>
        <v>0</v>
      </c>
    </row>
    <row r="309" spans="1:78">
      <c r="A309" s="53">
        <v>1004051</v>
      </c>
      <c r="B309" s="49" t="s">
        <v>324</v>
      </c>
      <c r="C309" s="25">
        <f t="shared" si="452"/>
        <v>51</v>
      </c>
      <c r="D309" s="25">
        <f t="array" ref="D309">INDEX(C$5:C$67,MATCH($B309,$B$5:$B$67,0))</f>
        <v>5940</v>
      </c>
      <c r="E309" s="25">
        <f t="array" ref="E309">INDEX(D$5:D$67,MATCH($B309,$B$5:$B$67,0))</f>
        <v>475.2</v>
      </c>
      <c r="F309" s="25">
        <f t="array" ref="F309">INDEX(E$5:E$67,MATCH($B309,$B$5:$B$67,0))</f>
        <v>848</v>
      </c>
      <c r="G309" s="25">
        <f t="array" ref="G309">INDEX(F$5:F$67,MATCH($B309,$B$5:$B$67,0))</f>
        <v>67.84</v>
      </c>
      <c r="H309" s="25">
        <f t="array" ref="H309">INDEX(G$5:G$66,MATCH($B309,$B$5:$B$67,0))</f>
        <v>1103</v>
      </c>
      <c r="I309" s="25">
        <f t="array" ref="I309">INDEX(H$5:H$67,MATCH($B309,$B$5:$B$67,0))</f>
        <v>88.24</v>
      </c>
      <c r="J309" s="25">
        <f t="array" ref="J309">INDEX(I$5:I$67,MATCH($B309,$B$5:$B$67,0))</f>
        <v>1045</v>
      </c>
      <c r="K309" s="25">
        <f t="array" ref="K309">INDEX(J$5:J$67,MATCH($B309,$B$5:$B$67,0))</f>
        <v>83.6</v>
      </c>
      <c r="L309" s="25">
        <f t="shared" si="462"/>
        <v>30175</v>
      </c>
      <c r="M309" s="25">
        <f t="shared" si="463"/>
        <v>4308</v>
      </c>
      <c r="N309" s="25">
        <f t="shared" si="464"/>
        <v>5603</v>
      </c>
      <c r="O309" s="25">
        <f t="shared" si="465"/>
        <v>5309</v>
      </c>
      <c r="R309" s="50">
        <f t="array" ref="R309">INDEX($B$46:$B$68,MATCH(S309,$C$46:$C$68,0))*1000+T309</f>
        <v>1009015</v>
      </c>
      <c r="S309" s="51" t="s">
        <v>905</v>
      </c>
      <c r="T309" s="29">
        <f t="shared" si="520"/>
        <v>15</v>
      </c>
      <c r="U309" s="25">
        <f t="array" ref="U309">INDEX(K$5:K$67,MATCH($S309,$B$5:$B$67,0))</f>
        <v>357.84</v>
      </c>
      <c r="V309" s="25">
        <f t="array" ref="V309">INDEX(L$5:L$67,MATCH($S309,$B$5:$B$67,0))</f>
        <v>122.88</v>
      </c>
      <c r="W309" s="25">
        <f t="array" ref="W309">INDEX(M$5:M$67,MATCH($S309,$B$5:$B$67,0))</f>
        <v>155.14</v>
      </c>
      <c r="X309" s="25">
        <f t="array" ref="X309">INDEX(N$5:N$67,MATCH($S309,$B$5:$B$67,0))</f>
        <v>84.15</v>
      </c>
      <c r="Y309" s="25">
        <f t="shared" si="466"/>
        <v>5368</v>
      </c>
      <c r="Z309" s="25">
        <f t="shared" si="467"/>
        <v>1843</v>
      </c>
      <c r="AA309" s="25">
        <f t="shared" si="468"/>
        <v>2327</v>
      </c>
      <c r="AB309" s="25">
        <f t="shared" si="469"/>
        <v>1262</v>
      </c>
      <c r="AF309" s="25">
        <v>231</v>
      </c>
      <c r="AG309" s="25">
        <f t="array" ref="AG309">INDEX($AE$79:$AE$116,QUOTIENT(AF309-1,8)+1)</f>
        <v>1040</v>
      </c>
      <c r="AH309" s="25">
        <f t="shared" si="496"/>
        <v>7</v>
      </c>
      <c r="AI309" s="25">
        <f t="shared" si="470"/>
        <v>10407</v>
      </c>
      <c r="AJ309" s="25" t="str">
        <f t="shared" si="471"/>
        <v>小寒</v>
      </c>
      <c r="AK309" s="25">
        <f t="shared" si="497"/>
        <v>2</v>
      </c>
      <c r="AL309" s="25" t="str">
        <f t="array" ref="AL309">INDEX($O$5:$O$42,MATCH(AJ309,$B$5:$B$42,0))</f>
        <v>攻击百分比</v>
      </c>
      <c r="AM309" s="25" t="str">
        <f t="array" ref="AM309">INDEX($P$5:$P$42,MATCH(AJ309,$B$5:$B$42,0))</f>
        <v>治疗率</v>
      </c>
      <c r="AN309" s="25" t="str">
        <f t="array" ref="AN309">INDEX($Q$5:$Q$42,MATCH(AJ309,$B$5:$B$42,0))</f>
        <v>能量回复等级</v>
      </c>
      <c r="AO309" s="25" t="str">
        <f t="array" ref="AO309">INDEX(AL309:AN309,0,AK309)</f>
        <v>治疗率</v>
      </c>
      <c r="AP309" s="25">
        <f t="shared" si="457"/>
        <v>0.15</v>
      </c>
      <c r="AQ309" s="25">
        <f t="shared" si="472"/>
        <v>0.075</v>
      </c>
      <c r="AR309" s="25" t="str">
        <f t="shared" ref="AR309:BZ309" si="532">IF(AR$78=$AO309,$AQ309,"0")</f>
        <v>0</v>
      </c>
      <c r="AS309" s="25" t="str">
        <f t="shared" si="532"/>
        <v>0</v>
      </c>
      <c r="AT309" s="25" t="str">
        <f t="shared" si="532"/>
        <v>0</v>
      </c>
      <c r="AU309" s="25" t="str">
        <f t="shared" si="532"/>
        <v>0</v>
      </c>
      <c r="AV309" s="25" t="str">
        <f t="shared" si="532"/>
        <v>0</v>
      </c>
      <c r="AW309" s="25" t="str">
        <f t="shared" si="532"/>
        <v>0</v>
      </c>
      <c r="AX309" s="25" t="str">
        <f t="shared" si="532"/>
        <v>0</v>
      </c>
      <c r="AY309" s="25" t="str">
        <f t="shared" si="532"/>
        <v>0</v>
      </c>
      <c r="AZ309" s="25" t="str">
        <f t="shared" si="532"/>
        <v>0</v>
      </c>
      <c r="BA309" s="25" t="str">
        <f t="shared" si="532"/>
        <v>0</v>
      </c>
      <c r="BB309" s="25" t="str">
        <f t="shared" si="532"/>
        <v>0</v>
      </c>
      <c r="BC309" s="25" t="str">
        <f t="shared" si="532"/>
        <v>0</v>
      </c>
      <c r="BD309" s="25" t="str">
        <f t="shared" si="532"/>
        <v>0</v>
      </c>
      <c r="BE309" s="25" t="str">
        <f t="shared" si="532"/>
        <v>0</v>
      </c>
      <c r="BF309" s="25" t="str">
        <f t="shared" si="532"/>
        <v>0</v>
      </c>
      <c r="BG309" s="25" t="str">
        <f t="shared" si="532"/>
        <v>0</v>
      </c>
      <c r="BH309" s="25" t="str">
        <f t="shared" si="532"/>
        <v>0</v>
      </c>
      <c r="BI309" s="25" t="str">
        <f t="shared" si="532"/>
        <v>0</v>
      </c>
      <c r="BJ309" s="25">
        <f t="shared" si="532"/>
        <v>0.075</v>
      </c>
      <c r="BK309" s="25" t="str">
        <f t="shared" si="532"/>
        <v>0</v>
      </c>
      <c r="BL309" s="25" t="str">
        <f t="shared" si="532"/>
        <v>0</v>
      </c>
      <c r="BM309" s="25" t="str">
        <f t="shared" si="532"/>
        <v>0</v>
      </c>
      <c r="BN309" s="25" t="str">
        <f t="shared" si="532"/>
        <v>0</v>
      </c>
      <c r="BO309" s="25" t="str">
        <f t="shared" si="532"/>
        <v>0</v>
      </c>
      <c r="BP309" s="25" t="str">
        <f t="shared" si="532"/>
        <v>0</v>
      </c>
      <c r="BQ309" s="25" t="str">
        <f t="shared" si="532"/>
        <v>0</v>
      </c>
      <c r="BR309" s="25" t="str">
        <f t="shared" si="532"/>
        <v>0</v>
      </c>
      <c r="BS309" s="25" t="str">
        <f t="shared" si="532"/>
        <v>0</v>
      </c>
      <c r="BT309" s="25" t="str">
        <f t="shared" si="532"/>
        <v>0</v>
      </c>
      <c r="BU309" s="25" t="str">
        <f t="shared" si="532"/>
        <v>0</v>
      </c>
      <c r="BV309" s="25" t="str">
        <f t="shared" si="532"/>
        <v>0</v>
      </c>
      <c r="BW309" s="25" t="str">
        <f t="shared" si="532"/>
        <v>0</v>
      </c>
      <c r="BX309" s="25" t="str">
        <f t="shared" si="532"/>
        <v>0</v>
      </c>
      <c r="BY309" s="25" t="str">
        <f t="shared" si="532"/>
        <v>0</v>
      </c>
      <c r="BZ309" s="25" t="str">
        <f t="shared" si="532"/>
        <v>0</v>
      </c>
    </row>
    <row r="310" spans="1:78">
      <c r="A310" s="53">
        <v>1004052</v>
      </c>
      <c r="B310" s="49" t="s">
        <v>324</v>
      </c>
      <c r="C310" s="25">
        <f t="shared" si="452"/>
        <v>52</v>
      </c>
      <c r="D310" s="25">
        <f t="array" ref="D310">INDEX(C$5:C$67,MATCH($B310,$B$5:$B$67,0))</f>
        <v>5940</v>
      </c>
      <c r="E310" s="25">
        <f t="array" ref="E310">INDEX(D$5:D$67,MATCH($B310,$B$5:$B$67,0))</f>
        <v>475.2</v>
      </c>
      <c r="F310" s="25">
        <f t="array" ref="F310">INDEX(E$5:E$67,MATCH($B310,$B$5:$B$67,0))</f>
        <v>848</v>
      </c>
      <c r="G310" s="25">
        <f t="array" ref="G310">INDEX(F$5:F$67,MATCH($B310,$B$5:$B$67,0))</f>
        <v>67.84</v>
      </c>
      <c r="H310" s="25">
        <f t="array" ref="H310">INDEX(G$5:G$66,MATCH($B310,$B$5:$B$67,0))</f>
        <v>1103</v>
      </c>
      <c r="I310" s="25">
        <f t="array" ref="I310">INDEX(H$5:H$67,MATCH($B310,$B$5:$B$67,0))</f>
        <v>88.24</v>
      </c>
      <c r="J310" s="25">
        <f t="array" ref="J310">INDEX(I$5:I$67,MATCH($B310,$B$5:$B$67,0))</f>
        <v>1045</v>
      </c>
      <c r="K310" s="25">
        <f t="array" ref="K310">INDEX(J$5:J$67,MATCH($B310,$B$5:$B$67,0))</f>
        <v>83.6</v>
      </c>
      <c r="L310" s="25">
        <f t="shared" si="462"/>
        <v>30650</v>
      </c>
      <c r="M310" s="25">
        <f t="shared" si="463"/>
        <v>4376</v>
      </c>
      <c r="N310" s="25">
        <f t="shared" si="464"/>
        <v>5691</v>
      </c>
      <c r="O310" s="25">
        <f t="shared" si="465"/>
        <v>5392</v>
      </c>
      <c r="R310" s="50">
        <f t="array" ref="R310">INDEX($B$46:$B$68,MATCH(S310,$C$46:$C$68,0))*1000+T310</f>
        <v>1009016</v>
      </c>
      <c r="S310" s="51" t="s">
        <v>905</v>
      </c>
      <c r="T310" s="29">
        <f t="shared" si="520"/>
        <v>16</v>
      </c>
      <c r="U310" s="25">
        <f t="array" ref="U310">INDEX(K$5:K$67,MATCH($S310,$B$5:$B$67,0))</f>
        <v>357.84</v>
      </c>
      <c r="V310" s="25">
        <f t="array" ref="V310">INDEX(L$5:L$67,MATCH($S310,$B$5:$B$67,0))</f>
        <v>122.88</v>
      </c>
      <c r="W310" s="25">
        <f t="array" ref="W310">INDEX(M$5:M$67,MATCH($S310,$B$5:$B$67,0))</f>
        <v>155.14</v>
      </c>
      <c r="X310" s="25">
        <f t="array" ref="X310">INDEX(N$5:N$67,MATCH($S310,$B$5:$B$67,0))</f>
        <v>84.15</v>
      </c>
      <c r="Y310" s="25">
        <f t="shared" si="466"/>
        <v>5725</v>
      </c>
      <c r="Z310" s="25">
        <f t="shared" si="467"/>
        <v>1966</v>
      </c>
      <c r="AA310" s="25">
        <f t="shared" si="468"/>
        <v>2482</v>
      </c>
      <c r="AB310" s="25">
        <f t="shared" si="469"/>
        <v>1346</v>
      </c>
      <c r="AF310" s="25">
        <v>232</v>
      </c>
      <c r="AG310" s="25">
        <f t="array" ref="AG310">INDEX($AE$79:$AE$116,QUOTIENT(AF310-1,8)+1)</f>
        <v>1040</v>
      </c>
      <c r="AH310" s="25">
        <f t="shared" si="496"/>
        <v>8</v>
      </c>
      <c r="AI310" s="25">
        <f t="shared" si="470"/>
        <v>10408</v>
      </c>
      <c r="AJ310" s="25" t="str">
        <f t="shared" si="471"/>
        <v>小寒</v>
      </c>
      <c r="AK310" s="25">
        <f t="shared" si="497"/>
        <v>3</v>
      </c>
      <c r="AL310" s="25" t="str">
        <f t="array" ref="AL310">INDEX($O$5:$O$42,MATCH(AJ310,$B$5:$B$42,0))</f>
        <v>攻击百分比</v>
      </c>
      <c r="AM310" s="25" t="str">
        <f t="array" ref="AM310">INDEX($P$5:$P$42,MATCH(AJ310,$B$5:$B$42,0))</f>
        <v>治疗率</v>
      </c>
      <c r="AN310" s="25" t="str">
        <f t="array" ref="AN310">INDEX($Q$5:$Q$42,MATCH(AJ310,$B$5:$B$42,0))</f>
        <v>能量回复等级</v>
      </c>
      <c r="AO310" s="25" t="str">
        <f t="array" ref="AO310">INDEX(AL310:AN310,0,AK310)</f>
        <v>能量回复等级</v>
      </c>
      <c r="AP310" s="25">
        <f t="shared" si="457"/>
        <v>0.216666666666667</v>
      </c>
      <c r="AQ310" s="25">
        <f t="shared" si="472"/>
        <v>1950</v>
      </c>
      <c r="AR310" s="25" t="str">
        <f t="shared" ref="AR310:BZ310" si="533">IF(AR$78=$AO310,$AQ310,"0")</f>
        <v>0</v>
      </c>
      <c r="AS310" s="25" t="str">
        <f t="shared" si="533"/>
        <v>0</v>
      </c>
      <c r="AT310" s="25" t="str">
        <f t="shared" si="533"/>
        <v>0</v>
      </c>
      <c r="AU310" s="25" t="str">
        <f t="shared" si="533"/>
        <v>0</v>
      </c>
      <c r="AV310" s="25" t="str">
        <f t="shared" si="533"/>
        <v>0</v>
      </c>
      <c r="AW310" s="25" t="str">
        <f t="shared" si="533"/>
        <v>0</v>
      </c>
      <c r="AX310" s="25" t="str">
        <f t="shared" si="533"/>
        <v>0</v>
      </c>
      <c r="AY310" s="25" t="str">
        <f t="shared" si="533"/>
        <v>0</v>
      </c>
      <c r="AZ310" s="25" t="str">
        <f t="shared" si="533"/>
        <v>0</v>
      </c>
      <c r="BA310" s="25" t="str">
        <f t="shared" si="533"/>
        <v>0</v>
      </c>
      <c r="BB310" s="25" t="str">
        <f t="shared" si="533"/>
        <v>0</v>
      </c>
      <c r="BC310" s="25" t="str">
        <f t="shared" si="533"/>
        <v>0</v>
      </c>
      <c r="BD310" s="25" t="str">
        <f t="shared" si="533"/>
        <v>0</v>
      </c>
      <c r="BE310" s="25" t="str">
        <f t="shared" si="533"/>
        <v>0</v>
      </c>
      <c r="BF310" s="25" t="str">
        <f t="shared" si="533"/>
        <v>0</v>
      </c>
      <c r="BG310" s="25" t="str">
        <f t="shared" si="533"/>
        <v>0</v>
      </c>
      <c r="BH310" s="25" t="str">
        <f t="shared" si="533"/>
        <v>0</v>
      </c>
      <c r="BI310" s="25" t="str">
        <f t="shared" si="533"/>
        <v>0</v>
      </c>
      <c r="BJ310" s="25" t="str">
        <f t="shared" si="533"/>
        <v>0</v>
      </c>
      <c r="BK310" s="25" t="str">
        <f t="shared" si="533"/>
        <v>0</v>
      </c>
      <c r="BL310" s="25" t="str">
        <f t="shared" si="533"/>
        <v>0</v>
      </c>
      <c r="BM310" s="25" t="str">
        <f t="shared" si="533"/>
        <v>0</v>
      </c>
      <c r="BN310" s="25" t="str">
        <f t="shared" si="533"/>
        <v>0</v>
      </c>
      <c r="BO310" s="25" t="str">
        <f t="shared" si="533"/>
        <v>0</v>
      </c>
      <c r="BP310" s="25" t="str">
        <f t="shared" si="533"/>
        <v>0</v>
      </c>
      <c r="BQ310" s="25" t="str">
        <f t="shared" si="533"/>
        <v>0</v>
      </c>
      <c r="BR310" s="25" t="str">
        <f t="shared" si="533"/>
        <v>0</v>
      </c>
      <c r="BS310" s="25" t="str">
        <f t="shared" si="533"/>
        <v>0</v>
      </c>
      <c r="BT310" s="25" t="str">
        <f t="shared" si="533"/>
        <v>0</v>
      </c>
      <c r="BU310" s="25" t="str">
        <f t="shared" si="533"/>
        <v>0</v>
      </c>
      <c r="BV310" s="25" t="str">
        <f t="shared" si="533"/>
        <v>0</v>
      </c>
      <c r="BW310" s="25" t="str">
        <f t="shared" si="533"/>
        <v>0</v>
      </c>
      <c r="BX310" s="25" t="str">
        <f t="shared" si="533"/>
        <v>0</v>
      </c>
      <c r="BY310" s="25">
        <f t="shared" si="533"/>
        <v>1950</v>
      </c>
      <c r="BZ310" s="25" t="str">
        <f t="shared" si="533"/>
        <v>0</v>
      </c>
    </row>
    <row r="311" spans="1:78">
      <c r="A311" s="53">
        <v>1004053</v>
      </c>
      <c r="B311" s="49" t="s">
        <v>324</v>
      </c>
      <c r="C311" s="25">
        <f t="shared" si="452"/>
        <v>53</v>
      </c>
      <c r="D311" s="25">
        <f t="array" ref="D311">INDEX(C$5:C$67,MATCH($B311,$B$5:$B$67,0))</f>
        <v>5940</v>
      </c>
      <c r="E311" s="25">
        <f t="array" ref="E311">INDEX(D$5:D$67,MATCH($B311,$B$5:$B$67,0))</f>
        <v>475.2</v>
      </c>
      <c r="F311" s="25">
        <f t="array" ref="F311">INDEX(E$5:E$67,MATCH($B311,$B$5:$B$67,0))</f>
        <v>848</v>
      </c>
      <c r="G311" s="25">
        <f t="array" ref="G311">INDEX(F$5:F$67,MATCH($B311,$B$5:$B$67,0))</f>
        <v>67.84</v>
      </c>
      <c r="H311" s="25">
        <f t="array" ref="H311">INDEX(G$5:G$66,MATCH($B311,$B$5:$B$67,0))</f>
        <v>1103</v>
      </c>
      <c r="I311" s="25">
        <f t="array" ref="I311">INDEX(H$5:H$67,MATCH($B311,$B$5:$B$67,0))</f>
        <v>88.24</v>
      </c>
      <c r="J311" s="25">
        <f t="array" ref="J311">INDEX(I$5:I$67,MATCH($B311,$B$5:$B$67,0))</f>
        <v>1045</v>
      </c>
      <c r="K311" s="25">
        <f t="array" ref="K311">INDEX(J$5:J$67,MATCH($B311,$B$5:$B$67,0))</f>
        <v>83.6</v>
      </c>
      <c r="L311" s="25">
        <f t="shared" si="462"/>
        <v>31126</v>
      </c>
      <c r="M311" s="25">
        <f t="shared" si="463"/>
        <v>4444</v>
      </c>
      <c r="N311" s="25">
        <f t="shared" si="464"/>
        <v>5780</v>
      </c>
      <c r="O311" s="25">
        <f t="shared" si="465"/>
        <v>5476</v>
      </c>
      <c r="R311" s="50">
        <f t="array" ref="R311">INDEX($B$46:$B$68,MATCH(S311,$C$46:$C$68,0))*1000+T311</f>
        <v>1009017</v>
      </c>
      <c r="S311" s="51" t="s">
        <v>905</v>
      </c>
      <c r="T311" s="29">
        <f t="shared" si="520"/>
        <v>17</v>
      </c>
      <c r="U311" s="25">
        <f t="array" ref="U311">INDEX(K$5:K$67,MATCH($S311,$B$5:$B$67,0))</f>
        <v>357.84</v>
      </c>
      <c r="V311" s="25">
        <f t="array" ref="V311">INDEX(L$5:L$67,MATCH($S311,$B$5:$B$67,0))</f>
        <v>122.88</v>
      </c>
      <c r="W311" s="25">
        <f t="array" ref="W311">INDEX(M$5:M$67,MATCH($S311,$B$5:$B$67,0))</f>
        <v>155.14</v>
      </c>
      <c r="X311" s="25">
        <f t="array" ref="X311">INDEX(N$5:N$67,MATCH($S311,$B$5:$B$67,0))</f>
        <v>84.15</v>
      </c>
      <c r="Y311" s="25">
        <f t="shared" si="466"/>
        <v>6083</v>
      </c>
      <c r="Z311" s="25">
        <f t="shared" si="467"/>
        <v>2089</v>
      </c>
      <c r="AA311" s="25">
        <f t="shared" si="468"/>
        <v>2637</v>
      </c>
      <c r="AB311" s="25">
        <f t="shared" si="469"/>
        <v>1431</v>
      </c>
    </row>
    <row r="312" spans="1:78">
      <c r="A312" s="53">
        <v>1004054</v>
      </c>
      <c r="B312" s="49" t="s">
        <v>324</v>
      </c>
      <c r="C312" s="25">
        <f t="shared" si="452"/>
        <v>54</v>
      </c>
      <c r="D312" s="25">
        <f t="array" ref="D312">INDEX(C$5:C$67,MATCH($B312,$B$5:$B$67,0))</f>
        <v>5940</v>
      </c>
      <c r="E312" s="25">
        <f t="array" ref="E312">INDEX(D$5:D$67,MATCH($B312,$B$5:$B$67,0))</f>
        <v>475.2</v>
      </c>
      <c r="F312" s="25">
        <f t="array" ref="F312">INDEX(E$5:E$67,MATCH($B312,$B$5:$B$67,0))</f>
        <v>848</v>
      </c>
      <c r="G312" s="25">
        <f t="array" ref="G312">INDEX(F$5:F$67,MATCH($B312,$B$5:$B$67,0))</f>
        <v>67.84</v>
      </c>
      <c r="H312" s="25">
        <f t="array" ref="H312">INDEX(G$5:G$66,MATCH($B312,$B$5:$B$67,0))</f>
        <v>1103</v>
      </c>
      <c r="I312" s="25">
        <f t="array" ref="I312">INDEX(H$5:H$67,MATCH($B312,$B$5:$B$67,0))</f>
        <v>88.24</v>
      </c>
      <c r="J312" s="25">
        <f t="array" ref="J312">INDEX(I$5:I$67,MATCH($B312,$B$5:$B$67,0))</f>
        <v>1045</v>
      </c>
      <c r="K312" s="25">
        <f t="array" ref="K312">INDEX(J$5:J$67,MATCH($B312,$B$5:$B$67,0))</f>
        <v>83.6</v>
      </c>
      <c r="L312" s="25">
        <f t="shared" si="462"/>
        <v>31601</v>
      </c>
      <c r="M312" s="25">
        <f t="shared" si="463"/>
        <v>4511</v>
      </c>
      <c r="N312" s="25">
        <f t="shared" si="464"/>
        <v>5868</v>
      </c>
      <c r="O312" s="25">
        <f t="shared" si="465"/>
        <v>5559</v>
      </c>
      <c r="R312" s="50">
        <f t="array" ref="R312">INDEX($B$46:$B$68,MATCH(S312,$C$46:$C$68,0))*1000+T312</f>
        <v>1009018</v>
      </c>
      <c r="S312" s="51" t="s">
        <v>905</v>
      </c>
      <c r="T312" s="29">
        <f t="shared" si="520"/>
        <v>18</v>
      </c>
      <c r="U312" s="25">
        <f t="array" ref="U312">INDEX(K$5:K$67,MATCH($S312,$B$5:$B$67,0))</f>
        <v>357.84</v>
      </c>
      <c r="V312" s="25">
        <f t="array" ref="V312">INDEX(L$5:L$67,MATCH($S312,$B$5:$B$67,0))</f>
        <v>122.88</v>
      </c>
      <c r="W312" s="25">
        <f t="array" ref="W312">INDEX(M$5:M$67,MATCH($S312,$B$5:$B$67,0))</f>
        <v>155.14</v>
      </c>
      <c r="X312" s="25">
        <f t="array" ref="X312">INDEX(N$5:N$67,MATCH($S312,$B$5:$B$67,0))</f>
        <v>84.15</v>
      </c>
      <c r="Y312" s="25">
        <f t="shared" si="466"/>
        <v>6441</v>
      </c>
      <c r="Z312" s="25">
        <f t="shared" si="467"/>
        <v>2212</v>
      </c>
      <c r="AA312" s="25">
        <f t="shared" si="468"/>
        <v>2793</v>
      </c>
      <c r="AB312" s="25">
        <f t="shared" si="469"/>
        <v>1515</v>
      </c>
    </row>
    <row r="313" spans="1:78">
      <c r="A313" s="53">
        <v>1004055</v>
      </c>
      <c r="B313" s="49" t="s">
        <v>324</v>
      </c>
      <c r="C313" s="25">
        <f t="shared" si="452"/>
        <v>55</v>
      </c>
      <c r="D313" s="25">
        <f t="array" ref="D313">INDEX(C$5:C$67,MATCH($B313,$B$5:$B$67,0))</f>
        <v>5940</v>
      </c>
      <c r="E313" s="25">
        <f t="array" ref="E313">INDEX(D$5:D$67,MATCH($B313,$B$5:$B$67,0))</f>
        <v>475.2</v>
      </c>
      <c r="F313" s="25">
        <f t="array" ref="F313">INDEX(E$5:E$67,MATCH($B313,$B$5:$B$67,0))</f>
        <v>848</v>
      </c>
      <c r="G313" s="25">
        <f t="array" ref="G313">INDEX(F$5:F$67,MATCH($B313,$B$5:$B$67,0))</f>
        <v>67.84</v>
      </c>
      <c r="H313" s="25">
        <f t="array" ref="H313">INDEX(G$5:G$66,MATCH($B313,$B$5:$B$67,0))</f>
        <v>1103</v>
      </c>
      <c r="I313" s="25">
        <f t="array" ref="I313">INDEX(H$5:H$67,MATCH($B313,$B$5:$B$67,0))</f>
        <v>88.24</v>
      </c>
      <c r="J313" s="25">
        <f t="array" ref="J313">INDEX(I$5:I$67,MATCH($B313,$B$5:$B$67,0))</f>
        <v>1045</v>
      </c>
      <c r="K313" s="25">
        <f t="array" ref="K313">INDEX(J$5:J$67,MATCH($B313,$B$5:$B$67,0))</f>
        <v>83.6</v>
      </c>
      <c r="L313" s="25">
        <f t="shared" si="462"/>
        <v>32076</v>
      </c>
      <c r="M313" s="25">
        <f t="shared" si="463"/>
        <v>4579</v>
      </c>
      <c r="N313" s="25">
        <f t="shared" si="464"/>
        <v>5956</v>
      </c>
      <c r="O313" s="25">
        <f t="shared" si="465"/>
        <v>5643</v>
      </c>
      <c r="R313" s="50">
        <f t="array" ref="R313">INDEX($B$46:$B$68,MATCH(S313,$C$46:$C$68,0))*1000+T313</f>
        <v>1009019</v>
      </c>
      <c r="S313" s="51" t="s">
        <v>905</v>
      </c>
      <c r="T313" s="29">
        <f t="shared" si="520"/>
        <v>19</v>
      </c>
      <c r="U313" s="25">
        <f t="array" ref="U313">INDEX(K$5:K$67,MATCH($S313,$B$5:$B$67,0))</f>
        <v>357.84</v>
      </c>
      <c r="V313" s="25">
        <f t="array" ref="V313">INDEX(L$5:L$67,MATCH($S313,$B$5:$B$67,0))</f>
        <v>122.88</v>
      </c>
      <c r="W313" s="25">
        <f t="array" ref="W313">INDEX(M$5:M$67,MATCH($S313,$B$5:$B$67,0))</f>
        <v>155.14</v>
      </c>
      <c r="X313" s="25">
        <f t="array" ref="X313">INDEX(N$5:N$67,MATCH($S313,$B$5:$B$67,0))</f>
        <v>84.15</v>
      </c>
      <c r="Y313" s="25">
        <f t="shared" si="466"/>
        <v>6799</v>
      </c>
      <c r="Z313" s="25">
        <f t="shared" si="467"/>
        <v>2335</v>
      </c>
      <c r="AA313" s="25">
        <f t="shared" si="468"/>
        <v>2948</v>
      </c>
      <c r="AB313" s="25">
        <f t="shared" si="469"/>
        <v>1599</v>
      </c>
    </row>
    <row r="314" spans="1:78">
      <c r="A314" s="53">
        <v>1004056</v>
      </c>
      <c r="B314" s="49" t="s">
        <v>324</v>
      </c>
      <c r="C314" s="25">
        <f t="shared" si="452"/>
        <v>56</v>
      </c>
      <c r="D314" s="25">
        <f t="array" ref="D314">INDEX(C$5:C$67,MATCH($B314,$B$5:$B$67,0))</f>
        <v>5940</v>
      </c>
      <c r="E314" s="25">
        <f t="array" ref="E314">INDEX(D$5:D$67,MATCH($B314,$B$5:$B$67,0))</f>
        <v>475.2</v>
      </c>
      <c r="F314" s="25">
        <f t="array" ref="F314">INDEX(E$5:E$67,MATCH($B314,$B$5:$B$67,0))</f>
        <v>848</v>
      </c>
      <c r="G314" s="25">
        <f t="array" ref="G314">INDEX(F$5:F$67,MATCH($B314,$B$5:$B$67,0))</f>
        <v>67.84</v>
      </c>
      <c r="H314" s="25">
        <f t="array" ref="H314">INDEX(G$5:G$66,MATCH($B314,$B$5:$B$67,0))</f>
        <v>1103</v>
      </c>
      <c r="I314" s="25">
        <f t="array" ref="I314">INDEX(H$5:H$67,MATCH($B314,$B$5:$B$67,0))</f>
        <v>88.24</v>
      </c>
      <c r="J314" s="25">
        <f t="array" ref="J314">INDEX(I$5:I$67,MATCH($B314,$B$5:$B$67,0))</f>
        <v>1045</v>
      </c>
      <c r="K314" s="25">
        <f t="array" ref="K314">INDEX(J$5:J$67,MATCH($B314,$B$5:$B$67,0))</f>
        <v>83.6</v>
      </c>
      <c r="L314" s="25">
        <f t="shared" si="462"/>
        <v>32551</v>
      </c>
      <c r="M314" s="25">
        <f t="shared" si="463"/>
        <v>4647</v>
      </c>
      <c r="N314" s="25">
        <f t="shared" si="464"/>
        <v>6044</v>
      </c>
      <c r="O314" s="25">
        <f t="shared" si="465"/>
        <v>5727</v>
      </c>
      <c r="R314" s="50">
        <f t="array" ref="R314">INDEX($B$46:$B$68,MATCH(S314,$C$46:$C$68,0))*1000+T314</f>
        <v>1009020</v>
      </c>
      <c r="S314" s="51" t="s">
        <v>905</v>
      </c>
      <c r="T314" s="29">
        <f t="shared" si="520"/>
        <v>20</v>
      </c>
      <c r="U314" s="25">
        <f t="array" ref="U314">INDEX(K$5:K$67,MATCH($S314,$B$5:$B$67,0))</f>
        <v>357.84</v>
      </c>
      <c r="V314" s="25">
        <f t="array" ref="V314">INDEX(L$5:L$67,MATCH($S314,$B$5:$B$67,0))</f>
        <v>122.88</v>
      </c>
      <c r="W314" s="25">
        <f t="array" ref="W314">INDEX(M$5:M$67,MATCH($S314,$B$5:$B$67,0))</f>
        <v>155.14</v>
      </c>
      <c r="X314" s="25">
        <f t="array" ref="X314">INDEX(N$5:N$67,MATCH($S314,$B$5:$B$67,0))</f>
        <v>84.15</v>
      </c>
      <c r="Y314" s="25">
        <f t="shared" si="466"/>
        <v>7157</v>
      </c>
      <c r="Z314" s="25">
        <f t="shared" si="467"/>
        <v>2458</v>
      </c>
      <c r="AA314" s="25">
        <f t="shared" si="468"/>
        <v>3103</v>
      </c>
      <c r="AB314" s="25">
        <f t="shared" si="469"/>
        <v>1683</v>
      </c>
    </row>
    <row r="315" spans="1:78">
      <c r="A315" s="53">
        <v>1004057</v>
      </c>
      <c r="B315" s="49" t="s">
        <v>324</v>
      </c>
      <c r="C315" s="25">
        <f t="shared" si="452"/>
        <v>57</v>
      </c>
      <c r="D315" s="25">
        <f t="array" ref="D315">INDEX(C$5:C$67,MATCH($B315,$B$5:$B$67,0))</f>
        <v>5940</v>
      </c>
      <c r="E315" s="25">
        <f t="array" ref="E315">INDEX(D$5:D$67,MATCH($B315,$B$5:$B$67,0))</f>
        <v>475.2</v>
      </c>
      <c r="F315" s="25">
        <f t="array" ref="F315">INDEX(E$5:E$67,MATCH($B315,$B$5:$B$67,0))</f>
        <v>848</v>
      </c>
      <c r="G315" s="25">
        <f t="array" ref="G315">INDEX(F$5:F$67,MATCH($B315,$B$5:$B$67,0))</f>
        <v>67.84</v>
      </c>
      <c r="H315" s="25">
        <f t="array" ref="H315">INDEX(G$5:G$66,MATCH($B315,$B$5:$B$67,0))</f>
        <v>1103</v>
      </c>
      <c r="I315" s="25">
        <f t="array" ref="I315">INDEX(H$5:H$67,MATCH($B315,$B$5:$B$67,0))</f>
        <v>88.24</v>
      </c>
      <c r="J315" s="25">
        <f t="array" ref="J315">INDEX(I$5:I$67,MATCH($B315,$B$5:$B$67,0))</f>
        <v>1045</v>
      </c>
      <c r="K315" s="25">
        <f t="array" ref="K315">INDEX(J$5:J$67,MATCH($B315,$B$5:$B$67,0))</f>
        <v>83.6</v>
      </c>
      <c r="L315" s="25">
        <f t="shared" si="462"/>
        <v>33026</v>
      </c>
      <c r="M315" s="25">
        <f t="shared" si="463"/>
        <v>4715</v>
      </c>
      <c r="N315" s="25">
        <f t="shared" si="464"/>
        <v>6133</v>
      </c>
      <c r="O315" s="25">
        <f t="shared" si="465"/>
        <v>5810</v>
      </c>
      <c r="R315" s="50">
        <f t="array" ref="R315">INDEX($B$46:$B$68,MATCH(S315,$C$46:$C$68,0))*1000+T315</f>
        <v>1009021</v>
      </c>
      <c r="S315" s="51" t="s">
        <v>905</v>
      </c>
      <c r="T315" s="29">
        <f t="shared" si="520"/>
        <v>21</v>
      </c>
      <c r="U315" s="25">
        <f t="array" ref="U315">INDEX(K$5:K$67,MATCH($S315,$B$5:$B$67,0))</f>
        <v>357.84</v>
      </c>
      <c r="V315" s="25">
        <f t="array" ref="V315">INDEX(L$5:L$67,MATCH($S315,$B$5:$B$67,0))</f>
        <v>122.88</v>
      </c>
      <c r="W315" s="25">
        <f t="array" ref="W315">INDEX(M$5:M$67,MATCH($S315,$B$5:$B$67,0))</f>
        <v>155.14</v>
      </c>
      <c r="X315" s="25">
        <f t="array" ref="X315">INDEX(N$5:N$67,MATCH($S315,$B$5:$B$67,0))</f>
        <v>84.15</v>
      </c>
      <c r="Y315" s="25">
        <f t="shared" si="466"/>
        <v>7515</v>
      </c>
      <c r="Z315" s="25">
        <f t="shared" si="467"/>
        <v>2580</v>
      </c>
      <c r="AA315" s="25">
        <f t="shared" si="468"/>
        <v>3258</v>
      </c>
      <c r="AB315" s="25">
        <f t="shared" si="469"/>
        <v>1767</v>
      </c>
    </row>
    <row r="316" spans="1:78">
      <c r="A316" s="53">
        <v>1004058</v>
      </c>
      <c r="B316" s="49" t="s">
        <v>324</v>
      </c>
      <c r="C316" s="25">
        <f t="shared" si="452"/>
        <v>58</v>
      </c>
      <c r="D316" s="25">
        <f t="array" ref="D316">INDEX(C$5:C$67,MATCH($B316,$B$5:$B$67,0))</f>
        <v>5940</v>
      </c>
      <c r="E316" s="25">
        <f t="array" ref="E316">INDEX(D$5:D$67,MATCH($B316,$B$5:$B$67,0))</f>
        <v>475.2</v>
      </c>
      <c r="F316" s="25">
        <f t="array" ref="F316">INDEX(E$5:E$67,MATCH($B316,$B$5:$B$67,0))</f>
        <v>848</v>
      </c>
      <c r="G316" s="25">
        <f t="array" ref="G316">INDEX(F$5:F$67,MATCH($B316,$B$5:$B$67,0))</f>
        <v>67.84</v>
      </c>
      <c r="H316" s="25">
        <f t="array" ref="H316">INDEX(G$5:G$66,MATCH($B316,$B$5:$B$67,0))</f>
        <v>1103</v>
      </c>
      <c r="I316" s="25">
        <f t="array" ref="I316">INDEX(H$5:H$67,MATCH($B316,$B$5:$B$67,0))</f>
        <v>88.24</v>
      </c>
      <c r="J316" s="25">
        <f t="array" ref="J316">INDEX(I$5:I$67,MATCH($B316,$B$5:$B$67,0))</f>
        <v>1045</v>
      </c>
      <c r="K316" s="25">
        <f t="array" ref="K316">INDEX(J$5:J$67,MATCH($B316,$B$5:$B$67,0))</f>
        <v>83.6</v>
      </c>
      <c r="L316" s="25">
        <f t="shared" si="462"/>
        <v>33502</v>
      </c>
      <c r="M316" s="25">
        <f t="shared" si="463"/>
        <v>4783</v>
      </c>
      <c r="N316" s="25">
        <f t="shared" si="464"/>
        <v>6221</v>
      </c>
      <c r="O316" s="25">
        <f t="shared" si="465"/>
        <v>5894</v>
      </c>
      <c r="R316" s="50">
        <f t="array" ref="R316">INDEX($B$46:$B$68,MATCH(S316,$C$46:$C$68,0))*1000+T316</f>
        <v>1009022</v>
      </c>
      <c r="S316" s="51" t="s">
        <v>905</v>
      </c>
      <c r="T316" s="29">
        <f t="shared" si="520"/>
        <v>22</v>
      </c>
      <c r="U316" s="25">
        <f t="array" ref="U316">INDEX(K$5:K$67,MATCH($S316,$B$5:$B$67,0))</f>
        <v>357.84</v>
      </c>
      <c r="V316" s="25">
        <f t="array" ref="V316">INDEX(L$5:L$67,MATCH($S316,$B$5:$B$67,0))</f>
        <v>122.88</v>
      </c>
      <c r="W316" s="25">
        <f t="array" ref="W316">INDEX(M$5:M$67,MATCH($S316,$B$5:$B$67,0))</f>
        <v>155.14</v>
      </c>
      <c r="X316" s="25">
        <f t="array" ref="X316">INDEX(N$5:N$67,MATCH($S316,$B$5:$B$67,0))</f>
        <v>84.15</v>
      </c>
      <c r="Y316" s="25">
        <f t="shared" si="466"/>
        <v>7872</v>
      </c>
      <c r="Z316" s="25">
        <f t="shared" si="467"/>
        <v>2703</v>
      </c>
      <c r="AA316" s="25">
        <f t="shared" si="468"/>
        <v>3413</v>
      </c>
      <c r="AB316" s="25">
        <f t="shared" si="469"/>
        <v>1851</v>
      </c>
    </row>
    <row r="317" spans="1:78">
      <c r="A317" s="53">
        <v>1004059</v>
      </c>
      <c r="B317" s="49" t="s">
        <v>324</v>
      </c>
      <c r="C317" s="25">
        <f t="shared" si="452"/>
        <v>59</v>
      </c>
      <c r="D317" s="25">
        <f t="array" ref="D317">INDEX(C$5:C$67,MATCH($B317,$B$5:$B$67,0))</f>
        <v>5940</v>
      </c>
      <c r="E317" s="25">
        <f t="array" ref="E317">INDEX(D$5:D$67,MATCH($B317,$B$5:$B$67,0))</f>
        <v>475.2</v>
      </c>
      <c r="F317" s="25">
        <f t="array" ref="F317">INDEX(E$5:E$67,MATCH($B317,$B$5:$B$67,0))</f>
        <v>848</v>
      </c>
      <c r="G317" s="25">
        <f t="array" ref="G317">INDEX(F$5:F$67,MATCH($B317,$B$5:$B$67,0))</f>
        <v>67.84</v>
      </c>
      <c r="H317" s="25">
        <f t="array" ref="H317">INDEX(G$5:G$66,MATCH($B317,$B$5:$B$67,0))</f>
        <v>1103</v>
      </c>
      <c r="I317" s="25">
        <f t="array" ref="I317">INDEX(H$5:H$67,MATCH($B317,$B$5:$B$67,0))</f>
        <v>88.24</v>
      </c>
      <c r="J317" s="25">
        <f t="array" ref="J317">INDEX(I$5:I$67,MATCH($B317,$B$5:$B$67,0))</f>
        <v>1045</v>
      </c>
      <c r="K317" s="25">
        <f t="array" ref="K317">INDEX(J$5:J$67,MATCH($B317,$B$5:$B$67,0))</f>
        <v>83.6</v>
      </c>
      <c r="L317" s="25">
        <f t="shared" si="462"/>
        <v>33977</v>
      </c>
      <c r="M317" s="25">
        <f t="shared" si="463"/>
        <v>4851</v>
      </c>
      <c r="N317" s="25">
        <f t="shared" si="464"/>
        <v>6309</v>
      </c>
      <c r="O317" s="25">
        <f t="shared" si="465"/>
        <v>5977</v>
      </c>
      <c r="R317" s="50">
        <f t="array" ref="R317">INDEX($B$46:$B$68,MATCH(S317,$C$46:$C$68,0))*1000+T317</f>
        <v>1009023</v>
      </c>
      <c r="S317" s="51" t="s">
        <v>905</v>
      </c>
      <c r="T317" s="29">
        <f t="shared" si="520"/>
        <v>23</v>
      </c>
      <c r="U317" s="25">
        <f t="array" ref="U317">INDEX(K$5:K$67,MATCH($S317,$B$5:$B$67,0))</f>
        <v>357.84</v>
      </c>
      <c r="V317" s="25">
        <f t="array" ref="V317">INDEX(L$5:L$67,MATCH($S317,$B$5:$B$67,0))</f>
        <v>122.88</v>
      </c>
      <c r="W317" s="25">
        <f t="array" ref="W317">INDEX(M$5:M$67,MATCH($S317,$B$5:$B$67,0))</f>
        <v>155.14</v>
      </c>
      <c r="X317" s="25">
        <f t="array" ref="X317">INDEX(N$5:N$67,MATCH($S317,$B$5:$B$67,0))</f>
        <v>84.15</v>
      </c>
      <c r="Y317" s="25">
        <f t="shared" si="466"/>
        <v>8230</v>
      </c>
      <c r="Z317" s="25">
        <f t="shared" si="467"/>
        <v>2826</v>
      </c>
      <c r="AA317" s="25">
        <f t="shared" si="468"/>
        <v>3568</v>
      </c>
      <c r="AB317" s="25">
        <f t="shared" si="469"/>
        <v>1935</v>
      </c>
    </row>
    <row r="318" spans="1:78">
      <c r="A318" s="53">
        <v>1004060</v>
      </c>
      <c r="B318" s="49" t="s">
        <v>324</v>
      </c>
      <c r="C318" s="25">
        <f t="shared" si="452"/>
        <v>60</v>
      </c>
      <c r="D318" s="25">
        <f t="array" ref="D318">INDEX(C$5:C$67,MATCH($B318,$B$5:$B$67,0))</f>
        <v>5940</v>
      </c>
      <c r="E318" s="25">
        <f t="array" ref="E318">INDEX(D$5:D$67,MATCH($B318,$B$5:$B$67,0))</f>
        <v>475.2</v>
      </c>
      <c r="F318" s="25">
        <f t="array" ref="F318">INDEX(E$5:E$67,MATCH($B318,$B$5:$B$67,0))</f>
        <v>848</v>
      </c>
      <c r="G318" s="25">
        <f t="array" ref="G318">INDEX(F$5:F$67,MATCH($B318,$B$5:$B$67,0))</f>
        <v>67.84</v>
      </c>
      <c r="H318" s="25">
        <f t="array" ref="H318">INDEX(G$5:G$66,MATCH($B318,$B$5:$B$67,0))</f>
        <v>1103</v>
      </c>
      <c r="I318" s="25">
        <f t="array" ref="I318">INDEX(H$5:H$67,MATCH($B318,$B$5:$B$67,0))</f>
        <v>88.24</v>
      </c>
      <c r="J318" s="25">
        <f t="array" ref="J318">INDEX(I$5:I$67,MATCH($B318,$B$5:$B$67,0))</f>
        <v>1045</v>
      </c>
      <c r="K318" s="25">
        <f t="array" ref="K318">INDEX(J$5:J$67,MATCH($B318,$B$5:$B$67,0))</f>
        <v>83.6</v>
      </c>
      <c r="L318" s="25">
        <f t="shared" si="462"/>
        <v>34452</v>
      </c>
      <c r="M318" s="25">
        <f t="shared" si="463"/>
        <v>4918</v>
      </c>
      <c r="N318" s="25">
        <f t="shared" si="464"/>
        <v>6397</v>
      </c>
      <c r="O318" s="25">
        <f t="shared" si="465"/>
        <v>6061</v>
      </c>
      <c r="R318" s="50">
        <f t="array" ref="R318">INDEX($B$46:$B$68,MATCH(S318,$C$46:$C$68,0))*1000+T318</f>
        <v>1009024</v>
      </c>
      <c r="S318" s="51" t="s">
        <v>905</v>
      </c>
      <c r="T318" s="29">
        <f t="shared" si="520"/>
        <v>24</v>
      </c>
      <c r="U318" s="25">
        <f t="array" ref="U318">INDEX(K$5:K$67,MATCH($S318,$B$5:$B$67,0))</f>
        <v>357.84</v>
      </c>
      <c r="V318" s="25">
        <f t="array" ref="V318">INDEX(L$5:L$67,MATCH($S318,$B$5:$B$67,0))</f>
        <v>122.88</v>
      </c>
      <c r="W318" s="25">
        <f t="array" ref="W318">INDEX(M$5:M$67,MATCH($S318,$B$5:$B$67,0))</f>
        <v>155.14</v>
      </c>
      <c r="X318" s="25">
        <f t="array" ref="X318">INDEX(N$5:N$67,MATCH($S318,$B$5:$B$67,0))</f>
        <v>84.15</v>
      </c>
      <c r="Y318" s="25">
        <f t="shared" si="466"/>
        <v>8588</v>
      </c>
      <c r="Z318" s="25">
        <f t="shared" si="467"/>
        <v>2949</v>
      </c>
      <c r="AA318" s="25">
        <f t="shared" si="468"/>
        <v>3723</v>
      </c>
      <c r="AB318" s="25">
        <f t="shared" si="469"/>
        <v>2020</v>
      </c>
    </row>
    <row r="319" spans="1:78">
      <c r="A319" s="48">
        <v>1005001</v>
      </c>
      <c r="B319" s="49" t="s">
        <v>327</v>
      </c>
      <c r="C319" s="25">
        <f t="shared" si="452"/>
        <v>1</v>
      </c>
      <c r="D319" s="25">
        <f t="array" ref="D319">INDEX(C$5:C$67,MATCH($B319,$B$5:$B$67,0))</f>
        <v>4725</v>
      </c>
      <c r="E319" s="25">
        <f t="array" ref="E319">INDEX(D$5:D$67,MATCH($B319,$B$5:$B$67,0))</f>
        <v>378</v>
      </c>
      <c r="F319" s="25">
        <f t="array" ref="F319">INDEX(E$5:E$67,MATCH($B319,$B$5:$B$67,0))</f>
        <v>1650</v>
      </c>
      <c r="G319" s="25">
        <f t="array" ref="G319">INDEX(F$5:F$67,MATCH($B319,$B$5:$B$67,0))</f>
        <v>132</v>
      </c>
      <c r="H319" s="25">
        <f t="array" ref="H319">INDEX(G$5:G$66,MATCH($B319,$B$5:$B$67,0))</f>
        <v>1188</v>
      </c>
      <c r="I319" s="25">
        <f t="array" ref="I319">INDEX(H$5:H$67,MATCH($B319,$B$5:$B$67,0))</f>
        <v>95.04</v>
      </c>
      <c r="J319" s="25">
        <f t="array" ref="J319">INDEX(I$5:I$67,MATCH($B319,$B$5:$B$67,0))</f>
        <v>1000</v>
      </c>
      <c r="K319" s="25">
        <f t="array" ref="K319">INDEX(J$5:J$67,MATCH($B319,$B$5:$B$67,0))</f>
        <v>80</v>
      </c>
      <c r="L319" s="25">
        <f t="shared" si="462"/>
        <v>5103</v>
      </c>
      <c r="M319" s="25">
        <f t="shared" si="463"/>
        <v>1782</v>
      </c>
      <c r="N319" s="25">
        <f t="shared" si="464"/>
        <v>1283</v>
      </c>
      <c r="O319" s="25">
        <f t="shared" si="465"/>
        <v>1080</v>
      </c>
      <c r="R319" s="50">
        <f t="array" ref="R319">INDEX($B$46:$B$68,MATCH(S319,$C$46:$C$68,0))*1000+T319</f>
        <v>1009025</v>
      </c>
      <c r="S319" s="51" t="s">
        <v>905</v>
      </c>
      <c r="T319" s="29">
        <f t="shared" si="520"/>
        <v>25</v>
      </c>
      <c r="U319" s="25">
        <f t="array" ref="U319">INDEX(K$5:K$67,MATCH($S319,$B$5:$B$67,0))</f>
        <v>357.84</v>
      </c>
      <c r="V319" s="25">
        <f t="array" ref="V319">INDEX(L$5:L$67,MATCH($S319,$B$5:$B$67,0))</f>
        <v>122.88</v>
      </c>
      <c r="W319" s="25">
        <f t="array" ref="W319">INDEX(M$5:M$67,MATCH($S319,$B$5:$B$67,0))</f>
        <v>155.14</v>
      </c>
      <c r="X319" s="25">
        <f t="array" ref="X319">INDEX(N$5:N$67,MATCH($S319,$B$5:$B$67,0))</f>
        <v>84.15</v>
      </c>
      <c r="Y319" s="25">
        <f t="shared" si="466"/>
        <v>8946</v>
      </c>
      <c r="Z319" s="25">
        <f t="shared" si="467"/>
        <v>3072</v>
      </c>
      <c r="AA319" s="25">
        <f t="shared" si="468"/>
        <v>3879</v>
      </c>
      <c r="AB319" s="25">
        <f t="shared" si="469"/>
        <v>2104</v>
      </c>
    </row>
    <row r="320" spans="1:78">
      <c r="A320" s="48">
        <v>1005002</v>
      </c>
      <c r="B320" s="49" t="s">
        <v>327</v>
      </c>
      <c r="C320" s="25">
        <f t="shared" si="452"/>
        <v>2</v>
      </c>
      <c r="D320" s="25">
        <f t="array" ref="D320">INDEX(C$5:C$67,MATCH($B320,$B$5:$B$67,0))</f>
        <v>4725</v>
      </c>
      <c r="E320" s="25">
        <f t="array" ref="E320">INDEX(D$5:D$67,MATCH($B320,$B$5:$B$67,0))</f>
        <v>378</v>
      </c>
      <c r="F320" s="25">
        <f t="array" ref="F320">INDEX(E$5:E$67,MATCH($B320,$B$5:$B$67,0))</f>
        <v>1650</v>
      </c>
      <c r="G320" s="25">
        <f t="array" ref="G320">INDEX(F$5:F$67,MATCH($B320,$B$5:$B$67,0))</f>
        <v>132</v>
      </c>
      <c r="H320" s="25">
        <f t="array" ref="H320">INDEX(G$5:G$66,MATCH($B320,$B$5:$B$67,0))</f>
        <v>1188</v>
      </c>
      <c r="I320" s="25">
        <f t="array" ref="I320">INDEX(H$5:H$67,MATCH($B320,$B$5:$B$67,0))</f>
        <v>95.04</v>
      </c>
      <c r="J320" s="25">
        <f t="array" ref="J320">INDEX(I$5:I$67,MATCH($B320,$B$5:$B$67,0))</f>
        <v>1000</v>
      </c>
      <c r="K320" s="25">
        <f t="array" ref="K320">INDEX(J$5:J$67,MATCH($B320,$B$5:$B$67,0))</f>
        <v>80</v>
      </c>
      <c r="L320" s="25">
        <f t="shared" si="462"/>
        <v>5481</v>
      </c>
      <c r="M320" s="25">
        <f t="shared" si="463"/>
        <v>1914</v>
      </c>
      <c r="N320" s="25">
        <f t="shared" si="464"/>
        <v>1378</v>
      </c>
      <c r="O320" s="25">
        <f t="shared" si="465"/>
        <v>1160</v>
      </c>
      <c r="R320" s="50">
        <f t="array" ref="R320">INDEX($B$46:$B$68,MATCH(S320,$C$46:$C$68,0))*1000+T320</f>
        <v>1009026</v>
      </c>
      <c r="S320" s="51" t="s">
        <v>905</v>
      </c>
      <c r="T320" s="29">
        <f t="shared" si="520"/>
        <v>26</v>
      </c>
      <c r="U320" s="25">
        <f t="array" ref="U320">INDEX(K$5:K$67,MATCH($S320,$B$5:$B$67,0))</f>
        <v>357.84</v>
      </c>
      <c r="V320" s="25">
        <f t="array" ref="V320">INDEX(L$5:L$67,MATCH($S320,$B$5:$B$67,0))</f>
        <v>122.88</v>
      </c>
      <c r="W320" s="25">
        <f t="array" ref="W320">INDEX(M$5:M$67,MATCH($S320,$B$5:$B$67,0))</f>
        <v>155.14</v>
      </c>
      <c r="X320" s="25">
        <f t="array" ref="X320">INDEX(N$5:N$67,MATCH($S320,$B$5:$B$67,0))</f>
        <v>84.15</v>
      </c>
      <c r="Y320" s="25">
        <f t="shared" si="466"/>
        <v>9304</v>
      </c>
      <c r="Z320" s="25">
        <f t="shared" si="467"/>
        <v>3195</v>
      </c>
      <c r="AA320" s="25">
        <f t="shared" si="468"/>
        <v>4034</v>
      </c>
      <c r="AB320" s="25">
        <f t="shared" si="469"/>
        <v>2188</v>
      </c>
    </row>
    <row r="321" spans="1:28">
      <c r="A321" s="48">
        <v>1005003</v>
      </c>
      <c r="B321" s="49" t="s">
        <v>327</v>
      </c>
      <c r="C321" s="25">
        <f t="shared" si="452"/>
        <v>3</v>
      </c>
      <c r="D321" s="25">
        <f t="array" ref="D321">INDEX(C$5:C$67,MATCH($B321,$B$5:$B$67,0))</f>
        <v>4725</v>
      </c>
      <c r="E321" s="25">
        <f t="array" ref="E321">INDEX(D$5:D$67,MATCH($B321,$B$5:$B$67,0))</f>
        <v>378</v>
      </c>
      <c r="F321" s="25">
        <f t="array" ref="F321">INDEX(E$5:E$67,MATCH($B321,$B$5:$B$67,0))</f>
        <v>1650</v>
      </c>
      <c r="G321" s="25">
        <f t="array" ref="G321">INDEX(F$5:F$67,MATCH($B321,$B$5:$B$67,0))</f>
        <v>132</v>
      </c>
      <c r="H321" s="25">
        <f t="array" ref="H321">INDEX(G$5:G$66,MATCH($B321,$B$5:$B$67,0))</f>
        <v>1188</v>
      </c>
      <c r="I321" s="25">
        <f t="array" ref="I321">INDEX(H$5:H$67,MATCH($B321,$B$5:$B$67,0))</f>
        <v>95.04</v>
      </c>
      <c r="J321" s="25">
        <f t="array" ref="J321">INDEX(I$5:I$67,MATCH($B321,$B$5:$B$67,0))</f>
        <v>1000</v>
      </c>
      <c r="K321" s="25">
        <f t="array" ref="K321">INDEX(J$5:J$67,MATCH($B321,$B$5:$B$67,0))</f>
        <v>80</v>
      </c>
      <c r="L321" s="25">
        <f t="shared" si="462"/>
        <v>5859</v>
      </c>
      <c r="M321" s="25">
        <f t="shared" si="463"/>
        <v>2046</v>
      </c>
      <c r="N321" s="25">
        <f t="shared" si="464"/>
        <v>1473</v>
      </c>
      <c r="O321" s="25">
        <f t="shared" si="465"/>
        <v>1240</v>
      </c>
      <c r="R321" s="50">
        <f t="array" ref="R321">INDEX($B$46:$B$68,MATCH(S321,$C$46:$C$68,0))*1000+T321</f>
        <v>1009027</v>
      </c>
      <c r="S321" s="51" t="s">
        <v>905</v>
      </c>
      <c r="T321" s="29">
        <f t="shared" si="520"/>
        <v>27</v>
      </c>
      <c r="U321" s="25">
        <f t="array" ref="U321">INDEX(K$5:K$67,MATCH($S321,$B$5:$B$67,0))</f>
        <v>357.84</v>
      </c>
      <c r="V321" s="25">
        <f t="array" ref="V321">INDEX(L$5:L$67,MATCH($S321,$B$5:$B$67,0))</f>
        <v>122.88</v>
      </c>
      <c r="W321" s="25">
        <f t="array" ref="W321">INDEX(M$5:M$67,MATCH($S321,$B$5:$B$67,0))</f>
        <v>155.14</v>
      </c>
      <c r="X321" s="25">
        <f t="array" ref="X321">INDEX(N$5:N$67,MATCH($S321,$B$5:$B$67,0))</f>
        <v>84.15</v>
      </c>
      <c r="Y321" s="25">
        <f t="shared" si="466"/>
        <v>9662</v>
      </c>
      <c r="Z321" s="25">
        <f t="shared" si="467"/>
        <v>3318</v>
      </c>
      <c r="AA321" s="25">
        <f t="shared" si="468"/>
        <v>4189</v>
      </c>
      <c r="AB321" s="25">
        <f t="shared" si="469"/>
        <v>2272</v>
      </c>
    </row>
    <row r="322" spans="1:28">
      <c r="A322" s="48">
        <v>1005004</v>
      </c>
      <c r="B322" s="49" t="s">
        <v>327</v>
      </c>
      <c r="C322" s="25">
        <f t="shared" si="452"/>
        <v>4</v>
      </c>
      <c r="D322" s="25">
        <f t="array" ref="D322">INDEX(C$5:C$67,MATCH($B322,$B$5:$B$67,0))</f>
        <v>4725</v>
      </c>
      <c r="E322" s="25">
        <f t="array" ref="E322">INDEX(D$5:D$67,MATCH($B322,$B$5:$B$67,0))</f>
        <v>378</v>
      </c>
      <c r="F322" s="25">
        <f t="array" ref="F322">INDEX(E$5:E$67,MATCH($B322,$B$5:$B$67,0))</f>
        <v>1650</v>
      </c>
      <c r="G322" s="25">
        <f t="array" ref="G322">INDEX(F$5:F$67,MATCH($B322,$B$5:$B$67,0))</f>
        <v>132</v>
      </c>
      <c r="H322" s="25">
        <f t="array" ref="H322">INDEX(G$5:G$66,MATCH($B322,$B$5:$B$67,0))</f>
        <v>1188</v>
      </c>
      <c r="I322" s="25">
        <f t="array" ref="I322">INDEX(H$5:H$67,MATCH($B322,$B$5:$B$67,0))</f>
        <v>95.04</v>
      </c>
      <c r="J322" s="25">
        <f t="array" ref="J322">INDEX(I$5:I$67,MATCH($B322,$B$5:$B$67,0))</f>
        <v>1000</v>
      </c>
      <c r="K322" s="25">
        <f t="array" ref="K322">INDEX(J$5:J$67,MATCH($B322,$B$5:$B$67,0))</f>
        <v>80</v>
      </c>
      <c r="L322" s="25">
        <f t="shared" si="462"/>
        <v>6237</v>
      </c>
      <c r="M322" s="25">
        <f t="shared" si="463"/>
        <v>2178</v>
      </c>
      <c r="N322" s="25">
        <f t="shared" si="464"/>
        <v>1568</v>
      </c>
      <c r="O322" s="25">
        <f t="shared" si="465"/>
        <v>1320</v>
      </c>
      <c r="R322" s="50">
        <f t="array" ref="R322">INDEX($B$46:$B$68,MATCH(S322,$C$46:$C$68,0))*1000+T322</f>
        <v>1011001</v>
      </c>
      <c r="S322" s="51" t="s">
        <v>335</v>
      </c>
      <c r="T322" s="29">
        <f t="shared" si="520"/>
        <v>1</v>
      </c>
      <c r="U322" s="25">
        <f t="array" ref="U322">INDEX(K$5:K$67,MATCH($S322,$B$5:$B$67,0))</f>
        <v>347.62</v>
      </c>
      <c r="V322" s="25">
        <f t="array" ref="V322">INDEX(L$5:L$67,MATCH($S322,$B$5:$B$67,0))</f>
        <v>74.47</v>
      </c>
      <c r="W322" s="25">
        <f t="array" ref="W322">INDEX(M$5:M$67,MATCH($S322,$B$5:$B$67,0))</f>
        <v>96.77</v>
      </c>
      <c r="X322" s="25">
        <f t="array" ref="X322">INDEX(N$5:N$67,MATCH($S322,$B$5:$B$67,0))</f>
        <v>71.06</v>
      </c>
      <c r="Y322" s="25">
        <f t="shared" si="466"/>
        <v>348</v>
      </c>
      <c r="Z322" s="25">
        <f t="shared" si="467"/>
        <v>74</v>
      </c>
      <c r="AA322" s="25">
        <f t="shared" si="468"/>
        <v>97</v>
      </c>
      <c r="AB322" s="25">
        <f t="shared" si="469"/>
        <v>71</v>
      </c>
    </row>
    <row r="323" spans="1:28">
      <c r="A323" s="48">
        <v>1005005</v>
      </c>
      <c r="B323" s="49" t="s">
        <v>327</v>
      </c>
      <c r="C323" s="25">
        <f t="shared" si="452"/>
        <v>5</v>
      </c>
      <c r="D323" s="25">
        <f t="array" ref="D323">INDEX(C$5:C$67,MATCH($B323,$B$5:$B$67,0))</f>
        <v>4725</v>
      </c>
      <c r="E323" s="25">
        <f t="array" ref="E323">INDEX(D$5:D$67,MATCH($B323,$B$5:$B$67,0))</f>
        <v>378</v>
      </c>
      <c r="F323" s="25">
        <f t="array" ref="F323">INDEX(E$5:E$67,MATCH($B323,$B$5:$B$67,0))</f>
        <v>1650</v>
      </c>
      <c r="G323" s="25">
        <f t="array" ref="G323">INDEX(F$5:F$67,MATCH($B323,$B$5:$B$67,0))</f>
        <v>132</v>
      </c>
      <c r="H323" s="25">
        <f t="array" ref="H323">INDEX(G$5:G$66,MATCH($B323,$B$5:$B$67,0))</f>
        <v>1188</v>
      </c>
      <c r="I323" s="25">
        <f t="array" ref="I323">INDEX(H$5:H$67,MATCH($B323,$B$5:$B$67,0))</f>
        <v>95.04</v>
      </c>
      <c r="J323" s="25">
        <f t="array" ref="J323">INDEX(I$5:I$67,MATCH($B323,$B$5:$B$67,0))</f>
        <v>1000</v>
      </c>
      <c r="K323" s="25">
        <f t="array" ref="K323">INDEX(J$5:J$67,MATCH($B323,$B$5:$B$67,0))</f>
        <v>80</v>
      </c>
      <c r="L323" s="25">
        <f t="shared" si="462"/>
        <v>6615</v>
      </c>
      <c r="M323" s="25">
        <f t="shared" si="463"/>
        <v>2310</v>
      </c>
      <c r="N323" s="25">
        <f t="shared" si="464"/>
        <v>1663</v>
      </c>
      <c r="O323" s="25">
        <f t="shared" si="465"/>
        <v>1400</v>
      </c>
      <c r="R323" s="50">
        <f t="array" ref="R323">INDEX($B$46:$B$68,MATCH(S323,$C$46:$C$68,0))*1000+T323</f>
        <v>1011002</v>
      </c>
      <c r="S323" s="51" t="s">
        <v>335</v>
      </c>
      <c r="T323" s="29">
        <f t="shared" si="520"/>
        <v>2</v>
      </c>
      <c r="U323" s="25">
        <f t="array" ref="U323">INDEX(K$5:K$67,MATCH($S323,$B$5:$B$67,0))</f>
        <v>347.62</v>
      </c>
      <c r="V323" s="25">
        <f t="array" ref="V323">INDEX(L$5:L$67,MATCH($S323,$B$5:$B$67,0))</f>
        <v>74.47</v>
      </c>
      <c r="W323" s="25">
        <f t="array" ref="W323">INDEX(M$5:M$67,MATCH($S323,$B$5:$B$67,0))</f>
        <v>96.77</v>
      </c>
      <c r="X323" s="25">
        <f t="array" ref="X323">INDEX(N$5:N$67,MATCH($S323,$B$5:$B$67,0))</f>
        <v>71.06</v>
      </c>
      <c r="Y323" s="25">
        <f t="shared" si="466"/>
        <v>695</v>
      </c>
      <c r="Z323" s="25">
        <f t="shared" si="467"/>
        <v>149</v>
      </c>
      <c r="AA323" s="25">
        <f t="shared" si="468"/>
        <v>194</v>
      </c>
      <c r="AB323" s="25">
        <f t="shared" si="469"/>
        <v>142</v>
      </c>
    </row>
    <row r="324" spans="1:28">
      <c r="A324" s="48">
        <v>1005006</v>
      </c>
      <c r="B324" s="49" t="s">
        <v>327</v>
      </c>
      <c r="C324" s="25">
        <f t="shared" si="452"/>
        <v>6</v>
      </c>
      <c r="D324" s="25">
        <f t="array" ref="D324">INDEX(C$5:C$67,MATCH($B324,$B$5:$B$67,0))</f>
        <v>4725</v>
      </c>
      <c r="E324" s="25">
        <f t="array" ref="E324">INDEX(D$5:D$67,MATCH($B324,$B$5:$B$67,0))</f>
        <v>378</v>
      </c>
      <c r="F324" s="25">
        <f t="array" ref="F324">INDEX(E$5:E$67,MATCH($B324,$B$5:$B$67,0))</f>
        <v>1650</v>
      </c>
      <c r="G324" s="25">
        <f t="array" ref="G324">INDEX(F$5:F$67,MATCH($B324,$B$5:$B$67,0))</f>
        <v>132</v>
      </c>
      <c r="H324" s="25">
        <f t="array" ref="H324">INDEX(G$5:G$66,MATCH($B324,$B$5:$B$67,0))</f>
        <v>1188</v>
      </c>
      <c r="I324" s="25">
        <f t="array" ref="I324">INDEX(H$5:H$67,MATCH($B324,$B$5:$B$67,0))</f>
        <v>95.04</v>
      </c>
      <c r="J324" s="25">
        <f t="array" ref="J324">INDEX(I$5:I$67,MATCH($B324,$B$5:$B$67,0))</f>
        <v>1000</v>
      </c>
      <c r="K324" s="25">
        <f t="array" ref="K324">INDEX(J$5:J$67,MATCH($B324,$B$5:$B$67,0))</f>
        <v>80</v>
      </c>
      <c r="L324" s="25">
        <f t="shared" si="462"/>
        <v>6993</v>
      </c>
      <c r="M324" s="25">
        <f t="shared" si="463"/>
        <v>2442</v>
      </c>
      <c r="N324" s="25">
        <f t="shared" si="464"/>
        <v>1758</v>
      </c>
      <c r="O324" s="25">
        <f t="shared" si="465"/>
        <v>1480</v>
      </c>
      <c r="R324" s="50">
        <f t="array" ref="R324">INDEX($B$46:$B$68,MATCH(S324,$C$46:$C$68,0))*1000+T324</f>
        <v>1011003</v>
      </c>
      <c r="S324" s="51" t="s">
        <v>335</v>
      </c>
      <c r="T324" s="29">
        <f t="shared" si="520"/>
        <v>3</v>
      </c>
      <c r="U324" s="25">
        <f t="array" ref="U324">INDEX(K$5:K$67,MATCH($S324,$B$5:$B$67,0))</f>
        <v>347.62</v>
      </c>
      <c r="V324" s="25">
        <f t="array" ref="V324">INDEX(L$5:L$67,MATCH($S324,$B$5:$B$67,0))</f>
        <v>74.47</v>
      </c>
      <c r="W324" s="25">
        <f t="array" ref="W324">INDEX(M$5:M$67,MATCH($S324,$B$5:$B$67,0))</f>
        <v>96.77</v>
      </c>
      <c r="X324" s="25">
        <f t="array" ref="X324">INDEX(N$5:N$67,MATCH($S324,$B$5:$B$67,0))</f>
        <v>71.06</v>
      </c>
      <c r="Y324" s="25">
        <f t="shared" si="466"/>
        <v>1043</v>
      </c>
      <c r="Z324" s="25">
        <f t="shared" si="467"/>
        <v>223</v>
      </c>
      <c r="AA324" s="25">
        <f t="shared" si="468"/>
        <v>290</v>
      </c>
      <c r="AB324" s="25">
        <f t="shared" si="469"/>
        <v>213</v>
      </c>
    </row>
    <row r="325" spans="1:28">
      <c r="A325" s="48">
        <v>1005007</v>
      </c>
      <c r="B325" s="49" t="s">
        <v>327</v>
      </c>
      <c r="C325" s="25">
        <f t="shared" si="452"/>
        <v>7</v>
      </c>
      <c r="D325" s="25">
        <f t="array" ref="D325">INDEX(C$5:C$67,MATCH($B325,$B$5:$B$67,0))</f>
        <v>4725</v>
      </c>
      <c r="E325" s="25">
        <f t="array" ref="E325">INDEX(D$5:D$67,MATCH($B325,$B$5:$B$67,0))</f>
        <v>378</v>
      </c>
      <c r="F325" s="25">
        <f t="array" ref="F325">INDEX(E$5:E$67,MATCH($B325,$B$5:$B$67,0))</f>
        <v>1650</v>
      </c>
      <c r="G325" s="25">
        <f t="array" ref="G325">INDEX(F$5:F$67,MATCH($B325,$B$5:$B$67,0))</f>
        <v>132</v>
      </c>
      <c r="H325" s="25">
        <f t="array" ref="H325">INDEX(G$5:G$66,MATCH($B325,$B$5:$B$67,0))</f>
        <v>1188</v>
      </c>
      <c r="I325" s="25">
        <f t="array" ref="I325">INDEX(H$5:H$67,MATCH($B325,$B$5:$B$67,0))</f>
        <v>95.04</v>
      </c>
      <c r="J325" s="25">
        <f t="array" ref="J325">INDEX(I$5:I$67,MATCH($B325,$B$5:$B$67,0))</f>
        <v>1000</v>
      </c>
      <c r="K325" s="25">
        <f t="array" ref="K325">INDEX(J$5:J$67,MATCH($B325,$B$5:$B$67,0))</f>
        <v>80</v>
      </c>
      <c r="L325" s="25">
        <f t="shared" si="462"/>
        <v>7371</v>
      </c>
      <c r="M325" s="25">
        <f t="shared" si="463"/>
        <v>2574</v>
      </c>
      <c r="N325" s="25">
        <f t="shared" si="464"/>
        <v>1853</v>
      </c>
      <c r="O325" s="25">
        <f t="shared" si="465"/>
        <v>1560</v>
      </c>
      <c r="R325" s="50">
        <f t="array" ref="R325">INDEX($B$46:$B$68,MATCH(S325,$C$46:$C$68,0))*1000+T325</f>
        <v>1011004</v>
      </c>
      <c r="S325" s="51" t="s">
        <v>335</v>
      </c>
      <c r="T325" s="29">
        <f t="shared" si="520"/>
        <v>4</v>
      </c>
      <c r="U325" s="25">
        <f t="array" ref="U325">INDEX(K$5:K$67,MATCH($S325,$B$5:$B$67,0))</f>
        <v>347.62</v>
      </c>
      <c r="V325" s="25">
        <f t="array" ref="V325">INDEX(L$5:L$67,MATCH($S325,$B$5:$B$67,0))</f>
        <v>74.47</v>
      </c>
      <c r="W325" s="25">
        <f t="array" ref="W325">INDEX(M$5:M$67,MATCH($S325,$B$5:$B$67,0))</f>
        <v>96.77</v>
      </c>
      <c r="X325" s="25">
        <f t="array" ref="X325">INDEX(N$5:N$67,MATCH($S325,$B$5:$B$67,0))</f>
        <v>71.06</v>
      </c>
      <c r="Y325" s="25">
        <f t="shared" si="466"/>
        <v>1390</v>
      </c>
      <c r="Z325" s="25">
        <f t="shared" si="467"/>
        <v>298</v>
      </c>
      <c r="AA325" s="25">
        <f t="shared" si="468"/>
        <v>387</v>
      </c>
      <c r="AB325" s="25">
        <f t="shared" si="469"/>
        <v>284</v>
      </c>
    </row>
    <row r="326" spans="1:28">
      <c r="A326" s="48">
        <v>1005008</v>
      </c>
      <c r="B326" s="49" t="s">
        <v>327</v>
      </c>
      <c r="C326" s="25">
        <f t="shared" si="452"/>
        <v>8</v>
      </c>
      <c r="D326" s="25">
        <f t="array" ref="D326">INDEX(C$5:C$67,MATCH($B326,$B$5:$B$67,0))</f>
        <v>4725</v>
      </c>
      <c r="E326" s="25">
        <f t="array" ref="E326">INDEX(D$5:D$67,MATCH($B326,$B$5:$B$67,0))</f>
        <v>378</v>
      </c>
      <c r="F326" s="25">
        <f t="array" ref="F326">INDEX(E$5:E$67,MATCH($B326,$B$5:$B$67,0))</f>
        <v>1650</v>
      </c>
      <c r="G326" s="25">
        <f t="array" ref="G326">INDEX(F$5:F$67,MATCH($B326,$B$5:$B$67,0))</f>
        <v>132</v>
      </c>
      <c r="H326" s="25">
        <f t="array" ref="H326">INDEX(G$5:G$66,MATCH($B326,$B$5:$B$67,0))</f>
        <v>1188</v>
      </c>
      <c r="I326" s="25">
        <f t="array" ref="I326">INDEX(H$5:H$67,MATCH($B326,$B$5:$B$67,0))</f>
        <v>95.04</v>
      </c>
      <c r="J326" s="25">
        <f t="array" ref="J326">INDEX(I$5:I$67,MATCH($B326,$B$5:$B$67,0))</f>
        <v>1000</v>
      </c>
      <c r="K326" s="25">
        <f t="array" ref="K326">INDEX(J$5:J$67,MATCH($B326,$B$5:$B$67,0))</f>
        <v>80</v>
      </c>
      <c r="L326" s="25">
        <f t="shared" si="462"/>
        <v>7749</v>
      </c>
      <c r="M326" s="25">
        <f t="shared" si="463"/>
        <v>2706</v>
      </c>
      <c r="N326" s="25">
        <f t="shared" si="464"/>
        <v>1948</v>
      </c>
      <c r="O326" s="25">
        <f t="shared" si="465"/>
        <v>1640</v>
      </c>
      <c r="R326" s="50">
        <f t="array" ref="R326">INDEX($B$46:$B$68,MATCH(S326,$C$46:$C$68,0))*1000+T326</f>
        <v>1011005</v>
      </c>
      <c r="S326" s="51" t="s">
        <v>335</v>
      </c>
      <c r="T326" s="29">
        <f t="shared" si="520"/>
        <v>5</v>
      </c>
      <c r="U326" s="25">
        <f t="array" ref="U326">INDEX(K$5:K$67,MATCH($S326,$B$5:$B$67,0))</f>
        <v>347.62</v>
      </c>
      <c r="V326" s="25">
        <f t="array" ref="V326">INDEX(L$5:L$67,MATCH($S326,$B$5:$B$67,0))</f>
        <v>74.47</v>
      </c>
      <c r="W326" s="25">
        <f t="array" ref="W326">INDEX(M$5:M$67,MATCH($S326,$B$5:$B$67,0))</f>
        <v>96.77</v>
      </c>
      <c r="X326" s="25">
        <f t="array" ref="X326">INDEX(N$5:N$67,MATCH($S326,$B$5:$B$67,0))</f>
        <v>71.06</v>
      </c>
      <c r="Y326" s="25">
        <f t="shared" si="466"/>
        <v>1738</v>
      </c>
      <c r="Z326" s="25">
        <f t="shared" si="467"/>
        <v>372</v>
      </c>
      <c r="AA326" s="25">
        <f t="shared" si="468"/>
        <v>484</v>
      </c>
      <c r="AB326" s="25">
        <f t="shared" si="469"/>
        <v>355</v>
      </c>
    </row>
    <row r="327" spans="1:28">
      <c r="A327" s="48">
        <v>1005009</v>
      </c>
      <c r="B327" s="49" t="s">
        <v>327</v>
      </c>
      <c r="C327" s="25">
        <f t="shared" si="452"/>
        <v>9</v>
      </c>
      <c r="D327" s="25">
        <f t="array" ref="D327">INDEX(C$5:C$67,MATCH($B327,$B$5:$B$67,0))</f>
        <v>4725</v>
      </c>
      <c r="E327" s="25">
        <f t="array" ref="E327">INDEX(D$5:D$67,MATCH($B327,$B$5:$B$67,0))</f>
        <v>378</v>
      </c>
      <c r="F327" s="25">
        <f t="array" ref="F327">INDEX(E$5:E$67,MATCH($B327,$B$5:$B$67,0))</f>
        <v>1650</v>
      </c>
      <c r="G327" s="25">
        <f t="array" ref="G327">INDEX(F$5:F$67,MATCH($B327,$B$5:$B$67,0))</f>
        <v>132</v>
      </c>
      <c r="H327" s="25">
        <f t="array" ref="H327">INDEX(G$5:G$66,MATCH($B327,$B$5:$B$67,0))</f>
        <v>1188</v>
      </c>
      <c r="I327" s="25">
        <f t="array" ref="I327">INDEX(H$5:H$67,MATCH($B327,$B$5:$B$67,0))</f>
        <v>95.04</v>
      </c>
      <c r="J327" s="25">
        <f t="array" ref="J327">INDEX(I$5:I$67,MATCH($B327,$B$5:$B$67,0))</f>
        <v>1000</v>
      </c>
      <c r="K327" s="25">
        <f t="array" ref="K327">INDEX(J$5:J$67,MATCH($B327,$B$5:$B$67,0))</f>
        <v>80</v>
      </c>
      <c r="L327" s="25">
        <f t="shared" si="462"/>
        <v>8127</v>
      </c>
      <c r="M327" s="25">
        <f t="shared" si="463"/>
        <v>2838</v>
      </c>
      <c r="N327" s="25">
        <f t="shared" si="464"/>
        <v>2043</v>
      </c>
      <c r="O327" s="25">
        <f t="shared" si="465"/>
        <v>1720</v>
      </c>
      <c r="R327" s="50">
        <f t="array" ref="R327">INDEX($B$46:$B$68,MATCH(S327,$C$46:$C$68,0))*1000+T327</f>
        <v>1011006</v>
      </c>
      <c r="S327" s="51" t="s">
        <v>335</v>
      </c>
      <c r="T327" s="29">
        <f t="shared" si="520"/>
        <v>6</v>
      </c>
      <c r="U327" s="25">
        <f t="array" ref="U327">INDEX(K$5:K$67,MATCH($S327,$B$5:$B$67,0))</f>
        <v>347.62</v>
      </c>
      <c r="V327" s="25">
        <f t="array" ref="V327">INDEX(L$5:L$67,MATCH($S327,$B$5:$B$67,0))</f>
        <v>74.47</v>
      </c>
      <c r="W327" s="25">
        <f t="array" ref="W327">INDEX(M$5:M$67,MATCH($S327,$B$5:$B$67,0))</f>
        <v>96.77</v>
      </c>
      <c r="X327" s="25">
        <f t="array" ref="X327">INDEX(N$5:N$67,MATCH($S327,$B$5:$B$67,0))</f>
        <v>71.06</v>
      </c>
      <c r="Y327" s="25">
        <f t="shared" si="466"/>
        <v>2086</v>
      </c>
      <c r="Z327" s="25">
        <f t="shared" si="467"/>
        <v>447</v>
      </c>
      <c r="AA327" s="25">
        <f t="shared" si="468"/>
        <v>581</v>
      </c>
      <c r="AB327" s="25">
        <f t="shared" si="469"/>
        <v>426</v>
      </c>
    </row>
    <row r="328" spans="1:28">
      <c r="A328" s="48">
        <v>1005010</v>
      </c>
      <c r="B328" s="49" t="s">
        <v>327</v>
      </c>
      <c r="C328" s="25">
        <f t="shared" si="452"/>
        <v>10</v>
      </c>
      <c r="D328" s="25">
        <f t="array" ref="D328">INDEX(C$5:C$67,MATCH($B328,$B$5:$B$67,0))</f>
        <v>4725</v>
      </c>
      <c r="E328" s="25">
        <f t="array" ref="E328">INDEX(D$5:D$67,MATCH($B328,$B$5:$B$67,0))</f>
        <v>378</v>
      </c>
      <c r="F328" s="25">
        <f t="array" ref="F328">INDEX(E$5:E$67,MATCH($B328,$B$5:$B$67,0))</f>
        <v>1650</v>
      </c>
      <c r="G328" s="25">
        <f t="array" ref="G328">INDEX(F$5:F$67,MATCH($B328,$B$5:$B$67,0))</f>
        <v>132</v>
      </c>
      <c r="H328" s="25">
        <f t="array" ref="H328">INDEX(G$5:G$66,MATCH($B328,$B$5:$B$67,0))</f>
        <v>1188</v>
      </c>
      <c r="I328" s="25">
        <f t="array" ref="I328">INDEX(H$5:H$67,MATCH($B328,$B$5:$B$67,0))</f>
        <v>95.04</v>
      </c>
      <c r="J328" s="25">
        <f t="array" ref="J328">INDEX(I$5:I$67,MATCH($B328,$B$5:$B$67,0))</f>
        <v>1000</v>
      </c>
      <c r="K328" s="25">
        <f t="array" ref="K328">INDEX(J$5:J$67,MATCH($B328,$B$5:$B$67,0))</f>
        <v>80</v>
      </c>
      <c r="L328" s="25">
        <f t="shared" si="462"/>
        <v>8505</v>
      </c>
      <c r="M328" s="25">
        <f t="shared" si="463"/>
        <v>2970</v>
      </c>
      <c r="N328" s="25">
        <f t="shared" si="464"/>
        <v>2138</v>
      </c>
      <c r="O328" s="25">
        <f t="shared" si="465"/>
        <v>1800</v>
      </c>
      <c r="R328" s="50">
        <f t="array" ref="R328">INDEX($B$46:$B$68,MATCH(S328,$C$46:$C$68,0))*1000+T328</f>
        <v>1011007</v>
      </c>
      <c r="S328" s="51" t="s">
        <v>335</v>
      </c>
      <c r="T328" s="29">
        <f t="shared" si="520"/>
        <v>7</v>
      </c>
      <c r="U328" s="25">
        <f t="array" ref="U328">INDEX(K$5:K$67,MATCH($S328,$B$5:$B$67,0))</f>
        <v>347.62</v>
      </c>
      <c r="V328" s="25">
        <f t="array" ref="V328">INDEX(L$5:L$67,MATCH($S328,$B$5:$B$67,0))</f>
        <v>74.47</v>
      </c>
      <c r="W328" s="25">
        <f t="array" ref="W328">INDEX(M$5:M$67,MATCH($S328,$B$5:$B$67,0))</f>
        <v>96.77</v>
      </c>
      <c r="X328" s="25">
        <f t="array" ref="X328">INDEX(N$5:N$67,MATCH($S328,$B$5:$B$67,0))</f>
        <v>71.06</v>
      </c>
      <c r="Y328" s="25">
        <f t="shared" si="466"/>
        <v>2433</v>
      </c>
      <c r="Z328" s="25">
        <f t="shared" si="467"/>
        <v>521</v>
      </c>
      <c r="AA328" s="25">
        <f t="shared" si="468"/>
        <v>677</v>
      </c>
      <c r="AB328" s="25">
        <f t="shared" si="469"/>
        <v>497</v>
      </c>
    </row>
    <row r="329" spans="1:28">
      <c r="A329" s="48">
        <v>1005011</v>
      </c>
      <c r="B329" s="49" t="s">
        <v>327</v>
      </c>
      <c r="C329" s="25">
        <f t="shared" si="452"/>
        <v>11</v>
      </c>
      <c r="D329" s="25">
        <f t="array" ref="D329">INDEX(C$5:C$67,MATCH($B329,$B$5:$B$67,0))</f>
        <v>4725</v>
      </c>
      <c r="E329" s="25">
        <f t="array" ref="E329">INDEX(D$5:D$67,MATCH($B329,$B$5:$B$67,0))</f>
        <v>378</v>
      </c>
      <c r="F329" s="25">
        <f t="array" ref="F329">INDEX(E$5:E$67,MATCH($B329,$B$5:$B$67,0))</f>
        <v>1650</v>
      </c>
      <c r="G329" s="25">
        <f t="array" ref="G329">INDEX(F$5:F$67,MATCH($B329,$B$5:$B$67,0))</f>
        <v>132</v>
      </c>
      <c r="H329" s="25">
        <f t="array" ref="H329">INDEX(G$5:G$66,MATCH($B329,$B$5:$B$67,0))</f>
        <v>1188</v>
      </c>
      <c r="I329" s="25">
        <f t="array" ref="I329">INDEX(H$5:H$67,MATCH($B329,$B$5:$B$67,0))</f>
        <v>95.04</v>
      </c>
      <c r="J329" s="25">
        <f t="array" ref="J329">INDEX(I$5:I$67,MATCH($B329,$B$5:$B$67,0))</f>
        <v>1000</v>
      </c>
      <c r="K329" s="25">
        <f t="array" ref="K329">INDEX(J$5:J$67,MATCH($B329,$B$5:$B$67,0))</f>
        <v>80</v>
      </c>
      <c r="L329" s="25">
        <f t="shared" si="462"/>
        <v>8883</v>
      </c>
      <c r="M329" s="25">
        <f t="shared" si="463"/>
        <v>3102</v>
      </c>
      <c r="N329" s="25">
        <f t="shared" si="464"/>
        <v>2233</v>
      </c>
      <c r="O329" s="25">
        <f t="shared" si="465"/>
        <v>1880</v>
      </c>
      <c r="R329" s="50">
        <f t="array" ref="R329">INDEX($B$46:$B$68,MATCH(S329,$C$46:$C$68,0))*1000+T329</f>
        <v>1011008</v>
      </c>
      <c r="S329" s="51" t="s">
        <v>335</v>
      </c>
      <c r="T329" s="29">
        <f t="shared" si="520"/>
        <v>8</v>
      </c>
      <c r="U329" s="25">
        <f t="array" ref="U329">INDEX(K$5:K$67,MATCH($S329,$B$5:$B$67,0))</f>
        <v>347.62</v>
      </c>
      <c r="V329" s="25">
        <f t="array" ref="V329">INDEX(L$5:L$67,MATCH($S329,$B$5:$B$67,0))</f>
        <v>74.47</v>
      </c>
      <c r="W329" s="25">
        <f t="array" ref="W329">INDEX(M$5:M$67,MATCH($S329,$B$5:$B$67,0))</f>
        <v>96.77</v>
      </c>
      <c r="X329" s="25">
        <f t="array" ref="X329">INDEX(N$5:N$67,MATCH($S329,$B$5:$B$67,0))</f>
        <v>71.06</v>
      </c>
      <c r="Y329" s="25">
        <f t="shared" si="466"/>
        <v>2781</v>
      </c>
      <c r="Z329" s="25">
        <f t="shared" si="467"/>
        <v>596</v>
      </c>
      <c r="AA329" s="25">
        <f t="shared" si="468"/>
        <v>774</v>
      </c>
      <c r="AB329" s="25">
        <f t="shared" si="469"/>
        <v>568</v>
      </c>
    </row>
    <row r="330" spans="1:28">
      <c r="A330" s="48">
        <v>1005012</v>
      </c>
      <c r="B330" s="49" t="s">
        <v>327</v>
      </c>
      <c r="C330" s="25">
        <f t="shared" si="452"/>
        <v>12</v>
      </c>
      <c r="D330" s="25">
        <f t="array" ref="D330">INDEX(C$5:C$67,MATCH($B330,$B$5:$B$67,0))</f>
        <v>4725</v>
      </c>
      <c r="E330" s="25">
        <f t="array" ref="E330">INDEX(D$5:D$67,MATCH($B330,$B$5:$B$67,0))</f>
        <v>378</v>
      </c>
      <c r="F330" s="25">
        <f t="array" ref="F330">INDEX(E$5:E$67,MATCH($B330,$B$5:$B$67,0))</f>
        <v>1650</v>
      </c>
      <c r="G330" s="25">
        <f t="array" ref="G330">INDEX(F$5:F$67,MATCH($B330,$B$5:$B$67,0))</f>
        <v>132</v>
      </c>
      <c r="H330" s="25">
        <f t="array" ref="H330">INDEX(G$5:G$66,MATCH($B330,$B$5:$B$67,0))</f>
        <v>1188</v>
      </c>
      <c r="I330" s="25">
        <f t="array" ref="I330">INDEX(H$5:H$67,MATCH($B330,$B$5:$B$67,0))</f>
        <v>95.04</v>
      </c>
      <c r="J330" s="25">
        <f t="array" ref="J330">INDEX(I$5:I$67,MATCH($B330,$B$5:$B$67,0))</f>
        <v>1000</v>
      </c>
      <c r="K330" s="25">
        <f t="array" ref="K330">INDEX(J$5:J$67,MATCH($B330,$B$5:$B$67,0))</f>
        <v>80</v>
      </c>
      <c r="L330" s="25">
        <f t="shared" si="462"/>
        <v>9261</v>
      </c>
      <c r="M330" s="25">
        <f t="shared" si="463"/>
        <v>3234</v>
      </c>
      <c r="N330" s="25">
        <f t="shared" si="464"/>
        <v>2328</v>
      </c>
      <c r="O330" s="25">
        <f t="shared" si="465"/>
        <v>1960</v>
      </c>
      <c r="R330" s="50">
        <f t="array" ref="R330">INDEX($B$46:$B$68,MATCH(S330,$C$46:$C$68,0))*1000+T330</f>
        <v>1011009</v>
      </c>
      <c r="S330" s="51" t="s">
        <v>335</v>
      </c>
      <c r="T330" s="29">
        <f t="shared" si="520"/>
        <v>9</v>
      </c>
      <c r="U330" s="25">
        <f t="array" ref="U330">INDEX(K$5:K$67,MATCH($S330,$B$5:$B$67,0))</f>
        <v>347.62</v>
      </c>
      <c r="V330" s="25">
        <f t="array" ref="V330">INDEX(L$5:L$67,MATCH($S330,$B$5:$B$67,0))</f>
        <v>74.47</v>
      </c>
      <c r="W330" s="25">
        <f t="array" ref="W330">INDEX(M$5:M$67,MATCH($S330,$B$5:$B$67,0))</f>
        <v>96.77</v>
      </c>
      <c r="X330" s="25">
        <f t="array" ref="X330">INDEX(N$5:N$67,MATCH($S330,$B$5:$B$67,0))</f>
        <v>71.06</v>
      </c>
      <c r="Y330" s="25">
        <f t="shared" si="466"/>
        <v>3129</v>
      </c>
      <c r="Z330" s="25">
        <f t="shared" si="467"/>
        <v>670</v>
      </c>
      <c r="AA330" s="25">
        <f t="shared" si="468"/>
        <v>871</v>
      </c>
      <c r="AB330" s="25">
        <f t="shared" si="469"/>
        <v>640</v>
      </c>
    </row>
    <row r="331" spans="1:28">
      <c r="A331" s="48">
        <v>1005013</v>
      </c>
      <c r="B331" s="49" t="s">
        <v>327</v>
      </c>
      <c r="C331" s="25">
        <f t="shared" ref="C331:C394" si="534">C271</f>
        <v>13</v>
      </c>
      <c r="D331" s="25">
        <f t="array" ref="D331">INDEX(C$5:C$67,MATCH($B331,$B$5:$B$67,0))</f>
        <v>4725</v>
      </c>
      <c r="E331" s="25">
        <f t="array" ref="E331">INDEX(D$5:D$67,MATCH($B331,$B$5:$B$67,0))</f>
        <v>378</v>
      </c>
      <c r="F331" s="25">
        <f t="array" ref="F331">INDEX(E$5:E$67,MATCH($B331,$B$5:$B$67,0))</f>
        <v>1650</v>
      </c>
      <c r="G331" s="25">
        <f t="array" ref="G331">INDEX(F$5:F$67,MATCH($B331,$B$5:$B$67,0))</f>
        <v>132</v>
      </c>
      <c r="H331" s="25">
        <f t="array" ref="H331">INDEX(G$5:G$66,MATCH($B331,$B$5:$B$67,0))</f>
        <v>1188</v>
      </c>
      <c r="I331" s="25">
        <f t="array" ref="I331">INDEX(H$5:H$67,MATCH($B331,$B$5:$B$67,0))</f>
        <v>95.04</v>
      </c>
      <c r="J331" s="25">
        <f t="array" ref="J331">INDEX(I$5:I$67,MATCH($B331,$B$5:$B$67,0))</f>
        <v>1000</v>
      </c>
      <c r="K331" s="25">
        <f t="array" ref="K331">INDEX(J$5:J$67,MATCH($B331,$B$5:$B$67,0))</f>
        <v>80</v>
      </c>
      <c r="L331" s="25">
        <f t="shared" si="462"/>
        <v>9639</v>
      </c>
      <c r="M331" s="25">
        <f t="shared" si="463"/>
        <v>3366</v>
      </c>
      <c r="N331" s="25">
        <f t="shared" si="464"/>
        <v>2424</v>
      </c>
      <c r="O331" s="25">
        <f t="shared" si="465"/>
        <v>2040</v>
      </c>
      <c r="R331" s="50">
        <f t="array" ref="R331">INDEX($B$46:$B$68,MATCH(S331,$C$46:$C$68,0))*1000+T331</f>
        <v>1011010</v>
      </c>
      <c r="S331" s="51" t="s">
        <v>335</v>
      </c>
      <c r="T331" s="29">
        <f t="shared" si="520"/>
        <v>10</v>
      </c>
      <c r="U331" s="25">
        <f t="array" ref="U331">INDEX(K$5:K$67,MATCH($S331,$B$5:$B$67,0))</f>
        <v>347.62</v>
      </c>
      <c r="V331" s="25">
        <f t="array" ref="V331">INDEX(L$5:L$67,MATCH($S331,$B$5:$B$67,0))</f>
        <v>74.47</v>
      </c>
      <c r="W331" s="25">
        <f t="array" ref="W331">INDEX(M$5:M$67,MATCH($S331,$B$5:$B$67,0))</f>
        <v>96.77</v>
      </c>
      <c r="X331" s="25">
        <f t="array" ref="X331">INDEX(N$5:N$67,MATCH($S331,$B$5:$B$67,0))</f>
        <v>71.06</v>
      </c>
      <c r="Y331" s="25">
        <f t="shared" si="466"/>
        <v>3476</v>
      </c>
      <c r="Z331" s="25">
        <f t="shared" si="467"/>
        <v>745</v>
      </c>
      <c r="AA331" s="25">
        <f t="shared" si="468"/>
        <v>968</v>
      </c>
      <c r="AB331" s="25">
        <f t="shared" si="469"/>
        <v>711</v>
      </c>
    </row>
    <row r="332" spans="1:28">
      <c r="A332" s="48">
        <v>1005014</v>
      </c>
      <c r="B332" s="49" t="s">
        <v>327</v>
      </c>
      <c r="C332" s="25">
        <f t="shared" si="534"/>
        <v>14</v>
      </c>
      <c r="D332" s="25">
        <f t="array" ref="D332">INDEX(C$5:C$67,MATCH($B332,$B$5:$B$67,0))</f>
        <v>4725</v>
      </c>
      <c r="E332" s="25">
        <f t="array" ref="E332">INDEX(D$5:D$67,MATCH($B332,$B$5:$B$67,0))</f>
        <v>378</v>
      </c>
      <c r="F332" s="25">
        <f t="array" ref="F332">INDEX(E$5:E$67,MATCH($B332,$B$5:$B$67,0))</f>
        <v>1650</v>
      </c>
      <c r="G332" s="25">
        <f t="array" ref="G332">INDEX(F$5:F$67,MATCH($B332,$B$5:$B$67,0))</f>
        <v>132</v>
      </c>
      <c r="H332" s="25">
        <f t="array" ref="H332">INDEX(G$5:G$66,MATCH($B332,$B$5:$B$67,0))</f>
        <v>1188</v>
      </c>
      <c r="I332" s="25">
        <f t="array" ref="I332">INDEX(H$5:H$67,MATCH($B332,$B$5:$B$67,0))</f>
        <v>95.04</v>
      </c>
      <c r="J332" s="25">
        <f t="array" ref="J332">INDEX(I$5:I$67,MATCH($B332,$B$5:$B$67,0))</f>
        <v>1000</v>
      </c>
      <c r="K332" s="25">
        <f t="array" ref="K332">INDEX(J$5:J$67,MATCH($B332,$B$5:$B$67,0))</f>
        <v>80</v>
      </c>
      <c r="L332" s="25">
        <f t="shared" si="462"/>
        <v>10017</v>
      </c>
      <c r="M332" s="25">
        <f t="shared" si="463"/>
        <v>3498</v>
      </c>
      <c r="N332" s="25">
        <f t="shared" si="464"/>
        <v>2519</v>
      </c>
      <c r="O332" s="25">
        <f t="shared" si="465"/>
        <v>2120</v>
      </c>
      <c r="R332" s="50">
        <f t="array" ref="R332">INDEX($B$46:$B$68,MATCH(S332,$C$46:$C$68,0))*1000+T332</f>
        <v>1011011</v>
      </c>
      <c r="S332" s="51" t="s">
        <v>335</v>
      </c>
      <c r="T332" s="29">
        <f t="shared" si="520"/>
        <v>11</v>
      </c>
      <c r="U332" s="25">
        <f t="array" ref="U332">INDEX(K$5:K$67,MATCH($S332,$B$5:$B$67,0))</f>
        <v>347.62</v>
      </c>
      <c r="V332" s="25">
        <f t="array" ref="V332">INDEX(L$5:L$67,MATCH($S332,$B$5:$B$67,0))</f>
        <v>74.47</v>
      </c>
      <c r="W332" s="25">
        <f t="array" ref="W332">INDEX(M$5:M$67,MATCH($S332,$B$5:$B$67,0))</f>
        <v>96.77</v>
      </c>
      <c r="X332" s="25">
        <f t="array" ref="X332">INDEX(N$5:N$67,MATCH($S332,$B$5:$B$67,0))</f>
        <v>71.06</v>
      </c>
      <c r="Y332" s="25">
        <f t="shared" si="466"/>
        <v>3824</v>
      </c>
      <c r="Z332" s="25">
        <f t="shared" si="467"/>
        <v>819</v>
      </c>
      <c r="AA332" s="25">
        <f t="shared" si="468"/>
        <v>1064</v>
      </c>
      <c r="AB332" s="25">
        <f t="shared" si="469"/>
        <v>782</v>
      </c>
    </row>
    <row r="333" spans="1:28">
      <c r="A333" s="48">
        <v>1005015</v>
      </c>
      <c r="B333" s="49" t="s">
        <v>327</v>
      </c>
      <c r="C333" s="25">
        <f t="shared" si="534"/>
        <v>15</v>
      </c>
      <c r="D333" s="25">
        <f t="array" ref="D333">INDEX(C$5:C$67,MATCH($B333,$B$5:$B$67,0))</f>
        <v>4725</v>
      </c>
      <c r="E333" s="25">
        <f t="array" ref="E333">INDEX(D$5:D$67,MATCH($B333,$B$5:$B$67,0))</f>
        <v>378</v>
      </c>
      <c r="F333" s="25">
        <f t="array" ref="F333">INDEX(E$5:E$67,MATCH($B333,$B$5:$B$67,0))</f>
        <v>1650</v>
      </c>
      <c r="G333" s="25">
        <f t="array" ref="G333">INDEX(F$5:F$67,MATCH($B333,$B$5:$B$67,0))</f>
        <v>132</v>
      </c>
      <c r="H333" s="25">
        <f t="array" ref="H333">INDEX(G$5:G$66,MATCH($B333,$B$5:$B$67,0))</f>
        <v>1188</v>
      </c>
      <c r="I333" s="25">
        <f t="array" ref="I333">INDEX(H$5:H$67,MATCH($B333,$B$5:$B$67,0))</f>
        <v>95.04</v>
      </c>
      <c r="J333" s="25">
        <f t="array" ref="J333">INDEX(I$5:I$67,MATCH($B333,$B$5:$B$67,0))</f>
        <v>1000</v>
      </c>
      <c r="K333" s="25">
        <f t="array" ref="K333">INDEX(J$5:J$67,MATCH($B333,$B$5:$B$67,0))</f>
        <v>80</v>
      </c>
      <c r="L333" s="25">
        <f t="shared" si="462"/>
        <v>10395</v>
      </c>
      <c r="M333" s="25">
        <f t="shared" si="463"/>
        <v>3630</v>
      </c>
      <c r="N333" s="25">
        <f t="shared" si="464"/>
        <v>2614</v>
      </c>
      <c r="O333" s="25">
        <f t="shared" si="465"/>
        <v>2200</v>
      </c>
      <c r="R333" s="50">
        <f t="array" ref="R333">INDEX($B$46:$B$68,MATCH(S333,$C$46:$C$68,0))*1000+T333</f>
        <v>1011012</v>
      </c>
      <c r="S333" s="51" t="s">
        <v>335</v>
      </c>
      <c r="T333" s="29">
        <f t="shared" si="520"/>
        <v>12</v>
      </c>
      <c r="U333" s="25">
        <f t="array" ref="U333">INDEX(K$5:K$67,MATCH($S333,$B$5:$B$67,0))</f>
        <v>347.62</v>
      </c>
      <c r="V333" s="25">
        <f t="array" ref="V333">INDEX(L$5:L$67,MATCH($S333,$B$5:$B$67,0))</f>
        <v>74.47</v>
      </c>
      <c r="W333" s="25">
        <f t="array" ref="W333">INDEX(M$5:M$67,MATCH($S333,$B$5:$B$67,0))</f>
        <v>96.77</v>
      </c>
      <c r="X333" s="25">
        <f t="array" ref="X333">INDEX(N$5:N$67,MATCH($S333,$B$5:$B$67,0))</f>
        <v>71.06</v>
      </c>
      <c r="Y333" s="25">
        <f t="shared" si="466"/>
        <v>4171</v>
      </c>
      <c r="Z333" s="25">
        <f t="shared" si="467"/>
        <v>894</v>
      </c>
      <c r="AA333" s="25">
        <f t="shared" si="468"/>
        <v>1161</v>
      </c>
      <c r="AB333" s="25">
        <f t="shared" si="469"/>
        <v>853</v>
      </c>
    </row>
    <row r="334" spans="1:28">
      <c r="A334" s="48">
        <v>1005016</v>
      </c>
      <c r="B334" s="49" t="s">
        <v>327</v>
      </c>
      <c r="C334" s="25">
        <f t="shared" si="534"/>
        <v>16</v>
      </c>
      <c r="D334" s="25">
        <f t="array" ref="D334">INDEX(C$5:C$67,MATCH($B334,$B$5:$B$67,0))</f>
        <v>4725</v>
      </c>
      <c r="E334" s="25">
        <f t="array" ref="E334">INDEX(D$5:D$67,MATCH($B334,$B$5:$B$67,0))</f>
        <v>378</v>
      </c>
      <c r="F334" s="25">
        <f t="array" ref="F334">INDEX(E$5:E$67,MATCH($B334,$B$5:$B$67,0))</f>
        <v>1650</v>
      </c>
      <c r="G334" s="25">
        <f t="array" ref="G334">INDEX(F$5:F$67,MATCH($B334,$B$5:$B$67,0))</f>
        <v>132</v>
      </c>
      <c r="H334" s="25">
        <f t="array" ref="H334">INDEX(G$5:G$66,MATCH($B334,$B$5:$B$67,0))</f>
        <v>1188</v>
      </c>
      <c r="I334" s="25">
        <f t="array" ref="I334">INDEX(H$5:H$67,MATCH($B334,$B$5:$B$67,0))</f>
        <v>95.04</v>
      </c>
      <c r="J334" s="25">
        <f t="array" ref="J334">INDEX(I$5:I$67,MATCH($B334,$B$5:$B$67,0))</f>
        <v>1000</v>
      </c>
      <c r="K334" s="25">
        <f t="array" ref="K334">INDEX(J$5:J$67,MATCH($B334,$B$5:$B$67,0))</f>
        <v>80</v>
      </c>
      <c r="L334" s="25">
        <f t="shared" si="462"/>
        <v>10773</v>
      </c>
      <c r="M334" s="25">
        <f t="shared" si="463"/>
        <v>3762</v>
      </c>
      <c r="N334" s="25">
        <f t="shared" si="464"/>
        <v>2709</v>
      </c>
      <c r="O334" s="25">
        <f t="shared" si="465"/>
        <v>2280</v>
      </c>
      <c r="R334" s="50">
        <f t="array" ref="R334">INDEX($B$46:$B$68,MATCH(S334,$C$46:$C$68,0))*1000+T334</f>
        <v>1011013</v>
      </c>
      <c r="S334" s="51" t="s">
        <v>335</v>
      </c>
      <c r="T334" s="29">
        <f t="shared" si="520"/>
        <v>13</v>
      </c>
      <c r="U334" s="25">
        <f t="array" ref="U334">INDEX(K$5:K$67,MATCH($S334,$B$5:$B$67,0))</f>
        <v>347.62</v>
      </c>
      <c r="V334" s="25">
        <f t="array" ref="V334">INDEX(L$5:L$67,MATCH($S334,$B$5:$B$67,0))</f>
        <v>74.47</v>
      </c>
      <c r="W334" s="25">
        <f t="array" ref="W334">INDEX(M$5:M$67,MATCH($S334,$B$5:$B$67,0))</f>
        <v>96.77</v>
      </c>
      <c r="X334" s="25">
        <f t="array" ref="X334">INDEX(N$5:N$67,MATCH($S334,$B$5:$B$67,0))</f>
        <v>71.06</v>
      </c>
      <c r="Y334" s="25">
        <f t="shared" si="466"/>
        <v>4519</v>
      </c>
      <c r="Z334" s="25">
        <f t="shared" si="467"/>
        <v>968</v>
      </c>
      <c r="AA334" s="25">
        <f t="shared" si="468"/>
        <v>1258</v>
      </c>
      <c r="AB334" s="25">
        <f t="shared" si="469"/>
        <v>924</v>
      </c>
    </row>
    <row r="335" spans="1:28">
      <c r="A335" s="48">
        <v>1005017</v>
      </c>
      <c r="B335" s="49" t="s">
        <v>327</v>
      </c>
      <c r="C335" s="25">
        <f t="shared" si="534"/>
        <v>17</v>
      </c>
      <c r="D335" s="25">
        <f t="array" ref="D335">INDEX(C$5:C$67,MATCH($B335,$B$5:$B$67,0))</f>
        <v>4725</v>
      </c>
      <c r="E335" s="25">
        <f t="array" ref="E335">INDEX(D$5:D$67,MATCH($B335,$B$5:$B$67,0))</f>
        <v>378</v>
      </c>
      <c r="F335" s="25">
        <f t="array" ref="F335">INDEX(E$5:E$67,MATCH($B335,$B$5:$B$67,0))</f>
        <v>1650</v>
      </c>
      <c r="G335" s="25">
        <f t="array" ref="G335">INDEX(F$5:F$67,MATCH($B335,$B$5:$B$67,0))</f>
        <v>132</v>
      </c>
      <c r="H335" s="25">
        <f t="array" ref="H335">INDEX(G$5:G$66,MATCH($B335,$B$5:$B$67,0))</f>
        <v>1188</v>
      </c>
      <c r="I335" s="25">
        <f t="array" ref="I335">INDEX(H$5:H$67,MATCH($B335,$B$5:$B$67,0))</f>
        <v>95.04</v>
      </c>
      <c r="J335" s="25">
        <f t="array" ref="J335">INDEX(I$5:I$67,MATCH($B335,$B$5:$B$67,0))</f>
        <v>1000</v>
      </c>
      <c r="K335" s="25">
        <f t="array" ref="K335">INDEX(J$5:J$67,MATCH($B335,$B$5:$B$67,0))</f>
        <v>80</v>
      </c>
      <c r="L335" s="25">
        <f t="shared" ref="L335:L398" si="535">ROUND(D335+E335*$C335,0)</f>
        <v>11151</v>
      </c>
      <c r="M335" s="25">
        <f t="shared" ref="M335:M398" si="536">ROUND(F335+G335*$C335,0)</f>
        <v>3894</v>
      </c>
      <c r="N335" s="25">
        <f t="shared" ref="N335:N398" si="537">ROUND(H335+I335*$C335,0)</f>
        <v>2804</v>
      </c>
      <c r="O335" s="25">
        <f t="shared" ref="O335:O398" si="538">ROUND(J335+K335*$C335,0)</f>
        <v>2360</v>
      </c>
      <c r="R335" s="50">
        <f t="array" ref="R335">INDEX($B$46:$B$68,MATCH(S335,$C$46:$C$68,0))*1000+T335</f>
        <v>1011014</v>
      </c>
      <c r="S335" s="51" t="s">
        <v>335</v>
      </c>
      <c r="T335" s="29">
        <f t="shared" si="520"/>
        <v>14</v>
      </c>
      <c r="U335" s="25">
        <f t="array" ref="U335">INDEX(K$5:K$67,MATCH($S335,$B$5:$B$67,0))</f>
        <v>347.62</v>
      </c>
      <c r="V335" s="25">
        <f t="array" ref="V335">INDEX(L$5:L$67,MATCH($S335,$B$5:$B$67,0))</f>
        <v>74.47</v>
      </c>
      <c r="W335" s="25">
        <f t="array" ref="W335">INDEX(M$5:M$67,MATCH($S335,$B$5:$B$67,0))</f>
        <v>96.77</v>
      </c>
      <c r="X335" s="25">
        <f t="array" ref="X335">INDEX(N$5:N$67,MATCH($S335,$B$5:$B$67,0))</f>
        <v>71.06</v>
      </c>
      <c r="Y335" s="25">
        <f t="shared" ref="Y335:Y398" si="539">ROUND($T335*U335,0)</f>
        <v>4867</v>
      </c>
      <c r="Z335" s="25">
        <f t="shared" ref="Z335:Z398" si="540">ROUND($T335*V335,0)</f>
        <v>1043</v>
      </c>
      <c r="AA335" s="25">
        <f t="shared" ref="AA335:AA398" si="541">ROUND($T335*W335,0)</f>
        <v>1355</v>
      </c>
      <c r="AB335" s="25">
        <f t="shared" ref="AB335:AB398" si="542">ROUND($T335*X335,0)</f>
        <v>995</v>
      </c>
    </row>
    <row r="336" spans="1:28">
      <c r="A336" s="48">
        <v>1005018</v>
      </c>
      <c r="B336" s="49" t="s">
        <v>327</v>
      </c>
      <c r="C336" s="25">
        <f t="shared" si="534"/>
        <v>18</v>
      </c>
      <c r="D336" s="25">
        <f t="array" ref="D336">INDEX(C$5:C$67,MATCH($B336,$B$5:$B$67,0))</f>
        <v>4725</v>
      </c>
      <c r="E336" s="25">
        <f t="array" ref="E336">INDEX(D$5:D$67,MATCH($B336,$B$5:$B$67,0))</f>
        <v>378</v>
      </c>
      <c r="F336" s="25">
        <f t="array" ref="F336">INDEX(E$5:E$67,MATCH($B336,$B$5:$B$67,0))</f>
        <v>1650</v>
      </c>
      <c r="G336" s="25">
        <f t="array" ref="G336">INDEX(F$5:F$67,MATCH($B336,$B$5:$B$67,0))</f>
        <v>132</v>
      </c>
      <c r="H336" s="25">
        <f t="array" ref="H336">INDEX(G$5:G$66,MATCH($B336,$B$5:$B$67,0))</f>
        <v>1188</v>
      </c>
      <c r="I336" s="25">
        <f t="array" ref="I336">INDEX(H$5:H$67,MATCH($B336,$B$5:$B$67,0))</f>
        <v>95.04</v>
      </c>
      <c r="J336" s="25">
        <f t="array" ref="J336">INDEX(I$5:I$67,MATCH($B336,$B$5:$B$67,0))</f>
        <v>1000</v>
      </c>
      <c r="K336" s="25">
        <f t="array" ref="K336">INDEX(J$5:J$67,MATCH($B336,$B$5:$B$67,0))</f>
        <v>80</v>
      </c>
      <c r="L336" s="25">
        <f t="shared" si="535"/>
        <v>11529</v>
      </c>
      <c r="M336" s="25">
        <f t="shared" si="536"/>
        <v>4026</v>
      </c>
      <c r="N336" s="25">
        <f t="shared" si="537"/>
        <v>2899</v>
      </c>
      <c r="O336" s="25">
        <f t="shared" si="538"/>
        <v>2440</v>
      </c>
      <c r="R336" s="50">
        <f t="array" ref="R336">INDEX($B$46:$B$68,MATCH(S336,$C$46:$C$68,0))*1000+T336</f>
        <v>1011015</v>
      </c>
      <c r="S336" s="51" t="s">
        <v>335</v>
      </c>
      <c r="T336" s="29">
        <f t="shared" si="520"/>
        <v>15</v>
      </c>
      <c r="U336" s="25">
        <f t="array" ref="U336">INDEX(K$5:K$67,MATCH($S336,$B$5:$B$67,0))</f>
        <v>347.62</v>
      </c>
      <c r="V336" s="25">
        <f t="array" ref="V336">INDEX(L$5:L$67,MATCH($S336,$B$5:$B$67,0))</f>
        <v>74.47</v>
      </c>
      <c r="W336" s="25">
        <f t="array" ref="W336">INDEX(M$5:M$67,MATCH($S336,$B$5:$B$67,0))</f>
        <v>96.77</v>
      </c>
      <c r="X336" s="25">
        <f t="array" ref="X336">INDEX(N$5:N$67,MATCH($S336,$B$5:$B$67,0))</f>
        <v>71.06</v>
      </c>
      <c r="Y336" s="25">
        <f t="shared" si="539"/>
        <v>5214</v>
      </c>
      <c r="Z336" s="25">
        <f t="shared" si="540"/>
        <v>1117</v>
      </c>
      <c r="AA336" s="25">
        <f t="shared" si="541"/>
        <v>1452</v>
      </c>
      <c r="AB336" s="25">
        <f t="shared" si="542"/>
        <v>1066</v>
      </c>
    </row>
    <row r="337" spans="1:28">
      <c r="A337" s="48">
        <v>1005019</v>
      </c>
      <c r="B337" s="49" t="s">
        <v>327</v>
      </c>
      <c r="C337" s="25">
        <f t="shared" si="534"/>
        <v>19</v>
      </c>
      <c r="D337" s="25">
        <f t="array" ref="D337">INDEX(C$5:C$67,MATCH($B337,$B$5:$B$67,0))</f>
        <v>4725</v>
      </c>
      <c r="E337" s="25">
        <f t="array" ref="E337">INDEX(D$5:D$67,MATCH($B337,$B$5:$B$67,0))</f>
        <v>378</v>
      </c>
      <c r="F337" s="25">
        <f t="array" ref="F337">INDEX(E$5:E$67,MATCH($B337,$B$5:$B$67,0))</f>
        <v>1650</v>
      </c>
      <c r="G337" s="25">
        <f t="array" ref="G337">INDEX(F$5:F$67,MATCH($B337,$B$5:$B$67,0))</f>
        <v>132</v>
      </c>
      <c r="H337" s="25">
        <f t="array" ref="H337">INDEX(G$5:G$66,MATCH($B337,$B$5:$B$67,0))</f>
        <v>1188</v>
      </c>
      <c r="I337" s="25">
        <f t="array" ref="I337">INDEX(H$5:H$67,MATCH($B337,$B$5:$B$67,0))</f>
        <v>95.04</v>
      </c>
      <c r="J337" s="25">
        <f t="array" ref="J337">INDEX(I$5:I$67,MATCH($B337,$B$5:$B$67,0))</f>
        <v>1000</v>
      </c>
      <c r="K337" s="25">
        <f t="array" ref="K337">INDEX(J$5:J$67,MATCH($B337,$B$5:$B$67,0))</f>
        <v>80</v>
      </c>
      <c r="L337" s="25">
        <f t="shared" si="535"/>
        <v>11907</v>
      </c>
      <c r="M337" s="25">
        <f t="shared" si="536"/>
        <v>4158</v>
      </c>
      <c r="N337" s="25">
        <f t="shared" si="537"/>
        <v>2994</v>
      </c>
      <c r="O337" s="25">
        <f t="shared" si="538"/>
        <v>2520</v>
      </c>
      <c r="R337" s="50">
        <f t="array" ref="R337">INDEX($B$46:$B$68,MATCH(S337,$C$46:$C$68,0))*1000+T337</f>
        <v>1011016</v>
      </c>
      <c r="S337" s="51" t="s">
        <v>335</v>
      </c>
      <c r="T337" s="29">
        <f t="shared" si="520"/>
        <v>16</v>
      </c>
      <c r="U337" s="25">
        <f t="array" ref="U337">INDEX(K$5:K$67,MATCH($S337,$B$5:$B$67,0))</f>
        <v>347.62</v>
      </c>
      <c r="V337" s="25">
        <f t="array" ref="V337">INDEX(L$5:L$67,MATCH($S337,$B$5:$B$67,0))</f>
        <v>74.47</v>
      </c>
      <c r="W337" s="25">
        <f t="array" ref="W337">INDEX(M$5:M$67,MATCH($S337,$B$5:$B$67,0))</f>
        <v>96.77</v>
      </c>
      <c r="X337" s="25">
        <f t="array" ref="X337">INDEX(N$5:N$67,MATCH($S337,$B$5:$B$67,0))</f>
        <v>71.06</v>
      </c>
      <c r="Y337" s="25">
        <f t="shared" si="539"/>
        <v>5562</v>
      </c>
      <c r="Z337" s="25">
        <f t="shared" si="540"/>
        <v>1192</v>
      </c>
      <c r="AA337" s="25">
        <f t="shared" si="541"/>
        <v>1548</v>
      </c>
      <c r="AB337" s="25">
        <f t="shared" si="542"/>
        <v>1137</v>
      </c>
    </row>
    <row r="338" spans="1:28">
      <c r="A338" s="48">
        <v>1005020</v>
      </c>
      <c r="B338" s="49" t="s">
        <v>327</v>
      </c>
      <c r="C338" s="25">
        <f t="shared" si="534"/>
        <v>20</v>
      </c>
      <c r="D338" s="25">
        <f t="array" ref="D338">INDEX(C$5:C$67,MATCH($B338,$B$5:$B$67,0))</f>
        <v>4725</v>
      </c>
      <c r="E338" s="25">
        <f t="array" ref="E338">INDEX(D$5:D$67,MATCH($B338,$B$5:$B$67,0))</f>
        <v>378</v>
      </c>
      <c r="F338" s="25">
        <f t="array" ref="F338">INDEX(E$5:E$67,MATCH($B338,$B$5:$B$67,0))</f>
        <v>1650</v>
      </c>
      <c r="G338" s="25">
        <f t="array" ref="G338">INDEX(F$5:F$67,MATCH($B338,$B$5:$B$67,0))</f>
        <v>132</v>
      </c>
      <c r="H338" s="25">
        <f t="array" ref="H338">INDEX(G$5:G$66,MATCH($B338,$B$5:$B$67,0))</f>
        <v>1188</v>
      </c>
      <c r="I338" s="25">
        <f t="array" ref="I338">INDEX(H$5:H$67,MATCH($B338,$B$5:$B$67,0))</f>
        <v>95.04</v>
      </c>
      <c r="J338" s="25">
        <f t="array" ref="J338">INDEX(I$5:I$67,MATCH($B338,$B$5:$B$67,0))</f>
        <v>1000</v>
      </c>
      <c r="K338" s="25">
        <f t="array" ref="K338">INDEX(J$5:J$67,MATCH($B338,$B$5:$B$67,0))</f>
        <v>80</v>
      </c>
      <c r="L338" s="25">
        <f t="shared" si="535"/>
        <v>12285</v>
      </c>
      <c r="M338" s="25">
        <f t="shared" si="536"/>
        <v>4290</v>
      </c>
      <c r="N338" s="25">
        <f t="shared" si="537"/>
        <v>3089</v>
      </c>
      <c r="O338" s="25">
        <f t="shared" si="538"/>
        <v>2600</v>
      </c>
      <c r="R338" s="50">
        <f t="array" ref="R338">INDEX($B$46:$B$68,MATCH(S338,$C$46:$C$68,0))*1000+T338</f>
        <v>1011017</v>
      </c>
      <c r="S338" s="51" t="s">
        <v>335</v>
      </c>
      <c r="T338" s="29">
        <f t="shared" si="520"/>
        <v>17</v>
      </c>
      <c r="U338" s="25">
        <f t="array" ref="U338">INDEX(K$5:K$67,MATCH($S338,$B$5:$B$67,0))</f>
        <v>347.62</v>
      </c>
      <c r="V338" s="25">
        <f t="array" ref="V338">INDEX(L$5:L$67,MATCH($S338,$B$5:$B$67,0))</f>
        <v>74.47</v>
      </c>
      <c r="W338" s="25">
        <f t="array" ref="W338">INDEX(M$5:M$67,MATCH($S338,$B$5:$B$67,0))</f>
        <v>96.77</v>
      </c>
      <c r="X338" s="25">
        <f t="array" ref="X338">INDEX(N$5:N$67,MATCH($S338,$B$5:$B$67,0))</f>
        <v>71.06</v>
      </c>
      <c r="Y338" s="25">
        <f t="shared" si="539"/>
        <v>5910</v>
      </c>
      <c r="Z338" s="25">
        <f t="shared" si="540"/>
        <v>1266</v>
      </c>
      <c r="AA338" s="25">
        <f t="shared" si="541"/>
        <v>1645</v>
      </c>
      <c r="AB338" s="25">
        <f t="shared" si="542"/>
        <v>1208</v>
      </c>
    </row>
    <row r="339" spans="1:28">
      <c r="A339" s="48">
        <v>1005021</v>
      </c>
      <c r="B339" s="49" t="s">
        <v>327</v>
      </c>
      <c r="C339" s="25">
        <f t="shared" si="534"/>
        <v>21</v>
      </c>
      <c r="D339" s="25">
        <f t="array" ref="D339">INDEX(C$5:C$67,MATCH($B339,$B$5:$B$67,0))</f>
        <v>4725</v>
      </c>
      <c r="E339" s="25">
        <f t="array" ref="E339">INDEX(D$5:D$67,MATCH($B339,$B$5:$B$67,0))</f>
        <v>378</v>
      </c>
      <c r="F339" s="25">
        <f t="array" ref="F339">INDEX(E$5:E$67,MATCH($B339,$B$5:$B$67,0))</f>
        <v>1650</v>
      </c>
      <c r="G339" s="25">
        <f t="array" ref="G339">INDEX(F$5:F$67,MATCH($B339,$B$5:$B$67,0))</f>
        <v>132</v>
      </c>
      <c r="H339" s="25">
        <f t="array" ref="H339">INDEX(G$5:G$66,MATCH($B339,$B$5:$B$67,0))</f>
        <v>1188</v>
      </c>
      <c r="I339" s="25">
        <f t="array" ref="I339">INDEX(H$5:H$67,MATCH($B339,$B$5:$B$67,0))</f>
        <v>95.04</v>
      </c>
      <c r="J339" s="25">
        <f t="array" ref="J339">INDEX(I$5:I$67,MATCH($B339,$B$5:$B$67,0))</f>
        <v>1000</v>
      </c>
      <c r="K339" s="25">
        <f t="array" ref="K339">INDEX(J$5:J$67,MATCH($B339,$B$5:$B$67,0))</f>
        <v>80</v>
      </c>
      <c r="L339" s="25">
        <f t="shared" si="535"/>
        <v>12663</v>
      </c>
      <c r="M339" s="25">
        <f t="shared" si="536"/>
        <v>4422</v>
      </c>
      <c r="N339" s="25">
        <f t="shared" si="537"/>
        <v>3184</v>
      </c>
      <c r="O339" s="25">
        <f t="shared" si="538"/>
        <v>2680</v>
      </c>
      <c r="R339" s="50">
        <f t="array" ref="R339">INDEX($B$46:$B$68,MATCH(S339,$C$46:$C$68,0))*1000+T339</f>
        <v>1011018</v>
      </c>
      <c r="S339" s="51" t="s">
        <v>335</v>
      </c>
      <c r="T339" s="29">
        <f t="shared" si="520"/>
        <v>18</v>
      </c>
      <c r="U339" s="25">
        <f t="array" ref="U339">INDEX(K$5:K$67,MATCH($S339,$B$5:$B$67,0))</f>
        <v>347.62</v>
      </c>
      <c r="V339" s="25">
        <f t="array" ref="V339">INDEX(L$5:L$67,MATCH($S339,$B$5:$B$67,0))</f>
        <v>74.47</v>
      </c>
      <c r="W339" s="25">
        <f t="array" ref="W339">INDEX(M$5:M$67,MATCH($S339,$B$5:$B$67,0))</f>
        <v>96.77</v>
      </c>
      <c r="X339" s="25">
        <f t="array" ref="X339">INDEX(N$5:N$67,MATCH($S339,$B$5:$B$67,0))</f>
        <v>71.06</v>
      </c>
      <c r="Y339" s="25">
        <f t="shared" si="539"/>
        <v>6257</v>
      </c>
      <c r="Z339" s="25">
        <f t="shared" si="540"/>
        <v>1340</v>
      </c>
      <c r="AA339" s="25">
        <f t="shared" si="541"/>
        <v>1742</v>
      </c>
      <c r="AB339" s="25">
        <f t="shared" si="542"/>
        <v>1279</v>
      </c>
    </row>
    <row r="340" spans="1:28">
      <c r="A340" s="48">
        <v>1005022</v>
      </c>
      <c r="B340" s="49" t="s">
        <v>327</v>
      </c>
      <c r="C340" s="25">
        <f t="shared" si="534"/>
        <v>22</v>
      </c>
      <c r="D340" s="25">
        <f t="array" ref="D340">INDEX(C$5:C$67,MATCH($B340,$B$5:$B$67,0))</f>
        <v>4725</v>
      </c>
      <c r="E340" s="25">
        <f t="array" ref="E340">INDEX(D$5:D$67,MATCH($B340,$B$5:$B$67,0))</f>
        <v>378</v>
      </c>
      <c r="F340" s="25">
        <f t="array" ref="F340">INDEX(E$5:E$67,MATCH($B340,$B$5:$B$67,0))</f>
        <v>1650</v>
      </c>
      <c r="G340" s="25">
        <f t="array" ref="G340">INDEX(F$5:F$67,MATCH($B340,$B$5:$B$67,0))</f>
        <v>132</v>
      </c>
      <c r="H340" s="25">
        <f t="array" ref="H340">INDEX(G$5:G$66,MATCH($B340,$B$5:$B$67,0))</f>
        <v>1188</v>
      </c>
      <c r="I340" s="25">
        <f t="array" ref="I340">INDEX(H$5:H$67,MATCH($B340,$B$5:$B$67,0))</f>
        <v>95.04</v>
      </c>
      <c r="J340" s="25">
        <f t="array" ref="J340">INDEX(I$5:I$67,MATCH($B340,$B$5:$B$67,0))</f>
        <v>1000</v>
      </c>
      <c r="K340" s="25">
        <f t="array" ref="K340">INDEX(J$5:J$67,MATCH($B340,$B$5:$B$67,0))</f>
        <v>80</v>
      </c>
      <c r="L340" s="25">
        <f t="shared" si="535"/>
        <v>13041</v>
      </c>
      <c r="M340" s="25">
        <f t="shared" si="536"/>
        <v>4554</v>
      </c>
      <c r="N340" s="25">
        <f t="shared" si="537"/>
        <v>3279</v>
      </c>
      <c r="O340" s="25">
        <f t="shared" si="538"/>
        <v>2760</v>
      </c>
      <c r="R340" s="50">
        <f t="array" ref="R340">INDEX($B$46:$B$68,MATCH(S340,$C$46:$C$68,0))*1000+T340</f>
        <v>1011019</v>
      </c>
      <c r="S340" s="51" t="s">
        <v>335</v>
      </c>
      <c r="T340" s="29">
        <f t="shared" si="520"/>
        <v>19</v>
      </c>
      <c r="U340" s="25">
        <f t="array" ref="U340">INDEX(K$5:K$67,MATCH($S340,$B$5:$B$67,0))</f>
        <v>347.62</v>
      </c>
      <c r="V340" s="25">
        <f t="array" ref="V340">INDEX(L$5:L$67,MATCH($S340,$B$5:$B$67,0))</f>
        <v>74.47</v>
      </c>
      <c r="W340" s="25">
        <f t="array" ref="W340">INDEX(M$5:M$67,MATCH($S340,$B$5:$B$67,0))</f>
        <v>96.77</v>
      </c>
      <c r="X340" s="25">
        <f t="array" ref="X340">INDEX(N$5:N$67,MATCH($S340,$B$5:$B$67,0))</f>
        <v>71.06</v>
      </c>
      <c r="Y340" s="25">
        <f t="shared" si="539"/>
        <v>6605</v>
      </c>
      <c r="Z340" s="25">
        <f t="shared" si="540"/>
        <v>1415</v>
      </c>
      <c r="AA340" s="25">
        <f t="shared" si="541"/>
        <v>1839</v>
      </c>
      <c r="AB340" s="25">
        <f t="shared" si="542"/>
        <v>1350</v>
      </c>
    </row>
    <row r="341" spans="1:28">
      <c r="A341" s="48">
        <v>1005023</v>
      </c>
      <c r="B341" s="49" t="s">
        <v>327</v>
      </c>
      <c r="C341" s="25">
        <f t="shared" si="534"/>
        <v>23</v>
      </c>
      <c r="D341" s="25">
        <f t="array" ref="D341">INDEX(C$5:C$67,MATCH($B341,$B$5:$B$67,0))</f>
        <v>4725</v>
      </c>
      <c r="E341" s="25">
        <f t="array" ref="E341">INDEX(D$5:D$67,MATCH($B341,$B$5:$B$67,0))</f>
        <v>378</v>
      </c>
      <c r="F341" s="25">
        <f t="array" ref="F341">INDEX(E$5:E$67,MATCH($B341,$B$5:$B$67,0))</f>
        <v>1650</v>
      </c>
      <c r="G341" s="25">
        <f t="array" ref="G341">INDEX(F$5:F$67,MATCH($B341,$B$5:$B$67,0))</f>
        <v>132</v>
      </c>
      <c r="H341" s="25">
        <f t="array" ref="H341">INDEX(G$5:G$66,MATCH($B341,$B$5:$B$67,0))</f>
        <v>1188</v>
      </c>
      <c r="I341" s="25">
        <f t="array" ref="I341">INDEX(H$5:H$67,MATCH($B341,$B$5:$B$67,0))</f>
        <v>95.04</v>
      </c>
      <c r="J341" s="25">
        <f t="array" ref="J341">INDEX(I$5:I$67,MATCH($B341,$B$5:$B$67,0))</f>
        <v>1000</v>
      </c>
      <c r="K341" s="25">
        <f t="array" ref="K341">INDEX(J$5:J$67,MATCH($B341,$B$5:$B$67,0))</f>
        <v>80</v>
      </c>
      <c r="L341" s="25">
        <f t="shared" si="535"/>
        <v>13419</v>
      </c>
      <c r="M341" s="25">
        <f t="shared" si="536"/>
        <v>4686</v>
      </c>
      <c r="N341" s="25">
        <f t="shared" si="537"/>
        <v>3374</v>
      </c>
      <c r="O341" s="25">
        <f t="shared" si="538"/>
        <v>2840</v>
      </c>
      <c r="R341" s="50">
        <f t="array" ref="R341">INDEX($B$46:$B$68,MATCH(S341,$C$46:$C$68,0))*1000+T341</f>
        <v>1011020</v>
      </c>
      <c r="S341" s="51" t="s">
        <v>335</v>
      </c>
      <c r="T341" s="29">
        <f t="shared" si="520"/>
        <v>20</v>
      </c>
      <c r="U341" s="25">
        <f t="array" ref="U341">INDEX(K$5:K$67,MATCH($S341,$B$5:$B$67,0))</f>
        <v>347.62</v>
      </c>
      <c r="V341" s="25">
        <f t="array" ref="V341">INDEX(L$5:L$67,MATCH($S341,$B$5:$B$67,0))</f>
        <v>74.47</v>
      </c>
      <c r="W341" s="25">
        <f t="array" ref="W341">INDEX(M$5:M$67,MATCH($S341,$B$5:$B$67,0))</f>
        <v>96.77</v>
      </c>
      <c r="X341" s="25">
        <f t="array" ref="X341">INDEX(N$5:N$67,MATCH($S341,$B$5:$B$67,0))</f>
        <v>71.06</v>
      </c>
      <c r="Y341" s="25">
        <f t="shared" si="539"/>
        <v>6952</v>
      </c>
      <c r="Z341" s="25">
        <f t="shared" si="540"/>
        <v>1489</v>
      </c>
      <c r="AA341" s="25">
        <f t="shared" si="541"/>
        <v>1935</v>
      </c>
      <c r="AB341" s="25">
        <f t="shared" si="542"/>
        <v>1421</v>
      </c>
    </row>
    <row r="342" spans="1:28">
      <c r="A342" s="48">
        <v>1005024</v>
      </c>
      <c r="B342" s="49" t="s">
        <v>327</v>
      </c>
      <c r="C342" s="25">
        <f t="shared" si="534"/>
        <v>24</v>
      </c>
      <c r="D342" s="25">
        <f t="array" ref="D342">INDEX(C$5:C$67,MATCH($B342,$B$5:$B$67,0))</f>
        <v>4725</v>
      </c>
      <c r="E342" s="25">
        <f t="array" ref="E342">INDEX(D$5:D$67,MATCH($B342,$B$5:$B$67,0))</f>
        <v>378</v>
      </c>
      <c r="F342" s="25">
        <f t="array" ref="F342">INDEX(E$5:E$67,MATCH($B342,$B$5:$B$67,0))</f>
        <v>1650</v>
      </c>
      <c r="G342" s="25">
        <f t="array" ref="G342">INDEX(F$5:F$67,MATCH($B342,$B$5:$B$67,0))</f>
        <v>132</v>
      </c>
      <c r="H342" s="25">
        <f t="array" ref="H342">INDEX(G$5:G$66,MATCH($B342,$B$5:$B$67,0))</f>
        <v>1188</v>
      </c>
      <c r="I342" s="25">
        <f t="array" ref="I342">INDEX(H$5:H$67,MATCH($B342,$B$5:$B$67,0))</f>
        <v>95.04</v>
      </c>
      <c r="J342" s="25">
        <f t="array" ref="J342">INDEX(I$5:I$67,MATCH($B342,$B$5:$B$67,0))</f>
        <v>1000</v>
      </c>
      <c r="K342" s="25">
        <f t="array" ref="K342">INDEX(J$5:J$67,MATCH($B342,$B$5:$B$67,0))</f>
        <v>80</v>
      </c>
      <c r="L342" s="25">
        <f t="shared" si="535"/>
        <v>13797</v>
      </c>
      <c r="M342" s="25">
        <f t="shared" si="536"/>
        <v>4818</v>
      </c>
      <c r="N342" s="25">
        <f t="shared" si="537"/>
        <v>3469</v>
      </c>
      <c r="O342" s="25">
        <f t="shared" si="538"/>
        <v>2920</v>
      </c>
      <c r="R342" s="50">
        <f t="array" ref="R342">INDEX($B$46:$B$68,MATCH(S342,$C$46:$C$68,0))*1000+T342</f>
        <v>1011021</v>
      </c>
      <c r="S342" s="51" t="s">
        <v>335</v>
      </c>
      <c r="T342" s="29">
        <f t="shared" si="520"/>
        <v>21</v>
      </c>
      <c r="U342" s="25">
        <f t="array" ref="U342">INDEX(K$5:K$67,MATCH($S342,$B$5:$B$67,0))</f>
        <v>347.62</v>
      </c>
      <c r="V342" s="25">
        <f t="array" ref="V342">INDEX(L$5:L$67,MATCH($S342,$B$5:$B$67,0))</f>
        <v>74.47</v>
      </c>
      <c r="W342" s="25">
        <f t="array" ref="W342">INDEX(M$5:M$67,MATCH($S342,$B$5:$B$67,0))</f>
        <v>96.77</v>
      </c>
      <c r="X342" s="25">
        <f t="array" ref="X342">INDEX(N$5:N$67,MATCH($S342,$B$5:$B$67,0))</f>
        <v>71.06</v>
      </c>
      <c r="Y342" s="25">
        <f t="shared" si="539"/>
        <v>7300</v>
      </c>
      <c r="Z342" s="25">
        <f t="shared" si="540"/>
        <v>1564</v>
      </c>
      <c r="AA342" s="25">
        <f t="shared" si="541"/>
        <v>2032</v>
      </c>
      <c r="AB342" s="25">
        <f t="shared" si="542"/>
        <v>1492</v>
      </c>
    </row>
    <row r="343" spans="1:28">
      <c r="A343" s="48">
        <v>1005025</v>
      </c>
      <c r="B343" s="49" t="s">
        <v>327</v>
      </c>
      <c r="C343" s="25">
        <f t="shared" si="534"/>
        <v>25</v>
      </c>
      <c r="D343" s="25">
        <f t="array" ref="D343">INDEX(C$5:C$67,MATCH($B343,$B$5:$B$67,0))</f>
        <v>4725</v>
      </c>
      <c r="E343" s="25">
        <f t="array" ref="E343">INDEX(D$5:D$67,MATCH($B343,$B$5:$B$67,0))</f>
        <v>378</v>
      </c>
      <c r="F343" s="25">
        <f t="array" ref="F343">INDEX(E$5:E$67,MATCH($B343,$B$5:$B$67,0))</f>
        <v>1650</v>
      </c>
      <c r="G343" s="25">
        <f t="array" ref="G343">INDEX(F$5:F$67,MATCH($B343,$B$5:$B$67,0))</f>
        <v>132</v>
      </c>
      <c r="H343" s="25">
        <f t="array" ref="H343">INDEX(G$5:G$66,MATCH($B343,$B$5:$B$67,0))</f>
        <v>1188</v>
      </c>
      <c r="I343" s="25">
        <f t="array" ref="I343">INDEX(H$5:H$67,MATCH($B343,$B$5:$B$67,0))</f>
        <v>95.04</v>
      </c>
      <c r="J343" s="25">
        <f t="array" ref="J343">INDEX(I$5:I$67,MATCH($B343,$B$5:$B$67,0))</f>
        <v>1000</v>
      </c>
      <c r="K343" s="25">
        <f t="array" ref="K343">INDEX(J$5:J$67,MATCH($B343,$B$5:$B$67,0))</f>
        <v>80</v>
      </c>
      <c r="L343" s="25">
        <f t="shared" si="535"/>
        <v>14175</v>
      </c>
      <c r="M343" s="25">
        <f t="shared" si="536"/>
        <v>4950</v>
      </c>
      <c r="N343" s="25">
        <f t="shared" si="537"/>
        <v>3564</v>
      </c>
      <c r="O343" s="25">
        <f t="shared" si="538"/>
        <v>3000</v>
      </c>
      <c r="R343" s="50">
        <f t="array" ref="R343">INDEX($B$46:$B$68,MATCH(S343,$C$46:$C$68,0))*1000+T343</f>
        <v>1011022</v>
      </c>
      <c r="S343" s="51" t="s">
        <v>335</v>
      </c>
      <c r="T343" s="29">
        <f t="shared" si="520"/>
        <v>22</v>
      </c>
      <c r="U343" s="25">
        <f t="array" ref="U343">INDEX(K$5:K$67,MATCH($S343,$B$5:$B$67,0))</f>
        <v>347.62</v>
      </c>
      <c r="V343" s="25">
        <f t="array" ref="V343">INDEX(L$5:L$67,MATCH($S343,$B$5:$B$67,0))</f>
        <v>74.47</v>
      </c>
      <c r="W343" s="25">
        <f t="array" ref="W343">INDEX(M$5:M$67,MATCH($S343,$B$5:$B$67,0))</f>
        <v>96.77</v>
      </c>
      <c r="X343" s="25">
        <f t="array" ref="X343">INDEX(N$5:N$67,MATCH($S343,$B$5:$B$67,0))</f>
        <v>71.06</v>
      </c>
      <c r="Y343" s="25">
        <f t="shared" si="539"/>
        <v>7648</v>
      </c>
      <c r="Z343" s="25">
        <f t="shared" si="540"/>
        <v>1638</v>
      </c>
      <c r="AA343" s="25">
        <f t="shared" si="541"/>
        <v>2129</v>
      </c>
      <c r="AB343" s="25">
        <f t="shared" si="542"/>
        <v>1563</v>
      </c>
    </row>
    <row r="344" spans="1:28">
      <c r="A344" s="48">
        <v>1005026</v>
      </c>
      <c r="B344" s="49" t="s">
        <v>327</v>
      </c>
      <c r="C344" s="25">
        <f t="shared" si="534"/>
        <v>26</v>
      </c>
      <c r="D344" s="25">
        <f t="array" ref="D344">INDEX(C$5:C$67,MATCH($B344,$B$5:$B$67,0))</f>
        <v>4725</v>
      </c>
      <c r="E344" s="25">
        <f t="array" ref="E344">INDEX(D$5:D$67,MATCH($B344,$B$5:$B$67,0))</f>
        <v>378</v>
      </c>
      <c r="F344" s="25">
        <f t="array" ref="F344">INDEX(E$5:E$67,MATCH($B344,$B$5:$B$67,0))</f>
        <v>1650</v>
      </c>
      <c r="G344" s="25">
        <f t="array" ref="G344">INDEX(F$5:F$67,MATCH($B344,$B$5:$B$67,0))</f>
        <v>132</v>
      </c>
      <c r="H344" s="25">
        <f t="array" ref="H344">INDEX(G$5:G$66,MATCH($B344,$B$5:$B$67,0))</f>
        <v>1188</v>
      </c>
      <c r="I344" s="25">
        <f t="array" ref="I344">INDEX(H$5:H$67,MATCH($B344,$B$5:$B$67,0))</f>
        <v>95.04</v>
      </c>
      <c r="J344" s="25">
        <f t="array" ref="J344">INDEX(I$5:I$67,MATCH($B344,$B$5:$B$67,0))</f>
        <v>1000</v>
      </c>
      <c r="K344" s="25">
        <f t="array" ref="K344">INDEX(J$5:J$67,MATCH($B344,$B$5:$B$67,0))</f>
        <v>80</v>
      </c>
      <c r="L344" s="25">
        <f t="shared" si="535"/>
        <v>14553</v>
      </c>
      <c r="M344" s="25">
        <f t="shared" si="536"/>
        <v>5082</v>
      </c>
      <c r="N344" s="25">
        <f t="shared" si="537"/>
        <v>3659</v>
      </c>
      <c r="O344" s="25">
        <f t="shared" si="538"/>
        <v>3080</v>
      </c>
      <c r="R344" s="50">
        <f t="array" ref="R344">INDEX($B$46:$B$68,MATCH(S344,$C$46:$C$68,0))*1000+T344</f>
        <v>1011023</v>
      </c>
      <c r="S344" s="51" t="s">
        <v>335</v>
      </c>
      <c r="T344" s="29">
        <f t="shared" si="520"/>
        <v>23</v>
      </c>
      <c r="U344" s="25">
        <f t="array" ref="U344">INDEX(K$5:K$67,MATCH($S344,$B$5:$B$67,0))</f>
        <v>347.62</v>
      </c>
      <c r="V344" s="25">
        <f t="array" ref="V344">INDEX(L$5:L$67,MATCH($S344,$B$5:$B$67,0))</f>
        <v>74.47</v>
      </c>
      <c r="W344" s="25">
        <f t="array" ref="W344">INDEX(M$5:M$67,MATCH($S344,$B$5:$B$67,0))</f>
        <v>96.77</v>
      </c>
      <c r="X344" s="25">
        <f t="array" ref="X344">INDEX(N$5:N$67,MATCH($S344,$B$5:$B$67,0))</f>
        <v>71.06</v>
      </c>
      <c r="Y344" s="25">
        <f t="shared" si="539"/>
        <v>7995</v>
      </c>
      <c r="Z344" s="25">
        <f t="shared" si="540"/>
        <v>1713</v>
      </c>
      <c r="AA344" s="25">
        <f t="shared" si="541"/>
        <v>2226</v>
      </c>
      <c r="AB344" s="25">
        <f t="shared" si="542"/>
        <v>1634</v>
      </c>
    </row>
    <row r="345" spans="1:28">
      <c r="A345" s="48">
        <v>1005027</v>
      </c>
      <c r="B345" s="49" t="s">
        <v>327</v>
      </c>
      <c r="C345" s="25">
        <f t="shared" si="534"/>
        <v>27</v>
      </c>
      <c r="D345" s="25">
        <f t="array" ref="D345">INDEX(C$5:C$67,MATCH($B345,$B$5:$B$67,0))</f>
        <v>4725</v>
      </c>
      <c r="E345" s="25">
        <f t="array" ref="E345">INDEX(D$5:D$67,MATCH($B345,$B$5:$B$67,0))</f>
        <v>378</v>
      </c>
      <c r="F345" s="25">
        <f t="array" ref="F345">INDEX(E$5:E$67,MATCH($B345,$B$5:$B$67,0))</f>
        <v>1650</v>
      </c>
      <c r="G345" s="25">
        <f t="array" ref="G345">INDEX(F$5:F$67,MATCH($B345,$B$5:$B$67,0))</f>
        <v>132</v>
      </c>
      <c r="H345" s="25">
        <f t="array" ref="H345">INDEX(G$5:G$66,MATCH($B345,$B$5:$B$67,0))</f>
        <v>1188</v>
      </c>
      <c r="I345" s="25">
        <f t="array" ref="I345">INDEX(H$5:H$67,MATCH($B345,$B$5:$B$67,0))</f>
        <v>95.04</v>
      </c>
      <c r="J345" s="25">
        <f t="array" ref="J345">INDEX(I$5:I$67,MATCH($B345,$B$5:$B$67,0))</f>
        <v>1000</v>
      </c>
      <c r="K345" s="25">
        <f t="array" ref="K345">INDEX(J$5:J$67,MATCH($B345,$B$5:$B$67,0))</f>
        <v>80</v>
      </c>
      <c r="L345" s="25">
        <f t="shared" si="535"/>
        <v>14931</v>
      </c>
      <c r="M345" s="25">
        <f t="shared" si="536"/>
        <v>5214</v>
      </c>
      <c r="N345" s="25">
        <f t="shared" si="537"/>
        <v>3754</v>
      </c>
      <c r="O345" s="25">
        <f t="shared" si="538"/>
        <v>3160</v>
      </c>
      <c r="R345" s="50">
        <f t="array" ref="R345">INDEX($B$46:$B$68,MATCH(S345,$C$46:$C$68,0))*1000+T345</f>
        <v>1011024</v>
      </c>
      <c r="S345" s="51" t="s">
        <v>335</v>
      </c>
      <c r="T345" s="29">
        <f t="shared" si="520"/>
        <v>24</v>
      </c>
      <c r="U345" s="25">
        <f t="array" ref="U345">INDEX(K$5:K$67,MATCH($S345,$B$5:$B$67,0))</f>
        <v>347.62</v>
      </c>
      <c r="V345" s="25">
        <f t="array" ref="V345">INDEX(L$5:L$67,MATCH($S345,$B$5:$B$67,0))</f>
        <v>74.47</v>
      </c>
      <c r="W345" s="25">
        <f t="array" ref="W345">INDEX(M$5:M$67,MATCH($S345,$B$5:$B$67,0))</f>
        <v>96.77</v>
      </c>
      <c r="X345" s="25">
        <f t="array" ref="X345">INDEX(N$5:N$67,MATCH($S345,$B$5:$B$67,0))</f>
        <v>71.06</v>
      </c>
      <c r="Y345" s="25">
        <f t="shared" si="539"/>
        <v>8343</v>
      </c>
      <c r="Z345" s="25">
        <f t="shared" si="540"/>
        <v>1787</v>
      </c>
      <c r="AA345" s="25">
        <f t="shared" si="541"/>
        <v>2322</v>
      </c>
      <c r="AB345" s="25">
        <f t="shared" si="542"/>
        <v>1705</v>
      </c>
    </row>
    <row r="346" spans="1:28">
      <c r="A346" s="48">
        <v>1005028</v>
      </c>
      <c r="B346" s="49" t="s">
        <v>327</v>
      </c>
      <c r="C346" s="25">
        <f t="shared" si="534"/>
        <v>28</v>
      </c>
      <c r="D346" s="25">
        <f t="array" ref="D346">INDEX(C$5:C$67,MATCH($B346,$B$5:$B$67,0))</f>
        <v>4725</v>
      </c>
      <c r="E346" s="25">
        <f t="array" ref="E346">INDEX(D$5:D$67,MATCH($B346,$B$5:$B$67,0))</f>
        <v>378</v>
      </c>
      <c r="F346" s="25">
        <f t="array" ref="F346">INDEX(E$5:E$67,MATCH($B346,$B$5:$B$67,0))</f>
        <v>1650</v>
      </c>
      <c r="G346" s="25">
        <f t="array" ref="G346">INDEX(F$5:F$67,MATCH($B346,$B$5:$B$67,0))</f>
        <v>132</v>
      </c>
      <c r="H346" s="25">
        <f t="array" ref="H346">INDEX(G$5:G$66,MATCH($B346,$B$5:$B$67,0))</f>
        <v>1188</v>
      </c>
      <c r="I346" s="25">
        <f t="array" ref="I346">INDEX(H$5:H$67,MATCH($B346,$B$5:$B$67,0))</f>
        <v>95.04</v>
      </c>
      <c r="J346" s="25">
        <f t="array" ref="J346">INDEX(I$5:I$67,MATCH($B346,$B$5:$B$67,0))</f>
        <v>1000</v>
      </c>
      <c r="K346" s="25">
        <f t="array" ref="K346">INDEX(J$5:J$67,MATCH($B346,$B$5:$B$67,0))</f>
        <v>80</v>
      </c>
      <c r="L346" s="25">
        <f t="shared" si="535"/>
        <v>15309</v>
      </c>
      <c r="M346" s="25">
        <f t="shared" si="536"/>
        <v>5346</v>
      </c>
      <c r="N346" s="25">
        <f t="shared" si="537"/>
        <v>3849</v>
      </c>
      <c r="O346" s="25">
        <f t="shared" si="538"/>
        <v>3240</v>
      </c>
      <c r="R346" s="50">
        <f t="array" ref="R346">INDEX($B$46:$B$68,MATCH(S346,$C$46:$C$68,0))*1000+T346</f>
        <v>1011025</v>
      </c>
      <c r="S346" s="51" t="s">
        <v>335</v>
      </c>
      <c r="T346" s="29">
        <f t="shared" si="520"/>
        <v>25</v>
      </c>
      <c r="U346" s="25">
        <f t="array" ref="U346">INDEX(K$5:K$67,MATCH($S346,$B$5:$B$67,0))</f>
        <v>347.62</v>
      </c>
      <c r="V346" s="25">
        <f t="array" ref="V346">INDEX(L$5:L$67,MATCH($S346,$B$5:$B$67,0))</f>
        <v>74.47</v>
      </c>
      <c r="W346" s="25">
        <f t="array" ref="W346">INDEX(M$5:M$67,MATCH($S346,$B$5:$B$67,0))</f>
        <v>96.77</v>
      </c>
      <c r="X346" s="25">
        <f t="array" ref="X346">INDEX(N$5:N$67,MATCH($S346,$B$5:$B$67,0))</f>
        <v>71.06</v>
      </c>
      <c r="Y346" s="25">
        <f t="shared" si="539"/>
        <v>8691</v>
      </c>
      <c r="Z346" s="25">
        <f t="shared" si="540"/>
        <v>1862</v>
      </c>
      <c r="AA346" s="25">
        <f t="shared" si="541"/>
        <v>2419</v>
      </c>
      <c r="AB346" s="25">
        <f t="shared" si="542"/>
        <v>1777</v>
      </c>
    </row>
    <row r="347" spans="1:28">
      <c r="A347" s="48">
        <v>1005029</v>
      </c>
      <c r="B347" s="49" t="s">
        <v>327</v>
      </c>
      <c r="C347" s="25">
        <f t="shared" si="534"/>
        <v>29</v>
      </c>
      <c r="D347" s="25">
        <f t="array" ref="D347">INDEX(C$5:C$67,MATCH($B347,$B$5:$B$67,0))</f>
        <v>4725</v>
      </c>
      <c r="E347" s="25">
        <f t="array" ref="E347">INDEX(D$5:D$67,MATCH($B347,$B$5:$B$67,0))</f>
        <v>378</v>
      </c>
      <c r="F347" s="25">
        <f t="array" ref="F347">INDEX(E$5:E$67,MATCH($B347,$B$5:$B$67,0))</f>
        <v>1650</v>
      </c>
      <c r="G347" s="25">
        <f t="array" ref="G347">INDEX(F$5:F$67,MATCH($B347,$B$5:$B$67,0))</f>
        <v>132</v>
      </c>
      <c r="H347" s="25">
        <f t="array" ref="H347">INDEX(G$5:G$66,MATCH($B347,$B$5:$B$67,0))</f>
        <v>1188</v>
      </c>
      <c r="I347" s="25">
        <f t="array" ref="I347">INDEX(H$5:H$67,MATCH($B347,$B$5:$B$67,0))</f>
        <v>95.04</v>
      </c>
      <c r="J347" s="25">
        <f t="array" ref="J347">INDEX(I$5:I$67,MATCH($B347,$B$5:$B$67,0))</f>
        <v>1000</v>
      </c>
      <c r="K347" s="25">
        <f t="array" ref="K347">INDEX(J$5:J$67,MATCH($B347,$B$5:$B$67,0))</f>
        <v>80</v>
      </c>
      <c r="L347" s="25">
        <f t="shared" si="535"/>
        <v>15687</v>
      </c>
      <c r="M347" s="25">
        <f t="shared" si="536"/>
        <v>5478</v>
      </c>
      <c r="N347" s="25">
        <f t="shared" si="537"/>
        <v>3944</v>
      </c>
      <c r="O347" s="25">
        <f t="shared" si="538"/>
        <v>3320</v>
      </c>
      <c r="R347" s="50">
        <f t="array" ref="R347">INDEX($B$46:$B$68,MATCH(S347,$C$46:$C$68,0))*1000+T347</f>
        <v>1011026</v>
      </c>
      <c r="S347" s="51" t="s">
        <v>335</v>
      </c>
      <c r="T347" s="29">
        <f t="shared" si="520"/>
        <v>26</v>
      </c>
      <c r="U347" s="25">
        <f t="array" ref="U347">INDEX(K$5:K$67,MATCH($S347,$B$5:$B$67,0))</f>
        <v>347.62</v>
      </c>
      <c r="V347" s="25">
        <f t="array" ref="V347">INDEX(L$5:L$67,MATCH($S347,$B$5:$B$67,0))</f>
        <v>74.47</v>
      </c>
      <c r="W347" s="25">
        <f t="array" ref="W347">INDEX(M$5:M$67,MATCH($S347,$B$5:$B$67,0))</f>
        <v>96.77</v>
      </c>
      <c r="X347" s="25">
        <f t="array" ref="X347">INDEX(N$5:N$67,MATCH($S347,$B$5:$B$67,0))</f>
        <v>71.06</v>
      </c>
      <c r="Y347" s="25">
        <f t="shared" si="539"/>
        <v>9038</v>
      </c>
      <c r="Z347" s="25">
        <f t="shared" si="540"/>
        <v>1936</v>
      </c>
      <c r="AA347" s="25">
        <f t="shared" si="541"/>
        <v>2516</v>
      </c>
      <c r="AB347" s="25">
        <f t="shared" si="542"/>
        <v>1848</v>
      </c>
    </row>
    <row r="348" spans="1:28">
      <c r="A348" s="48">
        <v>1005030</v>
      </c>
      <c r="B348" s="49" t="s">
        <v>327</v>
      </c>
      <c r="C348" s="25">
        <f t="shared" si="534"/>
        <v>30</v>
      </c>
      <c r="D348" s="25">
        <f t="array" ref="D348">INDEX(C$5:C$67,MATCH($B348,$B$5:$B$67,0))</f>
        <v>4725</v>
      </c>
      <c r="E348" s="25">
        <f t="array" ref="E348">INDEX(D$5:D$67,MATCH($B348,$B$5:$B$67,0))</f>
        <v>378</v>
      </c>
      <c r="F348" s="25">
        <f t="array" ref="F348">INDEX(E$5:E$67,MATCH($B348,$B$5:$B$67,0))</f>
        <v>1650</v>
      </c>
      <c r="G348" s="25">
        <f t="array" ref="G348">INDEX(F$5:F$67,MATCH($B348,$B$5:$B$67,0))</f>
        <v>132</v>
      </c>
      <c r="H348" s="25">
        <f t="array" ref="H348">INDEX(G$5:G$66,MATCH($B348,$B$5:$B$67,0))</f>
        <v>1188</v>
      </c>
      <c r="I348" s="25">
        <f t="array" ref="I348">INDEX(H$5:H$67,MATCH($B348,$B$5:$B$67,0))</f>
        <v>95.04</v>
      </c>
      <c r="J348" s="25">
        <f t="array" ref="J348">INDEX(I$5:I$67,MATCH($B348,$B$5:$B$67,0))</f>
        <v>1000</v>
      </c>
      <c r="K348" s="25">
        <f t="array" ref="K348">INDEX(J$5:J$67,MATCH($B348,$B$5:$B$67,0))</f>
        <v>80</v>
      </c>
      <c r="L348" s="25">
        <f t="shared" si="535"/>
        <v>16065</v>
      </c>
      <c r="M348" s="25">
        <f t="shared" si="536"/>
        <v>5610</v>
      </c>
      <c r="N348" s="25">
        <f t="shared" si="537"/>
        <v>4039</v>
      </c>
      <c r="O348" s="25">
        <f t="shared" si="538"/>
        <v>3400</v>
      </c>
      <c r="R348" s="50">
        <f t="array" ref="R348">INDEX($B$46:$B$68,MATCH(S348,$C$46:$C$68,0))*1000+T348</f>
        <v>1011027</v>
      </c>
      <c r="S348" s="51" t="s">
        <v>335</v>
      </c>
      <c r="T348" s="29">
        <f t="shared" si="520"/>
        <v>27</v>
      </c>
      <c r="U348" s="25">
        <f t="array" ref="U348">INDEX(K$5:K$67,MATCH($S348,$B$5:$B$67,0))</f>
        <v>347.62</v>
      </c>
      <c r="V348" s="25">
        <f t="array" ref="V348">INDEX(L$5:L$67,MATCH($S348,$B$5:$B$67,0))</f>
        <v>74.47</v>
      </c>
      <c r="W348" s="25">
        <f t="array" ref="W348">INDEX(M$5:M$67,MATCH($S348,$B$5:$B$67,0))</f>
        <v>96.77</v>
      </c>
      <c r="X348" s="25">
        <f t="array" ref="X348">INDEX(N$5:N$67,MATCH($S348,$B$5:$B$67,0))</f>
        <v>71.06</v>
      </c>
      <c r="Y348" s="25">
        <f t="shared" si="539"/>
        <v>9386</v>
      </c>
      <c r="Z348" s="25">
        <f t="shared" si="540"/>
        <v>2011</v>
      </c>
      <c r="AA348" s="25">
        <f t="shared" si="541"/>
        <v>2613</v>
      </c>
      <c r="AB348" s="25">
        <f t="shared" si="542"/>
        <v>1919</v>
      </c>
    </row>
    <row r="349" spans="1:28">
      <c r="A349" s="48">
        <v>1005031</v>
      </c>
      <c r="B349" s="49" t="s">
        <v>327</v>
      </c>
      <c r="C349" s="25">
        <f t="shared" si="534"/>
        <v>31</v>
      </c>
      <c r="D349" s="25">
        <f t="array" ref="D349">INDEX(C$5:C$67,MATCH($B349,$B$5:$B$67,0))</f>
        <v>4725</v>
      </c>
      <c r="E349" s="25">
        <f t="array" ref="E349">INDEX(D$5:D$67,MATCH($B349,$B$5:$B$67,0))</f>
        <v>378</v>
      </c>
      <c r="F349" s="25">
        <f t="array" ref="F349">INDEX(E$5:E$67,MATCH($B349,$B$5:$B$67,0))</f>
        <v>1650</v>
      </c>
      <c r="G349" s="25">
        <f t="array" ref="G349">INDEX(F$5:F$67,MATCH($B349,$B$5:$B$67,0))</f>
        <v>132</v>
      </c>
      <c r="H349" s="25">
        <f t="array" ref="H349">INDEX(G$5:G$66,MATCH($B349,$B$5:$B$67,0))</f>
        <v>1188</v>
      </c>
      <c r="I349" s="25">
        <f t="array" ref="I349">INDEX(H$5:H$67,MATCH($B349,$B$5:$B$67,0))</f>
        <v>95.04</v>
      </c>
      <c r="J349" s="25">
        <f t="array" ref="J349">INDEX(I$5:I$67,MATCH($B349,$B$5:$B$67,0))</f>
        <v>1000</v>
      </c>
      <c r="K349" s="25">
        <f t="array" ref="K349">INDEX(J$5:J$67,MATCH($B349,$B$5:$B$67,0))</f>
        <v>80</v>
      </c>
      <c r="L349" s="25">
        <f t="shared" si="535"/>
        <v>16443</v>
      </c>
      <c r="M349" s="25">
        <f t="shared" si="536"/>
        <v>5742</v>
      </c>
      <c r="N349" s="25">
        <f t="shared" si="537"/>
        <v>4134</v>
      </c>
      <c r="O349" s="25">
        <f t="shared" si="538"/>
        <v>3480</v>
      </c>
      <c r="R349" s="50">
        <f t="array" ref="R349">INDEX($B$46:$B$68,MATCH(S349,$C$46:$C$68,0))*1000+T349</f>
        <v>1012001</v>
      </c>
      <c r="S349" s="51" t="s">
        <v>338</v>
      </c>
      <c r="T349" s="29">
        <f t="shared" si="520"/>
        <v>1</v>
      </c>
      <c r="U349" s="25">
        <f t="array" ref="U349">INDEX(K$5:K$67,MATCH($S349,$B$5:$B$67,0))</f>
        <v>337.39</v>
      </c>
      <c r="V349" s="25">
        <f t="array" ref="V349">INDEX(L$5:L$67,MATCH($S349,$B$5:$B$67,0))</f>
        <v>62.67</v>
      </c>
      <c r="W349" s="25">
        <f t="array" ref="W349">INDEX(M$5:M$67,MATCH($S349,$B$5:$B$67,0))</f>
        <v>78.34</v>
      </c>
      <c r="X349" s="25">
        <f t="array" ref="X349">INDEX(N$5:N$67,MATCH($S349,$B$5:$B$67,0))</f>
        <v>78.54</v>
      </c>
      <c r="Y349" s="25">
        <f t="shared" si="539"/>
        <v>337</v>
      </c>
      <c r="Z349" s="25">
        <f t="shared" si="540"/>
        <v>63</v>
      </c>
      <c r="AA349" s="25">
        <f t="shared" si="541"/>
        <v>78</v>
      </c>
      <c r="AB349" s="25">
        <f t="shared" si="542"/>
        <v>79</v>
      </c>
    </row>
    <row r="350" spans="1:28">
      <c r="A350" s="48">
        <v>1005032</v>
      </c>
      <c r="B350" s="49" t="s">
        <v>327</v>
      </c>
      <c r="C350" s="25">
        <f t="shared" si="534"/>
        <v>32</v>
      </c>
      <c r="D350" s="25">
        <f t="array" ref="D350">INDEX(C$5:C$67,MATCH($B350,$B$5:$B$67,0))</f>
        <v>4725</v>
      </c>
      <c r="E350" s="25">
        <f t="array" ref="E350">INDEX(D$5:D$67,MATCH($B350,$B$5:$B$67,0))</f>
        <v>378</v>
      </c>
      <c r="F350" s="25">
        <f t="array" ref="F350">INDEX(E$5:E$67,MATCH($B350,$B$5:$B$67,0))</f>
        <v>1650</v>
      </c>
      <c r="G350" s="25">
        <f t="array" ref="G350">INDEX(F$5:F$67,MATCH($B350,$B$5:$B$67,0))</f>
        <v>132</v>
      </c>
      <c r="H350" s="25">
        <f t="array" ref="H350">INDEX(G$5:G$66,MATCH($B350,$B$5:$B$67,0))</f>
        <v>1188</v>
      </c>
      <c r="I350" s="25">
        <f t="array" ref="I350">INDEX(H$5:H$67,MATCH($B350,$B$5:$B$67,0))</f>
        <v>95.04</v>
      </c>
      <c r="J350" s="25">
        <f t="array" ref="J350">INDEX(I$5:I$67,MATCH($B350,$B$5:$B$67,0))</f>
        <v>1000</v>
      </c>
      <c r="K350" s="25">
        <f t="array" ref="K350">INDEX(J$5:J$67,MATCH($B350,$B$5:$B$67,0))</f>
        <v>80</v>
      </c>
      <c r="L350" s="25">
        <f t="shared" si="535"/>
        <v>16821</v>
      </c>
      <c r="M350" s="25">
        <f t="shared" si="536"/>
        <v>5874</v>
      </c>
      <c r="N350" s="25">
        <f t="shared" si="537"/>
        <v>4229</v>
      </c>
      <c r="O350" s="25">
        <f t="shared" si="538"/>
        <v>3560</v>
      </c>
      <c r="R350" s="50">
        <f t="array" ref="R350">INDEX($B$46:$B$68,MATCH(S350,$C$46:$C$68,0))*1000+T350</f>
        <v>1012002</v>
      </c>
      <c r="S350" s="51" t="s">
        <v>338</v>
      </c>
      <c r="T350" s="29">
        <f t="shared" si="520"/>
        <v>2</v>
      </c>
      <c r="U350" s="25">
        <f t="array" ref="U350">INDEX(K$5:K$67,MATCH($S350,$B$5:$B$67,0))</f>
        <v>337.39</v>
      </c>
      <c r="V350" s="25">
        <f t="array" ref="V350">INDEX(L$5:L$67,MATCH($S350,$B$5:$B$67,0))</f>
        <v>62.67</v>
      </c>
      <c r="W350" s="25">
        <f t="array" ref="W350">INDEX(M$5:M$67,MATCH($S350,$B$5:$B$67,0))</f>
        <v>78.34</v>
      </c>
      <c r="X350" s="25">
        <f t="array" ref="X350">INDEX(N$5:N$67,MATCH($S350,$B$5:$B$67,0))</f>
        <v>78.54</v>
      </c>
      <c r="Y350" s="25">
        <f t="shared" si="539"/>
        <v>675</v>
      </c>
      <c r="Z350" s="25">
        <f t="shared" si="540"/>
        <v>125</v>
      </c>
      <c r="AA350" s="25">
        <f t="shared" si="541"/>
        <v>157</v>
      </c>
      <c r="AB350" s="25">
        <f t="shared" si="542"/>
        <v>157</v>
      </c>
    </row>
    <row r="351" spans="1:28">
      <c r="A351" s="48">
        <v>1005033</v>
      </c>
      <c r="B351" s="49" t="s">
        <v>327</v>
      </c>
      <c r="C351" s="25">
        <f t="shared" si="534"/>
        <v>33</v>
      </c>
      <c r="D351" s="25">
        <f t="array" ref="D351">INDEX(C$5:C$67,MATCH($B351,$B$5:$B$67,0))</f>
        <v>4725</v>
      </c>
      <c r="E351" s="25">
        <f t="array" ref="E351">INDEX(D$5:D$67,MATCH($B351,$B$5:$B$67,0))</f>
        <v>378</v>
      </c>
      <c r="F351" s="25">
        <f t="array" ref="F351">INDEX(E$5:E$67,MATCH($B351,$B$5:$B$67,0))</f>
        <v>1650</v>
      </c>
      <c r="G351" s="25">
        <f t="array" ref="G351">INDEX(F$5:F$67,MATCH($B351,$B$5:$B$67,0))</f>
        <v>132</v>
      </c>
      <c r="H351" s="25">
        <f t="array" ref="H351">INDEX(G$5:G$66,MATCH($B351,$B$5:$B$67,0))</f>
        <v>1188</v>
      </c>
      <c r="I351" s="25">
        <f t="array" ref="I351">INDEX(H$5:H$67,MATCH($B351,$B$5:$B$67,0))</f>
        <v>95.04</v>
      </c>
      <c r="J351" s="25">
        <f t="array" ref="J351">INDEX(I$5:I$67,MATCH($B351,$B$5:$B$67,0))</f>
        <v>1000</v>
      </c>
      <c r="K351" s="25">
        <f t="array" ref="K351">INDEX(J$5:J$67,MATCH($B351,$B$5:$B$67,0))</f>
        <v>80</v>
      </c>
      <c r="L351" s="25">
        <f t="shared" si="535"/>
        <v>17199</v>
      </c>
      <c r="M351" s="25">
        <f t="shared" si="536"/>
        <v>6006</v>
      </c>
      <c r="N351" s="25">
        <f t="shared" si="537"/>
        <v>4324</v>
      </c>
      <c r="O351" s="25">
        <f t="shared" si="538"/>
        <v>3640</v>
      </c>
      <c r="R351" s="50">
        <f t="array" ref="R351">INDEX($B$46:$B$68,MATCH(S351,$C$46:$C$68,0))*1000+T351</f>
        <v>1012003</v>
      </c>
      <c r="S351" s="51" t="s">
        <v>338</v>
      </c>
      <c r="T351" s="29">
        <f t="shared" si="520"/>
        <v>3</v>
      </c>
      <c r="U351" s="25">
        <f t="array" ref="U351">INDEX(K$5:K$67,MATCH($S351,$B$5:$B$67,0))</f>
        <v>337.39</v>
      </c>
      <c r="V351" s="25">
        <f t="array" ref="V351">INDEX(L$5:L$67,MATCH($S351,$B$5:$B$67,0))</f>
        <v>62.67</v>
      </c>
      <c r="W351" s="25">
        <f t="array" ref="W351">INDEX(M$5:M$67,MATCH($S351,$B$5:$B$67,0))</f>
        <v>78.34</v>
      </c>
      <c r="X351" s="25">
        <f t="array" ref="X351">INDEX(N$5:N$67,MATCH($S351,$B$5:$B$67,0))</f>
        <v>78.54</v>
      </c>
      <c r="Y351" s="25">
        <f t="shared" si="539"/>
        <v>1012</v>
      </c>
      <c r="Z351" s="25">
        <f t="shared" si="540"/>
        <v>188</v>
      </c>
      <c r="AA351" s="25">
        <f t="shared" si="541"/>
        <v>235</v>
      </c>
      <c r="AB351" s="25">
        <f t="shared" si="542"/>
        <v>236</v>
      </c>
    </row>
    <row r="352" spans="1:28">
      <c r="A352" s="48">
        <v>1005034</v>
      </c>
      <c r="B352" s="49" t="s">
        <v>327</v>
      </c>
      <c r="C352" s="25">
        <f t="shared" si="534"/>
        <v>34</v>
      </c>
      <c r="D352" s="25">
        <f t="array" ref="D352">INDEX(C$5:C$67,MATCH($B352,$B$5:$B$67,0))</f>
        <v>4725</v>
      </c>
      <c r="E352" s="25">
        <f t="array" ref="E352">INDEX(D$5:D$67,MATCH($B352,$B$5:$B$67,0))</f>
        <v>378</v>
      </c>
      <c r="F352" s="25">
        <f t="array" ref="F352">INDEX(E$5:E$67,MATCH($B352,$B$5:$B$67,0))</f>
        <v>1650</v>
      </c>
      <c r="G352" s="25">
        <f t="array" ref="G352">INDEX(F$5:F$67,MATCH($B352,$B$5:$B$67,0))</f>
        <v>132</v>
      </c>
      <c r="H352" s="25">
        <f t="array" ref="H352">INDEX(G$5:G$66,MATCH($B352,$B$5:$B$67,0))</f>
        <v>1188</v>
      </c>
      <c r="I352" s="25">
        <f t="array" ref="I352">INDEX(H$5:H$67,MATCH($B352,$B$5:$B$67,0))</f>
        <v>95.04</v>
      </c>
      <c r="J352" s="25">
        <f t="array" ref="J352">INDEX(I$5:I$67,MATCH($B352,$B$5:$B$67,0))</f>
        <v>1000</v>
      </c>
      <c r="K352" s="25">
        <f t="array" ref="K352">INDEX(J$5:J$67,MATCH($B352,$B$5:$B$67,0))</f>
        <v>80</v>
      </c>
      <c r="L352" s="25">
        <f t="shared" si="535"/>
        <v>17577</v>
      </c>
      <c r="M352" s="25">
        <f t="shared" si="536"/>
        <v>6138</v>
      </c>
      <c r="N352" s="25">
        <f t="shared" si="537"/>
        <v>4419</v>
      </c>
      <c r="O352" s="25">
        <f t="shared" si="538"/>
        <v>3720</v>
      </c>
      <c r="R352" s="50">
        <f t="array" ref="R352">INDEX($B$46:$B$68,MATCH(S352,$C$46:$C$68,0))*1000+T352</f>
        <v>1012004</v>
      </c>
      <c r="S352" s="51" t="s">
        <v>338</v>
      </c>
      <c r="T352" s="29">
        <f t="shared" si="520"/>
        <v>4</v>
      </c>
      <c r="U352" s="25">
        <f t="array" ref="U352">INDEX(K$5:K$67,MATCH($S352,$B$5:$B$67,0))</f>
        <v>337.39</v>
      </c>
      <c r="V352" s="25">
        <f t="array" ref="V352">INDEX(L$5:L$67,MATCH($S352,$B$5:$B$67,0))</f>
        <v>62.67</v>
      </c>
      <c r="W352" s="25">
        <f t="array" ref="W352">INDEX(M$5:M$67,MATCH($S352,$B$5:$B$67,0))</f>
        <v>78.34</v>
      </c>
      <c r="X352" s="25">
        <f t="array" ref="X352">INDEX(N$5:N$67,MATCH($S352,$B$5:$B$67,0))</f>
        <v>78.54</v>
      </c>
      <c r="Y352" s="25">
        <f t="shared" si="539"/>
        <v>1350</v>
      </c>
      <c r="Z352" s="25">
        <f t="shared" si="540"/>
        <v>251</v>
      </c>
      <c r="AA352" s="25">
        <f t="shared" si="541"/>
        <v>313</v>
      </c>
      <c r="AB352" s="25">
        <f t="shared" si="542"/>
        <v>314</v>
      </c>
    </row>
    <row r="353" spans="1:28">
      <c r="A353" s="48">
        <v>1005035</v>
      </c>
      <c r="B353" s="49" t="s">
        <v>327</v>
      </c>
      <c r="C353" s="25">
        <f t="shared" si="534"/>
        <v>35</v>
      </c>
      <c r="D353" s="25">
        <f t="array" ref="D353">INDEX(C$5:C$67,MATCH($B353,$B$5:$B$67,0))</f>
        <v>4725</v>
      </c>
      <c r="E353" s="25">
        <f t="array" ref="E353">INDEX(D$5:D$67,MATCH($B353,$B$5:$B$67,0))</f>
        <v>378</v>
      </c>
      <c r="F353" s="25">
        <f t="array" ref="F353">INDEX(E$5:E$67,MATCH($B353,$B$5:$B$67,0))</f>
        <v>1650</v>
      </c>
      <c r="G353" s="25">
        <f t="array" ref="G353">INDEX(F$5:F$67,MATCH($B353,$B$5:$B$67,0))</f>
        <v>132</v>
      </c>
      <c r="H353" s="25">
        <f t="array" ref="H353">INDEX(G$5:G$66,MATCH($B353,$B$5:$B$67,0))</f>
        <v>1188</v>
      </c>
      <c r="I353" s="25">
        <f t="array" ref="I353">INDEX(H$5:H$67,MATCH($B353,$B$5:$B$67,0))</f>
        <v>95.04</v>
      </c>
      <c r="J353" s="25">
        <f t="array" ref="J353">INDEX(I$5:I$67,MATCH($B353,$B$5:$B$67,0))</f>
        <v>1000</v>
      </c>
      <c r="K353" s="25">
        <f t="array" ref="K353">INDEX(J$5:J$67,MATCH($B353,$B$5:$B$67,0))</f>
        <v>80</v>
      </c>
      <c r="L353" s="25">
        <f t="shared" si="535"/>
        <v>17955</v>
      </c>
      <c r="M353" s="25">
        <f t="shared" si="536"/>
        <v>6270</v>
      </c>
      <c r="N353" s="25">
        <f t="shared" si="537"/>
        <v>4514</v>
      </c>
      <c r="O353" s="25">
        <f t="shared" si="538"/>
        <v>3800</v>
      </c>
      <c r="R353" s="50">
        <f t="array" ref="R353">INDEX($B$46:$B$68,MATCH(S353,$C$46:$C$68,0))*1000+T353</f>
        <v>1012005</v>
      </c>
      <c r="S353" s="51" t="s">
        <v>338</v>
      </c>
      <c r="T353" s="29">
        <f t="shared" si="520"/>
        <v>5</v>
      </c>
      <c r="U353" s="25">
        <f t="array" ref="U353">INDEX(K$5:K$67,MATCH($S353,$B$5:$B$67,0))</f>
        <v>337.39</v>
      </c>
      <c r="V353" s="25">
        <f t="array" ref="V353">INDEX(L$5:L$67,MATCH($S353,$B$5:$B$67,0))</f>
        <v>62.67</v>
      </c>
      <c r="W353" s="25">
        <f t="array" ref="W353">INDEX(M$5:M$67,MATCH($S353,$B$5:$B$67,0))</f>
        <v>78.34</v>
      </c>
      <c r="X353" s="25">
        <f t="array" ref="X353">INDEX(N$5:N$67,MATCH($S353,$B$5:$B$67,0))</f>
        <v>78.54</v>
      </c>
      <c r="Y353" s="25">
        <f t="shared" si="539"/>
        <v>1687</v>
      </c>
      <c r="Z353" s="25">
        <f t="shared" si="540"/>
        <v>313</v>
      </c>
      <c r="AA353" s="25">
        <f t="shared" si="541"/>
        <v>392</v>
      </c>
      <c r="AB353" s="25">
        <f t="shared" si="542"/>
        <v>393</v>
      </c>
    </row>
    <row r="354" spans="1:28">
      <c r="A354" s="48">
        <v>1005036</v>
      </c>
      <c r="B354" s="49" t="s">
        <v>327</v>
      </c>
      <c r="C354" s="25">
        <f t="shared" si="534"/>
        <v>36</v>
      </c>
      <c r="D354" s="25">
        <f t="array" ref="D354">INDEX(C$5:C$67,MATCH($B354,$B$5:$B$67,0))</f>
        <v>4725</v>
      </c>
      <c r="E354" s="25">
        <f t="array" ref="E354">INDEX(D$5:D$67,MATCH($B354,$B$5:$B$67,0))</f>
        <v>378</v>
      </c>
      <c r="F354" s="25">
        <f t="array" ref="F354">INDEX(E$5:E$67,MATCH($B354,$B$5:$B$67,0))</f>
        <v>1650</v>
      </c>
      <c r="G354" s="25">
        <f t="array" ref="G354">INDEX(F$5:F$67,MATCH($B354,$B$5:$B$67,0))</f>
        <v>132</v>
      </c>
      <c r="H354" s="25">
        <f t="array" ref="H354">INDEX(G$5:G$66,MATCH($B354,$B$5:$B$67,0))</f>
        <v>1188</v>
      </c>
      <c r="I354" s="25">
        <f t="array" ref="I354">INDEX(H$5:H$67,MATCH($B354,$B$5:$B$67,0))</f>
        <v>95.04</v>
      </c>
      <c r="J354" s="25">
        <f t="array" ref="J354">INDEX(I$5:I$67,MATCH($B354,$B$5:$B$67,0))</f>
        <v>1000</v>
      </c>
      <c r="K354" s="25">
        <f t="array" ref="K354">INDEX(J$5:J$67,MATCH($B354,$B$5:$B$67,0))</f>
        <v>80</v>
      </c>
      <c r="L354" s="25">
        <f t="shared" si="535"/>
        <v>18333</v>
      </c>
      <c r="M354" s="25">
        <f t="shared" si="536"/>
        <v>6402</v>
      </c>
      <c r="N354" s="25">
        <f t="shared" si="537"/>
        <v>4609</v>
      </c>
      <c r="O354" s="25">
        <f t="shared" si="538"/>
        <v>3880</v>
      </c>
      <c r="R354" s="50">
        <f t="array" ref="R354">INDEX($B$46:$B$68,MATCH(S354,$C$46:$C$68,0))*1000+T354</f>
        <v>1012006</v>
      </c>
      <c r="S354" s="51" t="s">
        <v>338</v>
      </c>
      <c r="T354" s="29">
        <f t="shared" si="520"/>
        <v>6</v>
      </c>
      <c r="U354" s="25">
        <f t="array" ref="U354">INDEX(K$5:K$67,MATCH($S354,$B$5:$B$67,0))</f>
        <v>337.39</v>
      </c>
      <c r="V354" s="25">
        <f t="array" ref="V354">INDEX(L$5:L$67,MATCH($S354,$B$5:$B$67,0))</f>
        <v>62.67</v>
      </c>
      <c r="W354" s="25">
        <f t="array" ref="W354">INDEX(M$5:M$67,MATCH($S354,$B$5:$B$67,0))</f>
        <v>78.34</v>
      </c>
      <c r="X354" s="25">
        <f t="array" ref="X354">INDEX(N$5:N$67,MATCH($S354,$B$5:$B$67,0))</f>
        <v>78.54</v>
      </c>
      <c r="Y354" s="25">
        <f t="shared" si="539"/>
        <v>2024</v>
      </c>
      <c r="Z354" s="25">
        <f t="shared" si="540"/>
        <v>376</v>
      </c>
      <c r="AA354" s="25">
        <f t="shared" si="541"/>
        <v>470</v>
      </c>
      <c r="AB354" s="25">
        <f t="shared" si="542"/>
        <v>471</v>
      </c>
    </row>
    <row r="355" spans="1:28">
      <c r="A355" s="48">
        <v>1005037</v>
      </c>
      <c r="B355" s="49" t="s">
        <v>327</v>
      </c>
      <c r="C355" s="25">
        <f t="shared" si="534"/>
        <v>37</v>
      </c>
      <c r="D355" s="25">
        <f t="array" ref="D355">INDEX(C$5:C$67,MATCH($B355,$B$5:$B$67,0))</f>
        <v>4725</v>
      </c>
      <c r="E355" s="25">
        <f t="array" ref="E355">INDEX(D$5:D$67,MATCH($B355,$B$5:$B$67,0))</f>
        <v>378</v>
      </c>
      <c r="F355" s="25">
        <f t="array" ref="F355">INDEX(E$5:E$67,MATCH($B355,$B$5:$B$67,0))</f>
        <v>1650</v>
      </c>
      <c r="G355" s="25">
        <f t="array" ref="G355">INDEX(F$5:F$67,MATCH($B355,$B$5:$B$67,0))</f>
        <v>132</v>
      </c>
      <c r="H355" s="25">
        <f t="array" ref="H355">INDEX(G$5:G$66,MATCH($B355,$B$5:$B$67,0))</f>
        <v>1188</v>
      </c>
      <c r="I355" s="25">
        <f t="array" ref="I355">INDEX(H$5:H$67,MATCH($B355,$B$5:$B$67,0))</f>
        <v>95.04</v>
      </c>
      <c r="J355" s="25">
        <f t="array" ref="J355">INDEX(I$5:I$67,MATCH($B355,$B$5:$B$67,0))</f>
        <v>1000</v>
      </c>
      <c r="K355" s="25">
        <f t="array" ref="K355">INDEX(J$5:J$67,MATCH($B355,$B$5:$B$67,0))</f>
        <v>80</v>
      </c>
      <c r="L355" s="25">
        <f t="shared" si="535"/>
        <v>18711</v>
      </c>
      <c r="M355" s="25">
        <f t="shared" si="536"/>
        <v>6534</v>
      </c>
      <c r="N355" s="25">
        <f t="shared" si="537"/>
        <v>4704</v>
      </c>
      <c r="O355" s="25">
        <f t="shared" si="538"/>
        <v>3960</v>
      </c>
      <c r="R355" s="50">
        <f t="array" ref="R355">INDEX($B$46:$B$68,MATCH(S355,$C$46:$C$68,0))*1000+T355</f>
        <v>1012007</v>
      </c>
      <c r="S355" s="51" t="s">
        <v>338</v>
      </c>
      <c r="T355" s="29">
        <f t="shared" si="520"/>
        <v>7</v>
      </c>
      <c r="U355" s="25">
        <f t="array" ref="U355">INDEX(K$5:K$67,MATCH($S355,$B$5:$B$67,0))</f>
        <v>337.39</v>
      </c>
      <c r="V355" s="25">
        <f t="array" ref="V355">INDEX(L$5:L$67,MATCH($S355,$B$5:$B$67,0))</f>
        <v>62.67</v>
      </c>
      <c r="W355" s="25">
        <f t="array" ref="W355">INDEX(M$5:M$67,MATCH($S355,$B$5:$B$67,0))</f>
        <v>78.34</v>
      </c>
      <c r="X355" s="25">
        <f t="array" ref="X355">INDEX(N$5:N$67,MATCH($S355,$B$5:$B$67,0))</f>
        <v>78.54</v>
      </c>
      <c r="Y355" s="25">
        <f t="shared" si="539"/>
        <v>2362</v>
      </c>
      <c r="Z355" s="25">
        <f t="shared" si="540"/>
        <v>439</v>
      </c>
      <c r="AA355" s="25">
        <f t="shared" si="541"/>
        <v>548</v>
      </c>
      <c r="AB355" s="25">
        <f t="shared" si="542"/>
        <v>550</v>
      </c>
    </row>
    <row r="356" spans="1:28">
      <c r="A356" s="48">
        <v>1005038</v>
      </c>
      <c r="B356" s="49" t="s">
        <v>327</v>
      </c>
      <c r="C356" s="25">
        <f t="shared" si="534"/>
        <v>38</v>
      </c>
      <c r="D356" s="25">
        <f t="array" ref="D356">INDEX(C$5:C$67,MATCH($B356,$B$5:$B$67,0))</f>
        <v>4725</v>
      </c>
      <c r="E356" s="25">
        <f t="array" ref="E356">INDEX(D$5:D$67,MATCH($B356,$B$5:$B$67,0))</f>
        <v>378</v>
      </c>
      <c r="F356" s="25">
        <f t="array" ref="F356">INDEX(E$5:E$67,MATCH($B356,$B$5:$B$67,0))</f>
        <v>1650</v>
      </c>
      <c r="G356" s="25">
        <f t="array" ref="G356">INDEX(F$5:F$67,MATCH($B356,$B$5:$B$67,0))</f>
        <v>132</v>
      </c>
      <c r="H356" s="25">
        <f t="array" ref="H356">INDEX(G$5:G$66,MATCH($B356,$B$5:$B$67,0))</f>
        <v>1188</v>
      </c>
      <c r="I356" s="25">
        <f t="array" ref="I356">INDEX(H$5:H$67,MATCH($B356,$B$5:$B$67,0))</f>
        <v>95.04</v>
      </c>
      <c r="J356" s="25">
        <f t="array" ref="J356">INDEX(I$5:I$67,MATCH($B356,$B$5:$B$67,0))</f>
        <v>1000</v>
      </c>
      <c r="K356" s="25">
        <f t="array" ref="K356">INDEX(J$5:J$67,MATCH($B356,$B$5:$B$67,0))</f>
        <v>80</v>
      </c>
      <c r="L356" s="25">
        <f t="shared" si="535"/>
        <v>19089</v>
      </c>
      <c r="M356" s="25">
        <f t="shared" si="536"/>
        <v>6666</v>
      </c>
      <c r="N356" s="25">
        <f t="shared" si="537"/>
        <v>4800</v>
      </c>
      <c r="O356" s="25">
        <f t="shared" si="538"/>
        <v>4040</v>
      </c>
      <c r="R356" s="50">
        <f t="array" ref="R356">INDEX($B$46:$B$68,MATCH(S356,$C$46:$C$68,0))*1000+T356</f>
        <v>1012008</v>
      </c>
      <c r="S356" s="51" t="s">
        <v>338</v>
      </c>
      <c r="T356" s="29">
        <f t="shared" si="520"/>
        <v>8</v>
      </c>
      <c r="U356" s="25">
        <f t="array" ref="U356">INDEX(K$5:K$67,MATCH($S356,$B$5:$B$67,0))</f>
        <v>337.39</v>
      </c>
      <c r="V356" s="25">
        <f t="array" ref="V356">INDEX(L$5:L$67,MATCH($S356,$B$5:$B$67,0))</f>
        <v>62.67</v>
      </c>
      <c r="W356" s="25">
        <f t="array" ref="W356">INDEX(M$5:M$67,MATCH($S356,$B$5:$B$67,0))</f>
        <v>78.34</v>
      </c>
      <c r="X356" s="25">
        <f t="array" ref="X356">INDEX(N$5:N$67,MATCH($S356,$B$5:$B$67,0))</f>
        <v>78.54</v>
      </c>
      <c r="Y356" s="25">
        <f t="shared" si="539"/>
        <v>2699</v>
      </c>
      <c r="Z356" s="25">
        <f t="shared" si="540"/>
        <v>501</v>
      </c>
      <c r="AA356" s="25">
        <f t="shared" si="541"/>
        <v>627</v>
      </c>
      <c r="AB356" s="25">
        <f t="shared" si="542"/>
        <v>628</v>
      </c>
    </row>
    <row r="357" spans="1:28">
      <c r="A357" s="48">
        <v>1005039</v>
      </c>
      <c r="B357" s="49" t="s">
        <v>327</v>
      </c>
      <c r="C357" s="25">
        <f t="shared" si="534"/>
        <v>39</v>
      </c>
      <c r="D357" s="25">
        <f t="array" ref="D357">INDEX(C$5:C$67,MATCH($B357,$B$5:$B$67,0))</f>
        <v>4725</v>
      </c>
      <c r="E357" s="25">
        <f t="array" ref="E357">INDEX(D$5:D$67,MATCH($B357,$B$5:$B$67,0))</f>
        <v>378</v>
      </c>
      <c r="F357" s="25">
        <f t="array" ref="F357">INDEX(E$5:E$67,MATCH($B357,$B$5:$B$67,0))</f>
        <v>1650</v>
      </c>
      <c r="G357" s="25">
        <f t="array" ref="G357">INDEX(F$5:F$67,MATCH($B357,$B$5:$B$67,0))</f>
        <v>132</v>
      </c>
      <c r="H357" s="25">
        <f t="array" ref="H357">INDEX(G$5:G$66,MATCH($B357,$B$5:$B$67,0))</f>
        <v>1188</v>
      </c>
      <c r="I357" s="25">
        <f t="array" ref="I357">INDEX(H$5:H$67,MATCH($B357,$B$5:$B$67,0))</f>
        <v>95.04</v>
      </c>
      <c r="J357" s="25">
        <f t="array" ref="J357">INDEX(I$5:I$67,MATCH($B357,$B$5:$B$67,0))</f>
        <v>1000</v>
      </c>
      <c r="K357" s="25">
        <f t="array" ref="K357">INDEX(J$5:J$67,MATCH($B357,$B$5:$B$67,0))</f>
        <v>80</v>
      </c>
      <c r="L357" s="25">
        <f t="shared" si="535"/>
        <v>19467</v>
      </c>
      <c r="M357" s="25">
        <f t="shared" si="536"/>
        <v>6798</v>
      </c>
      <c r="N357" s="25">
        <f t="shared" si="537"/>
        <v>4895</v>
      </c>
      <c r="O357" s="25">
        <f t="shared" si="538"/>
        <v>4120</v>
      </c>
      <c r="R357" s="50">
        <f t="array" ref="R357">INDEX($B$46:$B$68,MATCH(S357,$C$46:$C$68,0))*1000+T357</f>
        <v>1012009</v>
      </c>
      <c r="S357" s="51" t="s">
        <v>338</v>
      </c>
      <c r="T357" s="29">
        <f t="shared" si="520"/>
        <v>9</v>
      </c>
      <c r="U357" s="25">
        <f t="array" ref="U357">INDEX(K$5:K$67,MATCH($S357,$B$5:$B$67,0))</f>
        <v>337.39</v>
      </c>
      <c r="V357" s="25">
        <f t="array" ref="V357">INDEX(L$5:L$67,MATCH($S357,$B$5:$B$67,0))</f>
        <v>62.67</v>
      </c>
      <c r="W357" s="25">
        <f t="array" ref="W357">INDEX(M$5:M$67,MATCH($S357,$B$5:$B$67,0))</f>
        <v>78.34</v>
      </c>
      <c r="X357" s="25">
        <f t="array" ref="X357">INDEX(N$5:N$67,MATCH($S357,$B$5:$B$67,0))</f>
        <v>78.54</v>
      </c>
      <c r="Y357" s="25">
        <f t="shared" si="539"/>
        <v>3037</v>
      </c>
      <c r="Z357" s="25">
        <f t="shared" si="540"/>
        <v>564</v>
      </c>
      <c r="AA357" s="25">
        <f t="shared" si="541"/>
        <v>705</v>
      </c>
      <c r="AB357" s="25">
        <f t="shared" si="542"/>
        <v>707</v>
      </c>
    </row>
    <row r="358" spans="1:28">
      <c r="A358" s="48">
        <v>1005040</v>
      </c>
      <c r="B358" s="49" t="s">
        <v>327</v>
      </c>
      <c r="C358" s="25">
        <f t="shared" si="534"/>
        <v>40</v>
      </c>
      <c r="D358" s="25">
        <f t="array" ref="D358">INDEX(C$5:C$67,MATCH($B358,$B$5:$B$67,0))</f>
        <v>4725</v>
      </c>
      <c r="E358" s="25">
        <f t="array" ref="E358">INDEX(D$5:D$67,MATCH($B358,$B$5:$B$67,0))</f>
        <v>378</v>
      </c>
      <c r="F358" s="25">
        <f t="array" ref="F358">INDEX(E$5:E$67,MATCH($B358,$B$5:$B$67,0))</f>
        <v>1650</v>
      </c>
      <c r="G358" s="25">
        <f t="array" ref="G358">INDEX(F$5:F$67,MATCH($B358,$B$5:$B$67,0))</f>
        <v>132</v>
      </c>
      <c r="H358" s="25">
        <f t="array" ref="H358">INDEX(G$5:G$66,MATCH($B358,$B$5:$B$67,0))</f>
        <v>1188</v>
      </c>
      <c r="I358" s="25">
        <f t="array" ref="I358">INDEX(H$5:H$67,MATCH($B358,$B$5:$B$67,0))</f>
        <v>95.04</v>
      </c>
      <c r="J358" s="25">
        <f t="array" ref="J358">INDEX(I$5:I$67,MATCH($B358,$B$5:$B$67,0))</f>
        <v>1000</v>
      </c>
      <c r="K358" s="25">
        <f t="array" ref="K358">INDEX(J$5:J$67,MATCH($B358,$B$5:$B$67,0))</f>
        <v>80</v>
      </c>
      <c r="L358" s="25">
        <f t="shared" si="535"/>
        <v>19845</v>
      </c>
      <c r="M358" s="25">
        <f t="shared" si="536"/>
        <v>6930</v>
      </c>
      <c r="N358" s="25">
        <f t="shared" si="537"/>
        <v>4990</v>
      </c>
      <c r="O358" s="25">
        <f t="shared" si="538"/>
        <v>4200</v>
      </c>
      <c r="R358" s="50">
        <f t="array" ref="R358">INDEX($B$46:$B$68,MATCH(S358,$C$46:$C$68,0))*1000+T358</f>
        <v>1012010</v>
      </c>
      <c r="S358" s="51" t="s">
        <v>338</v>
      </c>
      <c r="T358" s="29">
        <f t="shared" si="520"/>
        <v>10</v>
      </c>
      <c r="U358" s="25">
        <f t="array" ref="U358">INDEX(K$5:K$67,MATCH($S358,$B$5:$B$67,0))</f>
        <v>337.39</v>
      </c>
      <c r="V358" s="25">
        <f t="array" ref="V358">INDEX(L$5:L$67,MATCH($S358,$B$5:$B$67,0))</f>
        <v>62.67</v>
      </c>
      <c r="W358" s="25">
        <f t="array" ref="W358">INDEX(M$5:M$67,MATCH($S358,$B$5:$B$67,0))</f>
        <v>78.34</v>
      </c>
      <c r="X358" s="25">
        <f t="array" ref="X358">INDEX(N$5:N$67,MATCH($S358,$B$5:$B$67,0))</f>
        <v>78.54</v>
      </c>
      <c r="Y358" s="25">
        <f t="shared" si="539"/>
        <v>3374</v>
      </c>
      <c r="Z358" s="25">
        <f t="shared" si="540"/>
        <v>627</v>
      </c>
      <c r="AA358" s="25">
        <f t="shared" si="541"/>
        <v>783</v>
      </c>
      <c r="AB358" s="25">
        <f t="shared" si="542"/>
        <v>785</v>
      </c>
    </row>
    <row r="359" spans="1:28">
      <c r="A359" s="48">
        <v>1005041</v>
      </c>
      <c r="B359" s="49" t="s">
        <v>327</v>
      </c>
      <c r="C359" s="25">
        <f t="shared" si="534"/>
        <v>41</v>
      </c>
      <c r="D359" s="25">
        <f t="array" ref="D359">INDEX(C$5:C$67,MATCH($B359,$B$5:$B$67,0))</f>
        <v>4725</v>
      </c>
      <c r="E359" s="25">
        <f t="array" ref="E359">INDEX(D$5:D$67,MATCH($B359,$B$5:$B$67,0))</f>
        <v>378</v>
      </c>
      <c r="F359" s="25">
        <f t="array" ref="F359">INDEX(E$5:E$67,MATCH($B359,$B$5:$B$67,0))</f>
        <v>1650</v>
      </c>
      <c r="G359" s="25">
        <f t="array" ref="G359">INDEX(F$5:F$67,MATCH($B359,$B$5:$B$67,0))</f>
        <v>132</v>
      </c>
      <c r="H359" s="25">
        <f t="array" ref="H359">INDEX(G$5:G$66,MATCH($B359,$B$5:$B$67,0))</f>
        <v>1188</v>
      </c>
      <c r="I359" s="25">
        <f t="array" ref="I359">INDEX(H$5:H$67,MATCH($B359,$B$5:$B$67,0))</f>
        <v>95.04</v>
      </c>
      <c r="J359" s="25">
        <f t="array" ref="J359">INDEX(I$5:I$67,MATCH($B359,$B$5:$B$67,0))</f>
        <v>1000</v>
      </c>
      <c r="K359" s="25">
        <f t="array" ref="K359">INDEX(J$5:J$67,MATCH($B359,$B$5:$B$67,0))</f>
        <v>80</v>
      </c>
      <c r="L359" s="25">
        <f t="shared" si="535"/>
        <v>20223</v>
      </c>
      <c r="M359" s="25">
        <f t="shared" si="536"/>
        <v>7062</v>
      </c>
      <c r="N359" s="25">
        <f t="shared" si="537"/>
        <v>5085</v>
      </c>
      <c r="O359" s="25">
        <f t="shared" si="538"/>
        <v>4280</v>
      </c>
      <c r="R359" s="50">
        <f t="array" ref="R359">INDEX($B$46:$B$68,MATCH(S359,$C$46:$C$68,0))*1000+T359</f>
        <v>1012011</v>
      </c>
      <c r="S359" s="51" t="s">
        <v>338</v>
      </c>
      <c r="T359" s="29">
        <f t="shared" si="520"/>
        <v>11</v>
      </c>
      <c r="U359" s="25">
        <f t="array" ref="U359">INDEX(K$5:K$67,MATCH($S359,$B$5:$B$67,0))</f>
        <v>337.39</v>
      </c>
      <c r="V359" s="25">
        <f t="array" ref="V359">INDEX(L$5:L$67,MATCH($S359,$B$5:$B$67,0))</f>
        <v>62.67</v>
      </c>
      <c r="W359" s="25">
        <f t="array" ref="W359">INDEX(M$5:M$67,MATCH($S359,$B$5:$B$67,0))</f>
        <v>78.34</v>
      </c>
      <c r="X359" s="25">
        <f t="array" ref="X359">INDEX(N$5:N$67,MATCH($S359,$B$5:$B$67,0))</f>
        <v>78.54</v>
      </c>
      <c r="Y359" s="25">
        <f t="shared" si="539"/>
        <v>3711</v>
      </c>
      <c r="Z359" s="25">
        <f t="shared" si="540"/>
        <v>689</v>
      </c>
      <c r="AA359" s="25">
        <f t="shared" si="541"/>
        <v>862</v>
      </c>
      <c r="AB359" s="25">
        <f t="shared" si="542"/>
        <v>864</v>
      </c>
    </row>
    <row r="360" spans="1:28">
      <c r="A360" s="48">
        <v>1005042</v>
      </c>
      <c r="B360" s="49" t="s">
        <v>327</v>
      </c>
      <c r="C360" s="25">
        <f t="shared" si="534"/>
        <v>42</v>
      </c>
      <c r="D360" s="25">
        <f t="array" ref="D360">INDEX(C$5:C$67,MATCH($B360,$B$5:$B$67,0))</f>
        <v>4725</v>
      </c>
      <c r="E360" s="25">
        <f t="array" ref="E360">INDEX(D$5:D$67,MATCH($B360,$B$5:$B$67,0))</f>
        <v>378</v>
      </c>
      <c r="F360" s="25">
        <f t="array" ref="F360">INDEX(E$5:E$67,MATCH($B360,$B$5:$B$67,0))</f>
        <v>1650</v>
      </c>
      <c r="G360" s="25">
        <f t="array" ref="G360">INDEX(F$5:F$67,MATCH($B360,$B$5:$B$67,0))</f>
        <v>132</v>
      </c>
      <c r="H360" s="25">
        <f t="array" ref="H360">INDEX(G$5:G$66,MATCH($B360,$B$5:$B$67,0))</f>
        <v>1188</v>
      </c>
      <c r="I360" s="25">
        <f t="array" ref="I360">INDEX(H$5:H$67,MATCH($B360,$B$5:$B$67,0))</f>
        <v>95.04</v>
      </c>
      <c r="J360" s="25">
        <f t="array" ref="J360">INDEX(I$5:I$67,MATCH($B360,$B$5:$B$67,0))</f>
        <v>1000</v>
      </c>
      <c r="K360" s="25">
        <f t="array" ref="K360">INDEX(J$5:J$67,MATCH($B360,$B$5:$B$67,0))</f>
        <v>80</v>
      </c>
      <c r="L360" s="25">
        <f t="shared" si="535"/>
        <v>20601</v>
      </c>
      <c r="M360" s="25">
        <f t="shared" si="536"/>
        <v>7194</v>
      </c>
      <c r="N360" s="25">
        <f t="shared" si="537"/>
        <v>5180</v>
      </c>
      <c r="O360" s="25">
        <f t="shared" si="538"/>
        <v>4360</v>
      </c>
      <c r="R360" s="50">
        <f t="array" ref="R360">INDEX($B$46:$B$68,MATCH(S360,$C$46:$C$68,0))*1000+T360</f>
        <v>1012012</v>
      </c>
      <c r="S360" s="51" t="s">
        <v>338</v>
      </c>
      <c r="T360" s="29">
        <f t="shared" si="520"/>
        <v>12</v>
      </c>
      <c r="U360" s="25">
        <f t="array" ref="U360">INDEX(K$5:K$67,MATCH($S360,$B$5:$B$67,0))</f>
        <v>337.39</v>
      </c>
      <c r="V360" s="25">
        <f t="array" ref="V360">INDEX(L$5:L$67,MATCH($S360,$B$5:$B$67,0))</f>
        <v>62.67</v>
      </c>
      <c r="W360" s="25">
        <f t="array" ref="W360">INDEX(M$5:M$67,MATCH($S360,$B$5:$B$67,0))</f>
        <v>78.34</v>
      </c>
      <c r="X360" s="25">
        <f t="array" ref="X360">INDEX(N$5:N$67,MATCH($S360,$B$5:$B$67,0))</f>
        <v>78.54</v>
      </c>
      <c r="Y360" s="25">
        <f t="shared" si="539"/>
        <v>4049</v>
      </c>
      <c r="Z360" s="25">
        <f t="shared" si="540"/>
        <v>752</v>
      </c>
      <c r="AA360" s="25">
        <f t="shared" si="541"/>
        <v>940</v>
      </c>
      <c r="AB360" s="25">
        <f t="shared" si="542"/>
        <v>942</v>
      </c>
    </row>
    <row r="361" spans="1:28">
      <c r="A361" s="48">
        <v>1005043</v>
      </c>
      <c r="B361" s="49" t="s">
        <v>327</v>
      </c>
      <c r="C361" s="25">
        <f t="shared" si="534"/>
        <v>43</v>
      </c>
      <c r="D361" s="25">
        <f t="array" ref="D361">INDEX(C$5:C$67,MATCH($B361,$B$5:$B$67,0))</f>
        <v>4725</v>
      </c>
      <c r="E361" s="25">
        <f t="array" ref="E361">INDEX(D$5:D$67,MATCH($B361,$B$5:$B$67,0))</f>
        <v>378</v>
      </c>
      <c r="F361" s="25">
        <f t="array" ref="F361">INDEX(E$5:E$67,MATCH($B361,$B$5:$B$67,0))</f>
        <v>1650</v>
      </c>
      <c r="G361" s="25">
        <f t="array" ref="G361">INDEX(F$5:F$67,MATCH($B361,$B$5:$B$67,0))</f>
        <v>132</v>
      </c>
      <c r="H361" s="25">
        <f t="array" ref="H361">INDEX(G$5:G$66,MATCH($B361,$B$5:$B$67,0))</f>
        <v>1188</v>
      </c>
      <c r="I361" s="25">
        <f t="array" ref="I361">INDEX(H$5:H$67,MATCH($B361,$B$5:$B$67,0))</f>
        <v>95.04</v>
      </c>
      <c r="J361" s="25">
        <f t="array" ref="J361">INDEX(I$5:I$67,MATCH($B361,$B$5:$B$67,0))</f>
        <v>1000</v>
      </c>
      <c r="K361" s="25">
        <f t="array" ref="K361">INDEX(J$5:J$67,MATCH($B361,$B$5:$B$67,0))</f>
        <v>80</v>
      </c>
      <c r="L361" s="25">
        <f t="shared" si="535"/>
        <v>20979</v>
      </c>
      <c r="M361" s="25">
        <f t="shared" si="536"/>
        <v>7326</v>
      </c>
      <c r="N361" s="25">
        <f t="shared" si="537"/>
        <v>5275</v>
      </c>
      <c r="O361" s="25">
        <f t="shared" si="538"/>
        <v>4440</v>
      </c>
      <c r="R361" s="50">
        <f t="array" ref="R361">INDEX($B$46:$B$68,MATCH(S361,$C$46:$C$68,0))*1000+T361</f>
        <v>1012013</v>
      </c>
      <c r="S361" s="51" t="s">
        <v>338</v>
      </c>
      <c r="T361" s="29">
        <f t="shared" si="520"/>
        <v>13</v>
      </c>
      <c r="U361" s="25">
        <f t="array" ref="U361">INDEX(K$5:K$67,MATCH($S361,$B$5:$B$67,0))</f>
        <v>337.39</v>
      </c>
      <c r="V361" s="25">
        <f t="array" ref="V361">INDEX(L$5:L$67,MATCH($S361,$B$5:$B$67,0))</f>
        <v>62.67</v>
      </c>
      <c r="W361" s="25">
        <f t="array" ref="W361">INDEX(M$5:M$67,MATCH($S361,$B$5:$B$67,0))</f>
        <v>78.34</v>
      </c>
      <c r="X361" s="25">
        <f t="array" ref="X361">INDEX(N$5:N$67,MATCH($S361,$B$5:$B$67,0))</f>
        <v>78.54</v>
      </c>
      <c r="Y361" s="25">
        <f t="shared" si="539"/>
        <v>4386</v>
      </c>
      <c r="Z361" s="25">
        <f t="shared" si="540"/>
        <v>815</v>
      </c>
      <c r="AA361" s="25">
        <f t="shared" si="541"/>
        <v>1018</v>
      </c>
      <c r="AB361" s="25">
        <f t="shared" si="542"/>
        <v>1021</v>
      </c>
    </row>
    <row r="362" spans="1:28">
      <c r="A362" s="48">
        <v>1005044</v>
      </c>
      <c r="B362" s="49" t="s">
        <v>327</v>
      </c>
      <c r="C362" s="25">
        <f t="shared" si="534"/>
        <v>44</v>
      </c>
      <c r="D362" s="25">
        <f t="array" ref="D362">INDEX(C$5:C$67,MATCH($B362,$B$5:$B$67,0))</f>
        <v>4725</v>
      </c>
      <c r="E362" s="25">
        <f t="array" ref="E362">INDEX(D$5:D$67,MATCH($B362,$B$5:$B$67,0))</f>
        <v>378</v>
      </c>
      <c r="F362" s="25">
        <f t="array" ref="F362">INDEX(E$5:E$67,MATCH($B362,$B$5:$B$67,0))</f>
        <v>1650</v>
      </c>
      <c r="G362" s="25">
        <f t="array" ref="G362">INDEX(F$5:F$67,MATCH($B362,$B$5:$B$67,0))</f>
        <v>132</v>
      </c>
      <c r="H362" s="25">
        <f t="array" ref="H362">INDEX(G$5:G$66,MATCH($B362,$B$5:$B$67,0))</f>
        <v>1188</v>
      </c>
      <c r="I362" s="25">
        <f t="array" ref="I362">INDEX(H$5:H$67,MATCH($B362,$B$5:$B$67,0))</f>
        <v>95.04</v>
      </c>
      <c r="J362" s="25">
        <f t="array" ref="J362">INDEX(I$5:I$67,MATCH($B362,$B$5:$B$67,0))</f>
        <v>1000</v>
      </c>
      <c r="K362" s="25">
        <f t="array" ref="K362">INDEX(J$5:J$67,MATCH($B362,$B$5:$B$67,0))</f>
        <v>80</v>
      </c>
      <c r="L362" s="25">
        <f t="shared" si="535"/>
        <v>21357</v>
      </c>
      <c r="M362" s="25">
        <f t="shared" si="536"/>
        <v>7458</v>
      </c>
      <c r="N362" s="25">
        <f t="shared" si="537"/>
        <v>5370</v>
      </c>
      <c r="O362" s="25">
        <f t="shared" si="538"/>
        <v>4520</v>
      </c>
      <c r="R362" s="50">
        <f t="array" ref="R362">INDEX($B$46:$B$68,MATCH(S362,$C$46:$C$68,0))*1000+T362</f>
        <v>1012014</v>
      </c>
      <c r="S362" s="51" t="s">
        <v>338</v>
      </c>
      <c r="T362" s="29">
        <f t="shared" ref="T362:T425" si="543">T335</f>
        <v>14</v>
      </c>
      <c r="U362" s="25">
        <f t="array" ref="U362">INDEX(K$5:K$67,MATCH($S362,$B$5:$B$67,0))</f>
        <v>337.39</v>
      </c>
      <c r="V362" s="25">
        <f t="array" ref="V362">INDEX(L$5:L$67,MATCH($S362,$B$5:$B$67,0))</f>
        <v>62.67</v>
      </c>
      <c r="W362" s="25">
        <f t="array" ref="W362">INDEX(M$5:M$67,MATCH($S362,$B$5:$B$67,0))</f>
        <v>78.34</v>
      </c>
      <c r="X362" s="25">
        <f t="array" ref="X362">INDEX(N$5:N$67,MATCH($S362,$B$5:$B$67,0))</f>
        <v>78.54</v>
      </c>
      <c r="Y362" s="25">
        <f t="shared" si="539"/>
        <v>4723</v>
      </c>
      <c r="Z362" s="25">
        <f t="shared" si="540"/>
        <v>877</v>
      </c>
      <c r="AA362" s="25">
        <f t="shared" si="541"/>
        <v>1097</v>
      </c>
      <c r="AB362" s="25">
        <f t="shared" si="542"/>
        <v>1100</v>
      </c>
    </row>
    <row r="363" spans="1:28">
      <c r="A363" s="48">
        <v>1005045</v>
      </c>
      <c r="B363" s="49" t="s">
        <v>327</v>
      </c>
      <c r="C363" s="25">
        <f t="shared" si="534"/>
        <v>45</v>
      </c>
      <c r="D363" s="25">
        <f t="array" ref="D363">INDEX(C$5:C$67,MATCH($B363,$B$5:$B$67,0))</f>
        <v>4725</v>
      </c>
      <c r="E363" s="25">
        <f t="array" ref="E363">INDEX(D$5:D$67,MATCH($B363,$B$5:$B$67,0))</f>
        <v>378</v>
      </c>
      <c r="F363" s="25">
        <f t="array" ref="F363">INDEX(E$5:E$67,MATCH($B363,$B$5:$B$67,0))</f>
        <v>1650</v>
      </c>
      <c r="G363" s="25">
        <f t="array" ref="G363">INDEX(F$5:F$67,MATCH($B363,$B$5:$B$67,0))</f>
        <v>132</v>
      </c>
      <c r="H363" s="25">
        <f t="array" ref="H363">INDEX(G$5:G$66,MATCH($B363,$B$5:$B$67,0))</f>
        <v>1188</v>
      </c>
      <c r="I363" s="25">
        <f t="array" ref="I363">INDEX(H$5:H$67,MATCH($B363,$B$5:$B$67,0))</f>
        <v>95.04</v>
      </c>
      <c r="J363" s="25">
        <f t="array" ref="J363">INDEX(I$5:I$67,MATCH($B363,$B$5:$B$67,0))</f>
        <v>1000</v>
      </c>
      <c r="K363" s="25">
        <f t="array" ref="K363">INDEX(J$5:J$67,MATCH($B363,$B$5:$B$67,0))</f>
        <v>80</v>
      </c>
      <c r="L363" s="25">
        <f t="shared" si="535"/>
        <v>21735</v>
      </c>
      <c r="M363" s="25">
        <f t="shared" si="536"/>
        <v>7590</v>
      </c>
      <c r="N363" s="25">
        <f t="shared" si="537"/>
        <v>5465</v>
      </c>
      <c r="O363" s="25">
        <f t="shared" si="538"/>
        <v>4600</v>
      </c>
      <c r="R363" s="50">
        <f t="array" ref="R363">INDEX($B$46:$B$68,MATCH(S363,$C$46:$C$68,0))*1000+T363</f>
        <v>1012015</v>
      </c>
      <c r="S363" s="51" t="s">
        <v>338</v>
      </c>
      <c r="T363" s="29">
        <f t="shared" si="543"/>
        <v>15</v>
      </c>
      <c r="U363" s="25">
        <f t="array" ref="U363">INDEX(K$5:K$67,MATCH($S363,$B$5:$B$67,0))</f>
        <v>337.39</v>
      </c>
      <c r="V363" s="25">
        <f t="array" ref="V363">INDEX(L$5:L$67,MATCH($S363,$B$5:$B$67,0))</f>
        <v>62.67</v>
      </c>
      <c r="W363" s="25">
        <f t="array" ref="W363">INDEX(M$5:M$67,MATCH($S363,$B$5:$B$67,0))</f>
        <v>78.34</v>
      </c>
      <c r="X363" s="25">
        <f t="array" ref="X363">INDEX(N$5:N$67,MATCH($S363,$B$5:$B$67,0))</f>
        <v>78.54</v>
      </c>
      <c r="Y363" s="25">
        <f t="shared" si="539"/>
        <v>5061</v>
      </c>
      <c r="Z363" s="25">
        <f t="shared" si="540"/>
        <v>940</v>
      </c>
      <c r="AA363" s="25">
        <f t="shared" si="541"/>
        <v>1175</v>
      </c>
      <c r="AB363" s="25">
        <f t="shared" si="542"/>
        <v>1178</v>
      </c>
    </row>
    <row r="364" spans="1:28">
      <c r="A364" s="48">
        <v>1005046</v>
      </c>
      <c r="B364" s="49" t="s">
        <v>327</v>
      </c>
      <c r="C364" s="25">
        <f t="shared" si="534"/>
        <v>46</v>
      </c>
      <c r="D364" s="25">
        <f t="array" ref="D364">INDEX(C$5:C$67,MATCH($B364,$B$5:$B$67,0))</f>
        <v>4725</v>
      </c>
      <c r="E364" s="25">
        <f t="array" ref="E364">INDEX(D$5:D$67,MATCH($B364,$B$5:$B$67,0))</f>
        <v>378</v>
      </c>
      <c r="F364" s="25">
        <f t="array" ref="F364">INDEX(E$5:E$67,MATCH($B364,$B$5:$B$67,0))</f>
        <v>1650</v>
      </c>
      <c r="G364" s="25">
        <f t="array" ref="G364">INDEX(F$5:F$67,MATCH($B364,$B$5:$B$67,0))</f>
        <v>132</v>
      </c>
      <c r="H364" s="25">
        <f t="array" ref="H364">INDEX(G$5:G$66,MATCH($B364,$B$5:$B$67,0))</f>
        <v>1188</v>
      </c>
      <c r="I364" s="25">
        <f t="array" ref="I364">INDEX(H$5:H$67,MATCH($B364,$B$5:$B$67,0))</f>
        <v>95.04</v>
      </c>
      <c r="J364" s="25">
        <f t="array" ref="J364">INDEX(I$5:I$67,MATCH($B364,$B$5:$B$67,0))</f>
        <v>1000</v>
      </c>
      <c r="K364" s="25">
        <f t="array" ref="K364">INDEX(J$5:J$67,MATCH($B364,$B$5:$B$67,0))</f>
        <v>80</v>
      </c>
      <c r="L364" s="25">
        <f t="shared" si="535"/>
        <v>22113</v>
      </c>
      <c r="M364" s="25">
        <f t="shared" si="536"/>
        <v>7722</v>
      </c>
      <c r="N364" s="25">
        <f t="shared" si="537"/>
        <v>5560</v>
      </c>
      <c r="O364" s="25">
        <f t="shared" si="538"/>
        <v>4680</v>
      </c>
      <c r="R364" s="50">
        <f t="array" ref="R364">INDEX($B$46:$B$68,MATCH(S364,$C$46:$C$68,0))*1000+T364</f>
        <v>1012016</v>
      </c>
      <c r="S364" s="51" t="s">
        <v>338</v>
      </c>
      <c r="T364" s="29">
        <f t="shared" si="543"/>
        <v>16</v>
      </c>
      <c r="U364" s="25">
        <f t="array" ref="U364">INDEX(K$5:K$67,MATCH($S364,$B$5:$B$67,0))</f>
        <v>337.39</v>
      </c>
      <c r="V364" s="25">
        <f t="array" ref="V364">INDEX(L$5:L$67,MATCH($S364,$B$5:$B$67,0))</f>
        <v>62.67</v>
      </c>
      <c r="W364" s="25">
        <f t="array" ref="W364">INDEX(M$5:M$67,MATCH($S364,$B$5:$B$67,0))</f>
        <v>78.34</v>
      </c>
      <c r="X364" s="25">
        <f t="array" ref="X364">INDEX(N$5:N$67,MATCH($S364,$B$5:$B$67,0))</f>
        <v>78.54</v>
      </c>
      <c r="Y364" s="25">
        <f t="shared" si="539"/>
        <v>5398</v>
      </c>
      <c r="Z364" s="25">
        <f t="shared" si="540"/>
        <v>1003</v>
      </c>
      <c r="AA364" s="25">
        <f t="shared" si="541"/>
        <v>1253</v>
      </c>
      <c r="AB364" s="25">
        <f t="shared" si="542"/>
        <v>1257</v>
      </c>
    </row>
    <row r="365" spans="1:28">
      <c r="A365" s="48">
        <v>1005047</v>
      </c>
      <c r="B365" s="49" t="s">
        <v>327</v>
      </c>
      <c r="C365" s="25">
        <f t="shared" si="534"/>
        <v>47</v>
      </c>
      <c r="D365" s="25">
        <f t="array" ref="D365">INDEX(C$5:C$67,MATCH($B365,$B$5:$B$67,0))</f>
        <v>4725</v>
      </c>
      <c r="E365" s="25">
        <f t="array" ref="E365">INDEX(D$5:D$67,MATCH($B365,$B$5:$B$67,0))</f>
        <v>378</v>
      </c>
      <c r="F365" s="25">
        <f t="array" ref="F365">INDEX(E$5:E$67,MATCH($B365,$B$5:$B$67,0))</f>
        <v>1650</v>
      </c>
      <c r="G365" s="25">
        <f t="array" ref="G365">INDEX(F$5:F$67,MATCH($B365,$B$5:$B$67,0))</f>
        <v>132</v>
      </c>
      <c r="H365" s="25">
        <f t="array" ref="H365">INDEX(G$5:G$66,MATCH($B365,$B$5:$B$67,0))</f>
        <v>1188</v>
      </c>
      <c r="I365" s="25">
        <f t="array" ref="I365">INDEX(H$5:H$67,MATCH($B365,$B$5:$B$67,0))</f>
        <v>95.04</v>
      </c>
      <c r="J365" s="25">
        <f t="array" ref="J365">INDEX(I$5:I$67,MATCH($B365,$B$5:$B$67,0))</f>
        <v>1000</v>
      </c>
      <c r="K365" s="25">
        <f t="array" ref="K365">INDEX(J$5:J$67,MATCH($B365,$B$5:$B$67,0))</f>
        <v>80</v>
      </c>
      <c r="L365" s="25">
        <f t="shared" si="535"/>
        <v>22491</v>
      </c>
      <c r="M365" s="25">
        <f t="shared" si="536"/>
        <v>7854</v>
      </c>
      <c r="N365" s="25">
        <f t="shared" si="537"/>
        <v>5655</v>
      </c>
      <c r="O365" s="25">
        <f t="shared" si="538"/>
        <v>4760</v>
      </c>
      <c r="R365" s="50">
        <f t="array" ref="R365">INDEX($B$46:$B$68,MATCH(S365,$C$46:$C$68,0))*1000+T365</f>
        <v>1012017</v>
      </c>
      <c r="S365" s="51" t="s">
        <v>338</v>
      </c>
      <c r="T365" s="29">
        <f t="shared" si="543"/>
        <v>17</v>
      </c>
      <c r="U365" s="25">
        <f t="array" ref="U365">INDEX(K$5:K$67,MATCH($S365,$B$5:$B$67,0))</f>
        <v>337.39</v>
      </c>
      <c r="V365" s="25">
        <f t="array" ref="V365">INDEX(L$5:L$67,MATCH($S365,$B$5:$B$67,0))</f>
        <v>62.67</v>
      </c>
      <c r="W365" s="25">
        <f t="array" ref="W365">INDEX(M$5:M$67,MATCH($S365,$B$5:$B$67,0))</f>
        <v>78.34</v>
      </c>
      <c r="X365" s="25">
        <f t="array" ref="X365">INDEX(N$5:N$67,MATCH($S365,$B$5:$B$67,0))</f>
        <v>78.54</v>
      </c>
      <c r="Y365" s="25">
        <f t="shared" si="539"/>
        <v>5736</v>
      </c>
      <c r="Z365" s="25">
        <f t="shared" si="540"/>
        <v>1065</v>
      </c>
      <c r="AA365" s="25">
        <f t="shared" si="541"/>
        <v>1332</v>
      </c>
      <c r="AB365" s="25">
        <f t="shared" si="542"/>
        <v>1335</v>
      </c>
    </row>
    <row r="366" spans="1:28">
      <c r="A366" s="48">
        <v>1005048</v>
      </c>
      <c r="B366" s="49" t="s">
        <v>327</v>
      </c>
      <c r="C366" s="25">
        <f t="shared" si="534"/>
        <v>48</v>
      </c>
      <c r="D366" s="25">
        <f t="array" ref="D366">INDEX(C$5:C$67,MATCH($B366,$B$5:$B$67,0))</f>
        <v>4725</v>
      </c>
      <c r="E366" s="25">
        <f t="array" ref="E366">INDEX(D$5:D$67,MATCH($B366,$B$5:$B$67,0))</f>
        <v>378</v>
      </c>
      <c r="F366" s="25">
        <f t="array" ref="F366">INDEX(E$5:E$67,MATCH($B366,$B$5:$B$67,0))</f>
        <v>1650</v>
      </c>
      <c r="G366" s="25">
        <f t="array" ref="G366">INDEX(F$5:F$67,MATCH($B366,$B$5:$B$67,0))</f>
        <v>132</v>
      </c>
      <c r="H366" s="25">
        <f t="array" ref="H366">INDEX(G$5:G$66,MATCH($B366,$B$5:$B$67,0))</f>
        <v>1188</v>
      </c>
      <c r="I366" s="25">
        <f t="array" ref="I366">INDEX(H$5:H$67,MATCH($B366,$B$5:$B$67,0))</f>
        <v>95.04</v>
      </c>
      <c r="J366" s="25">
        <f t="array" ref="J366">INDEX(I$5:I$67,MATCH($B366,$B$5:$B$67,0))</f>
        <v>1000</v>
      </c>
      <c r="K366" s="25">
        <f t="array" ref="K366">INDEX(J$5:J$67,MATCH($B366,$B$5:$B$67,0))</f>
        <v>80</v>
      </c>
      <c r="L366" s="25">
        <f t="shared" si="535"/>
        <v>22869</v>
      </c>
      <c r="M366" s="25">
        <f t="shared" si="536"/>
        <v>7986</v>
      </c>
      <c r="N366" s="25">
        <f t="shared" si="537"/>
        <v>5750</v>
      </c>
      <c r="O366" s="25">
        <f t="shared" si="538"/>
        <v>4840</v>
      </c>
      <c r="R366" s="50">
        <f t="array" ref="R366">INDEX($B$46:$B$68,MATCH(S366,$C$46:$C$68,0))*1000+T366</f>
        <v>1012018</v>
      </c>
      <c r="S366" s="51" t="s">
        <v>338</v>
      </c>
      <c r="T366" s="29">
        <f t="shared" si="543"/>
        <v>18</v>
      </c>
      <c r="U366" s="25">
        <f t="array" ref="U366">INDEX(K$5:K$67,MATCH($S366,$B$5:$B$67,0))</f>
        <v>337.39</v>
      </c>
      <c r="V366" s="25">
        <f t="array" ref="V366">INDEX(L$5:L$67,MATCH($S366,$B$5:$B$67,0))</f>
        <v>62.67</v>
      </c>
      <c r="W366" s="25">
        <f t="array" ref="W366">INDEX(M$5:M$67,MATCH($S366,$B$5:$B$67,0))</f>
        <v>78.34</v>
      </c>
      <c r="X366" s="25">
        <f t="array" ref="X366">INDEX(N$5:N$67,MATCH($S366,$B$5:$B$67,0))</f>
        <v>78.54</v>
      </c>
      <c r="Y366" s="25">
        <f t="shared" si="539"/>
        <v>6073</v>
      </c>
      <c r="Z366" s="25">
        <f t="shared" si="540"/>
        <v>1128</v>
      </c>
      <c r="AA366" s="25">
        <f t="shared" si="541"/>
        <v>1410</v>
      </c>
      <c r="AB366" s="25">
        <f t="shared" si="542"/>
        <v>1414</v>
      </c>
    </row>
    <row r="367" spans="1:28">
      <c r="A367" s="48">
        <v>1005049</v>
      </c>
      <c r="B367" s="49" t="s">
        <v>327</v>
      </c>
      <c r="C367" s="25">
        <f t="shared" si="534"/>
        <v>49</v>
      </c>
      <c r="D367" s="25">
        <f t="array" ref="D367">INDEX(C$5:C$67,MATCH($B367,$B$5:$B$67,0))</f>
        <v>4725</v>
      </c>
      <c r="E367" s="25">
        <f t="array" ref="E367">INDEX(D$5:D$67,MATCH($B367,$B$5:$B$67,0))</f>
        <v>378</v>
      </c>
      <c r="F367" s="25">
        <f t="array" ref="F367">INDEX(E$5:E$67,MATCH($B367,$B$5:$B$67,0))</f>
        <v>1650</v>
      </c>
      <c r="G367" s="25">
        <f t="array" ref="G367">INDEX(F$5:F$67,MATCH($B367,$B$5:$B$67,0))</f>
        <v>132</v>
      </c>
      <c r="H367" s="25">
        <f t="array" ref="H367">INDEX(G$5:G$66,MATCH($B367,$B$5:$B$67,0))</f>
        <v>1188</v>
      </c>
      <c r="I367" s="25">
        <f t="array" ref="I367">INDEX(H$5:H$67,MATCH($B367,$B$5:$B$67,0))</f>
        <v>95.04</v>
      </c>
      <c r="J367" s="25">
        <f t="array" ref="J367">INDEX(I$5:I$67,MATCH($B367,$B$5:$B$67,0))</f>
        <v>1000</v>
      </c>
      <c r="K367" s="25">
        <f t="array" ref="K367">INDEX(J$5:J$67,MATCH($B367,$B$5:$B$67,0))</f>
        <v>80</v>
      </c>
      <c r="L367" s="25">
        <f t="shared" si="535"/>
        <v>23247</v>
      </c>
      <c r="M367" s="25">
        <f t="shared" si="536"/>
        <v>8118</v>
      </c>
      <c r="N367" s="25">
        <f t="shared" si="537"/>
        <v>5845</v>
      </c>
      <c r="O367" s="25">
        <f t="shared" si="538"/>
        <v>4920</v>
      </c>
      <c r="R367" s="50">
        <f t="array" ref="R367">INDEX($B$46:$B$68,MATCH(S367,$C$46:$C$68,0))*1000+T367</f>
        <v>1012019</v>
      </c>
      <c r="S367" s="51" t="s">
        <v>338</v>
      </c>
      <c r="T367" s="29">
        <f t="shared" si="543"/>
        <v>19</v>
      </c>
      <c r="U367" s="25">
        <f t="array" ref="U367">INDEX(K$5:K$67,MATCH($S367,$B$5:$B$67,0))</f>
        <v>337.39</v>
      </c>
      <c r="V367" s="25">
        <f t="array" ref="V367">INDEX(L$5:L$67,MATCH($S367,$B$5:$B$67,0))</f>
        <v>62.67</v>
      </c>
      <c r="W367" s="25">
        <f t="array" ref="W367">INDEX(M$5:M$67,MATCH($S367,$B$5:$B$67,0))</f>
        <v>78.34</v>
      </c>
      <c r="X367" s="25">
        <f t="array" ref="X367">INDEX(N$5:N$67,MATCH($S367,$B$5:$B$67,0))</f>
        <v>78.54</v>
      </c>
      <c r="Y367" s="25">
        <f t="shared" si="539"/>
        <v>6410</v>
      </c>
      <c r="Z367" s="25">
        <f t="shared" si="540"/>
        <v>1191</v>
      </c>
      <c r="AA367" s="25">
        <f t="shared" si="541"/>
        <v>1488</v>
      </c>
      <c r="AB367" s="25">
        <f t="shared" si="542"/>
        <v>1492</v>
      </c>
    </row>
    <row r="368" spans="1:28">
      <c r="A368" s="48">
        <v>1005050</v>
      </c>
      <c r="B368" s="49" t="s">
        <v>327</v>
      </c>
      <c r="C368" s="25">
        <f t="shared" si="534"/>
        <v>50</v>
      </c>
      <c r="D368" s="25">
        <f t="array" ref="D368">INDEX(C$5:C$67,MATCH($B368,$B$5:$B$67,0))</f>
        <v>4725</v>
      </c>
      <c r="E368" s="25">
        <f t="array" ref="E368">INDEX(D$5:D$67,MATCH($B368,$B$5:$B$67,0))</f>
        <v>378</v>
      </c>
      <c r="F368" s="25">
        <f t="array" ref="F368">INDEX(E$5:E$67,MATCH($B368,$B$5:$B$67,0))</f>
        <v>1650</v>
      </c>
      <c r="G368" s="25">
        <f t="array" ref="G368">INDEX(F$5:F$67,MATCH($B368,$B$5:$B$67,0))</f>
        <v>132</v>
      </c>
      <c r="H368" s="25">
        <f t="array" ref="H368">INDEX(G$5:G$66,MATCH($B368,$B$5:$B$67,0))</f>
        <v>1188</v>
      </c>
      <c r="I368" s="25">
        <f t="array" ref="I368">INDEX(H$5:H$67,MATCH($B368,$B$5:$B$67,0))</f>
        <v>95.04</v>
      </c>
      <c r="J368" s="25">
        <f t="array" ref="J368">INDEX(I$5:I$67,MATCH($B368,$B$5:$B$67,0))</f>
        <v>1000</v>
      </c>
      <c r="K368" s="25">
        <f t="array" ref="K368">INDEX(J$5:J$67,MATCH($B368,$B$5:$B$67,0))</f>
        <v>80</v>
      </c>
      <c r="L368" s="25">
        <f t="shared" si="535"/>
        <v>23625</v>
      </c>
      <c r="M368" s="25">
        <f t="shared" si="536"/>
        <v>8250</v>
      </c>
      <c r="N368" s="25">
        <f t="shared" si="537"/>
        <v>5940</v>
      </c>
      <c r="O368" s="25">
        <f t="shared" si="538"/>
        <v>5000</v>
      </c>
      <c r="R368" s="50">
        <f t="array" ref="R368">INDEX($B$46:$B$68,MATCH(S368,$C$46:$C$68,0))*1000+T368</f>
        <v>1012020</v>
      </c>
      <c r="S368" s="51" t="s">
        <v>338</v>
      </c>
      <c r="T368" s="29">
        <f t="shared" si="543"/>
        <v>20</v>
      </c>
      <c r="U368" s="25">
        <f t="array" ref="U368">INDEX(K$5:K$67,MATCH($S368,$B$5:$B$67,0))</f>
        <v>337.39</v>
      </c>
      <c r="V368" s="25">
        <f t="array" ref="V368">INDEX(L$5:L$67,MATCH($S368,$B$5:$B$67,0))</f>
        <v>62.67</v>
      </c>
      <c r="W368" s="25">
        <f t="array" ref="W368">INDEX(M$5:M$67,MATCH($S368,$B$5:$B$67,0))</f>
        <v>78.34</v>
      </c>
      <c r="X368" s="25">
        <f t="array" ref="X368">INDEX(N$5:N$67,MATCH($S368,$B$5:$B$67,0))</f>
        <v>78.54</v>
      </c>
      <c r="Y368" s="25">
        <f t="shared" si="539"/>
        <v>6748</v>
      </c>
      <c r="Z368" s="25">
        <f t="shared" si="540"/>
        <v>1253</v>
      </c>
      <c r="AA368" s="25">
        <f t="shared" si="541"/>
        <v>1567</v>
      </c>
      <c r="AB368" s="25">
        <f t="shared" si="542"/>
        <v>1571</v>
      </c>
    </row>
    <row r="369" spans="1:28">
      <c r="A369" s="48">
        <v>1005051</v>
      </c>
      <c r="B369" s="49" t="s">
        <v>327</v>
      </c>
      <c r="C369" s="25">
        <f t="shared" si="534"/>
        <v>51</v>
      </c>
      <c r="D369" s="25">
        <f t="array" ref="D369">INDEX(C$5:C$67,MATCH($B369,$B$5:$B$67,0))</f>
        <v>4725</v>
      </c>
      <c r="E369" s="25">
        <f t="array" ref="E369">INDEX(D$5:D$67,MATCH($B369,$B$5:$B$67,0))</f>
        <v>378</v>
      </c>
      <c r="F369" s="25">
        <f t="array" ref="F369">INDEX(E$5:E$67,MATCH($B369,$B$5:$B$67,0))</f>
        <v>1650</v>
      </c>
      <c r="G369" s="25">
        <f t="array" ref="G369">INDEX(F$5:F$67,MATCH($B369,$B$5:$B$67,0))</f>
        <v>132</v>
      </c>
      <c r="H369" s="25">
        <f t="array" ref="H369">INDEX(G$5:G$66,MATCH($B369,$B$5:$B$67,0))</f>
        <v>1188</v>
      </c>
      <c r="I369" s="25">
        <f t="array" ref="I369">INDEX(H$5:H$67,MATCH($B369,$B$5:$B$67,0))</f>
        <v>95.04</v>
      </c>
      <c r="J369" s="25">
        <f t="array" ref="J369">INDEX(I$5:I$67,MATCH($B369,$B$5:$B$67,0))</f>
        <v>1000</v>
      </c>
      <c r="K369" s="25">
        <f t="array" ref="K369">INDEX(J$5:J$67,MATCH($B369,$B$5:$B$67,0))</f>
        <v>80</v>
      </c>
      <c r="L369" s="25">
        <f t="shared" si="535"/>
        <v>24003</v>
      </c>
      <c r="M369" s="25">
        <f t="shared" si="536"/>
        <v>8382</v>
      </c>
      <c r="N369" s="25">
        <f t="shared" si="537"/>
        <v>6035</v>
      </c>
      <c r="O369" s="25">
        <f t="shared" si="538"/>
        <v>5080</v>
      </c>
      <c r="R369" s="50">
        <f t="array" ref="R369">INDEX($B$46:$B$68,MATCH(S369,$C$46:$C$68,0))*1000+T369</f>
        <v>1012021</v>
      </c>
      <c r="S369" s="51" t="s">
        <v>338</v>
      </c>
      <c r="T369" s="29">
        <f t="shared" si="543"/>
        <v>21</v>
      </c>
      <c r="U369" s="25">
        <f t="array" ref="U369">INDEX(K$5:K$67,MATCH($S369,$B$5:$B$67,0))</f>
        <v>337.39</v>
      </c>
      <c r="V369" s="25">
        <f t="array" ref="V369">INDEX(L$5:L$67,MATCH($S369,$B$5:$B$67,0))</f>
        <v>62.67</v>
      </c>
      <c r="W369" s="25">
        <f t="array" ref="W369">INDEX(M$5:M$67,MATCH($S369,$B$5:$B$67,0))</f>
        <v>78.34</v>
      </c>
      <c r="X369" s="25">
        <f t="array" ref="X369">INDEX(N$5:N$67,MATCH($S369,$B$5:$B$67,0))</f>
        <v>78.54</v>
      </c>
      <c r="Y369" s="25">
        <f t="shared" si="539"/>
        <v>7085</v>
      </c>
      <c r="Z369" s="25">
        <f t="shared" si="540"/>
        <v>1316</v>
      </c>
      <c r="AA369" s="25">
        <f t="shared" si="541"/>
        <v>1645</v>
      </c>
      <c r="AB369" s="25">
        <f t="shared" si="542"/>
        <v>1649</v>
      </c>
    </row>
    <row r="370" spans="1:28">
      <c r="A370" s="48">
        <v>1005052</v>
      </c>
      <c r="B370" s="49" t="s">
        <v>327</v>
      </c>
      <c r="C370" s="25">
        <f t="shared" si="534"/>
        <v>52</v>
      </c>
      <c r="D370" s="25">
        <f t="array" ref="D370">INDEX(C$5:C$67,MATCH($B370,$B$5:$B$67,0))</f>
        <v>4725</v>
      </c>
      <c r="E370" s="25">
        <f t="array" ref="E370">INDEX(D$5:D$67,MATCH($B370,$B$5:$B$67,0))</f>
        <v>378</v>
      </c>
      <c r="F370" s="25">
        <f t="array" ref="F370">INDEX(E$5:E$67,MATCH($B370,$B$5:$B$67,0))</f>
        <v>1650</v>
      </c>
      <c r="G370" s="25">
        <f t="array" ref="G370">INDEX(F$5:F$67,MATCH($B370,$B$5:$B$67,0))</f>
        <v>132</v>
      </c>
      <c r="H370" s="25">
        <f t="array" ref="H370">INDEX(G$5:G$66,MATCH($B370,$B$5:$B$67,0))</f>
        <v>1188</v>
      </c>
      <c r="I370" s="25">
        <f t="array" ref="I370">INDEX(H$5:H$67,MATCH($B370,$B$5:$B$67,0))</f>
        <v>95.04</v>
      </c>
      <c r="J370" s="25">
        <f t="array" ref="J370">INDEX(I$5:I$67,MATCH($B370,$B$5:$B$67,0))</f>
        <v>1000</v>
      </c>
      <c r="K370" s="25">
        <f t="array" ref="K370">INDEX(J$5:J$67,MATCH($B370,$B$5:$B$67,0))</f>
        <v>80</v>
      </c>
      <c r="L370" s="25">
        <f t="shared" si="535"/>
        <v>24381</v>
      </c>
      <c r="M370" s="25">
        <f t="shared" si="536"/>
        <v>8514</v>
      </c>
      <c r="N370" s="25">
        <f t="shared" si="537"/>
        <v>6130</v>
      </c>
      <c r="O370" s="25">
        <f t="shared" si="538"/>
        <v>5160</v>
      </c>
      <c r="R370" s="50">
        <f t="array" ref="R370">INDEX($B$46:$B$68,MATCH(S370,$C$46:$C$68,0))*1000+T370</f>
        <v>1012022</v>
      </c>
      <c r="S370" s="51" t="s">
        <v>338</v>
      </c>
      <c r="T370" s="29">
        <f t="shared" si="543"/>
        <v>22</v>
      </c>
      <c r="U370" s="25">
        <f t="array" ref="U370">INDEX(K$5:K$67,MATCH($S370,$B$5:$B$67,0))</f>
        <v>337.39</v>
      </c>
      <c r="V370" s="25">
        <f t="array" ref="V370">INDEX(L$5:L$67,MATCH($S370,$B$5:$B$67,0))</f>
        <v>62.67</v>
      </c>
      <c r="W370" s="25">
        <f t="array" ref="W370">INDEX(M$5:M$67,MATCH($S370,$B$5:$B$67,0))</f>
        <v>78.34</v>
      </c>
      <c r="X370" s="25">
        <f t="array" ref="X370">INDEX(N$5:N$67,MATCH($S370,$B$5:$B$67,0))</f>
        <v>78.54</v>
      </c>
      <c r="Y370" s="25">
        <f t="shared" si="539"/>
        <v>7423</v>
      </c>
      <c r="Z370" s="25">
        <f t="shared" si="540"/>
        <v>1379</v>
      </c>
      <c r="AA370" s="25">
        <f t="shared" si="541"/>
        <v>1723</v>
      </c>
      <c r="AB370" s="25">
        <f t="shared" si="542"/>
        <v>1728</v>
      </c>
    </row>
    <row r="371" spans="1:28">
      <c r="A371" s="48">
        <v>1005053</v>
      </c>
      <c r="B371" s="49" t="s">
        <v>327</v>
      </c>
      <c r="C371" s="25">
        <f t="shared" si="534"/>
        <v>53</v>
      </c>
      <c r="D371" s="25">
        <f t="array" ref="D371">INDEX(C$5:C$67,MATCH($B371,$B$5:$B$67,0))</f>
        <v>4725</v>
      </c>
      <c r="E371" s="25">
        <f t="array" ref="E371">INDEX(D$5:D$67,MATCH($B371,$B$5:$B$67,0))</f>
        <v>378</v>
      </c>
      <c r="F371" s="25">
        <f t="array" ref="F371">INDEX(E$5:E$67,MATCH($B371,$B$5:$B$67,0))</f>
        <v>1650</v>
      </c>
      <c r="G371" s="25">
        <f t="array" ref="G371">INDEX(F$5:F$67,MATCH($B371,$B$5:$B$67,0))</f>
        <v>132</v>
      </c>
      <c r="H371" s="25">
        <f t="array" ref="H371">INDEX(G$5:G$66,MATCH($B371,$B$5:$B$67,0))</f>
        <v>1188</v>
      </c>
      <c r="I371" s="25">
        <f t="array" ref="I371">INDEX(H$5:H$67,MATCH($B371,$B$5:$B$67,0))</f>
        <v>95.04</v>
      </c>
      <c r="J371" s="25">
        <f t="array" ref="J371">INDEX(I$5:I$67,MATCH($B371,$B$5:$B$67,0))</f>
        <v>1000</v>
      </c>
      <c r="K371" s="25">
        <f t="array" ref="K371">INDEX(J$5:J$67,MATCH($B371,$B$5:$B$67,0))</f>
        <v>80</v>
      </c>
      <c r="L371" s="25">
        <f t="shared" si="535"/>
        <v>24759</v>
      </c>
      <c r="M371" s="25">
        <f t="shared" si="536"/>
        <v>8646</v>
      </c>
      <c r="N371" s="25">
        <f t="shared" si="537"/>
        <v>6225</v>
      </c>
      <c r="O371" s="25">
        <f t="shared" si="538"/>
        <v>5240</v>
      </c>
      <c r="R371" s="50">
        <f t="array" ref="R371">INDEX($B$46:$B$68,MATCH(S371,$C$46:$C$68,0))*1000+T371</f>
        <v>1012023</v>
      </c>
      <c r="S371" s="51" t="s">
        <v>338</v>
      </c>
      <c r="T371" s="29">
        <f t="shared" si="543"/>
        <v>23</v>
      </c>
      <c r="U371" s="25">
        <f t="array" ref="U371">INDEX(K$5:K$67,MATCH($S371,$B$5:$B$67,0))</f>
        <v>337.39</v>
      </c>
      <c r="V371" s="25">
        <f t="array" ref="V371">INDEX(L$5:L$67,MATCH($S371,$B$5:$B$67,0))</f>
        <v>62.67</v>
      </c>
      <c r="W371" s="25">
        <f t="array" ref="W371">INDEX(M$5:M$67,MATCH($S371,$B$5:$B$67,0))</f>
        <v>78.34</v>
      </c>
      <c r="X371" s="25">
        <f t="array" ref="X371">INDEX(N$5:N$67,MATCH($S371,$B$5:$B$67,0))</f>
        <v>78.54</v>
      </c>
      <c r="Y371" s="25">
        <f t="shared" si="539"/>
        <v>7760</v>
      </c>
      <c r="Z371" s="25">
        <f t="shared" si="540"/>
        <v>1441</v>
      </c>
      <c r="AA371" s="25">
        <f t="shared" si="541"/>
        <v>1802</v>
      </c>
      <c r="AB371" s="25">
        <f t="shared" si="542"/>
        <v>1806</v>
      </c>
    </row>
    <row r="372" spans="1:28">
      <c r="A372" s="48">
        <v>1005054</v>
      </c>
      <c r="B372" s="49" t="s">
        <v>327</v>
      </c>
      <c r="C372" s="25">
        <f t="shared" si="534"/>
        <v>54</v>
      </c>
      <c r="D372" s="25">
        <f t="array" ref="D372">INDEX(C$5:C$67,MATCH($B372,$B$5:$B$67,0))</f>
        <v>4725</v>
      </c>
      <c r="E372" s="25">
        <f t="array" ref="E372">INDEX(D$5:D$67,MATCH($B372,$B$5:$B$67,0))</f>
        <v>378</v>
      </c>
      <c r="F372" s="25">
        <f t="array" ref="F372">INDEX(E$5:E$67,MATCH($B372,$B$5:$B$67,0))</f>
        <v>1650</v>
      </c>
      <c r="G372" s="25">
        <f t="array" ref="G372">INDEX(F$5:F$67,MATCH($B372,$B$5:$B$67,0))</f>
        <v>132</v>
      </c>
      <c r="H372" s="25">
        <f t="array" ref="H372">INDEX(G$5:G$66,MATCH($B372,$B$5:$B$67,0))</f>
        <v>1188</v>
      </c>
      <c r="I372" s="25">
        <f t="array" ref="I372">INDEX(H$5:H$67,MATCH($B372,$B$5:$B$67,0))</f>
        <v>95.04</v>
      </c>
      <c r="J372" s="25">
        <f t="array" ref="J372">INDEX(I$5:I$67,MATCH($B372,$B$5:$B$67,0))</f>
        <v>1000</v>
      </c>
      <c r="K372" s="25">
        <f t="array" ref="K372">INDEX(J$5:J$67,MATCH($B372,$B$5:$B$67,0))</f>
        <v>80</v>
      </c>
      <c r="L372" s="25">
        <f t="shared" si="535"/>
        <v>25137</v>
      </c>
      <c r="M372" s="25">
        <f t="shared" si="536"/>
        <v>8778</v>
      </c>
      <c r="N372" s="25">
        <f t="shared" si="537"/>
        <v>6320</v>
      </c>
      <c r="O372" s="25">
        <f t="shared" si="538"/>
        <v>5320</v>
      </c>
      <c r="R372" s="50">
        <f t="array" ref="R372">INDEX($B$46:$B$68,MATCH(S372,$C$46:$C$68,0))*1000+T372</f>
        <v>1012024</v>
      </c>
      <c r="S372" s="51" t="s">
        <v>338</v>
      </c>
      <c r="T372" s="29">
        <f t="shared" si="543"/>
        <v>24</v>
      </c>
      <c r="U372" s="25">
        <f t="array" ref="U372">INDEX(K$5:K$67,MATCH($S372,$B$5:$B$67,0))</f>
        <v>337.39</v>
      </c>
      <c r="V372" s="25">
        <f t="array" ref="V372">INDEX(L$5:L$67,MATCH($S372,$B$5:$B$67,0))</f>
        <v>62.67</v>
      </c>
      <c r="W372" s="25">
        <f t="array" ref="W372">INDEX(M$5:M$67,MATCH($S372,$B$5:$B$67,0))</f>
        <v>78.34</v>
      </c>
      <c r="X372" s="25">
        <f t="array" ref="X372">INDEX(N$5:N$67,MATCH($S372,$B$5:$B$67,0))</f>
        <v>78.54</v>
      </c>
      <c r="Y372" s="25">
        <f t="shared" si="539"/>
        <v>8097</v>
      </c>
      <c r="Z372" s="25">
        <f t="shared" si="540"/>
        <v>1504</v>
      </c>
      <c r="AA372" s="25">
        <f t="shared" si="541"/>
        <v>1880</v>
      </c>
      <c r="AB372" s="25">
        <f t="shared" si="542"/>
        <v>1885</v>
      </c>
    </row>
    <row r="373" spans="1:28">
      <c r="A373" s="48">
        <v>1005055</v>
      </c>
      <c r="B373" s="49" t="s">
        <v>327</v>
      </c>
      <c r="C373" s="25">
        <f t="shared" si="534"/>
        <v>55</v>
      </c>
      <c r="D373" s="25">
        <f t="array" ref="D373">INDEX(C$5:C$67,MATCH($B373,$B$5:$B$67,0))</f>
        <v>4725</v>
      </c>
      <c r="E373" s="25">
        <f t="array" ref="E373">INDEX(D$5:D$67,MATCH($B373,$B$5:$B$67,0))</f>
        <v>378</v>
      </c>
      <c r="F373" s="25">
        <f t="array" ref="F373">INDEX(E$5:E$67,MATCH($B373,$B$5:$B$67,0))</f>
        <v>1650</v>
      </c>
      <c r="G373" s="25">
        <f t="array" ref="G373">INDEX(F$5:F$67,MATCH($B373,$B$5:$B$67,0))</f>
        <v>132</v>
      </c>
      <c r="H373" s="25">
        <f t="array" ref="H373">INDEX(G$5:G$66,MATCH($B373,$B$5:$B$67,0))</f>
        <v>1188</v>
      </c>
      <c r="I373" s="25">
        <f t="array" ref="I373">INDEX(H$5:H$67,MATCH($B373,$B$5:$B$67,0))</f>
        <v>95.04</v>
      </c>
      <c r="J373" s="25">
        <f t="array" ref="J373">INDEX(I$5:I$67,MATCH($B373,$B$5:$B$67,0))</f>
        <v>1000</v>
      </c>
      <c r="K373" s="25">
        <f t="array" ref="K373">INDEX(J$5:J$67,MATCH($B373,$B$5:$B$67,0))</f>
        <v>80</v>
      </c>
      <c r="L373" s="25">
        <f t="shared" si="535"/>
        <v>25515</v>
      </c>
      <c r="M373" s="25">
        <f t="shared" si="536"/>
        <v>8910</v>
      </c>
      <c r="N373" s="25">
        <f t="shared" si="537"/>
        <v>6415</v>
      </c>
      <c r="O373" s="25">
        <f t="shared" si="538"/>
        <v>5400</v>
      </c>
      <c r="R373" s="50">
        <f t="array" ref="R373">INDEX($B$46:$B$68,MATCH(S373,$C$46:$C$68,0))*1000+T373</f>
        <v>1012025</v>
      </c>
      <c r="S373" s="51" t="s">
        <v>338</v>
      </c>
      <c r="T373" s="29">
        <f t="shared" si="543"/>
        <v>25</v>
      </c>
      <c r="U373" s="25">
        <f t="array" ref="U373">INDEX(K$5:K$67,MATCH($S373,$B$5:$B$67,0))</f>
        <v>337.39</v>
      </c>
      <c r="V373" s="25">
        <f t="array" ref="V373">INDEX(L$5:L$67,MATCH($S373,$B$5:$B$67,0))</f>
        <v>62.67</v>
      </c>
      <c r="W373" s="25">
        <f t="array" ref="W373">INDEX(M$5:M$67,MATCH($S373,$B$5:$B$67,0))</f>
        <v>78.34</v>
      </c>
      <c r="X373" s="25">
        <f t="array" ref="X373">INDEX(N$5:N$67,MATCH($S373,$B$5:$B$67,0))</f>
        <v>78.54</v>
      </c>
      <c r="Y373" s="25">
        <f t="shared" si="539"/>
        <v>8435</v>
      </c>
      <c r="Z373" s="25">
        <f t="shared" si="540"/>
        <v>1567</v>
      </c>
      <c r="AA373" s="25">
        <f t="shared" si="541"/>
        <v>1959</v>
      </c>
      <c r="AB373" s="25">
        <f t="shared" si="542"/>
        <v>1964</v>
      </c>
    </row>
    <row r="374" spans="1:28">
      <c r="A374" s="48">
        <v>1005056</v>
      </c>
      <c r="B374" s="49" t="s">
        <v>327</v>
      </c>
      <c r="C374" s="25">
        <f t="shared" si="534"/>
        <v>56</v>
      </c>
      <c r="D374" s="25">
        <f t="array" ref="D374">INDEX(C$5:C$67,MATCH($B374,$B$5:$B$67,0))</f>
        <v>4725</v>
      </c>
      <c r="E374" s="25">
        <f t="array" ref="E374">INDEX(D$5:D$67,MATCH($B374,$B$5:$B$67,0))</f>
        <v>378</v>
      </c>
      <c r="F374" s="25">
        <f t="array" ref="F374">INDEX(E$5:E$67,MATCH($B374,$B$5:$B$67,0))</f>
        <v>1650</v>
      </c>
      <c r="G374" s="25">
        <f t="array" ref="G374">INDEX(F$5:F$67,MATCH($B374,$B$5:$B$67,0))</f>
        <v>132</v>
      </c>
      <c r="H374" s="25">
        <f t="array" ref="H374">INDEX(G$5:G$66,MATCH($B374,$B$5:$B$67,0))</f>
        <v>1188</v>
      </c>
      <c r="I374" s="25">
        <f t="array" ref="I374">INDEX(H$5:H$67,MATCH($B374,$B$5:$B$67,0))</f>
        <v>95.04</v>
      </c>
      <c r="J374" s="25">
        <f t="array" ref="J374">INDEX(I$5:I$67,MATCH($B374,$B$5:$B$67,0))</f>
        <v>1000</v>
      </c>
      <c r="K374" s="25">
        <f t="array" ref="K374">INDEX(J$5:J$67,MATCH($B374,$B$5:$B$67,0))</f>
        <v>80</v>
      </c>
      <c r="L374" s="25">
        <f t="shared" si="535"/>
        <v>25893</v>
      </c>
      <c r="M374" s="25">
        <f t="shared" si="536"/>
        <v>9042</v>
      </c>
      <c r="N374" s="25">
        <f t="shared" si="537"/>
        <v>6510</v>
      </c>
      <c r="O374" s="25">
        <f t="shared" si="538"/>
        <v>5480</v>
      </c>
      <c r="R374" s="50">
        <f t="array" ref="R374">INDEX($B$46:$B$68,MATCH(S374,$C$46:$C$68,0))*1000+T374</f>
        <v>1012026</v>
      </c>
      <c r="S374" s="51" t="s">
        <v>338</v>
      </c>
      <c r="T374" s="29">
        <f t="shared" si="543"/>
        <v>26</v>
      </c>
      <c r="U374" s="25">
        <f t="array" ref="U374">INDEX(K$5:K$67,MATCH($S374,$B$5:$B$67,0))</f>
        <v>337.39</v>
      </c>
      <c r="V374" s="25">
        <f t="array" ref="V374">INDEX(L$5:L$67,MATCH($S374,$B$5:$B$67,0))</f>
        <v>62.67</v>
      </c>
      <c r="W374" s="25">
        <f t="array" ref="W374">INDEX(M$5:M$67,MATCH($S374,$B$5:$B$67,0))</f>
        <v>78.34</v>
      </c>
      <c r="X374" s="25">
        <f t="array" ref="X374">INDEX(N$5:N$67,MATCH($S374,$B$5:$B$67,0))</f>
        <v>78.54</v>
      </c>
      <c r="Y374" s="25">
        <f t="shared" si="539"/>
        <v>8772</v>
      </c>
      <c r="Z374" s="25">
        <f t="shared" si="540"/>
        <v>1629</v>
      </c>
      <c r="AA374" s="25">
        <f t="shared" si="541"/>
        <v>2037</v>
      </c>
      <c r="AB374" s="25">
        <f t="shared" si="542"/>
        <v>2042</v>
      </c>
    </row>
    <row r="375" spans="1:28">
      <c r="A375" s="48">
        <v>1005057</v>
      </c>
      <c r="B375" s="49" t="s">
        <v>327</v>
      </c>
      <c r="C375" s="25">
        <f t="shared" si="534"/>
        <v>57</v>
      </c>
      <c r="D375" s="25">
        <f t="array" ref="D375">INDEX(C$5:C$67,MATCH($B375,$B$5:$B$67,0))</f>
        <v>4725</v>
      </c>
      <c r="E375" s="25">
        <f t="array" ref="E375">INDEX(D$5:D$67,MATCH($B375,$B$5:$B$67,0))</f>
        <v>378</v>
      </c>
      <c r="F375" s="25">
        <f t="array" ref="F375">INDEX(E$5:E$67,MATCH($B375,$B$5:$B$67,0))</f>
        <v>1650</v>
      </c>
      <c r="G375" s="25">
        <f t="array" ref="G375">INDEX(F$5:F$67,MATCH($B375,$B$5:$B$67,0))</f>
        <v>132</v>
      </c>
      <c r="H375" s="25">
        <f t="array" ref="H375">INDEX(G$5:G$66,MATCH($B375,$B$5:$B$67,0))</f>
        <v>1188</v>
      </c>
      <c r="I375" s="25">
        <f t="array" ref="I375">INDEX(H$5:H$67,MATCH($B375,$B$5:$B$67,0))</f>
        <v>95.04</v>
      </c>
      <c r="J375" s="25">
        <f t="array" ref="J375">INDEX(I$5:I$67,MATCH($B375,$B$5:$B$67,0))</f>
        <v>1000</v>
      </c>
      <c r="K375" s="25">
        <f t="array" ref="K375">INDEX(J$5:J$67,MATCH($B375,$B$5:$B$67,0))</f>
        <v>80</v>
      </c>
      <c r="L375" s="25">
        <f t="shared" si="535"/>
        <v>26271</v>
      </c>
      <c r="M375" s="25">
        <f t="shared" si="536"/>
        <v>9174</v>
      </c>
      <c r="N375" s="25">
        <f t="shared" si="537"/>
        <v>6605</v>
      </c>
      <c r="O375" s="25">
        <f t="shared" si="538"/>
        <v>5560</v>
      </c>
      <c r="R375" s="50">
        <f t="array" ref="R375">INDEX($B$46:$B$68,MATCH(S375,$C$46:$C$68,0))*1000+T375</f>
        <v>1012027</v>
      </c>
      <c r="S375" s="51" t="s">
        <v>338</v>
      </c>
      <c r="T375" s="29">
        <f t="shared" si="543"/>
        <v>27</v>
      </c>
      <c r="U375" s="25">
        <f t="array" ref="U375">INDEX(K$5:K$67,MATCH($S375,$B$5:$B$67,0))</f>
        <v>337.39</v>
      </c>
      <c r="V375" s="25">
        <f t="array" ref="V375">INDEX(L$5:L$67,MATCH($S375,$B$5:$B$67,0))</f>
        <v>62.67</v>
      </c>
      <c r="W375" s="25">
        <f t="array" ref="W375">INDEX(M$5:M$67,MATCH($S375,$B$5:$B$67,0))</f>
        <v>78.34</v>
      </c>
      <c r="X375" s="25">
        <f t="array" ref="X375">INDEX(N$5:N$67,MATCH($S375,$B$5:$B$67,0))</f>
        <v>78.54</v>
      </c>
      <c r="Y375" s="25">
        <f t="shared" si="539"/>
        <v>9110</v>
      </c>
      <c r="Z375" s="25">
        <f t="shared" si="540"/>
        <v>1692</v>
      </c>
      <c r="AA375" s="25">
        <f t="shared" si="541"/>
        <v>2115</v>
      </c>
      <c r="AB375" s="25">
        <f t="shared" si="542"/>
        <v>2121</v>
      </c>
    </row>
    <row r="376" spans="1:28">
      <c r="A376" s="48">
        <v>1005058</v>
      </c>
      <c r="B376" s="49" t="s">
        <v>327</v>
      </c>
      <c r="C376" s="25">
        <f t="shared" si="534"/>
        <v>58</v>
      </c>
      <c r="D376" s="25">
        <f t="array" ref="D376">INDEX(C$5:C$67,MATCH($B376,$B$5:$B$67,0))</f>
        <v>4725</v>
      </c>
      <c r="E376" s="25">
        <f t="array" ref="E376">INDEX(D$5:D$67,MATCH($B376,$B$5:$B$67,0))</f>
        <v>378</v>
      </c>
      <c r="F376" s="25">
        <f t="array" ref="F376">INDEX(E$5:E$67,MATCH($B376,$B$5:$B$67,0))</f>
        <v>1650</v>
      </c>
      <c r="G376" s="25">
        <f t="array" ref="G376">INDEX(F$5:F$67,MATCH($B376,$B$5:$B$67,0))</f>
        <v>132</v>
      </c>
      <c r="H376" s="25">
        <f t="array" ref="H376">INDEX(G$5:G$66,MATCH($B376,$B$5:$B$67,0))</f>
        <v>1188</v>
      </c>
      <c r="I376" s="25">
        <f t="array" ref="I376">INDEX(H$5:H$67,MATCH($B376,$B$5:$B$67,0))</f>
        <v>95.04</v>
      </c>
      <c r="J376" s="25">
        <f t="array" ref="J376">INDEX(I$5:I$67,MATCH($B376,$B$5:$B$67,0))</f>
        <v>1000</v>
      </c>
      <c r="K376" s="25">
        <f t="array" ref="K376">INDEX(J$5:J$67,MATCH($B376,$B$5:$B$67,0))</f>
        <v>80</v>
      </c>
      <c r="L376" s="25">
        <f t="shared" si="535"/>
        <v>26649</v>
      </c>
      <c r="M376" s="25">
        <f t="shared" si="536"/>
        <v>9306</v>
      </c>
      <c r="N376" s="25">
        <f t="shared" si="537"/>
        <v>6700</v>
      </c>
      <c r="O376" s="25">
        <f t="shared" si="538"/>
        <v>5640</v>
      </c>
      <c r="R376" s="50">
        <f t="array" ref="R376">INDEX($B$46:$B$68,MATCH(S376,$C$46:$C$68,0))*1000+T376</f>
        <v>1013001</v>
      </c>
      <c r="S376" s="51" t="s">
        <v>339</v>
      </c>
      <c r="T376" s="29">
        <f t="shared" si="543"/>
        <v>1</v>
      </c>
      <c r="U376" s="25">
        <f t="array" ref="U376">INDEX(K$5:K$67,MATCH($S376,$B$5:$B$67,0))</f>
        <v>581.49</v>
      </c>
      <c r="V376" s="25">
        <f t="array" ref="V376">INDEX(L$5:L$67,MATCH($S376,$B$5:$B$67,0))</f>
        <v>97.28</v>
      </c>
      <c r="W376" s="25">
        <f t="array" ref="W376">INDEX(M$5:M$67,MATCH($S376,$B$5:$B$67,0))</f>
        <v>121.6</v>
      </c>
      <c r="X376" s="25">
        <f t="array" ref="X376">INDEX(N$5:N$67,MATCH($S376,$B$5:$B$67,0))</f>
        <v>68</v>
      </c>
      <c r="Y376" s="25">
        <f t="shared" si="539"/>
        <v>581</v>
      </c>
      <c r="Z376" s="25">
        <f t="shared" si="540"/>
        <v>97</v>
      </c>
      <c r="AA376" s="25">
        <f t="shared" si="541"/>
        <v>122</v>
      </c>
      <c r="AB376" s="25">
        <f t="shared" si="542"/>
        <v>68</v>
      </c>
    </row>
    <row r="377" spans="1:28">
      <c r="A377" s="48">
        <v>1005059</v>
      </c>
      <c r="B377" s="49" t="s">
        <v>327</v>
      </c>
      <c r="C377" s="25">
        <f t="shared" si="534"/>
        <v>59</v>
      </c>
      <c r="D377" s="25">
        <f t="array" ref="D377">INDEX(C$5:C$67,MATCH($B377,$B$5:$B$67,0))</f>
        <v>4725</v>
      </c>
      <c r="E377" s="25">
        <f t="array" ref="E377">INDEX(D$5:D$67,MATCH($B377,$B$5:$B$67,0))</f>
        <v>378</v>
      </c>
      <c r="F377" s="25">
        <f t="array" ref="F377">INDEX(E$5:E$67,MATCH($B377,$B$5:$B$67,0))</f>
        <v>1650</v>
      </c>
      <c r="G377" s="25">
        <f t="array" ref="G377">INDEX(F$5:F$67,MATCH($B377,$B$5:$B$67,0))</f>
        <v>132</v>
      </c>
      <c r="H377" s="25">
        <f t="array" ref="H377">INDEX(G$5:G$66,MATCH($B377,$B$5:$B$67,0))</f>
        <v>1188</v>
      </c>
      <c r="I377" s="25">
        <f t="array" ref="I377">INDEX(H$5:H$67,MATCH($B377,$B$5:$B$67,0))</f>
        <v>95.04</v>
      </c>
      <c r="J377" s="25">
        <f t="array" ref="J377">INDEX(I$5:I$67,MATCH($B377,$B$5:$B$67,0))</f>
        <v>1000</v>
      </c>
      <c r="K377" s="25">
        <f t="array" ref="K377">INDEX(J$5:J$67,MATCH($B377,$B$5:$B$67,0))</f>
        <v>80</v>
      </c>
      <c r="L377" s="25">
        <f t="shared" si="535"/>
        <v>27027</v>
      </c>
      <c r="M377" s="25">
        <f t="shared" si="536"/>
        <v>9438</v>
      </c>
      <c r="N377" s="25">
        <f t="shared" si="537"/>
        <v>6795</v>
      </c>
      <c r="O377" s="25">
        <f t="shared" si="538"/>
        <v>5720</v>
      </c>
      <c r="R377" s="50">
        <f t="array" ref="R377">INDEX($B$46:$B$68,MATCH(S377,$C$46:$C$68,0))*1000+T377</f>
        <v>1013002</v>
      </c>
      <c r="S377" s="51" t="s">
        <v>339</v>
      </c>
      <c r="T377" s="29">
        <f t="shared" si="543"/>
        <v>2</v>
      </c>
      <c r="U377" s="25">
        <f t="array" ref="U377">INDEX(K$5:K$67,MATCH($S377,$B$5:$B$67,0))</f>
        <v>581.49</v>
      </c>
      <c r="V377" s="25">
        <f t="array" ref="V377">INDEX(L$5:L$67,MATCH($S377,$B$5:$B$67,0))</f>
        <v>97.28</v>
      </c>
      <c r="W377" s="25">
        <f t="array" ref="W377">INDEX(M$5:M$67,MATCH($S377,$B$5:$B$67,0))</f>
        <v>121.6</v>
      </c>
      <c r="X377" s="25">
        <f t="array" ref="X377">INDEX(N$5:N$67,MATCH($S377,$B$5:$B$67,0))</f>
        <v>68</v>
      </c>
      <c r="Y377" s="25">
        <f t="shared" si="539"/>
        <v>1163</v>
      </c>
      <c r="Z377" s="25">
        <f t="shared" si="540"/>
        <v>195</v>
      </c>
      <c r="AA377" s="25">
        <f t="shared" si="541"/>
        <v>243</v>
      </c>
      <c r="AB377" s="25">
        <f t="shared" si="542"/>
        <v>136</v>
      </c>
    </row>
    <row r="378" spans="1:28">
      <c r="A378" s="48">
        <v>1005060</v>
      </c>
      <c r="B378" s="49" t="s">
        <v>327</v>
      </c>
      <c r="C378" s="25">
        <f t="shared" si="534"/>
        <v>60</v>
      </c>
      <c r="D378" s="25">
        <f t="array" ref="D378">INDEX(C$5:C$67,MATCH($B378,$B$5:$B$67,0))</f>
        <v>4725</v>
      </c>
      <c r="E378" s="25">
        <f t="array" ref="E378">INDEX(D$5:D$67,MATCH($B378,$B$5:$B$67,0))</f>
        <v>378</v>
      </c>
      <c r="F378" s="25">
        <f t="array" ref="F378">INDEX(E$5:E$67,MATCH($B378,$B$5:$B$67,0))</f>
        <v>1650</v>
      </c>
      <c r="G378" s="25">
        <f t="array" ref="G378">INDEX(F$5:F$67,MATCH($B378,$B$5:$B$67,0))</f>
        <v>132</v>
      </c>
      <c r="H378" s="25">
        <f t="array" ref="H378">INDEX(G$5:G$66,MATCH($B378,$B$5:$B$67,0))</f>
        <v>1188</v>
      </c>
      <c r="I378" s="25">
        <f t="array" ref="I378">INDEX(H$5:H$67,MATCH($B378,$B$5:$B$67,0))</f>
        <v>95.04</v>
      </c>
      <c r="J378" s="25">
        <f t="array" ref="J378">INDEX(I$5:I$67,MATCH($B378,$B$5:$B$67,0))</f>
        <v>1000</v>
      </c>
      <c r="K378" s="25">
        <f t="array" ref="K378">INDEX(J$5:J$67,MATCH($B378,$B$5:$B$67,0))</f>
        <v>80</v>
      </c>
      <c r="L378" s="25">
        <f t="shared" si="535"/>
        <v>27405</v>
      </c>
      <c r="M378" s="25">
        <f t="shared" si="536"/>
        <v>9570</v>
      </c>
      <c r="N378" s="25">
        <f t="shared" si="537"/>
        <v>6890</v>
      </c>
      <c r="O378" s="25">
        <f t="shared" si="538"/>
        <v>5800</v>
      </c>
      <c r="R378" s="50">
        <f t="array" ref="R378">INDEX($B$46:$B$68,MATCH(S378,$C$46:$C$68,0))*1000+T378</f>
        <v>1013003</v>
      </c>
      <c r="S378" s="51" t="s">
        <v>339</v>
      </c>
      <c r="T378" s="29">
        <f t="shared" si="543"/>
        <v>3</v>
      </c>
      <c r="U378" s="25">
        <f t="array" ref="U378">INDEX(K$5:K$67,MATCH($S378,$B$5:$B$67,0))</f>
        <v>581.49</v>
      </c>
      <c r="V378" s="25">
        <f t="array" ref="V378">INDEX(L$5:L$67,MATCH($S378,$B$5:$B$67,0))</f>
        <v>97.28</v>
      </c>
      <c r="W378" s="25">
        <f t="array" ref="W378">INDEX(M$5:M$67,MATCH($S378,$B$5:$B$67,0))</f>
        <v>121.6</v>
      </c>
      <c r="X378" s="25">
        <f t="array" ref="X378">INDEX(N$5:N$67,MATCH($S378,$B$5:$B$67,0))</f>
        <v>68</v>
      </c>
      <c r="Y378" s="25">
        <f t="shared" si="539"/>
        <v>1744</v>
      </c>
      <c r="Z378" s="25">
        <f t="shared" si="540"/>
        <v>292</v>
      </c>
      <c r="AA378" s="25">
        <f t="shared" si="541"/>
        <v>365</v>
      </c>
      <c r="AB378" s="25">
        <f t="shared" si="542"/>
        <v>204</v>
      </c>
    </row>
    <row r="379" spans="1:28">
      <c r="A379" s="53">
        <v>1006001</v>
      </c>
      <c r="B379" s="49" t="s">
        <v>328</v>
      </c>
      <c r="C379" s="25">
        <f t="shared" si="534"/>
        <v>1</v>
      </c>
      <c r="D379" s="25">
        <f t="array" ref="D379">INDEX(C$5:C$67,MATCH($B379,$B$5:$B$67,0))</f>
        <v>4000</v>
      </c>
      <c r="E379" s="25">
        <f t="array" ref="E379">INDEX(D$5:D$67,MATCH($B379,$B$5:$B$67,0))</f>
        <v>320</v>
      </c>
      <c r="F379" s="25">
        <f t="array" ref="F379">INDEX(E$5:E$67,MATCH($B379,$B$5:$B$67,0))</f>
        <v>1836</v>
      </c>
      <c r="G379" s="25">
        <f t="array" ref="G379">INDEX(F$5:F$67,MATCH($B379,$B$5:$B$67,0))</f>
        <v>146.88</v>
      </c>
      <c r="H379" s="25">
        <f t="array" ref="H379">INDEX(G$5:G$66,MATCH($B379,$B$5:$B$67,0))</f>
        <v>1440</v>
      </c>
      <c r="I379" s="25">
        <f t="array" ref="I379">INDEX(H$5:H$67,MATCH($B379,$B$5:$B$67,0))</f>
        <v>115.2</v>
      </c>
      <c r="J379" s="25">
        <f t="array" ref="J379">INDEX(I$5:I$67,MATCH($B379,$B$5:$B$67,0))</f>
        <v>980</v>
      </c>
      <c r="K379" s="25">
        <f t="array" ref="K379">INDEX(J$5:J$67,MATCH($B379,$B$5:$B$67,0))</f>
        <v>78.4</v>
      </c>
      <c r="L379" s="25">
        <f t="shared" si="535"/>
        <v>4320</v>
      </c>
      <c r="M379" s="25">
        <f t="shared" si="536"/>
        <v>1983</v>
      </c>
      <c r="N379" s="25">
        <f t="shared" si="537"/>
        <v>1555</v>
      </c>
      <c r="O379" s="25">
        <f t="shared" si="538"/>
        <v>1058</v>
      </c>
      <c r="R379" s="50">
        <f t="array" ref="R379">INDEX($B$46:$B$68,MATCH(S379,$C$46:$C$68,0))*1000+T379</f>
        <v>1013004</v>
      </c>
      <c r="S379" s="51" t="s">
        <v>339</v>
      </c>
      <c r="T379" s="29">
        <f t="shared" si="543"/>
        <v>4</v>
      </c>
      <c r="U379" s="25">
        <f t="array" ref="U379">INDEX(K$5:K$67,MATCH($S379,$B$5:$B$67,0))</f>
        <v>581.49</v>
      </c>
      <c r="V379" s="25">
        <f t="array" ref="V379">INDEX(L$5:L$67,MATCH($S379,$B$5:$B$67,0))</f>
        <v>97.28</v>
      </c>
      <c r="W379" s="25">
        <f t="array" ref="W379">INDEX(M$5:M$67,MATCH($S379,$B$5:$B$67,0))</f>
        <v>121.6</v>
      </c>
      <c r="X379" s="25">
        <f t="array" ref="X379">INDEX(N$5:N$67,MATCH($S379,$B$5:$B$67,0))</f>
        <v>68</v>
      </c>
      <c r="Y379" s="25">
        <f t="shared" si="539"/>
        <v>2326</v>
      </c>
      <c r="Z379" s="25">
        <f t="shared" si="540"/>
        <v>389</v>
      </c>
      <c r="AA379" s="25">
        <f t="shared" si="541"/>
        <v>486</v>
      </c>
      <c r="AB379" s="25">
        <f t="shared" si="542"/>
        <v>272</v>
      </c>
    </row>
    <row r="380" spans="1:28">
      <c r="A380" s="53">
        <v>1006002</v>
      </c>
      <c r="B380" s="49" t="s">
        <v>328</v>
      </c>
      <c r="C380" s="25">
        <f t="shared" si="534"/>
        <v>2</v>
      </c>
      <c r="D380" s="25">
        <f t="array" ref="D380">INDEX(C$5:C$67,MATCH($B380,$B$5:$B$67,0))</f>
        <v>4000</v>
      </c>
      <c r="E380" s="25">
        <f t="array" ref="E380">INDEX(D$5:D$67,MATCH($B380,$B$5:$B$67,0))</f>
        <v>320</v>
      </c>
      <c r="F380" s="25">
        <f t="array" ref="F380">INDEX(E$5:E$67,MATCH($B380,$B$5:$B$67,0))</f>
        <v>1836</v>
      </c>
      <c r="G380" s="25">
        <f t="array" ref="G380">INDEX(F$5:F$67,MATCH($B380,$B$5:$B$67,0))</f>
        <v>146.88</v>
      </c>
      <c r="H380" s="25">
        <f t="array" ref="H380">INDEX(G$5:G$66,MATCH($B380,$B$5:$B$67,0))</f>
        <v>1440</v>
      </c>
      <c r="I380" s="25">
        <f t="array" ref="I380">INDEX(H$5:H$67,MATCH($B380,$B$5:$B$67,0))</f>
        <v>115.2</v>
      </c>
      <c r="J380" s="25">
        <f t="array" ref="J380">INDEX(I$5:I$67,MATCH($B380,$B$5:$B$67,0))</f>
        <v>980</v>
      </c>
      <c r="K380" s="25">
        <f t="array" ref="K380">INDEX(J$5:J$67,MATCH($B380,$B$5:$B$67,0))</f>
        <v>78.4</v>
      </c>
      <c r="L380" s="25">
        <f t="shared" si="535"/>
        <v>4640</v>
      </c>
      <c r="M380" s="25">
        <f t="shared" si="536"/>
        <v>2130</v>
      </c>
      <c r="N380" s="25">
        <f t="shared" si="537"/>
        <v>1670</v>
      </c>
      <c r="O380" s="25">
        <f t="shared" si="538"/>
        <v>1137</v>
      </c>
      <c r="R380" s="50">
        <f t="array" ref="R380">INDEX($B$46:$B$68,MATCH(S380,$C$46:$C$68,0))*1000+T380</f>
        <v>1013005</v>
      </c>
      <c r="S380" s="51" t="s">
        <v>339</v>
      </c>
      <c r="T380" s="29">
        <f t="shared" si="543"/>
        <v>5</v>
      </c>
      <c r="U380" s="25">
        <f t="array" ref="U380">INDEX(K$5:K$67,MATCH($S380,$B$5:$B$67,0))</f>
        <v>581.49</v>
      </c>
      <c r="V380" s="25">
        <f t="array" ref="V380">INDEX(L$5:L$67,MATCH($S380,$B$5:$B$67,0))</f>
        <v>97.28</v>
      </c>
      <c r="W380" s="25">
        <f t="array" ref="W380">INDEX(M$5:M$67,MATCH($S380,$B$5:$B$67,0))</f>
        <v>121.6</v>
      </c>
      <c r="X380" s="25">
        <f t="array" ref="X380">INDEX(N$5:N$67,MATCH($S380,$B$5:$B$67,0))</f>
        <v>68</v>
      </c>
      <c r="Y380" s="25">
        <f t="shared" si="539"/>
        <v>2907</v>
      </c>
      <c r="Z380" s="25">
        <f t="shared" si="540"/>
        <v>486</v>
      </c>
      <c r="AA380" s="25">
        <f t="shared" si="541"/>
        <v>608</v>
      </c>
      <c r="AB380" s="25">
        <f t="shared" si="542"/>
        <v>340</v>
      </c>
    </row>
    <row r="381" spans="1:28">
      <c r="A381" s="53">
        <v>1006003</v>
      </c>
      <c r="B381" s="49" t="s">
        <v>328</v>
      </c>
      <c r="C381" s="25">
        <f t="shared" si="534"/>
        <v>3</v>
      </c>
      <c r="D381" s="25">
        <f t="array" ref="D381">INDEX(C$5:C$67,MATCH($B381,$B$5:$B$67,0))</f>
        <v>4000</v>
      </c>
      <c r="E381" s="25">
        <f t="array" ref="E381">INDEX(D$5:D$67,MATCH($B381,$B$5:$B$67,0))</f>
        <v>320</v>
      </c>
      <c r="F381" s="25">
        <f t="array" ref="F381">INDEX(E$5:E$67,MATCH($B381,$B$5:$B$67,0))</f>
        <v>1836</v>
      </c>
      <c r="G381" s="25">
        <f t="array" ref="G381">INDEX(F$5:F$67,MATCH($B381,$B$5:$B$67,0))</f>
        <v>146.88</v>
      </c>
      <c r="H381" s="25">
        <f t="array" ref="H381">INDEX(G$5:G$66,MATCH($B381,$B$5:$B$67,0))</f>
        <v>1440</v>
      </c>
      <c r="I381" s="25">
        <f t="array" ref="I381">INDEX(H$5:H$67,MATCH($B381,$B$5:$B$67,0))</f>
        <v>115.2</v>
      </c>
      <c r="J381" s="25">
        <f t="array" ref="J381">INDEX(I$5:I$67,MATCH($B381,$B$5:$B$67,0))</f>
        <v>980</v>
      </c>
      <c r="K381" s="25">
        <f t="array" ref="K381">INDEX(J$5:J$67,MATCH($B381,$B$5:$B$67,0))</f>
        <v>78.4</v>
      </c>
      <c r="L381" s="25">
        <f t="shared" si="535"/>
        <v>4960</v>
      </c>
      <c r="M381" s="25">
        <f t="shared" si="536"/>
        <v>2277</v>
      </c>
      <c r="N381" s="25">
        <f t="shared" si="537"/>
        <v>1786</v>
      </c>
      <c r="O381" s="25">
        <f t="shared" si="538"/>
        <v>1215</v>
      </c>
      <c r="R381" s="50">
        <f t="array" ref="R381">INDEX($B$46:$B$68,MATCH(S381,$C$46:$C$68,0))*1000+T381</f>
        <v>1013006</v>
      </c>
      <c r="S381" s="51" t="s">
        <v>339</v>
      </c>
      <c r="T381" s="29">
        <f t="shared" si="543"/>
        <v>6</v>
      </c>
      <c r="U381" s="25">
        <f t="array" ref="U381">INDEX(K$5:K$67,MATCH($S381,$B$5:$B$67,0))</f>
        <v>581.49</v>
      </c>
      <c r="V381" s="25">
        <f t="array" ref="V381">INDEX(L$5:L$67,MATCH($S381,$B$5:$B$67,0))</f>
        <v>97.28</v>
      </c>
      <c r="W381" s="25">
        <f t="array" ref="W381">INDEX(M$5:M$67,MATCH($S381,$B$5:$B$67,0))</f>
        <v>121.6</v>
      </c>
      <c r="X381" s="25">
        <f t="array" ref="X381">INDEX(N$5:N$67,MATCH($S381,$B$5:$B$67,0))</f>
        <v>68</v>
      </c>
      <c r="Y381" s="25">
        <f t="shared" si="539"/>
        <v>3489</v>
      </c>
      <c r="Z381" s="25">
        <f t="shared" si="540"/>
        <v>584</v>
      </c>
      <c r="AA381" s="25">
        <f t="shared" si="541"/>
        <v>730</v>
      </c>
      <c r="AB381" s="25">
        <f t="shared" si="542"/>
        <v>408</v>
      </c>
    </row>
    <row r="382" spans="1:28">
      <c r="A382" s="53">
        <v>1006004</v>
      </c>
      <c r="B382" s="49" t="s">
        <v>328</v>
      </c>
      <c r="C382" s="25">
        <f t="shared" si="534"/>
        <v>4</v>
      </c>
      <c r="D382" s="25">
        <f t="array" ref="D382">INDEX(C$5:C$67,MATCH($B382,$B$5:$B$67,0))</f>
        <v>4000</v>
      </c>
      <c r="E382" s="25">
        <f t="array" ref="E382">INDEX(D$5:D$67,MATCH($B382,$B$5:$B$67,0))</f>
        <v>320</v>
      </c>
      <c r="F382" s="25">
        <f t="array" ref="F382">INDEX(E$5:E$67,MATCH($B382,$B$5:$B$67,0))</f>
        <v>1836</v>
      </c>
      <c r="G382" s="25">
        <f t="array" ref="G382">INDEX(F$5:F$67,MATCH($B382,$B$5:$B$67,0))</f>
        <v>146.88</v>
      </c>
      <c r="H382" s="25">
        <f t="array" ref="H382">INDEX(G$5:G$66,MATCH($B382,$B$5:$B$67,0))</f>
        <v>1440</v>
      </c>
      <c r="I382" s="25">
        <f t="array" ref="I382">INDEX(H$5:H$67,MATCH($B382,$B$5:$B$67,0))</f>
        <v>115.2</v>
      </c>
      <c r="J382" s="25">
        <f t="array" ref="J382">INDEX(I$5:I$67,MATCH($B382,$B$5:$B$67,0))</f>
        <v>980</v>
      </c>
      <c r="K382" s="25">
        <f t="array" ref="K382">INDEX(J$5:J$67,MATCH($B382,$B$5:$B$67,0))</f>
        <v>78.4</v>
      </c>
      <c r="L382" s="25">
        <f t="shared" si="535"/>
        <v>5280</v>
      </c>
      <c r="M382" s="25">
        <f t="shared" si="536"/>
        <v>2424</v>
      </c>
      <c r="N382" s="25">
        <f t="shared" si="537"/>
        <v>1901</v>
      </c>
      <c r="O382" s="25">
        <f t="shared" si="538"/>
        <v>1294</v>
      </c>
      <c r="R382" s="50">
        <f t="array" ref="R382">INDEX($B$46:$B$68,MATCH(S382,$C$46:$C$68,0))*1000+T382</f>
        <v>1013007</v>
      </c>
      <c r="S382" s="51" t="s">
        <v>339</v>
      </c>
      <c r="T382" s="29">
        <f t="shared" si="543"/>
        <v>7</v>
      </c>
      <c r="U382" s="25">
        <f t="array" ref="U382">INDEX(K$5:K$67,MATCH($S382,$B$5:$B$67,0))</f>
        <v>581.49</v>
      </c>
      <c r="V382" s="25">
        <f t="array" ref="V382">INDEX(L$5:L$67,MATCH($S382,$B$5:$B$67,0))</f>
        <v>97.28</v>
      </c>
      <c r="W382" s="25">
        <f t="array" ref="W382">INDEX(M$5:M$67,MATCH($S382,$B$5:$B$67,0))</f>
        <v>121.6</v>
      </c>
      <c r="X382" s="25">
        <f t="array" ref="X382">INDEX(N$5:N$67,MATCH($S382,$B$5:$B$67,0))</f>
        <v>68</v>
      </c>
      <c r="Y382" s="25">
        <f t="shared" si="539"/>
        <v>4070</v>
      </c>
      <c r="Z382" s="25">
        <f t="shared" si="540"/>
        <v>681</v>
      </c>
      <c r="AA382" s="25">
        <f t="shared" si="541"/>
        <v>851</v>
      </c>
      <c r="AB382" s="25">
        <f t="shared" si="542"/>
        <v>476</v>
      </c>
    </row>
    <row r="383" spans="1:28">
      <c r="A383" s="53">
        <v>1006005</v>
      </c>
      <c r="B383" s="49" t="s">
        <v>328</v>
      </c>
      <c r="C383" s="25">
        <f t="shared" si="534"/>
        <v>5</v>
      </c>
      <c r="D383" s="25">
        <f t="array" ref="D383">INDEX(C$5:C$67,MATCH($B383,$B$5:$B$67,0))</f>
        <v>4000</v>
      </c>
      <c r="E383" s="25">
        <f t="array" ref="E383">INDEX(D$5:D$67,MATCH($B383,$B$5:$B$67,0))</f>
        <v>320</v>
      </c>
      <c r="F383" s="25">
        <f t="array" ref="F383">INDEX(E$5:E$67,MATCH($B383,$B$5:$B$67,0))</f>
        <v>1836</v>
      </c>
      <c r="G383" s="25">
        <f t="array" ref="G383">INDEX(F$5:F$67,MATCH($B383,$B$5:$B$67,0))</f>
        <v>146.88</v>
      </c>
      <c r="H383" s="25">
        <f t="array" ref="H383">INDEX(G$5:G$66,MATCH($B383,$B$5:$B$67,0))</f>
        <v>1440</v>
      </c>
      <c r="I383" s="25">
        <f t="array" ref="I383">INDEX(H$5:H$67,MATCH($B383,$B$5:$B$67,0))</f>
        <v>115.2</v>
      </c>
      <c r="J383" s="25">
        <f t="array" ref="J383">INDEX(I$5:I$67,MATCH($B383,$B$5:$B$67,0))</f>
        <v>980</v>
      </c>
      <c r="K383" s="25">
        <f t="array" ref="K383">INDEX(J$5:J$67,MATCH($B383,$B$5:$B$67,0))</f>
        <v>78.4</v>
      </c>
      <c r="L383" s="25">
        <f t="shared" si="535"/>
        <v>5600</v>
      </c>
      <c r="M383" s="25">
        <f t="shared" si="536"/>
        <v>2570</v>
      </c>
      <c r="N383" s="25">
        <f t="shared" si="537"/>
        <v>2016</v>
      </c>
      <c r="O383" s="25">
        <f t="shared" si="538"/>
        <v>1372</v>
      </c>
      <c r="R383" s="50">
        <f t="array" ref="R383">INDEX($B$46:$B$68,MATCH(S383,$C$46:$C$68,0))*1000+T383</f>
        <v>1013008</v>
      </c>
      <c r="S383" s="51" t="s">
        <v>339</v>
      </c>
      <c r="T383" s="29">
        <f t="shared" si="543"/>
        <v>8</v>
      </c>
      <c r="U383" s="25">
        <f t="array" ref="U383">INDEX(K$5:K$67,MATCH($S383,$B$5:$B$67,0))</f>
        <v>581.49</v>
      </c>
      <c r="V383" s="25">
        <f t="array" ref="V383">INDEX(L$5:L$67,MATCH($S383,$B$5:$B$67,0))</f>
        <v>97.28</v>
      </c>
      <c r="W383" s="25">
        <f t="array" ref="W383">INDEX(M$5:M$67,MATCH($S383,$B$5:$B$67,0))</f>
        <v>121.6</v>
      </c>
      <c r="X383" s="25">
        <f t="array" ref="X383">INDEX(N$5:N$67,MATCH($S383,$B$5:$B$67,0))</f>
        <v>68</v>
      </c>
      <c r="Y383" s="25">
        <f t="shared" si="539"/>
        <v>4652</v>
      </c>
      <c r="Z383" s="25">
        <f t="shared" si="540"/>
        <v>778</v>
      </c>
      <c r="AA383" s="25">
        <f t="shared" si="541"/>
        <v>973</v>
      </c>
      <c r="AB383" s="25">
        <f t="shared" si="542"/>
        <v>544</v>
      </c>
    </row>
    <row r="384" spans="1:28">
      <c r="A384" s="53">
        <v>1006006</v>
      </c>
      <c r="B384" s="49" t="s">
        <v>328</v>
      </c>
      <c r="C384" s="25">
        <f t="shared" si="534"/>
        <v>6</v>
      </c>
      <c r="D384" s="25">
        <f t="array" ref="D384">INDEX(C$5:C$67,MATCH($B384,$B$5:$B$67,0))</f>
        <v>4000</v>
      </c>
      <c r="E384" s="25">
        <f t="array" ref="E384">INDEX(D$5:D$67,MATCH($B384,$B$5:$B$67,0))</f>
        <v>320</v>
      </c>
      <c r="F384" s="25">
        <f t="array" ref="F384">INDEX(E$5:E$67,MATCH($B384,$B$5:$B$67,0))</f>
        <v>1836</v>
      </c>
      <c r="G384" s="25">
        <f t="array" ref="G384">INDEX(F$5:F$67,MATCH($B384,$B$5:$B$67,0))</f>
        <v>146.88</v>
      </c>
      <c r="H384" s="25">
        <f t="array" ref="H384">INDEX(G$5:G$66,MATCH($B384,$B$5:$B$67,0))</f>
        <v>1440</v>
      </c>
      <c r="I384" s="25">
        <f t="array" ref="I384">INDEX(H$5:H$67,MATCH($B384,$B$5:$B$67,0))</f>
        <v>115.2</v>
      </c>
      <c r="J384" s="25">
        <f t="array" ref="J384">INDEX(I$5:I$67,MATCH($B384,$B$5:$B$67,0))</f>
        <v>980</v>
      </c>
      <c r="K384" s="25">
        <f t="array" ref="K384">INDEX(J$5:J$67,MATCH($B384,$B$5:$B$67,0))</f>
        <v>78.4</v>
      </c>
      <c r="L384" s="25">
        <f t="shared" si="535"/>
        <v>5920</v>
      </c>
      <c r="M384" s="25">
        <f t="shared" si="536"/>
        <v>2717</v>
      </c>
      <c r="N384" s="25">
        <f t="shared" si="537"/>
        <v>2131</v>
      </c>
      <c r="O384" s="25">
        <f t="shared" si="538"/>
        <v>1450</v>
      </c>
      <c r="R384" s="50">
        <f t="array" ref="R384">INDEX($B$46:$B$68,MATCH(S384,$C$46:$C$68,0))*1000+T384</f>
        <v>1013009</v>
      </c>
      <c r="S384" s="51" t="s">
        <v>339</v>
      </c>
      <c r="T384" s="29">
        <f t="shared" si="543"/>
        <v>9</v>
      </c>
      <c r="U384" s="25">
        <f t="array" ref="U384">INDEX(K$5:K$67,MATCH($S384,$B$5:$B$67,0))</f>
        <v>581.49</v>
      </c>
      <c r="V384" s="25">
        <f t="array" ref="V384">INDEX(L$5:L$67,MATCH($S384,$B$5:$B$67,0))</f>
        <v>97.28</v>
      </c>
      <c r="W384" s="25">
        <f t="array" ref="W384">INDEX(M$5:M$67,MATCH($S384,$B$5:$B$67,0))</f>
        <v>121.6</v>
      </c>
      <c r="X384" s="25">
        <f t="array" ref="X384">INDEX(N$5:N$67,MATCH($S384,$B$5:$B$67,0))</f>
        <v>68</v>
      </c>
      <c r="Y384" s="25">
        <f t="shared" si="539"/>
        <v>5233</v>
      </c>
      <c r="Z384" s="25">
        <f t="shared" si="540"/>
        <v>876</v>
      </c>
      <c r="AA384" s="25">
        <f t="shared" si="541"/>
        <v>1094</v>
      </c>
      <c r="AB384" s="25">
        <f t="shared" si="542"/>
        <v>612</v>
      </c>
    </row>
    <row r="385" spans="1:28">
      <c r="A385" s="53">
        <v>1006007</v>
      </c>
      <c r="B385" s="49" t="s">
        <v>328</v>
      </c>
      <c r="C385" s="25">
        <f t="shared" si="534"/>
        <v>7</v>
      </c>
      <c r="D385" s="25">
        <f t="array" ref="D385">INDEX(C$5:C$67,MATCH($B385,$B$5:$B$67,0))</f>
        <v>4000</v>
      </c>
      <c r="E385" s="25">
        <f t="array" ref="E385">INDEX(D$5:D$67,MATCH($B385,$B$5:$B$67,0))</f>
        <v>320</v>
      </c>
      <c r="F385" s="25">
        <f t="array" ref="F385">INDEX(E$5:E$67,MATCH($B385,$B$5:$B$67,0))</f>
        <v>1836</v>
      </c>
      <c r="G385" s="25">
        <f t="array" ref="G385">INDEX(F$5:F$67,MATCH($B385,$B$5:$B$67,0))</f>
        <v>146.88</v>
      </c>
      <c r="H385" s="25">
        <f t="array" ref="H385">INDEX(G$5:G$66,MATCH($B385,$B$5:$B$67,0))</f>
        <v>1440</v>
      </c>
      <c r="I385" s="25">
        <f t="array" ref="I385">INDEX(H$5:H$67,MATCH($B385,$B$5:$B$67,0))</f>
        <v>115.2</v>
      </c>
      <c r="J385" s="25">
        <f t="array" ref="J385">INDEX(I$5:I$67,MATCH($B385,$B$5:$B$67,0))</f>
        <v>980</v>
      </c>
      <c r="K385" s="25">
        <f t="array" ref="K385">INDEX(J$5:J$67,MATCH($B385,$B$5:$B$67,0))</f>
        <v>78.4</v>
      </c>
      <c r="L385" s="25">
        <f t="shared" si="535"/>
        <v>6240</v>
      </c>
      <c r="M385" s="25">
        <f t="shared" si="536"/>
        <v>2864</v>
      </c>
      <c r="N385" s="25">
        <f t="shared" si="537"/>
        <v>2246</v>
      </c>
      <c r="O385" s="25">
        <f t="shared" si="538"/>
        <v>1529</v>
      </c>
      <c r="R385" s="50">
        <f t="array" ref="R385">INDEX($B$46:$B$68,MATCH(S385,$C$46:$C$68,0))*1000+T385</f>
        <v>1013010</v>
      </c>
      <c r="S385" s="51" t="s">
        <v>339</v>
      </c>
      <c r="T385" s="29">
        <f t="shared" si="543"/>
        <v>10</v>
      </c>
      <c r="U385" s="25">
        <f t="array" ref="U385">INDEX(K$5:K$67,MATCH($S385,$B$5:$B$67,0))</f>
        <v>581.49</v>
      </c>
      <c r="V385" s="25">
        <f t="array" ref="V385">INDEX(L$5:L$67,MATCH($S385,$B$5:$B$67,0))</f>
        <v>97.28</v>
      </c>
      <c r="W385" s="25">
        <f t="array" ref="W385">INDEX(M$5:M$67,MATCH($S385,$B$5:$B$67,0))</f>
        <v>121.6</v>
      </c>
      <c r="X385" s="25">
        <f t="array" ref="X385">INDEX(N$5:N$67,MATCH($S385,$B$5:$B$67,0))</f>
        <v>68</v>
      </c>
      <c r="Y385" s="25">
        <f t="shared" si="539"/>
        <v>5815</v>
      </c>
      <c r="Z385" s="25">
        <f t="shared" si="540"/>
        <v>973</v>
      </c>
      <c r="AA385" s="25">
        <f t="shared" si="541"/>
        <v>1216</v>
      </c>
      <c r="AB385" s="25">
        <f t="shared" si="542"/>
        <v>680</v>
      </c>
    </row>
    <row r="386" spans="1:28">
      <c r="A386" s="53">
        <v>1006008</v>
      </c>
      <c r="B386" s="49" t="s">
        <v>328</v>
      </c>
      <c r="C386" s="25">
        <f t="shared" si="534"/>
        <v>8</v>
      </c>
      <c r="D386" s="25">
        <f t="array" ref="D386">INDEX(C$5:C$67,MATCH($B386,$B$5:$B$67,0))</f>
        <v>4000</v>
      </c>
      <c r="E386" s="25">
        <f t="array" ref="E386">INDEX(D$5:D$67,MATCH($B386,$B$5:$B$67,0))</f>
        <v>320</v>
      </c>
      <c r="F386" s="25">
        <f t="array" ref="F386">INDEX(E$5:E$67,MATCH($B386,$B$5:$B$67,0))</f>
        <v>1836</v>
      </c>
      <c r="G386" s="25">
        <f t="array" ref="G386">INDEX(F$5:F$67,MATCH($B386,$B$5:$B$67,0))</f>
        <v>146.88</v>
      </c>
      <c r="H386" s="25">
        <f t="array" ref="H386">INDEX(G$5:G$66,MATCH($B386,$B$5:$B$67,0))</f>
        <v>1440</v>
      </c>
      <c r="I386" s="25">
        <f t="array" ref="I386">INDEX(H$5:H$67,MATCH($B386,$B$5:$B$67,0))</f>
        <v>115.2</v>
      </c>
      <c r="J386" s="25">
        <f t="array" ref="J386">INDEX(I$5:I$67,MATCH($B386,$B$5:$B$67,0))</f>
        <v>980</v>
      </c>
      <c r="K386" s="25">
        <f t="array" ref="K386">INDEX(J$5:J$67,MATCH($B386,$B$5:$B$67,0))</f>
        <v>78.4</v>
      </c>
      <c r="L386" s="25">
        <f t="shared" si="535"/>
        <v>6560</v>
      </c>
      <c r="M386" s="25">
        <f t="shared" si="536"/>
        <v>3011</v>
      </c>
      <c r="N386" s="25">
        <f t="shared" si="537"/>
        <v>2362</v>
      </c>
      <c r="O386" s="25">
        <f t="shared" si="538"/>
        <v>1607</v>
      </c>
      <c r="R386" s="50">
        <f t="array" ref="R386">INDEX($B$46:$B$68,MATCH(S386,$C$46:$C$68,0))*1000+T386</f>
        <v>1013011</v>
      </c>
      <c r="S386" s="51" t="s">
        <v>339</v>
      </c>
      <c r="T386" s="29">
        <f t="shared" si="543"/>
        <v>11</v>
      </c>
      <c r="U386" s="25">
        <f t="array" ref="U386">INDEX(K$5:K$67,MATCH($S386,$B$5:$B$67,0))</f>
        <v>581.49</v>
      </c>
      <c r="V386" s="25">
        <f t="array" ref="V386">INDEX(L$5:L$67,MATCH($S386,$B$5:$B$67,0))</f>
        <v>97.28</v>
      </c>
      <c r="W386" s="25">
        <f t="array" ref="W386">INDEX(M$5:M$67,MATCH($S386,$B$5:$B$67,0))</f>
        <v>121.6</v>
      </c>
      <c r="X386" s="25">
        <f t="array" ref="X386">INDEX(N$5:N$67,MATCH($S386,$B$5:$B$67,0))</f>
        <v>68</v>
      </c>
      <c r="Y386" s="25">
        <f t="shared" si="539"/>
        <v>6396</v>
      </c>
      <c r="Z386" s="25">
        <f t="shared" si="540"/>
        <v>1070</v>
      </c>
      <c r="AA386" s="25">
        <f t="shared" si="541"/>
        <v>1338</v>
      </c>
      <c r="AB386" s="25">
        <f t="shared" si="542"/>
        <v>748</v>
      </c>
    </row>
    <row r="387" spans="1:28">
      <c r="A387" s="53">
        <v>1006009</v>
      </c>
      <c r="B387" s="49" t="s">
        <v>328</v>
      </c>
      <c r="C387" s="25">
        <f t="shared" si="534"/>
        <v>9</v>
      </c>
      <c r="D387" s="25">
        <f t="array" ref="D387">INDEX(C$5:C$67,MATCH($B387,$B$5:$B$67,0))</f>
        <v>4000</v>
      </c>
      <c r="E387" s="25">
        <f t="array" ref="E387">INDEX(D$5:D$67,MATCH($B387,$B$5:$B$67,0))</f>
        <v>320</v>
      </c>
      <c r="F387" s="25">
        <f t="array" ref="F387">INDEX(E$5:E$67,MATCH($B387,$B$5:$B$67,0))</f>
        <v>1836</v>
      </c>
      <c r="G387" s="25">
        <f t="array" ref="G387">INDEX(F$5:F$67,MATCH($B387,$B$5:$B$67,0))</f>
        <v>146.88</v>
      </c>
      <c r="H387" s="25">
        <f t="array" ref="H387">INDEX(G$5:G$66,MATCH($B387,$B$5:$B$67,0))</f>
        <v>1440</v>
      </c>
      <c r="I387" s="25">
        <f t="array" ref="I387">INDEX(H$5:H$67,MATCH($B387,$B$5:$B$67,0))</f>
        <v>115.2</v>
      </c>
      <c r="J387" s="25">
        <f t="array" ref="J387">INDEX(I$5:I$67,MATCH($B387,$B$5:$B$67,0))</f>
        <v>980</v>
      </c>
      <c r="K387" s="25">
        <f t="array" ref="K387">INDEX(J$5:J$67,MATCH($B387,$B$5:$B$67,0))</f>
        <v>78.4</v>
      </c>
      <c r="L387" s="25">
        <f t="shared" si="535"/>
        <v>6880</v>
      </c>
      <c r="M387" s="25">
        <f t="shared" si="536"/>
        <v>3158</v>
      </c>
      <c r="N387" s="25">
        <f t="shared" si="537"/>
        <v>2477</v>
      </c>
      <c r="O387" s="25">
        <f t="shared" si="538"/>
        <v>1686</v>
      </c>
      <c r="R387" s="50">
        <f t="array" ref="R387">INDEX($B$46:$B$68,MATCH(S387,$C$46:$C$68,0))*1000+T387</f>
        <v>1013012</v>
      </c>
      <c r="S387" s="51" t="s">
        <v>339</v>
      </c>
      <c r="T387" s="29">
        <f t="shared" si="543"/>
        <v>12</v>
      </c>
      <c r="U387" s="25">
        <f t="array" ref="U387">INDEX(K$5:K$67,MATCH($S387,$B$5:$B$67,0))</f>
        <v>581.49</v>
      </c>
      <c r="V387" s="25">
        <f t="array" ref="V387">INDEX(L$5:L$67,MATCH($S387,$B$5:$B$67,0))</f>
        <v>97.28</v>
      </c>
      <c r="W387" s="25">
        <f t="array" ref="W387">INDEX(M$5:M$67,MATCH($S387,$B$5:$B$67,0))</f>
        <v>121.6</v>
      </c>
      <c r="X387" s="25">
        <f t="array" ref="X387">INDEX(N$5:N$67,MATCH($S387,$B$5:$B$67,0))</f>
        <v>68</v>
      </c>
      <c r="Y387" s="25">
        <f t="shared" si="539"/>
        <v>6978</v>
      </c>
      <c r="Z387" s="25">
        <f t="shared" si="540"/>
        <v>1167</v>
      </c>
      <c r="AA387" s="25">
        <f t="shared" si="541"/>
        <v>1459</v>
      </c>
      <c r="AB387" s="25">
        <f t="shared" si="542"/>
        <v>816</v>
      </c>
    </row>
    <row r="388" spans="1:28">
      <c r="A388" s="53">
        <v>1006010</v>
      </c>
      <c r="B388" s="49" t="s">
        <v>328</v>
      </c>
      <c r="C388" s="25">
        <f t="shared" si="534"/>
        <v>10</v>
      </c>
      <c r="D388" s="25">
        <f t="array" ref="D388">INDEX(C$5:C$67,MATCH($B388,$B$5:$B$67,0))</f>
        <v>4000</v>
      </c>
      <c r="E388" s="25">
        <f t="array" ref="E388">INDEX(D$5:D$67,MATCH($B388,$B$5:$B$67,0))</f>
        <v>320</v>
      </c>
      <c r="F388" s="25">
        <f t="array" ref="F388">INDEX(E$5:E$67,MATCH($B388,$B$5:$B$67,0))</f>
        <v>1836</v>
      </c>
      <c r="G388" s="25">
        <f t="array" ref="G388">INDEX(F$5:F$67,MATCH($B388,$B$5:$B$67,0))</f>
        <v>146.88</v>
      </c>
      <c r="H388" s="25">
        <f t="array" ref="H388">INDEX(G$5:G$66,MATCH($B388,$B$5:$B$67,0))</f>
        <v>1440</v>
      </c>
      <c r="I388" s="25">
        <f t="array" ref="I388">INDEX(H$5:H$67,MATCH($B388,$B$5:$B$67,0))</f>
        <v>115.2</v>
      </c>
      <c r="J388" s="25">
        <f t="array" ref="J388">INDEX(I$5:I$67,MATCH($B388,$B$5:$B$67,0))</f>
        <v>980</v>
      </c>
      <c r="K388" s="25">
        <f t="array" ref="K388">INDEX(J$5:J$67,MATCH($B388,$B$5:$B$67,0))</f>
        <v>78.4</v>
      </c>
      <c r="L388" s="25">
        <f t="shared" si="535"/>
        <v>7200</v>
      </c>
      <c r="M388" s="25">
        <f t="shared" si="536"/>
        <v>3305</v>
      </c>
      <c r="N388" s="25">
        <f t="shared" si="537"/>
        <v>2592</v>
      </c>
      <c r="O388" s="25">
        <f t="shared" si="538"/>
        <v>1764</v>
      </c>
      <c r="R388" s="50">
        <f t="array" ref="R388">INDEX($B$46:$B$68,MATCH(S388,$C$46:$C$68,0))*1000+T388</f>
        <v>1013013</v>
      </c>
      <c r="S388" s="51" t="s">
        <v>339</v>
      </c>
      <c r="T388" s="29">
        <f t="shared" si="543"/>
        <v>13</v>
      </c>
      <c r="U388" s="25">
        <f t="array" ref="U388">INDEX(K$5:K$67,MATCH($S388,$B$5:$B$67,0))</f>
        <v>581.49</v>
      </c>
      <c r="V388" s="25">
        <f t="array" ref="V388">INDEX(L$5:L$67,MATCH($S388,$B$5:$B$67,0))</f>
        <v>97.28</v>
      </c>
      <c r="W388" s="25">
        <f t="array" ref="W388">INDEX(M$5:M$67,MATCH($S388,$B$5:$B$67,0))</f>
        <v>121.6</v>
      </c>
      <c r="X388" s="25">
        <f t="array" ref="X388">INDEX(N$5:N$67,MATCH($S388,$B$5:$B$67,0))</f>
        <v>68</v>
      </c>
      <c r="Y388" s="25">
        <f t="shared" si="539"/>
        <v>7559</v>
      </c>
      <c r="Z388" s="25">
        <f t="shared" si="540"/>
        <v>1265</v>
      </c>
      <c r="AA388" s="25">
        <f t="shared" si="541"/>
        <v>1581</v>
      </c>
      <c r="AB388" s="25">
        <f t="shared" si="542"/>
        <v>884</v>
      </c>
    </row>
    <row r="389" spans="1:28">
      <c r="A389" s="53">
        <v>1006011</v>
      </c>
      <c r="B389" s="49" t="s">
        <v>328</v>
      </c>
      <c r="C389" s="25">
        <f t="shared" si="534"/>
        <v>11</v>
      </c>
      <c r="D389" s="25">
        <f t="array" ref="D389">INDEX(C$5:C$67,MATCH($B389,$B$5:$B$67,0))</f>
        <v>4000</v>
      </c>
      <c r="E389" s="25">
        <f t="array" ref="E389">INDEX(D$5:D$67,MATCH($B389,$B$5:$B$67,0))</f>
        <v>320</v>
      </c>
      <c r="F389" s="25">
        <f t="array" ref="F389">INDEX(E$5:E$67,MATCH($B389,$B$5:$B$67,0))</f>
        <v>1836</v>
      </c>
      <c r="G389" s="25">
        <f t="array" ref="G389">INDEX(F$5:F$67,MATCH($B389,$B$5:$B$67,0))</f>
        <v>146.88</v>
      </c>
      <c r="H389" s="25">
        <f t="array" ref="H389">INDEX(G$5:G$66,MATCH($B389,$B$5:$B$67,0))</f>
        <v>1440</v>
      </c>
      <c r="I389" s="25">
        <f t="array" ref="I389">INDEX(H$5:H$67,MATCH($B389,$B$5:$B$67,0))</f>
        <v>115.2</v>
      </c>
      <c r="J389" s="25">
        <f t="array" ref="J389">INDEX(I$5:I$67,MATCH($B389,$B$5:$B$67,0))</f>
        <v>980</v>
      </c>
      <c r="K389" s="25">
        <f t="array" ref="K389">INDEX(J$5:J$67,MATCH($B389,$B$5:$B$67,0))</f>
        <v>78.4</v>
      </c>
      <c r="L389" s="25">
        <f t="shared" si="535"/>
        <v>7520</v>
      </c>
      <c r="M389" s="25">
        <f t="shared" si="536"/>
        <v>3452</v>
      </c>
      <c r="N389" s="25">
        <f t="shared" si="537"/>
        <v>2707</v>
      </c>
      <c r="O389" s="25">
        <f t="shared" si="538"/>
        <v>1842</v>
      </c>
      <c r="R389" s="50">
        <f t="array" ref="R389">INDEX($B$46:$B$68,MATCH(S389,$C$46:$C$68,0))*1000+T389</f>
        <v>1013014</v>
      </c>
      <c r="S389" s="51" t="s">
        <v>339</v>
      </c>
      <c r="T389" s="29">
        <f t="shared" si="543"/>
        <v>14</v>
      </c>
      <c r="U389" s="25">
        <f t="array" ref="U389">INDEX(K$5:K$67,MATCH($S389,$B$5:$B$67,0))</f>
        <v>581.49</v>
      </c>
      <c r="V389" s="25">
        <f t="array" ref="V389">INDEX(L$5:L$67,MATCH($S389,$B$5:$B$67,0))</f>
        <v>97.28</v>
      </c>
      <c r="W389" s="25">
        <f t="array" ref="W389">INDEX(M$5:M$67,MATCH($S389,$B$5:$B$67,0))</f>
        <v>121.6</v>
      </c>
      <c r="X389" s="25">
        <f t="array" ref="X389">INDEX(N$5:N$67,MATCH($S389,$B$5:$B$67,0))</f>
        <v>68</v>
      </c>
      <c r="Y389" s="25">
        <f t="shared" si="539"/>
        <v>8141</v>
      </c>
      <c r="Z389" s="25">
        <f t="shared" si="540"/>
        <v>1362</v>
      </c>
      <c r="AA389" s="25">
        <f t="shared" si="541"/>
        <v>1702</v>
      </c>
      <c r="AB389" s="25">
        <f t="shared" si="542"/>
        <v>952</v>
      </c>
    </row>
    <row r="390" spans="1:28">
      <c r="A390" s="53">
        <v>1006012</v>
      </c>
      <c r="B390" s="49" t="s">
        <v>328</v>
      </c>
      <c r="C390" s="25">
        <f t="shared" si="534"/>
        <v>12</v>
      </c>
      <c r="D390" s="25">
        <f t="array" ref="D390">INDEX(C$5:C$67,MATCH($B390,$B$5:$B$67,0))</f>
        <v>4000</v>
      </c>
      <c r="E390" s="25">
        <f t="array" ref="E390">INDEX(D$5:D$67,MATCH($B390,$B$5:$B$67,0))</f>
        <v>320</v>
      </c>
      <c r="F390" s="25">
        <f t="array" ref="F390">INDEX(E$5:E$67,MATCH($B390,$B$5:$B$67,0))</f>
        <v>1836</v>
      </c>
      <c r="G390" s="25">
        <f t="array" ref="G390">INDEX(F$5:F$67,MATCH($B390,$B$5:$B$67,0))</f>
        <v>146.88</v>
      </c>
      <c r="H390" s="25">
        <f t="array" ref="H390">INDEX(G$5:G$66,MATCH($B390,$B$5:$B$67,0))</f>
        <v>1440</v>
      </c>
      <c r="I390" s="25">
        <f t="array" ref="I390">INDEX(H$5:H$67,MATCH($B390,$B$5:$B$67,0))</f>
        <v>115.2</v>
      </c>
      <c r="J390" s="25">
        <f t="array" ref="J390">INDEX(I$5:I$67,MATCH($B390,$B$5:$B$67,0))</f>
        <v>980</v>
      </c>
      <c r="K390" s="25">
        <f t="array" ref="K390">INDEX(J$5:J$67,MATCH($B390,$B$5:$B$67,0))</f>
        <v>78.4</v>
      </c>
      <c r="L390" s="25">
        <f t="shared" si="535"/>
        <v>7840</v>
      </c>
      <c r="M390" s="25">
        <f t="shared" si="536"/>
        <v>3599</v>
      </c>
      <c r="N390" s="25">
        <f t="shared" si="537"/>
        <v>2822</v>
      </c>
      <c r="O390" s="25">
        <f t="shared" si="538"/>
        <v>1921</v>
      </c>
      <c r="R390" s="50">
        <f t="array" ref="R390">INDEX($B$46:$B$68,MATCH(S390,$C$46:$C$68,0))*1000+T390</f>
        <v>1013015</v>
      </c>
      <c r="S390" s="51" t="s">
        <v>339</v>
      </c>
      <c r="T390" s="29">
        <f t="shared" si="543"/>
        <v>15</v>
      </c>
      <c r="U390" s="25">
        <f t="array" ref="U390">INDEX(K$5:K$67,MATCH($S390,$B$5:$B$67,0))</f>
        <v>581.49</v>
      </c>
      <c r="V390" s="25">
        <f t="array" ref="V390">INDEX(L$5:L$67,MATCH($S390,$B$5:$B$67,0))</f>
        <v>97.28</v>
      </c>
      <c r="W390" s="25">
        <f t="array" ref="W390">INDEX(M$5:M$67,MATCH($S390,$B$5:$B$67,0))</f>
        <v>121.6</v>
      </c>
      <c r="X390" s="25">
        <f t="array" ref="X390">INDEX(N$5:N$67,MATCH($S390,$B$5:$B$67,0))</f>
        <v>68</v>
      </c>
      <c r="Y390" s="25">
        <f t="shared" si="539"/>
        <v>8722</v>
      </c>
      <c r="Z390" s="25">
        <f t="shared" si="540"/>
        <v>1459</v>
      </c>
      <c r="AA390" s="25">
        <f t="shared" si="541"/>
        <v>1824</v>
      </c>
      <c r="AB390" s="25">
        <f t="shared" si="542"/>
        <v>1020</v>
      </c>
    </row>
    <row r="391" spans="1:28">
      <c r="A391" s="53">
        <v>1006013</v>
      </c>
      <c r="B391" s="49" t="s">
        <v>328</v>
      </c>
      <c r="C391" s="25">
        <f t="shared" si="534"/>
        <v>13</v>
      </c>
      <c r="D391" s="25">
        <f t="array" ref="D391">INDEX(C$5:C$67,MATCH($B391,$B$5:$B$67,0))</f>
        <v>4000</v>
      </c>
      <c r="E391" s="25">
        <f t="array" ref="E391">INDEX(D$5:D$67,MATCH($B391,$B$5:$B$67,0))</f>
        <v>320</v>
      </c>
      <c r="F391" s="25">
        <f t="array" ref="F391">INDEX(E$5:E$67,MATCH($B391,$B$5:$B$67,0))</f>
        <v>1836</v>
      </c>
      <c r="G391" s="25">
        <f t="array" ref="G391">INDEX(F$5:F$67,MATCH($B391,$B$5:$B$67,0))</f>
        <v>146.88</v>
      </c>
      <c r="H391" s="25">
        <f t="array" ref="H391">INDEX(G$5:G$66,MATCH($B391,$B$5:$B$67,0))</f>
        <v>1440</v>
      </c>
      <c r="I391" s="25">
        <f t="array" ref="I391">INDEX(H$5:H$67,MATCH($B391,$B$5:$B$67,0))</f>
        <v>115.2</v>
      </c>
      <c r="J391" s="25">
        <f t="array" ref="J391">INDEX(I$5:I$67,MATCH($B391,$B$5:$B$67,0))</f>
        <v>980</v>
      </c>
      <c r="K391" s="25">
        <f t="array" ref="K391">INDEX(J$5:J$67,MATCH($B391,$B$5:$B$67,0))</f>
        <v>78.4</v>
      </c>
      <c r="L391" s="25">
        <f t="shared" si="535"/>
        <v>8160</v>
      </c>
      <c r="M391" s="25">
        <f t="shared" si="536"/>
        <v>3745</v>
      </c>
      <c r="N391" s="25">
        <f t="shared" si="537"/>
        <v>2938</v>
      </c>
      <c r="O391" s="25">
        <f t="shared" si="538"/>
        <v>1999</v>
      </c>
      <c r="R391" s="50">
        <f t="array" ref="R391">INDEX($B$46:$B$68,MATCH(S391,$C$46:$C$68,0))*1000+T391</f>
        <v>1013016</v>
      </c>
      <c r="S391" s="51" t="s">
        <v>339</v>
      </c>
      <c r="T391" s="29">
        <f t="shared" si="543"/>
        <v>16</v>
      </c>
      <c r="U391" s="25">
        <f t="array" ref="U391">INDEX(K$5:K$67,MATCH($S391,$B$5:$B$67,0))</f>
        <v>581.49</v>
      </c>
      <c r="V391" s="25">
        <f t="array" ref="V391">INDEX(L$5:L$67,MATCH($S391,$B$5:$B$67,0))</f>
        <v>97.28</v>
      </c>
      <c r="W391" s="25">
        <f t="array" ref="W391">INDEX(M$5:M$67,MATCH($S391,$B$5:$B$67,0))</f>
        <v>121.6</v>
      </c>
      <c r="X391" s="25">
        <f t="array" ref="X391">INDEX(N$5:N$67,MATCH($S391,$B$5:$B$67,0))</f>
        <v>68</v>
      </c>
      <c r="Y391" s="25">
        <f t="shared" si="539"/>
        <v>9304</v>
      </c>
      <c r="Z391" s="25">
        <f t="shared" si="540"/>
        <v>1556</v>
      </c>
      <c r="AA391" s="25">
        <f t="shared" si="541"/>
        <v>1946</v>
      </c>
      <c r="AB391" s="25">
        <f t="shared" si="542"/>
        <v>1088</v>
      </c>
    </row>
    <row r="392" spans="1:28">
      <c r="A392" s="53">
        <v>1006014</v>
      </c>
      <c r="B392" s="49" t="s">
        <v>328</v>
      </c>
      <c r="C392" s="25">
        <f t="shared" si="534"/>
        <v>14</v>
      </c>
      <c r="D392" s="25">
        <f t="array" ref="D392">INDEX(C$5:C$67,MATCH($B392,$B$5:$B$67,0))</f>
        <v>4000</v>
      </c>
      <c r="E392" s="25">
        <f t="array" ref="E392">INDEX(D$5:D$67,MATCH($B392,$B$5:$B$67,0))</f>
        <v>320</v>
      </c>
      <c r="F392" s="25">
        <f t="array" ref="F392">INDEX(E$5:E$67,MATCH($B392,$B$5:$B$67,0))</f>
        <v>1836</v>
      </c>
      <c r="G392" s="25">
        <f t="array" ref="G392">INDEX(F$5:F$67,MATCH($B392,$B$5:$B$67,0))</f>
        <v>146.88</v>
      </c>
      <c r="H392" s="25">
        <f t="array" ref="H392">INDEX(G$5:G$66,MATCH($B392,$B$5:$B$67,0))</f>
        <v>1440</v>
      </c>
      <c r="I392" s="25">
        <f t="array" ref="I392">INDEX(H$5:H$67,MATCH($B392,$B$5:$B$67,0))</f>
        <v>115.2</v>
      </c>
      <c r="J392" s="25">
        <f t="array" ref="J392">INDEX(I$5:I$67,MATCH($B392,$B$5:$B$67,0))</f>
        <v>980</v>
      </c>
      <c r="K392" s="25">
        <f t="array" ref="K392">INDEX(J$5:J$67,MATCH($B392,$B$5:$B$67,0))</f>
        <v>78.4</v>
      </c>
      <c r="L392" s="25">
        <f t="shared" si="535"/>
        <v>8480</v>
      </c>
      <c r="M392" s="25">
        <f t="shared" si="536"/>
        <v>3892</v>
      </c>
      <c r="N392" s="25">
        <f t="shared" si="537"/>
        <v>3053</v>
      </c>
      <c r="O392" s="25">
        <f t="shared" si="538"/>
        <v>2078</v>
      </c>
      <c r="R392" s="50">
        <f t="array" ref="R392">INDEX($B$46:$B$68,MATCH(S392,$C$46:$C$68,0))*1000+T392</f>
        <v>1013017</v>
      </c>
      <c r="S392" s="51" t="s">
        <v>339</v>
      </c>
      <c r="T392" s="29">
        <f t="shared" si="543"/>
        <v>17</v>
      </c>
      <c r="U392" s="25">
        <f t="array" ref="U392">INDEX(K$5:K$67,MATCH($S392,$B$5:$B$67,0))</f>
        <v>581.49</v>
      </c>
      <c r="V392" s="25">
        <f t="array" ref="V392">INDEX(L$5:L$67,MATCH($S392,$B$5:$B$67,0))</f>
        <v>97.28</v>
      </c>
      <c r="W392" s="25">
        <f t="array" ref="W392">INDEX(M$5:M$67,MATCH($S392,$B$5:$B$67,0))</f>
        <v>121.6</v>
      </c>
      <c r="X392" s="25">
        <f t="array" ref="X392">INDEX(N$5:N$67,MATCH($S392,$B$5:$B$67,0))</f>
        <v>68</v>
      </c>
      <c r="Y392" s="25">
        <f t="shared" si="539"/>
        <v>9885</v>
      </c>
      <c r="Z392" s="25">
        <f t="shared" si="540"/>
        <v>1654</v>
      </c>
      <c r="AA392" s="25">
        <f t="shared" si="541"/>
        <v>2067</v>
      </c>
      <c r="AB392" s="25">
        <f t="shared" si="542"/>
        <v>1156</v>
      </c>
    </row>
    <row r="393" spans="1:28">
      <c r="A393" s="53">
        <v>1006015</v>
      </c>
      <c r="B393" s="49" t="s">
        <v>328</v>
      </c>
      <c r="C393" s="25">
        <f t="shared" si="534"/>
        <v>15</v>
      </c>
      <c r="D393" s="25">
        <f t="array" ref="D393">INDEX(C$5:C$67,MATCH($B393,$B$5:$B$67,0))</f>
        <v>4000</v>
      </c>
      <c r="E393" s="25">
        <f t="array" ref="E393">INDEX(D$5:D$67,MATCH($B393,$B$5:$B$67,0))</f>
        <v>320</v>
      </c>
      <c r="F393" s="25">
        <f t="array" ref="F393">INDEX(E$5:E$67,MATCH($B393,$B$5:$B$67,0))</f>
        <v>1836</v>
      </c>
      <c r="G393" s="25">
        <f t="array" ref="G393">INDEX(F$5:F$67,MATCH($B393,$B$5:$B$67,0))</f>
        <v>146.88</v>
      </c>
      <c r="H393" s="25">
        <f t="array" ref="H393">INDEX(G$5:G$66,MATCH($B393,$B$5:$B$67,0))</f>
        <v>1440</v>
      </c>
      <c r="I393" s="25">
        <f t="array" ref="I393">INDEX(H$5:H$67,MATCH($B393,$B$5:$B$67,0))</f>
        <v>115.2</v>
      </c>
      <c r="J393" s="25">
        <f t="array" ref="J393">INDEX(I$5:I$67,MATCH($B393,$B$5:$B$67,0))</f>
        <v>980</v>
      </c>
      <c r="K393" s="25">
        <f t="array" ref="K393">INDEX(J$5:J$67,MATCH($B393,$B$5:$B$67,0))</f>
        <v>78.4</v>
      </c>
      <c r="L393" s="25">
        <f t="shared" si="535"/>
        <v>8800</v>
      </c>
      <c r="M393" s="25">
        <f t="shared" si="536"/>
        <v>4039</v>
      </c>
      <c r="N393" s="25">
        <f t="shared" si="537"/>
        <v>3168</v>
      </c>
      <c r="O393" s="25">
        <f t="shared" si="538"/>
        <v>2156</v>
      </c>
      <c r="R393" s="50">
        <f t="array" ref="R393">INDEX($B$46:$B$68,MATCH(S393,$C$46:$C$68,0))*1000+T393</f>
        <v>1013018</v>
      </c>
      <c r="S393" s="51" t="s">
        <v>339</v>
      </c>
      <c r="T393" s="29">
        <f t="shared" si="543"/>
        <v>18</v>
      </c>
      <c r="U393" s="25">
        <f t="array" ref="U393">INDEX(K$5:K$67,MATCH($S393,$B$5:$B$67,0))</f>
        <v>581.49</v>
      </c>
      <c r="V393" s="25">
        <f t="array" ref="V393">INDEX(L$5:L$67,MATCH($S393,$B$5:$B$67,0))</f>
        <v>97.28</v>
      </c>
      <c r="W393" s="25">
        <f t="array" ref="W393">INDEX(M$5:M$67,MATCH($S393,$B$5:$B$67,0))</f>
        <v>121.6</v>
      </c>
      <c r="X393" s="25">
        <f t="array" ref="X393">INDEX(N$5:N$67,MATCH($S393,$B$5:$B$67,0))</f>
        <v>68</v>
      </c>
      <c r="Y393" s="25">
        <f t="shared" si="539"/>
        <v>10467</v>
      </c>
      <c r="Z393" s="25">
        <f t="shared" si="540"/>
        <v>1751</v>
      </c>
      <c r="AA393" s="25">
        <f t="shared" si="541"/>
        <v>2189</v>
      </c>
      <c r="AB393" s="25">
        <f t="shared" si="542"/>
        <v>1224</v>
      </c>
    </row>
    <row r="394" spans="1:28">
      <c r="A394" s="53">
        <v>1006016</v>
      </c>
      <c r="B394" s="49" t="s">
        <v>328</v>
      </c>
      <c r="C394" s="25">
        <f t="shared" si="534"/>
        <v>16</v>
      </c>
      <c r="D394" s="25">
        <f t="array" ref="D394">INDEX(C$5:C$67,MATCH($B394,$B$5:$B$67,0))</f>
        <v>4000</v>
      </c>
      <c r="E394" s="25">
        <f t="array" ref="E394">INDEX(D$5:D$67,MATCH($B394,$B$5:$B$67,0))</f>
        <v>320</v>
      </c>
      <c r="F394" s="25">
        <f t="array" ref="F394">INDEX(E$5:E$67,MATCH($B394,$B$5:$B$67,0))</f>
        <v>1836</v>
      </c>
      <c r="G394" s="25">
        <f t="array" ref="G394">INDEX(F$5:F$67,MATCH($B394,$B$5:$B$67,0))</f>
        <v>146.88</v>
      </c>
      <c r="H394" s="25">
        <f t="array" ref="H394">INDEX(G$5:G$66,MATCH($B394,$B$5:$B$67,0))</f>
        <v>1440</v>
      </c>
      <c r="I394" s="25">
        <f t="array" ref="I394">INDEX(H$5:H$67,MATCH($B394,$B$5:$B$67,0))</f>
        <v>115.2</v>
      </c>
      <c r="J394" s="25">
        <f t="array" ref="J394">INDEX(I$5:I$67,MATCH($B394,$B$5:$B$67,0))</f>
        <v>980</v>
      </c>
      <c r="K394" s="25">
        <f t="array" ref="K394">INDEX(J$5:J$67,MATCH($B394,$B$5:$B$67,0))</f>
        <v>78.4</v>
      </c>
      <c r="L394" s="25">
        <f t="shared" si="535"/>
        <v>9120</v>
      </c>
      <c r="M394" s="25">
        <f t="shared" si="536"/>
        <v>4186</v>
      </c>
      <c r="N394" s="25">
        <f t="shared" si="537"/>
        <v>3283</v>
      </c>
      <c r="O394" s="25">
        <f t="shared" si="538"/>
        <v>2234</v>
      </c>
      <c r="R394" s="50">
        <f t="array" ref="R394">INDEX($B$46:$B$68,MATCH(S394,$C$46:$C$68,0))*1000+T394</f>
        <v>1013019</v>
      </c>
      <c r="S394" s="51" t="s">
        <v>339</v>
      </c>
      <c r="T394" s="29">
        <f t="shared" si="543"/>
        <v>19</v>
      </c>
      <c r="U394" s="25">
        <f t="array" ref="U394">INDEX(K$5:K$67,MATCH($S394,$B$5:$B$67,0))</f>
        <v>581.49</v>
      </c>
      <c r="V394" s="25">
        <f t="array" ref="V394">INDEX(L$5:L$67,MATCH($S394,$B$5:$B$67,0))</f>
        <v>97.28</v>
      </c>
      <c r="W394" s="25">
        <f t="array" ref="W394">INDEX(M$5:M$67,MATCH($S394,$B$5:$B$67,0))</f>
        <v>121.6</v>
      </c>
      <c r="X394" s="25">
        <f t="array" ref="X394">INDEX(N$5:N$67,MATCH($S394,$B$5:$B$67,0))</f>
        <v>68</v>
      </c>
      <c r="Y394" s="25">
        <f t="shared" si="539"/>
        <v>11048</v>
      </c>
      <c r="Z394" s="25">
        <f t="shared" si="540"/>
        <v>1848</v>
      </c>
      <c r="AA394" s="25">
        <f t="shared" si="541"/>
        <v>2310</v>
      </c>
      <c r="AB394" s="25">
        <f t="shared" si="542"/>
        <v>1292</v>
      </c>
    </row>
    <row r="395" spans="1:28">
      <c r="A395" s="53">
        <v>1006017</v>
      </c>
      <c r="B395" s="49" t="s">
        <v>328</v>
      </c>
      <c r="C395" s="25">
        <f t="shared" ref="C395:C458" si="544">C335</f>
        <v>17</v>
      </c>
      <c r="D395" s="25">
        <f t="array" ref="D395">INDEX(C$5:C$67,MATCH($B395,$B$5:$B$67,0))</f>
        <v>4000</v>
      </c>
      <c r="E395" s="25">
        <f t="array" ref="E395">INDEX(D$5:D$67,MATCH($B395,$B$5:$B$67,0))</f>
        <v>320</v>
      </c>
      <c r="F395" s="25">
        <f t="array" ref="F395">INDEX(E$5:E$67,MATCH($B395,$B$5:$B$67,0))</f>
        <v>1836</v>
      </c>
      <c r="G395" s="25">
        <f t="array" ref="G395">INDEX(F$5:F$67,MATCH($B395,$B$5:$B$67,0))</f>
        <v>146.88</v>
      </c>
      <c r="H395" s="25">
        <f t="array" ref="H395">INDEX(G$5:G$66,MATCH($B395,$B$5:$B$67,0))</f>
        <v>1440</v>
      </c>
      <c r="I395" s="25">
        <f t="array" ref="I395">INDEX(H$5:H$67,MATCH($B395,$B$5:$B$67,0))</f>
        <v>115.2</v>
      </c>
      <c r="J395" s="25">
        <f t="array" ref="J395">INDEX(I$5:I$67,MATCH($B395,$B$5:$B$67,0))</f>
        <v>980</v>
      </c>
      <c r="K395" s="25">
        <f t="array" ref="K395">INDEX(J$5:J$67,MATCH($B395,$B$5:$B$67,0))</f>
        <v>78.4</v>
      </c>
      <c r="L395" s="25">
        <f t="shared" si="535"/>
        <v>9440</v>
      </c>
      <c r="M395" s="25">
        <f t="shared" si="536"/>
        <v>4333</v>
      </c>
      <c r="N395" s="25">
        <f t="shared" si="537"/>
        <v>3398</v>
      </c>
      <c r="O395" s="25">
        <f t="shared" si="538"/>
        <v>2313</v>
      </c>
      <c r="R395" s="50">
        <f t="array" ref="R395">INDEX($B$46:$B$68,MATCH(S395,$C$46:$C$68,0))*1000+T395</f>
        <v>1013020</v>
      </c>
      <c r="S395" s="51" t="s">
        <v>339</v>
      </c>
      <c r="T395" s="29">
        <f t="shared" si="543"/>
        <v>20</v>
      </c>
      <c r="U395" s="25">
        <f t="array" ref="U395">INDEX(K$5:K$67,MATCH($S395,$B$5:$B$67,0))</f>
        <v>581.49</v>
      </c>
      <c r="V395" s="25">
        <f t="array" ref="V395">INDEX(L$5:L$67,MATCH($S395,$B$5:$B$67,0))</f>
        <v>97.28</v>
      </c>
      <c r="W395" s="25">
        <f t="array" ref="W395">INDEX(M$5:M$67,MATCH($S395,$B$5:$B$67,0))</f>
        <v>121.6</v>
      </c>
      <c r="X395" s="25">
        <f t="array" ref="X395">INDEX(N$5:N$67,MATCH($S395,$B$5:$B$67,0))</f>
        <v>68</v>
      </c>
      <c r="Y395" s="25">
        <f t="shared" si="539"/>
        <v>11630</v>
      </c>
      <c r="Z395" s="25">
        <f t="shared" si="540"/>
        <v>1946</v>
      </c>
      <c r="AA395" s="25">
        <f t="shared" si="541"/>
        <v>2432</v>
      </c>
      <c r="AB395" s="25">
        <f t="shared" si="542"/>
        <v>1360</v>
      </c>
    </row>
    <row r="396" spans="1:28">
      <c r="A396" s="53">
        <v>1006018</v>
      </c>
      <c r="B396" s="49" t="s">
        <v>328</v>
      </c>
      <c r="C396" s="25">
        <f t="shared" si="544"/>
        <v>18</v>
      </c>
      <c r="D396" s="25">
        <f t="array" ref="D396">INDEX(C$5:C$67,MATCH($B396,$B$5:$B$67,0))</f>
        <v>4000</v>
      </c>
      <c r="E396" s="25">
        <f t="array" ref="E396">INDEX(D$5:D$67,MATCH($B396,$B$5:$B$67,0))</f>
        <v>320</v>
      </c>
      <c r="F396" s="25">
        <f t="array" ref="F396">INDEX(E$5:E$67,MATCH($B396,$B$5:$B$67,0))</f>
        <v>1836</v>
      </c>
      <c r="G396" s="25">
        <f t="array" ref="G396">INDEX(F$5:F$67,MATCH($B396,$B$5:$B$67,0))</f>
        <v>146.88</v>
      </c>
      <c r="H396" s="25">
        <f t="array" ref="H396">INDEX(G$5:G$66,MATCH($B396,$B$5:$B$67,0))</f>
        <v>1440</v>
      </c>
      <c r="I396" s="25">
        <f t="array" ref="I396">INDEX(H$5:H$67,MATCH($B396,$B$5:$B$67,0))</f>
        <v>115.2</v>
      </c>
      <c r="J396" s="25">
        <f t="array" ref="J396">INDEX(I$5:I$67,MATCH($B396,$B$5:$B$67,0))</f>
        <v>980</v>
      </c>
      <c r="K396" s="25">
        <f t="array" ref="K396">INDEX(J$5:J$67,MATCH($B396,$B$5:$B$67,0))</f>
        <v>78.4</v>
      </c>
      <c r="L396" s="25">
        <f t="shared" si="535"/>
        <v>9760</v>
      </c>
      <c r="M396" s="25">
        <f t="shared" si="536"/>
        <v>4480</v>
      </c>
      <c r="N396" s="25">
        <f t="shared" si="537"/>
        <v>3514</v>
      </c>
      <c r="O396" s="25">
        <f t="shared" si="538"/>
        <v>2391</v>
      </c>
      <c r="R396" s="50">
        <f t="array" ref="R396">INDEX($B$46:$B$68,MATCH(S396,$C$46:$C$68,0))*1000+T396</f>
        <v>1013021</v>
      </c>
      <c r="S396" s="51" t="s">
        <v>339</v>
      </c>
      <c r="T396" s="29">
        <f t="shared" si="543"/>
        <v>21</v>
      </c>
      <c r="U396" s="25">
        <f t="array" ref="U396">INDEX(K$5:K$67,MATCH($S396,$B$5:$B$67,0))</f>
        <v>581.49</v>
      </c>
      <c r="V396" s="25">
        <f t="array" ref="V396">INDEX(L$5:L$67,MATCH($S396,$B$5:$B$67,0))</f>
        <v>97.28</v>
      </c>
      <c r="W396" s="25">
        <f t="array" ref="W396">INDEX(M$5:M$67,MATCH($S396,$B$5:$B$67,0))</f>
        <v>121.6</v>
      </c>
      <c r="X396" s="25">
        <f t="array" ref="X396">INDEX(N$5:N$67,MATCH($S396,$B$5:$B$67,0))</f>
        <v>68</v>
      </c>
      <c r="Y396" s="25">
        <f t="shared" si="539"/>
        <v>12211</v>
      </c>
      <c r="Z396" s="25">
        <f t="shared" si="540"/>
        <v>2043</v>
      </c>
      <c r="AA396" s="25">
        <f t="shared" si="541"/>
        <v>2554</v>
      </c>
      <c r="AB396" s="25">
        <f t="shared" si="542"/>
        <v>1428</v>
      </c>
    </row>
    <row r="397" spans="1:28">
      <c r="A397" s="53">
        <v>1006019</v>
      </c>
      <c r="B397" s="49" t="s">
        <v>328</v>
      </c>
      <c r="C397" s="25">
        <f t="shared" si="544"/>
        <v>19</v>
      </c>
      <c r="D397" s="25">
        <f t="array" ref="D397">INDEX(C$5:C$67,MATCH($B397,$B$5:$B$67,0))</f>
        <v>4000</v>
      </c>
      <c r="E397" s="25">
        <f t="array" ref="E397">INDEX(D$5:D$67,MATCH($B397,$B$5:$B$67,0))</f>
        <v>320</v>
      </c>
      <c r="F397" s="25">
        <f t="array" ref="F397">INDEX(E$5:E$67,MATCH($B397,$B$5:$B$67,0))</f>
        <v>1836</v>
      </c>
      <c r="G397" s="25">
        <f t="array" ref="G397">INDEX(F$5:F$67,MATCH($B397,$B$5:$B$67,0))</f>
        <v>146.88</v>
      </c>
      <c r="H397" s="25">
        <f t="array" ref="H397">INDEX(G$5:G$66,MATCH($B397,$B$5:$B$67,0))</f>
        <v>1440</v>
      </c>
      <c r="I397" s="25">
        <f t="array" ref="I397">INDEX(H$5:H$67,MATCH($B397,$B$5:$B$67,0))</f>
        <v>115.2</v>
      </c>
      <c r="J397" s="25">
        <f t="array" ref="J397">INDEX(I$5:I$67,MATCH($B397,$B$5:$B$67,0))</f>
        <v>980</v>
      </c>
      <c r="K397" s="25">
        <f t="array" ref="K397">INDEX(J$5:J$67,MATCH($B397,$B$5:$B$67,0))</f>
        <v>78.4</v>
      </c>
      <c r="L397" s="25">
        <f t="shared" si="535"/>
        <v>10080</v>
      </c>
      <c r="M397" s="25">
        <f t="shared" si="536"/>
        <v>4627</v>
      </c>
      <c r="N397" s="25">
        <f t="shared" si="537"/>
        <v>3629</v>
      </c>
      <c r="O397" s="25">
        <f t="shared" si="538"/>
        <v>2470</v>
      </c>
      <c r="R397" s="50">
        <f t="array" ref="R397">INDEX($B$46:$B$68,MATCH(S397,$C$46:$C$68,0))*1000+T397</f>
        <v>1013022</v>
      </c>
      <c r="S397" s="51" t="s">
        <v>339</v>
      </c>
      <c r="T397" s="29">
        <f t="shared" si="543"/>
        <v>22</v>
      </c>
      <c r="U397" s="25">
        <f t="array" ref="U397">INDEX(K$5:K$67,MATCH($S397,$B$5:$B$67,0))</f>
        <v>581.49</v>
      </c>
      <c r="V397" s="25">
        <f t="array" ref="V397">INDEX(L$5:L$67,MATCH($S397,$B$5:$B$67,0))</f>
        <v>97.28</v>
      </c>
      <c r="W397" s="25">
        <f t="array" ref="W397">INDEX(M$5:M$67,MATCH($S397,$B$5:$B$67,0))</f>
        <v>121.6</v>
      </c>
      <c r="X397" s="25">
        <f t="array" ref="X397">INDEX(N$5:N$67,MATCH($S397,$B$5:$B$67,0))</f>
        <v>68</v>
      </c>
      <c r="Y397" s="25">
        <f t="shared" si="539"/>
        <v>12793</v>
      </c>
      <c r="Z397" s="25">
        <f t="shared" si="540"/>
        <v>2140</v>
      </c>
      <c r="AA397" s="25">
        <f t="shared" si="541"/>
        <v>2675</v>
      </c>
      <c r="AB397" s="25">
        <f t="shared" si="542"/>
        <v>1496</v>
      </c>
    </row>
    <row r="398" spans="1:28">
      <c r="A398" s="53">
        <v>1006020</v>
      </c>
      <c r="B398" s="49" t="s">
        <v>328</v>
      </c>
      <c r="C398" s="25">
        <f t="shared" si="544"/>
        <v>20</v>
      </c>
      <c r="D398" s="25">
        <f t="array" ref="D398">INDEX(C$5:C$67,MATCH($B398,$B$5:$B$67,0))</f>
        <v>4000</v>
      </c>
      <c r="E398" s="25">
        <f t="array" ref="E398">INDEX(D$5:D$67,MATCH($B398,$B$5:$B$67,0))</f>
        <v>320</v>
      </c>
      <c r="F398" s="25">
        <f t="array" ref="F398">INDEX(E$5:E$67,MATCH($B398,$B$5:$B$67,0))</f>
        <v>1836</v>
      </c>
      <c r="G398" s="25">
        <f t="array" ref="G398">INDEX(F$5:F$67,MATCH($B398,$B$5:$B$67,0))</f>
        <v>146.88</v>
      </c>
      <c r="H398" s="25">
        <f t="array" ref="H398">INDEX(G$5:G$66,MATCH($B398,$B$5:$B$67,0))</f>
        <v>1440</v>
      </c>
      <c r="I398" s="25">
        <f t="array" ref="I398">INDEX(H$5:H$67,MATCH($B398,$B$5:$B$67,0))</f>
        <v>115.2</v>
      </c>
      <c r="J398" s="25">
        <f t="array" ref="J398">INDEX(I$5:I$67,MATCH($B398,$B$5:$B$67,0))</f>
        <v>980</v>
      </c>
      <c r="K398" s="25">
        <f t="array" ref="K398">INDEX(J$5:J$67,MATCH($B398,$B$5:$B$67,0))</f>
        <v>78.4</v>
      </c>
      <c r="L398" s="25">
        <f t="shared" si="535"/>
        <v>10400</v>
      </c>
      <c r="M398" s="25">
        <f t="shared" si="536"/>
        <v>4774</v>
      </c>
      <c r="N398" s="25">
        <f t="shared" si="537"/>
        <v>3744</v>
      </c>
      <c r="O398" s="25">
        <f t="shared" si="538"/>
        <v>2548</v>
      </c>
      <c r="R398" s="50">
        <f t="array" ref="R398">INDEX($B$46:$B$68,MATCH(S398,$C$46:$C$68,0))*1000+T398</f>
        <v>1013023</v>
      </c>
      <c r="S398" s="51" t="s">
        <v>339</v>
      </c>
      <c r="T398" s="29">
        <f t="shared" si="543"/>
        <v>23</v>
      </c>
      <c r="U398" s="25">
        <f t="array" ref="U398">INDEX(K$5:K$67,MATCH($S398,$B$5:$B$67,0))</f>
        <v>581.49</v>
      </c>
      <c r="V398" s="25">
        <f t="array" ref="V398">INDEX(L$5:L$67,MATCH($S398,$B$5:$B$67,0))</f>
        <v>97.28</v>
      </c>
      <c r="W398" s="25">
        <f t="array" ref="W398">INDEX(M$5:M$67,MATCH($S398,$B$5:$B$67,0))</f>
        <v>121.6</v>
      </c>
      <c r="X398" s="25">
        <f t="array" ref="X398">INDEX(N$5:N$67,MATCH($S398,$B$5:$B$67,0))</f>
        <v>68</v>
      </c>
      <c r="Y398" s="25">
        <f t="shared" si="539"/>
        <v>13374</v>
      </c>
      <c r="Z398" s="25">
        <f t="shared" si="540"/>
        <v>2237</v>
      </c>
      <c r="AA398" s="25">
        <f t="shared" si="541"/>
        <v>2797</v>
      </c>
      <c r="AB398" s="25">
        <f t="shared" si="542"/>
        <v>1564</v>
      </c>
    </row>
    <row r="399" spans="1:28">
      <c r="A399" s="53">
        <v>1006021</v>
      </c>
      <c r="B399" s="49" t="s">
        <v>328</v>
      </c>
      <c r="C399" s="25">
        <f t="shared" si="544"/>
        <v>21</v>
      </c>
      <c r="D399" s="25">
        <f t="array" ref="D399">INDEX(C$5:C$67,MATCH($B399,$B$5:$B$67,0))</f>
        <v>4000</v>
      </c>
      <c r="E399" s="25">
        <f t="array" ref="E399">INDEX(D$5:D$67,MATCH($B399,$B$5:$B$67,0))</f>
        <v>320</v>
      </c>
      <c r="F399" s="25">
        <f t="array" ref="F399">INDEX(E$5:E$67,MATCH($B399,$B$5:$B$67,0))</f>
        <v>1836</v>
      </c>
      <c r="G399" s="25">
        <f t="array" ref="G399">INDEX(F$5:F$67,MATCH($B399,$B$5:$B$67,0))</f>
        <v>146.88</v>
      </c>
      <c r="H399" s="25">
        <f t="array" ref="H399">INDEX(G$5:G$66,MATCH($B399,$B$5:$B$67,0))</f>
        <v>1440</v>
      </c>
      <c r="I399" s="25">
        <f t="array" ref="I399">INDEX(H$5:H$67,MATCH($B399,$B$5:$B$67,0))</f>
        <v>115.2</v>
      </c>
      <c r="J399" s="25">
        <f t="array" ref="J399">INDEX(I$5:I$67,MATCH($B399,$B$5:$B$67,0))</f>
        <v>980</v>
      </c>
      <c r="K399" s="25">
        <f t="array" ref="K399">INDEX(J$5:J$67,MATCH($B399,$B$5:$B$67,0))</f>
        <v>78.4</v>
      </c>
      <c r="L399" s="25">
        <f t="shared" ref="L399:L462" si="545">ROUND(D399+E399*$C399,0)</f>
        <v>10720</v>
      </c>
      <c r="M399" s="25">
        <f t="shared" ref="M399:M462" si="546">ROUND(F399+G399*$C399,0)</f>
        <v>4920</v>
      </c>
      <c r="N399" s="25">
        <f t="shared" ref="N399:N462" si="547">ROUND(H399+I399*$C399,0)</f>
        <v>3859</v>
      </c>
      <c r="O399" s="25">
        <f t="shared" ref="O399:O462" si="548">ROUND(J399+K399*$C399,0)</f>
        <v>2626</v>
      </c>
      <c r="R399" s="50">
        <f t="array" ref="R399">INDEX($B$46:$B$68,MATCH(S399,$C$46:$C$68,0))*1000+T399</f>
        <v>1013024</v>
      </c>
      <c r="S399" s="51" t="s">
        <v>339</v>
      </c>
      <c r="T399" s="29">
        <f t="shared" si="543"/>
        <v>24</v>
      </c>
      <c r="U399" s="25">
        <f t="array" ref="U399">INDEX(K$5:K$67,MATCH($S399,$B$5:$B$67,0))</f>
        <v>581.49</v>
      </c>
      <c r="V399" s="25">
        <f t="array" ref="V399">INDEX(L$5:L$67,MATCH($S399,$B$5:$B$67,0))</f>
        <v>97.28</v>
      </c>
      <c r="W399" s="25">
        <f t="array" ref="W399">INDEX(M$5:M$67,MATCH($S399,$B$5:$B$67,0))</f>
        <v>121.6</v>
      </c>
      <c r="X399" s="25">
        <f t="array" ref="X399">INDEX(N$5:N$67,MATCH($S399,$B$5:$B$67,0))</f>
        <v>68</v>
      </c>
      <c r="Y399" s="25">
        <f t="shared" ref="Y399:Y462" si="549">ROUND($T399*U399,0)</f>
        <v>13956</v>
      </c>
      <c r="Z399" s="25">
        <f t="shared" ref="Z399:Z462" si="550">ROUND($T399*V399,0)</f>
        <v>2335</v>
      </c>
      <c r="AA399" s="25">
        <f t="shared" ref="AA399:AA462" si="551">ROUND($T399*W399,0)</f>
        <v>2918</v>
      </c>
      <c r="AB399" s="25">
        <f t="shared" ref="AB399:AB462" si="552">ROUND($T399*X399,0)</f>
        <v>1632</v>
      </c>
    </row>
    <row r="400" spans="1:28">
      <c r="A400" s="53">
        <v>1006022</v>
      </c>
      <c r="B400" s="49" t="s">
        <v>328</v>
      </c>
      <c r="C400" s="25">
        <f t="shared" si="544"/>
        <v>22</v>
      </c>
      <c r="D400" s="25">
        <f t="array" ref="D400">INDEX(C$5:C$67,MATCH($B400,$B$5:$B$67,0))</f>
        <v>4000</v>
      </c>
      <c r="E400" s="25">
        <f t="array" ref="E400">INDEX(D$5:D$67,MATCH($B400,$B$5:$B$67,0))</f>
        <v>320</v>
      </c>
      <c r="F400" s="25">
        <f t="array" ref="F400">INDEX(E$5:E$67,MATCH($B400,$B$5:$B$67,0))</f>
        <v>1836</v>
      </c>
      <c r="G400" s="25">
        <f t="array" ref="G400">INDEX(F$5:F$67,MATCH($B400,$B$5:$B$67,0))</f>
        <v>146.88</v>
      </c>
      <c r="H400" s="25">
        <f t="array" ref="H400">INDEX(G$5:G$66,MATCH($B400,$B$5:$B$67,0))</f>
        <v>1440</v>
      </c>
      <c r="I400" s="25">
        <f t="array" ref="I400">INDEX(H$5:H$67,MATCH($B400,$B$5:$B$67,0))</f>
        <v>115.2</v>
      </c>
      <c r="J400" s="25">
        <f t="array" ref="J400">INDEX(I$5:I$67,MATCH($B400,$B$5:$B$67,0))</f>
        <v>980</v>
      </c>
      <c r="K400" s="25">
        <f t="array" ref="K400">INDEX(J$5:J$67,MATCH($B400,$B$5:$B$67,0))</f>
        <v>78.4</v>
      </c>
      <c r="L400" s="25">
        <f t="shared" si="545"/>
        <v>11040</v>
      </c>
      <c r="M400" s="25">
        <f t="shared" si="546"/>
        <v>5067</v>
      </c>
      <c r="N400" s="25">
        <f t="shared" si="547"/>
        <v>3974</v>
      </c>
      <c r="O400" s="25">
        <f t="shared" si="548"/>
        <v>2705</v>
      </c>
      <c r="R400" s="50">
        <f t="array" ref="R400">INDEX($B$46:$B$68,MATCH(S400,$C$46:$C$68,0))*1000+T400</f>
        <v>1013025</v>
      </c>
      <c r="S400" s="51" t="s">
        <v>339</v>
      </c>
      <c r="T400" s="29">
        <f t="shared" si="543"/>
        <v>25</v>
      </c>
      <c r="U400" s="25">
        <f t="array" ref="U400">INDEX(K$5:K$67,MATCH($S400,$B$5:$B$67,0))</f>
        <v>581.49</v>
      </c>
      <c r="V400" s="25">
        <f t="array" ref="V400">INDEX(L$5:L$67,MATCH($S400,$B$5:$B$67,0))</f>
        <v>97.28</v>
      </c>
      <c r="W400" s="25">
        <f t="array" ref="W400">INDEX(M$5:M$67,MATCH($S400,$B$5:$B$67,0))</f>
        <v>121.6</v>
      </c>
      <c r="X400" s="25">
        <f t="array" ref="X400">INDEX(N$5:N$67,MATCH($S400,$B$5:$B$67,0))</f>
        <v>68</v>
      </c>
      <c r="Y400" s="25">
        <f t="shared" si="549"/>
        <v>14537</v>
      </c>
      <c r="Z400" s="25">
        <f t="shared" si="550"/>
        <v>2432</v>
      </c>
      <c r="AA400" s="25">
        <f t="shared" si="551"/>
        <v>3040</v>
      </c>
      <c r="AB400" s="25">
        <f t="shared" si="552"/>
        <v>1700</v>
      </c>
    </row>
    <row r="401" spans="1:28">
      <c r="A401" s="53">
        <v>1006023</v>
      </c>
      <c r="B401" s="49" t="s">
        <v>328</v>
      </c>
      <c r="C401" s="25">
        <f t="shared" si="544"/>
        <v>23</v>
      </c>
      <c r="D401" s="25">
        <f t="array" ref="D401">INDEX(C$5:C$67,MATCH($B401,$B$5:$B$67,0))</f>
        <v>4000</v>
      </c>
      <c r="E401" s="25">
        <f t="array" ref="E401">INDEX(D$5:D$67,MATCH($B401,$B$5:$B$67,0))</f>
        <v>320</v>
      </c>
      <c r="F401" s="25">
        <f t="array" ref="F401">INDEX(E$5:E$67,MATCH($B401,$B$5:$B$67,0))</f>
        <v>1836</v>
      </c>
      <c r="G401" s="25">
        <f t="array" ref="G401">INDEX(F$5:F$67,MATCH($B401,$B$5:$B$67,0))</f>
        <v>146.88</v>
      </c>
      <c r="H401" s="25">
        <f t="array" ref="H401">INDEX(G$5:G$66,MATCH($B401,$B$5:$B$67,0))</f>
        <v>1440</v>
      </c>
      <c r="I401" s="25">
        <f t="array" ref="I401">INDEX(H$5:H$67,MATCH($B401,$B$5:$B$67,0))</f>
        <v>115.2</v>
      </c>
      <c r="J401" s="25">
        <f t="array" ref="J401">INDEX(I$5:I$67,MATCH($B401,$B$5:$B$67,0))</f>
        <v>980</v>
      </c>
      <c r="K401" s="25">
        <f t="array" ref="K401">INDEX(J$5:J$67,MATCH($B401,$B$5:$B$67,0))</f>
        <v>78.4</v>
      </c>
      <c r="L401" s="25">
        <f t="shared" si="545"/>
        <v>11360</v>
      </c>
      <c r="M401" s="25">
        <f t="shared" si="546"/>
        <v>5214</v>
      </c>
      <c r="N401" s="25">
        <f t="shared" si="547"/>
        <v>4090</v>
      </c>
      <c r="O401" s="25">
        <f t="shared" si="548"/>
        <v>2783</v>
      </c>
      <c r="R401" s="50">
        <f t="array" ref="R401">INDEX($B$46:$B$68,MATCH(S401,$C$46:$C$68,0))*1000+T401</f>
        <v>1013026</v>
      </c>
      <c r="S401" s="51" t="s">
        <v>339</v>
      </c>
      <c r="T401" s="29">
        <f t="shared" si="543"/>
        <v>26</v>
      </c>
      <c r="U401" s="25">
        <f t="array" ref="U401">INDEX(K$5:K$67,MATCH($S401,$B$5:$B$67,0))</f>
        <v>581.49</v>
      </c>
      <c r="V401" s="25">
        <f t="array" ref="V401">INDEX(L$5:L$67,MATCH($S401,$B$5:$B$67,0))</f>
        <v>97.28</v>
      </c>
      <c r="W401" s="25">
        <f t="array" ref="W401">INDEX(M$5:M$67,MATCH($S401,$B$5:$B$67,0))</f>
        <v>121.6</v>
      </c>
      <c r="X401" s="25">
        <f t="array" ref="X401">INDEX(N$5:N$67,MATCH($S401,$B$5:$B$67,0))</f>
        <v>68</v>
      </c>
      <c r="Y401" s="25">
        <f t="shared" si="549"/>
        <v>15119</v>
      </c>
      <c r="Z401" s="25">
        <f t="shared" si="550"/>
        <v>2529</v>
      </c>
      <c r="AA401" s="25">
        <f t="shared" si="551"/>
        <v>3162</v>
      </c>
      <c r="AB401" s="25">
        <f t="shared" si="552"/>
        <v>1768</v>
      </c>
    </row>
    <row r="402" spans="1:28">
      <c r="A402" s="53">
        <v>1006024</v>
      </c>
      <c r="B402" s="49" t="s">
        <v>328</v>
      </c>
      <c r="C402" s="25">
        <f t="shared" si="544"/>
        <v>24</v>
      </c>
      <c r="D402" s="25">
        <f t="array" ref="D402">INDEX(C$5:C$67,MATCH($B402,$B$5:$B$67,0))</f>
        <v>4000</v>
      </c>
      <c r="E402" s="25">
        <f t="array" ref="E402">INDEX(D$5:D$67,MATCH($B402,$B$5:$B$67,0))</f>
        <v>320</v>
      </c>
      <c r="F402" s="25">
        <f t="array" ref="F402">INDEX(E$5:E$67,MATCH($B402,$B$5:$B$67,0))</f>
        <v>1836</v>
      </c>
      <c r="G402" s="25">
        <f t="array" ref="G402">INDEX(F$5:F$67,MATCH($B402,$B$5:$B$67,0))</f>
        <v>146.88</v>
      </c>
      <c r="H402" s="25">
        <f t="array" ref="H402">INDEX(G$5:G$66,MATCH($B402,$B$5:$B$67,0))</f>
        <v>1440</v>
      </c>
      <c r="I402" s="25">
        <f t="array" ref="I402">INDEX(H$5:H$67,MATCH($B402,$B$5:$B$67,0))</f>
        <v>115.2</v>
      </c>
      <c r="J402" s="25">
        <f t="array" ref="J402">INDEX(I$5:I$67,MATCH($B402,$B$5:$B$67,0))</f>
        <v>980</v>
      </c>
      <c r="K402" s="25">
        <f t="array" ref="K402">INDEX(J$5:J$67,MATCH($B402,$B$5:$B$67,0))</f>
        <v>78.4</v>
      </c>
      <c r="L402" s="25">
        <f t="shared" si="545"/>
        <v>11680</v>
      </c>
      <c r="M402" s="25">
        <f t="shared" si="546"/>
        <v>5361</v>
      </c>
      <c r="N402" s="25">
        <f t="shared" si="547"/>
        <v>4205</v>
      </c>
      <c r="O402" s="25">
        <f t="shared" si="548"/>
        <v>2862</v>
      </c>
      <c r="R402" s="50">
        <f t="array" ref="R402">INDEX($B$46:$B$68,MATCH(S402,$C$46:$C$68,0))*1000+T402</f>
        <v>1013027</v>
      </c>
      <c r="S402" s="51" t="s">
        <v>339</v>
      </c>
      <c r="T402" s="29">
        <f t="shared" si="543"/>
        <v>27</v>
      </c>
      <c r="U402" s="25">
        <f t="array" ref="U402">INDEX(K$5:K$67,MATCH($S402,$B$5:$B$67,0))</f>
        <v>581.49</v>
      </c>
      <c r="V402" s="25">
        <f t="array" ref="V402">INDEX(L$5:L$67,MATCH($S402,$B$5:$B$67,0))</f>
        <v>97.28</v>
      </c>
      <c r="W402" s="25">
        <f t="array" ref="W402">INDEX(M$5:M$67,MATCH($S402,$B$5:$B$67,0))</f>
        <v>121.6</v>
      </c>
      <c r="X402" s="25">
        <f t="array" ref="X402">INDEX(N$5:N$67,MATCH($S402,$B$5:$B$67,0))</f>
        <v>68</v>
      </c>
      <c r="Y402" s="25">
        <f t="shared" si="549"/>
        <v>15700</v>
      </c>
      <c r="Z402" s="25">
        <f t="shared" si="550"/>
        <v>2627</v>
      </c>
      <c r="AA402" s="25">
        <f t="shared" si="551"/>
        <v>3283</v>
      </c>
      <c r="AB402" s="25">
        <f t="shared" si="552"/>
        <v>1836</v>
      </c>
    </row>
    <row r="403" spans="1:28">
      <c r="A403" s="53">
        <v>1006025</v>
      </c>
      <c r="B403" s="49" t="s">
        <v>328</v>
      </c>
      <c r="C403" s="25">
        <f t="shared" si="544"/>
        <v>25</v>
      </c>
      <c r="D403" s="25">
        <f t="array" ref="D403">INDEX(C$5:C$67,MATCH($B403,$B$5:$B$67,0))</f>
        <v>4000</v>
      </c>
      <c r="E403" s="25">
        <f t="array" ref="E403">INDEX(D$5:D$67,MATCH($B403,$B$5:$B$67,0))</f>
        <v>320</v>
      </c>
      <c r="F403" s="25">
        <f t="array" ref="F403">INDEX(E$5:E$67,MATCH($B403,$B$5:$B$67,0))</f>
        <v>1836</v>
      </c>
      <c r="G403" s="25">
        <f t="array" ref="G403">INDEX(F$5:F$67,MATCH($B403,$B$5:$B$67,0))</f>
        <v>146.88</v>
      </c>
      <c r="H403" s="25">
        <f t="array" ref="H403">INDEX(G$5:G$66,MATCH($B403,$B$5:$B$67,0))</f>
        <v>1440</v>
      </c>
      <c r="I403" s="25">
        <f t="array" ref="I403">INDEX(H$5:H$67,MATCH($B403,$B$5:$B$67,0))</f>
        <v>115.2</v>
      </c>
      <c r="J403" s="25">
        <f t="array" ref="J403">INDEX(I$5:I$67,MATCH($B403,$B$5:$B$67,0))</f>
        <v>980</v>
      </c>
      <c r="K403" s="25">
        <f t="array" ref="K403">INDEX(J$5:J$67,MATCH($B403,$B$5:$B$67,0))</f>
        <v>78.4</v>
      </c>
      <c r="L403" s="25">
        <f t="shared" si="545"/>
        <v>12000</v>
      </c>
      <c r="M403" s="25">
        <f t="shared" si="546"/>
        <v>5508</v>
      </c>
      <c r="N403" s="25">
        <f t="shared" si="547"/>
        <v>4320</v>
      </c>
      <c r="O403" s="25">
        <f t="shared" si="548"/>
        <v>2940</v>
      </c>
      <c r="R403" s="50">
        <f t="array" ref="R403">INDEX($B$46:$B$68,MATCH(S403,$C$46:$C$68,0))*1000+T403</f>
        <v>1014001</v>
      </c>
      <c r="S403" s="51" t="s">
        <v>341</v>
      </c>
      <c r="T403" s="29">
        <f t="shared" si="543"/>
        <v>1</v>
      </c>
      <c r="U403" s="25">
        <f t="array" ref="U403">INDEX(K$5:K$67,MATCH($S403,$B$5:$B$67,0))</f>
        <v>357.84</v>
      </c>
      <c r="V403" s="25">
        <f t="array" ref="V403">INDEX(L$5:L$67,MATCH($S403,$B$5:$B$67,0))</f>
        <v>99.23</v>
      </c>
      <c r="W403" s="25">
        <f t="array" ref="W403">INDEX(M$5:M$67,MATCH($S403,$B$5:$B$67,0))</f>
        <v>77.82</v>
      </c>
      <c r="X403" s="25">
        <f t="array" ref="X403">INDEX(N$5:N$67,MATCH($S403,$B$5:$B$67,0))</f>
        <v>66.64</v>
      </c>
      <c r="Y403" s="25">
        <f t="shared" si="549"/>
        <v>358</v>
      </c>
      <c r="Z403" s="25">
        <f t="shared" si="550"/>
        <v>99</v>
      </c>
      <c r="AA403" s="25">
        <f t="shared" si="551"/>
        <v>78</v>
      </c>
      <c r="AB403" s="25">
        <f t="shared" si="552"/>
        <v>67</v>
      </c>
    </row>
    <row r="404" spans="1:28">
      <c r="A404" s="53">
        <v>1006026</v>
      </c>
      <c r="B404" s="49" t="s">
        <v>328</v>
      </c>
      <c r="C404" s="25">
        <f t="shared" si="544"/>
        <v>26</v>
      </c>
      <c r="D404" s="25">
        <f t="array" ref="D404">INDEX(C$5:C$67,MATCH($B404,$B$5:$B$67,0))</f>
        <v>4000</v>
      </c>
      <c r="E404" s="25">
        <f t="array" ref="E404">INDEX(D$5:D$67,MATCH($B404,$B$5:$B$67,0))</f>
        <v>320</v>
      </c>
      <c r="F404" s="25">
        <f t="array" ref="F404">INDEX(E$5:E$67,MATCH($B404,$B$5:$B$67,0))</f>
        <v>1836</v>
      </c>
      <c r="G404" s="25">
        <f t="array" ref="G404">INDEX(F$5:F$67,MATCH($B404,$B$5:$B$67,0))</f>
        <v>146.88</v>
      </c>
      <c r="H404" s="25">
        <f t="array" ref="H404">INDEX(G$5:G$66,MATCH($B404,$B$5:$B$67,0))</f>
        <v>1440</v>
      </c>
      <c r="I404" s="25">
        <f t="array" ref="I404">INDEX(H$5:H$67,MATCH($B404,$B$5:$B$67,0))</f>
        <v>115.2</v>
      </c>
      <c r="J404" s="25">
        <f t="array" ref="J404">INDEX(I$5:I$67,MATCH($B404,$B$5:$B$67,0))</f>
        <v>980</v>
      </c>
      <c r="K404" s="25">
        <f t="array" ref="K404">INDEX(J$5:J$67,MATCH($B404,$B$5:$B$67,0))</f>
        <v>78.4</v>
      </c>
      <c r="L404" s="25">
        <f t="shared" si="545"/>
        <v>12320</v>
      </c>
      <c r="M404" s="25">
        <f t="shared" si="546"/>
        <v>5655</v>
      </c>
      <c r="N404" s="25">
        <f t="shared" si="547"/>
        <v>4435</v>
      </c>
      <c r="O404" s="25">
        <f t="shared" si="548"/>
        <v>3018</v>
      </c>
      <c r="R404" s="50">
        <f t="array" ref="R404">INDEX($B$46:$B$68,MATCH(S404,$C$46:$C$68,0))*1000+T404</f>
        <v>1014002</v>
      </c>
      <c r="S404" s="51" t="s">
        <v>341</v>
      </c>
      <c r="T404" s="29">
        <f t="shared" si="543"/>
        <v>2</v>
      </c>
      <c r="U404" s="25">
        <f t="array" ref="U404">INDEX(K$5:K$67,MATCH($S404,$B$5:$B$67,0))</f>
        <v>357.84</v>
      </c>
      <c r="V404" s="25">
        <f t="array" ref="V404">INDEX(L$5:L$67,MATCH($S404,$B$5:$B$67,0))</f>
        <v>99.23</v>
      </c>
      <c r="W404" s="25">
        <f t="array" ref="W404">INDEX(M$5:M$67,MATCH($S404,$B$5:$B$67,0))</f>
        <v>77.82</v>
      </c>
      <c r="X404" s="25">
        <f t="array" ref="X404">INDEX(N$5:N$67,MATCH($S404,$B$5:$B$67,0))</f>
        <v>66.64</v>
      </c>
      <c r="Y404" s="25">
        <f t="shared" si="549"/>
        <v>716</v>
      </c>
      <c r="Z404" s="25">
        <f t="shared" si="550"/>
        <v>198</v>
      </c>
      <c r="AA404" s="25">
        <f t="shared" si="551"/>
        <v>156</v>
      </c>
      <c r="AB404" s="25">
        <f t="shared" si="552"/>
        <v>133</v>
      </c>
    </row>
    <row r="405" spans="1:28">
      <c r="A405" s="53">
        <v>1006027</v>
      </c>
      <c r="B405" s="49" t="s">
        <v>328</v>
      </c>
      <c r="C405" s="25">
        <f t="shared" si="544"/>
        <v>27</v>
      </c>
      <c r="D405" s="25">
        <f t="array" ref="D405">INDEX(C$5:C$67,MATCH($B405,$B$5:$B$67,0))</f>
        <v>4000</v>
      </c>
      <c r="E405" s="25">
        <f t="array" ref="E405">INDEX(D$5:D$67,MATCH($B405,$B$5:$B$67,0))</f>
        <v>320</v>
      </c>
      <c r="F405" s="25">
        <f t="array" ref="F405">INDEX(E$5:E$67,MATCH($B405,$B$5:$B$67,0))</f>
        <v>1836</v>
      </c>
      <c r="G405" s="25">
        <f t="array" ref="G405">INDEX(F$5:F$67,MATCH($B405,$B$5:$B$67,0))</f>
        <v>146.88</v>
      </c>
      <c r="H405" s="25">
        <f t="array" ref="H405">INDEX(G$5:G$66,MATCH($B405,$B$5:$B$67,0))</f>
        <v>1440</v>
      </c>
      <c r="I405" s="25">
        <f t="array" ref="I405">INDEX(H$5:H$67,MATCH($B405,$B$5:$B$67,0))</f>
        <v>115.2</v>
      </c>
      <c r="J405" s="25">
        <f t="array" ref="J405">INDEX(I$5:I$67,MATCH($B405,$B$5:$B$67,0))</f>
        <v>980</v>
      </c>
      <c r="K405" s="25">
        <f t="array" ref="K405">INDEX(J$5:J$67,MATCH($B405,$B$5:$B$67,0))</f>
        <v>78.4</v>
      </c>
      <c r="L405" s="25">
        <f t="shared" si="545"/>
        <v>12640</v>
      </c>
      <c r="M405" s="25">
        <f t="shared" si="546"/>
        <v>5802</v>
      </c>
      <c r="N405" s="25">
        <f t="shared" si="547"/>
        <v>4550</v>
      </c>
      <c r="O405" s="25">
        <f t="shared" si="548"/>
        <v>3097</v>
      </c>
      <c r="R405" s="50">
        <f t="array" ref="R405">INDEX($B$46:$B$68,MATCH(S405,$C$46:$C$68,0))*1000+T405</f>
        <v>1014003</v>
      </c>
      <c r="S405" s="51" t="s">
        <v>341</v>
      </c>
      <c r="T405" s="29">
        <f t="shared" si="543"/>
        <v>3</v>
      </c>
      <c r="U405" s="25">
        <f t="array" ref="U405">INDEX(K$5:K$67,MATCH($S405,$B$5:$B$67,0))</f>
        <v>357.84</v>
      </c>
      <c r="V405" s="25">
        <f t="array" ref="V405">INDEX(L$5:L$67,MATCH($S405,$B$5:$B$67,0))</f>
        <v>99.23</v>
      </c>
      <c r="W405" s="25">
        <f t="array" ref="W405">INDEX(M$5:M$67,MATCH($S405,$B$5:$B$67,0))</f>
        <v>77.82</v>
      </c>
      <c r="X405" s="25">
        <f t="array" ref="X405">INDEX(N$5:N$67,MATCH($S405,$B$5:$B$67,0))</f>
        <v>66.64</v>
      </c>
      <c r="Y405" s="25">
        <f t="shared" si="549"/>
        <v>1074</v>
      </c>
      <c r="Z405" s="25">
        <f t="shared" si="550"/>
        <v>298</v>
      </c>
      <c r="AA405" s="25">
        <f t="shared" si="551"/>
        <v>233</v>
      </c>
      <c r="AB405" s="25">
        <f t="shared" si="552"/>
        <v>200</v>
      </c>
    </row>
    <row r="406" spans="1:28">
      <c r="A406" s="53">
        <v>1006028</v>
      </c>
      <c r="B406" s="49" t="s">
        <v>328</v>
      </c>
      <c r="C406" s="25">
        <f t="shared" si="544"/>
        <v>28</v>
      </c>
      <c r="D406" s="25">
        <f t="array" ref="D406">INDEX(C$5:C$67,MATCH($B406,$B$5:$B$67,0))</f>
        <v>4000</v>
      </c>
      <c r="E406" s="25">
        <f t="array" ref="E406">INDEX(D$5:D$67,MATCH($B406,$B$5:$B$67,0))</f>
        <v>320</v>
      </c>
      <c r="F406" s="25">
        <f t="array" ref="F406">INDEX(E$5:E$67,MATCH($B406,$B$5:$B$67,0))</f>
        <v>1836</v>
      </c>
      <c r="G406" s="25">
        <f t="array" ref="G406">INDEX(F$5:F$67,MATCH($B406,$B$5:$B$67,0))</f>
        <v>146.88</v>
      </c>
      <c r="H406" s="25">
        <f t="array" ref="H406">INDEX(G$5:G$66,MATCH($B406,$B$5:$B$67,0))</f>
        <v>1440</v>
      </c>
      <c r="I406" s="25">
        <f t="array" ref="I406">INDEX(H$5:H$67,MATCH($B406,$B$5:$B$67,0))</f>
        <v>115.2</v>
      </c>
      <c r="J406" s="25">
        <f t="array" ref="J406">INDEX(I$5:I$67,MATCH($B406,$B$5:$B$67,0))</f>
        <v>980</v>
      </c>
      <c r="K406" s="25">
        <f t="array" ref="K406">INDEX(J$5:J$67,MATCH($B406,$B$5:$B$67,0))</f>
        <v>78.4</v>
      </c>
      <c r="L406" s="25">
        <f t="shared" si="545"/>
        <v>12960</v>
      </c>
      <c r="M406" s="25">
        <f t="shared" si="546"/>
        <v>5949</v>
      </c>
      <c r="N406" s="25">
        <f t="shared" si="547"/>
        <v>4666</v>
      </c>
      <c r="O406" s="25">
        <f t="shared" si="548"/>
        <v>3175</v>
      </c>
      <c r="R406" s="50">
        <f t="array" ref="R406">INDEX($B$46:$B$68,MATCH(S406,$C$46:$C$68,0))*1000+T406</f>
        <v>1014004</v>
      </c>
      <c r="S406" s="51" t="s">
        <v>341</v>
      </c>
      <c r="T406" s="29">
        <f t="shared" si="543"/>
        <v>4</v>
      </c>
      <c r="U406" s="25">
        <f t="array" ref="U406">INDEX(K$5:K$67,MATCH($S406,$B$5:$B$67,0))</f>
        <v>357.84</v>
      </c>
      <c r="V406" s="25">
        <f t="array" ref="V406">INDEX(L$5:L$67,MATCH($S406,$B$5:$B$67,0))</f>
        <v>99.23</v>
      </c>
      <c r="W406" s="25">
        <f t="array" ref="W406">INDEX(M$5:M$67,MATCH($S406,$B$5:$B$67,0))</f>
        <v>77.82</v>
      </c>
      <c r="X406" s="25">
        <f t="array" ref="X406">INDEX(N$5:N$67,MATCH($S406,$B$5:$B$67,0))</f>
        <v>66.64</v>
      </c>
      <c r="Y406" s="25">
        <f t="shared" si="549"/>
        <v>1431</v>
      </c>
      <c r="Z406" s="25">
        <f t="shared" si="550"/>
        <v>397</v>
      </c>
      <c r="AA406" s="25">
        <f t="shared" si="551"/>
        <v>311</v>
      </c>
      <c r="AB406" s="25">
        <f t="shared" si="552"/>
        <v>267</v>
      </c>
    </row>
    <row r="407" spans="1:28">
      <c r="A407" s="53">
        <v>1006029</v>
      </c>
      <c r="B407" s="49" t="s">
        <v>328</v>
      </c>
      <c r="C407" s="25">
        <f t="shared" si="544"/>
        <v>29</v>
      </c>
      <c r="D407" s="25">
        <f t="array" ref="D407">INDEX(C$5:C$67,MATCH($B407,$B$5:$B$67,0))</f>
        <v>4000</v>
      </c>
      <c r="E407" s="25">
        <f t="array" ref="E407">INDEX(D$5:D$67,MATCH($B407,$B$5:$B$67,0))</f>
        <v>320</v>
      </c>
      <c r="F407" s="25">
        <f t="array" ref="F407">INDEX(E$5:E$67,MATCH($B407,$B$5:$B$67,0))</f>
        <v>1836</v>
      </c>
      <c r="G407" s="25">
        <f t="array" ref="G407">INDEX(F$5:F$67,MATCH($B407,$B$5:$B$67,0))</f>
        <v>146.88</v>
      </c>
      <c r="H407" s="25">
        <f t="array" ref="H407">INDEX(G$5:G$66,MATCH($B407,$B$5:$B$67,0))</f>
        <v>1440</v>
      </c>
      <c r="I407" s="25">
        <f t="array" ref="I407">INDEX(H$5:H$67,MATCH($B407,$B$5:$B$67,0))</f>
        <v>115.2</v>
      </c>
      <c r="J407" s="25">
        <f t="array" ref="J407">INDEX(I$5:I$67,MATCH($B407,$B$5:$B$67,0))</f>
        <v>980</v>
      </c>
      <c r="K407" s="25">
        <f t="array" ref="K407">INDEX(J$5:J$67,MATCH($B407,$B$5:$B$67,0))</f>
        <v>78.4</v>
      </c>
      <c r="L407" s="25">
        <f t="shared" si="545"/>
        <v>13280</v>
      </c>
      <c r="M407" s="25">
        <f t="shared" si="546"/>
        <v>6096</v>
      </c>
      <c r="N407" s="25">
        <f t="shared" si="547"/>
        <v>4781</v>
      </c>
      <c r="O407" s="25">
        <f t="shared" si="548"/>
        <v>3254</v>
      </c>
      <c r="R407" s="50">
        <f t="array" ref="R407">INDEX($B$46:$B$68,MATCH(S407,$C$46:$C$68,0))*1000+T407</f>
        <v>1014005</v>
      </c>
      <c r="S407" s="51" t="s">
        <v>341</v>
      </c>
      <c r="T407" s="29">
        <f t="shared" si="543"/>
        <v>5</v>
      </c>
      <c r="U407" s="25">
        <f t="array" ref="U407">INDEX(K$5:K$67,MATCH($S407,$B$5:$B$67,0))</f>
        <v>357.84</v>
      </c>
      <c r="V407" s="25">
        <f t="array" ref="V407">INDEX(L$5:L$67,MATCH($S407,$B$5:$B$67,0))</f>
        <v>99.23</v>
      </c>
      <c r="W407" s="25">
        <f t="array" ref="W407">INDEX(M$5:M$67,MATCH($S407,$B$5:$B$67,0))</f>
        <v>77.82</v>
      </c>
      <c r="X407" s="25">
        <f t="array" ref="X407">INDEX(N$5:N$67,MATCH($S407,$B$5:$B$67,0))</f>
        <v>66.64</v>
      </c>
      <c r="Y407" s="25">
        <f t="shared" si="549"/>
        <v>1789</v>
      </c>
      <c r="Z407" s="25">
        <f t="shared" si="550"/>
        <v>496</v>
      </c>
      <c r="AA407" s="25">
        <f t="shared" si="551"/>
        <v>389</v>
      </c>
      <c r="AB407" s="25">
        <f t="shared" si="552"/>
        <v>333</v>
      </c>
    </row>
    <row r="408" spans="1:28">
      <c r="A408" s="53">
        <v>1006030</v>
      </c>
      <c r="B408" s="49" t="s">
        <v>328</v>
      </c>
      <c r="C408" s="25">
        <f t="shared" si="544"/>
        <v>30</v>
      </c>
      <c r="D408" s="25">
        <f t="array" ref="D408">INDEX(C$5:C$67,MATCH($B408,$B$5:$B$67,0))</f>
        <v>4000</v>
      </c>
      <c r="E408" s="25">
        <f t="array" ref="E408">INDEX(D$5:D$67,MATCH($B408,$B$5:$B$67,0))</f>
        <v>320</v>
      </c>
      <c r="F408" s="25">
        <f t="array" ref="F408">INDEX(E$5:E$67,MATCH($B408,$B$5:$B$67,0))</f>
        <v>1836</v>
      </c>
      <c r="G408" s="25">
        <f t="array" ref="G408">INDEX(F$5:F$67,MATCH($B408,$B$5:$B$67,0))</f>
        <v>146.88</v>
      </c>
      <c r="H408" s="25">
        <f t="array" ref="H408">INDEX(G$5:G$66,MATCH($B408,$B$5:$B$67,0))</f>
        <v>1440</v>
      </c>
      <c r="I408" s="25">
        <f t="array" ref="I408">INDEX(H$5:H$67,MATCH($B408,$B$5:$B$67,0))</f>
        <v>115.2</v>
      </c>
      <c r="J408" s="25">
        <f t="array" ref="J408">INDEX(I$5:I$67,MATCH($B408,$B$5:$B$67,0))</f>
        <v>980</v>
      </c>
      <c r="K408" s="25">
        <f t="array" ref="K408">INDEX(J$5:J$67,MATCH($B408,$B$5:$B$67,0))</f>
        <v>78.4</v>
      </c>
      <c r="L408" s="25">
        <f t="shared" si="545"/>
        <v>13600</v>
      </c>
      <c r="M408" s="25">
        <f t="shared" si="546"/>
        <v>6242</v>
      </c>
      <c r="N408" s="25">
        <f t="shared" si="547"/>
        <v>4896</v>
      </c>
      <c r="O408" s="25">
        <f t="shared" si="548"/>
        <v>3332</v>
      </c>
      <c r="R408" s="50">
        <f t="array" ref="R408">INDEX($B$46:$B$68,MATCH(S408,$C$46:$C$68,0))*1000+T408</f>
        <v>1014006</v>
      </c>
      <c r="S408" s="51" t="s">
        <v>341</v>
      </c>
      <c r="T408" s="29">
        <f t="shared" si="543"/>
        <v>6</v>
      </c>
      <c r="U408" s="25">
        <f t="array" ref="U408">INDEX(K$5:K$67,MATCH($S408,$B$5:$B$67,0))</f>
        <v>357.84</v>
      </c>
      <c r="V408" s="25">
        <f t="array" ref="V408">INDEX(L$5:L$67,MATCH($S408,$B$5:$B$67,0))</f>
        <v>99.23</v>
      </c>
      <c r="W408" s="25">
        <f t="array" ref="W408">INDEX(M$5:M$67,MATCH($S408,$B$5:$B$67,0))</f>
        <v>77.82</v>
      </c>
      <c r="X408" s="25">
        <f t="array" ref="X408">INDEX(N$5:N$67,MATCH($S408,$B$5:$B$67,0))</f>
        <v>66.64</v>
      </c>
      <c r="Y408" s="25">
        <f t="shared" si="549"/>
        <v>2147</v>
      </c>
      <c r="Z408" s="25">
        <f t="shared" si="550"/>
        <v>595</v>
      </c>
      <c r="AA408" s="25">
        <f t="shared" si="551"/>
        <v>467</v>
      </c>
      <c r="AB408" s="25">
        <f t="shared" si="552"/>
        <v>400</v>
      </c>
    </row>
    <row r="409" spans="1:28">
      <c r="A409" s="53">
        <v>1006031</v>
      </c>
      <c r="B409" s="49" t="s">
        <v>328</v>
      </c>
      <c r="C409" s="25">
        <f t="shared" si="544"/>
        <v>31</v>
      </c>
      <c r="D409" s="25">
        <f t="array" ref="D409">INDEX(C$5:C$67,MATCH($B409,$B$5:$B$67,0))</f>
        <v>4000</v>
      </c>
      <c r="E409" s="25">
        <f t="array" ref="E409">INDEX(D$5:D$67,MATCH($B409,$B$5:$B$67,0))</f>
        <v>320</v>
      </c>
      <c r="F409" s="25">
        <f t="array" ref="F409">INDEX(E$5:E$67,MATCH($B409,$B$5:$B$67,0))</f>
        <v>1836</v>
      </c>
      <c r="G409" s="25">
        <f t="array" ref="G409">INDEX(F$5:F$67,MATCH($B409,$B$5:$B$67,0))</f>
        <v>146.88</v>
      </c>
      <c r="H409" s="25">
        <f t="array" ref="H409">INDEX(G$5:G$66,MATCH($B409,$B$5:$B$67,0))</f>
        <v>1440</v>
      </c>
      <c r="I409" s="25">
        <f t="array" ref="I409">INDEX(H$5:H$67,MATCH($B409,$B$5:$B$67,0))</f>
        <v>115.2</v>
      </c>
      <c r="J409" s="25">
        <f t="array" ref="J409">INDEX(I$5:I$67,MATCH($B409,$B$5:$B$67,0))</f>
        <v>980</v>
      </c>
      <c r="K409" s="25">
        <f t="array" ref="K409">INDEX(J$5:J$67,MATCH($B409,$B$5:$B$67,0))</f>
        <v>78.4</v>
      </c>
      <c r="L409" s="25">
        <f t="shared" si="545"/>
        <v>13920</v>
      </c>
      <c r="M409" s="25">
        <f t="shared" si="546"/>
        <v>6389</v>
      </c>
      <c r="N409" s="25">
        <f t="shared" si="547"/>
        <v>5011</v>
      </c>
      <c r="O409" s="25">
        <f t="shared" si="548"/>
        <v>3410</v>
      </c>
      <c r="R409" s="50">
        <f t="array" ref="R409">INDEX($B$46:$B$68,MATCH(S409,$C$46:$C$68,0))*1000+T409</f>
        <v>1014007</v>
      </c>
      <c r="S409" s="51" t="s">
        <v>341</v>
      </c>
      <c r="T409" s="29">
        <f t="shared" si="543"/>
        <v>7</v>
      </c>
      <c r="U409" s="25">
        <f t="array" ref="U409">INDEX(K$5:K$67,MATCH($S409,$B$5:$B$67,0))</f>
        <v>357.84</v>
      </c>
      <c r="V409" s="25">
        <f t="array" ref="V409">INDEX(L$5:L$67,MATCH($S409,$B$5:$B$67,0))</f>
        <v>99.23</v>
      </c>
      <c r="W409" s="25">
        <f t="array" ref="W409">INDEX(M$5:M$67,MATCH($S409,$B$5:$B$67,0))</f>
        <v>77.82</v>
      </c>
      <c r="X409" s="25">
        <f t="array" ref="X409">INDEX(N$5:N$67,MATCH($S409,$B$5:$B$67,0))</f>
        <v>66.64</v>
      </c>
      <c r="Y409" s="25">
        <f t="shared" si="549"/>
        <v>2505</v>
      </c>
      <c r="Z409" s="25">
        <f t="shared" si="550"/>
        <v>695</v>
      </c>
      <c r="AA409" s="25">
        <f t="shared" si="551"/>
        <v>545</v>
      </c>
      <c r="AB409" s="25">
        <f t="shared" si="552"/>
        <v>466</v>
      </c>
    </row>
    <row r="410" spans="1:28">
      <c r="A410" s="53">
        <v>1006032</v>
      </c>
      <c r="B410" s="49" t="s">
        <v>328</v>
      </c>
      <c r="C410" s="25">
        <f t="shared" si="544"/>
        <v>32</v>
      </c>
      <c r="D410" s="25">
        <f t="array" ref="D410">INDEX(C$5:C$67,MATCH($B410,$B$5:$B$67,0))</f>
        <v>4000</v>
      </c>
      <c r="E410" s="25">
        <f t="array" ref="E410">INDEX(D$5:D$67,MATCH($B410,$B$5:$B$67,0))</f>
        <v>320</v>
      </c>
      <c r="F410" s="25">
        <f t="array" ref="F410">INDEX(E$5:E$67,MATCH($B410,$B$5:$B$67,0))</f>
        <v>1836</v>
      </c>
      <c r="G410" s="25">
        <f t="array" ref="G410">INDEX(F$5:F$67,MATCH($B410,$B$5:$B$67,0))</f>
        <v>146.88</v>
      </c>
      <c r="H410" s="25">
        <f t="array" ref="H410">INDEX(G$5:G$66,MATCH($B410,$B$5:$B$67,0))</f>
        <v>1440</v>
      </c>
      <c r="I410" s="25">
        <f t="array" ref="I410">INDEX(H$5:H$67,MATCH($B410,$B$5:$B$67,0))</f>
        <v>115.2</v>
      </c>
      <c r="J410" s="25">
        <f t="array" ref="J410">INDEX(I$5:I$67,MATCH($B410,$B$5:$B$67,0))</f>
        <v>980</v>
      </c>
      <c r="K410" s="25">
        <f t="array" ref="K410">INDEX(J$5:J$67,MATCH($B410,$B$5:$B$67,0))</f>
        <v>78.4</v>
      </c>
      <c r="L410" s="25">
        <f t="shared" si="545"/>
        <v>14240</v>
      </c>
      <c r="M410" s="25">
        <f t="shared" si="546"/>
        <v>6536</v>
      </c>
      <c r="N410" s="25">
        <f t="shared" si="547"/>
        <v>5126</v>
      </c>
      <c r="O410" s="25">
        <f t="shared" si="548"/>
        <v>3489</v>
      </c>
      <c r="R410" s="50">
        <f t="array" ref="R410">INDEX($B$46:$B$68,MATCH(S410,$C$46:$C$68,0))*1000+T410</f>
        <v>1014008</v>
      </c>
      <c r="S410" s="51" t="s">
        <v>341</v>
      </c>
      <c r="T410" s="29">
        <f t="shared" si="543"/>
        <v>8</v>
      </c>
      <c r="U410" s="25">
        <f t="array" ref="U410">INDEX(K$5:K$67,MATCH($S410,$B$5:$B$67,0))</f>
        <v>357.84</v>
      </c>
      <c r="V410" s="25">
        <f t="array" ref="V410">INDEX(L$5:L$67,MATCH($S410,$B$5:$B$67,0))</f>
        <v>99.23</v>
      </c>
      <c r="W410" s="25">
        <f t="array" ref="W410">INDEX(M$5:M$67,MATCH($S410,$B$5:$B$67,0))</f>
        <v>77.82</v>
      </c>
      <c r="X410" s="25">
        <f t="array" ref="X410">INDEX(N$5:N$67,MATCH($S410,$B$5:$B$67,0))</f>
        <v>66.64</v>
      </c>
      <c r="Y410" s="25">
        <f t="shared" si="549"/>
        <v>2863</v>
      </c>
      <c r="Z410" s="25">
        <f t="shared" si="550"/>
        <v>794</v>
      </c>
      <c r="AA410" s="25">
        <f t="shared" si="551"/>
        <v>623</v>
      </c>
      <c r="AB410" s="25">
        <f t="shared" si="552"/>
        <v>533</v>
      </c>
    </row>
    <row r="411" spans="1:28">
      <c r="A411" s="53">
        <v>1006033</v>
      </c>
      <c r="B411" s="49" t="s">
        <v>328</v>
      </c>
      <c r="C411" s="25">
        <f t="shared" si="544"/>
        <v>33</v>
      </c>
      <c r="D411" s="25">
        <f t="array" ref="D411">INDEX(C$5:C$67,MATCH($B411,$B$5:$B$67,0))</f>
        <v>4000</v>
      </c>
      <c r="E411" s="25">
        <f t="array" ref="E411">INDEX(D$5:D$67,MATCH($B411,$B$5:$B$67,0))</f>
        <v>320</v>
      </c>
      <c r="F411" s="25">
        <f t="array" ref="F411">INDEX(E$5:E$67,MATCH($B411,$B$5:$B$67,0))</f>
        <v>1836</v>
      </c>
      <c r="G411" s="25">
        <f t="array" ref="G411">INDEX(F$5:F$67,MATCH($B411,$B$5:$B$67,0))</f>
        <v>146.88</v>
      </c>
      <c r="H411" s="25">
        <f t="array" ref="H411">INDEX(G$5:G$66,MATCH($B411,$B$5:$B$67,0))</f>
        <v>1440</v>
      </c>
      <c r="I411" s="25">
        <f t="array" ref="I411">INDEX(H$5:H$67,MATCH($B411,$B$5:$B$67,0))</f>
        <v>115.2</v>
      </c>
      <c r="J411" s="25">
        <f t="array" ref="J411">INDEX(I$5:I$67,MATCH($B411,$B$5:$B$67,0))</f>
        <v>980</v>
      </c>
      <c r="K411" s="25">
        <f t="array" ref="K411">INDEX(J$5:J$67,MATCH($B411,$B$5:$B$67,0))</f>
        <v>78.4</v>
      </c>
      <c r="L411" s="25">
        <f t="shared" si="545"/>
        <v>14560</v>
      </c>
      <c r="M411" s="25">
        <f t="shared" si="546"/>
        <v>6683</v>
      </c>
      <c r="N411" s="25">
        <f t="shared" si="547"/>
        <v>5242</v>
      </c>
      <c r="O411" s="25">
        <f t="shared" si="548"/>
        <v>3567</v>
      </c>
      <c r="R411" s="50">
        <f t="array" ref="R411">INDEX($B$46:$B$68,MATCH(S411,$C$46:$C$68,0))*1000+T411</f>
        <v>1014009</v>
      </c>
      <c r="S411" s="51" t="s">
        <v>341</v>
      </c>
      <c r="T411" s="29">
        <f t="shared" si="543"/>
        <v>9</v>
      </c>
      <c r="U411" s="25">
        <f t="array" ref="U411">INDEX(K$5:K$67,MATCH($S411,$B$5:$B$67,0))</f>
        <v>357.84</v>
      </c>
      <c r="V411" s="25">
        <f t="array" ref="V411">INDEX(L$5:L$67,MATCH($S411,$B$5:$B$67,0))</f>
        <v>99.23</v>
      </c>
      <c r="W411" s="25">
        <f t="array" ref="W411">INDEX(M$5:M$67,MATCH($S411,$B$5:$B$67,0))</f>
        <v>77.82</v>
      </c>
      <c r="X411" s="25">
        <f t="array" ref="X411">INDEX(N$5:N$67,MATCH($S411,$B$5:$B$67,0))</f>
        <v>66.64</v>
      </c>
      <c r="Y411" s="25">
        <f t="shared" si="549"/>
        <v>3221</v>
      </c>
      <c r="Z411" s="25">
        <f t="shared" si="550"/>
        <v>893</v>
      </c>
      <c r="AA411" s="25">
        <f t="shared" si="551"/>
        <v>700</v>
      </c>
      <c r="AB411" s="25">
        <f t="shared" si="552"/>
        <v>600</v>
      </c>
    </row>
    <row r="412" spans="1:28">
      <c r="A412" s="53">
        <v>1006034</v>
      </c>
      <c r="B412" s="49" t="s">
        <v>328</v>
      </c>
      <c r="C412" s="25">
        <f t="shared" si="544"/>
        <v>34</v>
      </c>
      <c r="D412" s="25">
        <f t="array" ref="D412">INDEX(C$5:C$67,MATCH($B412,$B$5:$B$67,0))</f>
        <v>4000</v>
      </c>
      <c r="E412" s="25">
        <f t="array" ref="E412">INDEX(D$5:D$67,MATCH($B412,$B$5:$B$67,0))</f>
        <v>320</v>
      </c>
      <c r="F412" s="25">
        <f t="array" ref="F412">INDEX(E$5:E$67,MATCH($B412,$B$5:$B$67,0))</f>
        <v>1836</v>
      </c>
      <c r="G412" s="25">
        <f t="array" ref="G412">INDEX(F$5:F$67,MATCH($B412,$B$5:$B$67,0))</f>
        <v>146.88</v>
      </c>
      <c r="H412" s="25">
        <f t="array" ref="H412">INDEX(G$5:G$66,MATCH($B412,$B$5:$B$67,0))</f>
        <v>1440</v>
      </c>
      <c r="I412" s="25">
        <f t="array" ref="I412">INDEX(H$5:H$67,MATCH($B412,$B$5:$B$67,0))</f>
        <v>115.2</v>
      </c>
      <c r="J412" s="25">
        <f t="array" ref="J412">INDEX(I$5:I$67,MATCH($B412,$B$5:$B$67,0))</f>
        <v>980</v>
      </c>
      <c r="K412" s="25">
        <f t="array" ref="K412">INDEX(J$5:J$67,MATCH($B412,$B$5:$B$67,0))</f>
        <v>78.4</v>
      </c>
      <c r="L412" s="25">
        <f t="shared" si="545"/>
        <v>14880</v>
      </c>
      <c r="M412" s="25">
        <f t="shared" si="546"/>
        <v>6830</v>
      </c>
      <c r="N412" s="25">
        <f t="shared" si="547"/>
        <v>5357</v>
      </c>
      <c r="O412" s="25">
        <f t="shared" si="548"/>
        <v>3646</v>
      </c>
      <c r="R412" s="50">
        <f t="array" ref="R412">INDEX($B$46:$B$68,MATCH(S412,$C$46:$C$68,0))*1000+T412</f>
        <v>1014010</v>
      </c>
      <c r="S412" s="51" t="s">
        <v>341</v>
      </c>
      <c r="T412" s="29">
        <f t="shared" si="543"/>
        <v>10</v>
      </c>
      <c r="U412" s="25">
        <f t="array" ref="U412">INDEX(K$5:K$67,MATCH($S412,$B$5:$B$67,0))</f>
        <v>357.84</v>
      </c>
      <c r="V412" s="25">
        <f t="array" ref="V412">INDEX(L$5:L$67,MATCH($S412,$B$5:$B$67,0))</f>
        <v>99.23</v>
      </c>
      <c r="W412" s="25">
        <f t="array" ref="W412">INDEX(M$5:M$67,MATCH($S412,$B$5:$B$67,0))</f>
        <v>77.82</v>
      </c>
      <c r="X412" s="25">
        <f t="array" ref="X412">INDEX(N$5:N$67,MATCH($S412,$B$5:$B$67,0))</f>
        <v>66.64</v>
      </c>
      <c r="Y412" s="25">
        <f t="shared" si="549"/>
        <v>3578</v>
      </c>
      <c r="Z412" s="25">
        <f t="shared" si="550"/>
        <v>992</v>
      </c>
      <c r="AA412" s="25">
        <f t="shared" si="551"/>
        <v>778</v>
      </c>
      <c r="AB412" s="25">
        <f t="shared" si="552"/>
        <v>666</v>
      </c>
    </row>
    <row r="413" spans="1:28">
      <c r="A413" s="53">
        <v>1006035</v>
      </c>
      <c r="B413" s="49" t="s">
        <v>328</v>
      </c>
      <c r="C413" s="25">
        <f t="shared" si="544"/>
        <v>35</v>
      </c>
      <c r="D413" s="25">
        <f t="array" ref="D413">INDEX(C$5:C$67,MATCH($B413,$B$5:$B$67,0))</f>
        <v>4000</v>
      </c>
      <c r="E413" s="25">
        <f t="array" ref="E413">INDEX(D$5:D$67,MATCH($B413,$B$5:$B$67,0))</f>
        <v>320</v>
      </c>
      <c r="F413" s="25">
        <f t="array" ref="F413">INDEX(E$5:E$67,MATCH($B413,$B$5:$B$67,0))</f>
        <v>1836</v>
      </c>
      <c r="G413" s="25">
        <f t="array" ref="G413">INDEX(F$5:F$67,MATCH($B413,$B$5:$B$67,0))</f>
        <v>146.88</v>
      </c>
      <c r="H413" s="25">
        <f t="array" ref="H413">INDEX(G$5:G$66,MATCH($B413,$B$5:$B$67,0))</f>
        <v>1440</v>
      </c>
      <c r="I413" s="25">
        <f t="array" ref="I413">INDEX(H$5:H$67,MATCH($B413,$B$5:$B$67,0))</f>
        <v>115.2</v>
      </c>
      <c r="J413" s="25">
        <f t="array" ref="J413">INDEX(I$5:I$67,MATCH($B413,$B$5:$B$67,0))</f>
        <v>980</v>
      </c>
      <c r="K413" s="25">
        <f t="array" ref="K413">INDEX(J$5:J$67,MATCH($B413,$B$5:$B$67,0))</f>
        <v>78.4</v>
      </c>
      <c r="L413" s="25">
        <f t="shared" si="545"/>
        <v>15200</v>
      </c>
      <c r="M413" s="25">
        <f t="shared" si="546"/>
        <v>6977</v>
      </c>
      <c r="N413" s="25">
        <f t="shared" si="547"/>
        <v>5472</v>
      </c>
      <c r="O413" s="25">
        <f t="shared" si="548"/>
        <v>3724</v>
      </c>
      <c r="R413" s="50">
        <f t="array" ref="R413">INDEX($B$46:$B$68,MATCH(S413,$C$46:$C$68,0))*1000+T413</f>
        <v>1014011</v>
      </c>
      <c r="S413" s="51" t="s">
        <v>341</v>
      </c>
      <c r="T413" s="29">
        <f t="shared" si="543"/>
        <v>11</v>
      </c>
      <c r="U413" s="25">
        <f t="array" ref="U413">INDEX(K$5:K$67,MATCH($S413,$B$5:$B$67,0))</f>
        <v>357.84</v>
      </c>
      <c r="V413" s="25">
        <f t="array" ref="V413">INDEX(L$5:L$67,MATCH($S413,$B$5:$B$67,0))</f>
        <v>99.23</v>
      </c>
      <c r="W413" s="25">
        <f t="array" ref="W413">INDEX(M$5:M$67,MATCH($S413,$B$5:$B$67,0))</f>
        <v>77.82</v>
      </c>
      <c r="X413" s="25">
        <f t="array" ref="X413">INDEX(N$5:N$67,MATCH($S413,$B$5:$B$67,0))</f>
        <v>66.64</v>
      </c>
      <c r="Y413" s="25">
        <f t="shared" si="549"/>
        <v>3936</v>
      </c>
      <c r="Z413" s="25">
        <f t="shared" si="550"/>
        <v>1092</v>
      </c>
      <c r="AA413" s="25">
        <f t="shared" si="551"/>
        <v>856</v>
      </c>
      <c r="AB413" s="25">
        <f t="shared" si="552"/>
        <v>733</v>
      </c>
    </row>
    <row r="414" spans="1:28">
      <c r="A414" s="53">
        <v>1006036</v>
      </c>
      <c r="B414" s="49" t="s">
        <v>328</v>
      </c>
      <c r="C414" s="25">
        <f t="shared" si="544"/>
        <v>36</v>
      </c>
      <c r="D414" s="25">
        <f t="array" ref="D414">INDEX(C$5:C$67,MATCH($B414,$B$5:$B$67,0))</f>
        <v>4000</v>
      </c>
      <c r="E414" s="25">
        <f t="array" ref="E414">INDEX(D$5:D$67,MATCH($B414,$B$5:$B$67,0))</f>
        <v>320</v>
      </c>
      <c r="F414" s="25">
        <f t="array" ref="F414">INDEX(E$5:E$67,MATCH($B414,$B$5:$B$67,0))</f>
        <v>1836</v>
      </c>
      <c r="G414" s="25">
        <f t="array" ref="G414">INDEX(F$5:F$67,MATCH($B414,$B$5:$B$67,0))</f>
        <v>146.88</v>
      </c>
      <c r="H414" s="25">
        <f t="array" ref="H414">INDEX(G$5:G$66,MATCH($B414,$B$5:$B$67,0))</f>
        <v>1440</v>
      </c>
      <c r="I414" s="25">
        <f t="array" ref="I414">INDEX(H$5:H$67,MATCH($B414,$B$5:$B$67,0))</f>
        <v>115.2</v>
      </c>
      <c r="J414" s="25">
        <f t="array" ref="J414">INDEX(I$5:I$67,MATCH($B414,$B$5:$B$67,0))</f>
        <v>980</v>
      </c>
      <c r="K414" s="25">
        <f t="array" ref="K414">INDEX(J$5:J$67,MATCH($B414,$B$5:$B$67,0))</f>
        <v>78.4</v>
      </c>
      <c r="L414" s="25">
        <f t="shared" si="545"/>
        <v>15520</v>
      </c>
      <c r="M414" s="25">
        <f t="shared" si="546"/>
        <v>7124</v>
      </c>
      <c r="N414" s="25">
        <f t="shared" si="547"/>
        <v>5587</v>
      </c>
      <c r="O414" s="25">
        <f t="shared" si="548"/>
        <v>3802</v>
      </c>
      <c r="R414" s="50">
        <f t="array" ref="R414">INDEX($B$46:$B$68,MATCH(S414,$C$46:$C$68,0))*1000+T414</f>
        <v>1014012</v>
      </c>
      <c r="S414" s="51" t="s">
        <v>341</v>
      </c>
      <c r="T414" s="29">
        <f t="shared" si="543"/>
        <v>12</v>
      </c>
      <c r="U414" s="25">
        <f t="array" ref="U414">INDEX(K$5:K$67,MATCH($S414,$B$5:$B$67,0))</f>
        <v>357.84</v>
      </c>
      <c r="V414" s="25">
        <f t="array" ref="V414">INDEX(L$5:L$67,MATCH($S414,$B$5:$B$67,0))</f>
        <v>99.23</v>
      </c>
      <c r="W414" s="25">
        <f t="array" ref="W414">INDEX(M$5:M$67,MATCH($S414,$B$5:$B$67,0))</f>
        <v>77.82</v>
      </c>
      <c r="X414" s="25">
        <f t="array" ref="X414">INDEX(N$5:N$67,MATCH($S414,$B$5:$B$67,0))</f>
        <v>66.64</v>
      </c>
      <c r="Y414" s="25">
        <f t="shared" si="549"/>
        <v>4294</v>
      </c>
      <c r="Z414" s="25">
        <f t="shared" si="550"/>
        <v>1191</v>
      </c>
      <c r="AA414" s="25">
        <f t="shared" si="551"/>
        <v>934</v>
      </c>
      <c r="AB414" s="25">
        <f t="shared" si="552"/>
        <v>800</v>
      </c>
    </row>
    <row r="415" spans="1:28">
      <c r="A415" s="53">
        <v>1006037</v>
      </c>
      <c r="B415" s="49" t="s">
        <v>328</v>
      </c>
      <c r="C415" s="25">
        <f t="shared" si="544"/>
        <v>37</v>
      </c>
      <c r="D415" s="25">
        <f t="array" ref="D415">INDEX(C$5:C$67,MATCH($B415,$B$5:$B$67,0))</f>
        <v>4000</v>
      </c>
      <c r="E415" s="25">
        <f t="array" ref="E415">INDEX(D$5:D$67,MATCH($B415,$B$5:$B$67,0))</f>
        <v>320</v>
      </c>
      <c r="F415" s="25">
        <f t="array" ref="F415">INDEX(E$5:E$67,MATCH($B415,$B$5:$B$67,0))</f>
        <v>1836</v>
      </c>
      <c r="G415" s="25">
        <f t="array" ref="G415">INDEX(F$5:F$67,MATCH($B415,$B$5:$B$67,0))</f>
        <v>146.88</v>
      </c>
      <c r="H415" s="25">
        <f t="array" ref="H415">INDEX(G$5:G$66,MATCH($B415,$B$5:$B$67,0))</f>
        <v>1440</v>
      </c>
      <c r="I415" s="25">
        <f t="array" ref="I415">INDEX(H$5:H$67,MATCH($B415,$B$5:$B$67,0))</f>
        <v>115.2</v>
      </c>
      <c r="J415" s="25">
        <f t="array" ref="J415">INDEX(I$5:I$67,MATCH($B415,$B$5:$B$67,0))</f>
        <v>980</v>
      </c>
      <c r="K415" s="25">
        <f t="array" ref="K415">INDEX(J$5:J$67,MATCH($B415,$B$5:$B$67,0))</f>
        <v>78.4</v>
      </c>
      <c r="L415" s="25">
        <f t="shared" si="545"/>
        <v>15840</v>
      </c>
      <c r="M415" s="25">
        <f t="shared" si="546"/>
        <v>7271</v>
      </c>
      <c r="N415" s="25">
        <f t="shared" si="547"/>
        <v>5702</v>
      </c>
      <c r="O415" s="25">
        <f t="shared" si="548"/>
        <v>3881</v>
      </c>
      <c r="R415" s="50">
        <f t="array" ref="R415">INDEX($B$46:$B$68,MATCH(S415,$C$46:$C$68,0))*1000+T415</f>
        <v>1014013</v>
      </c>
      <c r="S415" s="51" t="s">
        <v>341</v>
      </c>
      <c r="T415" s="29">
        <f t="shared" si="543"/>
        <v>13</v>
      </c>
      <c r="U415" s="25">
        <f t="array" ref="U415">INDEX(K$5:K$67,MATCH($S415,$B$5:$B$67,0))</f>
        <v>357.84</v>
      </c>
      <c r="V415" s="25">
        <f t="array" ref="V415">INDEX(L$5:L$67,MATCH($S415,$B$5:$B$67,0))</f>
        <v>99.23</v>
      </c>
      <c r="W415" s="25">
        <f t="array" ref="W415">INDEX(M$5:M$67,MATCH($S415,$B$5:$B$67,0))</f>
        <v>77.82</v>
      </c>
      <c r="X415" s="25">
        <f t="array" ref="X415">INDEX(N$5:N$67,MATCH($S415,$B$5:$B$67,0))</f>
        <v>66.64</v>
      </c>
      <c r="Y415" s="25">
        <f t="shared" si="549"/>
        <v>4652</v>
      </c>
      <c r="Z415" s="25">
        <f t="shared" si="550"/>
        <v>1290</v>
      </c>
      <c r="AA415" s="25">
        <f t="shared" si="551"/>
        <v>1012</v>
      </c>
      <c r="AB415" s="25">
        <f t="shared" si="552"/>
        <v>866</v>
      </c>
    </row>
    <row r="416" spans="1:28">
      <c r="A416" s="53">
        <v>1006038</v>
      </c>
      <c r="B416" s="49" t="s">
        <v>328</v>
      </c>
      <c r="C416" s="25">
        <f t="shared" si="544"/>
        <v>38</v>
      </c>
      <c r="D416" s="25">
        <f t="array" ref="D416">INDEX(C$5:C$67,MATCH($B416,$B$5:$B$67,0))</f>
        <v>4000</v>
      </c>
      <c r="E416" s="25">
        <f t="array" ref="E416">INDEX(D$5:D$67,MATCH($B416,$B$5:$B$67,0))</f>
        <v>320</v>
      </c>
      <c r="F416" s="25">
        <f t="array" ref="F416">INDEX(E$5:E$67,MATCH($B416,$B$5:$B$67,0))</f>
        <v>1836</v>
      </c>
      <c r="G416" s="25">
        <f t="array" ref="G416">INDEX(F$5:F$67,MATCH($B416,$B$5:$B$67,0))</f>
        <v>146.88</v>
      </c>
      <c r="H416" s="25">
        <f t="array" ref="H416">INDEX(G$5:G$66,MATCH($B416,$B$5:$B$67,0))</f>
        <v>1440</v>
      </c>
      <c r="I416" s="25">
        <f t="array" ref="I416">INDEX(H$5:H$67,MATCH($B416,$B$5:$B$67,0))</f>
        <v>115.2</v>
      </c>
      <c r="J416" s="25">
        <f t="array" ref="J416">INDEX(I$5:I$67,MATCH($B416,$B$5:$B$67,0))</f>
        <v>980</v>
      </c>
      <c r="K416" s="25">
        <f t="array" ref="K416">INDEX(J$5:J$67,MATCH($B416,$B$5:$B$67,0))</f>
        <v>78.4</v>
      </c>
      <c r="L416" s="25">
        <f t="shared" si="545"/>
        <v>16160</v>
      </c>
      <c r="M416" s="25">
        <f t="shared" si="546"/>
        <v>7417</v>
      </c>
      <c r="N416" s="25">
        <f t="shared" si="547"/>
        <v>5818</v>
      </c>
      <c r="O416" s="25">
        <f t="shared" si="548"/>
        <v>3959</v>
      </c>
      <c r="R416" s="50">
        <f t="array" ref="R416">INDEX($B$46:$B$68,MATCH(S416,$C$46:$C$68,0))*1000+T416</f>
        <v>1014014</v>
      </c>
      <c r="S416" s="51" t="s">
        <v>341</v>
      </c>
      <c r="T416" s="29">
        <f t="shared" si="543"/>
        <v>14</v>
      </c>
      <c r="U416" s="25">
        <f t="array" ref="U416">INDEX(K$5:K$67,MATCH($S416,$B$5:$B$67,0))</f>
        <v>357.84</v>
      </c>
      <c r="V416" s="25">
        <f t="array" ref="V416">INDEX(L$5:L$67,MATCH($S416,$B$5:$B$67,0))</f>
        <v>99.23</v>
      </c>
      <c r="W416" s="25">
        <f t="array" ref="W416">INDEX(M$5:M$67,MATCH($S416,$B$5:$B$67,0))</f>
        <v>77.82</v>
      </c>
      <c r="X416" s="25">
        <f t="array" ref="X416">INDEX(N$5:N$67,MATCH($S416,$B$5:$B$67,0))</f>
        <v>66.64</v>
      </c>
      <c r="Y416" s="25">
        <f t="shared" si="549"/>
        <v>5010</v>
      </c>
      <c r="Z416" s="25">
        <f t="shared" si="550"/>
        <v>1389</v>
      </c>
      <c r="AA416" s="25">
        <f t="shared" si="551"/>
        <v>1089</v>
      </c>
      <c r="AB416" s="25">
        <f t="shared" si="552"/>
        <v>933</v>
      </c>
    </row>
    <row r="417" spans="1:28">
      <c r="A417" s="53">
        <v>1006039</v>
      </c>
      <c r="B417" s="49" t="s">
        <v>328</v>
      </c>
      <c r="C417" s="25">
        <f t="shared" si="544"/>
        <v>39</v>
      </c>
      <c r="D417" s="25">
        <f t="array" ref="D417">INDEX(C$5:C$67,MATCH($B417,$B$5:$B$67,0))</f>
        <v>4000</v>
      </c>
      <c r="E417" s="25">
        <f t="array" ref="E417">INDEX(D$5:D$67,MATCH($B417,$B$5:$B$67,0))</f>
        <v>320</v>
      </c>
      <c r="F417" s="25">
        <f t="array" ref="F417">INDEX(E$5:E$67,MATCH($B417,$B$5:$B$67,0))</f>
        <v>1836</v>
      </c>
      <c r="G417" s="25">
        <f t="array" ref="G417">INDEX(F$5:F$67,MATCH($B417,$B$5:$B$67,0))</f>
        <v>146.88</v>
      </c>
      <c r="H417" s="25">
        <f t="array" ref="H417">INDEX(G$5:G$66,MATCH($B417,$B$5:$B$67,0))</f>
        <v>1440</v>
      </c>
      <c r="I417" s="25">
        <f t="array" ref="I417">INDEX(H$5:H$67,MATCH($B417,$B$5:$B$67,0))</f>
        <v>115.2</v>
      </c>
      <c r="J417" s="25">
        <f t="array" ref="J417">INDEX(I$5:I$67,MATCH($B417,$B$5:$B$67,0))</f>
        <v>980</v>
      </c>
      <c r="K417" s="25">
        <f t="array" ref="K417">INDEX(J$5:J$67,MATCH($B417,$B$5:$B$67,0))</f>
        <v>78.4</v>
      </c>
      <c r="L417" s="25">
        <f t="shared" si="545"/>
        <v>16480</v>
      </c>
      <c r="M417" s="25">
        <f t="shared" si="546"/>
        <v>7564</v>
      </c>
      <c r="N417" s="25">
        <f t="shared" si="547"/>
        <v>5933</v>
      </c>
      <c r="O417" s="25">
        <f t="shared" si="548"/>
        <v>4038</v>
      </c>
      <c r="R417" s="50">
        <f t="array" ref="R417">INDEX($B$46:$B$68,MATCH(S417,$C$46:$C$68,0))*1000+T417</f>
        <v>1014015</v>
      </c>
      <c r="S417" s="51" t="s">
        <v>341</v>
      </c>
      <c r="T417" s="29">
        <f t="shared" si="543"/>
        <v>15</v>
      </c>
      <c r="U417" s="25">
        <f t="array" ref="U417">INDEX(K$5:K$67,MATCH($S417,$B$5:$B$67,0))</f>
        <v>357.84</v>
      </c>
      <c r="V417" s="25">
        <f t="array" ref="V417">INDEX(L$5:L$67,MATCH($S417,$B$5:$B$67,0))</f>
        <v>99.23</v>
      </c>
      <c r="W417" s="25">
        <f t="array" ref="W417">INDEX(M$5:M$67,MATCH($S417,$B$5:$B$67,0))</f>
        <v>77.82</v>
      </c>
      <c r="X417" s="25">
        <f t="array" ref="X417">INDEX(N$5:N$67,MATCH($S417,$B$5:$B$67,0))</f>
        <v>66.64</v>
      </c>
      <c r="Y417" s="25">
        <f t="shared" si="549"/>
        <v>5368</v>
      </c>
      <c r="Z417" s="25">
        <f t="shared" si="550"/>
        <v>1488</v>
      </c>
      <c r="AA417" s="25">
        <f t="shared" si="551"/>
        <v>1167</v>
      </c>
      <c r="AB417" s="25">
        <f t="shared" si="552"/>
        <v>1000</v>
      </c>
    </row>
    <row r="418" spans="1:28">
      <c r="A418" s="53">
        <v>1006040</v>
      </c>
      <c r="B418" s="49" t="s">
        <v>328</v>
      </c>
      <c r="C418" s="25">
        <f t="shared" si="544"/>
        <v>40</v>
      </c>
      <c r="D418" s="25">
        <f t="array" ref="D418">INDEX(C$5:C$67,MATCH($B418,$B$5:$B$67,0))</f>
        <v>4000</v>
      </c>
      <c r="E418" s="25">
        <f t="array" ref="E418">INDEX(D$5:D$67,MATCH($B418,$B$5:$B$67,0))</f>
        <v>320</v>
      </c>
      <c r="F418" s="25">
        <f t="array" ref="F418">INDEX(E$5:E$67,MATCH($B418,$B$5:$B$67,0))</f>
        <v>1836</v>
      </c>
      <c r="G418" s="25">
        <f t="array" ref="G418">INDEX(F$5:F$67,MATCH($B418,$B$5:$B$67,0))</f>
        <v>146.88</v>
      </c>
      <c r="H418" s="25">
        <f t="array" ref="H418">INDEX(G$5:G$66,MATCH($B418,$B$5:$B$67,0))</f>
        <v>1440</v>
      </c>
      <c r="I418" s="25">
        <f t="array" ref="I418">INDEX(H$5:H$67,MATCH($B418,$B$5:$B$67,0))</f>
        <v>115.2</v>
      </c>
      <c r="J418" s="25">
        <f t="array" ref="J418">INDEX(I$5:I$67,MATCH($B418,$B$5:$B$67,0))</f>
        <v>980</v>
      </c>
      <c r="K418" s="25">
        <f t="array" ref="K418">INDEX(J$5:J$67,MATCH($B418,$B$5:$B$67,0))</f>
        <v>78.4</v>
      </c>
      <c r="L418" s="25">
        <f t="shared" si="545"/>
        <v>16800</v>
      </c>
      <c r="M418" s="25">
        <f t="shared" si="546"/>
        <v>7711</v>
      </c>
      <c r="N418" s="25">
        <f t="shared" si="547"/>
        <v>6048</v>
      </c>
      <c r="O418" s="25">
        <f t="shared" si="548"/>
        <v>4116</v>
      </c>
      <c r="R418" s="50">
        <f t="array" ref="R418">INDEX($B$46:$B$68,MATCH(S418,$C$46:$C$68,0))*1000+T418</f>
        <v>1014016</v>
      </c>
      <c r="S418" s="51" t="s">
        <v>341</v>
      </c>
      <c r="T418" s="29">
        <f t="shared" si="543"/>
        <v>16</v>
      </c>
      <c r="U418" s="25">
        <f t="array" ref="U418">INDEX(K$5:K$67,MATCH($S418,$B$5:$B$67,0))</f>
        <v>357.84</v>
      </c>
      <c r="V418" s="25">
        <f t="array" ref="V418">INDEX(L$5:L$67,MATCH($S418,$B$5:$B$67,0))</f>
        <v>99.23</v>
      </c>
      <c r="W418" s="25">
        <f t="array" ref="W418">INDEX(M$5:M$67,MATCH($S418,$B$5:$B$67,0))</f>
        <v>77.82</v>
      </c>
      <c r="X418" s="25">
        <f t="array" ref="X418">INDEX(N$5:N$67,MATCH($S418,$B$5:$B$67,0))</f>
        <v>66.64</v>
      </c>
      <c r="Y418" s="25">
        <f t="shared" si="549"/>
        <v>5725</v>
      </c>
      <c r="Z418" s="25">
        <f t="shared" si="550"/>
        <v>1588</v>
      </c>
      <c r="AA418" s="25">
        <f t="shared" si="551"/>
        <v>1245</v>
      </c>
      <c r="AB418" s="25">
        <f t="shared" si="552"/>
        <v>1066</v>
      </c>
    </row>
    <row r="419" spans="1:28">
      <c r="A419" s="53">
        <v>1006041</v>
      </c>
      <c r="B419" s="49" t="s">
        <v>328</v>
      </c>
      <c r="C419" s="25">
        <f t="shared" si="544"/>
        <v>41</v>
      </c>
      <c r="D419" s="25">
        <f t="array" ref="D419">INDEX(C$5:C$67,MATCH($B419,$B$5:$B$67,0))</f>
        <v>4000</v>
      </c>
      <c r="E419" s="25">
        <f t="array" ref="E419">INDEX(D$5:D$67,MATCH($B419,$B$5:$B$67,0))</f>
        <v>320</v>
      </c>
      <c r="F419" s="25">
        <f t="array" ref="F419">INDEX(E$5:E$67,MATCH($B419,$B$5:$B$67,0))</f>
        <v>1836</v>
      </c>
      <c r="G419" s="25">
        <f t="array" ref="G419">INDEX(F$5:F$67,MATCH($B419,$B$5:$B$67,0))</f>
        <v>146.88</v>
      </c>
      <c r="H419" s="25">
        <f t="array" ref="H419">INDEX(G$5:G$66,MATCH($B419,$B$5:$B$67,0))</f>
        <v>1440</v>
      </c>
      <c r="I419" s="25">
        <f t="array" ref="I419">INDEX(H$5:H$67,MATCH($B419,$B$5:$B$67,0))</f>
        <v>115.2</v>
      </c>
      <c r="J419" s="25">
        <f t="array" ref="J419">INDEX(I$5:I$67,MATCH($B419,$B$5:$B$67,0))</f>
        <v>980</v>
      </c>
      <c r="K419" s="25">
        <f t="array" ref="K419">INDEX(J$5:J$67,MATCH($B419,$B$5:$B$67,0))</f>
        <v>78.4</v>
      </c>
      <c r="L419" s="25">
        <f t="shared" si="545"/>
        <v>17120</v>
      </c>
      <c r="M419" s="25">
        <f t="shared" si="546"/>
        <v>7858</v>
      </c>
      <c r="N419" s="25">
        <f t="shared" si="547"/>
        <v>6163</v>
      </c>
      <c r="O419" s="25">
        <f t="shared" si="548"/>
        <v>4194</v>
      </c>
      <c r="R419" s="50">
        <f t="array" ref="R419">INDEX($B$46:$B$68,MATCH(S419,$C$46:$C$68,0))*1000+T419</f>
        <v>1014017</v>
      </c>
      <c r="S419" s="51" t="s">
        <v>341</v>
      </c>
      <c r="T419" s="29">
        <f t="shared" si="543"/>
        <v>17</v>
      </c>
      <c r="U419" s="25">
        <f t="array" ref="U419">INDEX(K$5:K$67,MATCH($S419,$B$5:$B$67,0))</f>
        <v>357.84</v>
      </c>
      <c r="V419" s="25">
        <f t="array" ref="V419">INDEX(L$5:L$67,MATCH($S419,$B$5:$B$67,0))</f>
        <v>99.23</v>
      </c>
      <c r="W419" s="25">
        <f t="array" ref="W419">INDEX(M$5:M$67,MATCH($S419,$B$5:$B$67,0))</f>
        <v>77.82</v>
      </c>
      <c r="X419" s="25">
        <f t="array" ref="X419">INDEX(N$5:N$67,MATCH($S419,$B$5:$B$67,0))</f>
        <v>66.64</v>
      </c>
      <c r="Y419" s="25">
        <f t="shared" si="549"/>
        <v>6083</v>
      </c>
      <c r="Z419" s="25">
        <f t="shared" si="550"/>
        <v>1687</v>
      </c>
      <c r="AA419" s="25">
        <f t="shared" si="551"/>
        <v>1323</v>
      </c>
      <c r="AB419" s="25">
        <f t="shared" si="552"/>
        <v>1133</v>
      </c>
    </row>
    <row r="420" spans="1:28">
      <c r="A420" s="53">
        <v>1006042</v>
      </c>
      <c r="B420" s="49" t="s">
        <v>328</v>
      </c>
      <c r="C420" s="25">
        <f t="shared" si="544"/>
        <v>42</v>
      </c>
      <c r="D420" s="25">
        <f t="array" ref="D420">INDEX(C$5:C$67,MATCH($B420,$B$5:$B$67,0))</f>
        <v>4000</v>
      </c>
      <c r="E420" s="25">
        <f t="array" ref="E420">INDEX(D$5:D$67,MATCH($B420,$B$5:$B$67,0))</f>
        <v>320</v>
      </c>
      <c r="F420" s="25">
        <f t="array" ref="F420">INDEX(E$5:E$67,MATCH($B420,$B$5:$B$67,0))</f>
        <v>1836</v>
      </c>
      <c r="G420" s="25">
        <f t="array" ref="G420">INDEX(F$5:F$67,MATCH($B420,$B$5:$B$67,0))</f>
        <v>146.88</v>
      </c>
      <c r="H420" s="25">
        <f t="array" ref="H420">INDEX(G$5:G$66,MATCH($B420,$B$5:$B$67,0))</f>
        <v>1440</v>
      </c>
      <c r="I420" s="25">
        <f t="array" ref="I420">INDEX(H$5:H$67,MATCH($B420,$B$5:$B$67,0))</f>
        <v>115.2</v>
      </c>
      <c r="J420" s="25">
        <f t="array" ref="J420">INDEX(I$5:I$67,MATCH($B420,$B$5:$B$67,0))</f>
        <v>980</v>
      </c>
      <c r="K420" s="25">
        <f t="array" ref="K420">INDEX(J$5:J$67,MATCH($B420,$B$5:$B$67,0))</f>
        <v>78.4</v>
      </c>
      <c r="L420" s="25">
        <f t="shared" si="545"/>
        <v>17440</v>
      </c>
      <c r="M420" s="25">
        <f t="shared" si="546"/>
        <v>8005</v>
      </c>
      <c r="N420" s="25">
        <f t="shared" si="547"/>
        <v>6278</v>
      </c>
      <c r="O420" s="25">
        <f t="shared" si="548"/>
        <v>4273</v>
      </c>
      <c r="R420" s="50">
        <f t="array" ref="R420">INDEX($B$46:$B$68,MATCH(S420,$C$46:$C$68,0))*1000+T420</f>
        <v>1014018</v>
      </c>
      <c r="S420" s="51" t="s">
        <v>341</v>
      </c>
      <c r="T420" s="29">
        <f t="shared" si="543"/>
        <v>18</v>
      </c>
      <c r="U420" s="25">
        <f t="array" ref="U420">INDEX(K$5:K$67,MATCH($S420,$B$5:$B$67,0))</f>
        <v>357.84</v>
      </c>
      <c r="V420" s="25">
        <f t="array" ref="V420">INDEX(L$5:L$67,MATCH($S420,$B$5:$B$67,0))</f>
        <v>99.23</v>
      </c>
      <c r="W420" s="25">
        <f t="array" ref="W420">INDEX(M$5:M$67,MATCH($S420,$B$5:$B$67,0))</f>
        <v>77.82</v>
      </c>
      <c r="X420" s="25">
        <f t="array" ref="X420">INDEX(N$5:N$67,MATCH($S420,$B$5:$B$67,0))</f>
        <v>66.64</v>
      </c>
      <c r="Y420" s="25">
        <f t="shared" si="549"/>
        <v>6441</v>
      </c>
      <c r="Z420" s="25">
        <f t="shared" si="550"/>
        <v>1786</v>
      </c>
      <c r="AA420" s="25">
        <f t="shared" si="551"/>
        <v>1401</v>
      </c>
      <c r="AB420" s="25">
        <f t="shared" si="552"/>
        <v>1200</v>
      </c>
    </row>
    <row r="421" spans="1:28">
      <c r="A421" s="53">
        <v>1006043</v>
      </c>
      <c r="B421" s="49" t="s">
        <v>328</v>
      </c>
      <c r="C421" s="25">
        <f t="shared" si="544"/>
        <v>43</v>
      </c>
      <c r="D421" s="25">
        <f t="array" ref="D421">INDEX(C$5:C$67,MATCH($B421,$B$5:$B$67,0))</f>
        <v>4000</v>
      </c>
      <c r="E421" s="25">
        <f t="array" ref="E421">INDEX(D$5:D$67,MATCH($B421,$B$5:$B$67,0))</f>
        <v>320</v>
      </c>
      <c r="F421" s="25">
        <f t="array" ref="F421">INDEX(E$5:E$67,MATCH($B421,$B$5:$B$67,0))</f>
        <v>1836</v>
      </c>
      <c r="G421" s="25">
        <f t="array" ref="G421">INDEX(F$5:F$67,MATCH($B421,$B$5:$B$67,0))</f>
        <v>146.88</v>
      </c>
      <c r="H421" s="25">
        <f t="array" ref="H421">INDEX(G$5:G$66,MATCH($B421,$B$5:$B$67,0))</f>
        <v>1440</v>
      </c>
      <c r="I421" s="25">
        <f t="array" ref="I421">INDEX(H$5:H$67,MATCH($B421,$B$5:$B$67,0))</f>
        <v>115.2</v>
      </c>
      <c r="J421" s="25">
        <f t="array" ref="J421">INDEX(I$5:I$67,MATCH($B421,$B$5:$B$67,0))</f>
        <v>980</v>
      </c>
      <c r="K421" s="25">
        <f t="array" ref="K421">INDEX(J$5:J$67,MATCH($B421,$B$5:$B$67,0))</f>
        <v>78.4</v>
      </c>
      <c r="L421" s="25">
        <f t="shared" si="545"/>
        <v>17760</v>
      </c>
      <c r="M421" s="25">
        <f t="shared" si="546"/>
        <v>8152</v>
      </c>
      <c r="N421" s="25">
        <f t="shared" si="547"/>
        <v>6394</v>
      </c>
      <c r="O421" s="25">
        <f t="shared" si="548"/>
        <v>4351</v>
      </c>
      <c r="R421" s="50">
        <f t="array" ref="R421">INDEX($B$46:$B$68,MATCH(S421,$C$46:$C$68,0))*1000+T421</f>
        <v>1014019</v>
      </c>
      <c r="S421" s="51" t="s">
        <v>341</v>
      </c>
      <c r="T421" s="29">
        <f t="shared" si="543"/>
        <v>19</v>
      </c>
      <c r="U421" s="25">
        <f t="array" ref="U421">INDEX(K$5:K$67,MATCH($S421,$B$5:$B$67,0))</f>
        <v>357.84</v>
      </c>
      <c r="V421" s="25">
        <f t="array" ref="V421">INDEX(L$5:L$67,MATCH($S421,$B$5:$B$67,0))</f>
        <v>99.23</v>
      </c>
      <c r="W421" s="25">
        <f t="array" ref="W421">INDEX(M$5:M$67,MATCH($S421,$B$5:$B$67,0))</f>
        <v>77.82</v>
      </c>
      <c r="X421" s="25">
        <f t="array" ref="X421">INDEX(N$5:N$67,MATCH($S421,$B$5:$B$67,0))</f>
        <v>66.64</v>
      </c>
      <c r="Y421" s="25">
        <f t="shared" si="549"/>
        <v>6799</v>
      </c>
      <c r="Z421" s="25">
        <f t="shared" si="550"/>
        <v>1885</v>
      </c>
      <c r="AA421" s="25">
        <f t="shared" si="551"/>
        <v>1479</v>
      </c>
      <c r="AB421" s="25">
        <f t="shared" si="552"/>
        <v>1266</v>
      </c>
    </row>
    <row r="422" spans="1:28">
      <c r="A422" s="53">
        <v>1006044</v>
      </c>
      <c r="B422" s="49" t="s">
        <v>328</v>
      </c>
      <c r="C422" s="25">
        <f t="shared" si="544"/>
        <v>44</v>
      </c>
      <c r="D422" s="25">
        <f t="array" ref="D422">INDEX(C$5:C$67,MATCH($B422,$B$5:$B$67,0))</f>
        <v>4000</v>
      </c>
      <c r="E422" s="25">
        <f t="array" ref="E422">INDEX(D$5:D$67,MATCH($B422,$B$5:$B$67,0))</f>
        <v>320</v>
      </c>
      <c r="F422" s="25">
        <f t="array" ref="F422">INDEX(E$5:E$67,MATCH($B422,$B$5:$B$67,0))</f>
        <v>1836</v>
      </c>
      <c r="G422" s="25">
        <f t="array" ref="G422">INDEX(F$5:F$67,MATCH($B422,$B$5:$B$67,0))</f>
        <v>146.88</v>
      </c>
      <c r="H422" s="25">
        <f t="array" ref="H422">INDEX(G$5:G$66,MATCH($B422,$B$5:$B$67,0))</f>
        <v>1440</v>
      </c>
      <c r="I422" s="25">
        <f t="array" ref="I422">INDEX(H$5:H$67,MATCH($B422,$B$5:$B$67,0))</f>
        <v>115.2</v>
      </c>
      <c r="J422" s="25">
        <f t="array" ref="J422">INDEX(I$5:I$67,MATCH($B422,$B$5:$B$67,0))</f>
        <v>980</v>
      </c>
      <c r="K422" s="25">
        <f t="array" ref="K422">INDEX(J$5:J$67,MATCH($B422,$B$5:$B$67,0))</f>
        <v>78.4</v>
      </c>
      <c r="L422" s="25">
        <f t="shared" si="545"/>
        <v>18080</v>
      </c>
      <c r="M422" s="25">
        <f t="shared" si="546"/>
        <v>8299</v>
      </c>
      <c r="N422" s="25">
        <f t="shared" si="547"/>
        <v>6509</v>
      </c>
      <c r="O422" s="25">
        <f t="shared" si="548"/>
        <v>4430</v>
      </c>
      <c r="R422" s="50">
        <f t="array" ref="R422">INDEX($B$46:$B$68,MATCH(S422,$C$46:$C$68,0))*1000+T422</f>
        <v>1014020</v>
      </c>
      <c r="S422" s="51" t="s">
        <v>341</v>
      </c>
      <c r="T422" s="29">
        <f t="shared" si="543"/>
        <v>20</v>
      </c>
      <c r="U422" s="25">
        <f t="array" ref="U422">INDEX(K$5:K$67,MATCH($S422,$B$5:$B$67,0))</f>
        <v>357.84</v>
      </c>
      <c r="V422" s="25">
        <f t="array" ref="V422">INDEX(L$5:L$67,MATCH($S422,$B$5:$B$67,0))</f>
        <v>99.23</v>
      </c>
      <c r="W422" s="25">
        <f t="array" ref="W422">INDEX(M$5:M$67,MATCH($S422,$B$5:$B$67,0))</f>
        <v>77.82</v>
      </c>
      <c r="X422" s="25">
        <f t="array" ref="X422">INDEX(N$5:N$67,MATCH($S422,$B$5:$B$67,0))</f>
        <v>66.64</v>
      </c>
      <c r="Y422" s="25">
        <f t="shared" si="549"/>
        <v>7157</v>
      </c>
      <c r="Z422" s="25">
        <f t="shared" si="550"/>
        <v>1985</v>
      </c>
      <c r="AA422" s="25">
        <f t="shared" si="551"/>
        <v>1556</v>
      </c>
      <c r="AB422" s="25">
        <f t="shared" si="552"/>
        <v>1333</v>
      </c>
    </row>
    <row r="423" spans="1:28">
      <c r="A423" s="53">
        <v>1006045</v>
      </c>
      <c r="B423" s="49" t="s">
        <v>328</v>
      </c>
      <c r="C423" s="25">
        <f t="shared" si="544"/>
        <v>45</v>
      </c>
      <c r="D423" s="25">
        <f t="array" ref="D423">INDEX(C$5:C$67,MATCH($B423,$B$5:$B$67,0))</f>
        <v>4000</v>
      </c>
      <c r="E423" s="25">
        <f t="array" ref="E423">INDEX(D$5:D$67,MATCH($B423,$B$5:$B$67,0))</f>
        <v>320</v>
      </c>
      <c r="F423" s="25">
        <f t="array" ref="F423">INDEX(E$5:E$67,MATCH($B423,$B$5:$B$67,0))</f>
        <v>1836</v>
      </c>
      <c r="G423" s="25">
        <f t="array" ref="G423">INDEX(F$5:F$67,MATCH($B423,$B$5:$B$67,0))</f>
        <v>146.88</v>
      </c>
      <c r="H423" s="25">
        <f t="array" ref="H423">INDEX(G$5:G$66,MATCH($B423,$B$5:$B$67,0))</f>
        <v>1440</v>
      </c>
      <c r="I423" s="25">
        <f t="array" ref="I423">INDEX(H$5:H$67,MATCH($B423,$B$5:$B$67,0))</f>
        <v>115.2</v>
      </c>
      <c r="J423" s="25">
        <f t="array" ref="J423">INDEX(I$5:I$67,MATCH($B423,$B$5:$B$67,0))</f>
        <v>980</v>
      </c>
      <c r="K423" s="25">
        <f t="array" ref="K423">INDEX(J$5:J$67,MATCH($B423,$B$5:$B$67,0))</f>
        <v>78.4</v>
      </c>
      <c r="L423" s="25">
        <f t="shared" si="545"/>
        <v>18400</v>
      </c>
      <c r="M423" s="25">
        <f t="shared" si="546"/>
        <v>8446</v>
      </c>
      <c r="N423" s="25">
        <f t="shared" si="547"/>
        <v>6624</v>
      </c>
      <c r="O423" s="25">
        <f t="shared" si="548"/>
        <v>4508</v>
      </c>
      <c r="R423" s="50">
        <f t="array" ref="R423">INDEX($B$46:$B$68,MATCH(S423,$C$46:$C$68,0))*1000+T423</f>
        <v>1014021</v>
      </c>
      <c r="S423" s="51" t="s">
        <v>341</v>
      </c>
      <c r="T423" s="29">
        <f t="shared" si="543"/>
        <v>21</v>
      </c>
      <c r="U423" s="25">
        <f t="array" ref="U423">INDEX(K$5:K$67,MATCH($S423,$B$5:$B$67,0))</f>
        <v>357.84</v>
      </c>
      <c r="V423" s="25">
        <f t="array" ref="V423">INDEX(L$5:L$67,MATCH($S423,$B$5:$B$67,0))</f>
        <v>99.23</v>
      </c>
      <c r="W423" s="25">
        <f t="array" ref="W423">INDEX(M$5:M$67,MATCH($S423,$B$5:$B$67,0))</f>
        <v>77.82</v>
      </c>
      <c r="X423" s="25">
        <f t="array" ref="X423">INDEX(N$5:N$67,MATCH($S423,$B$5:$B$67,0))</f>
        <v>66.64</v>
      </c>
      <c r="Y423" s="25">
        <f t="shared" si="549"/>
        <v>7515</v>
      </c>
      <c r="Z423" s="25">
        <f t="shared" si="550"/>
        <v>2084</v>
      </c>
      <c r="AA423" s="25">
        <f t="shared" si="551"/>
        <v>1634</v>
      </c>
      <c r="AB423" s="25">
        <f t="shared" si="552"/>
        <v>1399</v>
      </c>
    </row>
    <row r="424" spans="1:28">
      <c r="A424" s="53">
        <v>1006046</v>
      </c>
      <c r="B424" s="49" t="s">
        <v>328</v>
      </c>
      <c r="C424" s="25">
        <f t="shared" si="544"/>
        <v>46</v>
      </c>
      <c r="D424" s="25">
        <f t="array" ref="D424">INDEX(C$5:C$67,MATCH($B424,$B$5:$B$67,0))</f>
        <v>4000</v>
      </c>
      <c r="E424" s="25">
        <f t="array" ref="E424">INDEX(D$5:D$67,MATCH($B424,$B$5:$B$67,0))</f>
        <v>320</v>
      </c>
      <c r="F424" s="25">
        <f t="array" ref="F424">INDEX(E$5:E$67,MATCH($B424,$B$5:$B$67,0))</f>
        <v>1836</v>
      </c>
      <c r="G424" s="25">
        <f t="array" ref="G424">INDEX(F$5:F$67,MATCH($B424,$B$5:$B$67,0))</f>
        <v>146.88</v>
      </c>
      <c r="H424" s="25">
        <f t="array" ref="H424">INDEX(G$5:G$66,MATCH($B424,$B$5:$B$67,0))</f>
        <v>1440</v>
      </c>
      <c r="I424" s="25">
        <f t="array" ref="I424">INDEX(H$5:H$67,MATCH($B424,$B$5:$B$67,0))</f>
        <v>115.2</v>
      </c>
      <c r="J424" s="25">
        <f t="array" ref="J424">INDEX(I$5:I$67,MATCH($B424,$B$5:$B$67,0))</f>
        <v>980</v>
      </c>
      <c r="K424" s="25">
        <f t="array" ref="K424">INDEX(J$5:J$67,MATCH($B424,$B$5:$B$67,0))</f>
        <v>78.4</v>
      </c>
      <c r="L424" s="25">
        <f t="shared" si="545"/>
        <v>18720</v>
      </c>
      <c r="M424" s="25">
        <f t="shared" si="546"/>
        <v>8592</v>
      </c>
      <c r="N424" s="25">
        <f t="shared" si="547"/>
        <v>6739</v>
      </c>
      <c r="O424" s="25">
        <f t="shared" si="548"/>
        <v>4586</v>
      </c>
      <c r="R424" s="50">
        <f t="array" ref="R424">INDEX($B$46:$B$68,MATCH(S424,$C$46:$C$68,0))*1000+T424</f>
        <v>1014022</v>
      </c>
      <c r="S424" s="51" t="s">
        <v>341</v>
      </c>
      <c r="T424" s="29">
        <f t="shared" si="543"/>
        <v>22</v>
      </c>
      <c r="U424" s="25">
        <f t="array" ref="U424">INDEX(K$5:K$67,MATCH($S424,$B$5:$B$67,0))</f>
        <v>357.84</v>
      </c>
      <c r="V424" s="25">
        <f t="array" ref="V424">INDEX(L$5:L$67,MATCH($S424,$B$5:$B$67,0))</f>
        <v>99.23</v>
      </c>
      <c r="W424" s="25">
        <f t="array" ref="W424">INDEX(M$5:M$67,MATCH($S424,$B$5:$B$67,0))</f>
        <v>77.82</v>
      </c>
      <c r="X424" s="25">
        <f t="array" ref="X424">INDEX(N$5:N$67,MATCH($S424,$B$5:$B$67,0))</f>
        <v>66.64</v>
      </c>
      <c r="Y424" s="25">
        <f t="shared" si="549"/>
        <v>7872</v>
      </c>
      <c r="Z424" s="25">
        <f t="shared" si="550"/>
        <v>2183</v>
      </c>
      <c r="AA424" s="25">
        <f t="shared" si="551"/>
        <v>1712</v>
      </c>
      <c r="AB424" s="25">
        <f t="shared" si="552"/>
        <v>1466</v>
      </c>
    </row>
    <row r="425" spans="1:28">
      <c r="A425" s="53">
        <v>1006047</v>
      </c>
      <c r="B425" s="49" t="s">
        <v>328</v>
      </c>
      <c r="C425" s="25">
        <f t="shared" si="544"/>
        <v>47</v>
      </c>
      <c r="D425" s="25">
        <f t="array" ref="D425">INDEX(C$5:C$67,MATCH($B425,$B$5:$B$67,0))</f>
        <v>4000</v>
      </c>
      <c r="E425" s="25">
        <f t="array" ref="E425">INDEX(D$5:D$67,MATCH($B425,$B$5:$B$67,0))</f>
        <v>320</v>
      </c>
      <c r="F425" s="25">
        <f t="array" ref="F425">INDEX(E$5:E$67,MATCH($B425,$B$5:$B$67,0))</f>
        <v>1836</v>
      </c>
      <c r="G425" s="25">
        <f t="array" ref="G425">INDEX(F$5:F$67,MATCH($B425,$B$5:$B$67,0))</f>
        <v>146.88</v>
      </c>
      <c r="H425" s="25">
        <f t="array" ref="H425">INDEX(G$5:G$66,MATCH($B425,$B$5:$B$67,0))</f>
        <v>1440</v>
      </c>
      <c r="I425" s="25">
        <f t="array" ref="I425">INDEX(H$5:H$67,MATCH($B425,$B$5:$B$67,0))</f>
        <v>115.2</v>
      </c>
      <c r="J425" s="25">
        <f t="array" ref="J425">INDEX(I$5:I$67,MATCH($B425,$B$5:$B$67,0))</f>
        <v>980</v>
      </c>
      <c r="K425" s="25">
        <f t="array" ref="K425">INDEX(J$5:J$67,MATCH($B425,$B$5:$B$67,0))</f>
        <v>78.4</v>
      </c>
      <c r="L425" s="25">
        <f t="shared" si="545"/>
        <v>19040</v>
      </c>
      <c r="M425" s="25">
        <f t="shared" si="546"/>
        <v>8739</v>
      </c>
      <c r="N425" s="25">
        <f t="shared" si="547"/>
        <v>6854</v>
      </c>
      <c r="O425" s="25">
        <f t="shared" si="548"/>
        <v>4665</v>
      </c>
      <c r="R425" s="50">
        <f t="array" ref="R425">INDEX($B$46:$B$68,MATCH(S425,$C$46:$C$68,0))*1000+T425</f>
        <v>1014023</v>
      </c>
      <c r="S425" s="51" t="s">
        <v>341</v>
      </c>
      <c r="T425" s="29">
        <f t="shared" si="543"/>
        <v>23</v>
      </c>
      <c r="U425" s="25">
        <f t="array" ref="U425">INDEX(K$5:K$67,MATCH($S425,$B$5:$B$67,0))</f>
        <v>357.84</v>
      </c>
      <c r="V425" s="25">
        <f t="array" ref="V425">INDEX(L$5:L$67,MATCH($S425,$B$5:$B$67,0))</f>
        <v>99.23</v>
      </c>
      <c r="W425" s="25">
        <f t="array" ref="W425">INDEX(M$5:M$67,MATCH($S425,$B$5:$B$67,0))</f>
        <v>77.82</v>
      </c>
      <c r="X425" s="25">
        <f t="array" ref="X425">INDEX(N$5:N$67,MATCH($S425,$B$5:$B$67,0))</f>
        <v>66.64</v>
      </c>
      <c r="Y425" s="25">
        <f t="shared" si="549"/>
        <v>8230</v>
      </c>
      <c r="Z425" s="25">
        <f t="shared" si="550"/>
        <v>2282</v>
      </c>
      <c r="AA425" s="25">
        <f t="shared" si="551"/>
        <v>1790</v>
      </c>
      <c r="AB425" s="25">
        <f t="shared" si="552"/>
        <v>1533</v>
      </c>
    </row>
    <row r="426" spans="1:28">
      <c r="A426" s="53">
        <v>1006048</v>
      </c>
      <c r="B426" s="49" t="s">
        <v>328</v>
      </c>
      <c r="C426" s="25">
        <f t="shared" si="544"/>
        <v>48</v>
      </c>
      <c r="D426" s="25">
        <f t="array" ref="D426">INDEX(C$5:C$67,MATCH($B426,$B$5:$B$67,0))</f>
        <v>4000</v>
      </c>
      <c r="E426" s="25">
        <f t="array" ref="E426">INDEX(D$5:D$67,MATCH($B426,$B$5:$B$67,0))</f>
        <v>320</v>
      </c>
      <c r="F426" s="25">
        <f t="array" ref="F426">INDEX(E$5:E$67,MATCH($B426,$B$5:$B$67,0))</f>
        <v>1836</v>
      </c>
      <c r="G426" s="25">
        <f t="array" ref="G426">INDEX(F$5:F$67,MATCH($B426,$B$5:$B$67,0))</f>
        <v>146.88</v>
      </c>
      <c r="H426" s="25">
        <f t="array" ref="H426">INDEX(G$5:G$66,MATCH($B426,$B$5:$B$67,0))</f>
        <v>1440</v>
      </c>
      <c r="I426" s="25">
        <f t="array" ref="I426">INDEX(H$5:H$67,MATCH($B426,$B$5:$B$67,0))</f>
        <v>115.2</v>
      </c>
      <c r="J426" s="25">
        <f t="array" ref="J426">INDEX(I$5:I$67,MATCH($B426,$B$5:$B$67,0))</f>
        <v>980</v>
      </c>
      <c r="K426" s="25">
        <f t="array" ref="K426">INDEX(J$5:J$67,MATCH($B426,$B$5:$B$67,0))</f>
        <v>78.4</v>
      </c>
      <c r="L426" s="25">
        <f t="shared" si="545"/>
        <v>19360</v>
      </c>
      <c r="M426" s="25">
        <f t="shared" si="546"/>
        <v>8886</v>
      </c>
      <c r="N426" s="25">
        <f t="shared" si="547"/>
        <v>6970</v>
      </c>
      <c r="O426" s="25">
        <f t="shared" si="548"/>
        <v>4743</v>
      </c>
      <c r="R426" s="50">
        <f t="array" ref="R426">INDEX($B$46:$B$68,MATCH(S426,$C$46:$C$68,0))*1000+T426</f>
        <v>1014024</v>
      </c>
      <c r="S426" s="51" t="s">
        <v>341</v>
      </c>
      <c r="T426" s="29">
        <f t="shared" ref="T426:T489" si="553">T399</f>
        <v>24</v>
      </c>
      <c r="U426" s="25">
        <f t="array" ref="U426">INDEX(K$5:K$67,MATCH($S426,$B$5:$B$67,0))</f>
        <v>357.84</v>
      </c>
      <c r="V426" s="25">
        <f t="array" ref="V426">INDEX(L$5:L$67,MATCH($S426,$B$5:$B$67,0))</f>
        <v>99.23</v>
      </c>
      <c r="W426" s="25">
        <f t="array" ref="W426">INDEX(M$5:M$67,MATCH($S426,$B$5:$B$67,0))</f>
        <v>77.82</v>
      </c>
      <c r="X426" s="25">
        <f t="array" ref="X426">INDEX(N$5:N$67,MATCH($S426,$B$5:$B$67,0))</f>
        <v>66.64</v>
      </c>
      <c r="Y426" s="25">
        <f t="shared" si="549"/>
        <v>8588</v>
      </c>
      <c r="Z426" s="25">
        <f t="shared" si="550"/>
        <v>2382</v>
      </c>
      <c r="AA426" s="25">
        <f t="shared" si="551"/>
        <v>1868</v>
      </c>
      <c r="AB426" s="25">
        <f t="shared" si="552"/>
        <v>1599</v>
      </c>
    </row>
    <row r="427" spans="1:28">
      <c r="A427" s="53">
        <v>1006049</v>
      </c>
      <c r="B427" s="49" t="s">
        <v>328</v>
      </c>
      <c r="C427" s="25">
        <f t="shared" si="544"/>
        <v>49</v>
      </c>
      <c r="D427" s="25">
        <f t="array" ref="D427">INDEX(C$5:C$67,MATCH($B427,$B$5:$B$67,0))</f>
        <v>4000</v>
      </c>
      <c r="E427" s="25">
        <f t="array" ref="E427">INDEX(D$5:D$67,MATCH($B427,$B$5:$B$67,0))</f>
        <v>320</v>
      </c>
      <c r="F427" s="25">
        <f t="array" ref="F427">INDEX(E$5:E$67,MATCH($B427,$B$5:$B$67,0))</f>
        <v>1836</v>
      </c>
      <c r="G427" s="25">
        <f t="array" ref="G427">INDEX(F$5:F$67,MATCH($B427,$B$5:$B$67,0))</f>
        <v>146.88</v>
      </c>
      <c r="H427" s="25">
        <f t="array" ref="H427">INDEX(G$5:G$66,MATCH($B427,$B$5:$B$67,0))</f>
        <v>1440</v>
      </c>
      <c r="I427" s="25">
        <f t="array" ref="I427">INDEX(H$5:H$67,MATCH($B427,$B$5:$B$67,0))</f>
        <v>115.2</v>
      </c>
      <c r="J427" s="25">
        <f t="array" ref="J427">INDEX(I$5:I$67,MATCH($B427,$B$5:$B$67,0))</f>
        <v>980</v>
      </c>
      <c r="K427" s="25">
        <f t="array" ref="K427">INDEX(J$5:J$67,MATCH($B427,$B$5:$B$67,0))</f>
        <v>78.4</v>
      </c>
      <c r="L427" s="25">
        <f t="shared" si="545"/>
        <v>19680</v>
      </c>
      <c r="M427" s="25">
        <f t="shared" si="546"/>
        <v>9033</v>
      </c>
      <c r="N427" s="25">
        <f t="shared" si="547"/>
        <v>7085</v>
      </c>
      <c r="O427" s="25">
        <f t="shared" si="548"/>
        <v>4822</v>
      </c>
      <c r="R427" s="50">
        <f t="array" ref="R427">INDEX($B$46:$B$68,MATCH(S427,$C$46:$C$68,0))*1000+T427</f>
        <v>1014025</v>
      </c>
      <c r="S427" s="51" t="s">
        <v>341</v>
      </c>
      <c r="T427" s="29">
        <f t="shared" si="553"/>
        <v>25</v>
      </c>
      <c r="U427" s="25">
        <f t="array" ref="U427">INDEX(K$5:K$67,MATCH($S427,$B$5:$B$67,0))</f>
        <v>357.84</v>
      </c>
      <c r="V427" s="25">
        <f t="array" ref="V427">INDEX(L$5:L$67,MATCH($S427,$B$5:$B$67,0))</f>
        <v>99.23</v>
      </c>
      <c r="W427" s="25">
        <f t="array" ref="W427">INDEX(M$5:M$67,MATCH($S427,$B$5:$B$67,0))</f>
        <v>77.82</v>
      </c>
      <c r="X427" s="25">
        <f t="array" ref="X427">INDEX(N$5:N$67,MATCH($S427,$B$5:$B$67,0))</f>
        <v>66.64</v>
      </c>
      <c r="Y427" s="25">
        <f t="shared" si="549"/>
        <v>8946</v>
      </c>
      <c r="Z427" s="25">
        <f t="shared" si="550"/>
        <v>2481</v>
      </c>
      <c r="AA427" s="25">
        <f t="shared" si="551"/>
        <v>1946</v>
      </c>
      <c r="AB427" s="25">
        <f t="shared" si="552"/>
        <v>1666</v>
      </c>
    </row>
    <row r="428" spans="1:28">
      <c r="A428" s="53">
        <v>1006050</v>
      </c>
      <c r="B428" s="49" t="s">
        <v>328</v>
      </c>
      <c r="C428" s="25">
        <f t="shared" si="544"/>
        <v>50</v>
      </c>
      <c r="D428" s="25">
        <f t="array" ref="D428">INDEX(C$5:C$67,MATCH($B428,$B$5:$B$67,0))</f>
        <v>4000</v>
      </c>
      <c r="E428" s="25">
        <f t="array" ref="E428">INDEX(D$5:D$67,MATCH($B428,$B$5:$B$67,0))</f>
        <v>320</v>
      </c>
      <c r="F428" s="25">
        <f t="array" ref="F428">INDEX(E$5:E$67,MATCH($B428,$B$5:$B$67,0))</f>
        <v>1836</v>
      </c>
      <c r="G428" s="25">
        <f t="array" ref="G428">INDEX(F$5:F$67,MATCH($B428,$B$5:$B$67,0))</f>
        <v>146.88</v>
      </c>
      <c r="H428" s="25">
        <f t="array" ref="H428">INDEX(G$5:G$66,MATCH($B428,$B$5:$B$67,0))</f>
        <v>1440</v>
      </c>
      <c r="I428" s="25">
        <f t="array" ref="I428">INDEX(H$5:H$67,MATCH($B428,$B$5:$B$67,0))</f>
        <v>115.2</v>
      </c>
      <c r="J428" s="25">
        <f t="array" ref="J428">INDEX(I$5:I$67,MATCH($B428,$B$5:$B$67,0))</f>
        <v>980</v>
      </c>
      <c r="K428" s="25">
        <f t="array" ref="K428">INDEX(J$5:J$67,MATCH($B428,$B$5:$B$67,0))</f>
        <v>78.4</v>
      </c>
      <c r="L428" s="25">
        <f t="shared" si="545"/>
        <v>20000</v>
      </c>
      <c r="M428" s="25">
        <f t="shared" si="546"/>
        <v>9180</v>
      </c>
      <c r="N428" s="25">
        <f t="shared" si="547"/>
        <v>7200</v>
      </c>
      <c r="O428" s="25">
        <f t="shared" si="548"/>
        <v>4900</v>
      </c>
      <c r="R428" s="50">
        <f t="array" ref="R428">INDEX($B$46:$B$68,MATCH(S428,$C$46:$C$68,0))*1000+T428</f>
        <v>1014026</v>
      </c>
      <c r="S428" s="51" t="s">
        <v>341</v>
      </c>
      <c r="T428" s="29">
        <f t="shared" si="553"/>
        <v>26</v>
      </c>
      <c r="U428" s="25">
        <f t="array" ref="U428">INDEX(K$5:K$67,MATCH($S428,$B$5:$B$67,0))</f>
        <v>357.84</v>
      </c>
      <c r="V428" s="25">
        <f t="array" ref="V428">INDEX(L$5:L$67,MATCH($S428,$B$5:$B$67,0))</f>
        <v>99.23</v>
      </c>
      <c r="W428" s="25">
        <f t="array" ref="W428">INDEX(M$5:M$67,MATCH($S428,$B$5:$B$67,0))</f>
        <v>77.82</v>
      </c>
      <c r="X428" s="25">
        <f t="array" ref="X428">INDEX(N$5:N$67,MATCH($S428,$B$5:$B$67,0))</f>
        <v>66.64</v>
      </c>
      <c r="Y428" s="25">
        <f t="shared" si="549"/>
        <v>9304</v>
      </c>
      <c r="Z428" s="25">
        <f t="shared" si="550"/>
        <v>2580</v>
      </c>
      <c r="AA428" s="25">
        <f t="shared" si="551"/>
        <v>2023</v>
      </c>
      <c r="AB428" s="25">
        <f t="shared" si="552"/>
        <v>1733</v>
      </c>
    </row>
    <row r="429" spans="1:28">
      <c r="A429" s="53">
        <v>1006051</v>
      </c>
      <c r="B429" s="49" t="s">
        <v>328</v>
      </c>
      <c r="C429" s="25">
        <f t="shared" si="544"/>
        <v>51</v>
      </c>
      <c r="D429" s="25">
        <f t="array" ref="D429">INDEX(C$5:C$67,MATCH($B429,$B$5:$B$67,0))</f>
        <v>4000</v>
      </c>
      <c r="E429" s="25">
        <f t="array" ref="E429">INDEX(D$5:D$67,MATCH($B429,$B$5:$B$67,0))</f>
        <v>320</v>
      </c>
      <c r="F429" s="25">
        <f t="array" ref="F429">INDEX(E$5:E$67,MATCH($B429,$B$5:$B$67,0))</f>
        <v>1836</v>
      </c>
      <c r="G429" s="25">
        <f t="array" ref="G429">INDEX(F$5:F$67,MATCH($B429,$B$5:$B$67,0))</f>
        <v>146.88</v>
      </c>
      <c r="H429" s="25">
        <f t="array" ref="H429">INDEX(G$5:G$66,MATCH($B429,$B$5:$B$67,0))</f>
        <v>1440</v>
      </c>
      <c r="I429" s="25">
        <f t="array" ref="I429">INDEX(H$5:H$67,MATCH($B429,$B$5:$B$67,0))</f>
        <v>115.2</v>
      </c>
      <c r="J429" s="25">
        <f t="array" ref="J429">INDEX(I$5:I$67,MATCH($B429,$B$5:$B$67,0))</f>
        <v>980</v>
      </c>
      <c r="K429" s="25">
        <f t="array" ref="K429">INDEX(J$5:J$67,MATCH($B429,$B$5:$B$67,0))</f>
        <v>78.4</v>
      </c>
      <c r="L429" s="25">
        <f t="shared" si="545"/>
        <v>20320</v>
      </c>
      <c r="M429" s="25">
        <f t="shared" si="546"/>
        <v>9327</v>
      </c>
      <c r="N429" s="25">
        <f t="shared" si="547"/>
        <v>7315</v>
      </c>
      <c r="O429" s="25">
        <f t="shared" si="548"/>
        <v>4978</v>
      </c>
      <c r="R429" s="50">
        <f t="array" ref="R429">INDEX($B$46:$B$68,MATCH(S429,$C$46:$C$68,0))*1000+T429</f>
        <v>1014027</v>
      </c>
      <c r="S429" s="51" t="s">
        <v>341</v>
      </c>
      <c r="T429" s="29">
        <f t="shared" si="553"/>
        <v>27</v>
      </c>
      <c r="U429" s="25">
        <f t="array" ref="U429">INDEX(K$5:K$67,MATCH($S429,$B$5:$B$67,0))</f>
        <v>357.84</v>
      </c>
      <c r="V429" s="25">
        <f t="array" ref="V429">INDEX(L$5:L$67,MATCH($S429,$B$5:$B$67,0))</f>
        <v>99.23</v>
      </c>
      <c r="W429" s="25">
        <f t="array" ref="W429">INDEX(M$5:M$67,MATCH($S429,$B$5:$B$67,0))</f>
        <v>77.82</v>
      </c>
      <c r="X429" s="25">
        <f t="array" ref="X429">INDEX(N$5:N$67,MATCH($S429,$B$5:$B$67,0))</f>
        <v>66.64</v>
      </c>
      <c r="Y429" s="25">
        <f t="shared" si="549"/>
        <v>9662</v>
      </c>
      <c r="Z429" s="25">
        <f t="shared" si="550"/>
        <v>2679</v>
      </c>
      <c r="AA429" s="25">
        <f t="shared" si="551"/>
        <v>2101</v>
      </c>
      <c r="AB429" s="25">
        <f t="shared" si="552"/>
        <v>1799</v>
      </c>
    </row>
    <row r="430" spans="1:28">
      <c r="A430" s="53">
        <v>1006052</v>
      </c>
      <c r="B430" s="49" t="s">
        <v>328</v>
      </c>
      <c r="C430" s="25">
        <f t="shared" si="544"/>
        <v>52</v>
      </c>
      <c r="D430" s="25">
        <f t="array" ref="D430">INDEX(C$5:C$67,MATCH($B430,$B$5:$B$67,0))</f>
        <v>4000</v>
      </c>
      <c r="E430" s="25">
        <f t="array" ref="E430">INDEX(D$5:D$67,MATCH($B430,$B$5:$B$67,0))</f>
        <v>320</v>
      </c>
      <c r="F430" s="25">
        <f t="array" ref="F430">INDEX(E$5:E$67,MATCH($B430,$B$5:$B$67,0))</f>
        <v>1836</v>
      </c>
      <c r="G430" s="25">
        <f t="array" ref="G430">INDEX(F$5:F$67,MATCH($B430,$B$5:$B$67,0))</f>
        <v>146.88</v>
      </c>
      <c r="H430" s="25">
        <f t="array" ref="H430">INDEX(G$5:G$66,MATCH($B430,$B$5:$B$67,0))</f>
        <v>1440</v>
      </c>
      <c r="I430" s="25">
        <f t="array" ref="I430">INDEX(H$5:H$67,MATCH($B430,$B$5:$B$67,0))</f>
        <v>115.2</v>
      </c>
      <c r="J430" s="25">
        <f t="array" ref="J430">INDEX(I$5:I$67,MATCH($B430,$B$5:$B$67,0))</f>
        <v>980</v>
      </c>
      <c r="K430" s="25">
        <f t="array" ref="K430">INDEX(J$5:J$67,MATCH($B430,$B$5:$B$67,0))</f>
        <v>78.4</v>
      </c>
      <c r="L430" s="25">
        <f t="shared" si="545"/>
        <v>20640</v>
      </c>
      <c r="M430" s="25">
        <f t="shared" si="546"/>
        <v>9474</v>
      </c>
      <c r="N430" s="25">
        <f t="shared" si="547"/>
        <v>7430</v>
      </c>
      <c r="O430" s="25">
        <f t="shared" si="548"/>
        <v>5057</v>
      </c>
      <c r="R430" s="50">
        <f t="array" ref="R430">INDEX($B$46:$B$68,MATCH(S430,$C$46:$C$68,0))*1000+T430</f>
        <v>1015001</v>
      </c>
      <c r="S430" s="51" t="s">
        <v>342</v>
      </c>
      <c r="T430" s="29">
        <f t="shared" si="553"/>
        <v>1</v>
      </c>
      <c r="U430" s="25">
        <f t="array" ref="U430">INDEX(K$5:K$67,MATCH($S430,$B$5:$B$67,0))</f>
        <v>470.3</v>
      </c>
      <c r="V430" s="25">
        <f t="array" ref="V430">INDEX(L$5:L$67,MATCH($S430,$B$5:$B$67,0))</f>
        <v>66.15</v>
      </c>
      <c r="W430" s="25">
        <f t="array" ref="W430">INDEX(M$5:M$67,MATCH($S430,$B$5:$B$67,0))</f>
        <v>82.69</v>
      </c>
      <c r="X430" s="25">
        <f t="array" ref="X430">INDEX(N$5:N$67,MATCH($S430,$B$5:$B$67,0))</f>
        <v>64.6</v>
      </c>
      <c r="Y430" s="25">
        <f t="shared" si="549"/>
        <v>470</v>
      </c>
      <c r="Z430" s="25">
        <f t="shared" si="550"/>
        <v>66</v>
      </c>
      <c r="AA430" s="25">
        <f t="shared" si="551"/>
        <v>83</v>
      </c>
      <c r="AB430" s="25">
        <f t="shared" si="552"/>
        <v>65</v>
      </c>
    </row>
    <row r="431" spans="1:28">
      <c r="A431" s="53">
        <v>1006053</v>
      </c>
      <c r="B431" s="49" t="s">
        <v>328</v>
      </c>
      <c r="C431" s="25">
        <f t="shared" si="544"/>
        <v>53</v>
      </c>
      <c r="D431" s="25">
        <f t="array" ref="D431">INDEX(C$5:C$67,MATCH($B431,$B$5:$B$67,0))</f>
        <v>4000</v>
      </c>
      <c r="E431" s="25">
        <f t="array" ref="E431">INDEX(D$5:D$67,MATCH($B431,$B$5:$B$67,0))</f>
        <v>320</v>
      </c>
      <c r="F431" s="25">
        <f t="array" ref="F431">INDEX(E$5:E$67,MATCH($B431,$B$5:$B$67,0))</f>
        <v>1836</v>
      </c>
      <c r="G431" s="25">
        <f t="array" ref="G431">INDEX(F$5:F$67,MATCH($B431,$B$5:$B$67,0))</f>
        <v>146.88</v>
      </c>
      <c r="H431" s="25">
        <f t="array" ref="H431">INDEX(G$5:G$66,MATCH($B431,$B$5:$B$67,0))</f>
        <v>1440</v>
      </c>
      <c r="I431" s="25">
        <f t="array" ref="I431">INDEX(H$5:H$67,MATCH($B431,$B$5:$B$67,0))</f>
        <v>115.2</v>
      </c>
      <c r="J431" s="25">
        <f t="array" ref="J431">INDEX(I$5:I$67,MATCH($B431,$B$5:$B$67,0))</f>
        <v>980</v>
      </c>
      <c r="K431" s="25">
        <f t="array" ref="K431">INDEX(J$5:J$67,MATCH($B431,$B$5:$B$67,0))</f>
        <v>78.4</v>
      </c>
      <c r="L431" s="25">
        <f t="shared" si="545"/>
        <v>20960</v>
      </c>
      <c r="M431" s="25">
        <f t="shared" si="546"/>
        <v>9621</v>
      </c>
      <c r="N431" s="25">
        <f t="shared" si="547"/>
        <v>7546</v>
      </c>
      <c r="O431" s="25">
        <f t="shared" si="548"/>
        <v>5135</v>
      </c>
      <c r="R431" s="50">
        <f t="array" ref="R431">INDEX($B$46:$B$68,MATCH(S431,$C$46:$C$68,0))*1000+T431</f>
        <v>1015002</v>
      </c>
      <c r="S431" s="51" t="s">
        <v>342</v>
      </c>
      <c r="T431" s="29">
        <f t="shared" si="553"/>
        <v>2</v>
      </c>
      <c r="U431" s="25">
        <f t="array" ref="U431">INDEX(K$5:K$67,MATCH($S431,$B$5:$B$67,0))</f>
        <v>470.3</v>
      </c>
      <c r="V431" s="25">
        <f t="array" ref="V431">INDEX(L$5:L$67,MATCH($S431,$B$5:$B$67,0))</f>
        <v>66.15</v>
      </c>
      <c r="W431" s="25">
        <f t="array" ref="W431">INDEX(M$5:M$67,MATCH($S431,$B$5:$B$67,0))</f>
        <v>82.69</v>
      </c>
      <c r="X431" s="25">
        <f t="array" ref="X431">INDEX(N$5:N$67,MATCH($S431,$B$5:$B$67,0))</f>
        <v>64.6</v>
      </c>
      <c r="Y431" s="25">
        <f t="shared" si="549"/>
        <v>941</v>
      </c>
      <c r="Z431" s="25">
        <f t="shared" si="550"/>
        <v>132</v>
      </c>
      <c r="AA431" s="25">
        <f t="shared" si="551"/>
        <v>165</v>
      </c>
      <c r="AB431" s="25">
        <f t="shared" si="552"/>
        <v>129</v>
      </c>
    </row>
    <row r="432" spans="1:28">
      <c r="A432" s="53">
        <v>1006054</v>
      </c>
      <c r="B432" s="49" t="s">
        <v>328</v>
      </c>
      <c r="C432" s="25">
        <f t="shared" si="544"/>
        <v>54</v>
      </c>
      <c r="D432" s="25">
        <f t="array" ref="D432">INDEX(C$5:C$67,MATCH($B432,$B$5:$B$67,0))</f>
        <v>4000</v>
      </c>
      <c r="E432" s="25">
        <f t="array" ref="E432">INDEX(D$5:D$67,MATCH($B432,$B$5:$B$67,0))</f>
        <v>320</v>
      </c>
      <c r="F432" s="25">
        <f t="array" ref="F432">INDEX(E$5:E$67,MATCH($B432,$B$5:$B$67,0))</f>
        <v>1836</v>
      </c>
      <c r="G432" s="25">
        <f t="array" ref="G432">INDEX(F$5:F$67,MATCH($B432,$B$5:$B$67,0))</f>
        <v>146.88</v>
      </c>
      <c r="H432" s="25">
        <f t="array" ref="H432">INDEX(G$5:G$66,MATCH($B432,$B$5:$B$67,0))</f>
        <v>1440</v>
      </c>
      <c r="I432" s="25">
        <f t="array" ref="I432">INDEX(H$5:H$67,MATCH($B432,$B$5:$B$67,0))</f>
        <v>115.2</v>
      </c>
      <c r="J432" s="25">
        <f t="array" ref="J432">INDEX(I$5:I$67,MATCH($B432,$B$5:$B$67,0))</f>
        <v>980</v>
      </c>
      <c r="K432" s="25">
        <f t="array" ref="K432">INDEX(J$5:J$67,MATCH($B432,$B$5:$B$67,0))</f>
        <v>78.4</v>
      </c>
      <c r="L432" s="25">
        <f t="shared" si="545"/>
        <v>21280</v>
      </c>
      <c r="M432" s="25">
        <f t="shared" si="546"/>
        <v>9768</v>
      </c>
      <c r="N432" s="25">
        <f t="shared" si="547"/>
        <v>7661</v>
      </c>
      <c r="O432" s="25">
        <f t="shared" si="548"/>
        <v>5214</v>
      </c>
      <c r="R432" s="50">
        <f t="array" ref="R432">INDEX($B$46:$B$68,MATCH(S432,$C$46:$C$68,0))*1000+T432</f>
        <v>1015003</v>
      </c>
      <c r="S432" s="51" t="s">
        <v>342</v>
      </c>
      <c r="T432" s="29">
        <f t="shared" si="553"/>
        <v>3</v>
      </c>
      <c r="U432" s="25">
        <f t="array" ref="U432">INDEX(K$5:K$67,MATCH($S432,$B$5:$B$67,0))</f>
        <v>470.3</v>
      </c>
      <c r="V432" s="25">
        <f t="array" ref="V432">INDEX(L$5:L$67,MATCH($S432,$B$5:$B$67,0))</f>
        <v>66.15</v>
      </c>
      <c r="W432" s="25">
        <f t="array" ref="W432">INDEX(M$5:M$67,MATCH($S432,$B$5:$B$67,0))</f>
        <v>82.69</v>
      </c>
      <c r="X432" s="25">
        <f t="array" ref="X432">INDEX(N$5:N$67,MATCH($S432,$B$5:$B$67,0))</f>
        <v>64.6</v>
      </c>
      <c r="Y432" s="25">
        <f t="shared" si="549"/>
        <v>1411</v>
      </c>
      <c r="Z432" s="25">
        <f t="shared" si="550"/>
        <v>198</v>
      </c>
      <c r="AA432" s="25">
        <f t="shared" si="551"/>
        <v>248</v>
      </c>
      <c r="AB432" s="25">
        <f t="shared" si="552"/>
        <v>194</v>
      </c>
    </row>
    <row r="433" spans="1:28">
      <c r="A433" s="53">
        <v>1006055</v>
      </c>
      <c r="B433" s="49" t="s">
        <v>328</v>
      </c>
      <c r="C433" s="25">
        <f t="shared" si="544"/>
        <v>55</v>
      </c>
      <c r="D433" s="25">
        <f t="array" ref="D433">INDEX(C$5:C$67,MATCH($B433,$B$5:$B$67,0))</f>
        <v>4000</v>
      </c>
      <c r="E433" s="25">
        <f t="array" ref="E433">INDEX(D$5:D$67,MATCH($B433,$B$5:$B$67,0))</f>
        <v>320</v>
      </c>
      <c r="F433" s="25">
        <f t="array" ref="F433">INDEX(E$5:E$67,MATCH($B433,$B$5:$B$67,0))</f>
        <v>1836</v>
      </c>
      <c r="G433" s="25">
        <f t="array" ref="G433">INDEX(F$5:F$67,MATCH($B433,$B$5:$B$67,0))</f>
        <v>146.88</v>
      </c>
      <c r="H433" s="25">
        <f t="array" ref="H433">INDEX(G$5:G$66,MATCH($B433,$B$5:$B$67,0))</f>
        <v>1440</v>
      </c>
      <c r="I433" s="25">
        <f t="array" ref="I433">INDEX(H$5:H$67,MATCH($B433,$B$5:$B$67,0))</f>
        <v>115.2</v>
      </c>
      <c r="J433" s="25">
        <f t="array" ref="J433">INDEX(I$5:I$67,MATCH($B433,$B$5:$B$67,0))</f>
        <v>980</v>
      </c>
      <c r="K433" s="25">
        <f t="array" ref="K433">INDEX(J$5:J$67,MATCH($B433,$B$5:$B$67,0))</f>
        <v>78.4</v>
      </c>
      <c r="L433" s="25">
        <f t="shared" si="545"/>
        <v>21600</v>
      </c>
      <c r="M433" s="25">
        <f t="shared" si="546"/>
        <v>9914</v>
      </c>
      <c r="N433" s="25">
        <f t="shared" si="547"/>
        <v>7776</v>
      </c>
      <c r="O433" s="25">
        <f t="shared" si="548"/>
        <v>5292</v>
      </c>
      <c r="R433" s="50">
        <f t="array" ref="R433">INDEX($B$46:$B$68,MATCH(S433,$C$46:$C$68,0))*1000+T433</f>
        <v>1015004</v>
      </c>
      <c r="S433" s="51" t="s">
        <v>342</v>
      </c>
      <c r="T433" s="29">
        <f t="shared" si="553"/>
        <v>4</v>
      </c>
      <c r="U433" s="25">
        <f t="array" ref="U433">INDEX(K$5:K$67,MATCH($S433,$B$5:$B$67,0))</f>
        <v>470.3</v>
      </c>
      <c r="V433" s="25">
        <f t="array" ref="V433">INDEX(L$5:L$67,MATCH($S433,$B$5:$B$67,0))</f>
        <v>66.15</v>
      </c>
      <c r="W433" s="25">
        <f t="array" ref="W433">INDEX(M$5:M$67,MATCH($S433,$B$5:$B$67,0))</f>
        <v>82.69</v>
      </c>
      <c r="X433" s="25">
        <f t="array" ref="X433">INDEX(N$5:N$67,MATCH($S433,$B$5:$B$67,0))</f>
        <v>64.6</v>
      </c>
      <c r="Y433" s="25">
        <f t="shared" si="549"/>
        <v>1881</v>
      </c>
      <c r="Z433" s="25">
        <f t="shared" si="550"/>
        <v>265</v>
      </c>
      <c r="AA433" s="25">
        <f t="shared" si="551"/>
        <v>331</v>
      </c>
      <c r="AB433" s="25">
        <f t="shared" si="552"/>
        <v>258</v>
      </c>
    </row>
    <row r="434" spans="1:28">
      <c r="A434" s="53">
        <v>1006056</v>
      </c>
      <c r="B434" s="49" t="s">
        <v>328</v>
      </c>
      <c r="C434" s="25">
        <f t="shared" si="544"/>
        <v>56</v>
      </c>
      <c r="D434" s="25">
        <f t="array" ref="D434">INDEX(C$5:C$67,MATCH($B434,$B$5:$B$67,0))</f>
        <v>4000</v>
      </c>
      <c r="E434" s="25">
        <f t="array" ref="E434">INDEX(D$5:D$67,MATCH($B434,$B$5:$B$67,0))</f>
        <v>320</v>
      </c>
      <c r="F434" s="25">
        <f t="array" ref="F434">INDEX(E$5:E$67,MATCH($B434,$B$5:$B$67,0))</f>
        <v>1836</v>
      </c>
      <c r="G434" s="25">
        <f t="array" ref="G434">INDEX(F$5:F$67,MATCH($B434,$B$5:$B$67,0))</f>
        <v>146.88</v>
      </c>
      <c r="H434" s="25">
        <f t="array" ref="H434">INDEX(G$5:G$66,MATCH($B434,$B$5:$B$67,0))</f>
        <v>1440</v>
      </c>
      <c r="I434" s="25">
        <f t="array" ref="I434">INDEX(H$5:H$67,MATCH($B434,$B$5:$B$67,0))</f>
        <v>115.2</v>
      </c>
      <c r="J434" s="25">
        <f t="array" ref="J434">INDEX(I$5:I$67,MATCH($B434,$B$5:$B$67,0))</f>
        <v>980</v>
      </c>
      <c r="K434" s="25">
        <f t="array" ref="K434">INDEX(J$5:J$67,MATCH($B434,$B$5:$B$67,0))</f>
        <v>78.4</v>
      </c>
      <c r="L434" s="25">
        <f t="shared" si="545"/>
        <v>21920</v>
      </c>
      <c r="M434" s="25">
        <f t="shared" si="546"/>
        <v>10061</v>
      </c>
      <c r="N434" s="25">
        <f t="shared" si="547"/>
        <v>7891</v>
      </c>
      <c r="O434" s="25">
        <f t="shared" si="548"/>
        <v>5370</v>
      </c>
      <c r="R434" s="50">
        <f t="array" ref="R434">INDEX($B$46:$B$68,MATCH(S434,$C$46:$C$68,0))*1000+T434</f>
        <v>1015005</v>
      </c>
      <c r="S434" s="51" t="s">
        <v>342</v>
      </c>
      <c r="T434" s="29">
        <f t="shared" si="553"/>
        <v>5</v>
      </c>
      <c r="U434" s="25">
        <f t="array" ref="U434">INDEX(K$5:K$67,MATCH($S434,$B$5:$B$67,0))</f>
        <v>470.3</v>
      </c>
      <c r="V434" s="25">
        <f t="array" ref="V434">INDEX(L$5:L$67,MATCH($S434,$B$5:$B$67,0))</f>
        <v>66.15</v>
      </c>
      <c r="W434" s="25">
        <f t="array" ref="W434">INDEX(M$5:M$67,MATCH($S434,$B$5:$B$67,0))</f>
        <v>82.69</v>
      </c>
      <c r="X434" s="25">
        <f t="array" ref="X434">INDEX(N$5:N$67,MATCH($S434,$B$5:$B$67,0))</f>
        <v>64.6</v>
      </c>
      <c r="Y434" s="25">
        <f t="shared" si="549"/>
        <v>2352</v>
      </c>
      <c r="Z434" s="25">
        <f t="shared" si="550"/>
        <v>331</v>
      </c>
      <c r="AA434" s="25">
        <f t="shared" si="551"/>
        <v>413</v>
      </c>
      <c r="AB434" s="25">
        <f t="shared" si="552"/>
        <v>323</v>
      </c>
    </row>
    <row r="435" spans="1:28">
      <c r="A435" s="53">
        <v>1006057</v>
      </c>
      <c r="B435" s="49" t="s">
        <v>328</v>
      </c>
      <c r="C435" s="25">
        <f t="shared" si="544"/>
        <v>57</v>
      </c>
      <c r="D435" s="25">
        <f t="array" ref="D435">INDEX(C$5:C$67,MATCH($B435,$B$5:$B$67,0))</f>
        <v>4000</v>
      </c>
      <c r="E435" s="25">
        <f t="array" ref="E435">INDEX(D$5:D$67,MATCH($B435,$B$5:$B$67,0))</f>
        <v>320</v>
      </c>
      <c r="F435" s="25">
        <f t="array" ref="F435">INDEX(E$5:E$67,MATCH($B435,$B$5:$B$67,0))</f>
        <v>1836</v>
      </c>
      <c r="G435" s="25">
        <f t="array" ref="G435">INDEX(F$5:F$67,MATCH($B435,$B$5:$B$67,0))</f>
        <v>146.88</v>
      </c>
      <c r="H435" s="25">
        <f t="array" ref="H435">INDEX(G$5:G$66,MATCH($B435,$B$5:$B$67,0))</f>
        <v>1440</v>
      </c>
      <c r="I435" s="25">
        <f t="array" ref="I435">INDEX(H$5:H$67,MATCH($B435,$B$5:$B$67,0))</f>
        <v>115.2</v>
      </c>
      <c r="J435" s="25">
        <f t="array" ref="J435">INDEX(I$5:I$67,MATCH($B435,$B$5:$B$67,0))</f>
        <v>980</v>
      </c>
      <c r="K435" s="25">
        <f t="array" ref="K435">INDEX(J$5:J$67,MATCH($B435,$B$5:$B$67,0))</f>
        <v>78.4</v>
      </c>
      <c r="L435" s="25">
        <f t="shared" si="545"/>
        <v>22240</v>
      </c>
      <c r="M435" s="25">
        <f t="shared" si="546"/>
        <v>10208</v>
      </c>
      <c r="N435" s="25">
        <f t="shared" si="547"/>
        <v>8006</v>
      </c>
      <c r="O435" s="25">
        <f t="shared" si="548"/>
        <v>5449</v>
      </c>
      <c r="R435" s="50">
        <f t="array" ref="R435">INDEX($B$46:$B$68,MATCH(S435,$C$46:$C$68,0))*1000+T435</f>
        <v>1015006</v>
      </c>
      <c r="S435" s="51" t="s">
        <v>342</v>
      </c>
      <c r="T435" s="29">
        <f t="shared" si="553"/>
        <v>6</v>
      </c>
      <c r="U435" s="25">
        <f t="array" ref="U435">INDEX(K$5:K$67,MATCH($S435,$B$5:$B$67,0))</f>
        <v>470.3</v>
      </c>
      <c r="V435" s="25">
        <f t="array" ref="V435">INDEX(L$5:L$67,MATCH($S435,$B$5:$B$67,0))</f>
        <v>66.15</v>
      </c>
      <c r="W435" s="25">
        <f t="array" ref="W435">INDEX(M$5:M$67,MATCH($S435,$B$5:$B$67,0))</f>
        <v>82.69</v>
      </c>
      <c r="X435" s="25">
        <f t="array" ref="X435">INDEX(N$5:N$67,MATCH($S435,$B$5:$B$67,0))</f>
        <v>64.6</v>
      </c>
      <c r="Y435" s="25">
        <f t="shared" si="549"/>
        <v>2822</v>
      </c>
      <c r="Z435" s="25">
        <f t="shared" si="550"/>
        <v>397</v>
      </c>
      <c r="AA435" s="25">
        <f t="shared" si="551"/>
        <v>496</v>
      </c>
      <c r="AB435" s="25">
        <f t="shared" si="552"/>
        <v>388</v>
      </c>
    </row>
    <row r="436" spans="1:28">
      <c r="A436" s="53">
        <v>1006058</v>
      </c>
      <c r="B436" s="49" t="s">
        <v>328</v>
      </c>
      <c r="C436" s="25">
        <f t="shared" si="544"/>
        <v>58</v>
      </c>
      <c r="D436" s="25">
        <f t="array" ref="D436">INDEX(C$5:C$67,MATCH($B436,$B$5:$B$67,0))</f>
        <v>4000</v>
      </c>
      <c r="E436" s="25">
        <f t="array" ref="E436">INDEX(D$5:D$67,MATCH($B436,$B$5:$B$67,0))</f>
        <v>320</v>
      </c>
      <c r="F436" s="25">
        <f t="array" ref="F436">INDEX(E$5:E$67,MATCH($B436,$B$5:$B$67,0))</f>
        <v>1836</v>
      </c>
      <c r="G436" s="25">
        <f t="array" ref="G436">INDEX(F$5:F$67,MATCH($B436,$B$5:$B$67,0))</f>
        <v>146.88</v>
      </c>
      <c r="H436" s="25">
        <f t="array" ref="H436">INDEX(G$5:G$66,MATCH($B436,$B$5:$B$67,0))</f>
        <v>1440</v>
      </c>
      <c r="I436" s="25">
        <f t="array" ref="I436">INDEX(H$5:H$67,MATCH($B436,$B$5:$B$67,0))</f>
        <v>115.2</v>
      </c>
      <c r="J436" s="25">
        <f t="array" ref="J436">INDEX(I$5:I$67,MATCH($B436,$B$5:$B$67,0))</f>
        <v>980</v>
      </c>
      <c r="K436" s="25">
        <f t="array" ref="K436">INDEX(J$5:J$67,MATCH($B436,$B$5:$B$67,0))</f>
        <v>78.4</v>
      </c>
      <c r="L436" s="25">
        <f t="shared" si="545"/>
        <v>22560</v>
      </c>
      <c r="M436" s="25">
        <f t="shared" si="546"/>
        <v>10355</v>
      </c>
      <c r="N436" s="25">
        <f t="shared" si="547"/>
        <v>8122</v>
      </c>
      <c r="O436" s="25">
        <f t="shared" si="548"/>
        <v>5527</v>
      </c>
      <c r="R436" s="50">
        <f t="array" ref="R436">INDEX($B$46:$B$68,MATCH(S436,$C$46:$C$68,0))*1000+T436</f>
        <v>1015007</v>
      </c>
      <c r="S436" s="51" t="s">
        <v>342</v>
      </c>
      <c r="T436" s="29">
        <f t="shared" si="553"/>
        <v>7</v>
      </c>
      <c r="U436" s="25">
        <f t="array" ref="U436">INDEX(K$5:K$67,MATCH($S436,$B$5:$B$67,0))</f>
        <v>470.3</v>
      </c>
      <c r="V436" s="25">
        <f t="array" ref="V436">INDEX(L$5:L$67,MATCH($S436,$B$5:$B$67,0))</f>
        <v>66.15</v>
      </c>
      <c r="W436" s="25">
        <f t="array" ref="W436">INDEX(M$5:M$67,MATCH($S436,$B$5:$B$67,0))</f>
        <v>82.69</v>
      </c>
      <c r="X436" s="25">
        <f t="array" ref="X436">INDEX(N$5:N$67,MATCH($S436,$B$5:$B$67,0))</f>
        <v>64.6</v>
      </c>
      <c r="Y436" s="25">
        <f t="shared" si="549"/>
        <v>3292</v>
      </c>
      <c r="Z436" s="25">
        <f t="shared" si="550"/>
        <v>463</v>
      </c>
      <c r="AA436" s="25">
        <f t="shared" si="551"/>
        <v>579</v>
      </c>
      <c r="AB436" s="25">
        <f t="shared" si="552"/>
        <v>452</v>
      </c>
    </row>
    <row r="437" spans="1:28">
      <c r="A437" s="53">
        <v>1006059</v>
      </c>
      <c r="B437" s="49" t="s">
        <v>328</v>
      </c>
      <c r="C437" s="25">
        <f t="shared" si="544"/>
        <v>59</v>
      </c>
      <c r="D437" s="25">
        <f t="array" ref="D437">INDEX(C$5:C$67,MATCH($B437,$B$5:$B$67,0))</f>
        <v>4000</v>
      </c>
      <c r="E437" s="25">
        <f t="array" ref="E437">INDEX(D$5:D$67,MATCH($B437,$B$5:$B$67,0))</f>
        <v>320</v>
      </c>
      <c r="F437" s="25">
        <f t="array" ref="F437">INDEX(E$5:E$67,MATCH($B437,$B$5:$B$67,0))</f>
        <v>1836</v>
      </c>
      <c r="G437" s="25">
        <f t="array" ref="G437">INDEX(F$5:F$67,MATCH($B437,$B$5:$B$67,0))</f>
        <v>146.88</v>
      </c>
      <c r="H437" s="25">
        <f t="array" ref="H437">INDEX(G$5:G$66,MATCH($B437,$B$5:$B$67,0))</f>
        <v>1440</v>
      </c>
      <c r="I437" s="25">
        <f t="array" ref="I437">INDEX(H$5:H$67,MATCH($B437,$B$5:$B$67,0))</f>
        <v>115.2</v>
      </c>
      <c r="J437" s="25">
        <f t="array" ref="J437">INDEX(I$5:I$67,MATCH($B437,$B$5:$B$67,0))</f>
        <v>980</v>
      </c>
      <c r="K437" s="25">
        <f t="array" ref="K437">INDEX(J$5:J$67,MATCH($B437,$B$5:$B$67,0))</f>
        <v>78.4</v>
      </c>
      <c r="L437" s="25">
        <f t="shared" si="545"/>
        <v>22880</v>
      </c>
      <c r="M437" s="25">
        <f t="shared" si="546"/>
        <v>10502</v>
      </c>
      <c r="N437" s="25">
        <f t="shared" si="547"/>
        <v>8237</v>
      </c>
      <c r="O437" s="25">
        <f t="shared" si="548"/>
        <v>5606</v>
      </c>
      <c r="R437" s="50">
        <f t="array" ref="R437">INDEX($B$46:$B$68,MATCH(S437,$C$46:$C$68,0))*1000+T437</f>
        <v>1015008</v>
      </c>
      <c r="S437" s="51" t="s">
        <v>342</v>
      </c>
      <c r="T437" s="29">
        <f t="shared" si="553"/>
        <v>8</v>
      </c>
      <c r="U437" s="25">
        <f t="array" ref="U437">INDEX(K$5:K$67,MATCH($S437,$B$5:$B$67,0))</f>
        <v>470.3</v>
      </c>
      <c r="V437" s="25">
        <f t="array" ref="V437">INDEX(L$5:L$67,MATCH($S437,$B$5:$B$67,0))</f>
        <v>66.15</v>
      </c>
      <c r="W437" s="25">
        <f t="array" ref="W437">INDEX(M$5:M$67,MATCH($S437,$B$5:$B$67,0))</f>
        <v>82.69</v>
      </c>
      <c r="X437" s="25">
        <f t="array" ref="X437">INDEX(N$5:N$67,MATCH($S437,$B$5:$B$67,0))</f>
        <v>64.6</v>
      </c>
      <c r="Y437" s="25">
        <f t="shared" si="549"/>
        <v>3762</v>
      </c>
      <c r="Z437" s="25">
        <f t="shared" si="550"/>
        <v>529</v>
      </c>
      <c r="AA437" s="25">
        <f t="shared" si="551"/>
        <v>662</v>
      </c>
      <c r="AB437" s="25">
        <f t="shared" si="552"/>
        <v>517</v>
      </c>
    </row>
    <row r="438" spans="1:28">
      <c r="A438" s="53">
        <v>1006060</v>
      </c>
      <c r="B438" s="49" t="s">
        <v>328</v>
      </c>
      <c r="C438" s="25">
        <f t="shared" si="544"/>
        <v>60</v>
      </c>
      <c r="D438" s="25">
        <f t="array" ref="D438">INDEX(C$5:C$67,MATCH($B438,$B$5:$B$67,0))</f>
        <v>4000</v>
      </c>
      <c r="E438" s="25">
        <f t="array" ref="E438">INDEX(D$5:D$67,MATCH($B438,$B$5:$B$67,0))</f>
        <v>320</v>
      </c>
      <c r="F438" s="25">
        <f t="array" ref="F438">INDEX(E$5:E$67,MATCH($B438,$B$5:$B$67,0))</f>
        <v>1836</v>
      </c>
      <c r="G438" s="25">
        <f t="array" ref="G438">INDEX(F$5:F$67,MATCH($B438,$B$5:$B$67,0))</f>
        <v>146.88</v>
      </c>
      <c r="H438" s="25">
        <f t="array" ref="H438">INDEX(G$5:G$66,MATCH($B438,$B$5:$B$67,0))</f>
        <v>1440</v>
      </c>
      <c r="I438" s="25">
        <f t="array" ref="I438">INDEX(H$5:H$67,MATCH($B438,$B$5:$B$67,0))</f>
        <v>115.2</v>
      </c>
      <c r="J438" s="25">
        <f t="array" ref="J438">INDEX(I$5:I$67,MATCH($B438,$B$5:$B$67,0))</f>
        <v>980</v>
      </c>
      <c r="K438" s="25">
        <f t="array" ref="K438">INDEX(J$5:J$67,MATCH($B438,$B$5:$B$67,0))</f>
        <v>78.4</v>
      </c>
      <c r="L438" s="25">
        <f t="shared" si="545"/>
        <v>23200</v>
      </c>
      <c r="M438" s="25">
        <f t="shared" si="546"/>
        <v>10649</v>
      </c>
      <c r="N438" s="25">
        <f t="shared" si="547"/>
        <v>8352</v>
      </c>
      <c r="O438" s="25">
        <f t="shared" si="548"/>
        <v>5684</v>
      </c>
      <c r="R438" s="50">
        <f t="array" ref="R438">INDEX($B$46:$B$68,MATCH(S438,$C$46:$C$68,0))*1000+T438</f>
        <v>1015009</v>
      </c>
      <c r="S438" s="51" t="s">
        <v>342</v>
      </c>
      <c r="T438" s="29">
        <f t="shared" si="553"/>
        <v>9</v>
      </c>
      <c r="U438" s="25">
        <f t="array" ref="U438">INDEX(K$5:K$67,MATCH($S438,$B$5:$B$67,0))</f>
        <v>470.3</v>
      </c>
      <c r="V438" s="25">
        <f t="array" ref="V438">INDEX(L$5:L$67,MATCH($S438,$B$5:$B$67,0))</f>
        <v>66.15</v>
      </c>
      <c r="W438" s="25">
        <f t="array" ref="W438">INDEX(M$5:M$67,MATCH($S438,$B$5:$B$67,0))</f>
        <v>82.69</v>
      </c>
      <c r="X438" s="25">
        <f t="array" ref="X438">INDEX(N$5:N$67,MATCH($S438,$B$5:$B$67,0))</f>
        <v>64.6</v>
      </c>
      <c r="Y438" s="25">
        <f t="shared" si="549"/>
        <v>4233</v>
      </c>
      <c r="Z438" s="25">
        <f t="shared" si="550"/>
        <v>595</v>
      </c>
      <c r="AA438" s="25">
        <f t="shared" si="551"/>
        <v>744</v>
      </c>
      <c r="AB438" s="25">
        <f t="shared" si="552"/>
        <v>581</v>
      </c>
    </row>
    <row r="439" spans="1:28">
      <c r="A439" s="48">
        <v>1007001</v>
      </c>
      <c r="B439" s="49" t="s">
        <v>329</v>
      </c>
      <c r="C439" s="25">
        <f t="shared" si="544"/>
        <v>1</v>
      </c>
      <c r="D439" s="25">
        <f t="array" ref="D439">INDEX(C$5:C$67,MATCH($B439,$B$5:$B$67,0))</f>
        <v>4500</v>
      </c>
      <c r="E439" s="25">
        <f t="array" ref="E439">INDEX(D$5:D$67,MATCH($B439,$B$5:$B$67,0))</f>
        <v>360</v>
      </c>
      <c r="F439" s="25">
        <f t="array" ref="F439">INDEX(E$5:E$67,MATCH($B439,$B$5:$B$67,0))</f>
        <v>1080</v>
      </c>
      <c r="G439" s="25">
        <f t="array" ref="G439">INDEX(F$5:F$67,MATCH($B439,$B$5:$B$67,0))</f>
        <v>86.4</v>
      </c>
      <c r="H439" s="25">
        <f t="array" ref="H439">INDEX(G$5:G$66,MATCH($B439,$B$5:$B$67,0))</f>
        <v>1485</v>
      </c>
      <c r="I439" s="25">
        <f t="array" ref="I439">INDEX(H$5:H$67,MATCH($B439,$B$5:$B$67,0))</f>
        <v>118.8</v>
      </c>
      <c r="J439" s="25">
        <f t="array" ref="J439">INDEX(I$5:I$67,MATCH($B439,$B$5:$B$67,0))</f>
        <v>1100</v>
      </c>
      <c r="K439" s="25">
        <f t="array" ref="K439">INDEX(J$5:J$67,MATCH($B439,$B$5:$B$67,0))</f>
        <v>88</v>
      </c>
      <c r="L439" s="25">
        <f t="shared" si="545"/>
        <v>4860</v>
      </c>
      <c r="M439" s="25">
        <f t="shared" si="546"/>
        <v>1166</v>
      </c>
      <c r="N439" s="25">
        <f t="shared" si="547"/>
        <v>1604</v>
      </c>
      <c r="O439" s="25">
        <f t="shared" si="548"/>
        <v>1188</v>
      </c>
      <c r="R439" s="50">
        <f t="array" ref="R439">INDEX($B$46:$B$68,MATCH(S439,$C$46:$C$68,0))*1000+T439</f>
        <v>1015010</v>
      </c>
      <c r="S439" s="51" t="s">
        <v>342</v>
      </c>
      <c r="T439" s="29">
        <f t="shared" si="553"/>
        <v>10</v>
      </c>
      <c r="U439" s="25">
        <f t="array" ref="U439">INDEX(K$5:K$67,MATCH($S439,$B$5:$B$67,0))</f>
        <v>470.3</v>
      </c>
      <c r="V439" s="25">
        <f t="array" ref="V439">INDEX(L$5:L$67,MATCH($S439,$B$5:$B$67,0))</f>
        <v>66.15</v>
      </c>
      <c r="W439" s="25">
        <f t="array" ref="W439">INDEX(M$5:M$67,MATCH($S439,$B$5:$B$67,0))</f>
        <v>82.69</v>
      </c>
      <c r="X439" s="25">
        <f t="array" ref="X439">INDEX(N$5:N$67,MATCH($S439,$B$5:$B$67,0))</f>
        <v>64.6</v>
      </c>
      <c r="Y439" s="25">
        <f t="shared" si="549"/>
        <v>4703</v>
      </c>
      <c r="Z439" s="25">
        <f t="shared" si="550"/>
        <v>662</v>
      </c>
      <c r="AA439" s="25">
        <f t="shared" si="551"/>
        <v>827</v>
      </c>
      <c r="AB439" s="25">
        <f t="shared" si="552"/>
        <v>646</v>
      </c>
    </row>
    <row r="440" spans="1:28">
      <c r="A440" s="48">
        <v>1007002</v>
      </c>
      <c r="B440" s="49" t="s">
        <v>329</v>
      </c>
      <c r="C440" s="25">
        <f t="shared" si="544"/>
        <v>2</v>
      </c>
      <c r="D440" s="25">
        <f t="array" ref="D440">INDEX(C$5:C$67,MATCH($B440,$B$5:$B$67,0))</f>
        <v>4500</v>
      </c>
      <c r="E440" s="25">
        <f t="array" ref="E440">INDEX(D$5:D$67,MATCH($B440,$B$5:$B$67,0))</f>
        <v>360</v>
      </c>
      <c r="F440" s="25">
        <f t="array" ref="F440">INDEX(E$5:E$67,MATCH($B440,$B$5:$B$67,0))</f>
        <v>1080</v>
      </c>
      <c r="G440" s="25">
        <f t="array" ref="G440">INDEX(F$5:F$67,MATCH($B440,$B$5:$B$67,0))</f>
        <v>86.4</v>
      </c>
      <c r="H440" s="25">
        <f t="array" ref="H440">INDEX(G$5:G$66,MATCH($B440,$B$5:$B$67,0))</f>
        <v>1485</v>
      </c>
      <c r="I440" s="25">
        <f t="array" ref="I440">INDEX(H$5:H$67,MATCH($B440,$B$5:$B$67,0))</f>
        <v>118.8</v>
      </c>
      <c r="J440" s="25">
        <f t="array" ref="J440">INDEX(I$5:I$67,MATCH($B440,$B$5:$B$67,0))</f>
        <v>1100</v>
      </c>
      <c r="K440" s="25">
        <f t="array" ref="K440">INDEX(J$5:J$67,MATCH($B440,$B$5:$B$67,0))</f>
        <v>88</v>
      </c>
      <c r="L440" s="25">
        <f t="shared" si="545"/>
        <v>5220</v>
      </c>
      <c r="M440" s="25">
        <f t="shared" si="546"/>
        <v>1253</v>
      </c>
      <c r="N440" s="25">
        <f t="shared" si="547"/>
        <v>1723</v>
      </c>
      <c r="O440" s="25">
        <f t="shared" si="548"/>
        <v>1276</v>
      </c>
      <c r="R440" s="50">
        <f t="array" ref="R440">INDEX($B$46:$B$68,MATCH(S440,$C$46:$C$68,0))*1000+T440</f>
        <v>1015011</v>
      </c>
      <c r="S440" s="51" t="s">
        <v>342</v>
      </c>
      <c r="T440" s="29">
        <f t="shared" si="553"/>
        <v>11</v>
      </c>
      <c r="U440" s="25">
        <f t="array" ref="U440">INDEX(K$5:K$67,MATCH($S440,$B$5:$B$67,0))</f>
        <v>470.3</v>
      </c>
      <c r="V440" s="25">
        <f t="array" ref="V440">INDEX(L$5:L$67,MATCH($S440,$B$5:$B$67,0))</f>
        <v>66.15</v>
      </c>
      <c r="W440" s="25">
        <f t="array" ref="W440">INDEX(M$5:M$67,MATCH($S440,$B$5:$B$67,0))</f>
        <v>82.69</v>
      </c>
      <c r="X440" s="25">
        <f t="array" ref="X440">INDEX(N$5:N$67,MATCH($S440,$B$5:$B$67,0))</f>
        <v>64.6</v>
      </c>
      <c r="Y440" s="25">
        <f t="shared" si="549"/>
        <v>5173</v>
      </c>
      <c r="Z440" s="25">
        <f t="shared" si="550"/>
        <v>728</v>
      </c>
      <c r="AA440" s="25">
        <f t="shared" si="551"/>
        <v>910</v>
      </c>
      <c r="AB440" s="25">
        <f t="shared" si="552"/>
        <v>711</v>
      </c>
    </row>
    <row r="441" spans="1:28">
      <c r="A441" s="48">
        <v>1007003</v>
      </c>
      <c r="B441" s="49" t="s">
        <v>329</v>
      </c>
      <c r="C441" s="25">
        <f t="shared" si="544"/>
        <v>3</v>
      </c>
      <c r="D441" s="25">
        <f t="array" ref="D441">INDEX(C$5:C$67,MATCH($B441,$B$5:$B$67,0))</f>
        <v>4500</v>
      </c>
      <c r="E441" s="25">
        <f t="array" ref="E441">INDEX(D$5:D$67,MATCH($B441,$B$5:$B$67,0))</f>
        <v>360</v>
      </c>
      <c r="F441" s="25">
        <f t="array" ref="F441">INDEX(E$5:E$67,MATCH($B441,$B$5:$B$67,0))</f>
        <v>1080</v>
      </c>
      <c r="G441" s="25">
        <f t="array" ref="G441">INDEX(F$5:F$67,MATCH($B441,$B$5:$B$67,0))</f>
        <v>86.4</v>
      </c>
      <c r="H441" s="25">
        <f t="array" ref="H441">INDEX(G$5:G$66,MATCH($B441,$B$5:$B$67,0))</f>
        <v>1485</v>
      </c>
      <c r="I441" s="25">
        <f t="array" ref="I441">INDEX(H$5:H$67,MATCH($B441,$B$5:$B$67,0))</f>
        <v>118.8</v>
      </c>
      <c r="J441" s="25">
        <f t="array" ref="J441">INDEX(I$5:I$67,MATCH($B441,$B$5:$B$67,0))</f>
        <v>1100</v>
      </c>
      <c r="K441" s="25">
        <f t="array" ref="K441">INDEX(J$5:J$67,MATCH($B441,$B$5:$B$67,0))</f>
        <v>88</v>
      </c>
      <c r="L441" s="25">
        <f t="shared" si="545"/>
        <v>5580</v>
      </c>
      <c r="M441" s="25">
        <f t="shared" si="546"/>
        <v>1339</v>
      </c>
      <c r="N441" s="25">
        <f t="shared" si="547"/>
        <v>1841</v>
      </c>
      <c r="O441" s="25">
        <f t="shared" si="548"/>
        <v>1364</v>
      </c>
      <c r="R441" s="50">
        <f t="array" ref="R441">INDEX($B$46:$B$68,MATCH(S441,$C$46:$C$68,0))*1000+T441</f>
        <v>1015012</v>
      </c>
      <c r="S441" s="51" t="s">
        <v>342</v>
      </c>
      <c r="T441" s="29">
        <f t="shared" si="553"/>
        <v>12</v>
      </c>
      <c r="U441" s="25">
        <f t="array" ref="U441">INDEX(K$5:K$67,MATCH($S441,$B$5:$B$67,0))</f>
        <v>470.3</v>
      </c>
      <c r="V441" s="25">
        <f t="array" ref="V441">INDEX(L$5:L$67,MATCH($S441,$B$5:$B$67,0))</f>
        <v>66.15</v>
      </c>
      <c r="W441" s="25">
        <f t="array" ref="W441">INDEX(M$5:M$67,MATCH($S441,$B$5:$B$67,0))</f>
        <v>82.69</v>
      </c>
      <c r="X441" s="25">
        <f t="array" ref="X441">INDEX(N$5:N$67,MATCH($S441,$B$5:$B$67,0))</f>
        <v>64.6</v>
      </c>
      <c r="Y441" s="25">
        <f t="shared" si="549"/>
        <v>5644</v>
      </c>
      <c r="Z441" s="25">
        <f t="shared" si="550"/>
        <v>794</v>
      </c>
      <c r="AA441" s="25">
        <f t="shared" si="551"/>
        <v>992</v>
      </c>
      <c r="AB441" s="25">
        <f t="shared" si="552"/>
        <v>775</v>
      </c>
    </row>
    <row r="442" spans="1:28">
      <c r="A442" s="48">
        <v>1007004</v>
      </c>
      <c r="B442" s="49" t="s">
        <v>329</v>
      </c>
      <c r="C442" s="25">
        <f t="shared" si="544"/>
        <v>4</v>
      </c>
      <c r="D442" s="25">
        <f t="array" ref="D442">INDEX(C$5:C$67,MATCH($B442,$B$5:$B$67,0))</f>
        <v>4500</v>
      </c>
      <c r="E442" s="25">
        <f t="array" ref="E442">INDEX(D$5:D$67,MATCH($B442,$B$5:$B$67,0))</f>
        <v>360</v>
      </c>
      <c r="F442" s="25">
        <f t="array" ref="F442">INDEX(E$5:E$67,MATCH($B442,$B$5:$B$67,0))</f>
        <v>1080</v>
      </c>
      <c r="G442" s="25">
        <f t="array" ref="G442">INDEX(F$5:F$67,MATCH($B442,$B$5:$B$67,0))</f>
        <v>86.4</v>
      </c>
      <c r="H442" s="25">
        <f t="array" ref="H442">INDEX(G$5:G$66,MATCH($B442,$B$5:$B$67,0))</f>
        <v>1485</v>
      </c>
      <c r="I442" s="25">
        <f t="array" ref="I442">INDEX(H$5:H$67,MATCH($B442,$B$5:$B$67,0))</f>
        <v>118.8</v>
      </c>
      <c r="J442" s="25">
        <f t="array" ref="J442">INDEX(I$5:I$67,MATCH($B442,$B$5:$B$67,0))</f>
        <v>1100</v>
      </c>
      <c r="K442" s="25">
        <f t="array" ref="K442">INDEX(J$5:J$67,MATCH($B442,$B$5:$B$67,0))</f>
        <v>88</v>
      </c>
      <c r="L442" s="25">
        <f t="shared" si="545"/>
        <v>5940</v>
      </c>
      <c r="M442" s="25">
        <f t="shared" si="546"/>
        <v>1426</v>
      </c>
      <c r="N442" s="25">
        <f t="shared" si="547"/>
        <v>1960</v>
      </c>
      <c r="O442" s="25">
        <f t="shared" si="548"/>
        <v>1452</v>
      </c>
      <c r="R442" s="50">
        <f t="array" ref="R442">INDEX($B$46:$B$68,MATCH(S442,$C$46:$C$68,0))*1000+T442</f>
        <v>1015013</v>
      </c>
      <c r="S442" s="51" t="s">
        <v>342</v>
      </c>
      <c r="T442" s="29">
        <f t="shared" si="553"/>
        <v>13</v>
      </c>
      <c r="U442" s="25">
        <f t="array" ref="U442">INDEX(K$5:K$67,MATCH($S442,$B$5:$B$67,0))</f>
        <v>470.3</v>
      </c>
      <c r="V442" s="25">
        <f t="array" ref="V442">INDEX(L$5:L$67,MATCH($S442,$B$5:$B$67,0))</f>
        <v>66.15</v>
      </c>
      <c r="W442" s="25">
        <f t="array" ref="W442">INDEX(M$5:M$67,MATCH($S442,$B$5:$B$67,0))</f>
        <v>82.69</v>
      </c>
      <c r="X442" s="25">
        <f t="array" ref="X442">INDEX(N$5:N$67,MATCH($S442,$B$5:$B$67,0))</f>
        <v>64.6</v>
      </c>
      <c r="Y442" s="25">
        <f t="shared" si="549"/>
        <v>6114</v>
      </c>
      <c r="Z442" s="25">
        <f t="shared" si="550"/>
        <v>860</v>
      </c>
      <c r="AA442" s="25">
        <f t="shared" si="551"/>
        <v>1075</v>
      </c>
      <c r="AB442" s="25">
        <f t="shared" si="552"/>
        <v>840</v>
      </c>
    </row>
    <row r="443" spans="1:28">
      <c r="A443" s="48">
        <v>1007005</v>
      </c>
      <c r="B443" s="49" t="s">
        <v>329</v>
      </c>
      <c r="C443" s="25">
        <f t="shared" si="544"/>
        <v>5</v>
      </c>
      <c r="D443" s="25">
        <f t="array" ref="D443">INDEX(C$5:C$67,MATCH($B443,$B$5:$B$67,0))</f>
        <v>4500</v>
      </c>
      <c r="E443" s="25">
        <f t="array" ref="E443">INDEX(D$5:D$67,MATCH($B443,$B$5:$B$67,0))</f>
        <v>360</v>
      </c>
      <c r="F443" s="25">
        <f t="array" ref="F443">INDEX(E$5:E$67,MATCH($B443,$B$5:$B$67,0))</f>
        <v>1080</v>
      </c>
      <c r="G443" s="25">
        <f t="array" ref="G443">INDEX(F$5:F$67,MATCH($B443,$B$5:$B$67,0))</f>
        <v>86.4</v>
      </c>
      <c r="H443" s="25">
        <f t="array" ref="H443">INDEX(G$5:G$66,MATCH($B443,$B$5:$B$67,0))</f>
        <v>1485</v>
      </c>
      <c r="I443" s="25">
        <f t="array" ref="I443">INDEX(H$5:H$67,MATCH($B443,$B$5:$B$67,0))</f>
        <v>118.8</v>
      </c>
      <c r="J443" s="25">
        <f t="array" ref="J443">INDEX(I$5:I$67,MATCH($B443,$B$5:$B$67,0))</f>
        <v>1100</v>
      </c>
      <c r="K443" s="25">
        <f t="array" ref="K443">INDEX(J$5:J$67,MATCH($B443,$B$5:$B$67,0))</f>
        <v>88</v>
      </c>
      <c r="L443" s="25">
        <f t="shared" si="545"/>
        <v>6300</v>
      </c>
      <c r="M443" s="25">
        <f t="shared" si="546"/>
        <v>1512</v>
      </c>
      <c r="N443" s="25">
        <f t="shared" si="547"/>
        <v>2079</v>
      </c>
      <c r="O443" s="25">
        <f t="shared" si="548"/>
        <v>1540</v>
      </c>
      <c r="R443" s="50">
        <f t="array" ref="R443">INDEX($B$46:$B$68,MATCH(S443,$C$46:$C$68,0))*1000+T443</f>
        <v>1015014</v>
      </c>
      <c r="S443" s="51" t="s">
        <v>342</v>
      </c>
      <c r="T443" s="29">
        <f t="shared" si="553"/>
        <v>14</v>
      </c>
      <c r="U443" s="25">
        <f t="array" ref="U443">INDEX(K$5:K$67,MATCH($S443,$B$5:$B$67,0))</f>
        <v>470.3</v>
      </c>
      <c r="V443" s="25">
        <f t="array" ref="V443">INDEX(L$5:L$67,MATCH($S443,$B$5:$B$67,0))</f>
        <v>66.15</v>
      </c>
      <c r="W443" s="25">
        <f t="array" ref="W443">INDEX(M$5:M$67,MATCH($S443,$B$5:$B$67,0))</f>
        <v>82.69</v>
      </c>
      <c r="X443" s="25">
        <f t="array" ref="X443">INDEX(N$5:N$67,MATCH($S443,$B$5:$B$67,0))</f>
        <v>64.6</v>
      </c>
      <c r="Y443" s="25">
        <f t="shared" si="549"/>
        <v>6584</v>
      </c>
      <c r="Z443" s="25">
        <f t="shared" si="550"/>
        <v>926</v>
      </c>
      <c r="AA443" s="25">
        <f t="shared" si="551"/>
        <v>1158</v>
      </c>
      <c r="AB443" s="25">
        <f t="shared" si="552"/>
        <v>904</v>
      </c>
    </row>
    <row r="444" spans="1:28">
      <c r="A444" s="48">
        <v>1007006</v>
      </c>
      <c r="B444" s="49" t="s">
        <v>329</v>
      </c>
      <c r="C444" s="25">
        <f t="shared" si="544"/>
        <v>6</v>
      </c>
      <c r="D444" s="25">
        <f t="array" ref="D444">INDEX(C$5:C$67,MATCH($B444,$B$5:$B$67,0))</f>
        <v>4500</v>
      </c>
      <c r="E444" s="25">
        <f t="array" ref="E444">INDEX(D$5:D$67,MATCH($B444,$B$5:$B$67,0))</f>
        <v>360</v>
      </c>
      <c r="F444" s="25">
        <f t="array" ref="F444">INDEX(E$5:E$67,MATCH($B444,$B$5:$B$67,0))</f>
        <v>1080</v>
      </c>
      <c r="G444" s="25">
        <f t="array" ref="G444">INDEX(F$5:F$67,MATCH($B444,$B$5:$B$67,0))</f>
        <v>86.4</v>
      </c>
      <c r="H444" s="25">
        <f t="array" ref="H444">INDEX(G$5:G$66,MATCH($B444,$B$5:$B$67,0))</f>
        <v>1485</v>
      </c>
      <c r="I444" s="25">
        <f t="array" ref="I444">INDEX(H$5:H$67,MATCH($B444,$B$5:$B$67,0))</f>
        <v>118.8</v>
      </c>
      <c r="J444" s="25">
        <f t="array" ref="J444">INDEX(I$5:I$67,MATCH($B444,$B$5:$B$67,0))</f>
        <v>1100</v>
      </c>
      <c r="K444" s="25">
        <f t="array" ref="K444">INDEX(J$5:J$67,MATCH($B444,$B$5:$B$67,0))</f>
        <v>88</v>
      </c>
      <c r="L444" s="25">
        <f t="shared" si="545"/>
        <v>6660</v>
      </c>
      <c r="M444" s="25">
        <f t="shared" si="546"/>
        <v>1598</v>
      </c>
      <c r="N444" s="25">
        <f t="shared" si="547"/>
        <v>2198</v>
      </c>
      <c r="O444" s="25">
        <f t="shared" si="548"/>
        <v>1628</v>
      </c>
      <c r="R444" s="50">
        <f t="array" ref="R444">INDEX($B$46:$B$68,MATCH(S444,$C$46:$C$68,0))*1000+T444</f>
        <v>1015015</v>
      </c>
      <c r="S444" s="51" t="s">
        <v>342</v>
      </c>
      <c r="T444" s="29">
        <f t="shared" si="553"/>
        <v>15</v>
      </c>
      <c r="U444" s="25">
        <f t="array" ref="U444">INDEX(K$5:K$67,MATCH($S444,$B$5:$B$67,0))</f>
        <v>470.3</v>
      </c>
      <c r="V444" s="25">
        <f t="array" ref="V444">INDEX(L$5:L$67,MATCH($S444,$B$5:$B$67,0))</f>
        <v>66.15</v>
      </c>
      <c r="W444" s="25">
        <f t="array" ref="W444">INDEX(M$5:M$67,MATCH($S444,$B$5:$B$67,0))</f>
        <v>82.69</v>
      </c>
      <c r="X444" s="25">
        <f t="array" ref="X444">INDEX(N$5:N$67,MATCH($S444,$B$5:$B$67,0))</f>
        <v>64.6</v>
      </c>
      <c r="Y444" s="25">
        <f t="shared" si="549"/>
        <v>7055</v>
      </c>
      <c r="Z444" s="25">
        <f t="shared" si="550"/>
        <v>992</v>
      </c>
      <c r="AA444" s="25">
        <f t="shared" si="551"/>
        <v>1240</v>
      </c>
      <c r="AB444" s="25">
        <f t="shared" si="552"/>
        <v>969</v>
      </c>
    </row>
    <row r="445" spans="1:28">
      <c r="A445" s="48">
        <v>1007007</v>
      </c>
      <c r="B445" s="49" t="s">
        <v>329</v>
      </c>
      <c r="C445" s="25">
        <f t="shared" si="544"/>
        <v>7</v>
      </c>
      <c r="D445" s="25">
        <f t="array" ref="D445">INDEX(C$5:C$67,MATCH($B445,$B$5:$B$67,0))</f>
        <v>4500</v>
      </c>
      <c r="E445" s="25">
        <f t="array" ref="E445">INDEX(D$5:D$67,MATCH($B445,$B$5:$B$67,0))</f>
        <v>360</v>
      </c>
      <c r="F445" s="25">
        <f t="array" ref="F445">INDEX(E$5:E$67,MATCH($B445,$B$5:$B$67,0))</f>
        <v>1080</v>
      </c>
      <c r="G445" s="25">
        <f t="array" ref="G445">INDEX(F$5:F$67,MATCH($B445,$B$5:$B$67,0))</f>
        <v>86.4</v>
      </c>
      <c r="H445" s="25">
        <f t="array" ref="H445">INDEX(G$5:G$66,MATCH($B445,$B$5:$B$67,0))</f>
        <v>1485</v>
      </c>
      <c r="I445" s="25">
        <f t="array" ref="I445">INDEX(H$5:H$67,MATCH($B445,$B$5:$B$67,0))</f>
        <v>118.8</v>
      </c>
      <c r="J445" s="25">
        <f t="array" ref="J445">INDEX(I$5:I$67,MATCH($B445,$B$5:$B$67,0))</f>
        <v>1100</v>
      </c>
      <c r="K445" s="25">
        <f t="array" ref="K445">INDEX(J$5:J$67,MATCH($B445,$B$5:$B$67,0))</f>
        <v>88</v>
      </c>
      <c r="L445" s="25">
        <f t="shared" si="545"/>
        <v>7020</v>
      </c>
      <c r="M445" s="25">
        <f t="shared" si="546"/>
        <v>1685</v>
      </c>
      <c r="N445" s="25">
        <f t="shared" si="547"/>
        <v>2317</v>
      </c>
      <c r="O445" s="25">
        <f t="shared" si="548"/>
        <v>1716</v>
      </c>
      <c r="R445" s="50">
        <f t="array" ref="R445">INDEX($B$46:$B$68,MATCH(S445,$C$46:$C$68,0))*1000+T445</f>
        <v>1015016</v>
      </c>
      <c r="S445" s="51" t="s">
        <v>342</v>
      </c>
      <c r="T445" s="29">
        <f t="shared" si="553"/>
        <v>16</v>
      </c>
      <c r="U445" s="25">
        <f t="array" ref="U445">INDEX(K$5:K$67,MATCH($S445,$B$5:$B$67,0))</f>
        <v>470.3</v>
      </c>
      <c r="V445" s="25">
        <f t="array" ref="V445">INDEX(L$5:L$67,MATCH($S445,$B$5:$B$67,0))</f>
        <v>66.15</v>
      </c>
      <c r="W445" s="25">
        <f t="array" ref="W445">INDEX(M$5:M$67,MATCH($S445,$B$5:$B$67,0))</f>
        <v>82.69</v>
      </c>
      <c r="X445" s="25">
        <f t="array" ref="X445">INDEX(N$5:N$67,MATCH($S445,$B$5:$B$67,0))</f>
        <v>64.6</v>
      </c>
      <c r="Y445" s="25">
        <f t="shared" si="549"/>
        <v>7525</v>
      </c>
      <c r="Z445" s="25">
        <f t="shared" si="550"/>
        <v>1058</v>
      </c>
      <c r="AA445" s="25">
        <f t="shared" si="551"/>
        <v>1323</v>
      </c>
      <c r="AB445" s="25">
        <f t="shared" si="552"/>
        <v>1034</v>
      </c>
    </row>
    <row r="446" spans="1:28">
      <c r="A446" s="48">
        <v>1007008</v>
      </c>
      <c r="B446" s="49" t="s">
        <v>329</v>
      </c>
      <c r="C446" s="25">
        <f t="shared" si="544"/>
        <v>8</v>
      </c>
      <c r="D446" s="25">
        <f t="array" ref="D446">INDEX(C$5:C$67,MATCH($B446,$B$5:$B$67,0))</f>
        <v>4500</v>
      </c>
      <c r="E446" s="25">
        <f t="array" ref="E446">INDEX(D$5:D$67,MATCH($B446,$B$5:$B$67,0))</f>
        <v>360</v>
      </c>
      <c r="F446" s="25">
        <f t="array" ref="F446">INDEX(E$5:E$67,MATCH($B446,$B$5:$B$67,0))</f>
        <v>1080</v>
      </c>
      <c r="G446" s="25">
        <f t="array" ref="G446">INDEX(F$5:F$67,MATCH($B446,$B$5:$B$67,0))</f>
        <v>86.4</v>
      </c>
      <c r="H446" s="25">
        <f t="array" ref="H446">INDEX(G$5:G$66,MATCH($B446,$B$5:$B$67,0))</f>
        <v>1485</v>
      </c>
      <c r="I446" s="25">
        <f t="array" ref="I446">INDEX(H$5:H$67,MATCH($B446,$B$5:$B$67,0))</f>
        <v>118.8</v>
      </c>
      <c r="J446" s="25">
        <f t="array" ref="J446">INDEX(I$5:I$67,MATCH($B446,$B$5:$B$67,0))</f>
        <v>1100</v>
      </c>
      <c r="K446" s="25">
        <f t="array" ref="K446">INDEX(J$5:J$67,MATCH($B446,$B$5:$B$67,0))</f>
        <v>88</v>
      </c>
      <c r="L446" s="25">
        <f t="shared" si="545"/>
        <v>7380</v>
      </c>
      <c r="M446" s="25">
        <f t="shared" si="546"/>
        <v>1771</v>
      </c>
      <c r="N446" s="25">
        <f t="shared" si="547"/>
        <v>2435</v>
      </c>
      <c r="O446" s="25">
        <f t="shared" si="548"/>
        <v>1804</v>
      </c>
      <c r="R446" s="50">
        <f t="array" ref="R446">INDEX($B$46:$B$68,MATCH(S446,$C$46:$C$68,0))*1000+T446</f>
        <v>1015017</v>
      </c>
      <c r="S446" s="51" t="s">
        <v>342</v>
      </c>
      <c r="T446" s="29">
        <f t="shared" si="553"/>
        <v>17</v>
      </c>
      <c r="U446" s="25">
        <f t="array" ref="U446">INDEX(K$5:K$67,MATCH($S446,$B$5:$B$67,0))</f>
        <v>470.3</v>
      </c>
      <c r="V446" s="25">
        <f t="array" ref="V446">INDEX(L$5:L$67,MATCH($S446,$B$5:$B$67,0))</f>
        <v>66.15</v>
      </c>
      <c r="W446" s="25">
        <f t="array" ref="W446">INDEX(M$5:M$67,MATCH($S446,$B$5:$B$67,0))</f>
        <v>82.69</v>
      </c>
      <c r="X446" s="25">
        <f t="array" ref="X446">INDEX(N$5:N$67,MATCH($S446,$B$5:$B$67,0))</f>
        <v>64.6</v>
      </c>
      <c r="Y446" s="25">
        <f t="shared" si="549"/>
        <v>7995</v>
      </c>
      <c r="Z446" s="25">
        <f t="shared" si="550"/>
        <v>1125</v>
      </c>
      <c r="AA446" s="25">
        <f t="shared" si="551"/>
        <v>1406</v>
      </c>
      <c r="AB446" s="25">
        <f t="shared" si="552"/>
        <v>1098</v>
      </c>
    </row>
    <row r="447" spans="1:28">
      <c r="A447" s="48">
        <v>1007009</v>
      </c>
      <c r="B447" s="49" t="s">
        <v>329</v>
      </c>
      <c r="C447" s="25">
        <f t="shared" si="544"/>
        <v>9</v>
      </c>
      <c r="D447" s="25">
        <f t="array" ref="D447">INDEX(C$5:C$67,MATCH($B447,$B$5:$B$67,0))</f>
        <v>4500</v>
      </c>
      <c r="E447" s="25">
        <f t="array" ref="E447">INDEX(D$5:D$67,MATCH($B447,$B$5:$B$67,0))</f>
        <v>360</v>
      </c>
      <c r="F447" s="25">
        <f t="array" ref="F447">INDEX(E$5:E$67,MATCH($B447,$B$5:$B$67,0))</f>
        <v>1080</v>
      </c>
      <c r="G447" s="25">
        <f t="array" ref="G447">INDEX(F$5:F$67,MATCH($B447,$B$5:$B$67,0))</f>
        <v>86.4</v>
      </c>
      <c r="H447" s="25">
        <f t="array" ref="H447">INDEX(G$5:G$66,MATCH($B447,$B$5:$B$67,0))</f>
        <v>1485</v>
      </c>
      <c r="I447" s="25">
        <f t="array" ref="I447">INDEX(H$5:H$67,MATCH($B447,$B$5:$B$67,0))</f>
        <v>118.8</v>
      </c>
      <c r="J447" s="25">
        <f t="array" ref="J447">INDEX(I$5:I$67,MATCH($B447,$B$5:$B$67,0))</f>
        <v>1100</v>
      </c>
      <c r="K447" s="25">
        <f t="array" ref="K447">INDEX(J$5:J$67,MATCH($B447,$B$5:$B$67,0))</f>
        <v>88</v>
      </c>
      <c r="L447" s="25">
        <f t="shared" si="545"/>
        <v>7740</v>
      </c>
      <c r="M447" s="25">
        <f t="shared" si="546"/>
        <v>1858</v>
      </c>
      <c r="N447" s="25">
        <f t="shared" si="547"/>
        <v>2554</v>
      </c>
      <c r="O447" s="25">
        <f t="shared" si="548"/>
        <v>1892</v>
      </c>
      <c r="R447" s="50">
        <f t="array" ref="R447">INDEX($B$46:$B$68,MATCH(S447,$C$46:$C$68,0))*1000+T447</f>
        <v>1015018</v>
      </c>
      <c r="S447" s="51" t="s">
        <v>342</v>
      </c>
      <c r="T447" s="29">
        <f t="shared" si="553"/>
        <v>18</v>
      </c>
      <c r="U447" s="25">
        <f t="array" ref="U447">INDEX(K$5:K$67,MATCH($S447,$B$5:$B$67,0))</f>
        <v>470.3</v>
      </c>
      <c r="V447" s="25">
        <f t="array" ref="V447">INDEX(L$5:L$67,MATCH($S447,$B$5:$B$67,0))</f>
        <v>66.15</v>
      </c>
      <c r="W447" s="25">
        <f t="array" ref="W447">INDEX(M$5:M$67,MATCH($S447,$B$5:$B$67,0))</f>
        <v>82.69</v>
      </c>
      <c r="X447" s="25">
        <f t="array" ref="X447">INDEX(N$5:N$67,MATCH($S447,$B$5:$B$67,0))</f>
        <v>64.6</v>
      </c>
      <c r="Y447" s="25">
        <f t="shared" si="549"/>
        <v>8465</v>
      </c>
      <c r="Z447" s="25">
        <f t="shared" si="550"/>
        <v>1191</v>
      </c>
      <c r="AA447" s="25">
        <f t="shared" si="551"/>
        <v>1488</v>
      </c>
      <c r="AB447" s="25">
        <f t="shared" si="552"/>
        <v>1163</v>
      </c>
    </row>
    <row r="448" spans="1:28">
      <c r="A448" s="48">
        <v>1007010</v>
      </c>
      <c r="B448" s="49" t="s">
        <v>329</v>
      </c>
      <c r="C448" s="25">
        <f t="shared" si="544"/>
        <v>10</v>
      </c>
      <c r="D448" s="25">
        <f t="array" ref="D448">INDEX(C$5:C$67,MATCH($B448,$B$5:$B$67,0))</f>
        <v>4500</v>
      </c>
      <c r="E448" s="25">
        <f t="array" ref="E448">INDEX(D$5:D$67,MATCH($B448,$B$5:$B$67,0))</f>
        <v>360</v>
      </c>
      <c r="F448" s="25">
        <f t="array" ref="F448">INDEX(E$5:E$67,MATCH($B448,$B$5:$B$67,0))</f>
        <v>1080</v>
      </c>
      <c r="G448" s="25">
        <f t="array" ref="G448">INDEX(F$5:F$67,MATCH($B448,$B$5:$B$67,0))</f>
        <v>86.4</v>
      </c>
      <c r="H448" s="25">
        <f t="array" ref="H448">INDEX(G$5:G$66,MATCH($B448,$B$5:$B$67,0))</f>
        <v>1485</v>
      </c>
      <c r="I448" s="25">
        <f t="array" ref="I448">INDEX(H$5:H$67,MATCH($B448,$B$5:$B$67,0))</f>
        <v>118.8</v>
      </c>
      <c r="J448" s="25">
        <f t="array" ref="J448">INDEX(I$5:I$67,MATCH($B448,$B$5:$B$67,0))</f>
        <v>1100</v>
      </c>
      <c r="K448" s="25">
        <f t="array" ref="K448">INDEX(J$5:J$67,MATCH($B448,$B$5:$B$67,0))</f>
        <v>88</v>
      </c>
      <c r="L448" s="25">
        <f t="shared" si="545"/>
        <v>8100</v>
      </c>
      <c r="M448" s="25">
        <f t="shared" si="546"/>
        <v>1944</v>
      </c>
      <c r="N448" s="25">
        <f t="shared" si="547"/>
        <v>2673</v>
      </c>
      <c r="O448" s="25">
        <f t="shared" si="548"/>
        <v>1980</v>
      </c>
      <c r="R448" s="50">
        <f t="array" ref="R448">INDEX($B$46:$B$68,MATCH(S448,$C$46:$C$68,0))*1000+T448</f>
        <v>1015019</v>
      </c>
      <c r="S448" s="51" t="s">
        <v>342</v>
      </c>
      <c r="T448" s="29">
        <f t="shared" si="553"/>
        <v>19</v>
      </c>
      <c r="U448" s="25">
        <f t="array" ref="U448">INDEX(K$5:K$67,MATCH($S448,$B$5:$B$67,0))</f>
        <v>470.3</v>
      </c>
      <c r="V448" s="25">
        <f t="array" ref="V448">INDEX(L$5:L$67,MATCH($S448,$B$5:$B$67,0))</f>
        <v>66.15</v>
      </c>
      <c r="W448" s="25">
        <f t="array" ref="W448">INDEX(M$5:M$67,MATCH($S448,$B$5:$B$67,0))</f>
        <v>82.69</v>
      </c>
      <c r="X448" s="25">
        <f t="array" ref="X448">INDEX(N$5:N$67,MATCH($S448,$B$5:$B$67,0))</f>
        <v>64.6</v>
      </c>
      <c r="Y448" s="25">
        <f t="shared" si="549"/>
        <v>8936</v>
      </c>
      <c r="Z448" s="25">
        <f t="shared" si="550"/>
        <v>1257</v>
      </c>
      <c r="AA448" s="25">
        <f t="shared" si="551"/>
        <v>1571</v>
      </c>
      <c r="AB448" s="25">
        <f t="shared" si="552"/>
        <v>1227</v>
      </c>
    </row>
    <row r="449" spans="1:28">
      <c r="A449" s="48">
        <v>1007011</v>
      </c>
      <c r="B449" s="49" t="s">
        <v>329</v>
      </c>
      <c r="C449" s="25">
        <f t="shared" si="544"/>
        <v>11</v>
      </c>
      <c r="D449" s="25">
        <f t="array" ref="D449">INDEX(C$5:C$67,MATCH($B449,$B$5:$B$67,0))</f>
        <v>4500</v>
      </c>
      <c r="E449" s="25">
        <f t="array" ref="E449">INDEX(D$5:D$67,MATCH($B449,$B$5:$B$67,0))</f>
        <v>360</v>
      </c>
      <c r="F449" s="25">
        <f t="array" ref="F449">INDEX(E$5:E$67,MATCH($B449,$B$5:$B$67,0))</f>
        <v>1080</v>
      </c>
      <c r="G449" s="25">
        <f t="array" ref="G449">INDEX(F$5:F$67,MATCH($B449,$B$5:$B$67,0))</f>
        <v>86.4</v>
      </c>
      <c r="H449" s="25">
        <f t="array" ref="H449">INDEX(G$5:G$66,MATCH($B449,$B$5:$B$67,0))</f>
        <v>1485</v>
      </c>
      <c r="I449" s="25">
        <f t="array" ref="I449">INDEX(H$5:H$67,MATCH($B449,$B$5:$B$67,0))</f>
        <v>118.8</v>
      </c>
      <c r="J449" s="25">
        <f t="array" ref="J449">INDEX(I$5:I$67,MATCH($B449,$B$5:$B$67,0))</f>
        <v>1100</v>
      </c>
      <c r="K449" s="25">
        <f t="array" ref="K449">INDEX(J$5:J$67,MATCH($B449,$B$5:$B$67,0))</f>
        <v>88</v>
      </c>
      <c r="L449" s="25">
        <f t="shared" si="545"/>
        <v>8460</v>
      </c>
      <c r="M449" s="25">
        <f t="shared" si="546"/>
        <v>2030</v>
      </c>
      <c r="N449" s="25">
        <f t="shared" si="547"/>
        <v>2792</v>
      </c>
      <c r="O449" s="25">
        <f t="shared" si="548"/>
        <v>2068</v>
      </c>
      <c r="R449" s="50">
        <f t="array" ref="R449">INDEX($B$46:$B$68,MATCH(S449,$C$46:$C$68,0))*1000+T449</f>
        <v>1015020</v>
      </c>
      <c r="S449" s="51" t="s">
        <v>342</v>
      </c>
      <c r="T449" s="29">
        <f t="shared" si="553"/>
        <v>20</v>
      </c>
      <c r="U449" s="25">
        <f t="array" ref="U449">INDEX(K$5:K$67,MATCH($S449,$B$5:$B$67,0))</f>
        <v>470.3</v>
      </c>
      <c r="V449" s="25">
        <f t="array" ref="V449">INDEX(L$5:L$67,MATCH($S449,$B$5:$B$67,0))</f>
        <v>66.15</v>
      </c>
      <c r="W449" s="25">
        <f t="array" ref="W449">INDEX(M$5:M$67,MATCH($S449,$B$5:$B$67,0))</f>
        <v>82.69</v>
      </c>
      <c r="X449" s="25">
        <f t="array" ref="X449">INDEX(N$5:N$67,MATCH($S449,$B$5:$B$67,0))</f>
        <v>64.6</v>
      </c>
      <c r="Y449" s="25">
        <f t="shared" si="549"/>
        <v>9406</v>
      </c>
      <c r="Z449" s="25">
        <f t="shared" si="550"/>
        <v>1323</v>
      </c>
      <c r="AA449" s="25">
        <f t="shared" si="551"/>
        <v>1654</v>
      </c>
      <c r="AB449" s="25">
        <f t="shared" si="552"/>
        <v>1292</v>
      </c>
    </row>
    <row r="450" spans="1:28">
      <c r="A450" s="48">
        <v>1007012</v>
      </c>
      <c r="B450" s="49" t="s">
        <v>329</v>
      </c>
      <c r="C450" s="25">
        <f t="shared" si="544"/>
        <v>12</v>
      </c>
      <c r="D450" s="25">
        <f t="array" ref="D450">INDEX(C$5:C$67,MATCH($B450,$B$5:$B$67,0))</f>
        <v>4500</v>
      </c>
      <c r="E450" s="25">
        <f t="array" ref="E450">INDEX(D$5:D$67,MATCH($B450,$B$5:$B$67,0))</f>
        <v>360</v>
      </c>
      <c r="F450" s="25">
        <f t="array" ref="F450">INDEX(E$5:E$67,MATCH($B450,$B$5:$B$67,0))</f>
        <v>1080</v>
      </c>
      <c r="G450" s="25">
        <f t="array" ref="G450">INDEX(F$5:F$67,MATCH($B450,$B$5:$B$67,0))</f>
        <v>86.4</v>
      </c>
      <c r="H450" s="25">
        <f t="array" ref="H450">INDEX(G$5:G$66,MATCH($B450,$B$5:$B$67,0))</f>
        <v>1485</v>
      </c>
      <c r="I450" s="25">
        <f t="array" ref="I450">INDEX(H$5:H$67,MATCH($B450,$B$5:$B$67,0))</f>
        <v>118.8</v>
      </c>
      <c r="J450" s="25">
        <f t="array" ref="J450">INDEX(I$5:I$67,MATCH($B450,$B$5:$B$67,0))</f>
        <v>1100</v>
      </c>
      <c r="K450" s="25">
        <f t="array" ref="K450">INDEX(J$5:J$67,MATCH($B450,$B$5:$B$67,0))</f>
        <v>88</v>
      </c>
      <c r="L450" s="25">
        <f t="shared" si="545"/>
        <v>8820</v>
      </c>
      <c r="M450" s="25">
        <f t="shared" si="546"/>
        <v>2117</v>
      </c>
      <c r="N450" s="25">
        <f t="shared" si="547"/>
        <v>2911</v>
      </c>
      <c r="O450" s="25">
        <f t="shared" si="548"/>
        <v>2156</v>
      </c>
      <c r="R450" s="50">
        <f t="array" ref="R450">INDEX($B$46:$B$68,MATCH(S450,$C$46:$C$68,0))*1000+T450</f>
        <v>1015021</v>
      </c>
      <c r="S450" s="51" t="s">
        <v>342</v>
      </c>
      <c r="T450" s="29">
        <f t="shared" si="553"/>
        <v>21</v>
      </c>
      <c r="U450" s="25">
        <f t="array" ref="U450">INDEX(K$5:K$67,MATCH($S450,$B$5:$B$67,0))</f>
        <v>470.3</v>
      </c>
      <c r="V450" s="25">
        <f t="array" ref="V450">INDEX(L$5:L$67,MATCH($S450,$B$5:$B$67,0))</f>
        <v>66.15</v>
      </c>
      <c r="W450" s="25">
        <f t="array" ref="W450">INDEX(M$5:M$67,MATCH($S450,$B$5:$B$67,0))</f>
        <v>82.69</v>
      </c>
      <c r="X450" s="25">
        <f t="array" ref="X450">INDEX(N$5:N$67,MATCH($S450,$B$5:$B$67,0))</f>
        <v>64.6</v>
      </c>
      <c r="Y450" s="25">
        <f t="shared" si="549"/>
        <v>9876</v>
      </c>
      <c r="Z450" s="25">
        <f t="shared" si="550"/>
        <v>1389</v>
      </c>
      <c r="AA450" s="25">
        <f t="shared" si="551"/>
        <v>1736</v>
      </c>
      <c r="AB450" s="25">
        <f t="shared" si="552"/>
        <v>1357</v>
      </c>
    </row>
    <row r="451" spans="1:28">
      <c r="A451" s="48">
        <v>1007013</v>
      </c>
      <c r="B451" s="49" t="s">
        <v>329</v>
      </c>
      <c r="C451" s="25">
        <f t="shared" si="544"/>
        <v>13</v>
      </c>
      <c r="D451" s="25">
        <f t="array" ref="D451">INDEX(C$5:C$67,MATCH($B451,$B$5:$B$67,0))</f>
        <v>4500</v>
      </c>
      <c r="E451" s="25">
        <f t="array" ref="E451">INDEX(D$5:D$67,MATCH($B451,$B$5:$B$67,0))</f>
        <v>360</v>
      </c>
      <c r="F451" s="25">
        <f t="array" ref="F451">INDEX(E$5:E$67,MATCH($B451,$B$5:$B$67,0))</f>
        <v>1080</v>
      </c>
      <c r="G451" s="25">
        <f t="array" ref="G451">INDEX(F$5:F$67,MATCH($B451,$B$5:$B$67,0))</f>
        <v>86.4</v>
      </c>
      <c r="H451" s="25">
        <f t="array" ref="H451">INDEX(G$5:G$66,MATCH($B451,$B$5:$B$67,0))</f>
        <v>1485</v>
      </c>
      <c r="I451" s="25">
        <f t="array" ref="I451">INDEX(H$5:H$67,MATCH($B451,$B$5:$B$67,0))</f>
        <v>118.8</v>
      </c>
      <c r="J451" s="25">
        <f t="array" ref="J451">INDEX(I$5:I$67,MATCH($B451,$B$5:$B$67,0))</f>
        <v>1100</v>
      </c>
      <c r="K451" s="25">
        <f t="array" ref="K451">INDEX(J$5:J$67,MATCH($B451,$B$5:$B$67,0))</f>
        <v>88</v>
      </c>
      <c r="L451" s="25">
        <f t="shared" si="545"/>
        <v>9180</v>
      </c>
      <c r="M451" s="25">
        <f t="shared" si="546"/>
        <v>2203</v>
      </c>
      <c r="N451" s="25">
        <f t="shared" si="547"/>
        <v>3029</v>
      </c>
      <c r="O451" s="25">
        <f t="shared" si="548"/>
        <v>2244</v>
      </c>
      <c r="R451" s="50">
        <f t="array" ref="R451">INDEX($B$46:$B$68,MATCH(S451,$C$46:$C$68,0))*1000+T451</f>
        <v>1015022</v>
      </c>
      <c r="S451" s="51" t="s">
        <v>342</v>
      </c>
      <c r="T451" s="29">
        <f t="shared" si="553"/>
        <v>22</v>
      </c>
      <c r="U451" s="25">
        <f t="array" ref="U451">INDEX(K$5:K$67,MATCH($S451,$B$5:$B$67,0))</f>
        <v>470.3</v>
      </c>
      <c r="V451" s="25">
        <f t="array" ref="V451">INDEX(L$5:L$67,MATCH($S451,$B$5:$B$67,0))</f>
        <v>66.15</v>
      </c>
      <c r="W451" s="25">
        <f t="array" ref="W451">INDEX(M$5:M$67,MATCH($S451,$B$5:$B$67,0))</f>
        <v>82.69</v>
      </c>
      <c r="X451" s="25">
        <f t="array" ref="X451">INDEX(N$5:N$67,MATCH($S451,$B$5:$B$67,0))</f>
        <v>64.6</v>
      </c>
      <c r="Y451" s="25">
        <f t="shared" si="549"/>
        <v>10347</v>
      </c>
      <c r="Z451" s="25">
        <f t="shared" si="550"/>
        <v>1455</v>
      </c>
      <c r="AA451" s="25">
        <f t="shared" si="551"/>
        <v>1819</v>
      </c>
      <c r="AB451" s="25">
        <f t="shared" si="552"/>
        <v>1421</v>
      </c>
    </row>
    <row r="452" spans="1:28">
      <c r="A452" s="48">
        <v>1007014</v>
      </c>
      <c r="B452" s="49" t="s">
        <v>329</v>
      </c>
      <c r="C452" s="25">
        <f t="shared" si="544"/>
        <v>14</v>
      </c>
      <c r="D452" s="25">
        <f t="array" ref="D452">INDEX(C$5:C$67,MATCH($B452,$B$5:$B$67,0))</f>
        <v>4500</v>
      </c>
      <c r="E452" s="25">
        <f t="array" ref="E452">INDEX(D$5:D$67,MATCH($B452,$B$5:$B$67,0))</f>
        <v>360</v>
      </c>
      <c r="F452" s="25">
        <f t="array" ref="F452">INDEX(E$5:E$67,MATCH($B452,$B$5:$B$67,0))</f>
        <v>1080</v>
      </c>
      <c r="G452" s="25">
        <f t="array" ref="G452">INDEX(F$5:F$67,MATCH($B452,$B$5:$B$67,0))</f>
        <v>86.4</v>
      </c>
      <c r="H452" s="25">
        <f t="array" ref="H452">INDEX(G$5:G$66,MATCH($B452,$B$5:$B$67,0))</f>
        <v>1485</v>
      </c>
      <c r="I452" s="25">
        <f t="array" ref="I452">INDEX(H$5:H$67,MATCH($B452,$B$5:$B$67,0))</f>
        <v>118.8</v>
      </c>
      <c r="J452" s="25">
        <f t="array" ref="J452">INDEX(I$5:I$67,MATCH($B452,$B$5:$B$67,0))</f>
        <v>1100</v>
      </c>
      <c r="K452" s="25">
        <f t="array" ref="K452">INDEX(J$5:J$67,MATCH($B452,$B$5:$B$67,0))</f>
        <v>88</v>
      </c>
      <c r="L452" s="25">
        <f t="shared" si="545"/>
        <v>9540</v>
      </c>
      <c r="M452" s="25">
        <f t="shared" si="546"/>
        <v>2290</v>
      </c>
      <c r="N452" s="25">
        <f t="shared" si="547"/>
        <v>3148</v>
      </c>
      <c r="O452" s="25">
        <f t="shared" si="548"/>
        <v>2332</v>
      </c>
      <c r="R452" s="50">
        <f t="array" ref="R452">INDEX($B$46:$B$68,MATCH(S452,$C$46:$C$68,0))*1000+T452</f>
        <v>1015023</v>
      </c>
      <c r="S452" s="51" t="s">
        <v>342</v>
      </c>
      <c r="T452" s="29">
        <f t="shared" si="553"/>
        <v>23</v>
      </c>
      <c r="U452" s="25">
        <f t="array" ref="U452">INDEX(K$5:K$67,MATCH($S452,$B$5:$B$67,0))</f>
        <v>470.3</v>
      </c>
      <c r="V452" s="25">
        <f t="array" ref="V452">INDEX(L$5:L$67,MATCH($S452,$B$5:$B$67,0))</f>
        <v>66.15</v>
      </c>
      <c r="W452" s="25">
        <f t="array" ref="W452">INDEX(M$5:M$67,MATCH($S452,$B$5:$B$67,0))</f>
        <v>82.69</v>
      </c>
      <c r="X452" s="25">
        <f t="array" ref="X452">INDEX(N$5:N$67,MATCH($S452,$B$5:$B$67,0))</f>
        <v>64.6</v>
      </c>
      <c r="Y452" s="25">
        <f t="shared" si="549"/>
        <v>10817</v>
      </c>
      <c r="Z452" s="25">
        <f t="shared" si="550"/>
        <v>1521</v>
      </c>
      <c r="AA452" s="25">
        <f t="shared" si="551"/>
        <v>1902</v>
      </c>
      <c r="AB452" s="25">
        <f t="shared" si="552"/>
        <v>1486</v>
      </c>
    </row>
    <row r="453" spans="1:28">
      <c r="A453" s="48">
        <v>1007015</v>
      </c>
      <c r="B453" s="49" t="s">
        <v>329</v>
      </c>
      <c r="C453" s="25">
        <f t="shared" si="544"/>
        <v>15</v>
      </c>
      <c r="D453" s="25">
        <f t="array" ref="D453">INDEX(C$5:C$67,MATCH($B453,$B$5:$B$67,0))</f>
        <v>4500</v>
      </c>
      <c r="E453" s="25">
        <f t="array" ref="E453">INDEX(D$5:D$67,MATCH($B453,$B$5:$B$67,0))</f>
        <v>360</v>
      </c>
      <c r="F453" s="25">
        <f t="array" ref="F453">INDEX(E$5:E$67,MATCH($B453,$B$5:$B$67,0))</f>
        <v>1080</v>
      </c>
      <c r="G453" s="25">
        <f t="array" ref="G453">INDEX(F$5:F$67,MATCH($B453,$B$5:$B$67,0))</f>
        <v>86.4</v>
      </c>
      <c r="H453" s="25">
        <f t="array" ref="H453">INDEX(G$5:G$66,MATCH($B453,$B$5:$B$67,0))</f>
        <v>1485</v>
      </c>
      <c r="I453" s="25">
        <f t="array" ref="I453">INDEX(H$5:H$67,MATCH($B453,$B$5:$B$67,0))</f>
        <v>118.8</v>
      </c>
      <c r="J453" s="25">
        <f t="array" ref="J453">INDEX(I$5:I$67,MATCH($B453,$B$5:$B$67,0))</f>
        <v>1100</v>
      </c>
      <c r="K453" s="25">
        <f t="array" ref="K453">INDEX(J$5:J$67,MATCH($B453,$B$5:$B$67,0))</f>
        <v>88</v>
      </c>
      <c r="L453" s="25">
        <f t="shared" si="545"/>
        <v>9900</v>
      </c>
      <c r="M453" s="25">
        <f t="shared" si="546"/>
        <v>2376</v>
      </c>
      <c r="N453" s="25">
        <f t="shared" si="547"/>
        <v>3267</v>
      </c>
      <c r="O453" s="25">
        <f t="shared" si="548"/>
        <v>2420</v>
      </c>
      <c r="R453" s="50">
        <f t="array" ref="R453">INDEX($B$46:$B$68,MATCH(S453,$C$46:$C$68,0))*1000+T453</f>
        <v>1015024</v>
      </c>
      <c r="S453" s="51" t="s">
        <v>342</v>
      </c>
      <c r="T453" s="29">
        <f t="shared" si="553"/>
        <v>24</v>
      </c>
      <c r="U453" s="25">
        <f t="array" ref="U453">INDEX(K$5:K$67,MATCH($S453,$B$5:$B$67,0))</f>
        <v>470.3</v>
      </c>
      <c r="V453" s="25">
        <f t="array" ref="V453">INDEX(L$5:L$67,MATCH($S453,$B$5:$B$67,0))</f>
        <v>66.15</v>
      </c>
      <c r="W453" s="25">
        <f t="array" ref="W453">INDEX(M$5:M$67,MATCH($S453,$B$5:$B$67,0))</f>
        <v>82.69</v>
      </c>
      <c r="X453" s="25">
        <f t="array" ref="X453">INDEX(N$5:N$67,MATCH($S453,$B$5:$B$67,0))</f>
        <v>64.6</v>
      </c>
      <c r="Y453" s="25">
        <f t="shared" si="549"/>
        <v>11287</v>
      </c>
      <c r="Z453" s="25">
        <f t="shared" si="550"/>
        <v>1588</v>
      </c>
      <c r="AA453" s="25">
        <f t="shared" si="551"/>
        <v>1985</v>
      </c>
      <c r="AB453" s="25">
        <f t="shared" si="552"/>
        <v>1550</v>
      </c>
    </row>
    <row r="454" spans="1:28">
      <c r="A454" s="48">
        <v>1007016</v>
      </c>
      <c r="B454" s="49" t="s">
        <v>329</v>
      </c>
      <c r="C454" s="25">
        <f t="shared" si="544"/>
        <v>16</v>
      </c>
      <c r="D454" s="25">
        <f t="array" ref="D454">INDEX(C$5:C$67,MATCH($B454,$B$5:$B$67,0))</f>
        <v>4500</v>
      </c>
      <c r="E454" s="25">
        <f t="array" ref="E454">INDEX(D$5:D$67,MATCH($B454,$B$5:$B$67,0))</f>
        <v>360</v>
      </c>
      <c r="F454" s="25">
        <f t="array" ref="F454">INDEX(E$5:E$67,MATCH($B454,$B$5:$B$67,0))</f>
        <v>1080</v>
      </c>
      <c r="G454" s="25">
        <f t="array" ref="G454">INDEX(F$5:F$67,MATCH($B454,$B$5:$B$67,0))</f>
        <v>86.4</v>
      </c>
      <c r="H454" s="25">
        <f t="array" ref="H454">INDEX(G$5:G$66,MATCH($B454,$B$5:$B$67,0))</f>
        <v>1485</v>
      </c>
      <c r="I454" s="25">
        <f t="array" ref="I454">INDEX(H$5:H$67,MATCH($B454,$B$5:$B$67,0))</f>
        <v>118.8</v>
      </c>
      <c r="J454" s="25">
        <f t="array" ref="J454">INDEX(I$5:I$67,MATCH($B454,$B$5:$B$67,0))</f>
        <v>1100</v>
      </c>
      <c r="K454" s="25">
        <f t="array" ref="K454">INDEX(J$5:J$67,MATCH($B454,$B$5:$B$67,0))</f>
        <v>88</v>
      </c>
      <c r="L454" s="25">
        <f t="shared" si="545"/>
        <v>10260</v>
      </c>
      <c r="M454" s="25">
        <f t="shared" si="546"/>
        <v>2462</v>
      </c>
      <c r="N454" s="25">
        <f t="shared" si="547"/>
        <v>3386</v>
      </c>
      <c r="O454" s="25">
        <f t="shared" si="548"/>
        <v>2508</v>
      </c>
      <c r="R454" s="50">
        <f t="array" ref="R454">INDEX($B$46:$B$68,MATCH(S454,$C$46:$C$68,0))*1000+T454</f>
        <v>1015025</v>
      </c>
      <c r="S454" s="51" t="s">
        <v>342</v>
      </c>
      <c r="T454" s="29">
        <f t="shared" si="553"/>
        <v>25</v>
      </c>
      <c r="U454" s="25">
        <f t="array" ref="U454">INDEX(K$5:K$67,MATCH($S454,$B$5:$B$67,0))</f>
        <v>470.3</v>
      </c>
      <c r="V454" s="25">
        <f t="array" ref="V454">INDEX(L$5:L$67,MATCH($S454,$B$5:$B$67,0))</f>
        <v>66.15</v>
      </c>
      <c r="W454" s="25">
        <f t="array" ref="W454">INDEX(M$5:M$67,MATCH($S454,$B$5:$B$67,0))</f>
        <v>82.69</v>
      </c>
      <c r="X454" s="25">
        <f t="array" ref="X454">INDEX(N$5:N$67,MATCH($S454,$B$5:$B$67,0))</f>
        <v>64.6</v>
      </c>
      <c r="Y454" s="25">
        <f t="shared" si="549"/>
        <v>11758</v>
      </c>
      <c r="Z454" s="25">
        <f t="shared" si="550"/>
        <v>1654</v>
      </c>
      <c r="AA454" s="25">
        <f t="shared" si="551"/>
        <v>2067</v>
      </c>
      <c r="AB454" s="25">
        <f t="shared" si="552"/>
        <v>1615</v>
      </c>
    </row>
    <row r="455" spans="1:28">
      <c r="A455" s="48">
        <v>1007017</v>
      </c>
      <c r="B455" s="49" t="s">
        <v>329</v>
      </c>
      <c r="C455" s="25">
        <f t="shared" si="544"/>
        <v>17</v>
      </c>
      <c r="D455" s="25">
        <f t="array" ref="D455">INDEX(C$5:C$67,MATCH($B455,$B$5:$B$67,0))</f>
        <v>4500</v>
      </c>
      <c r="E455" s="25">
        <f t="array" ref="E455">INDEX(D$5:D$67,MATCH($B455,$B$5:$B$67,0))</f>
        <v>360</v>
      </c>
      <c r="F455" s="25">
        <f t="array" ref="F455">INDEX(E$5:E$67,MATCH($B455,$B$5:$B$67,0))</f>
        <v>1080</v>
      </c>
      <c r="G455" s="25">
        <f t="array" ref="G455">INDEX(F$5:F$67,MATCH($B455,$B$5:$B$67,0))</f>
        <v>86.4</v>
      </c>
      <c r="H455" s="25">
        <f t="array" ref="H455">INDEX(G$5:G$66,MATCH($B455,$B$5:$B$67,0))</f>
        <v>1485</v>
      </c>
      <c r="I455" s="25">
        <f t="array" ref="I455">INDEX(H$5:H$67,MATCH($B455,$B$5:$B$67,0))</f>
        <v>118.8</v>
      </c>
      <c r="J455" s="25">
        <f t="array" ref="J455">INDEX(I$5:I$67,MATCH($B455,$B$5:$B$67,0))</f>
        <v>1100</v>
      </c>
      <c r="K455" s="25">
        <f t="array" ref="K455">INDEX(J$5:J$67,MATCH($B455,$B$5:$B$67,0))</f>
        <v>88</v>
      </c>
      <c r="L455" s="25">
        <f t="shared" si="545"/>
        <v>10620</v>
      </c>
      <c r="M455" s="25">
        <f t="shared" si="546"/>
        <v>2549</v>
      </c>
      <c r="N455" s="25">
        <f t="shared" si="547"/>
        <v>3505</v>
      </c>
      <c r="O455" s="25">
        <f t="shared" si="548"/>
        <v>2596</v>
      </c>
      <c r="R455" s="50">
        <f t="array" ref="R455">INDEX($B$46:$B$68,MATCH(S455,$C$46:$C$68,0))*1000+T455</f>
        <v>1015026</v>
      </c>
      <c r="S455" s="51" t="s">
        <v>342</v>
      </c>
      <c r="T455" s="29">
        <f t="shared" si="553"/>
        <v>26</v>
      </c>
      <c r="U455" s="25">
        <f t="array" ref="U455">INDEX(K$5:K$67,MATCH($S455,$B$5:$B$67,0))</f>
        <v>470.3</v>
      </c>
      <c r="V455" s="25">
        <f t="array" ref="V455">INDEX(L$5:L$67,MATCH($S455,$B$5:$B$67,0))</f>
        <v>66.15</v>
      </c>
      <c r="W455" s="25">
        <f t="array" ref="W455">INDEX(M$5:M$67,MATCH($S455,$B$5:$B$67,0))</f>
        <v>82.69</v>
      </c>
      <c r="X455" s="25">
        <f t="array" ref="X455">INDEX(N$5:N$67,MATCH($S455,$B$5:$B$67,0))</f>
        <v>64.6</v>
      </c>
      <c r="Y455" s="25">
        <f t="shared" si="549"/>
        <v>12228</v>
      </c>
      <c r="Z455" s="25">
        <f t="shared" si="550"/>
        <v>1720</v>
      </c>
      <c r="AA455" s="25">
        <f t="shared" si="551"/>
        <v>2150</v>
      </c>
      <c r="AB455" s="25">
        <f t="shared" si="552"/>
        <v>1680</v>
      </c>
    </row>
    <row r="456" spans="1:28">
      <c r="A456" s="48">
        <v>1007018</v>
      </c>
      <c r="B456" s="49" t="s">
        <v>329</v>
      </c>
      <c r="C456" s="25">
        <f t="shared" si="544"/>
        <v>18</v>
      </c>
      <c r="D456" s="25">
        <f t="array" ref="D456">INDEX(C$5:C$67,MATCH($B456,$B$5:$B$67,0))</f>
        <v>4500</v>
      </c>
      <c r="E456" s="25">
        <f t="array" ref="E456">INDEX(D$5:D$67,MATCH($B456,$B$5:$B$67,0))</f>
        <v>360</v>
      </c>
      <c r="F456" s="25">
        <f t="array" ref="F456">INDEX(E$5:E$67,MATCH($B456,$B$5:$B$67,0))</f>
        <v>1080</v>
      </c>
      <c r="G456" s="25">
        <f t="array" ref="G456">INDEX(F$5:F$67,MATCH($B456,$B$5:$B$67,0))</f>
        <v>86.4</v>
      </c>
      <c r="H456" s="25">
        <f t="array" ref="H456">INDEX(G$5:G$66,MATCH($B456,$B$5:$B$67,0))</f>
        <v>1485</v>
      </c>
      <c r="I456" s="25">
        <f t="array" ref="I456">INDEX(H$5:H$67,MATCH($B456,$B$5:$B$67,0))</f>
        <v>118.8</v>
      </c>
      <c r="J456" s="25">
        <f t="array" ref="J456">INDEX(I$5:I$67,MATCH($B456,$B$5:$B$67,0))</f>
        <v>1100</v>
      </c>
      <c r="K456" s="25">
        <f t="array" ref="K456">INDEX(J$5:J$67,MATCH($B456,$B$5:$B$67,0))</f>
        <v>88</v>
      </c>
      <c r="L456" s="25">
        <f t="shared" si="545"/>
        <v>10980</v>
      </c>
      <c r="M456" s="25">
        <f t="shared" si="546"/>
        <v>2635</v>
      </c>
      <c r="N456" s="25">
        <f t="shared" si="547"/>
        <v>3623</v>
      </c>
      <c r="O456" s="25">
        <f t="shared" si="548"/>
        <v>2684</v>
      </c>
      <c r="R456" s="50">
        <f t="array" ref="R456">INDEX($B$46:$B$68,MATCH(S456,$C$46:$C$68,0))*1000+T456</f>
        <v>1015027</v>
      </c>
      <c r="S456" s="51" t="s">
        <v>342</v>
      </c>
      <c r="T456" s="29">
        <f t="shared" si="553"/>
        <v>27</v>
      </c>
      <c r="U456" s="25">
        <f t="array" ref="U456">INDEX(K$5:K$67,MATCH($S456,$B$5:$B$67,0))</f>
        <v>470.3</v>
      </c>
      <c r="V456" s="25">
        <f t="array" ref="V456">INDEX(L$5:L$67,MATCH($S456,$B$5:$B$67,0))</f>
        <v>66.15</v>
      </c>
      <c r="W456" s="25">
        <f t="array" ref="W456">INDEX(M$5:M$67,MATCH($S456,$B$5:$B$67,0))</f>
        <v>82.69</v>
      </c>
      <c r="X456" s="25">
        <f t="array" ref="X456">INDEX(N$5:N$67,MATCH($S456,$B$5:$B$67,0))</f>
        <v>64.6</v>
      </c>
      <c r="Y456" s="25">
        <f t="shared" si="549"/>
        <v>12698</v>
      </c>
      <c r="Z456" s="25">
        <f t="shared" si="550"/>
        <v>1786</v>
      </c>
      <c r="AA456" s="25">
        <f t="shared" si="551"/>
        <v>2233</v>
      </c>
      <c r="AB456" s="25">
        <f t="shared" si="552"/>
        <v>1744</v>
      </c>
    </row>
    <row r="457" spans="1:28">
      <c r="A457" s="48">
        <v>1007019</v>
      </c>
      <c r="B457" s="49" t="s">
        <v>329</v>
      </c>
      <c r="C457" s="25">
        <f t="shared" si="544"/>
        <v>19</v>
      </c>
      <c r="D457" s="25">
        <f t="array" ref="D457">INDEX(C$5:C$67,MATCH($B457,$B$5:$B$67,0))</f>
        <v>4500</v>
      </c>
      <c r="E457" s="25">
        <f t="array" ref="E457">INDEX(D$5:D$67,MATCH($B457,$B$5:$B$67,0))</f>
        <v>360</v>
      </c>
      <c r="F457" s="25">
        <f t="array" ref="F457">INDEX(E$5:E$67,MATCH($B457,$B$5:$B$67,0))</f>
        <v>1080</v>
      </c>
      <c r="G457" s="25">
        <f t="array" ref="G457">INDEX(F$5:F$67,MATCH($B457,$B$5:$B$67,0))</f>
        <v>86.4</v>
      </c>
      <c r="H457" s="25">
        <f t="array" ref="H457">INDEX(G$5:G$66,MATCH($B457,$B$5:$B$67,0))</f>
        <v>1485</v>
      </c>
      <c r="I457" s="25">
        <f t="array" ref="I457">INDEX(H$5:H$67,MATCH($B457,$B$5:$B$67,0))</f>
        <v>118.8</v>
      </c>
      <c r="J457" s="25">
        <f t="array" ref="J457">INDEX(I$5:I$67,MATCH($B457,$B$5:$B$67,0))</f>
        <v>1100</v>
      </c>
      <c r="K457" s="25">
        <f t="array" ref="K457">INDEX(J$5:J$67,MATCH($B457,$B$5:$B$67,0))</f>
        <v>88</v>
      </c>
      <c r="L457" s="25">
        <f t="shared" si="545"/>
        <v>11340</v>
      </c>
      <c r="M457" s="25">
        <f t="shared" si="546"/>
        <v>2722</v>
      </c>
      <c r="N457" s="25">
        <f t="shared" si="547"/>
        <v>3742</v>
      </c>
      <c r="O457" s="25">
        <f t="shared" si="548"/>
        <v>2772</v>
      </c>
      <c r="R457" s="50">
        <f t="array" ref="R457">INDEX($B$46:$B$68,MATCH(S457,$C$46:$C$68,0))*1000+T457</f>
        <v>1017001</v>
      </c>
      <c r="S457" s="51" t="s">
        <v>345</v>
      </c>
      <c r="T457" s="29">
        <f t="shared" si="553"/>
        <v>1</v>
      </c>
      <c r="U457" s="25">
        <f t="array" ref="U457">INDEX(K$5:K$67,MATCH($S457,$B$5:$B$67,0))</f>
        <v>440.91</v>
      </c>
      <c r="V457" s="25">
        <f t="array" ref="V457">INDEX(L$5:L$67,MATCH($S457,$B$5:$B$67,0))</f>
        <v>101.38</v>
      </c>
      <c r="W457" s="25">
        <f t="array" ref="W457">INDEX(M$5:M$67,MATCH($S457,$B$5:$B$67,0))</f>
        <v>140.8</v>
      </c>
      <c r="X457" s="25">
        <f t="array" ref="X457">INDEX(N$5:N$67,MATCH($S457,$B$5:$B$67,0))</f>
        <v>85</v>
      </c>
      <c r="Y457" s="25">
        <f t="shared" si="549"/>
        <v>441</v>
      </c>
      <c r="Z457" s="25">
        <f t="shared" si="550"/>
        <v>101</v>
      </c>
      <c r="AA457" s="25">
        <f t="shared" si="551"/>
        <v>141</v>
      </c>
      <c r="AB457" s="25">
        <f t="shared" si="552"/>
        <v>85</v>
      </c>
    </row>
    <row r="458" spans="1:28">
      <c r="A458" s="48">
        <v>1007020</v>
      </c>
      <c r="B458" s="49" t="s">
        <v>329</v>
      </c>
      <c r="C458" s="25">
        <f t="shared" si="544"/>
        <v>20</v>
      </c>
      <c r="D458" s="25">
        <f t="array" ref="D458">INDEX(C$5:C$67,MATCH($B458,$B$5:$B$67,0))</f>
        <v>4500</v>
      </c>
      <c r="E458" s="25">
        <f t="array" ref="E458">INDEX(D$5:D$67,MATCH($B458,$B$5:$B$67,0))</f>
        <v>360</v>
      </c>
      <c r="F458" s="25">
        <f t="array" ref="F458">INDEX(E$5:E$67,MATCH($B458,$B$5:$B$67,0))</f>
        <v>1080</v>
      </c>
      <c r="G458" s="25">
        <f t="array" ref="G458">INDEX(F$5:F$67,MATCH($B458,$B$5:$B$67,0))</f>
        <v>86.4</v>
      </c>
      <c r="H458" s="25">
        <f t="array" ref="H458">INDEX(G$5:G$66,MATCH($B458,$B$5:$B$67,0))</f>
        <v>1485</v>
      </c>
      <c r="I458" s="25">
        <f t="array" ref="I458">INDEX(H$5:H$67,MATCH($B458,$B$5:$B$67,0))</f>
        <v>118.8</v>
      </c>
      <c r="J458" s="25">
        <f t="array" ref="J458">INDEX(I$5:I$67,MATCH($B458,$B$5:$B$67,0))</f>
        <v>1100</v>
      </c>
      <c r="K458" s="25">
        <f t="array" ref="K458">INDEX(J$5:J$67,MATCH($B458,$B$5:$B$67,0))</f>
        <v>88</v>
      </c>
      <c r="L458" s="25">
        <f t="shared" si="545"/>
        <v>11700</v>
      </c>
      <c r="M458" s="25">
        <f t="shared" si="546"/>
        <v>2808</v>
      </c>
      <c r="N458" s="25">
        <f t="shared" si="547"/>
        <v>3861</v>
      </c>
      <c r="O458" s="25">
        <f t="shared" si="548"/>
        <v>2860</v>
      </c>
      <c r="R458" s="50">
        <f t="array" ref="R458">INDEX($B$46:$B$68,MATCH(S458,$C$46:$C$68,0))*1000+T458</f>
        <v>1017002</v>
      </c>
      <c r="S458" s="51" t="s">
        <v>345</v>
      </c>
      <c r="T458" s="29">
        <f t="shared" si="553"/>
        <v>2</v>
      </c>
      <c r="U458" s="25">
        <f t="array" ref="U458">INDEX(K$5:K$67,MATCH($S458,$B$5:$B$67,0))</f>
        <v>440.91</v>
      </c>
      <c r="V458" s="25">
        <f t="array" ref="V458">INDEX(L$5:L$67,MATCH($S458,$B$5:$B$67,0))</f>
        <v>101.38</v>
      </c>
      <c r="W458" s="25">
        <f t="array" ref="W458">INDEX(M$5:M$67,MATCH($S458,$B$5:$B$67,0))</f>
        <v>140.8</v>
      </c>
      <c r="X458" s="25">
        <f t="array" ref="X458">INDEX(N$5:N$67,MATCH($S458,$B$5:$B$67,0))</f>
        <v>85</v>
      </c>
      <c r="Y458" s="25">
        <f t="shared" si="549"/>
        <v>882</v>
      </c>
      <c r="Z458" s="25">
        <f t="shared" si="550"/>
        <v>203</v>
      </c>
      <c r="AA458" s="25">
        <f t="shared" si="551"/>
        <v>282</v>
      </c>
      <c r="AB458" s="25">
        <f t="shared" si="552"/>
        <v>170</v>
      </c>
    </row>
    <row r="459" spans="1:28">
      <c r="A459" s="48">
        <v>1007021</v>
      </c>
      <c r="B459" s="49" t="s">
        <v>329</v>
      </c>
      <c r="C459" s="25">
        <f t="shared" ref="C459:C522" si="554">C399</f>
        <v>21</v>
      </c>
      <c r="D459" s="25">
        <f t="array" ref="D459">INDEX(C$5:C$67,MATCH($B459,$B$5:$B$67,0))</f>
        <v>4500</v>
      </c>
      <c r="E459" s="25">
        <f t="array" ref="E459">INDEX(D$5:D$67,MATCH($B459,$B$5:$B$67,0))</f>
        <v>360</v>
      </c>
      <c r="F459" s="25">
        <f t="array" ref="F459">INDEX(E$5:E$67,MATCH($B459,$B$5:$B$67,0))</f>
        <v>1080</v>
      </c>
      <c r="G459" s="25">
        <f t="array" ref="G459">INDEX(F$5:F$67,MATCH($B459,$B$5:$B$67,0))</f>
        <v>86.4</v>
      </c>
      <c r="H459" s="25">
        <f t="array" ref="H459">INDEX(G$5:G$66,MATCH($B459,$B$5:$B$67,0))</f>
        <v>1485</v>
      </c>
      <c r="I459" s="25">
        <f t="array" ref="I459">INDEX(H$5:H$67,MATCH($B459,$B$5:$B$67,0))</f>
        <v>118.8</v>
      </c>
      <c r="J459" s="25">
        <f t="array" ref="J459">INDEX(I$5:I$67,MATCH($B459,$B$5:$B$67,0))</f>
        <v>1100</v>
      </c>
      <c r="K459" s="25">
        <f t="array" ref="K459">INDEX(J$5:J$67,MATCH($B459,$B$5:$B$67,0))</f>
        <v>88</v>
      </c>
      <c r="L459" s="25">
        <f t="shared" si="545"/>
        <v>12060</v>
      </c>
      <c r="M459" s="25">
        <f t="shared" si="546"/>
        <v>2894</v>
      </c>
      <c r="N459" s="25">
        <f t="shared" si="547"/>
        <v>3980</v>
      </c>
      <c r="O459" s="25">
        <f t="shared" si="548"/>
        <v>2948</v>
      </c>
      <c r="R459" s="50">
        <f t="array" ref="R459">INDEX($B$46:$B$68,MATCH(S459,$C$46:$C$68,0))*1000+T459</f>
        <v>1017003</v>
      </c>
      <c r="S459" s="51" t="s">
        <v>345</v>
      </c>
      <c r="T459" s="29">
        <f t="shared" si="553"/>
        <v>3</v>
      </c>
      <c r="U459" s="25">
        <f t="array" ref="U459">INDEX(K$5:K$67,MATCH($S459,$B$5:$B$67,0))</f>
        <v>440.91</v>
      </c>
      <c r="V459" s="25">
        <f t="array" ref="V459">INDEX(L$5:L$67,MATCH($S459,$B$5:$B$67,0))</f>
        <v>101.38</v>
      </c>
      <c r="W459" s="25">
        <f t="array" ref="W459">INDEX(M$5:M$67,MATCH($S459,$B$5:$B$67,0))</f>
        <v>140.8</v>
      </c>
      <c r="X459" s="25">
        <f t="array" ref="X459">INDEX(N$5:N$67,MATCH($S459,$B$5:$B$67,0))</f>
        <v>85</v>
      </c>
      <c r="Y459" s="25">
        <f t="shared" si="549"/>
        <v>1323</v>
      </c>
      <c r="Z459" s="25">
        <f t="shared" si="550"/>
        <v>304</v>
      </c>
      <c r="AA459" s="25">
        <f t="shared" si="551"/>
        <v>422</v>
      </c>
      <c r="AB459" s="25">
        <f t="shared" si="552"/>
        <v>255</v>
      </c>
    </row>
    <row r="460" spans="1:28">
      <c r="A460" s="48">
        <v>1007022</v>
      </c>
      <c r="B460" s="49" t="s">
        <v>329</v>
      </c>
      <c r="C460" s="25">
        <f t="shared" si="554"/>
        <v>22</v>
      </c>
      <c r="D460" s="25">
        <f t="array" ref="D460">INDEX(C$5:C$67,MATCH($B460,$B$5:$B$67,0))</f>
        <v>4500</v>
      </c>
      <c r="E460" s="25">
        <f t="array" ref="E460">INDEX(D$5:D$67,MATCH($B460,$B$5:$B$67,0))</f>
        <v>360</v>
      </c>
      <c r="F460" s="25">
        <f t="array" ref="F460">INDEX(E$5:E$67,MATCH($B460,$B$5:$B$67,0))</f>
        <v>1080</v>
      </c>
      <c r="G460" s="25">
        <f t="array" ref="G460">INDEX(F$5:F$67,MATCH($B460,$B$5:$B$67,0))</f>
        <v>86.4</v>
      </c>
      <c r="H460" s="25">
        <f t="array" ref="H460">INDEX(G$5:G$66,MATCH($B460,$B$5:$B$67,0))</f>
        <v>1485</v>
      </c>
      <c r="I460" s="25">
        <f t="array" ref="I460">INDEX(H$5:H$67,MATCH($B460,$B$5:$B$67,0))</f>
        <v>118.8</v>
      </c>
      <c r="J460" s="25">
        <f t="array" ref="J460">INDEX(I$5:I$67,MATCH($B460,$B$5:$B$67,0))</f>
        <v>1100</v>
      </c>
      <c r="K460" s="25">
        <f t="array" ref="K460">INDEX(J$5:J$67,MATCH($B460,$B$5:$B$67,0))</f>
        <v>88</v>
      </c>
      <c r="L460" s="25">
        <f t="shared" si="545"/>
        <v>12420</v>
      </c>
      <c r="M460" s="25">
        <f t="shared" si="546"/>
        <v>2981</v>
      </c>
      <c r="N460" s="25">
        <f t="shared" si="547"/>
        <v>4099</v>
      </c>
      <c r="O460" s="25">
        <f t="shared" si="548"/>
        <v>3036</v>
      </c>
      <c r="R460" s="50">
        <f t="array" ref="R460">INDEX($B$46:$B$68,MATCH(S460,$C$46:$C$68,0))*1000+T460</f>
        <v>1017004</v>
      </c>
      <c r="S460" s="51" t="s">
        <v>345</v>
      </c>
      <c r="T460" s="29">
        <f t="shared" si="553"/>
        <v>4</v>
      </c>
      <c r="U460" s="25">
        <f t="array" ref="U460">INDEX(K$5:K$67,MATCH($S460,$B$5:$B$67,0))</f>
        <v>440.91</v>
      </c>
      <c r="V460" s="25">
        <f t="array" ref="V460">INDEX(L$5:L$67,MATCH($S460,$B$5:$B$67,0))</f>
        <v>101.38</v>
      </c>
      <c r="W460" s="25">
        <f t="array" ref="W460">INDEX(M$5:M$67,MATCH($S460,$B$5:$B$67,0))</f>
        <v>140.8</v>
      </c>
      <c r="X460" s="25">
        <f t="array" ref="X460">INDEX(N$5:N$67,MATCH($S460,$B$5:$B$67,0))</f>
        <v>85</v>
      </c>
      <c r="Y460" s="25">
        <f t="shared" si="549"/>
        <v>1764</v>
      </c>
      <c r="Z460" s="25">
        <f t="shared" si="550"/>
        <v>406</v>
      </c>
      <c r="AA460" s="25">
        <f t="shared" si="551"/>
        <v>563</v>
      </c>
      <c r="AB460" s="25">
        <f t="shared" si="552"/>
        <v>340</v>
      </c>
    </row>
    <row r="461" spans="1:28">
      <c r="A461" s="48">
        <v>1007023</v>
      </c>
      <c r="B461" s="49" t="s">
        <v>329</v>
      </c>
      <c r="C461" s="25">
        <f t="shared" si="554"/>
        <v>23</v>
      </c>
      <c r="D461" s="25">
        <f t="array" ref="D461">INDEX(C$5:C$67,MATCH($B461,$B$5:$B$67,0))</f>
        <v>4500</v>
      </c>
      <c r="E461" s="25">
        <f t="array" ref="E461">INDEX(D$5:D$67,MATCH($B461,$B$5:$B$67,0))</f>
        <v>360</v>
      </c>
      <c r="F461" s="25">
        <f t="array" ref="F461">INDEX(E$5:E$67,MATCH($B461,$B$5:$B$67,0))</f>
        <v>1080</v>
      </c>
      <c r="G461" s="25">
        <f t="array" ref="G461">INDEX(F$5:F$67,MATCH($B461,$B$5:$B$67,0))</f>
        <v>86.4</v>
      </c>
      <c r="H461" s="25">
        <f t="array" ref="H461">INDEX(G$5:G$66,MATCH($B461,$B$5:$B$67,0))</f>
        <v>1485</v>
      </c>
      <c r="I461" s="25">
        <f t="array" ref="I461">INDEX(H$5:H$67,MATCH($B461,$B$5:$B$67,0))</f>
        <v>118.8</v>
      </c>
      <c r="J461" s="25">
        <f t="array" ref="J461">INDEX(I$5:I$67,MATCH($B461,$B$5:$B$67,0))</f>
        <v>1100</v>
      </c>
      <c r="K461" s="25">
        <f t="array" ref="K461">INDEX(J$5:J$67,MATCH($B461,$B$5:$B$67,0))</f>
        <v>88</v>
      </c>
      <c r="L461" s="25">
        <f t="shared" si="545"/>
        <v>12780</v>
      </c>
      <c r="M461" s="25">
        <f t="shared" si="546"/>
        <v>3067</v>
      </c>
      <c r="N461" s="25">
        <f t="shared" si="547"/>
        <v>4217</v>
      </c>
      <c r="O461" s="25">
        <f t="shared" si="548"/>
        <v>3124</v>
      </c>
      <c r="R461" s="50">
        <f t="array" ref="R461">INDEX($B$46:$B$68,MATCH(S461,$C$46:$C$68,0))*1000+T461</f>
        <v>1017005</v>
      </c>
      <c r="S461" s="51" t="s">
        <v>345</v>
      </c>
      <c r="T461" s="29">
        <f t="shared" si="553"/>
        <v>5</v>
      </c>
      <c r="U461" s="25">
        <f t="array" ref="U461">INDEX(K$5:K$67,MATCH($S461,$B$5:$B$67,0))</f>
        <v>440.91</v>
      </c>
      <c r="V461" s="25">
        <f t="array" ref="V461">INDEX(L$5:L$67,MATCH($S461,$B$5:$B$67,0))</f>
        <v>101.38</v>
      </c>
      <c r="W461" s="25">
        <f t="array" ref="W461">INDEX(M$5:M$67,MATCH($S461,$B$5:$B$67,0))</f>
        <v>140.8</v>
      </c>
      <c r="X461" s="25">
        <f t="array" ref="X461">INDEX(N$5:N$67,MATCH($S461,$B$5:$B$67,0))</f>
        <v>85</v>
      </c>
      <c r="Y461" s="25">
        <f t="shared" si="549"/>
        <v>2205</v>
      </c>
      <c r="Z461" s="25">
        <f t="shared" si="550"/>
        <v>507</v>
      </c>
      <c r="AA461" s="25">
        <f t="shared" si="551"/>
        <v>704</v>
      </c>
      <c r="AB461" s="25">
        <f t="shared" si="552"/>
        <v>425</v>
      </c>
    </row>
    <row r="462" spans="1:28">
      <c r="A462" s="48">
        <v>1007024</v>
      </c>
      <c r="B462" s="49" t="s">
        <v>329</v>
      </c>
      <c r="C462" s="25">
        <f t="shared" si="554"/>
        <v>24</v>
      </c>
      <c r="D462" s="25">
        <f t="array" ref="D462">INDEX(C$5:C$67,MATCH($B462,$B$5:$B$67,0))</f>
        <v>4500</v>
      </c>
      <c r="E462" s="25">
        <f t="array" ref="E462">INDEX(D$5:D$67,MATCH($B462,$B$5:$B$67,0))</f>
        <v>360</v>
      </c>
      <c r="F462" s="25">
        <f t="array" ref="F462">INDEX(E$5:E$67,MATCH($B462,$B$5:$B$67,0))</f>
        <v>1080</v>
      </c>
      <c r="G462" s="25">
        <f t="array" ref="G462">INDEX(F$5:F$67,MATCH($B462,$B$5:$B$67,0))</f>
        <v>86.4</v>
      </c>
      <c r="H462" s="25">
        <f t="array" ref="H462">INDEX(G$5:G$66,MATCH($B462,$B$5:$B$67,0))</f>
        <v>1485</v>
      </c>
      <c r="I462" s="25">
        <f t="array" ref="I462">INDEX(H$5:H$67,MATCH($B462,$B$5:$B$67,0))</f>
        <v>118.8</v>
      </c>
      <c r="J462" s="25">
        <f t="array" ref="J462">INDEX(I$5:I$67,MATCH($B462,$B$5:$B$67,0))</f>
        <v>1100</v>
      </c>
      <c r="K462" s="25">
        <f t="array" ref="K462">INDEX(J$5:J$67,MATCH($B462,$B$5:$B$67,0))</f>
        <v>88</v>
      </c>
      <c r="L462" s="25">
        <f t="shared" si="545"/>
        <v>13140</v>
      </c>
      <c r="M462" s="25">
        <f t="shared" si="546"/>
        <v>3154</v>
      </c>
      <c r="N462" s="25">
        <f t="shared" si="547"/>
        <v>4336</v>
      </c>
      <c r="O462" s="25">
        <f t="shared" si="548"/>
        <v>3212</v>
      </c>
      <c r="R462" s="50">
        <f t="array" ref="R462">INDEX($B$46:$B$68,MATCH(S462,$C$46:$C$68,0))*1000+T462</f>
        <v>1017006</v>
      </c>
      <c r="S462" s="51" t="s">
        <v>345</v>
      </c>
      <c r="T462" s="29">
        <f t="shared" si="553"/>
        <v>6</v>
      </c>
      <c r="U462" s="25">
        <f t="array" ref="U462">INDEX(K$5:K$67,MATCH($S462,$B$5:$B$67,0))</f>
        <v>440.91</v>
      </c>
      <c r="V462" s="25">
        <f t="array" ref="V462">INDEX(L$5:L$67,MATCH($S462,$B$5:$B$67,0))</f>
        <v>101.38</v>
      </c>
      <c r="W462" s="25">
        <f t="array" ref="W462">INDEX(M$5:M$67,MATCH($S462,$B$5:$B$67,0))</f>
        <v>140.8</v>
      </c>
      <c r="X462" s="25">
        <f t="array" ref="X462">INDEX(N$5:N$67,MATCH($S462,$B$5:$B$67,0))</f>
        <v>85</v>
      </c>
      <c r="Y462" s="25">
        <f t="shared" si="549"/>
        <v>2645</v>
      </c>
      <c r="Z462" s="25">
        <f t="shared" si="550"/>
        <v>608</v>
      </c>
      <c r="AA462" s="25">
        <f t="shared" si="551"/>
        <v>845</v>
      </c>
      <c r="AB462" s="25">
        <f t="shared" si="552"/>
        <v>510</v>
      </c>
    </row>
    <row r="463" spans="1:28">
      <c r="A463" s="48">
        <v>1007025</v>
      </c>
      <c r="B463" s="49" t="s">
        <v>329</v>
      </c>
      <c r="C463" s="25">
        <f t="shared" si="554"/>
        <v>25</v>
      </c>
      <c r="D463" s="25">
        <f t="array" ref="D463">INDEX(C$5:C$67,MATCH($B463,$B$5:$B$67,0))</f>
        <v>4500</v>
      </c>
      <c r="E463" s="25">
        <f t="array" ref="E463">INDEX(D$5:D$67,MATCH($B463,$B$5:$B$67,0))</f>
        <v>360</v>
      </c>
      <c r="F463" s="25">
        <f t="array" ref="F463">INDEX(E$5:E$67,MATCH($B463,$B$5:$B$67,0))</f>
        <v>1080</v>
      </c>
      <c r="G463" s="25">
        <f t="array" ref="G463">INDEX(F$5:F$67,MATCH($B463,$B$5:$B$67,0))</f>
        <v>86.4</v>
      </c>
      <c r="H463" s="25">
        <f t="array" ref="H463">INDEX(G$5:G$66,MATCH($B463,$B$5:$B$67,0))</f>
        <v>1485</v>
      </c>
      <c r="I463" s="25">
        <f t="array" ref="I463">INDEX(H$5:H$67,MATCH($B463,$B$5:$B$67,0))</f>
        <v>118.8</v>
      </c>
      <c r="J463" s="25">
        <f t="array" ref="J463">INDEX(I$5:I$67,MATCH($B463,$B$5:$B$67,0))</f>
        <v>1100</v>
      </c>
      <c r="K463" s="25">
        <f t="array" ref="K463">INDEX(J$5:J$67,MATCH($B463,$B$5:$B$67,0))</f>
        <v>88</v>
      </c>
      <c r="L463" s="25">
        <f t="shared" ref="L463:L526" si="555">ROUND(D463+E463*$C463,0)</f>
        <v>13500</v>
      </c>
      <c r="M463" s="25">
        <f t="shared" ref="M463:M526" si="556">ROUND(F463+G463*$C463,0)</f>
        <v>3240</v>
      </c>
      <c r="N463" s="25">
        <f t="shared" ref="N463:N526" si="557">ROUND(H463+I463*$C463,0)</f>
        <v>4455</v>
      </c>
      <c r="O463" s="25">
        <f t="shared" ref="O463:O526" si="558">ROUND(J463+K463*$C463,0)</f>
        <v>3300</v>
      </c>
      <c r="R463" s="50">
        <f t="array" ref="R463">INDEX($B$46:$B$68,MATCH(S463,$C$46:$C$68,0))*1000+T463</f>
        <v>1017007</v>
      </c>
      <c r="S463" s="51" t="s">
        <v>345</v>
      </c>
      <c r="T463" s="29">
        <f t="shared" si="553"/>
        <v>7</v>
      </c>
      <c r="U463" s="25">
        <f t="array" ref="U463">INDEX(K$5:K$67,MATCH($S463,$B$5:$B$67,0))</f>
        <v>440.91</v>
      </c>
      <c r="V463" s="25">
        <f t="array" ref="V463">INDEX(L$5:L$67,MATCH($S463,$B$5:$B$67,0))</f>
        <v>101.38</v>
      </c>
      <c r="W463" s="25">
        <f t="array" ref="W463">INDEX(M$5:M$67,MATCH($S463,$B$5:$B$67,0))</f>
        <v>140.8</v>
      </c>
      <c r="X463" s="25">
        <f t="array" ref="X463">INDEX(N$5:N$67,MATCH($S463,$B$5:$B$67,0))</f>
        <v>85</v>
      </c>
      <c r="Y463" s="25">
        <f t="shared" ref="Y463:Y526" si="559">ROUND($T463*U463,0)</f>
        <v>3086</v>
      </c>
      <c r="Z463" s="25">
        <f t="shared" ref="Z463:Z526" si="560">ROUND($T463*V463,0)</f>
        <v>710</v>
      </c>
      <c r="AA463" s="25">
        <f t="shared" ref="AA463:AA526" si="561">ROUND($T463*W463,0)</f>
        <v>986</v>
      </c>
      <c r="AB463" s="25">
        <f t="shared" ref="AB463:AB526" si="562">ROUND($T463*X463,0)</f>
        <v>595</v>
      </c>
    </row>
    <row r="464" spans="1:28">
      <c r="A464" s="48">
        <v>1007026</v>
      </c>
      <c r="B464" s="49" t="s">
        <v>329</v>
      </c>
      <c r="C464" s="25">
        <f t="shared" si="554"/>
        <v>26</v>
      </c>
      <c r="D464" s="25">
        <f t="array" ref="D464">INDEX(C$5:C$67,MATCH($B464,$B$5:$B$67,0))</f>
        <v>4500</v>
      </c>
      <c r="E464" s="25">
        <f t="array" ref="E464">INDEX(D$5:D$67,MATCH($B464,$B$5:$B$67,0))</f>
        <v>360</v>
      </c>
      <c r="F464" s="25">
        <f t="array" ref="F464">INDEX(E$5:E$67,MATCH($B464,$B$5:$B$67,0))</f>
        <v>1080</v>
      </c>
      <c r="G464" s="25">
        <f t="array" ref="G464">INDEX(F$5:F$67,MATCH($B464,$B$5:$B$67,0))</f>
        <v>86.4</v>
      </c>
      <c r="H464" s="25">
        <f t="array" ref="H464">INDEX(G$5:G$66,MATCH($B464,$B$5:$B$67,0))</f>
        <v>1485</v>
      </c>
      <c r="I464" s="25">
        <f t="array" ref="I464">INDEX(H$5:H$67,MATCH($B464,$B$5:$B$67,0))</f>
        <v>118.8</v>
      </c>
      <c r="J464" s="25">
        <f t="array" ref="J464">INDEX(I$5:I$67,MATCH($B464,$B$5:$B$67,0))</f>
        <v>1100</v>
      </c>
      <c r="K464" s="25">
        <f t="array" ref="K464">INDEX(J$5:J$67,MATCH($B464,$B$5:$B$67,0))</f>
        <v>88</v>
      </c>
      <c r="L464" s="25">
        <f t="shared" si="555"/>
        <v>13860</v>
      </c>
      <c r="M464" s="25">
        <f t="shared" si="556"/>
        <v>3326</v>
      </c>
      <c r="N464" s="25">
        <f t="shared" si="557"/>
        <v>4574</v>
      </c>
      <c r="O464" s="25">
        <f t="shared" si="558"/>
        <v>3388</v>
      </c>
      <c r="R464" s="50">
        <f t="array" ref="R464">INDEX($B$46:$B$68,MATCH(S464,$C$46:$C$68,0))*1000+T464</f>
        <v>1017008</v>
      </c>
      <c r="S464" s="51" t="s">
        <v>345</v>
      </c>
      <c r="T464" s="29">
        <f t="shared" si="553"/>
        <v>8</v>
      </c>
      <c r="U464" s="25">
        <f t="array" ref="U464">INDEX(K$5:K$67,MATCH($S464,$B$5:$B$67,0))</f>
        <v>440.91</v>
      </c>
      <c r="V464" s="25">
        <f t="array" ref="V464">INDEX(L$5:L$67,MATCH($S464,$B$5:$B$67,0))</f>
        <v>101.38</v>
      </c>
      <c r="W464" s="25">
        <f t="array" ref="W464">INDEX(M$5:M$67,MATCH($S464,$B$5:$B$67,0))</f>
        <v>140.8</v>
      </c>
      <c r="X464" s="25">
        <f t="array" ref="X464">INDEX(N$5:N$67,MATCH($S464,$B$5:$B$67,0))</f>
        <v>85</v>
      </c>
      <c r="Y464" s="25">
        <f t="shared" si="559"/>
        <v>3527</v>
      </c>
      <c r="Z464" s="25">
        <f t="shared" si="560"/>
        <v>811</v>
      </c>
      <c r="AA464" s="25">
        <f t="shared" si="561"/>
        <v>1126</v>
      </c>
      <c r="AB464" s="25">
        <f t="shared" si="562"/>
        <v>680</v>
      </c>
    </row>
    <row r="465" spans="1:28">
      <c r="A465" s="48">
        <v>1007027</v>
      </c>
      <c r="B465" s="49" t="s">
        <v>329</v>
      </c>
      <c r="C465" s="25">
        <f t="shared" si="554"/>
        <v>27</v>
      </c>
      <c r="D465" s="25">
        <f t="array" ref="D465">INDEX(C$5:C$67,MATCH($B465,$B$5:$B$67,0))</f>
        <v>4500</v>
      </c>
      <c r="E465" s="25">
        <f t="array" ref="E465">INDEX(D$5:D$67,MATCH($B465,$B$5:$B$67,0))</f>
        <v>360</v>
      </c>
      <c r="F465" s="25">
        <f t="array" ref="F465">INDEX(E$5:E$67,MATCH($B465,$B$5:$B$67,0))</f>
        <v>1080</v>
      </c>
      <c r="G465" s="25">
        <f t="array" ref="G465">INDEX(F$5:F$67,MATCH($B465,$B$5:$B$67,0))</f>
        <v>86.4</v>
      </c>
      <c r="H465" s="25">
        <f t="array" ref="H465">INDEX(G$5:G$66,MATCH($B465,$B$5:$B$67,0))</f>
        <v>1485</v>
      </c>
      <c r="I465" s="25">
        <f t="array" ref="I465">INDEX(H$5:H$67,MATCH($B465,$B$5:$B$67,0))</f>
        <v>118.8</v>
      </c>
      <c r="J465" s="25">
        <f t="array" ref="J465">INDEX(I$5:I$67,MATCH($B465,$B$5:$B$67,0))</f>
        <v>1100</v>
      </c>
      <c r="K465" s="25">
        <f t="array" ref="K465">INDEX(J$5:J$67,MATCH($B465,$B$5:$B$67,0))</f>
        <v>88</v>
      </c>
      <c r="L465" s="25">
        <f t="shared" si="555"/>
        <v>14220</v>
      </c>
      <c r="M465" s="25">
        <f t="shared" si="556"/>
        <v>3413</v>
      </c>
      <c r="N465" s="25">
        <f t="shared" si="557"/>
        <v>4693</v>
      </c>
      <c r="O465" s="25">
        <f t="shared" si="558"/>
        <v>3476</v>
      </c>
      <c r="R465" s="50">
        <f t="array" ref="R465">INDEX($B$46:$B$68,MATCH(S465,$C$46:$C$68,0))*1000+T465</f>
        <v>1017009</v>
      </c>
      <c r="S465" s="51" t="s">
        <v>345</v>
      </c>
      <c r="T465" s="29">
        <f t="shared" si="553"/>
        <v>9</v>
      </c>
      <c r="U465" s="25">
        <f t="array" ref="U465">INDEX(K$5:K$67,MATCH($S465,$B$5:$B$67,0))</f>
        <v>440.91</v>
      </c>
      <c r="V465" s="25">
        <f t="array" ref="V465">INDEX(L$5:L$67,MATCH($S465,$B$5:$B$67,0))</f>
        <v>101.38</v>
      </c>
      <c r="W465" s="25">
        <f t="array" ref="W465">INDEX(M$5:M$67,MATCH($S465,$B$5:$B$67,0))</f>
        <v>140.8</v>
      </c>
      <c r="X465" s="25">
        <f t="array" ref="X465">INDEX(N$5:N$67,MATCH($S465,$B$5:$B$67,0))</f>
        <v>85</v>
      </c>
      <c r="Y465" s="25">
        <f t="shared" si="559"/>
        <v>3968</v>
      </c>
      <c r="Z465" s="25">
        <f t="shared" si="560"/>
        <v>912</v>
      </c>
      <c r="AA465" s="25">
        <f t="shared" si="561"/>
        <v>1267</v>
      </c>
      <c r="AB465" s="25">
        <f t="shared" si="562"/>
        <v>765</v>
      </c>
    </row>
    <row r="466" spans="1:28">
      <c r="A466" s="48">
        <v>1007028</v>
      </c>
      <c r="B466" s="49" t="s">
        <v>329</v>
      </c>
      <c r="C466" s="25">
        <f t="shared" si="554"/>
        <v>28</v>
      </c>
      <c r="D466" s="25">
        <f t="array" ref="D466">INDEX(C$5:C$67,MATCH($B466,$B$5:$B$67,0))</f>
        <v>4500</v>
      </c>
      <c r="E466" s="25">
        <f t="array" ref="E466">INDEX(D$5:D$67,MATCH($B466,$B$5:$B$67,0))</f>
        <v>360</v>
      </c>
      <c r="F466" s="25">
        <f t="array" ref="F466">INDEX(E$5:E$67,MATCH($B466,$B$5:$B$67,0))</f>
        <v>1080</v>
      </c>
      <c r="G466" s="25">
        <f t="array" ref="G466">INDEX(F$5:F$67,MATCH($B466,$B$5:$B$67,0))</f>
        <v>86.4</v>
      </c>
      <c r="H466" s="25">
        <f t="array" ref="H466">INDEX(G$5:G$66,MATCH($B466,$B$5:$B$67,0))</f>
        <v>1485</v>
      </c>
      <c r="I466" s="25">
        <f t="array" ref="I466">INDEX(H$5:H$67,MATCH($B466,$B$5:$B$67,0))</f>
        <v>118.8</v>
      </c>
      <c r="J466" s="25">
        <f t="array" ref="J466">INDEX(I$5:I$67,MATCH($B466,$B$5:$B$67,0))</f>
        <v>1100</v>
      </c>
      <c r="K466" s="25">
        <f t="array" ref="K466">INDEX(J$5:J$67,MATCH($B466,$B$5:$B$67,0))</f>
        <v>88</v>
      </c>
      <c r="L466" s="25">
        <f t="shared" si="555"/>
        <v>14580</v>
      </c>
      <c r="M466" s="25">
        <f t="shared" si="556"/>
        <v>3499</v>
      </c>
      <c r="N466" s="25">
        <f t="shared" si="557"/>
        <v>4811</v>
      </c>
      <c r="O466" s="25">
        <f t="shared" si="558"/>
        <v>3564</v>
      </c>
      <c r="R466" s="50">
        <f t="array" ref="R466">INDEX($B$46:$B$68,MATCH(S466,$C$46:$C$68,0))*1000+T466</f>
        <v>1017010</v>
      </c>
      <c r="S466" s="51" t="s">
        <v>345</v>
      </c>
      <c r="T466" s="29">
        <f t="shared" si="553"/>
        <v>10</v>
      </c>
      <c r="U466" s="25">
        <f t="array" ref="U466">INDEX(K$5:K$67,MATCH($S466,$B$5:$B$67,0))</f>
        <v>440.91</v>
      </c>
      <c r="V466" s="25">
        <f t="array" ref="V466">INDEX(L$5:L$67,MATCH($S466,$B$5:$B$67,0))</f>
        <v>101.38</v>
      </c>
      <c r="W466" s="25">
        <f t="array" ref="W466">INDEX(M$5:M$67,MATCH($S466,$B$5:$B$67,0))</f>
        <v>140.8</v>
      </c>
      <c r="X466" s="25">
        <f t="array" ref="X466">INDEX(N$5:N$67,MATCH($S466,$B$5:$B$67,0))</f>
        <v>85</v>
      </c>
      <c r="Y466" s="25">
        <f t="shared" si="559"/>
        <v>4409</v>
      </c>
      <c r="Z466" s="25">
        <f t="shared" si="560"/>
        <v>1014</v>
      </c>
      <c r="AA466" s="25">
        <f t="shared" si="561"/>
        <v>1408</v>
      </c>
      <c r="AB466" s="25">
        <f t="shared" si="562"/>
        <v>850</v>
      </c>
    </row>
    <row r="467" spans="1:28">
      <c r="A467" s="48">
        <v>1007029</v>
      </c>
      <c r="B467" s="49" t="s">
        <v>329</v>
      </c>
      <c r="C467" s="25">
        <f t="shared" si="554"/>
        <v>29</v>
      </c>
      <c r="D467" s="25">
        <f t="array" ref="D467">INDEX(C$5:C$67,MATCH($B467,$B$5:$B$67,0))</f>
        <v>4500</v>
      </c>
      <c r="E467" s="25">
        <f t="array" ref="E467">INDEX(D$5:D$67,MATCH($B467,$B$5:$B$67,0))</f>
        <v>360</v>
      </c>
      <c r="F467" s="25">
        <f t="array" ref="F467">INDEX(E$5:E$67,MATCH($B467,$B$5:$B$67,0))</f>
        <v>1080</v>
      </c>
      <c r="G467" s="25">
        <f t="array" ref="G467">INDEX(F$5:F$67,MATCH($B467,$B$5:$B$67,0))</f>
        <v>86.4</v>
      </c>
      <c r="H467" s="25">
        <f t="array" ref="H467">INDEX(G$5:G$66,MATCH($B467,$B$5:$B$67,0))</f>
        <v>1485</v>
      </c>
      <c r="I467" s="25">
        <f t="array" ref="I467">INDEX(H$5:H$67,MATCH($B467,$B$5:$B$67,0))</f>
        <v>118.8</v>
      </c>
      <c r="J467" s="25">
        <f t="array" ref="J467">INDEX(I$5:I$67,MATCH($B467,$B$5:$B$67,0))</f>
        <v>1100</v>
      </c>
      <c r="K467" s="25">
        <f t="array" ref="K467">INDEX(J$5:J$67,MATCH($B467,$B$5:$B$67,0))</f>
        <v>88</v>
      </c>
      <c r="L467" s="25">
        <f t="shared" si="555"/>
        <v>14940</v>
      </c>
      <c r="M467" s="25">
        <f t="shared" si="556"/>
        <v>3586</v>
      </c>
      <c r="N467" s="25">
        <f t="shared" si="557"/>
        <v>4930</v>
      </c>
      <c r="O467" s="25">
        <f t="shared" si="558"/>
        <v>3652</v>
      </c>
      <c r="R467" s="50">
        <f t="array" ref="R467">INDEX($B$46:$B$68,MATCH(S467,$C$46:$C$68,0))*1000+T467</f>
        <v>1017011</v>
      </c>
      <c r="S467" s="51" t="s">
        <v>345</v>
      </c>
      <c r="T467" s="29">
        <f t="shared" si="553"/>
        <v>11</v>
      </c>
      <c r="U467" s="25">
        <f t="array" ref="U467">INDEX(K$5:K$67,MATCH($S467,$B$5:$B$67,0))</f>
        <v>440.91</v>
      </c>
      <c r="V467" s="25">
        <f t="array" ref="V467">INDEX(L$5:L$67,MATCH($S467,$B$5:$B$67,0))</f>
        <v>101.38</v>
      </c>
      <c r="W467" s="25">
        <f t="array" ref="W467">INDEX(M$5:M$67,MATCH($S467,$B$5:$B$67,0))</f>
        <v>140.8</v>
      </c>
      <c r="X467" s="25">
        <f t="array" ref="X467">INDEX(N$5:N$67,MATCH($S467,$B$5:$B$67,0))</f>
        <v>85</v>
      </c>
      <c r="Y467" s="25">
        <f t="shared" si="559"/>
        <v>4850</v>
      </c>
      <c r="Z467" s="25">
        <f t="shared" si="560"/>
        <v>1115</v>
      </c>
      <c r="AA467" s="25">
        <f t="shared" si="561"/>
        <v>1549</v>
      </c>
      <c r="AB467" s="25">
        <f t="shared" si="562"/>
        <v>935</v>
      </c>
    </row>
    <row r="468" spans="1:28">
      <c r="A468" s="48">
        <v>1007030</v>
      </c>
      <c r="B468" s="49" t="s">
        <v>329</v>
      </c>
      <c r="C468" s="25">
        <f t="shared" si="554"/>
        <v>30</v>
      </c>
      <c r="D468" s="25">
        <f t="array" ref="D468">INDEX(C$5:C$67,MATCH($B468,$B$5:$B$67,0))</f>
        <v>4500</v>
      </c>
      <c r="E468" s="25">
        <f t="array" ref="E468">INDEX(D$5:D$67,MATCH($B468,$B$5:$B$67,0))</f>
        <v>360</v>
      </c>
      <c r="F468" s="25">
        <f t="array" ref="F468">INDEX(E$5:E$67,MATCH($B468,$B$5:$B$67,0))</f>
        <v>1080</v>
      </c>
      <c r="G468" s="25">
        <f t="array" ref="G468">INDEX(F$5:F$67,MATCH($B468,$B$5:$B$67,0))</f>
        <v>86.4</v>
      </c>
      <c r="H468" s="25">
        <f t="array" ref="H468">INDEX(G$5:G$66,MATCH($B468,$B$5:$B$67,0))</f>
        <v>1485</v>
      </c>
      <c r="I468" s="25">
        <f t="array" ref="I468">INDEX(H$5:H$67,MATCH($B468,$B$5:$B$67,0))</f>
        <v>118.8</v>
      </c>
      <c r="J468" s="25">
        <f t="array" ref="J468">INDEX(I$5:I$67,MATCH($B468,$B$5:$B$67,0))</f>
        <v>1100</v>
      </c>
      <c r="K468" s="25">
        <f t="array" ref="K468">INDEX(J$5:J$67,MATCH($B468,$B$5:$B$67,0))</f>
        <v>88</v>
      </c>
      <c r="L468" s="25">
        <f t="shared" si="555"/>
        <v>15300</v>
      </c>
      <c r="M468" s="25">
        <f t="shared" si="556"/>
        <v>3672</v>
      </c>
      <c r="N468" s="25">
        <f t="shared" si="557"/>
        <v>5049</v>
      </c>
      <c r="O468" s="25">
        <f t="shared" si="558"/>
        <v>3740</v>
      </c>
      <c r="R468" s="50">
        <f t="array" ref="R468">INDEX($B$46:$B$68,MATCH(S468,$C$46:$C$68,0))*1000+T468</f>
        <v>1017012</v>
      </c>
      <c r="S468" s="51" t="s">
        <v>345</v>
      </c>
      <c r="T468" s="29">
        <f t="shared" si="553"/>
        <v>12</v>
      </c>
      <c r="U468" s="25">
        <f t="array" ref="U468">INDEX(K$5:K$67,MATCH($S468,$B$5:$B$67,0))</f>
        <v>440.91</v>
      </c>
      <c r="V468" s="25">
        <f t="array" ref="V468">INDEX(L$5:L$67,MATCH($S468,$B$5:$B$67,0))</f>
        <v>101.38</v>
      </c>
      <c r="W468" s="25">
        <f t="array" ref="W468">INDEX(M$5:M$67,MATCH($S468,$B$5:$B$67,0))</f>
        <v>140.8</v>
      </c>
      <c r="X468" s="25">
        <f t="array" ref="X468">INDEX(N$5:N$67,MATCH($S468,$B$5:$B$67,0))</f>
        <v>85</v>
      </c>
      <c r="Y468" s="25">
        <f t="shared" si="559"/>
        <v>5291</v>
      </c>
      <c r="Z468" s="25">
        <f t="shared" si="560"/>
        <v>1217</v>
      </c>
      <c r="AA468" s="25">
        <f t="shared" si="561"/>
        <v>1690</v>
      </c>
      <c r="AB468" s="25">
        <f t="shared" si="562"/>
        <v>1020</v>
      </c>
    </row>
    <row r="469" spans="1:28">
      <c r="A469" s="48">
        <v>1007031</v>
      </c>
      <c r="B469" s="49" t="s">
        <v>329</v>
      </c>
      <c r="C469" s="25">
        <f t="shared" si="554"/>
        <v>31</v>
      </c>
      <c r="D469" s="25">
        <f t="array" ref="D469">INDEX(C$5:C$67,MATCH($B469,$B$5:$B$67,0))</f>
        <v>4500</v>
      </c>
      <c r="E469" s="25">
        <f t="array" ref="E469">INDEX(D$5:D$67,MATCH($B469,$B$5:$B$67,0))</f>
        <v>360</v>
      </c>
      <c r="F469" s="25">
        <f t="array" ref="F469">INDEX(E$5:E$67,MATCH($B469,$B$5:$B$67,0))</f>
        <v>1080</v>
      </c>
      <c r="G469" s="25">
        <f t="array" ref="G469">INDEX(F$5:F$67,MATCH($B469,$B$5:$B$67,0))</f>
        <v>86.4</v>
      </c>
      <c r="H469" s="25">
        <f t="array" ref="H469">INDEX(G$5:G$66,MATCH($B469,$B$5:$B$67,0))</f>
        <v>1485</v>
      </c>
      <c r="I469" s="25">
        <f t="array" ref="I469">INDEX(H$5:H$67,MATCH($B469,$B$5:$B$67,0))</f>
        <v>118.8</v>
      </c>
      <c r="J469" s="25">
        <f t="array" ref="J469">INDEX(I$5:I$67,MATCH($B469,$B$5:$B$67,0))</f>
        <v>1100</v>
      </c>
      <c r="K469" s="25">
        <f t="array" ref="K469">INDEX(J$5:J$67,MATCH($B469,$B$5:$B$67,0))</f>
        <v>88</v>
      </c>
      <c r="L469" s="25">
        <f t="shared" si="555"/>
        <v>15660</v>
      </c>
      <c r="M469" s="25">
        <f t="shared" si="556"/>
        <v>3758</v>
      </c>
      <c r="N469" s="25">
        <f t="shared" si="557"/>
        <v>5168</v>
      </c>
      <c r="O469" s="25">
        <f t="shared" si="558"/>
        <v>3828</v>
      </c>
      <c r="R469" s="50">
        <f t="array" ref="R469">INDEX($B$46:$B$68,MATCH(S469,$C$46:$C$68,0))*1000+T469</f>
        <v>1017013</v>
      </c>
      <c r="S469" s="51" t="s">
        <v>345</v>
      </c>
      <c r="T469" s="29">
        <f t="shared" si="553"/>
        <v>13</v>
      </c>
      <c r="U469" s="25">
        <f t="array" ref="U469">INDEX(K$5:K$67,MATCH($S469,$B$5:$B$67,0))</f>
        <v>440.91</v>
      </c>
      <c r="V469" s="25">
        <f t="array" ref="V469">INDEX(L$5:L$67,MATCH($S469,$B$5:$B$67,0))</f>
        <v>101.38</v>
      </c>
      <c r="W469" s="25">
        <f t="array" ref="W469">INDEX(M$5:M$67,MATCH($S469,$B$5:$B$67,0))</f>
        <v>140.8</v>
      </c>
      <c r="X469" s="25">
        <f t="array" ref="X469">INDEX(N$5:N$67,MATCH($S469,$B$5:$B$67,0))</f>
        <v>85</v>
      </c>
      <c r="Y469" s="25">
        <f t="shared" si="559"/>
        <v>5732</v>
      </c>
      <c r="Z469" s="25">
        <f t="shared" si="560"/>
        <v>1318</v>
      </c>
      <c r="AA469" s="25">
        <f t="shared" si="561"/>
        <v>1830</v>
      </c>
      <c r="AB469" s="25">
        <f t="shared" si="562"/>
        <v>1105</v>
      </c>
    </row>
    <row r="470" spans="1:28">
      <c r="A470" s="48">
        <v>1007032</v>
      </c>
      <c r="B470" s="49" t="s">
        <v>329</v>
      </c>
      <c r="C470" s="25">
        <f t="shared" si="554"/>
        <v>32</v>
      </c>
      <c r="D470" s="25">
        <f t="array" ref="D470">INDEX(C$5:C$67,MATCH($B470,$B$5:$B$67,0))</f>
        <v>4500</v>
      </c>
      <c r="E470" s="25">
        <f t="array" ref="E470">INDEX(D$5:D$67,MATCH($B470,$B$5:$B$67,0))</f>
        <v>360</v>
      </c>
      <c r="F470" s="25">
        <f t="array" ref="F470">INDEX(E$5:E$67,MATCH($B470,$B$5:$B$67,0))</f>
        <v>1080</v>
      </c>
      <c r="G470" s="25">
        <f t="array" ref="G470">INDEX(F$5:F$67,MATCH($B470,$B$5:$B$67,0))</f>
        <v>86.4</v>
      </c>
      <c r="H470" s="25">
        <f t="array" ref="H470">INDEX(G$5:G$66,MATCH($B470,$B$5:$B$67,0))</f>
        <v>1485</v>
      </c>
      <c r="I470" s="25">
        <f t="array" ref="I470">INDEX(H$5:H$67,MATCH($B470,$B$5:$B$67,0))</f>
        <v>118.8</v>
      </c>
      <c r="J470" s="25">
        <f t="array" ref="J470">INDEX(I$5:I$67,MATCH($B470,$B$5:$B$67,0))</f>
        <v>1100</v>
      </c>
      <c r="K470" s="25">
        <f t="array" ref="K470">INDEX(J$5:J$67,MATCH($B470,$B$5:$B$67,0))</f>
        <v>88</v>
      </c>
      <c r="L470" s="25">
        <f t="shared" si="555"/>
        <v>16020</v>
      </c>
      <c r="M470" s="25">
        <f t="shared" si="556"/>
        <v>3845</v>
      </c>
      <c r="N470" s="25">
        <f t="shared" si="557"/>
        <v>5287</v>
      </c>
      <c r="O470" s="25">
        <f t="shared" si="558"/>
        <v>3916</v>
      </c>
      <c r="R470" s="50">
        <f t="array" ref="R470">INDEX($B$46:$B$68,MATCH(S470,$C$46:$C$68,0))*1000+T470</f>
        <v>1017014</v>
      </c>
      <c r="S470" s="51" t="s">
        <v>345</v>
      </c>
      <c r="T470" s="29">
        <f t="shared" si="553"/>
        <v>14</v>
      </c>
      <c r="U470" s="25">
        <f t="array" ref="U470">INDEX(K$5:K$67,MATCH($S470,$B$5:$B$67,0))</f>
        <v>440.91</v>
      </c>
      <c r="V470" s="25">
        <f t="array" ref="V470">INDEX(L$5:L$67,MATCH($S470,$B$5:$B$67,0))</f>
        <v>101.38</v>
      </c>
      <c r="W470" s="25">
        <f t="array" ref="W470">INDEX(M$5:M$67,MATCH($S470,$B$5:$B$67,0))</f>
        <v>140.8</v>
      </c>
      <c r="X470" s="25">
        <f t="array" ref="X470">INDEX(N$5:N$67,MATCH($S470,$B$5:$B$67,0))</f>
        <v>85</v>
      </c>
      <c r="Y470" s="25">
        <f t="shared" si="559"/>
        <v>6173</v>
      </c>
      <c r="Z470" s="25">
        <f t="shared" si="560"/>
        <v>1419</v>
      </c>
      <c r="AA470" s="25">
        <f t="shared" si="561"/>
        <v>1971</v>
      </c>
      <c r="AB470" s="25">
        <f t="shared" si="562"/>
        <v>1190</v>
      </c>
    </row>
    <row r="471" spans="1:28">
      <c r="A471" s="48">
        <v>1007033</v>
      </c>
      <c r="B471" s="49" t="s">
        <v>329</v>
      </c>
      <c r="C471" s="25">
        <f t="shared" si="554"/>
        <v>33</v>
      </c>
      <c r="D471" s="25">
        <f t="array" ref="D471">INDEX(C$5:C$67,MATCH($B471,$B$5:$B$67,0))</f>
        <v>4500</v>
      </c>
      <c r="E471" s="25">
        <f t="array" ref="E471">INDEX(D$5:D$67,MATCH($B471,$B$5:$B$67,0))</f>
        <v>360</v>
      </c>
      <c r="F471" s="25">
        <f t="array" ref="F471">INDEX(E$5:E$67,MATCH($B471,$B$5:$B$67,0))</f>
        <v>1080</v>
      </c>
      <c r="G471" s="25">
        <f t="array" ref="G471">INDEX(F$5:F$67,MATCH($B471,$B$5:$B$67,0))</f>
        <v>86.4</v>
      </c>
      <c r="H471" s="25">
        <f t="array" ref="H471">INDEX(G$5:G$66,MATCH($B471,$B$5:$B$67,0))</f>
        <v>1485</v>
      </c>
      <c r="I471" s="25">
        <f t="array" ref="I471">INDEX(H$5:H$67,MATCH($B471,$B$5:$B$67,0))</f>
        <v>118.8</v>
      </c>
      <c r="J471" s="25">
        <f t="array" ref="J471">INDEX(I$5:I$67,MATCH($B471,$B$5:$B$67,0))</f>
        <v>1100</v>
      </c>
      <c r="K471" s="25">
        <f t="array" ref="K471">INDEX(J$5:J$67,MATCH($B471,$B$5:$B$67,0))</f>
        <v>88</v>
      </c>
      <c r="L471" s="25">
        <f t="shared" si="555"/>
        <v>16380</v>
      </c>
      <c r="M471" s="25">
        <f t="shared" si="556"/>
        <v>3931</v>
      </c>
      <c r="N471" s="25">
        <f t="shared" si="557"/>
        <v>5405</v>
      </c>
      <c r="O471" s="25">
        <f t="shared" si="558"/>
        <v>4004</v>
      </c>
      <c r="R471" s="50">
        <f t="array" ref="R471">INDEX($B$46:$B$68,MATCH(S471,$C$46:$C$68,0))*1000+T471</f>
        <v>1017015</v>
      </c>
      <c r="S471" s="51" t="s">
        <v>345</v>
      </c>
      <c r="T471" s="29">
        <f t="shared" si="553"/>
        <v>15</v>
      </c>
      <c r="U471" s="25">
        <f t="array" ref="U471">INDEX(K$5:K$67,MATCH($S471,$B$5:$B$67,0))</f>
        <v>440.91</v>
      </c>
      <c r="V471" s="25">
        <f t="array" ref="V471">INDEX(L$5:L$67,MATCH($S471,$B$5:$B$67,0))</f>
        <v>101.38</v>
      </c>
      <c r="W471" s="25">
        <f t="array" ref="W471">INDEX(M$5:M$67,MATCH($S471,$B$5:$B$67,0))</f>
        <v>140.8</v>
      </c>
      <c r="X471" s="25">
        <f t="array" ref="X471">INDEX(N$5:N$67,MATCH($S471,$B$5:$B$67,0))</f>
        <v>85</v>
      </c>
      <c r="Y471" s="25">
        <f t="shared" si="559"/>
        <v>6614</v>
      </c>
      <c r="Z471" s="25">
        <f t="shared" si="560"/>
        <v>1521</v>
      </c>
      <c r="AA471" s="25">
        <f t="shared" si="561"/>
        <v>2112</v>
      </c>
      <c r="AB471" s="25">
        <f t="shared" si="562"/>
        <v>1275</v>
      </c>
    </row>
    <row r="472" spans="1:28">
      <c r="A472" s="48">
        <v>1007034</v>
      </c>
      <c r="B472" s="49" t="s">
        <v>329</v>
      </c>
      <c r="C472" s="25">
        <f t="shared" si="554"/>
        <v>34</v>
      </c>
      <c r="D472" s="25">
        <f t="array" ref="D472">INDEX(C$5:C$67,MATCH($B472,$B$5:$B$67,0))</f>
        <v>4500</v>
      </c>
      <c r="E472" s="25">
        <f t="array" ref="E472">INDEX(D$5:D$67,MATCH($B472,$B$5:$B$67,0))</f>
        <v>360</v>
      </c>
      <c r="F472" s="25">
        <f t="array" ref="F472">INDEX(E$5:E$67,MATCH($B472,$B$5:$B$67,0))</f>
        <v>1080</v>
      </c>
      <c r="G472" s="25">
        <f t="array" ref="G472">INDEX(F$5:F$67,MATCH($B472,$B$5:$B$67,0))</f>
        <v>86.4</v>
      </c>
      <c r="H472" s="25">
        <f t="array" ref="H472">INDEX(G$5:G$66,MATCH($B472,$B$5:$B$67,0))</f>
        <v>1485</v>
      </c>
      <c r="I472" s="25">
        <f t="array" ref="I472">INDEX(H$5:H$67,MATCH($B472,$B$5:$B$67,0))</f>
        <v>118.8</v>
      </c>
      <c r="J472" s="25">
        <f t="array" ref="J472">INDEX(I$5:I$67,MATCH($B472,$B$5:$B$67,0))</f>
        <v>1100</v>
      </c>
      <c r="K472" s="25">
        <f t="array" ref="K472">INDEX(J$5:J$67,MATCH($B472,$B$5:$B$67,0))</f>
        <v>88</v>
      </c>
      <c r="L472" s="25">
        <f t="shared" si="555"/>
        <v>16740</v>
      </c>
      <c r="M472" s="25">
        <f t="shared" si="556"/>
        <v>4018</v>
      </c>
      <c r="N472" s="25">
        <f t="shared" si="557"/>
        <v>5524</v>
      </c>
      <c r="O472" s="25">
        <f t="shared" si="558"/>
        <v>4092</v>
      </c>
      <c r="R472" s="50">
        <f t="array" ref="R472">INDEX($B$46:$B$68,MATCH(S472,$C$46:$C$68,0))*1000+T472</f>
        <v>1017016</v>
      </c>
      <c r="S472" s="51" t="s">
        <v>345</v>
      </c>
      <c r="T472" s="29">
        <f t="shared" si="553"/>
        <v>16</v>
      </c>
      <c r="U472" s="25">
        <f t="array" ref="U472">INDEX(K$5:K$67,MATCH($S472,$B$5:$B$67,0))</f>
        <v>440.91</v>
      </c>
      <c r="V472" s="25">
        <f t="array" ref="V472">INDEX(L$5:L$67,MATCH($S472,$B$5:$B$67,0))</f>
        <v>101.38</v>
      </c>
      <c r="W472" s="25">
        <f t="array" ref="W472">INDEX(M$5:M$67,MATCH($S472,$B$5:$B$67,0))</f>
        <v>140.8</v>
      </c>
      <c r="X472" s="25">
        <f t="array" ref="X472">INDEX(N$5:N$67,MATCH($S472,$B$5:$B$67,0))</f>
        <v>85</v>
      </c>
      <c r="Y472" s="25">
        <f t="shared" si="559"/>
        <v>7055</v>
      </c>
      <c r="Z472" s="25">
        <f t="shared" si="560"/>
        <v>1622</v>
      </c>
      <c r="AA472" s="25">
        <f t="shared" si="561"/>
        <v>2253</v>
      </c>
      <c r="AB472" s="25">
        <f t="shared" si="562"/>
        <v>1360</v>
      </c>
    </row>
    <row r="473" spans="1:28">
      <c r="A473" s="48">
        <v>1007035</v>
      </c>
      <c r="B473" s="49" t="s">
        <v>329</v>
      </c>
      <c r="C473" s="25">
        <f t="shared" si="554"/>
        <v>35</v>
      </c>
      <c r="D473" s="25">
        <f t="array" ref="D473">INDEX(C$5:C$67,MATCH($B473,$B$5:$B$67,0))</f>
        <v>4500</v>
      </c>
      <c r="E473" s="25">
        <f t="array" ref="E473">INDEX(D$5:D$67,MATCH($B473,$B$5:$B$67,0))</f>
        <v>360</v>
      </c>
      <c r="F473" s="25">
        <f t="array" ref="F473">INDEX(E$5:E$67,MATCH($B473,$B$5:$B$67,0))</f>
        <v>1080</v>
      </c>
      <c r="G473" s="25">
        <f t="array" ref="G473">INDEX(F$5:F$67,MATCH($B473,$B$5:$B$67,0))</f>
        <v>86.4</v>
      </c>
      <c r="H473" s="25">
        <f t="array" ref="H473">INDEX(G$5:G$66,MATCH($B473,$B$5:$B$67,0))</f>
        <v>1485</v>
      </c>
      <c r="I473" s="25">
        <f t="array" ref="I473">INDEX(H$5:H$67,MATCH($B473,$B$5:$B$67,0))</f>
        <v>118.8</v>
      </c>
      <c r="J473" s="25">
        <f t="array" ref="J473">INDEX(I$5:I$67,MATCH($B473,$B$5:$B$67,0))</f>
        <v>1100</v>
      </c>
      <c r="K473" s="25">
        <f t="array" ref="K473">INDEX(J$5:J$67,MATCH($B473,$B$5:$B$67,0))</f>
        <v>88</v>
      </c>
      <c r="L473" s="25">
        <f t="shared" si="555"/>
        <v>17100</v>
      </c>
      <c r="M473" s="25">
        <f t="shared" si="556"/>
        <v>4104</v>
      </c>
      <c r="N473" s="25">
        <f t="shared" si="557"/>
        <v>5643</v>
      </c>
      <c r="O473" s="25">
        <f t="shared" si="558"/>
        <v>4180</v>
      </c>
      <c r="R473" s="50">
        <f t="array" ref="R473">INDEX($B$46:$B$68,MATCH(S473,$C$46:$C$68,0))*1000+T473</f>
        <v>1017017</v>
      </c>
      <c r="S473" s="51" t="s">
        <v>345</v>
      </c>
      <c r="T473" s="29">
        <f t="shared" si="553"/>
        <v>17</v>
      </c>
      <c r="U473" s="25">
        <f t="array" ref="U473">INDEX(K$5:K$67,MATCH($S473,$B$5:$B$67,0))</f>
        <v>440.91</v>
      </c>
      <c r="V473" s="25">
        <f t="array" ref="V473">INDEX(L$5:L$67,MATCH($S473,$B$5:$B$67,0))</f>
        <v>101.38</v>
      </c>
      <c r="W473" s="25">
        <f t="array" ref="W473">INDEX(M$5:M$67,MATCH($S473,$B$5:$B$67,0))</f>
        <v>140.8</v>
      </c>
      <c r="X473" s="25">
        <f t="array" ref="X473">INDEX(N$5:N$67,MATCH($S473,$B$5:$B$67,0))</f>
        <v>85</v>
      </c>
      <c r="Y473" s="25">
        <f t="shared" si="559"/>
        <v>7495</v>
      </c>
      <c r="Z473" s="25">
        <f t="shared" si="560"/>
        <v>1723</v>
      </c>
      <c r="AA473" s="25">
        <f t="shared" si="561"/>
        <v>2394</v>
      </c>
      <c r="AB473" s="25">
        <f t="shared" si="562"/>
        <v>1445</v>
      </c>
    </row>
    <row r="474" spans="1:28">
      <c r="A474" s="48">
        <v>1007036</v>
      </c>
      <c r="B474" s="49" t="s">
        <v>329</v>
      </c>
      <c r="C474" s="25">
        <f t="shared" si="554"/>
        <v>36</v>
      </c>
      <c r="D474" s="25">
        <f t="array" ref="D474">INDEX(C$5:C$67,MATCH($B474,$B$5:$B$67,0))</f>
        <v>4500</v>
      </c>
      <c r="E474" s="25">
        <f t="array" ref="E474">INDEX(D$5:D$67,MATCH($B474,$B$5:$B$67,0))</f>
        <v>360</v>
      </c>
      <c r="F474" s="25">
        <f t="array" ref="F474">INDEX(E$5:E$67,MATCH($B474,$B$5:$B$67,0))</f>
        <v>1080</v>
      </c>
      <c r="G474" s="25">
        <f t="array" ref="G474">INDEX(F$5:F$67,MATCH($B474,$B$5:$B$67,0))</f>
        <v>86.4</v>
      </c>
      <c r="H474" s="25">
        <f t="array" ref="H474">INDEX(G$5:G$66,MATCH($B474,$B$5:$B$67,0))</f>
        <v>1485</v>
      </c>
      <c r="I474" s="25">
        <f t="array" ref="I474">INDEX(H$5:H$67,MATCH($B474,$B$5:$B$67,0))</f>
        <v>118.8</v>
      </c>
      <c r="J474" s="25">
        <f t="array" ref="J474">INDEX(I$5:I$67,MATCH($B474,$B$5:$B$67,0))</f>
        <v>1100</v>
      </c>
      <c r="K474" s="25">
        <f t="array" ref="K474">INDEX(J$5:J$67,MATCH($B474,$B$5:$B$67,0))</f>
        <v>88</v>
      </c>
      <c r="L474" s="25">
        <f t="shared" si="555"/>
        <v>17460</v>
      </c>
      <c r="M474" s="25">
        <f t="shared" si="556"/>
        <v>4190</v>
      </c>
      <c r="N474" s="25">
        <f t="shared" si="557"/>
        <v>5762</v>
      </c>
      <c r="O474" s="25">
        <f t="shared" si="558"/>
        <v>4268</v>
      </c>
      <c r="R474" s="50">
        <f t="array" ref="R474">INDEX($B$46:$B$68,MATCH(S474,$C$46:$C$68,0))*1000+T474</f>
        <v>1017018</v>
      </c>
      <c r="S474" s="51" t="s">
        <v>345</v>
      </c>
      <c r="T474" s="29">
        <f t="shared" si="553"/>
        <v>18</v>
      </c>
      <c r="U474" s="25">
        <f t="array" ref="U474">INDEX(K$5:K$67,MATCH($S474,$B$5:$B$67,0))</f>
        <v>440.91</v>
      </c>
      <c r="V474" s="25">
        <f t="array" ref="V474">INDEX(L$5:L$67,MATCH($S474,$B$5:$B$67,0))</f>
        <v>101.38</v>
      </c>
      <c r="W474" s="25">
        <f t="array" ref="W474">INDEX(M$5:M$67,MATCH($S474,$B$5:$B$67,0))</f>
        <v>140.8</v>
      </c>
      <c r="X474" s="25">
        <f t="array" ref="X474">INDEX(N$5:N$67,MATCH($S474,$B$5:$B$67,0))</f>
        <v>85</v>
      </c>
      <c r="Y474" s="25">
        <f t="shared" si="559"/>
        <v>7936</v>
      </c>
      <c r="Z474" s="25">
        <f t="shared" si="560"/>
        <v>1825</v>
      </c>
      <c r="AA474" s="25">
        <f t="shared" si="561"/>
        <v>2534</v>
      </c>
      <c r="AB474" s="25">
        <f t="shared" si="562"/>
        <v>1530</v>
      </c>
    </row>
    <row r="475" spans="1:28">
      <c r="A475" s="48">
        <v>1007037</v>
      </c>
      <c r="B475" s="49" t="s">
        <v>329</v>
      </c>
      <c r="C475" s="25">
        <f t="shared" si="554"/>
        <v>37</v>
      </c>
      <c r="D475" s="25">
        <f t="array" ref="D475">INDEX(C$5:C$67,MATCH($B475,$B$5:$B$67,0))</f>
        <v>4500</v>
      </c>
      <c r="E475" s="25">
        <f t="array" ref="E475">INDEX(D$5:D$67,MATCH($B475,$B$5:$B$67,0))</f>
        <v>360</v>
      </c>
      <c r="F475" s="25">
        <f t="array" ref="F475">INDEX(E$5:E$67,MATCH($B475,$B$5:$B$67,0))</f>
        <v>1080</v>
      </c>
      <c r="G475" s="25">
        <f t="array" ref="G475">INDEX(F$5:F$67,MATCH($B475,$B$5:$B$67,0))</f>
        <v>86.4</v>
      </c>
      <c r="H475" s="25">
        <f t="array" ref="H475">INDEX(G$5:G$66,MATCH($B475,$B$5:$B$67,0))</f>
        <v>1485</v>
      </c>
      <c r="I475" s="25">
        <f t="array" ref="I475">INDEX(H$5:H$67,MATCH($B475,$B$5:$B$67,0))</f>
        <v>118.8</v>
      </c>
      <c r="J475" s="25">
        <f t="array" ref="J475">INDEX(I$5:I$67,MATCH($B475,$B$5:$B$67,0))</f>
        <v>1100</v>
      </c>
      <c r="K475" s="25">
        <f t="array" ref="K475">INDEX(J$5:J$67,MATCH($B475,$B$5:$B$67,0))</f>
        <v>88</v>
      </c>
      <c r="L475" s="25">
        <f t="shared" si="555"/>
        <v>17820</v>
      </c>
      <c r="M475" s="25">
        <f t="shared" si="556"/>
        <v>4277</v>
      </c>
      <c r="N475" s="25">
        <f t="shared" si="557"/>
        <v>5881</v>
      </c>
      <c r="O475" s="25">
        <f t="shared" si="558"/>
        <v>4356</v>
      </c>
      <c r="R475" s="50">
        <f t="array" ref="R475">INDEX($B$46:$B$68,MATCH(S475,$C$46:$C$68,0))*1000+T475</f>
        <v>1017019</v>
      </c>
      <c r="S475" s="51" t="s">
        <v>345</v>
      </c>
      <c r="T475" s="29">
        <f t="shared" si="553"/>
        <v>19</v>
      </c>
      <c r="U475" s="25">
        <f t="array" ref="U475">INDEX(K$5:K$67,MATCH($S475,$B$5:$B$67,0))</f>
        <v>440.91</v>
      </c>
      <c r="V475" s="25">
        <f t="array" ref="V475">INDEX(L$5:L$67,MATCH($S475,$B$5:$B$67,0))</f>
        <v>101.38</v>
      </c>
      <c r="W475" s="25">
        <f t="array" ref="W475">INDEX(M$5:M$67,MATCH($S475,$B$5:$B$67,0))</f>
        <v>140.8</v>
      </c>
      <c r="X475" s="25">
        <f t="array" ref="X475">INDEX(N$5:N$67,MATCH($S475,$B$5:$B$67,0))</f>
        <v>85</v>
      </c>
      <c r="Y475" s="25">
        <f t="shared" si="559"/>
        <v>8377</v>
      </c>
      <c r="Z475" s="25">
        <f t="shared" si="560"/>
        <v>1926</v>
      </c>
      <c r="AA475" s="25">
        <f t="shared" si="561"/>
        <v>2675</v>
      </c>
      <c r="AB475" s="25">
        <f t="shared" si="562"/>
        <v>1615</v>
      </c>
    </row>
    <row r="476" spans="1:28">
      <c r="A476" s="48">
        <v>1007038</v>
      </c>
      <c r="B476" s="49" t="s">
        <v>329</v>
      </c>
      <c r="C476" s="25">
        <f t="shared" si="554"/>
        <v>38</v>
      </c>
      <c r="D476" s="25">
        <f t="array" ref="D476">INDEX(C$5:C$67,MATCH($B476,$B$5:$B$67,0))</f>
        <v>4500</v>
      </c>
      <c r="E476" s="25">
        <f t="array" ref="E476">INDEX(D$5:D$67,MATCH($B476,$B$5:$B$67,0))</f>
        <v>360</v>
      </c>
      <c r="F476" s="25">
        <f t="array" ref="F476">INDEX(E$5:E$67,MATCH($B476,$B$5:$B$67,0))</f>
        <v>1080</v>
      </c>
      <c r="G476" s="25">
        <f t="array" ref="G476">INDEX(F$5:F$67,MATCH($B476,$B$5:$B$67,0))</f>
        <v>86.4</v>
      </c>
      <c r="H476" s="25">
        <f t="array" ref="H476">INDEX(G$5:G$66,MATCH($B476,$B$5:$B$67,0))</f>
        <v>1485</v>
      </c>
      <c r="I476" s="25">
        <f t="array" ref="I476">INDEX(H$5:H$67,MATCH($B476,$B$5:$B$67,0))</f>
        <v>118.8</v>
      </c>
      <c r="J476" s="25">
        <f t="array" ref="J476">INDEX(I$5:I$67,MATCH($B476,$B$5:$B$67,0))</f>
        <v>1100</v>
      </c>
      <c r="K476" s="25">
        <f t="array" ref="K476">INDEX(J$5:J$67,MATCH($B476,$B$5:$B$67,0))</f>
        <v>88</v>
      </c>
      <c r="L476" s="25">
        <f t="shared" si="555"/>
        <v>18180</v>
      </c>
      <c r="M476" s="25">
        <f t="shared" si="556"/>
        <v>4363</v>
      </c>
      <c r="N476" s="25">
        <f t="shared" si="557"/>
        <v>5999</v>
      </c>
      <c r="O476" s="25">
        <f t="shared" si="558"/>
        <v>4444</v>
      </c>
      <c r="R476" s="50">
        <f t="array" ref="R476">INDEX($B$46:$B$68,MATCH(S476,$C$46:$C$68,0))*1000+T476</f>
        <v>1017020</v>
      </c>
      <c r="S476" s="51" t="s">
        <v>345</v>
      </c>
      <c r="T476" s="29">
        <f t="shared" si="553"/>
        <v>20</v>
      </c>
      <c r="U476" s="25">
        <f t="array" ref="U476">INDEX(K$5:K$67,MATCH($S476,$B$5:$B$67,0))</f>
        <v>440.91</v>
      </c>
      <c r="V476" s="25">
        <f t="array" ref="V476">INDEX(L$5:L$67,MATCH($S476,$B$5:$B$67,0))</f>
        <v>101.38</v>
      </c>
      <c r="W476" s="25">
        <f t="array" ref="W476">INDEX(M$5:M$67,MATCH($S476,$B$5:$B$67,0))</f>
        <v>140.8</v>
      </c>
      <c r="X476" s="25">
        <f t="array" ref="X476">INDEX(N$5:N$67,MATCH($S476,$B$5:$B$67,0))</f>
        <v>85</v>
      </c>
      <c r="Y476" s="25">
        <f t="shared" si="559"/>
        <v>8818</v>
      </c>
      <c r="Z476" s="25">
        <f t="shared" si="560"/>
        <v>2028</v>
      </c>
      <c r="AA476" s="25">
        <f t="shared" si="561"/>
        <v>2816</v>
      </c>
      <c r="AB476" s="25">
        <f t="shared" si="562"/>
        <v>1700</v>
      </c>
    </row>
    <row r="477" spans="1:28">
      <c r="A477" s="48">
        <v>1007039</v>
      </c>
      <c r="B477" s="49" t="s">
        <v>329</v>
      </c>
      <c r="C477" s="25">
        <f t="shared" si="554"/>
        <v>39</v>
      </c>
      <c r="D477" s="25">
        <f t="array" ref="D477">INDEX(C$5:C$67,MATCH($B477,$B$5:$B$67,0))</f>
        <v>4500</v>
      </c>
      <c r="E477" s="25">
        <f t="array" ref="E477">INDEX(D$5:D$67,MATCH($B477,$B$5:$B$67,0))</f>
        <v>360</v>
      </c>
      <c r="F477" s="25">
        <f t="array" ref="F477">INDEX(E$5:E$67,MATCH($B477,$B$5:$B$67,0))</f>
        <v>1080</v>
      </c>
      <c r="G477" s="25">
        <f t="array" ref="G477">INDEX(F$5:F$67,MATCH($B477,$B$5:$B$67,0))</f>
        <v>86.4</v>
      </c>
      <c r="H477" s="25">
        <f t="array" ref="H477">INDEX(G$5:G$66,MATCH($B477,$B$5:$B$67,0))</f>
        <v>1485</v>
      </c>
      <c r="I477" s="25">
        <f t="array" ref="I477">INDEX(H$5:H$67,MATCH($B477,$B$5:$B$67,0))</f>
        <v>118.8</v>
      </c>
      <c r="J477" s="25">
        <f t="array" ref="J477">INDEX(I$5:I$67,MATCH($B477,$B$5:$B$67,0))</f>
        <v>1100</v>
      </c>
      <c r="K477" s="25">
        <f t="array" ref="K477">INDEX(J$5:J$67,MATCH($B477,$B$5:$B$67,0))</f>
        <v>88</v>
      </c>
      <c r="L477" s="25">
        <f t="shared" si="555"/>
        <v>18540</v>
      </c>
      <c r="M477" s="25">
        <f t="shared" si="556"/>
        <v>4450</v>
      </c>
      <c r="N477" s="25">
        <f t="shared" si="557"/>
        <v>6118</v>
      </c>
      <c r="O477" s="25">
        <f t="shared" si="558"/>
        <v>4532</v>
      </c>
      <c r="R477" s="50">
        <f t="array" ref="R477">INDEX($B$46:$B$68,MATCH(S477,$C$46:$C$68,0))*1000+T477</f>
        <v>1017021</v>
      </c>
      <c r="S477" s="51" t="s">
        <v>345</v>
      </c>
      <c r="T477" s="29">
        <f t="shared" si="553"/>
        <v>21</v>
      </c>
      <c r="U477" s="25">
        <f t="array" ref="U477">INDEX(K$5:K$67,MATCH($S477,$B$5:$B$67,0))</f>
        <v>440.91</v>
      </c>
      <c r="V477" s="25">
        <f t="array" ref="V477">INDEX(L$5:L$67,MATCH($S477,$B$5:$B$67,0))</f>
        <v>101.38</v>
      </c>
      <c r="W477" s="25">
        <f t="array" ref="W477">INDEX(M$5:M$67,MATCH($S477,$B$5:$B$67,0))</f>
        <v>140.8</v>
      </c>
      <c r="X477" s="25">
        <f t="array" ref="X477">INDEX(N$5:N$67,MATCH($S477,$B$5:$B$67,0))</f>
        <v>85</v>
      </c>
      <c r="Y477" s="25">
        <f t="shared" si="559"/>
        <v>9259</v>
      </c>
      <c r="Z477" s="25">
        <f t="shared" si="560"/>
        <v>2129</v>
      </c>
      <c r="AA477" s="25">
        <f t="shared" si="561"/>
        <v>2957</v>
      </c>
      <c r="AB477" s="25">
        <f t="shared" si="562"/>
        <v>1785</v>
      </c>
    </row>
    <row r="478" spans="1:28">
      <c r="A478" s="48">
        <v>1007040</v>
      </c>
      <c r="B478" s="49" t="s">
        <v>329</v>
      </c>
      <c r="C478" s="25">
        <f t="shared" si="554"/>
        <v>40</v>
      </c>
      <c r="D478" s="25">
        <f t="array" ref="D478">INDEX(C$5:C$67,MATCH($B478,$B$5:$B$67,0))</f>
        <v>4500</v>
      </c>
      <c r="E478" s="25">
        <f t="array" ref="E478">INDEX(D$5:D$67,MATCH($B478,$B$5:$B$67,0))</f>
        <v>360</v>
      </c>
      <c r="F478" s="25">
        <f t="array" ref="F478">INDEX(E$5:E$67,MATCH($B478,$B$5:$B$67,0))</f>
        <v>1080</v>
      </c>
      <c r="G478" s="25">
        <f t="array" ref="G478">INDEX(F$5:F$67,MATCH($B478,$B$5:$B$67,0))</f>
        <v>86.4</v>
      </c>
      <c r="H478" s="25">
        <f t="array" ref="H478">INDEX(G$5:G$66,MATCH($B478,$B$5:$B$67,0))</f>
        <v>1485</v>
      </c>
      <c r="I478" s="25">
        <f t="array" ref="I478">INDEX(H$5:H$67,MATCH($B478,$B$5:$B$67,0))</f>
        <v>118.8</v>
      </c>
      <c r="J478" s="25">
        <f t="array" ref="J478">INDEX(I$5:I$67,MATCH($B478,$B$5:$B$67,0))</f>
        <v>1100</v>
      </c>
      <c r="K478" s="25">
        <f t="array" ref="K478">INDEX(J$5:J$67,MATCH($B478,$B$5:$B$67,0))</f>
        <v>88</v>
      </c>
      <c r="L478" s="25">
        <f t="shared" si="555"/>
        <v>18900</v>
      </c>
      <c r="M478" s="25">
        <f t="shared" si="556"/>
        <v>4536</v>
      </c>
      <c r="N478" s="25">
        <f t="shared" si="557"/>
        <v>6237</v>
      </c>
      <c r="O478" s="25">
        <f t="shared" si="558"/>
        <v>4620</v>
      </c>
      <c r="R478" s="50">
        <f t="array" ref="R478">INDEX($B$46:$B$68,MATCH(S478,$C$46:$C$68,0))*1000+T478</f>
        <v>1017022</v>
      </c>
      <c r="S478" s="51" t="s">
        <v>345</v>
      </c>
      <c r="T478" s="29">
        <f t="shared" si="553"/>
        <v>22</v>
      </c>
      <c r="U478" s="25">
        <f t="array" ref="U478">INDEX(K$5:K$67,MATCH($S478,$B$5:$B$67,0))</f>
        <v>440.91</v>
      </c>
      <c r="V478" s="25">
        <f t="array" ref="V478">INDEX(L$5:L$67,MATCH($S478,$B$5:$B$67,0))</f>
        <v>101.38</v>
      </c>
      <c r="W478" s="25">
        <f t="array" ref="W478">INDEX(M$5:M$67,MATCH($S478,$B$5:$B$67,0))</f>
        <v>140.8</v>
      </c>
      <c r="X478" s="25">
        <f t="array" ref="X478">INDEX(N$5:N$67,MATCH($S478,$B$5:$B$67,0))</f>
        <v>85</v>
      </c>
      <c r="Y478" s="25">
        <f t="shared" si="559"/>
        <v>9700</v>
      </c>
      <c r="Z478" s="25">
        <f t="shared" si="560"/>
        <v>2230</v>
      </c>
      <c r="AA478" s="25">
        <f t="shared" si="561"/>
        <v>3098</v>
      </c>
      <c r="AB478" s="25">
        <f t="shared" si="562"/>
        <v>1870</v>
      </c>
    </row>
    <row r="479" spans="1:28">
      <c r="A479" s="48">
        <v>1007041</v>
      </c>
      <c r="B479" s="49" t="s">
        <v>329</v>
      </c>
      <c r="C479" s="25">
        <f t="shared" si="554"/>
        <v>41</v>
      </c>
      <c r="D479" s="25">
        <f t="array" ref="D479">INDEX(C$5:C$67,MATCH($B479,$B$5:$B$67,0))</f>
        <v>4500</v>
      </c>
      <c r="E479" s="25">
        <f t="array" ref="E479">INDEX(D$5:D$67,MATCH($B479,$B$5:$B$67,0))</f>
        <v>360</v>
      </c>
      <c r="F479" s="25">
        <f t="array" ref="F479">INDEX(E$5:E$67,MATCH($B479,$B$5:$B$67,0))</f>
        <v>1080</v>
      </c>
      <c r="G479" s="25">
        <f t="array" ref="G479">INDEX(F$5:F$67,MATCH($B479,$B$5:$B$67,0))</f>
        <v>86.4</v>
      </c>
      <c r="H479" s="25">
        <f t="array" ref="H479">INDEX(G$5:G$66,MATCH($B479,$B$5:$B$67,0))</f>
        <v>1485</v>
      </c>
      <c r="I479" s="25">
        <f t="array" ref="I479">INDEX(H$5:H$67,MATCH($B479,$B$5:$B$67,0))</f>
        <v>118.8</v>
      </c>
      <c r="J479" s="25">
        <f t="array" ref="J479">INDEX(I$5:I$67,MATCH($B479,$B$5:$B$67,0))</f>
        <v>1100</v>
      </c>
      <c r="K479" s="25">
        <f t="array" ref="K479">INDEX(J$5:J$67,MATCH($B479,$B$5:$B$67,0))</f>
        <v>88</v>
      </c>
      <c r="L479" s="25">
        <f t="shared" si="555"/>
        <v>19260</v>
      </c>
      <c r="M479" s="25">
        <f t="shared" si="556"/>
        <v>4622</v>
      </c>
      <c r="N479" s="25">
        <f t="shared" si="557"/>
        <v>6356</v>
      </c>
      <c r="O479" s="25">
        <f t="shared" si="558"/>
        <v>4708</v>
      </c>
      <c r="R479" s="50">
        <f t="array" ref="R479">INDEX($B$46:$B$68,MATCH(S479,$C$46:$C$68,0))*1000+T479</f>
        <v>1017023</v>
      </c>
      <c r="S479" s="51" t="s">
        <v>345</v>
      </c>
      <c r="T479" s="29">
        <f t="shared" si="553"/>
        <v>23</v>
      </c>
      <c r="U479" s="25">
        <f t="array" ref="U479">INDEX(K$5:K$67,MATCH($S479,$B$5:$B$67,0))</f>
        <v>440.91</v>
      </c>
      <c r="V479" s="25">
        <f t="array" ref="V479">INDEX(L$5:L$67,MATCH($S479,$B$5:$B$67,0))</f>
        <v>101.38</v>
      </c>
      <c r="W479" s="25">
        <f t="array" ref="W479">INDEX(M$5:M$67,MATCH($S479,$B$5:$B$67,0))</f>
        <v>140.8</v>
      </c>
      <c r="X479" s="25">
        <f t="array" ref="X479">INDEX(N$5:N$67,MATCH($S479,$B$5:$B$67,0))</f>
        <v>85</v>
      </c>
      <c r="Y479" s="25">
        <f t="shared" si="559"/>
        <v>10141</v>
      </c>
      <c r="Z479" s="25">
        <f t="shared" si="560"/>
        <v>2332</v>
      </c>
      <c r="AA479" s="25">
        <f t="shared" si="561"/>
        <v>3238</v>
      </c>
      <c r="AB479" s="25">
        <f t="shared" si="562"/>
        <v>1955</v>
      </c>
    </row>
    <row r="480" spans="1:28">
      <c r="A480" s="48">
        <v>1007042</v>
      </c>
      <c r="B480" s="49" t="s">
        <v>329</v>
      </c>
      <c r="C480" s="25">
        <f t="shared" si="554"/>
        <v>42</v>
      </c>
      <c r="D480" s="25">
        <f t="array" ref="D480">INDEX(C$5:C$67,MATCH($B480,$B$5:$B$67,0))</f>
        <v>4500</v>
      </c>
      <c r="E480" s="25">
        <f t="array" ref="E480">INDEX(D$5:D$67,MATCH($B480,$B$5:$B$67,0))</f>
        <v>360</v>
      </c>
      <c r="F480" s="25">
        <f t="array" ref="F480">INDEX(E$5:E$67,MATCH($B480,$B$5:$B$67,0))</f>
        <v>1080</v>
      </c>
      <c r="G480" s="25">
        <f t="array" ref="G480">INDEX(F$5:F$67,MATCH($B480,$B$5:$B$67,0))</f>
        <v>86.4</v>
      </c>
      <c r="H480" s="25">
        <f t="array" ref="H480">INDEX(G$5:G$66,MATCH($B480,$B$5:$B$67,0))</f>
        <v>1485</v>
      </c>
      <c r="I480" s="25">
        <f t="array" ref="I480">INDEX(H$5:H$67,MATCH($B480,$B$5:$B$67,0))</f>
        <v>118.8</v>
      </c>
      <c r="J480" s="25">
        <f t="array" ref="J480">INDEX(I$5:I$67,MATCH($B480,$B$5:$B$67,0))</f>
        <v>1100</v>
      </c>
      <c r="K480" s="25">
        <f t="array" ref="K480">INDEX(J$5:J$67,MATCH($B480,$B$5:$B$67,0))</f>
        <v>88</v>
      </c>
      <c r="L480" s="25">
        <f t="shared" si="555"/>
        <v>19620</v>
      </c>
      <c r="M480" s="25">
        <f t="shared" si="556"/>
        <v>4709</v>
      </c>
      <c r="N480" s="25">
        <f t="shared" si="557"/>
        <v>6475</v>
      </c>
      <c r="O480" s="25">
        <f t="shared" si="558"/>
        <v>4796</v>
      </c>
      <c r="R480" s="50">
        <f t="array" ref="R480">INDEX($B$46:$B$68,MATCH(S480,$C$46:$C$68,0))*1000+T480</f>
        <v>1017024</v>
      </c>
      <c r="S480" s="51" t="s">
        <v>345</v>
      </c>
      <c r="T480" s="29">
        <f t="shared" si="553"/>
        <v>24</v>
      </c>
      <c r="U480" s="25">
        <f t="array" ref="U480">INDEX(K$5:K$67,MATCH($S480,$B$5:$B$67,0))</f>
        <v>440.91</v>
      </c>
      <c r="V480" s="25">
        <f t="array" ref="V480">INDEX(L$5:L$67,MATCH($S480,$B$5:$B$67,0))</f>
        <v>101.38</v>
      </c>
      <c r="W480" s="25">
        <f t="array" ref="W480">INDEX(M$5:M$67,MATCH($S480,$B$5:$B$67,0))</f>
        <v>140.8</v>
      </c>
      <c r="X480" s="25">
        <f t="array" ref="X480">INDEX(N$5:N$67,MATCH($S480,$B$5:$B$67,0))</f>
        <v>85</v>
      </c>
      <c r="Y480" s="25">
        <f t="shared" si="559"/>
        <v>10582</v>
      </c>
      <c r="Z480" s="25">
        <f t="shared" si="560"/>
        <v>2433</v>
      </c>
      <c r="AA480" s="25">
        <f t="shared" si="561"/>
        <v>3379</v>
      </c>
      <c r="AB480" s="25">
        <f t="shared" si="562"/>
        <v>2040</v>
      </c>
    </row>
    <row r="481" spans="1:28">
      <c r="A481" s="48">
        <v>1007043</v>
      </c>
      <c r="B481" s="49" t="s">
        <v>329</v>
      </c>
      <c r="C481" s="25">
        <f t="shared" si="554"/>
        <v>43</v>
      </c>
      <c r="D481" s="25">
        <f t="array" ref="D481">INDEX(C$5:C$67,MATCH($B481,$B$5:$B$67,0))</f>
        <v>4500</v>
      </c>
      <c r="E481" s="25">
        <f t="array" ref="E481">INDEX(D$5:D$67,MATCH($B481,$B$5:$B$67,0))</f>
        <v>360</v>
      </c>
      <c r="F481" s="25">
        <f t="array" ref="F481">INDEX(E$5:E$67,MATCH($B481,$B$5:$B$67,0))</f>
        <v>1080</v>
      </c>
      <c r="G481" s="25">
        <f t="array" ref="G481">INDEX(F$5:F$67,MATCH($B481,$B$5:$B$67,0))</f>
        <v>86.4</v>
      </c>
      <c r="H481" s="25">
        <f t="array" ref="H481">INDEX(G$5:G$66,MATCH($B481,$B$5:$B$67,0))</f>
        <v>1485</v>
      </c>
      <c r="I481" s="25">
        <f t="array" ref="I481">INDEX(H$5:H$67,MATCH($B481,$B$5:$B$67,0))</f>
        <v>118.8</v>
      </c>
      <c r="J481" s="25">
        <f t="array" ref="J481">INDEX(I$5:I$67,MATCH($B481,$B$5:$B$67,0))</f>
        <v>1100</v>
      </c>
      <c r="K481" s="25">
        <f t="array" ref="K481">INDEX(J$5:J$67,MATCH($B481,$B$5:$B$67,0))</f>
        <v>88</v>
      </c>
      <c r="L481" s="25">
        <f t="shared" si="555"/>
        <v>19980</v>
      </c>
      <c r="M481" s="25">
        <f t="shared" si="556"/>
        <v>4795</v>
      </c>
      <c r="N481" s="25">
        <f t="shared" si="557"/>
        <v>6593</v>
      </c>
      <c r="O481" s="25">
        <f t="shared" si="558"/>
        <v>4884</v>
      </c>
      <c r="R481" s="50">
        <f t="array" ref="R481">INDEX($B$46:$B$68,MATCH(S481,$C$46:$C$68,0))*1000+T481</f>
        <v>1017025</v>
      </c>
      <c r="S481" s="51" t="s">
        <v>345</v>
      </c>
      <c r="T481" s="29">
        <f t="shared" si="553"/>
        <v>25</v>
      </c>
      <c r="U481" s="25">
        <f t="array" ref="U481">INDEX(K$5:K$67,MATCH($S481,$B$5:$B$67,0))</f>
        <v>440.91</v>
      </c>
      <c r="V481" s="25">
        <f t="array" ref="V481">INDEX(L$5:L$67,MATCH($S481,$B$5:$B$67,0))</f>
        <v>101.38</v>
      </c>
      <c r="W481" s="25">
        <f t="array" ref="W481">INDEX(M$5:M$67,MATCH($S481,$B$5:$B$67,0))</f>
        <v>140.8</v>
      </c>
      <c r="X481" s="25">
        <f t="array" ref="X481">INDEX(N$5:N$67,MATCH($S481,$B$5:$B$67,0))</f>
        <v>85</v>
      </c>
      <c r="Y481" s="25">
        <f t="shared" si="559"/>
        <v>11023</v>
      </c>
      <c r="Z481" s="25">
        <f t="shared" si="560"/>
        <v>2535</v>
      </c>
      <c r="AA481" s="25">
        <f t="shared" si="561"/>
        <v>3520</v>
      </c>
      <c r="AB481" s="25">
        <f t="shared" si="562"/>
        <v>2125</v>
      </c>
    </row>
    <row r="482" spans="1:28">
      <c r="A482" s="48">
        <v>1007044</v>
      </c>
      <c r="B482" s="49" t="s">
        <v>329</v>
      </c>
      <c r="C482" s="25">
        <f t="shared" si="554"/>
        <v>44</v>
      </c>
      <c r="D482" s="25">
        <f t="array" ref="D482">INDEX(C$5:C$67,MATCH($B482,$B$5:$B$67,0))</f>
        <v>4500</v>
      </c>
      <c r="E482" s="25">
        <f t="array" ref="E482">INDEX(D$5:D$67,MATCH($B482,$B$5:$B$67,0))</f>
        <v>360</v>
      </c>
      <c r="F482" s="25">
        <f t="array" ref="F482">INDEX(E$5:E$67,MATCH($B482,$B$5:$B$67,0))</f>
        <v>1080</v>
      </c>
      <c r="G482" s="25">
        <f t="array" ref="G482">INDEX(F$5:F$67,MATCH($B482,$B$5:$B$67,0))</f>
        <v>86.4</v>
      </c>
      <c r="H482" s="25">
        <f t="array" ref="H482">INDEX(G$5:G$66,MATCH($B482,$B$5:$B$67,0))</f>
        <v>1485</v>
      </c>
      <c r="I482" s="25">
        <f t="array" ref="I482">INDEX(H$5:H$67,MATCH($B482,$B$5:$B$67,0))</f>
        <v>118.8</v>
      </c>
      <c r="J482" s="25">
        <f t="array" ref="J482">INDEX(I$5:I$67,MATCH($B482,$B$5:$B$67,0))</f>
        <v>1100</v>
      </c>
      <c r="K482" s="25">
        <f t="array" ref="K482">INDEX(J$5:J$67,MATCH($B482,$B$5:$B$67,0))</f>
        <v>88</v>
      </c>
      <c r="L482" s="25">
        <f t="shared" si="555"/>
        <v>20340</v>
      </c>
      <c r="M482" s="25">
        <f t="shared" si="556"/>
        <v>4882</v>
      </c>
      <c r="N482" s="25">
        <f t="shared" si="557"/>
        <v>6712</v>
      </c>
      <c r="O482" s="25">
        <f t="shared" si="558"/>
        <v>4972</v>
      </c>
      <c r="R482" s="50">
        <f t="array" ref="R482">INDEX($B$46:$B$68,MATCH(S482,$C$46:$C$68,0))*1000+T482</f>
        <v>1017026</v>
      </c>
      <c r="S482" s="51" t="s">
        <v>345</v>
      </c>
      <c r="T482" s="29">
        <f t="shared" si="553"/>
        <v>26</v>
      </c>
      <c r="U482" s="25">
        <f t="array" ref="U482">INDEX(K$5:K$67,MATCH($S482,$B$5:$B$67,0))</f>
        <v>440.91</v>
      </c>
      <c r="V482" s="25">
        <f t="array" ref="V482">INDEX(L$5:L$67,MATCH($S482,$B$5:$B$67,0))</f>
        <v>101.38</v>
      </c>
      <c r="W482" s="25">
        <f t="array" ref="W482">INDEX(M$5:M$67,MATCH($S482,$B$5:$B$67,0))</f>
        <v>140.8</v>
      </c>
      <c r="X482" s="25">
        <f t="array" ref="X482">INDEX(N$5:N$67,MATCH($S482,$B$5:$B$67,0))</f>
        <v>85</v>
      </c>
      <c r="Y482" s="25">
        <f t="shared" si="559"/>
        <v>11464</v>
      </c>
      <c r="Z482" s="25">
        <f t="shared" si="560"/>
        <v>2636</v>
      </c>
      <c r="AA482" s="25">
        <f t="shared" si="561"/>
        <v>3661</v>
      </c>
      <c r="AB482" s="25">
        <f t="shared" si="562"/>
        <v>2210</v>
      </c>
    </row>
    <row r="483" spans="1:28">
      <c r="A483" s="48">
        <v>1007045</v>
      </c>
      <c r="B483" s="49" t="s">
        <v>329</v>
      </c>
      <c r="C483" s="25">
        <f t="shared" si="554"/>
        <v>45</v>
      </c>
      <c r="D483" s="25">
        <f t="array" ref="D483">INDEX(C$5:C$67,MATCH($B483,$B$5:$B$67,0))</f>
        <v>4500</v>
      </c>
      <c r="E483" s="25">
        <f t="array" ref="E483">INDEX(D$5:D$67,MATCH($B483,$B$5:$B$67,0))</f>
        <v>360</v>
      </c>
      <c r="F483" s="25">
        <f t="array" ref="F483">INDEX(E$5:E$67,MATCH($B483,$B$5:$B$67,0))</f>
        <v>1080</v>
      </c>
      <c r="G483" s="25">
        <f t="array" ref="G483">INDEX(F$5:F$67,MATCH($B483,$B$5:$B$67,0))</f>
        <v>86.4</v>
      </c>
      <c r="H483" s="25">
        <f t="array" ref="H483">INDEX(G$5:G$66,MATCH($B483,$B$5:$B$67,0))</f>
        <v>1485</v>
      </c>
      <c r="I483" s="25">
        <f t="array" ref="I483">INDEX(H$5:H$67,MATCH($B483,$B$5:$B$67,0))</f>
        <v>118.8</v>
      </c>
      <c r="J483" s="25">
        <f t="array" ref="J483">INDEX(I$5:I$67,MATCH($B483,$B$5:$B$67,0))</f>
        <v>1100</v>
      </c>
      <c r="K483" s="25">
        <f t="array" ref="K483">INDEX(J$5:J$67,MATCH($B483,$B$5:$B$67,0))</f>
        <v>88</v>
      </c>
      <c r="L483" s="25">
        <f t="shared" si="555"/>
        <v>20700</v>
      </c>
      <c r="M483" s="25">
        <f t="shared" si="556"/>
        <v>4968</v>
      </c>
      <c r="N483" s="25">
        <f t="shared" si="557"/>
        <v>6831</v>
      </c>
      <c r="O483" s="25">
        <f t="shared" si="558"/>
        <v>5060</v>
      </c>
      <c r="R483" s="50">
        <f t="array" ref="R483">INDEX($B$46:$B$68,MATCH(S483,$C$46:$C$68,0))*1000+T483</f>
        <v>1017027</v>
      </c>
      <c r="S483" s="51" t="s">
        <v>345</v>
      </c>
      <c r="T483" s="29">
        <f t="shared" si="553"/>
        <v>27</v>
      </c>
      <c r="U483" s="25">
        <f t="array" ref="U483">INDEX(K$5:K$67,MATCH($S483,$B$5:$B$67,0))</f>
        <v>440.91</v>
      </c>
      <c r="V483" s="25">
        <f t="array" ref="V483">INDEX(L$5:L$67,MATCH($S483,$B$5:$B$67,0))</f>
        <v>101.38</v>
      </c>
      <c r="W483" s="25">
        <f t="array" ref="W483">INDEX(M$5:M$67,MATCH($S483,$B$5:$B$67,0))</f>
        <v>140.8</v>
      </c>
      <c r="X483" s="25">
        <f t="array" ref="X483">INDEX(N$5:N$67,MATCH($S483,$B$5:$B$67,0))</f>
        <v>85</v>
      </c>
      <c r="Y483" s="25">
        <f t="shared" si="559"/>
        <v>11905</v>
      </c>
      <c r="Z483" s="25">
        <f t="shared" si="560"/>
        <v>2737</v>
      </c>
      <c r="AA483" s="25">
        <f t="shared" si="561"/>
        <v>3802</v>
      </c>
      <c r="AB483" s="25">
        <f t="shared" si="562"/>
        <v>2295</v>
      </c>
    </row>
    <row r="484" spans="1:28">
      <c r="A484" s="48">
        <v>1007046</v>
      </c>
      <c r="B484" s="49" t="s">
        <v>329</v>
      </c>
      <c r="C484" s="25">
        <f t="shared" si="554"/>
        <v>46</v>
      </c>
      <c r="D484" s="25">
        <f t="array" ref="D484">INDEX(C$5:C$67,MATCH($B484,$B$5:$B$67,0))</f>
        <v>4500</v>
      </c>
      <c r="E484" s="25">
        <f t="array" ref="E484">INDEX(D$5:D$67,MATCH($B484,$B$5:$B$67,0))</f>
        <v>360</v>
      </c>
      <c r="F484" s="25">
        <f t="array" ref="F484">INDEX(E$5:E$67,MATCH($B484,$B$5:$B$67,0))</f>
        <v>1080</v>
      </c>
      <c r="G484" s="25">
        <f t="array" ref="G484">INDEX(F$5:F$67,MATCH($B484,$B$5:$B$67,0))</f>
        <v>86.4</v>
      </c>
      <c r="H484" s="25">
        <f t="array" ref="H484">INDEX(G$5:G$66,MATCH($B484,$B$5:$B$67,0))</f>
        <v>1485</v>
      </c>
      <c r="I484" s="25">
        <f t="array" ref="I484">INDEX(H$5:H$67,MATCH($B484,$B$5:$B$67,0))</f>
        <v>118.8</v>
      </c>
      <c r="J484" s="25">
        <f t="array" ref="J484">INDEX(I$5:I$67,MATCH($B484,$B$5:$B$67,0))</f>
        <v>1100</v>
      </c>
      <c r="K484" s="25">
        <f t="array" ref="K484">INDEX(J$5:J$67,MATCH($B484,$B$5:$B$67,0))</f>
        <v>88</v>
      </c>
      <c r="L484" s="25">
        <f t="shared" si="555"/>
        <v>21060</v>
      </c>
      <c r="M484" s="25">
        <f t="shared" si="556"/>
        <v>5054</v>
      </c>
      <c r="N484" s="25">
        <f t="shared" si="557"/>
        <v>6950</v>
      </c>
      <c r="O484" s="25">
        <f t="shared" si="558"/>
        <v>5148</v>
      </c>
      <c r="R484" s="50">
        <f t="array" ref="R484">INDEX($B$46:$B$68,MATCH(S484,$C$46:$C$68,0))*1000+T484</f>
        <v>1018001</v>
      </c>
      <c r="S484" s="51" t="s">
        <v>347</v>
      </c>
      <c r="T484" s="29">
        <f t="shared" si="553"/>
        <v>1</v>
      </c>
      <c r="U484" s="25">
        <f t="array" ref="U484">INDEX(K$5:K$67,MATCH($S484,$B$5:$B$67,0))</f>
        <v>449.86</v>
      </c>
      <c r="V484" s="25">
        <f t="array" ref="V484">INDEX(L$5:L$67,MATCH($S484,$B$5:$B$67,0))</f>
        <v>66.15</v>
      </c>
      <c r="W484" s="25">
        <f t="array" ref="W484">INDEX(M$5:M$67,MATCH($S484,$B$5:$B$67,0))</f>
        <v>82.69</v>
      </c>
      <c r="X484" s="25">
        <f t="array" ref="X484">INDEX(N$5:N$67,MATCH($S484,$B$5:$B$67,0))</f>
        <v>67.83</v>
      </c>
      <c r="Y484" s="25">
        <f t="shared" si="559"/>
        <v>450</v>
      </c>
      <c r="Z484" s="25">
        <f t="shared" si="560"/>
        <v>66</v>
      </c>
      <c r="AA484" s="25">
        <f t="shared" si="561"/>
        <v>83</v>
      </c>
      <c r="AB484" s="25">
        <f t="shared" si="562"/>
        <v>68</v>
      </c>
    </row>
    <row r="485" spans="1:28">
      <c r="A485" s="48">
        <v>1007047</v>
      </c>
      <c r="B485" s="49" t="s">
        <v>329</v>
      </c>
      <c r="C485" s="25">
        <f t="shared" si="554"/>
        <v>47</v>
      </c>
      <c r="D485" s="25">
        <f t="array" ref="D485">INDEX(C$5:C$67,MATCH($B485,$B$5:$B$67,0))</f>
        <v>4500</v>
      </c>
      <c r="E485" s="25">
        <f t="array" ref="E485">INDEX(D$5:D$67,MATCH($B485,$B$5:$B$67,0))</f>
        <v>360</v>
      </c>
      <c r="F485" s="25">
        <f t="array" ref="F485">INDEX(E$5:E$67,MATCH($B485,$B$5:$B$67,0))</f>
        <v>1080</v>
      </c>
      <c r="G485" s="25">
        <f t="array" ref="G485">INDEX(F$5:F$67,MATCH($B485,$B$5:$B$67,0))</f>
        <v>86.4</v>
      </c>
      <c r="H485" s="25">
        <f t="array" ref="H485">INDEX(G$5:G$66,MATCH($B485,$B$5:$B$67,0))</f>
        <v>1485</v>
      </c>
      <c r="I485" s="25">
        <f t="array" ref="I485">INDEX(H$5:H$67,MATCH($B485,$B$5:$B$67,0))</f>
        <v>118.8</v>
      </c>
      <c r="J485" s="25">
        <f t="array" ref="J485">INDEX(I$5:I$67,MATCH($B485,$B$5:$B$67,0))</f>
        <v>1100</v>
      </c>
      <c r="K485" s="25">
        <f t="array" ref="K485">INDEX(J$5:J$67,MATCH($B485,$B$5:$B$67,0))</f>
        <v>88</v>
      </c>
      <c r="L485" s="25">
        <f t="shared" si="555"/>
        <v>21420</v>
      </c>
      <c r="M485" s="25">
        <f t="shared" si="556"/>
        <v>5141</v>
      </c>
      <c r="N485" s="25">
        <f t="shared" si="557"/>
        <v>7069</v>
      </c>
      <c r="O485" s="25">
        <f t="shared" si="558"/>
        <v>5236</v>
      </c>
      <c r="R485" s="50">
        <f t="array" ref="R485">INDEX($B$46:$B$68,MATCH(S485,$C$46:$C$68,0))*1000+T485</f>
        <v>1018002</v>
      </c>
      <c r="S485" s="51" t="s">
        <v>347</v>
      </c>
      <c r="T485" s="29">
        <f t="shared" si="553"/>
        <v>2</v>
      </c>
      <c r="U485" s="25">
        <f t="array" ref="U485">INDEX(K$5:K$67,MATCH($S485,$B$5:$B$67,0))</f>
        <v>449.86</v>
      </c>
      <c r="V485" s="25">
        <f t="array" ref="V485">INDEX(L$5:L$67,MATCH($S485,$B$5:$B$67,0))</f>
        <v>66.15</v>
      </c>
      <c r="W485" s="25">
        <f t="array" ref="W485">INDEX(M$5:M$67,MATCH($S485,$B$5:$B$67,0))</f>
        <v>82.69</v>
      </c>
      <c r="X485" s="25">
        <f t="array" ref="X485">INDEX(N$5:N$67,MATCH($S485,$B$5:$B$67,0))</f>
        <v>67.83</v>
      </c>
      <c r="Y485" s="25">
        <f t="shared" si="559"/>
        <v>900</v>
      </c>
      <c r="Z485" s="25">
        <f t="shared" si="560"/>
        <v>132</v>
      </c>
      <c r="AA485" s="25">
        <f t="shared" si="561"/>
        <v>165</v>
      </c>
      <c r="AB485" s="25">
        <f t="shared" si="562"/>
        <v>136</v>
      </c>
    </row>
    <row r="486" spans="1:28">
      <c r="A486" s="48">
        <v>1007048</v>
      </c>
      <c r="B486" s="49" t="s">
        <v>329</v>
      </c>
      <c r="C486" s="25">
        <f t="shared" si="554"/>
        <v>48</v>
      </c>
      <c r="D486" s="25">
        <f t="array" ref="D486">INDEX(C$5:C$67,MATCH($B486,$B$5:$B$67,0))</f>
        <v>4500</v>
      </c>
      <c r="E486" s="25">
        <f t="array" ref="E486">INDEX(D$5:D$67,MATCH($B486,$B$5:$B$67,0))</f>
        <v>360</v>
      </c>
      <c r="F486" s="25">
        <f t="array" ref="F486">INDEX(E$5:E$67,MATCH($B486,$B$5:$B$67,0))</f>
        <v>1080</v>
      </c>
      <c r="G486" s="25">
        <f t="array" ref="G486">INDEX(F$5:F$67,MATCH($B486,$B$5:$B$67,0))</f>
        <v>86.4</v>
      </c>
      <c r="H486" s="25">
        <f t="array" ref="H486">INDEX(G$5:G$66,MATCH($B486,$B$5:$B$67,0))</f>
        <v>1485</v>
      </c>
      <c r="I486" s="25">
        <f t="array" ref="I486">INDEX(H$5:H$67,MATCH($B486,$B$5:$B$67,0))</f>
        <v>118.8</v>
      </c>
      <c r="J486" s="25">
        <f t="array" ref="J486">INDEX(I$5:I$67,MATCH($B486,$B$5:$B$67,0))</f>
        <v>1100</v>
      </c>
      <c r="K486" s="25">
        <f t="array" ref="K486">INDEX(J$5:J$67,MATCH($B486,$B$5:$B$67,0))</f>
        <v>88</v>
      </c>
      <c r="L486" s="25">
        <f t="shared" si="555"/>
        <v>21780</v>
      </c>
      <c r="M486" s="25">
        <f t="shared" si="556"/>
        <v>5227</v>
      </c>
      <c r="N486" s="25">
        <f t="shared" si="557"/>
        <v>7187</v>
      </c>
      <c r="O486" s="25">
        <f t="shared" si="558"/>
        <v>5324</v>
      </c>
      <c r="R486" s="50">
        <f t="array" ref="R486">INDEX($B$46:$B$68,MATCH(S486,$C$46:$C$68,0))*1000+T486</f>
        <v>1018003</v>
      </c>
      <c r="S486" s="51" t="s">
        <v>347</v>
      </c>
      <c r="T486" s="29">
        <f t="shared" si="553"/>
        <v>3</v>
      </c>
      <c r="U486" s="25">
        <f t="array" ref="U486">INDEX(K$5:K$67,MATCH($S486,$B$5:$B$67,0))</f>
        <v>449.86</v>
      </c>
      <c r="V486" s="25">
        <f t="array" ref="V486">INDEX(L$5:L$67,MATCH($S486,$B$5:$B$67,0))</f>
        <v>66.15</v>
      </c>
      <c r="W486" s="25">
        <f t="array" ref="W486">INDEX(M$5:M$67,MATCH($S486,$B$5:$B$67,0))</f>
        <v>82.69</v>
      </c>
      <c r="X486" s="25">
        <f t="array" ref="X486">INDEX(N$5:N$67,MATCH($S486,$B$5:$B$67,0))</f>
        <v>67.83</v>
      </c>
      <c r="Y486" s="25">
        <f t="shared" si="559"/>
        <v>1350</v>
      </c>
      <c r="Z486" s="25">
        <f t="shared" si="560"/>
        <v>198</v>
      </c>
      <c r="AA486" s="25">
        <f t="shared" si="561"/>
        <v>248</v>
      </c>
      <c r="AB486" s="25">
        <f t="shared" si="562"/>
        <v>203</v>
      </c>
    </row>
    <row r="487" spans="1:28">
      <c r="A487" s="48">
        <v>1007049</v>
      </c>
      <c r="B487" s="49" t="s">
        <v>329</v>
      </c>
      <c r="C487" s="25">
        <f t="shared" si="554"/>
        <v>49</v>
      </c>
      <c r="D487" s="25">
        <f t="array" ref="D487">INDEX(C$5:C$67,MATCH($B487,$B$5:$B$67,0))</f>
        <v>4500</v>
      </c>
      <c r="E487" s="25">
        <f t="array" ref="E487">INDEX(D$5:D$67,MATCH($B487,$B$5:$B$67,0))</f>
        <v>360</v>
      </c>
      <c r="F487" s="25">
        <f t="array" ref="F487">INDEX(E$5:E$67,MATCH($B487,$B$5:$B$67,0))</f>
        <v>1080</v>
      </c>
      <c r="G487" s="25">
        <f t="array" ref="G487">INDEX(F$5:F$67,MATCH($B487,$B$5:$B$67,0))</f>
        <v>86.4</v>
      </c>
      <c r="H487" s="25">
        <f t="array" ref="H487">INDEX(G$5:G$66,MATCH($B487,$B$5:$B$67,0))</f>
        <v>1485</v>
      </c>
      <c r="I487" s="25">
        <f t="array" ref="I487">INDEX(H$5:H$67,MATCH($B487,$B$5:$B$67,0))</f>
        <v>118.8</v>
      </c>
      <c r="J487" s="25">
        <f t="array" ref="J487">INDEX(I$5:I$67,MATCH($B487,$B$5:$B$67,0))</f>
        <v>1100</v>
      </c>
      <c r="K487" s="25">
        <f t="array" ref="K487">INDEX(J$5:J$67,MATCH($B487,$B$5:$B$67,0))</f>
        <v>88</v>
      </c>
      <c r="L487" s="25">
        <f t="shared" si="555"/>
        <v>22140</v>
      </c>
      <c r="M487" s="25">
        <f t="shared" si="556"/>
        <v>5314</v>
      </c>
      <c r="N487" s="25">
        <f t="shared" si="557"/>
        <v>7306</v>
      </c>
      <c r="O487" s="25">
        <f t="shared" si="558"/>
        <v>5412</v>
      </c>
      <c r="R487" s="50">
        <f t="array" ref="R487">INDEX($B$46:$B$68,MATCH(S487,$C$46:$C$68,0))*1000+T487</f>
        <v>1018004</v>
      </c>
      <c r="S487" s="51" t="s">
        <v>347</v>
      </c>
      <c r="T487" s="29">
        <f t="shared" si="553"/>
        <v>4</v>
      </c>
      <c r="U487" s="25">
        <f t="array" ref="U487">INDEX(K$5:K$67,MATCH($S487,$B$5:$B$67,0))</f>
        <v>449.86</v>
      </c>
      <c r="V487" s="25">
        <f t="array" ref="V487">INDEX(L$5:L$67,MATCH($S487,$B$5:$B$67,0))</f>
        <v>66.15</v>
      </c>
      <c r="W487" s="25">
        <f t="array" ref="W487">INDEX(M$5:M$67,MATCH($S487,$B$5:$B$67,0))</f>
        <v>82.69</v>
      </c>
      <c r="X487" s="25">
        <f t="array" ref="X487">INDEX(N$5:N$67,MATCH($S487,$B$5:$B$67,0))</f>
        <v>67.83</v>
      </c>
      <c r="Y487" s="25">
        <f t="shared" si="559"/>
        <v>1799</v>
      </c>
      <c r="Z487" s="25">
        <f t="shared" si="560"/>
        <v>265</v>
      </c>
      <c r="AA487" s="25">
        <f t="shared" si="561"/>
        <v>331</v>
      </c>
      <c r="AB487" s="25">
        <f t="shared" si="562"/>
        <v>271</v>
      </c>
    </row>
    <row r="488" spans="1:28">
      <c r="A488" s="48">
        <v>1007050</v>
      </c>
      <c r="B488" s="49" t="s">
        <v>329</v>
      </c>
      <c r="C488" s="25">
        <f t="shared" si="554"/>
        <v>50</v>
      </c>
      <c r="D488" s="25">
        <f t="array" ref="D488">INDEX(C$5:C$67,MATCH($B488,$B$5:$B$67,0))</f>
        <v>4500</v>
      </c>
      <c r="E488" s="25">
        <f t="array" ref="E488">INDEX(D$5:D$67,MATCH($B488,$B$5:$B$67,0))</f>
        <v>360</v>
      </c>
      <c r="F488" s="25">
        <f t="array" ref="F488">INDEX(E$5:E$67,MATCH($B488,$B$5:$B$67,0))</f>
        <v>1080</v>
      </c>
      <c r="G488" s="25">
        <f t="array" ref="G488">INDEX(F$5:F$67,MATCH($B488,$B$5:$B$67,0))</f>
        <v>86.4</v>
      </c>
      <c r="H488" s="25">
        <f t="array" ref="H488">INDEX(G$5:G$66,MATCH($B488,$B$5:$B$67,0))</f>
        <v>1485</v>
      </c>
      <c r="I488" s="25">
        <f t="array" ref="I488">INDEX(H$5:H$67,MATCH($B488,$B$5:$B$67,0))</f>
        <v>118.8</v>
      </c>
      <c r="J488" s="25">
        <f t="array" ref="J488">INDEX(I$5:I$67,MATCH($B488,$B$5:$B$67,0))</f>
        <v>1100</v>
      </c>
      <c r="K488" s="25">
        <f t="array" ref="K488">INDEX(J$5:J$67,MATCH($B488,$B$5:$B$67,0))</f>
        <v>88</v>
      </c>
      <c r="L488" s="25">
        <f t="shared" si="555"/>
        <v>22500</v>
      </c>
      <c r="M488" s="25">
        <f t="shared" si="556"/>
        <v>5400</v>
      </c>
      <c r="N488" s="25">
        <f t="shared" si="557"/>
        <v>7425</v>
      </c>
      <c r="O488" s="25">
        <f t="shared" si="558"/>
        <v>5500</v>
      </c>
      <c r="R488" s="50">
        <f t="array" ref="R488">INDEX($B$46:$B$68,MATCH(S488,$C$46:$C$68,0))*1000+T488</f>
        <v>1018005</v>
      </c>
      <c r="S488" s="51" t="s">
        <v>347</v>
      </c>
      <c r="T488" s="29">
        <f t="shared" si="553"/>
        <v>5</v>
      </c>
      <c r="U488" s="25">
        <f t="array" ref="U488">INDEX(K$5:K$67,MATCH($S488,$B$5:$B$67,0))</f>
        <v>449.86</v>
      </c>
      <c r="V488" s="25">
        <f t="array" ref="V488">INDEX(L$5:L$67,MATCH($S488,$B$5:$B$67,0))</f>
        <v>66.15</v>
      </c>
      <c r="W488" s="25">
        <f t="array" ref="W488">INDEX(M$5:M$67,MATCH($S488,$B$5:$B$67,0))</f>
        <v>82.69</v>
      </c>
      <c r="X488" s="25">
        <f t="array" ref="X488">INDEX(N$5:N$67,MATCH($S488,$B$5:$B$67,0))</f>
        <v>67.83</v>
      </c>
      <c r="Y488" s="25">
        <f t="shared" si="559"/>
        <v>2249</v>
      </c>
      <c r="Z488" s="25">
        <f t="shared" si="560"/>
        <v>331</v>
      </c>
      <c r="AA488" s="25">
        <f t="shared" si="561"/>
        <v>413</v>
      </c>
      <c r="AB488" s="25">
        <f t="shared" si="562"/>
        <v>339</v>
      </c>
    </row>
    <row r="489" spans="1:28">
      <c r="A489" s="48">
        <v>1007051</v>
      </c>
      <c r="B489" s="49" t="s">
        <v>329</v>
      </c>
      <c r="C489" s="25">
        <f t="shared" si="554"/>
        <v>51</v>
      </c>
      <c r="D489" s="25">
        <f t="array" ref="D489">INDEX(C$5:C$67,MATCH($B489,$B$5:$B$67,0))</f>
        <v>4500</v>
      </c>
      <c r="E489" s="25">
        <f t="array" ref="E489">INDEX(D$5:D$67,MATCH($B489,$B$5:$B$67,0))</f>
        <v>360</v>
      </c>
      <c r="F489" s="25">
        <f t="array" ref="F489">INDEX(E$5:E$67,MATCH($B489,$B$5:$B$67,0))</f>
        <v>1080</v>
      </c>
      <c r="G489" s="25">
        <f t="array" ref="G489">INDEX(F$5:F$67,MATCH($B489,$B$5:$B$67,0))</f>
        <v>86.4</v>
      </c>
      <c r="H489" s="25">
        <f t="array" ref="H489">INDEX(G$5:G$66,MATCH($B489,$B$5:$B$67,0))</f>
        <v>1485</v>
      </c>
      <c r="I489" s="25">
        <f t="array" ref="I489">INDEX(H$5:H$67,MATCH($B489,$B$5:$B$67,0))</f>
        <v>118.8</v>
      </c>
      <c r="J489" s="25">
        <f t="array" ref="J489">INDEX(I$5:I$67,MATCH($B489,$B$5:$B$67,0))</f>
        <v>1100</v>
      </c>
      <c r="K489" s="25">
        <f t="array" ref="K489">INDEX(J$5:J$67,MATCH($B489,$B$5:$B$67,0))</f>
        <v>88</v>
      </c>
      <c r="L489" s="25">
        <f t="shared" si="555"/>
        <v>22860</v>
      </c>
      <c r="M489" s="25">
        <f t="shared" si="556"/>
        <v>5486</v>
      </c>
      <c r="N489" s="25">
        <f t="shared" si="557"/>
        <v>7544</v>
      </c>
      <c r="O489" s="25">
        <f t="shared" si="558"/>
        <v>5588</v>
      </c>
      <c r="R489" s="50">
        <f t="array" ref="R489">INDEX($B$46:$B$68,MATCH(S489,$C$46:$C$68,0))*1000+T489</f>
        <v>1018006</v>
      </c>
      <c r="S489" s="51" t="s">
        <v>347</v>
      </c>
      <c r="T489" s="29">
        <f t="shared" si="553"/>
        <v>6</v>
      </c>
      <c r="U489" s="25">
        <f t="array" ref="U489">INDEX(K$5:K$67,MATCH($S489,$B$5:$B$67,0))</f>
        <v>449.86</v>
      </c>
      <c r="V489" s="25">
        <f t="array" ref="V489">INDEX(L$5:L$67,MATCH($S489,$B$5:$B$67,0))</f>
        <v>66.15</v>
      </c>
      <c r="W489" s="25">
        <f t="array" ref="W489">INDEX(M$5:M$67,MATCH($S489,$B$5:$B$67,0))</f>
        <v>82.69</v>
      </c>
      <c r="X489" s="25">
        <f t="array" ref="X489">INDEX(N$5:N$67,MATCH($S489,$B$5:$B$67,0))</f>
        <v>67.83</v>
      </c>
      <c r="Y489" s="25">
        <f t="shared" si="559"/>
        <v>2699</v>
      </c>
      <c r="Z489" s="25">
        <f t="shared" si="560"/>
        <v>397</v>
      </c>
      <c r="AA489" s="25">
        <f t="shared" si="561"/>
        <v>496</v>
      </c>
      <c r="AB489" s="25">
        <f t="shared" si="562"/>
        <v>407</v>
      </c>
    </row>
    <row r="490" spans="1:28">
      <c r="A490" s="48">
        <v>1007052</v>
      </c>
      <c r="B490" s="49" t="s">
        <v>329</v>
      </c>
      <c r="C490" s="25">
        <f t="shared" si="554"/>
        <v>52</v>
      </c>
      <c r="D490" s="25">
        <f t="array" ref="D490">INDEX(C$5:C$67,MATCH($B490,$B$5:$B$67,0))</f>
        <v>4500</v>
      </c>
      <c r="E490" s="25">
        <f t="array" ref="E490">INDEX(D$5:D$67,MATCH($B490,$B$5:$B$67,0))</f>
        <v>360</v>
      </c>
      <c r="F490" s="25">
        <f t="array" ref="F490">INDEX(E$5:E$67,MATCH($B490,$B$5:$B$67,0))</f>
        <v>1080</v>
      </c>
      <c r="G490" s="25">
        <f t="array" ref="G490">INDEX(F$5:F$67,MATCH($B490,$B$5:$B$67,0))</f>
        <v>86.4</v>
      </c>
      <c r="H490" s="25">
        <f t="array" ref="H490">INDEX(G$5:G$66,MATCH($B490,$B$5:$B$67,0))</f>
        <v>1485</v>
      </c>
      <c r="I490" s="25">
        <f t="array" ref="I490">INDEX(H$5:H$67,MATCH($B490,$B$5:$B$67,0))</f>
        <v>118.8</v>
      </c>
      <c r="J490" s="25">
        <f t="array" ref="J490">INDEX(I$5:I$67,MATCH($B490,$B$5:$B$67,0))</f>
        <v>1100</v>
      </c>
      <c r="K490" s="25">
        <f t="array" ref="K490">INDEX(J$5:J$67,MATCH($B490,$B$5:$B$67,0))</f>
        <v>88</v>
      </c>
      <c r="L490" s="25">
        <f t="shared" si="555"/>
        <v>23220</v>
      </c>
      <c r="M490" s="25">
        <f t="shared" si="556"/>
        <v>5573</v>
      </c>
      <c r="N490" s="25">
        <f t="shared" si="557"/>
        <v>7663</v>
      </c>
      <c r="O490" s="25">
        <f t="shared" si="558"/>
        <v>5676</v>
      </c>
      <c r="R490" s="50">
        <f t="array" ref="R490">INDEX($B$46:$B$68,MATCH(S490,$C$46:$C$68,0))*1000+T490</f>
        <v>1018007</v>
      </c>
      <c r="S490" s="51" t="s">
        <v>347</v>
      </c>
      <c r="T490" s="29">
        <f t="shared" ref="T490:T553" si="563">T463</f>
        <v>7</v>
      </c>
      <c r="U490" s="25">
        <f t="array" ref="U490">INDEX(K$5:K$67,MATCH($S490,$B$5:$B$67,0))</f>
        <v>449.86</v>
      </c>
      <c r="V490" s="25">
        <f t="array" ref="V490">INDEX(L$5:L$67,MATCH($S490,$B$5:$B$67,0))</f>
        <v>66.15</v>
      </c>
      <c r="W490" s="25">
        <f t="array" ref="W490">INDEX(M$5:M$67,MATCH($S490,$B$5:$B$67,0))</f>
        <v>82.69</v>
      </c>
      <c r="X490" s="25">
        <f t="array" ref="X490">INDEX(N$5:N$67,MATCH($S490,$B$5:$B$67,0))</f>
        <v>67.83</v>
      </c>
      <c r="Y490" s="25">
        <f t="shared" si="559"/>
        <v>3149</v>
      </c>
      <c r="Z490" s="25">
        <f t="shared" si="560"/>
        <v>463</v>
      </c>
      <c r="AA490" s="25">
        <f t="shared" si="561"/>
        <v>579</v>
      </c>
      <c r="AB490" s="25">
        <f t="shared" si="562"/>
        <v>475</v>
      </c>
    </row>
    <row r="491" spans="1:28">
      <c r="A491" s="48">
        <v>1007053</v>
      </c>
      <c r="B491" s="49" t="s">
        <v>329</v>
      </c>
      <c r="C491" s="25">
        <f t="shared" si="554"/>
        <v>53</v>
      </c>
      <c r="D491" s="25">
        <f t="array" ref="D491">INDEX(C$5:C$67,MATCH($B491,$B$5:$B$67,0))</f>
        <v>4500</v>
      </c>
      <c r="E491" s="25">
        <f t="array" ref="E491">INDEX(D$5:D$67,MATCH($B491,$B$5:$B$67,0))</f>
        <v>360</v>
      </c>
      <c r="F491" s="25">
        <f t="array" ref="F491">INDEX(E$5:E$67,MATCH($B491,$B$5:$B$67,0))</f>
        <v>1080</v>
      </c>
      <c r="G491" s="25">
        <f t="array" ref="G491">INDEX(F$5:F$67,MATCH($B491,$B$5:$B$67,0))</f>
        <v>86.4</v>
      </c>
      <c r="H491" s="25">
        <f t="array" ref="H491">INDEX(G$5:G$66,MATCH($B491,$B$5:$B$67,0))</f>
        <v>1485</v>
      </c>
      <c r="I491" s="25">
        <f t="array" ref="I491">INDEX(H$5:H$67,MATCH($B491,$B$5:$B$67,0))</f>
        <v>118.8</v>
      </c>
      <c r="J491" s="25">
        <f t="array" ref="J491">INDEX(I$5:I$67,MATCH($B491,$B$5:$B$67,0))</f>
        <v>1100</v>
      </c>
      <c r="K491" s="25">
        <f t="array" ref="K491">INDEX(J$5:J$67,MATCH($B491,$B$5:$B$67,0))</f>
        <v>88</v>
      </c>
      <c r="L491" s="25">
        <f t="shared" si="555"/>
        <v>23580</v>
      </c>
      <c r="M491" s="25">
        <f t="shared" si="556"/>
        <v>5659</v>
      </c>
      <c r="N491" s="25">
        <f t="shared" si="557"/>
        <v>7781</v>
      </c>
      <c r="O491" s="25">
        <f t="shared" si="558"/>
        <v>5764</v>
      </c>
      <c r="R491" s="50">
        <f t="array" ref="R491">INDEX($B$46:$B$68,MATCH(S491,$C$46:$C$68,0))*1000+T491</f>
        <v>1018008</v>
      </c>
      <c r="S491" s="51" t="s">
        <v>347</v>
      </c>
      <c r="T491" s="29">
        <f t="shared" si="563"/>
        <v>8</v>
      </c>
      <c r="U491" s="25">
        <f t="array" ref="U491">INDEX(K$5:K$67,MATCH($S491,$B$5:$B$67,0))</f>
        <v>449.86</v>
      </c>
      <c r="V491" s="25">
        <f t="array" ref="V491">INDEX(L$5:L$67,MATCH($S491,$B$5:$B$67,0))</f>
        <v>66.15</v>
      </c>
      <c r="W491" s="25">
        <f t="array" ref="W491">INDEX(M$5:M$67,MATCH($S491,$B$5:$B$67,0))</f>
        <v>82.69</v>
      </c>
      <c r="X491" s="25">
        <f t="array" ref="X491">INDEX(N$5:N$67,MATCH($S491,$B$5:$B$67,0))</f>
        <v>67.83</v>
      </c>
      <c r="Y491" s="25">
        <f t="shared" si="559"/>
        <v>3599</v>
      </c>
      <c r="Z491" s="25">
        <f t="shared" si="560"/>
        <v>529</v>
      </c>
      <c r="AA491" s="25">
        <f t="shared" si="561"/>
        <v>662</v>
      </c>
      <c r="AB491" s="25">
        <f t="shared" si="562"/>
        <v>543</v>
      </c>
    </row>
    <row r="492" spans="1:28">
      <c r="A492" s="48">
        <v>1007054</v>
      </c>
      <c r="B492" s="49" t="s">
        <v>329</v>
      </c>
      <c r="C492" s="25">
        <f t="shared" si="554"/>
        <v>54</v>
      </c>
      <c r="D492" s="25">
        <f t="array" ref="D492">INDEX(C$5:C$67,MATCH($B492,$B$5:$B$67,0))</f>
        <v>4500</v>
      </c>
      <c r="E492" s="25">
        <f t="array" ref="E492">INDEX(D$5:D$67,MATCH($B492,$B$5:$B$67,0))</f>
        <v>360</v>
      </c>
      <c r="F492" s="25">
        <f t="array" ref="F492">INDEX(E$5:E$67,MATCH($B492,$B$5:$B$67,0))</f>
        <v>1080</v>
      </c>
      <c r="G492" s="25">
        <f t="array" ref="G492">INDEX(F$5:F$67,MATCH($B492,$B$5:$B$67,0))</f>
        <v>86.4</v>
      </c>
      <c r="H492" s="25">
        <f t="array" ref="H492">INDEX(G$5:G$66,MATCH($B492,$B$5:$B$67,0))</f>
        <v>1485</v>
      </c>
      <c r="I492" s="25">
        <f t="array" ref="I492">INDEX(H$5:H$67,MATCH($B492,$B$5:$B$67,0))</f>
        <v>118.8</v>
      </c>
      <c r="J492" s="25">
        <f t="array" ref="J492">INDEX(I$5:I$67,MATCH($B492,$B$5:$B$67,0))</f>
        <v>1100</v>
      </c>
      <c r="K492" s="25">
        <f t="array" ref="K492">INDEX(J$5:J$67,MATCH($B492,$B$5:$B$67,0))</f>
        <v>88</v>
      </c>
      <c r="L492" s="25">
        <f t="shared" si="555"/>
        <v>23940</v>
      </c>
      <c r="M492" s="25">
        <f t="shared" si="556"/>
        <v>5746</v>
      </c>
      <c r="N492" s="25">
        <f t="shared" si="557"/>
        <v>7900</v>
      </c>
      <c r="O492" s="25">
        <f t="shared" si="558"/>
        <v>5852</v>
      </c>
      <c r="R492" s="50">
        <f t="array" ref="R492">INDEX($B$46:$B$68,MATCH(S492,$C$46:$C$68,0))*1000+T492</f>
        <v>1018009</v>
      </c>
      <c r="S492" s="51" t="s">
        <v>347</v>
      </c>
      <c r="T492" s="29">
        <f t="shared" si="563"/>
        <v>9</v>
      </c>
      <c r="U492" s="25">
        <f t="array" ref="U492">INDEX(K$5:K$67,MATCH($S492,$B$5:$B$67,0))</f>
        <v>449.86</v>
      </c>
      <c r="V492" s="25">
        <f t="array" ref="V492">INDEX(L$5:L$67,MATCH($S492,$B$5:$B$67,0))</f>
        <v>66.15</v>
      </c>
      <c r="W492" s="25">
        <f t="array" ref="W492">INDEX(M$5:M$67,MATCH($S492,$B$5:$B$67,0))</f>
        <v>82.69</v>
      </c>
      <c r="X492" s="25">
        <f t="array" ref="X492">INDEX(N$5:N$67,MATCH($S492,$B$5:$B$67,0))</f>
        <v>67.83</v>
      </c>
      <c r="Y492" s="25">
        <f t="shared" si="559"/>
        <v>4049</v>
      </c>
      <c r="Z492" s="25">
        <f t="shared" si="560"/>
        <v>595</v>
      </c>
      <c r="AA492" s="25">
        <f t="shared" si="561"/>
        <v>744</v>
      </c>
      <c r="AB492" s="25">
        <f t="shared" si="562"/>
        <v>610</v>
      </c>
    </row>
    <row r="493" spans="1:28">
      <c r="A493" s="48">
        <v>1007055</v>
      </c>
      <c r="B493" s="49" t="s">
        <v>329</v>
      </c>
      <c r="C493" s="25">
        <f t="shared" si="554"/>
        <v>55</v>
      </c>
      <c r="D493" s="25">
        <f t="array" ref="D493">INDEX(C$5:C$67,MATCH($B493,$B$5:$B$67,0))</f>
        <v>4500</v>
      </c>
      <c r="E493" s="25">
        <f t="array" ref="E493">INDEX(D$5:D$67,MATCH($B493,$B$5:$B$67,0))</f>
        <v>360</v>
      </c>
      <c r="F493" s="25">
        <f t="array" ref="F493">INDEX(E$5:E$67,MATCH($B493,$B$5:$B$67,0))</f>
        <v>1080</v>
      </c>
      <c r="G493" s="25">
        <f t="array" ref="G493">INDEX(F$5:F$67,MATCH($B493,$B$5:$B$67,0))</f>
        <v>86.4</v>
      </c>
      <c r="H493" s="25">
        <f t="array" ref="H493">INDEX(G$5:G$66,MATCH($B493,$B$5:$B$67,0))</f>
        <v>1485</v>
      </c>
      <c r="I493" s="25">
        <f t="array" ref="I493">INDEX(H$5:H$67,MATCH($B493,$B$5:$B$67,0))</f>
        <v>118.8</v>
      </c>
      <c r="J493" s="25">
        <f t="array" ref="J493">INDEX(I$5:I$67,MATCH($B493,$B$5:$B$67,0))</f>
        <v>1100</v>
      </c>
      <c r="K493" s="25">
        <f t="array" ref="K493">INDEX(J$5:J$67,MATCH($B493,$B$5:$B$67,0))</f>
        <v>88</v>
      </c>
      <c r="L493" s="25">
        <f t="shared" si="555"/>
        <v>24300</v>
      </c>
      <c r="M493" s="25">
        <f t="shared" si="556"/>
        <v>5832</v>
      </c>
      <c r="N493" s="25">
        <f t="shared" si="557"/>
        <v>8019</v>
      </c>
      <c r="O493" s="25">
        <f t="shared" si="558"/>
        <v>5940</v>
      </c>
      <c r="R493" s="50">
        <f t="array" ref="R493">INDEX($B$46:$B$68,MATCH(S493,$C$46:$C$68,0))*1000+T493</f>
        <v>1018010</v>
      </c>
      <c r="S493" s="51" t="s">
        <v>347</v>
      </c>
      <c r="T493" s="29">
        <f t="shared" si="563"/>
        <v>10</v>
      </c>
      <c r="U493" s="25">
        <f t="array" ref="U493">INDEX(K$5:K$67,MATCH($S493,$B$5:$B$67,0))</f>
        <v>449.86</v>
      </c>
      <c r="V493" s="25">
        <f t="array" ref="V493">INDEX(L$5:L$67,MATCH($S493,$B$5:$B$67,0))</f>
        <v>66.15</v>
      </c>
      <c r="W493" s="25">
        <f t="array" ref="W493">INDEX(M$5:M$67,MATCH($S493,$B$5:$B$67,0))</f>
        <v>82.69</v>
      </c>
      <c r="X493" s="25">
        <f t="array" ref="X493">INDEX(N$5:N$67,MATCH($S493,$B$5:$B$67,0))</f>
        <v>67.83</v>
      </c>
      <c r="Y493" s="25">
        <f t="shared" si="559"/>
        <v>4499</v>
      </c>
      <c r="Z493" s="25">
        <f t="shared" si="560"/>
        <v>662</v>
      </c>
      <c r="AA493" s="25">
        <f t="shared" si="561"/>
        <v>827</v>
      </c>
      <c r="AB493" s="25">
        <f t="shared" si="562"/>
        <v>678</v>
      </c>
    </row>
    <row r="494" spans="1:28">
      <c r="A494" s="48">
        <v>1007056</v>
      </c>
      <c r="B494" s="49" t="s">
        <v>329</v>
      </c>
      <c r="C494" s="25">
        <f t="shared" si="554"/>
        <v>56</v>
      </c>
      <c r="D494" s="25">
        <f t="array" ref="D494">INDEX(C$5:C$67,MATCH($B494,$B$5:$B$67,0))</f>
        <v>4500</v>
      </c>
      <c r="E494" s="25">
        <f t="array" ref="E494">INDEX(D$5:D$67,MATCH($B494,$B$5:$B$67,0))</f>
        <v>360</v>
      </c>
      <c r="F494" s="25">
        <f t="array" ref="F494">INDEX(E$5:E$67,MATCH($B494,$B$5:$B$67,0))</f>
        <v>1080</v>
      </c>
      <c r="G494" s="25">
        <f t="array" ref="G494">INDEX(F$5:F$67,MATCH($B494,$B$5:$B$67,0))</f>
        <v>86.4</v>
      </c>
      <c r="H494" s="25">
        <f t="array" ref="H494">INDEX(G$5:G$66,MATCH($B494,$B$5:$B$67,0))</f>
        <v>1485</v>
      </c>
      <c r="I494" s="25">
        <f t="array" ref="I494">INDEX(H$5:H$67,MATCH($B494,$B$5:$B$67,0))</f>
        <v>118.8</v>
      </c>
      <c r="J494" s="25">
        <f t="array" ref="J494">INDEX(I$5:I$67,MATCH($B494,$B$5:$B$67,0))</f>
        <v>1100</v>
      </c>
      <c r="K494" s="25">
        <f t="array" ref="K494">INDEX(J$5:J$67,MATCH($B494,$B$5:$B$67,0))</f>
        <v>88</v>
      </c>
      <c r="L494" s="25">
        <f t="shared" si="555"/>
        <v>24660</v>
      </c>
      <c r="M494" s="25">
        <f t="shared" si="556"/>
        <v>5918</v>
      </c>
      <c r="N494" s="25">
        <f t="shared" si="557"/>
        <v>8138</v>
      </c>
      <c r="O494" s="25">
        <f t="shared" si="558"/>
        <v>6028</v>
      </c>
      <c r="R494" s="50">
        <f t="array" ref="R494">INDEX($B$46:$B$68,MATCH(S494,$C$46:$C$68,0))*1000+T494</f>
        <v>1018011</v>
      </c>
      <c r="S494" s="51" t="s">
        <v>347</v>
      </c>
      <c r="T494" s="29">
        <f t="shared" si="563"/>
        <v>11</v>
      </c>
      <c r="U494" s="25">
        <f t="array" ref="U494">INDEX(K$5:K$67,MATCH($S494,$B$5:$B$67,0))</f>
        <v>449.86</v>
      </c>
      <c r="V494" s="25">
        <f t="array" ref="V494">INDEX(L$5:L$67,MATCH($S494,$B$5:$B$67,0))</f>
        <v>66.15</v>
      </c>
      <c r="W494" s="25">
        <f t="array" ref="W494">INDEX(M$5:M$67,MATCH($S494,$B$5:$B$67,0))</f>
        <v>82.69</v>
      </c>
      <c r="X494" s="25">
        <f t="array" ref="X494">INDEX(N$5:N$67,MATCH($S494,$B$5:$B$67,0))</f>
        <v>67.83</v>
      </c>
      <c r="Y494" s="25">
        <f t="shared" si="559"/>
        <v>4948</v>
      </c>
      <c r="Z494" s="25">
        <f t="shared" si="560"/>
        <v>728</v>
      </c>
      <c r="AA494" s="25">
        <f t="shared" si="561"/>
        <v>910</v>
      </c>
      <c r="AB494" s="25">
        <f t="shared" si="562"/>
        <v>746</v>
      </c>
    </row>
    <row r="495" spans="1:28">
      <c r="A495" s="48">
        <v>1007057</v>
      </c>
      <c r="B495" s="49" t="s">
        <v>329</v>
      </c>
      <c r="C495" s="25">
        <f t="shared" si="554"/>
        <v>57</v>
      </c>
      <c r="D495" s="25">
        <f t="array" ref="D495">INDEX(C$5:C$67,MATCH($B495,$B$5:$B$67,0))</f>
        <v>4500</v>
      </c>
      <c r="E495" s="25">
        <f t="array" ref="E495">INDEX(D$5:D$67,MATCH($B495,$B$5:$B$67,0))</f>
        <v>360</v>
      </c>
      <c r="F495" s="25">
        <f t="array" ref="F495">INDEX(E$5:E$67,MATCH($B495,$B$5:$B$67,0))</f>
        <v>1080</v>
      </c>
      <c r="G495" s="25">
        <f t="array" ref="G495">INDEX(F$5:F$67,MATCH($B495,$B$5:$B$67,0))</f>
        <v>86.4</v>
      </c>
      <c r="H495" s="25">
        <f t="array" ref="H495">INDEX(G$5:G$66,MATCH($B495,$B$5:$B$67,0))</f>
        <v>1485</v>
      </c>
      <c r="I495" s="25">
        <f t="array" ref="I495">INDEX(H$5:H$67,MATCH($B495,$B$5:$B$67,0))</f>
        <v>118.8</v>
      </c>
      <c r="J495" s="25">
        <f t="array" ref="J495">INDEX(I$5:I$67,MATCH($B495,$B$5:$B$67,0))</f>
        <v>1100</v>
      </c>
      <c r="K495" s="25">
        <f t="array" ref="K495">INDEX(J$5:J$67,MATCH($B495,$B$5:$B$67,0))</f>
        <v>88</v>
      </c>
      <c r="L495" s="25">
        <f t="shared" si="555"/>
        <v>25020</v>
      </c>
      <c r="M495" s="25">
        <f t="shared" si="556"/>
        <v>6005</v>
      </c>
      <c r="N495" s="25">
        <f t="shared" si="557"/>
        <v>8257</v>
      </c>
      <c r="O495" s="25">
        <f t="shared" si="558"/>
        <v>6116</v>
      </c>
      <c r="R495" s="50">
        <f t="array" ref="R495">INDEX($B$46:$B$68,MATCH(S495,$C$46:$C$68,0))*1000+T495</f>
        <v>1018012</v>
      </c>
      <c r="S495" s="51" t="s">
        <v>347</v>
      </c>
      <c r="T495" s="29">
        <f t="shared" si="563"/>
        <v>12</v>
      </c>
      <c r="U495" s="25">
        <f t="array" ref="U495">INDEX(K$5:K$67,MATCH($S495,$B$5:$B$67,0))</f>
        <v>449.86</v>
      </c>
      <c r="V495" s="25">
        <f t="array" ref="V495">INDEX(L$5:L$67,MATCH($S495,$B$5:$B$67,0))</f>
        <v>66.15</v>
      </c>
      <c r="W495" s="25">
        <f t="array" ref="W495">INDEX(M$5:M$67,MATCH($S495,$B$5:$B$67,0))</f>
        <v>82.69</v>
      </c>
      <c r="X495" s="25">
        <f t="array" ref="X495">INDEX(N$5:N$67,MATCH($S495,$B$5:$B$67,0))</f>
        <v>67.83</v>
      </c>
      <c r="Y495" s="25">
        <f t="shared" si="559"/>
        <v>5398</v>
      </c>
      <c r="Z495" s="25">
        <f t="shared" si="560"/>
        <v>794</v>
      </c>
      <c r="AA495" s="25">
        <f t="shared" si="561"/>
        <v>992</v>
      </c>
      <c r="AB495" s="25">
        <f t="shared" si="562"/>
        <v>814</v>
      </c>
    </row>
    <row r="496" spans="1:28">
      <c r="A496" s="48">
        <v>1007058</v>
      </c>
      <c r="B496" s="49" t="s">
        <v>329</v>
      </c>
      <c r="C496" s="25">
        <f t="shared" si="554"/>
        <v>58</v>
      </c>
      <c r="D496" s="25">
        <f t="array" ref="D496">INDEX(C$5:C$67,MATCH($B496,$B$5:$B$67,0))</f>
        <v>4500</v>
      </c>
      <c r="E496" s="25">
        <f t="array" ref="E496">INDEX(D$5:D$67,MATCH($B496,$B$5:$B$67,0))</f>
        <v>360</v>
      </c>
      <c r="F496" s="25">
        <f t="array" ref="F496">INDEX(E$5:E$67,MATCH($B496,$B$5:$B$67,0))</f>
        <v>1080</v>
      </c>
      <c r="G496" s="25">
        <f t="array" ref="G496">INDEX(F$5:F$67,MATCH($B496,$B$5:$B$67,0))</f>
        <v>86.4</v>
      </c>
      <c r="H496" s="25">
        <f t="array" ref="H496">INDEX(G$5:G$66,MATCH($B496,$B$5:$B$67,0))</f>
        <v>1485</v>
      </c>
      <c r="I496" s="25">
        <f t="array" ref="I496">INDEX(H$5:H$67,MATCH($B496,$B$5:$B$67,0))</f>
        <v>118.8</v>
      </c>
      <c r="J496" s="25">
        <f t="array" ref="J496">INDEX(I$5:I$67,MATCH($B496,$B$5:$B$67,0))</f>
        <v>1100</v>
      </c>
      <c r="K496" s="25">
        <f t="array" ref="K496">INDEX(J$5:J$67,MATCH($B496,$B$5:$B$67,0))</f>
        <v>88</v>
      </c>
      <c r="L496" s="25">
        <f t="shared" si="555"/>
        <v>25380</v>
      </c>
      <c r="M496" s="25">
        <f t="shared" si="556"/>
        <v>6091</v>
      </c>
      <c r="N496" s="25">
        <f t="shared" si="557"/>
        <v>8375</v>
      </c>
      <c r="O496" s="25">
        <f t="shared" si="558"/>
        <v>6204</v>
      </c>
      <c r="R496" s="50">
        <f t="array" ref="R496">INDEX($B$46:$B$68,MATCH(S496,$C$46:$C$68,0))*1000+T496</f>
        <v>1018013</v>
      </c>
      <c r="S496" s="51" t="s">
        <v>347</v>
      </c>
      <c r="T496" s="29">
        <f t="shared" si="563"/>
        <v>13</v>
      </c>
      <c r="U496" s="25">
        <f t="array" ref="U496">INDEX(K$5:K$67,MATCH($S496,$B$5:$B$67,0))</f>
        <v>449.86</v>
      </c>
      <c r="V496" s="25">
        <f t="array" ref="V496">INDEX(L$5:L$67,MATCH($S496,$B$5:$B$67,0))</f>
        <v>66.15</v>
      </c>
      <c r="W496" s="25">
        <f t="array" ref="W496">INDEX(M$5:M$67,MATCH($S496,$B$5:$B$67,0))</f>
        <v>82.69</v>
      </c>
      <c r="X496" s="25">
        <f t="array" ref="X496">INDEX(N$5:N$67,MATCH($S496,$B$5:$B$67,0))</f>
        <v>67.83</v>
      </c>
      <c r="Y496" s="25">
        <f t="shared" si="559"/>
        <v>5848</v>
      </c>
      <c r="Z496" s="25">
        <f t="shared" si="560"/>
        <v>860</v>
      </c>
      <c r="AA496" s="25">
        <f t="shared" si="561"/>
        <v>1075</v>
      </c>
      <c r="AB496" s="25">
        <f t="shared" si="562"/>
        <v>882</v>
      </c>
    </row>
    <row r="497" spans="1:28">
      <c r="A497" s="48">
        <v>1007059</v>
      </c>
      <c r="B497" s="49" t="s">
        <v>329</v>
      </c>
      <c r="C497" s="25">
        <f t="shared" si="554"/>
        <v>59</v>
      </c>
      <c r="D497" s="25">
        <f t="array" ref="D497">INDEX(C$5:C$67,MATCH($B497,$B$5:$B$67,0))</f>
        <v>4500</v>
      </c>
      <c r="E497" s="25">
        <f t="array" ref="E497">INDEX(D$5:D$67,MATCH($B497,$B$5:$B$67,0))</f>
        <v>360</v>
      </c>
      <c r="F497" s="25">
        <f t="array" ref="F497">INDEX(E$5:E$67,MATCH($B497,$B$5:$B$67,0))</f>
        <v>1080</v>
      </c>
      <c r="G497" s="25">
        <f t="array" ref="G497">INDEX(F$5:F$67,MATCH($B497,$B$5:$B$67,0))</f>
        <v>86.4</v>
      </c>
      <c r="H497" s="25">
        <f t="array" ref="H497">INDEX(G$5:G$66,MATCH($B497,$B$5:$B$67,0))</f>
        <v>1485</v>
      </c>
      <c r="I497" s="25">
        <f t="array" ref="I497">INDEX(H$5:H$67,MATCH($B497,$B$5:$B$67,0))</f>
        <v>118.8</v>
      </c>
      <c r="J497" s="25">
        <f t="array" ref="J497">INDEX(I$5:I$67,MATCH($B497,$B$5:$B$67,0))</f>
        <v>1100</v>
      </c>
      <c r="K497" s="25">
        <f t="array" ref="K497">INDEX(J$5:J$67,MATCH($B497,$B$5:$B$67,0))</f>
        <v>88</v>
      </c>
      <c r="L497" s="25">
        <f t="shared" si="555"/>
        <v>25740</v>
      </c>
      <c r="M497" s="25">
        <f t="shared" si="556"/>
        <v>6178</v>
      </c>
      <c r="N497" s="25">
        <f t="shared" si="557"/>
        <v>8494</v>
      </c>
      <c r="O497" s="25">
        <f t="shared" si="558"/>
        <v>6292</v>
      </c>
      <c r="R497" s="50">
        <f t="array" ref="R497">INDEX($B$46:$B$68,MATCH(S497,$C$46:$C$68,0))*1000+T497</f>
        <v>1018014</v>
      </c>
      <c r="S497" s="51" t="s">
        <v>347</v>
      </c>
      <c r="T497" s="29">
        <f t="shared" si="563"/>
        <v>14</v>
      </c>
      <c r="U497" s="25">
        <f t="array" ref="U497">INDEX(K$5:K$67,MATCH($S497,$B$5:$B$67,0))</f>
        <v>449.86</v>
      </c>
      <c r="V497" s="25">
        <f t="array" ref="V497">INDEX(L$5:L$67,MATCH($S497,$B$5:$B$67,0))</f>
        <v>66.15</v>
      </c>
      <c r="W497" s="25">
        <f t="array" ref="W497">INDEX(M$5:M$67,MATCH($S497,$B$5:$B$67,0))</f>
        <v>82.69</v>
      </c>
      <c r="X497" s="25">
        <f t="array" ref="X497">INDEX(N$5:N$67,MATCH($S497,$B$5:$B$67,0))</f>
        <v>67.83</v>
      </c>
      <c r="Y497" s="25">
        <f t="shared" si="559"/>
        <v>6298</v>
      </c>
      <c r="Z497" s="25">
        <f t="shared" si="560"/>
        <v>926</v>
      </c>
      <c r="AA497" s="25">
        <f t="shared" si="561"/>
        <v>1158</v>
      </c>
      <c r="AB497" s="25">
        <f t="shared" si="562"/>
        <v>950</v>
      </c>
    </row>
    <row r="498" spans="1:28">
      <c r="A498" s="48">
        <v>1007060</v>
      </c>
      <c r="B498" s="49" t="s">
        <v>329</v>
      </c>
      <c r="C498" s="25">
        <f t="shared" si="554"/>
        <v>60</v>
      </c>
      <c r="D498" s="25">
        <f t="array" ref="D498">INDEX(C$5:C$67,MATCH($B498,$B$5:$B$67,0))</f>
        <v>4500</v>
      </c>
      <c r="E498" s="25">
        <f t="array" ref="E498">INDEX(D$5:D$67,MATCH($B498,$B$5:$B$67,0))</f>
        <v>360</v>
      </c>
      <c r="F498" s="25">
        <f t="array" ref="F498">INDEX(E$5:E$67,MATCH($B498,$B$5:$B$67,0))</f>
        <v>1080</v>
      </c>
      <c r="G498" s="25">
        <f t="array" ref="G498">INDEX(F$5:F$67,MATCH($B498,$B$5:$B$67,0))</f>
        <v>86.4</v>
      </c>
      <c r="H498" s="25">
        <f t="array" ref="H498">INDEX(G$5:G$66,MATCH($B498,$B$5:$B$67,0))</f>
        <v>1485</v>
      </c>
      <c r="I498" s="25">
        <f t="array" ref="I498">INDEX(H$5:H$67,MATCH($B498,$B$5:$B$67,0))</f>
        <v>118.8</v>
      </c>
      <c r="J498" s="25">
        <f t="array" ref="J498">INDEX(I$5:I$67,MATCH($B498,$B$5:$B$67,0))</f>
        <v>1100</v>
      </c>
      <c r="K498" s="25">
        <f t="array" ref="K498">INDEX(J$5:J$67,MATCH($B498,$B$5:$B$67,0))</f>
        <v>88</v>
      </c>
      <c r="L498" s="25">
        <f t="shared" si="555"/>
        <v>26100</v>
      </c>
      <c r="M498" s="25">
        <f t="shared" si="556"/>
        <v>6264</v>
      </c>
      <c r="N498" s="25">
        <f t="shared" si="557"/>
        <v>8613</v>
      </c>
      <c r="O498" s="25">
        <f t="shared" si="558"/>
        <v>6380</v>
      </c>
      <c r="R498" s="50">
        <f t="array" ref="R498">INDEX($B$46:$B$68,MATCH(S498,$C$46:$C$68,0))*1000+T498</f>
        <v>1018015</v>
      </c>
      <c r="S498" s="51" t="s">
        <v>347</v>
      </c>
      <c r="T498" s="29">
        <f t="shared" si="563"/>
        <v>15</v>
      </c>
      <c r="U498" s="25">
        <f t="array" ref="U498">INDEX(K$5:K$67,MATCH($S498,$B$5:$B$67,0))</f>
        <v>449.86</v>
      </c>
      <c r="V498" s="25">
        <f t="array" ref="V498">INDEX(L$5:L$67,MATCH($S498,$B$5:$B$67,0))</f>
        <v>66.15</v>
      </c>
      <c r="W498" s="25">
        <f t="array" ref="W498">INDEX(M$5:M$67,MATCH($S498,$B$5:$B$67,0))</f>
        <v>82.69</v>
      </c>
      <c r="X498" s="25">
        <f t="array" ref="X498">INDEX(N$5:N$67,MATCH($S498,$B$5:$B$67,0))</f>
        <v>67.83</v>
      </c>
      <c r="Y498" s="25">
        <f t="shared" si="559"/>
        <v>6748</v>
      </c>
      <c r="Z498" s="25">
        <f t="shared" si="560"/>
        <v>992</v>
      </c>
      <c r="AA498" s="25">
        <f t="shared" si="561"/>
        <v>1240</v>
      </c>
      <c r="AB498" s="25">
        <f t="shared" si="562"/>
        <v>1017</v>
      </c>
    </row>
    <row r="499" spans="1:28">
      <c r="A499" s="53">
        <v>1008001</v>
      </c>
      <c r="B499" s="49" t="s">
        <v>332</v>
      </c>
      <c r="C499" s="25">
        <f t="shared" si="554"/>
        <v>1</v>
      </c>
      <c r="D499" s="25">
        <f t="array" ref="D499">INDEX(C$5:C$67,MATCH($B499,$B$5:$B$67,0))</f>
        <v>4500</v>
      </c>
      <c r="E499" s="25">
        <f t="array" ref="E499">INDEX(D$5:D$67,MATCH($B499,$B$5:$B$67,0))</f>
        <v>360</v>
      </c>
      <c r="F499" s="25">
        <f t="array" ref="F499">INDEX(E$5:E$67,MATCH($B499,$B$5:$B$67,0))</f>
        <v>1646</v>
      </c>
      <c r="G499" s="25">
        <f t="array" ref="G499">INDEX(F$5:F$67,MATCH($B499,$B$5:$B$67,0))</f>
        <v>131.68</v>
      </c>
      <c r="H499" s="25">
        <f t="array" ref="H499">INDEX(G$5:G$66,MATCH($B499,$B$5:$B$67,0))</f>
        <v>1646</v>
      </c>
      <c r="I499" s="25">
        <f t="array" ref="I499">INDEX(H$5:H$67,MATCH($B499,$B$5:$B$67,0))</f>
        <v>131.68</v>
      </c>
      <c r="J499" s="25">
        <f t="array" ref="J499">INDEX(I$5:I$67,MATCH($B499,$B$5:$B$67,0))</f>
        <v>1000</v>
      </c>
      <c r="K499" s="25">
        <f t="array" ref="K499">INDEX(J$5:J$67,MATCH($B499,$B$5:$B$67,0))</f>
        <v>80</v>
      </c>
      <c r="L499" s="25">
        <f t="shared" si="555"/>
        <v>4860</v>
      </c>
      <c r="M499" s="25">
        <f t="shared" si="556"/>
        <v>1778</v>
      </c>
      <c r="N499" s="25">
        <f t="shared" si="557"/>
        <v>1778</v>
      </c>
      <c r="O499" s="25">
        <f t="shared" si="558"/>
        <v>1080</v>
      </c>
      <c r="R499" s="50">
        <f t="array" ref="R499">INDEX($B$46:$B$68,MATCH(S499,$C$46:$C$68,0))*1000+T499</f>
        <v>1018016</v>
      </c>
      <c r="S499" s="51" t="s">
        <v>347</v>
      </c>
      <c r="T499" s="29">
        <f t="shared" si="563"/>
        <v>16</v>
      </c>
      <c r="U499" s="25">
        <f t="array" ref="U499">INDEX(K$5:K$67,MATCH($S499,$B$5:$B$67,0))</f>
        <v>449.86</v>
      </c>
      <c r="V499" s="25">
        <f t="array" ref="V499">INDEX(L$5:L$67,MATCH($S499,$B$5:$B$67,0))</f>
        <v>66.15</v>
      </c>
      <c r="W499" s="25">
        <f t="array" ref="W499">INDEX(M$5:M$67,MATCH($S499,$B$5:$B$67,0))</f>
        <v>82.69</v>
      </c>
      <c r="X499" s="25">
        <f t="array" ref="X499">INDEX(N$5:N$67,MATCH($S499,$B$5:$B$67,0))</f>
        <v>67.83</v>
      </c>
      <c r="Y499" s="25">
        <f t="shared" si="559"/>
        <v>7198</v>
      </c>
      <c r="Z499" s="25">
        <f t="shared" si="560"/>
        <v>1058</v>
      </c>
      <c r="AA499" s="25">
        <f t="shared" si="561"/>
        <v>1323</v>
      </c>
      <c r="AB499" s="25">
        <f t="shared" si="562"/>
        <v>1085</v>
      </c>
    </row>
    <row r="500" spans="1:28">
      <c r="A500" s="53">
        <v>1008002</v>
      </c>
      <c r="B500" s="49" t="s">
        <v>332</v>
      </c>
      <c r="C500" s="25">
        <f t="shared" si="554"/>
        <v>2</v>
      </c>
      <c r="D500" s="25">
        <f t="array" ref="D500">INDEX(C$5:C$67,MATCH($B500,$B$5:$B$67,0))</f>
        <v>4500</v>
      </c>
      <c r="E500" s="25">
        <f t="array" ref="E500">INDEX(D$5:D$67,MATCH($B500,$B$5:$B$67,0))</f>
        <v>360</v>
      </c>
      <c r="F500" s="25">
        <f t="array" ref="F500">INDEX(E$5:E$67,MATCH($B500,$B$5:$B$67,0))</f>
        <v>1646</v>
      </c>
      <c r="G500" s="25">
        <f t="array" ref="G500">INDEX(F$5:F$67,MATCH($B500,$B$5:$B$67,0))</f>
        <v>131.68</v>
      </c>
      <c r="H500" s="25">
        <f t="array" ref="H500">INDEX(G$5:G$66,MATCH($B500,$B$5:$B$67,0))</f>
        <v>1646</v>
      </c>
      <c r="I500" s="25">
        <f t="array" ref="I500">INDEX(H$5:H$67,MATCH($B500,$B$5:$B$67,0))</f>
        <v>131.68</v>
      </c>
      <c r="J500" s="25">
        <f t="array" ref="J500">INDEX(I$5:I$67,MATCH($B500,$B$5:$B$67,0))</f>
        <v>1000</v>
      </c>
      <c r="K500" s="25">
        <f t="array" ref="K500">INDEX(J$5:J$67,MATCH($B500,$B$5:$B$67,0))</f>
        <v>80</v>
      </c>
      <c r="L500" s="25">
        <f t="shared" si="555"/>
        <v>5220</v>
      </c>
      <c r="M500" s="25">
        <f t="shared" si="556"/>
        <v>1909</v>
      </c>
      <c r="N500" s="25">
        <f t="shared" si="557"/>
        <v>1909</v>
      </c>
      <c r="O500" s="25">
        <f t="shared" si="558"/>
        <v>1160</v>
      </c>
      <c r="R500" s="50">
        <f t="array" ref="R500">INDEX($B$46:$B$68,MATCH(S500,$C$46:$C$68,0))*1000+T500</f>
        <v>1018017</v>
      </c>
      <c r="S500" s="51" t="s">
        <v>347</v>
      </c>
      <c r="T500" s="29">
        <f t="shared" si="563"/>
        <v>17</v>
      </c>
      <c r="U500" s="25">
        <f t="array" ref="U500">INDEX(K$5:K$67,MATCH($S500,$B$5:$B$67,0))</f>
        <v>449.86</v>
      </c>
      <c r="V500" s="25">
        <f t="array" ref="V500">INDEX(L$5:L$67,MATCH($S500,$B$5:$B$67,0))</f>
        <v>66.15</v>
      </c>
      <c r="W500" s="25">
        <f t="array" ref="W500">INDEX(M$5:M$67,MATCH($S500,$B$5:$B$67,0))</f>
        <v>82.69</v>
      </c>
      <c r="X500" s="25">
        <f t="array" ref="X500">INDEX(N$5:N$67,MATCH($S500,$B$5:$B$67,0))</f>
        <v>67.83</v>
      </c>
      <c r="Y500" s="25">
        <f t="shared" si="559"/>
        <v>7648</v>
      </c>
      <c r="Z500" s="25">
        <f t="shared" si="560"/>
        <v>1125</v>
      </c>
      <c r="AA500" s="25">
        <f t="shared" si="561"/>
        <v>1406</v>
      </c>
      <c r="AB500" s="25">
        <f t="shared" si="562"/>
        <v>1153</v>
      </c>
    </row>
    <row r="501" spans="1:28">
      <c r="A501" s="53">
        <v>1008003</v>
      </c>
      <c r="B501" s="49" t="s">
        <v>332</v>
      </c>
      <c r="C501" s="25">
        <f t="shared" si="554"/>
        <v>3</v>
      </c>
      <c r="D501" s="25">
        <f t="array" ref="D501">INDEX(C$5:C$67,MATCH($B501,$B$5:$B$67,0))</f>
        <v>4500</v>
      </c>
      <c r="E501" s="25">
        <f t="array" ref="E501">INDEX(D$5:D$67,MATCH($B501,$B$5:$B$67,0))</f>
        <v>360</v>
      </c>
      <c r="F501" s="25">
        <f t="array" ref="F501">INDEX(E$5:E$67,MATCH($B501,$B$5:$B$67,0))</f>
        <v>1646</v>
      </c>
      <c r="G501" s="25">
        <f t="array" ref="G501">INDEX(F$5:F$67,MATCH($B501,$B$5:$B$67,0))</f>
        <v>131.68</v>
      </c>
      <c r="H501" s="25">
        <f t="array" ref="H501">INDEX(G$5:G$66,MATCH($B501,$B$5:$B$67,0))</f>
        <v>1646</v>
      </c>
      <c r="I501" s="25">
        <f t="array" ref="I501">INDEX(H$5:H$67,MATCH($B501,$B$5:$B$67,0))</f>
        <v>131.68</v>
      </c>
      <c r="J501" s="25">
        <f t="array" ref="J501">INDEX(I$5:I$67,MATCH($B501,$B$5:$B$67,0))</f>
        <v>1000</v>
      </c>
      <c r="K501" s="25">
        <f t="array" ref="K501">INDEX(J$5:J$67,MATCH($B501,$B$5:$B$67,0))</f>
        <v>80</v>
      </c>
      <c r="L501" s="25">
        <f t="shared" si="555"/>
        <v>5580</v>
      </c>
      <c r="M501" s="25">
        <f t="shared" si="556"/>
        <v>2041</v>
      </c>
      <c r="N501" s="25">
        <f t="shared" si="557"/>
        <v>2041</v>
      </c>
      <c r="O501" s="25">
        <f t="shared" si="558"/>
        <v>1240</v>
      </c>
      <c r="R501" s="50">
        <f t="array" ref="R501">INDEX($B$46:$B$68,MATCH(S501,$C$46:$C$68,0))*1000+T501</f>
        <v>1018018</v>
      </c>
      <c r="S501" s="51" t="s">
        <v>347</v>
      </c>
      <c r="T501" s="29">
        <f t="shared" si="563"/>
        <v>18</v>
      </c>
      <c r="U501" s="25">
        <f t="array" ref="U501">INDEX(K$5:K$67,MATCH($S501,$B$5:$B$67,0))</f>
        <v>449.86</v>
      </c>
      <c r="V501" s="25">
        <f t="array" ref="V501">INDEX(L$5:L$67,MATCH($S501,$B$5:$B$67,0))</f>
        <v>66.15</v>
      </c>
      <c r="W501" s="25">
        <f t="array" ref="W501">INDEX(M$5:M$67,MATCH($S501,$B$5:$B$67,0))</f>
        <v>82.69</v>
      </c>
      <c r="X501" s="25">
        <f t="array" ref="X501">INDEX(N$5:N$67,MATCH($S501,$B$5:$B$67,0))</f>
        <v>67.83</v>
      </c>
      <c r="Y501" s="25">
        <f t="shared" si="559"/>
        <v>8097</v>
      </c>
      <c r="Z501" s="25">
        <f t="shared" si="560"/>
        <v>1191</v>
      </c>
      <c r="AA501" s="25">
        <f t="shared" si="561"/>
        <v>1488</v>
      </c>
      <c r="AB501" s="25">
        <f t="shared" si="562"/>
        <v>1221</v>
      </c>
    </row>
    <row r="502" spans="1:28">
      <c r="A502" s="53">
        <v>1008004</v>
      </c>
      <c r="B502" s="49" t="s">
        <v>332</v>
      </c>
      <c r="C502" s="25">
        <f t="shared" si="554"/>
        <v>4</v>
      </c>
      <c r="D502" s="25">
        <f t="array" ref="D502">INDEX(C$5:C$67,MATCH($B502,$B$5:$B$67,0))</f>
        <v>4500</v>
      </c>
      <c r="E502" s="25">
        <f t="array" ref="E502">INDEX(D$5:D$67,MATCH($B502,$B$5:$B$67,0))</f>
        <v>360</v>
      </c>
      <c r="F502" s="25">
        <f t="array" ref="F502">INDEX(E$5:E$67,MATCH($B502,$B$5:$B$67,0))</f>
        <v>1646</v>
      </c>
      <c r="G502" s="25">
        <f t="array" ref="G502">INDEX(F$5:F$67,MATCH($B502,$B$5:$B$67,0))</f>
        <v>131.68</v>
      </c>
      <c r="H502" s="25">
        <f t="array" ref="H502">INDEX(G$5:G$66,MATCH($B502,$B$5:$B$67,0))</f>
        <v>1646</v>
      </c>
      <c r="I502" s="25">
        <f t="array" ref="I502">INDEX(H$5:H$67,MATCH($B502,$B$5:$B$67,0))</f>
        <v>131.68</v>
      </c>
      <c r="J502" s="25">
        <f t="array" ref="J502">INDEX(I$5:I$67,MATCH($B502,$B$5:$B$67,0))</f>
        <v>1000</v>
      </c>
      <c r="K502" s="25">
        <f t="array" ref="K502">INDEX(J$5:J$67,MATCH($B502,$B$5:$B$67,0))</f>
        <v>80</v>
      </c>
      <c r="L502" s="25">
        <f t="shared" si="555"/>
        <v>5940</v>
      </c>
      <c r="M502" s="25">
        <f t="shared" si="556"/>
        <v>2173</v>
      </c>
      <c r="N502" s="25">
        <f t="shared" si="557"/>
        <v>2173</v>
      </c>
      <c r="O502" s="25">
        <f t="shared" si="558"/>
        <v>1320</v>
      </c>
      <c r="R502" s="50">
        <f t="array" ref="R502">INDEX($B$46:$B$68,MATCH(S502,$C$46:$C$68,0))*1000+T502</f>
        <v>1018019</v>
      </c>
      <c r="S502" s="51" t="s">
        <v>347</v>
      </c>
      <c r="T502" s="29">
        <f t="shared" si="563"/>
        <v>19</v>
      </c>
      <c r="U502" s="25">
        <f t="array" ref="U502">INDEX(K$5:K$67,MATCH($S502,$B$5:$B$67,0))</f>
        <v>449.86</v>
      </c>
      <c r="V502" s="25">
        <f t="array" ref="V502">INDEX(L$5:L$67,MATCH($S502,$B$5:$B$67,0))</f>
        <v>66.15</v>
      </c>
      <c r="W502" s="25">
        <f t="array" ref="W502">INDEX(M$5:M$67,MATCH($S502,$B$5:$B$67,0))</f>
        <v>82.69</v>
      </c>
      <c r="X502" s="25">
        <f t="array" ref="X502">INDEX(N$5:N$67,MATCH($S502,$B$5:$B$67,0))</f>
        <v>67.83</v>
      </c>
      <c r="Y502" s="25">
        <f t="shared" si="559"/>
        <v>8547</v>
      </c>
      <c r="Z502" s="25">
        <f t="shared" si="560"/>
        <v>1257</v>
      </c>
      <c r="AA502" s="25">
        <f t="shared" si="561"/>
        <v>1571</v>
      </c>
      <c r="AB502" s="25">
        <f t="shared" si="562"/>
        <v>1289</v>
      </c>
    </row>
    <row r="503" spans="1:28">
      <c r="A503" s="53">
        <v>1008005</v>
      </c>
      <c r="B503" s="49" t="s">
        <v>332</v>
      </c>
      <c r="C503" s="25">
        <f t="shared" si="554"/>
        <v>5</v>
      </c>
      <c r="D503" s="25">
        <f t="array" ref="D503">INDEX(C$5:C$67,MATCH($B503,$B$5:$B$67,0))</f>
        <v>4500</v>
      </c>
      <c r="E503" s="25">
        <f t="array" ref="E503">INDEX(D$5:D$67,MATCH($B503,$B$5:$B$67,0))</f>
        <v>360</v>
      </c>
      <c r="F503" s="25">
        <f t="array" ref="F503">INDEX(E$5:E$67,MATCH($B503,$B$5:$B$67,0))</f>
        <v>1646</v>
      </c>
      <c r="G503" s="25">
        <f t="array" ref="G503">INDEX(F$5:F$67,MATCH($B503,$B$5:$B$67,0))</f>
        <v>131.68</v>
      </c>
      <c r="H503" s="25">
        <f t="array" ref="H503">INDEX(G$5:G$66,MATCH($B503,$B$5:$B$67,0))</f>
        <v>1646</v>
      </c>
      <c r="I503" s="25">
        <f t="array" ref="I503">INDEX(H$5:H$67,MATCH($B503,$B$5:$B$67,0))</f>
        <v>131.68</v>
      </c>
      <c r="J503" s="25">
        <f t="array" ref="J503">INDEX(I$5:I$67,MATCH($B503,$B$5:$B$67,0))</f>
        <v>1000</v>
      </c>
      <c r="K503" s="25">
        <f t="array" ref="K503">INDEX(J$5:J$67,MATCH($B503,$B$5:$B$67,0))</f>
        <v>80</v>
      </c>
      <c r="L503" s="25">
        <f t="shared" si="555"/>
        <v>6300</v>
      </c>
      <c r="M503" s="25">
        <f t="shared" si="556"/>
        <v>2304</v>
      </c>
      <c r="N503" s="25">
        <f t="shared" si="557"/>
        <v>2304</v>
      </c>
      <c r="O503" s="25">
        <f t="shared" si="558"/>
        <v>1400</v>
      </c>
      <c r="R503" s="50">
        <f t="array" ref="R503">INDEX($B$46:$B$68,MATCH(S503,$C$46:$C$68,0))*1000+T503</f>
        <v>1018020</v>
      </c>
      <c r="S503" s="51" t="s">
        <v>347</v>
      </c>
      <c r="T503" s="29">
        <f t="shared" si="563"/>
        <v>20</v>
      </c>
      <c r="U503" s="25">
        <f t="array" ref="U503">INDEX(K$5:K$67,MATCH($S503,$B$5:$B$67,0))</f>
        <v>449.86</v>
      </c>
      <c r="V503" s="25">
        <f t="array" ref="V503">INDEX(L$5:L$67,MATCH($S503,$B$5:$B$67,0))</f>
        <v>66.15</v>
      </c>
      <c r="W503" s="25">
        <f t="array" ref="W503">INDEX(M$5:M$67,MATCH($S503,$B$5:$B$67,0))</f>
        <v>82.69</v>
      </c>
      <c r="X503" s="25">
        <f t="array" ref="X503">INDEX(N$5:N$67,MATCH($S503,$B$5:$B$67,0))</f>
        <v>67.83</v>
      </c>
      <c r="Y503" s="25">
        <f t="shared" si="559"/>
        <v>8997</v>
      </c>
      <c r="Z503" s="25">
        <f t="shared" si="560"/>
        <v>1323</v>
      </c>
      <c r="AA503" s="25">
        <f t="shared" si="561"/>
        <v>1654</v>
      </c>
      <c r="AB503" s="25">
        <f t="shared" si="562"/>
        <v>1357</v>
      </c>
    </row>
    <row r="504" spans="1:28">
      <c r="A504" s="53">
        <v>1008006</v>
      </c>
      <c r="B504" s="49" t="s">
        <v>332</v>
      </c>
      <c r="C504" s="25">
        <f t="shared" si="554"/>
        <v>6</v>
      </c>
      <c r="D504" s="25">
        <f t="array" ref="D504">INDEX(C$5:C$67,MATCH($B504,$B$5:$B$67,0))</f>
        <v>4500</v>
      </c>
      <c r="E504" s="25">
        <f t="array" ref="E504">INDEX(D$5:D$67,MATCH($B504,$B$5:$B$67,0))</f>
        <v>360</v>
      </c>
      <c r="F504" s="25">
        <f t="array" ref="F504">INDEX(E$5:E$67,MATCH($B504,$B$5:$B$67,0))</f>
        <v>1646</v>
      </c>
      <c r="G504" s="25">
        <f t="array" ref="G504">INDEX(F$5:F$67,MATCH($B504,$B$5:$B$67,0))</f>
        <v>131.68</v>
      </c>
      <c r="H504" s="25">
        <f t="array" ref="H504">INDEX(G$5:G$66,MATCH($B504,$B$5:$B$67,0))</f>
        <v>1646</v>
      </c>
      <c r="I504" s="25">
        <f t="array" ref="I504">INDEX(H$5:H$67,MATCH($B504,$B$5:$B$67,0))</f>
        <v>131.68</v>
      </c>
      <c r="J504" s="25">
        <f t="array" ref="J504">INDEX(I$5:I$67,MATCH($B504,$B$5:$B$67,0))</f>
        <v>1000</v>
      </c>
      <c r="K504" s="25">
        <f t="array" ref="K504">INDEX(J$5:J$67,MATCH($B504,$B$5:$B$67,0))</f>
        <v>80</v>
      </c>
      <c r="L504" s="25">
        <f t="shared" si="555"/>
        <v>6660</v>
      </c>
      <c r="M504" s="25">
        <f t="shared" si="556"/>
        <v>2436</v>
      </c>
      <c r="N504" s="25">
        <f t="shared" si="557"/>
        <v>2436</v>
      </c>
      <c r="O504" s="25">
        <f t="shared" si="558"/>
        <v>1480</v>
      </c>
      <c r="R504" s="50">
        <f t="array" ref="R504">INDEX($B$46:$B$68,MATCH(S504,$C$46:$C$68,0))*1000+T504</f>
        <v>1018021</v>
      </c>
      <c r="S504" s="51" t="s">
        <v>347</v>
      </c>
      <c r="T504" s="29">
        <f t="shared" si="563"/>
        <v>21</v>
      </c>
      <c r="U504" s="25">
        <f t="array" ref="U504">INDEX(K$5:K$67,MATCH($S504,$B$5:$B$67,0))</f>
        <v>449.86</v>
      </c>
      <c r="V504" s="25">
        <f t="array" ref="V504">INDEX(L$5:L$67,MATCH($S504,$B$5:$B$67,0))</f>
        <v>66.15</v>
      </c>
      <c r="W504" s="25">
        <f t="array" ref="W504">INDEX(M$5:M$67,MATCH($S504,$B$5:$B$67,0))</f>
        <v>82.69</v>
      </c>
      <c r="X504" s="25">
        <f t="array" ref="X504">INDEX(N$5:N$67,MATCH($S504,$B$5:$B$67,0))</f>
        <v>67.83</v>
      </c>
      <c r="Y504" s="25">
        <f t="shared" si="559"/>
        <v>9447</v>
      </c>
      <c r="Z504" s="25">
        <f t="shared" si="560"/>
        <v>1389</v>
      </c>
      <c r="AA504" s="25">
        <f t="shared" si="561"/>
        <v>1736</v>
      </c>
      <c r="AB504" s="25">
        <f t="shared" si="562"/>
        <v>1424</v>
      </c>
    </row>
    <row r="505" spans="1:28">
      <c r="A505" s="53">
        <v>1008007</v>
      </c>
      <c r="B505" s="49" t="s">
        <v>332</v>
      </c>
      <c r="C505" s="25">
        <f t="shared" si="554"/>
        <v>7</v>
      </c>
      <c r="D505" s="25">
        <f t="array" ref="D505">INDEX(C$5:C$67,MATCH($B505,$B$5:$B$67,0))</f>
        <v>4500</v>
      </c>
      <c r="E505" s="25">
        <f t="array" ref="E505">INDEX(D$5:D$67,MATCH($B505,$B$5:$B$67,0))</f>
        <v>360</v>
      </c>
      <c r="F505" s="25">
        <f t="array" ref="F505">INDEX(E$5:E$67,MATCH($B505,$B$5:$B$67,0))</f>
        <v>1646</v>
      </c>
      <c r="G505" s="25">
        <f t="array" ref="G505">INDEX(F$5:F$67,MATCH($B505,$B$5:$B$67,0))</f>
        <v>131.68</v>
      </c>
      <c r="H505" s="25">
        <f t="array" ref="H505">INDEX(G$5:G$66,MATCH($B505,$B$5:$B$67,0))</f>
        <v>1646</v>
      </c>
      <c r="I505" s="25">
        <f t="array" ref="I505">INDEX(H$5:H$67,MATCH($B505,$B$5:$B$67,0))</f>
        <v>131.68</v>
      </c>
      <c r="J505" s="25">
        <f t="array" ref="J505">INDEX(I$5:I$67,MATCH($B505,$B$5:$B$67,0))</f>
        <v>1000</v>
      </c>
      <c r="K505" s="25">
        <f t="array" ref="K505">INDEX(J$5:J$67,MATCH($B505,$B$5:$B$67,0))</f>
        <v>80</v>
      </c>
      <c r="L505" s="25">
        <f t="shared" si="555"/>
        <v>7020</v>
      </c>
      <c r="M505" s="25">
        <f t="shared" si="556"/>
        <v>2568</v>
      </c>
      <c r="N505" s="25">
        <f t="shared" si="557"/>
        <v>2568</v>
      </c>
      <c r="O505" s="25">
        <f t="shared" si="558"/>
        <v>1560</v>
      </c>
      <c r="R505" s="50">
        <f t="array" ref="R505">INDEX($B$46:$B$68,MATCH(S505,$C$46:$C$68,0))*1000+T505</f>
        <v>1018022</v>
      </c>
      <c r="S505" s="51" t="s">
        <v>347</v>
      </c>
      <c r="T505" s="29">
        <f t="shared" si="563"/>
        <v>22</v>
      </c>
      <c r="U505" s="25">
        <f t="array" ref="U505">INDEX(K$5:K$67,MATCH($S505,$B$5:$B$67,0))</f>
        <v>449.86</v>
      </c>
      <c r="V505" s="25">
        <f t="array" ref="V505">INDEX(L$5:L$67,MATCH($S505,$B$5:$B$67,0))</f>
        <v>66.15</v>
      </c>
      <c r="W505" s="25">
        <f t="array" ref="W505">INDEX(M$5:M$67,MATCH($S505,$B$5:$B$67,0))</f>
        <v>82.69</v>
      </c>
      <c r="X505" s="25">
        <f t="array" ref="X505">INDEX(N$5:N$67,MATCH($S505,$B$5:$B$67,0))</f>
        <v>67.83</v>
      </c>
      <c r="Y505" s="25">
        <f t="shared" si="559"/>
        <v>9897</v>
      </c>
      <c r="Z505" s="25">
        <f t="shared" si="560"/>
        <v>1455</v>
      </c>
      <c r="AA505" s="25">
        <f t="shared" si="561"/>
        <v>1819</v>
      </c>
      <c r="AB505" s="25">
        <f t="shared" si="562"/>
        <v>1492</v>
      </c>
    </row>
    <row r="506" spans="1:28">
      <c r="A506" s="53">
        <v>1008008</v>
      </c>
      <c r="B506" s="49" t="s">
        <v>332</v>
      </c>
      <c r="C506" s="25">
        <f t="shared" si="554"/>
        <v>8</v>
      </c>
      <c r="D506" s="25">
        <f t="array" ref="D506">INDEX(C$5:C$67,MATCH($B506,$B$5:$B$67,0))</f>
        <v>4500</v>
      </c>
      <c r="E506" s="25">
        <f t="array" ref="E506">INDEX(D$5:D$67,MATCH($B506,$B$5:$B$67,0))</f>
        <v>360</v>
      </c>
      <c r="F506" s="25">
        <f t="array" ref="F506">INDEX(E$5:E$67,MATCH($B506,$B$5:$B$67,0))</f>
        <v>1646</v>
      </c>
      <c r="G506" s="25">
        <f t="array" ref="G506">INDEX(F$5:F$67,MATCH($B506,$B$5:$B$67,0))</f>
        <v>131.68</v>
      </c>
      <c r="H506" s="25">
        <f t="array" ref="H506">INDEX(G$5:G$66,MATCH($B506,$B$5:$B$67,0))</f>
        <v>1646</v>
      </c>
      <c r="I506" s="25">
        <f t="array" ref="I506">INDEX(H$5:H$67,MATCH($B506,$B$5:$B$67,0))</f>
        <v>131.68</v>
      </c>
      <c r="J506" s="25">
        <f t="array" ref="J506">INDEX(I$5:I$67,MATCH($B506,$B$5:$B$67,0))</f>
        <v>1000</v>
      </c>
      <c r="K506" s="25">
        <f t="array" ref="K506">INDEX(J$5:J$67,MATCH($B506,$B$5:$B$67,0))</f>
        <v>80</v>
      </c>
      <c r="L506" s="25">
        <f t="shared" si="555"/>
        <v>7380</v>
      </c>
      <c r="M506" s="25">
        <f t="shared" si="556"/>
        <v>2699</v>
      </c>
      <c r="N506" s="25">
        <f t="shared" si="557"/>
        <v>2699</v>
      </c>
      <c r="O506" s="25">
        <f t="shared" si="558"/>
        <v>1640</v>
      </c>
      <c r="R506" s="50">
        <f t="array" ref="R506">INDEX($B$46:$B$68,MATCH(S506,$C$46:$C$68,0))*1000+T506</f>
        <v>1018023</v>
      </c>
      <c r="S506" s="51" t="s">
        <v>347</v>
      </c>
      <c r="T506" s="29">
        <f t="shared" si="563"/>
        <v>23</v>
      </c>
      <c r="U506" s="25">
        <f t="array" ref="U506">INDEX(K$5:K$67,MATCH($S506,$B$5:$B$67,0))</f>
        <v>449.86</v>
      </c>
      <c r="V506" s="25">
        <f t="array" ref="V506">INDEX(L$5:L$67,MATCH($S506,$B$5:$B$67,0))</f>
        <v>66.15</v>
      </c>
      <c r="W506" s="25">
        <f t="array" ref="W506">INDEX(M$5:M$67,MATCH($S506,$B$5:$B$67,0))</f>
        <v>82.69</v>
      </c>
      <c r="X506" s="25">
        <f t="array" ref="X506">INDEX(N$5:N$67,MATCH($S506,$B$5:$B$67,0))</f>
        <v>67.83</v>
      </c>
      <c r="Y506" s="25">
        <f t="shared" si="559"/>
        <v>10347</v>
      </c>
      <c r="Z506" s="25">
        <f t="shared" si="560"/>
        <v>1521</v>
      </c>
      <c r="AA506" s="25">
        <f t="shared" si="561"/>
        <v>1902</v>
      </c>
      <c r="AB506" s="25">
        <f t="shared" si="562"/>
        <v>1560</v>
      </c>
    </row>
    <row r="507" spans="1:28">
      <c r="A507" s="53">
        <v>1008009</v>
      </c>
      <c r="B507" s="49" t="s">
        <v>332</v>
      </c>
      <c r="C507" s="25">
        <f t="shared" si="554"/>
        <v>9</v>
      </c>
      <c r="D507" s="25">
        <f t="array" ref="D507">INDEX(C$5:C$67,MATCH($B507,$B$5:$B$67,0))</f>
        <v>4500</v>
      </c>
      <c r="E507" s="25">
        <f t="array" ref="E507">INDEX(D$5:D$67,MATCH($B507,$B$5:$B$67,0))</f>
        <v>360</v>
      </c>
      <c r="F507" s="25">
        <f t="array" ref="F507">INDEX(E$5:E$67,MATCH($B507,$B$5:$B$67,0))</f>
        <v>1646</v>
      </c>
      <c r="G507" s="25">
        <f t="array" ref="G507">INDEX(F$5:F$67,MATCH($B507,$B$5:$B$67,0))</f>
        <v>131.68</v>
      </c>
      <c r="H507" s="25">
        <f t="array" ref="H507">INDEX(G$5:G$66,MATCH($B507,$B$5:$B$67,0))</f>
        <v>1646</v>
      </c>
      <c r="I507" s="25">
        <f t="array" ref="I507">INDEX(H$5:H$67,MATCH($B507,$B$5:$B$67,0))</f>
        <v>131.68</v>
      </c>
      <c r="J507" s="25">
        <f t="array" ref="J507">INDEX(I$5:I$67,MATCH($B507,$B$5:$B$67,0))</f>
        <v>1000</v>
      </c>
      <c r="K507" s="25">
        <f t="array" ref="K507">INDEX(J$5:J$67,MATCH($B507,$B$5:$B$67,0))</f>
        <v>80</v>
      </c>
      <c r="L507" s="25">
        <f t="shared" si="555"/>
        <v>7740</v>
      </c>
      <c r="M507" s="25">
        <f t="shared" si="556"/>
        <v>2831</v>
      </c>
      <c r="N507" s="25">
        <f t="shared" si="557"/>
        <v>2831</v>
      </c>
      <c r="O507" s="25">
        <f t="shared" si="558"/>
        <v>1720</v>
      </c>
      <c r="R507" s="50">
        <f t="array" ref="R507">INDEX($B$46:$B$68,MATCH(S507,$C$46:$C$68,0))*1000+T507</f>
        <v>1018024</v>
      </c>
      <c r="S507" s="51" t="s">
        <v>347</v>
      </c>
      <c r="T507" s="29">
        <f t="shared" si="563"/>
        <v>24</v>
      </c>
      <c r="U507" s="25">
        <f t="array" ref="U507">INDEX(K$5:K$67,MATCH($S507,$B$5:$B$67,0))</f>
        <v>449.86</v>
      </c>
      <c r="V507" s="25">
        <f t="array" ref="V507">INDEX(L$5:L$67,MATCH($S507,$B$5:$B$67,0))</f>
        <v>66.15</v>
      </c>
      <c r="W507" s="25">
        <f t="array" ref="W507">INDEX(M$5:M$67,MATCH($S507,$B$5:$B$67,0))</f>
        <v>82.69</v>
      </c>
      <c r="X507" s="25">
        <f t="array" ref="X507">INDEX(N$5:N$67,MATCH($S507,$B$5:$B$67,0))</f>
        <v>67.83</v>
      </c>
      <c r="Y507" s="25">
        <f t="shared" si="559"/>
        <v>10797</v>
      </c>
      <c r="Z507" s="25">
        <f t="shared" si="560"/>
        <v>1588</v>
      </c>
      <c r="AA507" s="25">
        <f t="shared" si="561"/>
        <v>1985</v>
      </c>
      <c r="AB507" s="25">
        <f t="shared" si="562"/>
        <v>1628</v>
      </c>
    </row>
    <row r="508" spans="1:28">
      <c r="A508" s="53">
        <v>1008010</v>
      </c>
      <c r="B508" s="49" t="s">
        <v>332</v>
      </c>
      <c r="C508" s="25">
        <f t="shared" si="554"/>
        <v>10</v>
      </c>
      <c r="D508" s="25">
        <f t="array" ref="D508">INDEX(C$5:C$67,MATCH($B508,$B$5:$B$67,0))</f>
        <v>4500</v>
      </c>
      <c r="E508" s="25">
        <f t="array" ref="E508">INDEX(D$5:D$67,MATCH($B508,$B$5:$B$67,0))</f>
        <v>360</v>
      </c>
      <c r="F508" s="25">
        <f t="array" ref="F508">INDEX(E$5:E$67,MATCH($B508,$B$5:$B$67,0))</f>
        <v>1646</v>
      </c>
      <c r="G508" s="25">
        <f t="array" ref="G508">INDEX(F$5:F$67,MATCH($B508,$B$5:$B$67,0))</f>
        <v>131.68</v>
      </c>
      <c r="H508" s="25">
        <f t="array" ref="H508">INDEX(G$5:G$66,MATCH($B508,$B$5:$B$67,0))</f>
        <v>1646</v>
      </c>
      <c r="I508" s="25">
        <f t="array" ref="I508">INDEX(H$5:H$67,MATCH($B508,$B$5:$B$67,0))</f>
        <v>131.68</v>
      </c>
      <c r="J508" s="25">
        <f t="array" ref="J508">INDEX(I$5:I$67,MATCH($B508,$B$5:$B$67,0))</f>
        <v>1000</v>
      </c>
      <c r="K508" s="25">
        <f t="array" ref="K508">INDEX(J$5:J$67,MATCH($B508,$B$5:$B$67,0))</f>
        <v>80</v>
      </c>
      <c r="L508" s="25">
        <f t="shared" si="555"/>
        <v>8100</v>
      </c>
      <c r="M508" s="25">
        <f t="shared" si="556"/>
        <v>2963</v>
      </c>
      <c r="N508" s="25">
        <f t="shared" si="557"/>
        <v>2963</v>
      </c>
      <c r="O508" s="25">
        <f t="shared" si="558"/>
        <v>1800</v>
      </c>
      <c r="R508" s="50">
        <f t="array" ref="R508">INDEX($B$46:$B$68,MATCH(S508,$C$46:$C$68,0))*1000+T508</f>
        <v>1018025</v>
      </c>
      <c r="S508" s="51" t="s">
        <v>347</v>
      </c>
      <c r="T508" s="29">
        <f t="shared" si="563"/>
        <v>25</v>
      </c>
      <c r="U508" s="25">
        <f t="array" ref="U508">INDEX(K$5:K$67,MATCH($S508,$B$5:$B$67,0))</f>
        <v>449.86</v>
      </c>
      <c r="V508" s="25">
        <f t="array" ref="V508">INDEX(L$5:L$67,MATCH($S508,$B$5:$B$67,0))</f>
        <v>66.15</v>
      </c>
      <c r="W508" s="25">
        <f t="array" ref="W508">INDEX(M$5:M$67,MATCH($S508,$B$5:$B$67,0))</f>
        <v>82.69</v>
      </c>
      <c r="X508" s="25">
        <f t="array" ref="X508">INDEX(N$5:N$67,MATCH($S508,$B$5:$B$67,0))</f>
        <v>67.83</v>
      </c>
      <c r="Y508" s="25">
        <f t="shared" si="559"/>
        <v>11247</v>
      </c>
      <c r="Z508" s="25">
        <f t="shared" si="560"/>
        <v>1654</v>
      </c>
      <c r="AA508" s="25">
        <f t="shared" si="561"/>
        <v>2067</v>
      </c>
      <c r="AB508" s="25">
        <f t="shared" si="562"/>
        <v>1696</v>
      </c>
    </row>
    <row r="509" spans="1:28">
      <c r="A509" s="53">
        <v>1008011</v>
      </c>
      <c r="B509" s="49" t="s">
        <v>332</v>
      </c>
      <c r="C509" s="25">
        <f t="shared" si="554"/>
        <v>11</v>
      </c>
      <c r="D509" s="25">
        <f t="array" ref="D509">INDEX(C$5:C$67,MATCH($B509,$B$5:$B$67,0))</f>
        <v>4500</v>
      </c>
      <c r="E509" s="25">
        <f t="array" ref="E509">INDEX(D$5:D$67,MATCH($B509,$B$5:$B$67,0))</f>
        <v>360</v>
      </c>
      <c r="F509" s="25">
        <f t="array" ref="F509">INDEX(E$5:E$67,MATCH($B509,$B$5:$B$67,0))</f>
        <v>1646</v>
      </c>
      <c r="G509" s="25">
        <f t="array" ref="G509">INDEX(F$5:F$67,MATCH($B509,$B$5:$B$67,0))</f>
        <v>131.68</v>
      </c>
      <c r="H509" s="25">
        <f t="array" ref="H509">INDEX(G$5:G$66,MATCH($B509,$B$5:$B$67,0))</f>
        <v>1646</v>
      </c>
      <c r="I509" s="25">
        <f t="array" ref="I509">INDEX(H$5:H$67,MATCH($B509,$B$5:$B$67,0))</f>
        <v>131.68</v>
      </c>
      <c r="J509" s="25">
        <f t="array" ref="J509">INDEX(I$5:I$67,MATCH($B509,$B$5:$B$67,0))</f>
        <v>1000</v>
      </c>
      <c r="K509" s="25">
        <f t="array" ref="K509">INDEX(J$5:J$67,MATCH($B509,$B$5:$B$67,0))</f>
        <v>80</v>
      </c>
      <c r="L509" s="25">
        <f t="shared" si="555"/>
        <v>8460</v>
      </c>
      <c r="M509" s="25">
        <f t="shared" si="556"/>
        <v>3094</v>
      </c>
      <c r="N509" s="25">
        <f t="shared" si="557"/>
        <v>3094</v>
      </c>
      <c r="O509" s="25">
        <f t="shared" si="558"/>
        <v>1880</v>
      </c>
      <c r="R509" s="50">
        <f t="array" ref="R509">INDEX($B$46:$B$68,MATCH(S509,$C$46:$C$68,0))*1000+T509</f>
        <v>1018026</v>
      </c>
      <c r="S509" s="51" t="s">
        <v>347</v>
      </c>
      <c r="T509" s="29">
        <f t="shared" si="563"/>
        <v>26</v>
      </c>
      <c r="U509" s="25">
        <f t="array" ref="U509">INDEX(K$5:K$67,MATCH($S509,$B$5:$B$67,0))</f>
        <v>449.86</v>
      </c>
      <c r="V509" s="25">
        <f t="array" ref="V509">INDEX(L$5:L$67,MATCH($S509,$B$5:$B$67,0))</f>
        <v>66.15</v>
      </c>
      <c r="W509" s="25">
        <f t="array" ref="W509">INDEX(M$5:M$67,MATCH($S509,$B$5:$B$67,0))</f>
        <v>82.69</v>
      </c>
      <c r="X509" s="25">
        <f t="array" ref="X509">INDEX(N$5:N$67,MATCH($S509,$B$5:$B$67,0))</f>
        <v>67.83</v>
      </c>
      <c r="Y509" s="25">
        <f t="shared" si="559"/>
        <v>11696</v>
      </c>
      <c r="Z509" s="25">
        <f t="shared" si="560"/>
        <v>1720</v>
      </c>
      <c r="AA509" s="25">
        <f t="shared" si="561"/>
        <v>2150</v>
      </c>
      <c r="AB509" s="25">
        <f t="shared" si="562"/>
        <v>1764</v>
      </c>
    </row>
    <row r="510" spans="1:28">
      <c r="A510" s="53">
        <v>1008012</v>
      </c>
      <c r="B510" s="49" t="s">
        <v>332</v>
      </c>
      <c r="C510" s="25">
        <f t="shared" si="554"/>
        <v>12</v>
      </c>
      <c r="D510" s="25">
        <f t="array" ref="D510">INDEX(C$5:C$67,MATCH($B510,$B$5:$B$67,0))</f>
        <v>4500</v>
      </c>
      <c r="E510" s="25">
        <f t="array" ref="E510">INDEX(D$5:D$67,MATCH($B510,$B$5:$B$67,0))</f>
        <v>360</v>
      </c>
      <c r="F510" s="25">
        <f t="array" ref="F510">INDEX(E$5:E$67,MATCH($B510,$B$5:$B$67,0))</f>
        <v>1646</v>
      </c>
      <c r="G510" s="25">
        <f t="array" ref="G510">INDEX(F$5:F$67,MATCH($B510,$B$5:$B$67,0))</f>
        <v>131.68</v>
      </c>
      <c r="H510" s="25">
        <f t="array" ref="H510">INDEX(G$5:G$66,MATCH($B510,$B$5:$B$67,0))</f>
        <v>1646</v>
      </c>
      <c r="I510" s="25">
        <f t="array" ref="I510">INDEX(H$5:H$67,MATCH($B510,$B$5:$B$67,0))</f>
        <v>131.68</v>
      </c>
      <c r="J510" s="25">
        <f t="array" ref="J510">INDEX(I$5:I$67,MATCH($B510,$B$5:$B$67,0))</f>
        <v>1000</v>
      </c>
      <c r="K510" s="25">
        <f t="array" ref="K510">INDEX(J$5:J$67,MATCH($B510,$B$5:$B$67,0))</f>
        <v>80</v>
      </c>
      <c r="L510" s="25">
        <f t="shared" si="555"/>
        <v>8820</v>
      </c>
      <c r="M510" s="25">
        <f t="shared" si="556"/>
        <v>3226</v>
      </c>
      <c r="N510" s="25">
        <f t="shared" si="557"/>
        <v>3226</v>
      </c>
      <c r="O510" s="25">
        <f t="shared" si="558"/>
        <v>1960</v>
      </c>
      <c r="R510" s="50">
        <f t="array" ref="R510">INDEX($B$46:$B$68,MATCH(S510,$C$46:$C$68,0))*1000+T510</f>
        <v>1018027</v>
      </c>
      <c r="S510" s="51" t="s">
        <v>347</v>
      </c>
      <c r="T510" s="29">
        <f t="shared" si="563"/>
        <v>27</v>
      </c>
      <c r="U510" s="25">
        <f t="array" ref="U510">INDEX(K$5:K$67,MATCH($S510,$B$5:$B$67,0))</f>
        <v>449.86</v>
      </c>
      <c r="V510" s="25">
        <f t="array" ref="V510">INDEX(L$5:L$67,MATCH($S510,$B$5:$B$67,0))</f>
        <v>66.15</v>
      </c>
      <c r="W510" s="25">
        <f t="array" ref="W510">INDEX(M$5:M$67,MATCH($S510,$B$5:$B$67,0))</f>
        <v>82.69</v>
      </c>
      <c r="X510" s="25">
        <f t="array" ref="X510">INDEX(N$5:N$67,MATCH($S510,$B$5:$B$67,0))</f>
        <v>67.83</v>
      </c>
      <c r="Y510" s="25">
        <f t="shared" si="559"/>
        <v>12146</v>
      </c>
      <c r="Z510" s="25">
        <f t="shared" si="560"/>
        <v>1786</v>
      </c>
      <c r="AA510" s="25">
        <f t="shared" si="561"/>
        <v>2233</v>
      </c>
      <c r="AB510" s="25">
        <f t="shared" si="562"/>
        <v>1831</v>
      </c>
    </row>
    <row r="511" spans="1:28">
      <c r="A511" s="53">
        <v>1008013</v>
      </c>
      <c r="B511" s="49" t="s">
        <v>332</v>
      </c>
      <c r="C511" s="25">
        <f t="shared" si="554"/>
        <v>13</v>
      </c>
      <c r="D511" s="25">
        <f t="array" ref="D511">INDEX(C$5:C$67,MATCH($B511,$B$5:$B$67,0))</f>
        <v>4500</v>
      </c>
      <c r="E511" s="25">
        <f t="array" ref="E511">INDEX(D$5:D$67,MATCH($B511,$B$5:$B$67,0))</f>
        <v>360</v>
      </c>
      <c r="F511" s="25">
        <f t="array" ref="F511">INDEX(E$5:E$67,MATCH($B511,$B$5:$B$67,0))</f>
        <v>1646</v>
      </c>
      <c r="G511" s="25">
        <f t="array" ref="G511">INDEX(F$5:F$67,MATCH($B511,$B$5:$B$67,0))</f>
        <v>131.68</v>
      </c>
      <c r="H511" s="25">
        <f t="array" ref="H511">INDEX(G$5:G$66,MATCH($B511,$B$5:$B$67,0))</f>
        <v>1646</v>
      </c>
      <c r="I511" s="25">
        <f t="array" ref="I511">INDEX(H$5:H$67,MATCH($B511,$B$5:$B$67,0))</f>
        <v>131.68</v>
      </c>
      <c r="J511" s="25">
        <f t="array" ref="J511">INDEX(I$5:I$67,MATCH($B511,$B$5:$B$67,0))</f>
        <v>1000</v>
      </c>
      <c r="K511" s="25">
        <f t="array" ref="K511">INDEX(J$5:J$67,MATCH($B511,$B$5:$B$67,0))</f>
        <v>80</v>
      </c>
      <c r="L511" s="25">
        <f t="shared" si="555"/>
        <v>9180</v>
      </c>
      <c r="M511" s="25">
        <f t="shared" si="556"/>
        <v>3358</v>
      </c>
      <c r="N511" s="25">
        <f t="shared" si="557"/>
        <v>3358</v>
      </c>
      <c r="O511" s="25">
        <f t="shared" si="558"/>
        <v>2040</v>
      </c>
      <c r="R511" s="50">
        <f t="array" ref="R511">INDEX($B$46:$B$68,MATCH(S511,$C$46:$C$68,0))*1000+T511</f>
        <v>1020001</v>
      </c>
      <c r="S511" s="51" t="s">
        <v>350</v>
      </c>
      <c r="T511" s="29">
        <f t="shared" si="563"/>
        <v>1</v>
      </c>
      <c r="U511" s="25">
        <f t="array" ref="U511">INDEX(K$5:K$67,MATCH($S511,$B$5:$B$67,0))</f>
        <v>374.88</v>
      </c>
      <c r="V511" s="25">
        <f t="array" ref="V511">INDEX(L$5:L$67,MATCH($S511,$B$5:$B$67,0))</f>
        <v>91.39</v>
      </c>
      <c r="W511" s="25">
        <f t="array" ref="W511">INDEX(M$5:M$67,MATCH($S511,$B$5:$B$67,0))</f>
        <v>67.54</v>
      </c>
      <c r="X511" s="25">
        <f t="array" ref="X511">INDEX(N$5:N$67,MATCH($S511,$B$5:$B$67,0))</f>
        <v>69.97</v>
      </c>
      <c r="Y511" s="25">
        <f t="shared" si="559"/>
        <v>375</v>
      </c>
      <c r="Z511" s="25">
        <f t="shared" si="560"/>
        <v>91</v>
      </c>
      <c r="AA511" s="25">
        <f t="shared" si="561"/>
        <v>68</v>
      </c>
      <c r="AB511" s="25">
        <f t="shared" si="562"/>
        <v>70</v>
      </c>
    </row>
    <row r="512" spans="1:28">
      <c r="A512" s="53">
        <v>1008014</v>
      </c>
      <c r="B512" s="49" t="s">
        <v>332</v>
      </c>
      <c r="C512" s="25">
        <f t="shared" si="554"/>
        <v>14</v>
      </c>
      <c r="D512" s="25">
        <f t="array" ref="D512">INDEX(C$5:C$67,MATCH($B512,$B$5:$B$67,0))</f>
        <v>4500</v>
      </c>
      <c r="E512" s="25">
        <f t="array" ref="E512">INDEX(D$5:D$67,MATCH($B512,$B$5:$B$67,0))</f>
        <v>360</v>
      </c>
      <c r="F512" s="25">
        <f t="array" ref="F512">INDEX(E$5:E$67,MATCH($B512,$B$5:$B$67,0))</f>
        <v>1646</v>
      </c>
      <c r="G512" s="25">
        <f t="array" ref="G512">INDEX(F$5:F$67,MATCH($B512,$B$5:$B$67,0))</f>
        <v>131.68</v>
      </c>
      <c r="H512" s="25">
        <f t="array" ref="H512">INDEX(G$5:G$66,MATCH($B512,$B$5:$B$67,0))</f>
        <v>1646</v>
      </c>
      <c r="I512" s="25">
        <f t="array" ref="I512">INDEX(H$5:H$67,MATCH($B512,$B$5:$B$67,0))</f>
        <v>131.68</v>
      </c>
      <c r="J512" s="25">
        <f t="array" ref="J512">INDEX(I$5:I$67,MATCH($B512,$B$5:$B$67,0))</f>
        <v>1000</v>
      </c>
      <c r="K512" s="25">
        <f t="array" ref="K512">INDEX(J$5:J$67,MATCH($B512,$B$5:$B$67,0))</f>
        <v>80</v>
      </c>
      <c r="L512" s="25">
        <f t="shared" si="555"/>
        <v>9540</v>
      </c>
      <c r="M512" s="25">
        <f t="shared" si="556"/>
        <v>3490</v>
      </c>
      <c r="N512" s="25">
        <f t="shared" si="557"/>
        <v>3490</v>
      </c>
      <c r="O512" s="25">
        <f t="shared" si="558"/>
        <v>2120</v>
      </c>
      <c r="R512" s="50">
        <f t="array" ref="R512">INDEX($B$46:$B$68,MATCH(S512,$C$46:$C$68,0))*1000+T512</f>
        <v>1020002</v>
      </c>
      <c r="S512" s="51" t="s">
        <v>350</v>
      </c>
      <c r="T512" s="29">
        <f t="shared" si="563"/>
        <v>2</v>
      </c>
      <c r="U512" s="25">
        <f t="array" ref="U512">INDEX(K$5:K$67,MATCH($S512,$B$5:$B$67,0))</f>
        <v>374.88</v>
      </c>
      <c r="V512" s="25">
        <f t="array" ref="V512">INDEX(L$5:L$67,MATCH($S512,$B$5:$B$67,0))</f>
        <v>91.39</v>
      </c>
      <c r="W512" s="25">
        <f t="array" ref="W512">INDEX(M$5:M$67,MATCH($S512,$B$5:$B$67,0))</f>
        <v>67.54</v>
      </c>
      <c r="X512" s="25">
        <f t="array" ref="X512">INDEX(N$5:N$67,MATCH($S512,$B$5:$B$67,0))</f>
        <v>69.97</v>
      </c>
      <c r="Y512" s="25">
        <f t="shared" si="559"/>
        <v>750</v>
      </c>
      <c r="Z512" s="25">
        <f t="shared" si="560"/>
        <v>183</v>
      </c>
      <c r="AA512" s="25">
        <f t="shared" si="561"/>
        <v>135</v>
      </c>
      <c r="AB512" s="25">
        <f t="shared" si="562"/>
        <v>140</v>
      </c>
    </row>
    <row r="513" spans="1:28">
      <c r="A513" s="53">
        <v>1008015</v>
      </c>
      <c r="B513" s="49" t="s">
        <v>332</v>
      </c>
      <c r="C513" s="25">
        <f t="shared" si="554"/>
        <v>15</v>
      </c>
      <c r="D513" s="25">
        <f t="array" ref="D513">INDEX(C$5:C$67,MATCH($B513,$B$5:$B$67,0))</f>
        <v>4500</v>
      </c>
      <c r="E513" s="25">
        <f t="array" ref="E513">INDEX(D$5:D$67,MATCH($B513,$B$5:$B$67,0))</f>
        <v>360</v>
      </c>
      <c r="F513" s="25">
        <f t="array" ref="F513">INDEX(E$5:E$67,MATCH($B513,$B$5:$B$67,0))</f>
        <v>1646</v>
      </c>
      <c r="G513" s="25">
        <f t="array" ref="G513">INDEX(F$5:F$67,MATCH($B513,$B$5:$B$67,0))</f>
        <v>131.68</v>
      </c>
      <c r="H513" s="25">
        <f t="array" ref="H513">INDEX(G$5:G$66,MATCH($B513,$B$5:$B$67,0))</f>
        <v>1646</v>
      </c>
      <c r="I513" s="25">
        <f t="array" ref="I513">INDEX(H$5:H$67,MATCH($B513,$B$5:$B$67,0))</f>
        <v>131.68</v>
      </c>
      <c r="J513" s="25">
        <f t="array" ref="J513">INDEX(I$5:I$67,MATCH($B513,$B$5:$B$67,0))</f>
        <v>1000</v>
      </c>
      <c r="K513" s="25">
        <f t="array" ref="K513">INDEX(J$5:J$67,MATCH($B513,$B$5:$B$67,0))</f>
        <v>80</v>
      </c>
      <c r="L513" s="25">
        <f t="shared" si="555"/>
        <v>9900</v>
      </c>
      <c r="M513" s="25">
        <f t="shared" si="556"/>
        <v>3621</v>
      </c>
      <c r="N513" s="25">
        <f t="shared" si="557"/>
        <v>3621</v>
      </c>
      <c r="O513" s="25">
        <f t="shared" si="558"/>
        <v>2200</v>
      </c>
      <c r="R513" s="50">
        <f t="array" ref="R513">INDEX($B$46:$B$68,MATCH(S513,$C$46:$C$68,0))*1000+T513</f>
        <v>1020003</v>
      </c>
      <c r="S513" s="51" t="s">
        <v>350</v>
      </c>
      <c r="T513" s="29">
        <f t="shared" si="563"/>
        <v>3</v>
      </c>
      <c r="U513" s="25">
        <f t="array" ref="U513">INDEX(K$5:K$67,MATCH($S513,$B$5:$B$67,0))</f>
        <v>374.88</v>
      </c>
      <c r="V513" s="25">
        <f t="array" ref="V513">INDEX(L$5:L$67,MATCH($S513,$B$5:$B$67,0))</f>
        <v>91.39</v>
      </c>
      <c r="W513" s="25">
        <f t="array" ref="W513">INDEX(M$5:M$67,MATCH($S513,$B$5:$B$67,0))</f>
        <v>67.54</v>
      </c>
      <c r="X513" s="25">
        <f t="array" ref="X513">INDEX(N$5:N$67,MATCH($S513,$B$5:$B$67,0))</f>
        <v>69.97</v>
      </c>
      <c r="Y513" s="25">
        <f t="shared" si="559"/>
        <v>1125</v>
      </c>
      <c r="Z513" s="25">
        <f t="shared" si="560"/>
        <v>274</v>
      </c>
      <c r="AA513" s="25">
        <f t="shared" si="561"/>
        <v>203</v>
      </c>
      <c r="AB513" s="25">
        <f t="shared" si="562"/>
        <v>210</v>
      </c>
    </row>
    <row r="514" spans="1:28">
      <c r="A514" s="53">
        <v>1008016</v>
      </c>
      <c r="B514" s="49" t="s">
        <v>332</v>
      </c>
      <c r="C514" s="25">
        <f t="shared" si="554"/>
        <v>16</v>
      </c>
      <c r="D514" s="25">
        <f t="array" ref="D514">INDEX(C$5:C$67,MATCH($B514,$B$5:$B$67,0))</f>
        <v>4500</v>
      </c>
      <c r="E514" s="25">
        <f t="array" ref="E514">INDEX(D$5:D$67,MATCH($B514,$B$5:$B$67,0))</f>
        <v>360</v>
      </c>
      <c r="F514" s="25">
        <f t="array" ref="F514">INDEX(E$5:E$67,MATCH($B514,$B$5:$B$67,0))</f>
        <v>1646</v>
      </c>
      <c r="G514" s="25">
        <f t="array" ref="G514">INDEX(F$5:F$67,MATCH($B514,$B$5:$B$67,0))</f>
        <v>131.68</v>
      </c>
      <c r="H514" s="25">
        <f t="array" ref="H514">INDEX(G$5:G$66,MATCH($B514,$B$5:$B$67,0))</f>
        <v>1646</v>
      </c>
      <c r="I514" s="25">
        <f t="array" ref="I514">INDEX(H$5:H$67,MATCH($B514,$B$5:$B$67,0))</f>
        <v>131.68</v>
      </c>
      <c r="J514" s="25">
        <f t="array" ref="J514">INDEX(I$5:I$67,MATCH($B514,$B$5:$B$67,0))</f>
        <v>1000</v>
      </c>
      <c r="K514" s="25">
        <f t="array" ref="K514">INDEX(J$5:J$67,MATCH($B514,$B$5:$B$67,0))</f>
        <v>80</v>
      </c>
      <c r="L514" s="25">
        <f t="shared" si="555"/>
        <v>10260</v>
      </c>
      <c r="M514" s="25">
        <f t="shared" si="556"/>
        <v>3753</v>
      </c>
      <c r="N514" s="25">
        <f t="shared" si="557"/>
        <v>3753</v>
      </c>
      <c r="O514" s="25">
        <f t="shared" si="558"/>
        <v>2280</v>
      </c>
      <c r="R514" s="50">
        <f t="array" ref="R514">INDEX($B$46:$B$68,MATCH(S514,$C$46:$C$68,0))*1000+T514</f>
        <v>1020004</v>
      </c>
      <c r="S514" s="51" t="s">
        <v>350</v>
      </c>
      <c r="T514" s="29">
        <f t="shared" si="563"/>
        <v>4</v>
      </c>
      <c r="U514" s="25">
        <f t="array" ref="U514">INDEX(K$5:K$67,MATCH($S514,$B$5:$B$67,0))</f>
        <v>374.88</v>
      </c>
      <c r="V514" s="25">
        <f t="array" ref="V514">INDEX(L$5:L$67,MATCH($S514,$B$5:$B$67,0))</f>
        <v>91.39</v>
      </c>
      <c r="W514" s="25">
        <f t="array" ref="W514">INDEX(M$5:M$67,MATCH($S514,$B$5:$B$67,0))</f>
        <v>67.54</v>
      </c>
      <c r="X514" s="25">
        <f t="array" ref="X514">INDEX(N$5:N$67,MATCH($S514,$B$5:$B$67,0))</f>
        <v>69.97</v>
      </c>
      <c r="Y514" s="25">
        <f t="shared" si="559"/>
        <v>1500</v>
      </c>
      <c r="Z514" s="25">
        <f t="shared" si="560"/>
        <v>366</v>
      </c>
      <c r="AA514" s="25">
        <f t="shared" si="561"/>
        <v>270</v>
      </c>
      <c r="AB514" s="25">
        <f t="shared" si="562"/>
        <v>280</v>
      </c>
    </row>
    <row r="515" spans="1:28">
      <c r="A515" s="53">
        <v>1008017</v>
      </c>
      <c r="B515" s="49" t="s">
        <v>332</v>
      </c>
      <c r="C515" s="25">
        <f t="shared" si="554"/>
        <v>17</v>
      </c>
      <c r="D515" s="25">
        <f t="array" ref="D515">INDEX(C$5:C$67,MATCH($B515,$B$5:$B$67,0))</f>
        <v>4500</v>
      </c>
      <c r="E515" s="25">
        <f t="array" ref="E515">INDEX(D$5:D$67,MATCH($B515,$B$5:$B$67,0))</f>
        <v>360</v>
      </c>
      <c r="F515" s="25">
        <f t="array" ref="F515">INDEX(E$5:E$67,MATCH($B515,$B$5:$B$67,0))</f>
        <v>1646</v>
      </c>
      <c r="G515" s="25">
        <f t="array" ref="G515">INDEX(F$5:F$67,MATCH($B515,$B$5:$B$67,0))</f>
        <v>131.68</v>
      </c>
      <c r="H515" s="25">
        <f t="array" ref="H515">INDEX(G$5:G$66,MATCH($B515,$B$5:$B$67,0))</f>
        <v>1646</v>
      </c>
      <c r="I515" s="25">
        <f t="array" ref="I515">INDEX(H$5:H$67,MATCH($B515,$B$5:$B$67,0))</f>
        <v>131.68</v>
      </c>
      <c r="J515" s="25">
        <f t="array" ref="J515">INDEX(I$5:I$67,MATCH($B515,$B$5:$B$67,0))</f>
        <v>1000</v>
      </c>
      <c r="K515" s="25">
        <f t="array" ref="K515">INDEX(J$5:J$67,MATCH($B515,$B$5:$B$67,0))</f>
        <v>80</v>
      </c>
      <c r="L515" s="25">
        <f t="shared" si="555"/>
        <v>10620</v>
      </c>
      <c r="M515" s="25">
        <f t="shared" si="556"/>
        <v>3885</v>
      </c>
      <c r="N515" s="25">
        <f t="shared" si="557"/>
        <v>3885</v>
      </c>
      <c r="O515" s="25">
        <f t="shared" si="558"/>
        <v>2360</v>
      </c>
      <c r="R515" s="50">
        <f t="array" ref="R515">INDEX($B$46:$B$68,MATCH(S515,$C$46:$C$68,0))*1000+T515</f>
        <v>1020005</v>
      </c>
      <c r="S515" s="51" t="s">
        <v>350</v>
      </c>
      <c r="T515" s="29">
        <f t="shared" si="563"/>
        <v>5</v>
      </c>
      <c r="U515" s="25">
        <f t="array" ref="U515">INDEX(K$5:K$67,MATCH($S515,$B$5:$B$67,0))</f>
        <v>374.88</v>
      </c>
      <c r="V515" s="25">
        <f t="array" ref="V515">INDEX(L$5:L$67,MATCH($S515,$B$5:$B$67,0))</f>
        <v>91.39</v>
      </c>
      <c r="W515" s="25">
        <f t="array" ref="W515">INDEX(M$5:M$67,MATCH($S515,$B$5:$B$67,0))</f>
        <v>67.54</v>
      </c>
      <c r="X515" s="25">
        <f t="array" ref="X515">INDEX(N$5:N$67,MATCH($S515,$B$5:$B$67,0))</f>
        <v>69.97</v>
      </c>
      <c r="Y515" s="25">
        <f t="shared" si="559"/>
        <v>1874</v>
      </c>
      <c r="Z515" s="25">
        <f t="shared" si="560"/>
        <v>457</v>
      </c>
      <c r="AA515" s="25">
        <f t="shared" si="561"/>
        <v>338</v>
      </c>
      <c r="AB515" s="25">
        <f t="shared" si="562"/>
        <v>350</v>
      </c>
    </row>
    <row r="516" spans="1:28">
      <c r="A516" s="53">
        <v>1008018</v>
      </c>
      <c r="B516" s="49" t="s">
        <v>332</v>
      </c>
      <c r="C516" s="25">
        <f t="shared" si="554"/>
        <v>18</v>
      </c>
      <c r="D516" s="25">
        <f t="array" ref="D516">INDEX(C$5:C$67,MATCH($B516,$B$5:$B$67,0))</f>
        <v>4500</v>
      </c>
      <c r="E516" s="25">
        <f t="array" ref="E516">INDEX(D$5:D$67,MATCH($B516,$B$5:$B$67,0))</f>
        <v>360</v>
      </c>
      <c r="F516" s="25">
        <f t="array" ref="F516">INDEX(E$5:E$67,MATCH($B516,$B$5:$B$67,0))</f>
        <v>1646</v>
      </c>
      <c r="G516" s="25">
        <f t="array" ref="G516">INDEX(F$5:F$67,MATCH($B516,$B$5:$B$67,0))</f>
        <v>131.68</v>
      </c>
      <c r="H516" s="25">
        <f t="array" ref="H516">INDEX(G$5:G$66,MATCH($B516,$B$5:$B$67,0))</f>
        <v>1646</v>
      </c>
      <c r="I516" s="25">
        <f t="array" ref="I516">INDEX(H$5:H$67,MATCH($B516,$B$5:$B$67,0))</f>
        <v>131.68</v>
      </c>
      <c r="J516" s="25">
        <f t="array" ref="J516">INDEX(I$5:I$67,MATCH($B516,$B$5:$B$67,0))</f>
        <v>1000</v>
      </c>
      <c r="K516" s="25">
        <f t="array" ref="K516">INDEX(J$5:J$67,MATCH($B516,$B$5:$B$67,0))</f>
        <v>80</v>
      </c>
      <c r="L516" s="25">
        <f t="shared" si="555"/>
        <v>10980</v>
      </c>
      <c r="M516" s="25">
        <f t="shared" si="556"/>
        <v>4016</v>
      </c>
      <c r="N516" s="25">
        <f t="shared" si="557"/>
        <v>4016</v>
      </c>
      <c r="O516" s="25">
        <f t="shared" si="558"/>
        <v>2440</v>
      </c>
      <c r="R516" s="50">
        <f t="array" ref="R516">INDEX($B$46:$B$68,MATCH(S516,$C$46:$C$68,0))*1000+T516</f>
        <v>1020006</v>
      </c>
      <c r="S516" s="51" t="s">
        <v>350</v>
      </c>
      <c r="T516" s="29">
        <f t="shared" si="563"/>
        <v>6</v>
      </c>
      <c r="U516" s="25">
        <f t="array" ref="U516">INDEX(K$5:K$67,MATCH($S516,$B$5:$B$67,0))</f>
        <v>374.88</v>
      </c>
      <c r="V516" s="25">
        <f t="array" ref="V516">INDEX(L$5:L$67,MATCH($S516,$B$5:$B$67,0))</f>
        <v>91.39</v>
      </c>
      <c r="W516" s="25">
        <f t="array" ref="W516">INDEX(M$5:M$67,MATCH($S516,$B$5:$B$67,0))</f>
        <v>67.54</v>
      </c>
      <c r="X516" s="25">
        <f t="array" ref="X516">INDEX(N$5:N$67,MATCH($S516,$B$5:$B$67,0))</f>
        <v>69.97</v>
      </c>
      <c r="Y516" s="25">
        <f t="shared" si="559"/>
        <v>2249</v>
      </c>
      <c r="Z516" s="25">
        <f t="shared" si="560"/>
        <v>548</v>
      </c>
      <c r="AA516" s="25">
        <f t="shared" si="561"/>
        <v>405</v>
      </c>
      <c r="AB516" s="25">
        <f t="shared" si="562"/>
        <v>420</v>
      </c>
    </row>
    <row r="517" spans="1:28">
      <c r="A517" s="53">
        <v>1008019</v>
      </c>
      <c r="B517" s="49" t="s">
        <v>332</v>
      </c>
      <c r="C517" s="25">
        <f t="shared" si="554"/>
        <v>19</v>
      </c>
      <c r="D517" s="25">
        <f t="array" ref="D517">INDEX(C$5:C$67,MATCH($B517,$B$5:$B$67,0))</f>
        <v>4500</v>
      </c>
      <c r="E517" s="25">
        <f t="array" ref="E517">INDEX(D$5:D$67,MATCH($B517,$B$5:$B$67,0))</f>
        <v>360</v>
      </c>
      <c r="F517" s="25">
        <f t="array" ref="F517">INDEX(E$5:E$67,MATCH($B517,$B$5:$B$67,0))</f>
        <v>1646</v>
      </c>
      <c r="G517" s="25">
        <f t="array" ref="G517">INDEX(F$5:F$67,MATCH($B517,$B$5:$B$67,0))</f>
        <v>131.68</v>
      </c>
      <c r="H517" s="25">
        <f t="array" ref="H517">INDEX(G$5:G$66,MATCH($B517,$B$5:$B$67,0))</f>
        <v>1646</v>
      </c>
      <c r="I517" s="25">
        <f t="array" ref="I517">INDEX(H$5:H$67,MATCH($B517,$B$5:$B$67,0))</f>
        <v>131.68</v>
      </c>
      <c r="J517" s="25">
        <f t="array" ref="J517">INDEX(I$5:I$67,MATCH($B517,$B$5:$B$67,0))</f>
        <v>1000</v>
      </c>
      <c r="K517" s="25">
        <f t="array" ref="K517">INDEX(J$5:J$67,MATCH($B517,$B$5:$B$67,0))</f>
        <v>80</v>
      </c>
      <c r="L517" s="25">
        <f t="shared" si="555"/>
        <v>11340</v>
      </c>
      <c r="M517" s="25">
        <f t="shared" si="556"/>
        <v>4148</v>
      </c>
      <c r="N517" s="25">
        <f t="shared" si="557"/>
        <v>4148</v>
      </c>
      <c r="O517" s="25">
        <f t="shared" si="558"/>
        <v>2520</v>
      </c>
      <c r="R517" s="50">
        <f t="array" ref="R517">INDEX($B$46:$B$68,MATCH(S517,$C$46:$C$68,0))*1000+T517</f>
        <v>1020007</v>
      </c>
      <c r="S517" s="51" t="s">
        <v>350</v>
      </c>
      <c r="T517" s="29">
        <f t="shared" si="563"/>
        <v>7</v>
      </c>
      <c r="U517" s="25">
        <f t="array" ref="U517">INDEX(K$5:K$67,MATCH($S517,$B$5:$B$67,0))</f>
        <v>374.88</v>
      </c>
      <c r="V517" s="25">
        <f t="array" ref="V517">INDEX(L$5:L$67,MATCH($S517,$B$5:$B$67,0))</f>
        <v>91.39</v>
      </c>
      <c r="W517" s="25">
        <f t="array" ref="W517">INDEX(M$5:M$67,MATCH($S517,$B$5:$B$67,0))</f>
        <v>67.54</v>
      </c>
      <c r="X517" s="25">
        <f t="array" ref="X517">INDEX(N$5:N$67,MATCH($S517,$B$5:$B$67,0))</f>
        <v>69.97</v>
      </c>
      <c r="Y517" s="25">
        <f t="shared" si="559"/>
        <v>2624</v>
      </c>
      <c r="Z517" s="25">
        <f t="shared" si="560"/>
        <v>640</v>
      </c>
      <c r="AA517" s="25">
        <f t="shared" si="561"/>
        <v>473</v>
      </c>
      <c r="AB517" s="25">
        <f t="shared" si="562"/>
        <v>490</v>
      </c>
    </row>
    <row r="518" spans="1:28">
      <c r="A518" s="53">
        <v>1008020</v>
      </c>
      <c r="B518" s="49" t="s">
        <v>332</v>
      </c>
      <c r="C518" s="25">
        <f t="shared" si="554"/>
        <v>20</v>
      </c>
      <c r="D518" s="25">
        <f t="array" ref="D518">INDEX(C$5:C$67,MATCH($B518,$B$5:$B$67,0))</f>
        <v>4500</v>
      </c>
      <c r="E518" s="25">
        <f t="array" ref="E518">INDEX(D$5:D$67,MATCH($B518,$B$5:$B$67,0))</f>
        <v>360</v>
      </c>
      <c r="F518" s="25">
        <f t="array" ref="F518">INDEX(E$5:E$67,MATCH($B518,$B$5:$B$67,0))</f>
        <v>1646</v>
      </c>
      <c r="G518" s="25">
        <f t="array" ref="G518">INDEX(F$5:F$67,MATCH($B518,$B$5:$B$67,0))</f>
        <v>131.68</v>
      </c>
      <c r="H518" s="25">
        <f t="array" ref="H518">INDEX(G$5:G$66,MATCH($B518,$B$5:$B$67,0))</f>
        <v>1646</v>
      </c>
      <c r="I518" s="25">
        <f t="array" ref="I518">INDEX(H$5:H$67,MATCH($B518,$B$5:$B$67,0))</f>
        <v>131.68</v>
      </c>
      <c r="J518" s="25">
        <f t="array" ref="J518">INDEX(I$5:I$67,MATCH($B518,$B$5:$B$67,0))</f>
        <v>1000</v>
      </c>
      <c r="K518" s="25">
        <f t="array" ref="K518">INDEX(J$5:J$67,MATCH($B518,$B$5:$B$67,0))</f>
        <v>80</v>
      </c>
      <c r="L518" s="25">
        <f t="shared" si="555"/>
        <v>11700</v>
      </c>
      <c r="M518" s="25">
        <f t="shared" si="556"/>
        <v>4280</v>
      </c>
      <c r="N518" s="25">
        <f t="shared" si="557"/>
        <v>4280</v>
      </c>
      <c r="O518" s="25">
        <f t="shared" si="558"/>
        <v>2600</v>
      </c>
      <c r="R518" s="50">
        <f t="array" ref="R518">INDEX($B$46:$B$68,MATCH(S518,$C$46:$C$68,0))*1000+T518</f>
        <v>1020008</v>
      </c>
      <c r="S518" s="51" t="s">
        <v>350</v>
      </c>
      <c r="T518" s="29">
        <f t="shared" si="563"/>
        <v>8</v>
      </c>
      <c r="U518" s="25">
        <f t="array" ref="U518">INDEX(K$5:K$67,MATCH($S518,$B$5:$B$67,0))</f>
        <v>374.88</v>
      </c>
      <c r="V518" s="25">
        <f t="array" ref="V518">INDEX(L$5:L$67,MATCH($S518,$B$5:$B$67,0))</f>
        <v>91.39</v>
      </c>
      <c r="W518" s="25">
        <f t="array" ref="W518">INDEX(M$5:M$67,MATCH($S518,$B$5:$B$67,0))</f>
        <v>67.54</v>
      </c>
      <c r="X518" s="25">
        <f t="array" ref="X518">INDEX(N$5:N$67,MATCH($S518,$B$5:$B$67,0))</f>
        <v>69.97</v>
      </c>
      <c r="Y518" s="25">
        <f t="shared" si="559"/>
        <v>2999</v>
      </c>
      <c r="Z518" s="25">
        <f t="shared" si="560"/>
        <v>731</v>
      </c>
      <c r="AA518" s="25">
        <f t="shared" si="561"/>
        <v>540</v>
      </c>
      <c r="AB518" s="25">
        <f t="shared" si="562"/>
        <v>560</v>
      </c>
    </row>
    <row r="519" spans="1:28">
      <c r="A519" s="53">
        <v>1008021</v>
      </c>
      <c r="B519" s="49" t="s">
        <v>332</v>
      </c>
      <c r="C519" s="25">
        <f t="shared" si="554"/>
        <v>21</v>
      </c>
      <c r="D519" s="25">
        <f t="array" ref="D519">INDEX(C$5:C$67,MATCH($B519,$B$5:$B$67,0))</f>
        <v>4500</v>
      </c>
      <c r="E519" s="25">
        <f t="array" ref="E519">INDEX(D$5:D$67,MATCH($B519,$B$5:$B$67,0))</f>
        <v>360</v>
      </c>
      <c r="F519" s="25">
        <f t="array" ref="F519">INDEX(E$5:E$67,MATCH($B519,$B$5:$B$67,0))</f>
        <v>1646</v>
      </c>
      <c r="G519" s="25">
        <f t="array" ref="G519">INDEX(F$5:F$67,MATCH($B519,$B$5:$B$67,0))</f>
        <v>131.68</v>
      </c>
      <c r="H519" s="25">
        <f t="array" ref="H519">INDEX(G$5:G$66,MATCH($B519,$B$5:$B$67,0))</f>
        <v>1646</v>
      </c>
      <c r="I519" s="25">
        <f t="array" ref="I519">INDEX(H$5:H$67,MATCH($B519,$B$5:$B$67,0))</f>
        <v>131.68</v>
      </c>
      <c r="J519" s="25">
        <f t="array" ref="J519">INDEX(I$5:I$67,MATCH($B519,$B$5:$B$67,0))</f>
        <v>1000</v>
      </c>
      <c r="K519" s="25">
        <f t="array" ref="K519">INDEX(J$5:J$67,MATCH($B519,$B$5:$B$67,0))</f>
        <v>80</v>
      </c>
      <c r="L519" s="25">
        <f t="shared" si="555"/>
        <v>12060</v>
      </c>
      <c r="M519" s="25">
        <f t="shared" si="556"/>
        <v>4411</v>
      </c>
      <c r="N519" s="25">
        <f t="shared" si="557"/>
        <v>4411</v>
      </c>
      <c r="O519" s="25">
        <f t="shared" si="558"/>
        <v>2680</v>
      </c>
      <c r="R519" s="50">
        <f t="array" ref="R519">INDEX($B$46:$B$68,MATCH(S519,$C$46:$C$68,0))*1000+T519</f>
        <v>1020009</v>
      </c>
      <c r="S519" s="51" t="s">
        <v>350</v>
      </c>
      <c r="T519" s="29">
        <f t="shared" si="563"/>
        <v>9</v>
      </c>
      <c r="U519" s="25">
        <f t="array" ref="U519">INDEX(K$5:K$67,MATCH($S519,$B$5:$B$67,0))</f>
        <v>374.88</v>
      </c>
      <c r="V519" s="25">
        <f t="array" ref="V519">INDEX(L$5:L$67,MATCH($S519,$B$5:$B$67,0))</f>
        <v>91.39</v>
      </c>
      <c r="W519" s="25">
        <f t="array" ref="W519">INDEX(M$5:M$67,MATCH($S519,$B$5:$B$67,0))</f>
        <v>67.54</v>
      </c>
      <c r="X519" s="25">
        <f t="array" ref="X519">INDEX(N$5:N$67,MATCH($S519,$B$5:$B$67,0))</f>
        <v>69.97</v>
      </c>
      <c r="Y519" s="25">
        <f t="shared" si="559"/>
        <v>3374</v>
      </c>
      <c r="Z519" s="25">
        <f t="shared" si="560"/>
        <v>823</v>
      </c>
      <c r="AA519" s="25">
        <f t="shared" si="561"/>
        <v>608</v>
      </c>
      <c r="AB519" s="25">
        <f t="shared" si="562"/>
        <v>630</v>
      </c>
    </row>
    <row r="520" spans="1:28">
      <c r="A520" s="53">
        <v>1008022</v>
      </c>
      <c r="B520" s="49" t="s">
        <v>332</v>
      </c>
      <c r="C520" s="25">
        <f t="shared" si="554"/>
        <v>22</v>
      </c>
      <c r="D520" s="25">
        <f t="array" ref="D520">INDEX(C$5:C$67,MATCH($B520,$B$5:$B$67,0))</f>
        <v>4500</v>
      </c>
      <c r="E520" s="25">
        <f t="array" ref="E520">INDEX(D$5:D$67,MATCH($B520,$B$5:$B$67,0))</f>
        <v>360</v>
      </c>
      <c r="F520" s="25">
        <f t="array" ref="F520">INDEX(E$5:E$67,MATCH($B520,$B$5:$B$67,0))</f>
        <v>1646</v>
      </c>
      <c r="G520" s="25">
        <f t="array" ref="G520">INDEX(F$5:F$67,MATCH($B520,$B$5:$B$67,0))</f>
        <v>131.68</v>
      </c>
      <c r="H520" s="25">
        <f t="array" ref="H520">INDEX(G$5:G$66,MATCH($B520,$B$5:$B$67,0))</f>
        <v>1646</v>
      </c>
      <c r="I520" s="25">
        <f t="array" ref="I520">INDEX(H$5:H$67,MATCH($B520,$B$5:$B$67,0))</f>
        <v>131.68</v>
      </c>
      <c r="J520" s="25">
        <f t="array" ref="J520">INDEX(I$5:I$67,MATCH($B520,$B$5:$B$67,0))</f>
        <v>1000</v>
      </c>
      <c r="K520" s="25">
        <f t="array" ref="K520">INDEX(J$5:J$67,MATCH($B520,$B$5:$B$67,0))</f>
        <v>80</v>
      </c>
      <c r="L520" s="25">
        <f t="shared" si="555"/>
        <v>12420</v>
      </c>
      <c r="M520" s="25">
        <f t="shared" si="556"/>
        <v>4543</v>
      </c>
      <c r="N520" s="25">
        <f t="shared" si="557"/>
        <v>4543</v>
      </c>
      <c r="O520" s="25">
        <f t="shared" si="558"/>
        <v>2760</v>
      </c>
      <c r="R520" s="50">
        <f t="array" ref="R520">INDEX($B$46:$B$68,MATCH(S520,$C$46:$C$68,0))*1000+T520</f>
        <v>1020010</v>
      </c>
      <c r="S520" s="51" t="s">
        <v>350</v>
      </c>
      <c r="T520" s="29">
        <f t="shared" si="563"/>
        <v>10</v>
      </c>
      <c r="U520" s="25">
        <f t="array" ref="U520">INDEX(K$5:K$67,MATCH($S520,$B$5:$B$67,0))</f>
        <v>374.88</v>
      </c>
      <c r="V520" s="25">
        <f t="array" ref="V520">INDEX(L$5:L$67,MATCH($S520,$B$5:$B$67,0))</f>
        <v>91.39</v>
      </c>
      <c r="W520" s="25">
        <f t="array" ref="W520">INDEX(M$5:M$67,MATCH($S520,$B$5:$B$67,0))</f>
        <v>67.54</v>
      </c>
      <c r="X520" s="25">
        <f t="array" ref="X520">INDEX(N$5:N$67,MATCH($S520,$B$5:$B$67,0))</f>
        <v>69.97</v>
      </c>
      <c r="Y520" s="25">
        <f t="shared" si="559"/>
        <v>3749</v>
      </c>
      <c r="Z520" s="25">
        <f t="shared" si="560"/>
        <v>914</v>
      </c>
      <c r="AA520" s="25">
        <f t="shared" si="561"/>
        <v>675</v>
      </c>
      <c r="AB520" s="25">
        <f t="shared" si="562"/>
        <v>700</v>
      </c>
    </row>
    <row r="521" spans="1:28">
      <c r="A521" s="53">
        <v>1008023</v>
      </c>
      <c r="B521" s="49" t="s">
        <v>332</v>
      </c>
      <c r="C521" s="25">
        <f t="shared" si="554"/>
        <v>23</v>
      </c>
      <c r="D521" s="25">
        <f t="array" ref="D521">INDEX(C$5:C$67,MATCH($B521,$B$5:$B$67,0))</f>
        <v>4500</v>
      </c>
      <c r="E521" s="25">
        <f t="array" ref="E521">INDEX(D$5:D$67,MATCH($B521,$B$5:$B$67,0))</f>
        <v>360</v>
      </c>
      <c r="F521" s="25">
        <f t="array" ref="F521">INDEX(E$5:E$67,MATCH($B521,$B$5:$B$67,0))</f>
        <v>1646</v>
      </c>
      <c r="G521" s="25">
        <f t="array" ref="G521">INDEX(F$5:F$67,MATCH($B521,$B$5:$B$67,0))</f>
        <v>131.68</v>
      </c>
      <c r="H521" s="25">
        <f t="array" ref="H521">INDEX(G$5:G$66,MATCH($B521,$B$5:$B$67,0))</f>
        <v>1646</v>
      </c>
      <c r="I521" s="25">
        <f t="array" ref="I521">INDEX(H$5:H$67,MATCH($B521,$B$5:$B$67,0))</f>
        <v>131.68</v>
      </c>
      <c r="J521" s="25">
        <f t="array" ref="J521">INDEX(I$5:I$67,MATCH($B521,$B$5:$B$67,0))</f>
        <v>1000</v>
      </c>
      <c r="K521" s="25">
        <f t="array" ref="K521">INDEX(J$5:J$67,MATCH($B521,$B$5:$B$67,0))</f>
        <v>80</v>
      </c>
      <c r="L521" s="25">
        <f t="shared" si="555"/>
        <v>12780</v>
      </c>
      <c r="M521" s="25">
        <f t="shared" si="556"/>
        <v>4675</v>
      </c>
      <c r="N521" s="25">
        <f t="shared" si="557"/>
        <v>4675</v>
      </c>
      <c r="O521" s="25">
        <f t="shared" si="558"/>
        <v>2840</v>
      </c>
      <c r="R521" s="50">
        <f t="array" ref="R521">INDEX($B$46:$B$68,MATCH(S521,$C$46:$C$68,0))*1000+T521</f>
        <v>1020011</v>
      </c>
      <c r="S521" s="51" t="s">
        <v>350</v>
      </c>
      <c r="T521" s="29">
        <f t="shared" si="563"/>
        <v>11</v>
      </c>
      <c r="U521" s="25">
        <f t="array" ref="U521">INDEX(K$5:K$67,MATCH($S521,$B$5:$B$67,0))</f>
        <v>374.88</v>
      </c>
      <c r="V521" s="25">
        <f t="array" ref="V521">INDEX(L$5:L$67,MATCH($S521,$B$5:$B$67,0))</f>
        <v>91.39</v>
      </c>
      <c r="W521" s="25">
        <f t="array" ref="W521">INDEX(M$5:M$67,MATCH($S521,$B$5:$B$67,0))</f>
        <v>67.54</v>
      </c>
      <c r="X521" s="25">
        <f t="array" ref="X521">INDEX(N$5:N$67,MATCH($S521,$B$5:$B$67,0))</f>
        <v>69.97</v>
      </c>
      <c r="Y521" s="25">
        <f t="shared" si="559"/>
        <v>4124</v>
      </c>
      <c r="Z521" s="25">
        <f t="shared" si="560"/>
        <v>1005</v>
      </c>
      <c r="AA521" s="25">
        <f t="shared" si="561"/>
        <v>743</v>
      </c>
      <c r="AB521" s="25">
        <f t="shared" si="562"/>
        <v>770</v>
      </c>
    </row>
    <row r="522" spans="1:28">
      <c r="A522" s="53">
        <v>1008024</v>
      </c>
      <c r="B522" s="49" t="s">
        <v>332</v>
      </c>
      <c r="C522" s="25">
        <f t="shared" si="554"/>
        <v>24</v>
      </c>
      <c r="D522" s="25">
        <f t="array" ref="D522">INDEX(C$5:C$67,MATCH($B522,$B$5:$B$67,0))</f>
        <v>4500</v>
      </c>
      <c r="E522" s="25">
        <f t="array" ref="E522">INDEX(D$5:D$67,MATCH($B522,$B$5:$B$67,0))</f>
        <v>360</v>
      </c>
      <c r="F522" s="25">
        <f t="array" ref="F522">INDEX(E$5:E$67,MATCH($B522,$B$5:$B$67,0))</f>
        <v>1646</v>
      </c>
      <c r="G522" s="25">
        <f t="array" ref="G522">INDEX(F$5:F$67,MATCH($B522,$B$5:$B$67,0))</f>
        <v>131.68</v>
      </c>
      <c r="H522" s="25">
        <f t="array" ref="H522">INDEX(G$5:G$66,MATCH($B522,$B$5:$B$67,0))</f>
        <v>1646</v>
      </c>
      <c r="I522" s="25">
        <f t="array" ref="I522">INDEX(H$5:H$67,MATCH($B522,$B$5:$B$67,0))</f>
        <v>131.68</v>
      </c>
      <c r="J522" s="25">
        <f t="array" ref="J522">INDEX(I$5:I$67,MATCH($B522,$B$5:$B$67,0))</f>
        <v>1000</v>
      </c>
      <c r="K522" s="25">
        <f t="array" ref="K522">INDEX(J$5:J$67,MATCH($B522,$B$5:$B$67,0))</f>
        <v>80</v>
      </c>
      <c r="L522" s="25">
        <f t="shared" si="555"/>
        <v>13140</v>
      </c>
      <c r="M522" s="25">
        <f t="shared" si="556"/>
        <v>4806</v>
      </c>
      <c r="N522" s="25">
        <f t="shared" si="557"/>
        <v>4806</v>
      </c>
      <c r="O522" s="25">
        <f t="shared" si="558"/>
        <v>2920</v>
      </c>
      <c r="R522" s="50">
        <f t="array" ref="R522">INDEX($B$46:$B$68,MATCH(S522,$C$46:$C$68,0))*1000+T522</f>
        <v>1020012</v>
      </c>
      <c r="S522" s="51" t="s">
        <v>350</v>
      </c>
      <c r="T522" s="29">
        <f t="shared" si="563"/>
        <v>12</v>
      </c>
      <c r="U522" s="25">
        <f t="array" ref="U522">INDEX(K$5:K$67,MATCH($S522,$B$5:$B$67,0))</f>
        <v>374.88</v>
      </c>
      <c r="V522" s="25">
        <f t="array" ref="V522">INDEX(L$5:L$67,MATCH($S522,$B$5:$B$67,0))</f>
        <v>91.39</v>
      </c>
      <c r="W522" s="25">
        <f t="array" ref="W522">INDEX(M$5:M$67,MATCH($S522,$B$5:$B$67,0))</f>
        <v>67.54</v>
      </c>
      <c r="X522" s="25">
        <f t="array" ref="X522">INDEX(N$5:N$67,MATCH($S522,$B$5:$B$67,0))</f>
        <v>69.97</v>
      </c>
      <c r="Y522" s="25">
        <f t="shared" si="559"/>
        <v>4499</v>
      </c>
      <c r="Z522" s="25">
        <f t="shared" si="560"/>
        <v>1097</v>
      </c>
      <c r="AA522" s="25">
        <f t="shared" si="561"/>
        <v>810</v>
      </c>
      <c r="AB522" s="25">
        <f t="shared" si="562"/>
        <v>840</v>
      </c>
    </row>
    <row r="523" spans="1:28">
      <c r="A523" s="53">
        <v>1008025</v>
      </c>
      <c r="B523" s="49" t="s">
        <v>332</v>
      </c>
      <c r="C523" s="25">
        <f t="shared" ref="C523:C586" si="564">C463</f>
        <v>25</v>
      </c>
      <c r="D523" s="25">
        <f t="array" ref="D523">INDEX(C$5:C$67,MATCH($B523,$B$5:$B$67,0))</f>
        <v>4500</v>
      </c>
      <c r="E523" s="25">
        <f t="array" ref="E523">INDEX(D$5:D$67,MATCH($B523,$B$5:$B$67,0))</f>
        <v>360</v>
      </c>
      <c r="F523" s="25">
        <f t="array" ref="F523">INDEX(E$5:E$67,MATCH($B523,$B$5:$B$67,0))</f>
        <v>1646</v>
      </c>
      <c r="G523" s="25">
        <f t="array" ref="G523">INDEX(F$5:F$67,MATCH($B523,$B$5:$B$67,0))</f>
        <v>131.68</v>
      </c>
      <c r="H523" s="25">
        <f t="array" ref="H523">INDEX(G$5:G$66,MATCH($B523,$B$5:$B$67,0))</f>
        <v>1646</v>
      </c>
      <c r="I523" s="25">
        <f t="array" ref="I523">INDEX(H$5:H$67,MATCH($B523,$B$5:$B$67,0))</f>
        <v>131.68</v>
      </c>
      <c r="J523" s="25">
        <f t="array" ref="J523">INDEX(I$5:I$67,MATCH($B523,$B$5:$B$67,0))</f>
        <v>1000</v>
      </c>
      <c r="K523" s="25">
        <f t="array" ref="K523">INDEX(J$5:J$67,MATCH($B523,$B$5:$B$67,0))</f>
        <v>80</v>
      </c>
      <c r="L523" s="25">
        <f t="shared" si="555"/>
        <v>13500</v>
      </c>
      <c r="M523" s="25">
        <f t="shared" si="556"/>
        <v>4938</v>
      </c>
      <c r="N523" s="25">
        <f t="shared" si="557"/>
        <v>4938</v>
      </c>
      <c r="O523" s="25">
        <f t="shared" si="558"/>
        <v>3000</v>
      </c>
      <c r="R523" s="50">
        <f t="array" ref="R523">INDEX($B$46:$B$68,MATCH(S523,$C$46:$C$68,0))*1000+T523</f>
        <v>1020013</v>
      </c>
      <c r="S523" s="51" t="s">
        <v>350</v>
      </c>
      <c r="T523" s="29">
        <f t="shared" si="563"/>
        <v>13</v>
      </c>
      <c r="U523" s="25">
        <f t="array" ref="U523">INDEX(K$5:K$67,MATCH($S523,$B$5:$B$67,0))</f>
        <v>374.88</v>
      </c>
      <c r="V523" s="25">
        <f t="array" ref="V523">INDEX(L$5:L$67,MATCH($S523,$B$5:$B$67,0))</f>
        <v>91.39</v>
      </c>
      <c r="W523" s="25">
        <f t="array" ref="W523">INDEX(M$5:M$67,MATCH($S523,$B$5:$B$67,0))</f>
        <v>67.54</v>
      </c>
      <c r="X523" s="25">
        <f t="array" ref="X523">INDEX(N$5:N$67,MATCH($S523,$B$5:$B$67,0))</f>
        <v>69.97</v>
      </c>
      <c r="Y523" s="25">
        <f t="shared" si="559"/>
        <v>4873</v>
      </c>
      <c r="Z523" s="25">
        <f t="shared" si="560"/>
        <v>1188</v>
      </c>
      <c r="AA523" s="25">
        <f t="shared" si="561"/>
        <v>878</v>
      </c>
      <c r="AB523" s="25">
        <f t="shared" si="562"/>
        <v>910</v>
      </c>
    </row>
    <row r="524" spans="1:28">
      <c r="A524" s="53">
        <v>1008026</v>
      </c>
      <c r="B524" s="49" t="s">
        <v>332</v>
      </c>
      <c r="C524" s="25">
        <f t="shared" si="564"/>
        <v>26</v>
      </c>
      <c r="D524" s="25">
        <f t="array" ref="D524">INDEX(C$5:C$67,MATCH($B524,$B$5:$B$67,0))</f>
        <v>4500</v>
      </c>
      <c r="E524" s="25">
        <f t="array" ref="E524">INDEX(D$5:D$67,MATCH($B524,$B$5:$B$67,0))</f>
        <v>360</v>
      </c>
      <c r="F524" s="25">
        <f t="array" ref="F524">INDEX(E$5:E$67,MATCH($B524,$B$5:$B$67,0))</f>
        <v>1646</v>
      </c>
      <c r="G524" s="25">
        <f t="array" ref="G524">INDEX(F$5:F$67,MATCH($B524,$B$5:$B$67,0))</f>
        <v>131.68</v>
      </c>
      <c r="H524" s="25">
        <f t="array" ref="H524">INDEX(G$5:G$66,MATCH($B524,$B$5:$B$67,0))</f>
        <v>1646</v>
      </c>
      <c r="I524" s="25">
        <f t="array" ref="I524">INDEX(H$5:H$67,MATCH($B524,$B$5:$B$67,0))</f>
        <v>131.68</v>
      </c>
      <c r="J524" s="25">
        <f t="array" ref="J524">INDEX(I$5:I$67,MATCH($B524,$B$5:$B$67,0))</f>
        <v>1000</v>
      </c>
      <c r="K524" s="25">
        <f t="array" ref="K524">INDEX(J$5:J$67,MATCH($B524,$B$5:$B$67,0))</f>
        <v>80</v>
      </c>
      <c r="L524" s="25">
        <f t="shared" si="555"/>
        <v>13860</v>
      </c>
      <c r="M524" s="25">
        <f t="shared" si="556"/>
        <v>5070</v>
      </c>
      <c r="N524" s="25">
        <f t="shared" si="557"/>
        <v>5070</v>
      </c>
      <c r="O524" s="25">
        <f t="shared" si="558"/>
        <v>3080</v>
      </c>
      <c r="R524" s="50">
        <f t="array" ref="R524">INDEX($B$46:$B$68,MATCH(S524,$C$46:$C$68,0))*1000+T524</f>
        <v>1020014</v>
      </c>
      <c r="S524" s="51" t="s">
        <v>350</v>
      </c>
      <c r="T524" s="29">
        <f t="shared" si="563"/>
        <v>14</v>
      </c>
      <c r="U524" s="25">
        <f t="array" ref="U524">INDEX(K$5:K$67,MATCH($S524,$B$5:$B$67,0))</f>
        <v>374.88</v>
      </c>
      <c r="V524" s="25">
        <f t="array" ref="V524">INDEX(L$5:L$67,MATCH($S524,$B$5:$B$67,0))</f>
        <v>91.39</v>
      </c>
      <c r="W524" s="25">
        <f t="array" ref="W524">INDEX(M$5:M$67,MATCH($S524,$B$5:$B$67,0))</f>
        <v>67.54</v>
      </c>
      <c r="X524" s="25">
        <f t="array" ref="X524">INDEX(N$5:N$67,MATCH($S524,$B$5:$B$67,0))</f>
        <v>69.97</v>
      </c>
      <c r="Y524" s="25">
        <f t="shared" si="559"/>
        <v>5248</v>
      </c>
      <c r="Z524" s="25">
        <f t="shared" si="560"/>
        <v>1279</v>
      </c>
      <c r="AA524" s="25">
        <f t="shared" si="561"/>
        <v>946</v>
      </c>
      <c r="AB524" s="25">
        <f t="shared" si="562"/>
        <v>980</v>
      </c>
    </row>
    <row r="525" spans="1:28">
      <c r="A525" s="53">
        <v>1008027</v>
      </c>
      <c r="B525" s="49" t="s">
        <v>332</v>
      </c>
      <c r="C525" s="25">
        <f t="shared" si="564"/>
        <v>27</v>
      </c>
      <c r="D525" s="25">
        <f t="array" ref="D525">INDEX(C$5:C$67,MATCH($B525,$B$5:$B$67,0))</f>
        <v>4500</v>
      </c>
      <c r="E525" s="25">
        <f t="array" ref="E525">INDEX(D$5:D$67,MATCH($B525,$B$5:$B$67,0))</f>
        <v>360</v>
      </c>
      <c r="F525" s="25">
        <f t="array" ref="F525">INDEX(E$5:E$67,MATCH($B525,$B$5:$B$67,0))</f>
        <v>1646</v>
      </c>
      <c r="G525" s="25">
        <f t="array" ref="G525">INDEX(F$5:F$67,MATCH($B525,$B$5:$B$67,0))</f>
        <v>131.68</v>
      </c>
      <c r="H525" s="25">
        <f t="array" ref="H525">INDEX(G$5:G$66,MATCH($B525,$B$5:$B$67,0))</f>
        <v>1646</v>
      </c>
      <c r="I525" s="25">
        <f t="array" ref="I525">INDEX(H$5:H$67,MATCH($B525,$B$5:$B$67,0))</f>
        <v>131.68</v>
      </c>
      <c r="J525" s="25">
        <f t="array" ref="J525">INDEX(I$5:I$67,MATCH($B525,$B$5:$B$67,0))</f>
        <v>1000</v>
      </c>
      <c r="K525" s="25">
        <f t="array" ref="K525">INDEX(J$5:J$67,MATCH($B525,$B$5:$B$67,0))</f>
        <v>80</v>
      </c>
      <c r="L525" s="25">
        <f t="shared" si="555"/>
        <v>14220</v>
      </c>
      <c r="M525" s="25">
        <f t="shared" si="556"/>
        <v>5201</v>
      </c>
      <c r="N525" s="25">
        <f t="shared" si="557"/>
        <v>5201</v>
      </c>
      <c r="O525" s="25">
        <f t="shared" si="558"/>
        <v>3160</v>
      </c>
      <c r="R525" s="50">
        <f t="array" ref="R525">INDEX($B$46:$B$68,MATCH(S525,$C$46:$C$68,0))*1000+T525</f>
        <v>1020015</v>
      </c>
      <c r="S525" s="51" t="s">
        <v>350</v>
      </c>
      <c r="T525" s="29">
        <f t="shared" si="563"/>
        <v>15</v>
      </c>
      <c r="U525" s="25">
        <f t="array" ref="U525">INDEX(K$5:K$67,MATCH($S525,$B$5:$B$67,0))</f>
        <v>374.88</v>
      </c>
      <c r="V525" s="25">
        <f t="array" ref="V525">INDEX(L$5:L$67,MATCH($S525,$B$5:$B$67,0))</f>
        <v>91.39</v>
      </c>
      <c r="W525" s="25">
        <f t="array" ref="W525">INDEX(M$5:M$67,MATCH($S525,$B$5:$B$67,0))</f>
        <v>67.54</v>
      </c>
      <c r="X525" s="25">
        <f t="array" ref="X525">INDEX(N$5:N$67,MATCH($S525,$B$5:$B$67,0))</f>
        <v>69.97</v>
      </c>
      <c r="Y525" s="25">
        <f t="shared" si="559"/>
        <v>5623</v>
      </c>
      <c r="Z525" s="25">
        <f t="shared" si="560"/>
        <v>1371</v>
      </c>
      <c r="AA525" s="25">
        <f t="shared" si="561"/>
        <v>1013</v>
      </c>
      <c r="AB525" s="25">
        <f t="shared" si="562"/>
        <v>1050</v>
      </c>
    </row>
    <row r="526" spans="1:28">
      <c r="A526" s="53">
        <v>1008028</v>
      </c>
      <c r="B526" s="49" t="s">
        <v>332</v>
      </c>
      <c r="C526" s="25">
        <f t="shared" si="564"/>
        <v>28</v>
      </c>
      <c r="D526" s="25">
        <f t="array" ref="D526">INDEX(C$5:C$67,MATCH($B526,$B$5:$B$67,0))</f>
        <v>4500</v>
      </c>
      <c r="E526" s="25">
        <f t="array" ref="E526">INDEX(D$5:D$67,MATCH($B526,$B$5:$B$67,0))</f>
        <v>360</v>
      </c>
      <c r="F526" s="25">
        <f t="array" ref="F526">INDEX(E$5:E$67,MATCH($B526,$B$5:$B$67,0))</f>
        <v>1646</v>
      </c>
      <c r="G526" s="25">
        <f t="array" ref="G526">INDEX(F$5:F$67,MATCH($B526,$B$5:$B$67,0))</f>
        <v>131.68</v>
      </c>
      <c r="H526" s="25">
        <f t="array" ref="H526">INDEX(G$5:G$66,MATCH($B526,$B$5:$B$67,0))</f>
        <v>1646</v>
      </c>
      <c r="I526" s="25">
        <f t="array" ref="I526">INDEX(H$5:H$67,MATCH($B526,$B$5:$B$67,0))</f>
        <v>131.68</v>
      </c>
      <c r="J526" s="25">
        <f t="array" ref="J526">INDEX(I$5:I$67,MATCH($B526,$B$5:$B$67,0))</f>
        <v>1000</v>
      </c>
      <c r="K526" s="25">
        <f t="array" ref="K526">INDEX(J$5:J$67,MATCH($B526,$B$5:$B$67,0))</f>
        <v>80</v>
      </c>
      <c r="L526" s="25">
        <f t="shared" si="555"/>
        <v>14580</v>
      </c>
      <c r="M526" s="25">
        <f t="shared" si="556"/>
        <v>5333</v>
      </c>
      <c r="N526" s="25">
        <f t="shared" si="557"/>
        <v>5333</v>
      </c>
      <c r="O526" s="25">
        <f t="shared" si="558"/>
        <v>3240</v>
      </c>
      <c r="R526" s="50">
        <f t="array" ref="R526">INDEX($B$46:$B$68,MATCH(S526,$C$46:$C$68,0))*1000+T526</f>
        <v>1020016</v>
      </c>
      <c r="S526" s="51" t="s">
        <v>350</v>
      </c>
      <c r="T526" s="29">
        <f t="shared" si="563"/>
        <v>16</v>
      </c>
      <c r="U526" s="25">
        <f t="array" ref="U526">INDEX(K$5:K$67,MATCH($S526,$B$5:$B$67,0))</f>
        <v>374.88</v>
      </c>
      <c r="V526" s="25">
        <f t="array" ref="V526">INDEX(L$5:L$67,MATCH($S526,$B$5:$B$67,0))</f>
        <v>91.39</v>
      </c>
      <c r="W526" s="25">
        <f t="array" ref="W526">INDEX(M$5:M$67,MATCH($S526,$B$5:$B$67,0))</f>
        <v>67.54</v>
      </c>
      <c r="X526" s="25">
        <f t="array" ref="X526">INDEX(N$5:N$67,MATCH($S526,$B$5:$B$67,0))</f>
        <v>69.97</v>
      </c>
      <c r="Y526" s="25">
        <f t="shared" si="559"/>
        <v>5998</v>
      </c>
      <c r="Z526" s="25">
        <f t="shared" si="560"/>
        <v>1462</v>
      </c>
      <c r="AA526" s="25">
        <f t="shared" si="561"/>
        <v>1081</v>
      </c>
      <c r="AB526" s="25">
        <f t="shared" si="562"/>
        <v>1120</v>
      </c>
    </row>
    <row r="527" spans="1:28">
      <c r="A527" s="53">
        <v>1008029</v>
      </c>
      <c r="B527" s="49" t="s">
        <v>332</v>
      </c>
      <c r="C527" s="25">
        <f t="shared" si="564"/>
        <v>29</v>
      </c>
      <c r="D527" s="25">
        <f t="array" ref="D527">INDEX(C$5:C$67,MATCH($B527,$B$5:$B$67,0))</f>
        <v>4500</v>
      </c>
      <c r="E527" s="25">
        <f t="array" ref="E527">INDEX(D$5:D$67,MATCH($B527,$B$5:$B$67,0))</f>
        <v>360</v>
      </c>
      <c r="F527" s="25">
        <f t="array" ref="F527">INDEX(E$5:E$67,MATCH($B527,$B$5:$B$67,0))</f>
        <v>1646</v>
      </c>
      <c r="G527" s="25">
        <f t="array" ref="G527">INDEX(F$5:F$67,MATCH($B527,$B$5:$B$67,0))</f>
        <v>131.68</v>
      </c>
      <c r="H527" s="25">
        <f t="array" ref="H527">INDEX(G$5:G$66,MATCH($B527,$B$5:$B$67,0))</f>
        <v>1646</v>
      </c>
      <c r="I527" s="25">
        <f t="array" ref="I527">INDEX(H$5:H$67,MATCH($B527,$B$5:$B$67,0))</f>
        <v>131.68</v>
      </c>
      <c r="J527" s="25">
        <f t="array" ref="J527">INDEX(I$5:I$67,MATCH($B527,$B$5:$B$67,0))</f>
        <v>1000</v>
      </c>
      <c r="K527" s="25">
        <f t="array" ref="K527">INDEX(J$5:J$67,MATCH($B527,$B$5:$B$67,0))</f>
        <v>80</v>
      </c>
      <c r="L527" s="25">
        <f t="shared" ref="L527:L590" si="565">ROUND(D527+E527*$C527,0)</f>
        <v>14940</v>
      </c>
      <c r="M527" s="25">
        <f t="shared" ref="M527:M590" si="566">ROUND(F527+G527*$C527,0)</f>
        <v>5465</v>
      </c>
      <c r="N527" s="25">
        <f t="shared" ref="N527:N590" si="567">ROUND(H527+I527*$C527,0)</f>
        <v>5465</v>
      </c>
      <c r="O527" s="25">
        <f t="shared" ref="O527:O590" si="568">ROUND(J527+K527*$C527,0)</f>
        <v>3320</v>
      </c>
      <c r="R527" s="50">
        <f t="array" ref="R527">INDEX($B$46:$B$68,MATCH(S527,$C$46:$C$68,0))*1000+T527</f>
        <v>1020017</v>
      </c>
      <c r="S527" s="51" t="s">
        <v>350</v>
      </c>
      <c r="T527" s="29">
        <f t="shared" si="563"/>
        <v>17</v>
      </c>
      <c r="U527" s="25">
        <f t="array" ref="U527">INDEX(K$5:K$67,MATCH($S527,$B$5:$B$67,0))</f>
        <v>374.88</v>
      </c>
      <c r="V527" s="25">
        <f t="array" ref="V527">INDEX(L$5:L$67,MATCH($S527,$B$5:$B$67,0))</f>
        <v>91.39</v>
      </c>
      <c r="W527" s="25">
        <f t="array" ref="W527">INDEX(M$5:M$67,MATCH($S527,$B$5:$B$67,0))</f>
        <v>67.54</v>
      </c>
      <c r="X527" s="25">
        <f t="array" ref="X527">INDEX(N$5:N$67,MATCH($S527,$B$5:$B$67,0))</f>
        <v>69.97</v>
      </c>
      <c r="Y527" s="25">
        <f t="shared" ref="Y527:Y590" si="569">ROUND($T527*U527,0)</f>
        <v>6373</v>
      </c>
      <c r="Z527" s="25">
        <f t="shared" ref="Z527:Z590" si="570">ROUND($T527*V527,0)</f>
        <v>1554</v>
      </c>
      <c r="AA527" s="25">
        <f t="shared" ref="AA527:AA590" si="571">ROUND($T527*W527,0)</f>
        <v>1148</v>
      </c>
      <c r="AB527" s="25">
        <f t="shared" ref="AB527:AB590" si="572">ROUND($T527*X527,0)</f>
        <v>1189</v>
      </c>
    </row>
    <row r="528" spans="1:28">
      <c r="A528" s="53">
        <v>1008030</v>
      </c>
      <c r="B528" s="49" t="s">
        <v>332</v>
      </c>
      <c r="C528" s="25">
        <f t="shared" si="564"/>
        <v>30</v>
      </c>
      <c r="D528" s="25">
        <f t="array" ref="D528">INDEX(C$5:C$67,MATCH($B528,$B$5:$B$67,0))</f>
        <v>4500</v>
      </c>
      <c r="E528" s="25">
        <f t="array" ref="E528">INDEX(D$5:D$67,MATCH($B528,$B$5:$B$67,0))</f>
        <v>360</v>
      </c>
      <c r="F528" s="25">
        <f t="array" ref="F528">INDEX(E$5:E$67,MATCH($B528,$B$5:$B$67,0))</f>
        <v>1646</v>
      </c>
      <c r="G528" s="25">
        <f t="array" ref="G528">INDEX(F$5:F$67,MATCH($B528,$B$5:$B$67,0))</f>
        <v>131.68</v>
      </c>
      <c r="H528" s="25">
        <f t="array" ref="H528">INDEX(G$5:G$66,MATCH($B528,$B$5:$B$67,0))</f>
        <v>1646</v>
      </c>
      <c r="I528" s="25">
        <f t="array" ref="I528">INDEX(H$5:H$67,MATCH($B528,$B$5:$B$67,0))</f>
        <v>131.68</v>
      </c>
      <c r="J528" s="25">
        <f t="array" ref="J528">INDEX(I$5:I$67,MATCH($B528,$B$5:$B$67,0))</f>
        <v>1000</v>
      </c>
      <c r="K528" s="25">
        <f t="array" ref="K528">INDEX(J$5:J$67,MATCH($B528,$B$5:$B$67,0))</f>
        <v>80</v>
      </c>
      <c r="L528" s="25">
        <f t="shared" si="565"/>
        <v>15300</v>
      </c>
      <c r="M528" s="25">
        <f t="shared" si="566"/>
        <v>5596</v>
      </c>
      <c r="N528" s="25">
        <f t="shared" si="567"/>
        <v>5596</v>
      </c>
      <c r="O528" s="25">
        <f t="shared" si="568"/>
        <v>3400</v>
      </c>
      <c r="R528" s="50">
        <f t="array" ref="R528">INDEX($B$46:$B$68,MATCH(S528,$C$46:$C$68,0))*1000+T528</f>
        <v>1020018</v>
      </c>
      <c r="S528" s="51" t="s">
        <v>350</v>
      </c>
      <c r="T528" s="29">
        <f t="shared" si="563"/>
        <v>18</v>
      </c>
      <c r="U528" s="25">
        <f t="array" ref="U528">INDEX(K$5:K$67,MATCH($S528,$B$5:$B$67,0))</f>
        <v>374.88</v>
      </c>
      <c r="V528" s="25">
        <f t="array" ref="V528">INDEX(L$5:L$67,MATCH($S528,$B$5:$B$67,0))</f>
        <v>91.39</v>
      </c>
      <c r="W528" s="25">
        <f t="array" ref="W528">INDEX(M$5:M$67,MATCH($S528,$B$5:$B$67,0))</f>
        <v>67.54</v>
      </c>
      <c r="X528" s="25">
        <f t="array" ref="X528">INDEX(N$5:N$67,MATCH($S528,$B$5:$B$67,0))</f>
        <v>69.97</v>
      </c>
      <c r="Y528" s="25">
        <f t="shared" si="569"/>
        <v>6748</v>
      </c>
      <c r="Z528" s="25">
        <f t="shared" si="570"/>
        <v>1645</v>
      </c>
      <c r="AA528" s="25">
        <f t="shared" si="571"/>
        <v>1216</v>
      </c>
      <c r="AB528" s="25">
        <f t="shared" si="572"/>
        <v>1259</v>
      </c>
    </row>
    <row r="529" spans="1:28">
      <c r="A529" s="53">
        <v>1008031</v>
      </c>
      <c r="B529" s="49" t="s">
        <v>332</v>
      </c>
      <c r="C529" s="25">
        <f t="shared" si="564"/>
        <v>31</v>
      </c>
      <c r="D529" s="25">
        <f t="array" ref="D529">INDEX(C$5:C$67,MATCH($B529,$B$5:$B$67,0))</f>
        <v>4500</v>
      </c>
      <c r="E529" s="25">
        <f t="array" ref="E529">INDEX(D$5:D$67,MATCH($B529,$B$5:$B$67,0))</f>
        <v>360</v>
      </c>
      <c r="F529" s="25">
        <f t="array" ref="F529">INDEX(E$5:E$67,MATCH($B529,$B$5:$B$67,0))</f>
        <v>1646</v>
      </c>
      <c r="G529" s="25">
        <f t="array" ref="G529">INDEX(F$5:F$67,MATCH($B529,$B$5:$B$67,0))</f>
        <v>131.68</v>
      </c>
      <c r="H529" s="25">
        <f t="array" ref="H529">INDEX(G$5:G$66,MATCH($B529,$B$5:$B$67,0))</f>
        <v>1646</v>
      </c>
      <c r="I529" s="25">
        <f t="array" ref="I529">INDEX(H$5:H$67,MATCH($B529,$B$5:$B$67,0))</f>
        <v>131.68</v>
      </c>
      <c r="J529" s="25">
        <f t="array" ref="J529">INDEX(I$5:I$67,MATCH($B529,$B$5:$B$67,0))</f>
        <v>1000</v>
      </c>
      <c r="K529" s="25">
        <f t="array" ref="K529">INDEX(J$5:J$67,MATCH($B529,$B$5:$B$67,0))</f>
        <v>80</v>
      </c>
      <c r="L529" s="25">
        <f t="shared" si="565"/>
        <v>15660</v>
      </c>
      <c r="M529" s="25">
        <f t="shared" si="566"/>
        <v>5728</v>
      </c>
      <c r="N529" s="25">
        <f t="shared" si="567"/>
        <v>5728</v>
      </c>
      <c r="O529" s="25">
        <f t="shared" si="568"/>
        <v>3480</v>
      </c>
      <c r="R529" s="50">
        <f t="array" ref="R529">INDEX($B$46:$B$68,MATCH(S529,$C$46:$C$68,0))*1000+T529</f>
        <v>1020019</v>
      </c>
      <c r="S529" s="51" t="s">
        <v>350</v>
      </c>
      <c r="T529" s="29">
        <f t="shared" si="563"/>
        <v>19</v>
      </c>
      <c r="U529" s="25">
        <f t="array" ref="U529">INDEX(K$5:K$67,MATCH($S529,$B$5:$B$67,0))</f>
        <v>374.88</v>
      </c>
      <c r="V529" s="25">
        <f t="array" ref="V529">INDEX(L$5:L$67,MATCH($S529,$B$5:$B$67,0))</f>
        <v>91.39</v>
      </c>
      <c r="W529" s="25">
        <f t="array" ref="W529">INDEX(M$5:M$67,MATCH($S529,$B$5:$B$67,0))</f>
        <v>67.54</v>
      </c>
      <c r="X529" s="25">
        <f t="array" ref="X529">INDEX(N$5:N$67,MATCH($S529,$B$5:$B$67,0))</f>
        <v>69.97</v>
      </c>
      <c r="Y529" s="25">
        <f t="shared" si="569"/>
        <v>7123</v>
      </c>
      <c r="Z529" s="25">
        <f t="shared" si="570"/>
        <v>1736</v>
      </c>
      <c r="AA529" s="25">
        <f t="shared" si="571"/>
        <v>1283</v>
      </c>
      <c r="AB529" s="25">
        <f t="shared" si="572"/>
        <v>1329</v>
      </c>
    </row>
    <row r="530" spans="1:28">
      <c r="A530" s="53">
        <v>1008032</v>
      </c>
      <c r="B530" s="49" t="s">
        <v>332</v>
      </c>
      <c r="C530" s="25">
        <f t="shared" si="564"/>
        <v>32</v>
      </c>
      <c r="D530" s="25">
        <f t="array" ref="D530">INDEX(C$5:C$67,MATCH($B530,$B$5:$B$67,0))</f>
        <v>4500</v>
      </c>
      <c r="E530" s="25">
        <f t="array" ref="E530">INDEX(D$5:D$67,MATCH($B530,$B$5:$B$67,0))</f>
        <v>360</v>
      </c>
      <c r="F530" s="25">
        <f t="array" ref="F530">INDEX(E$5:E$67,MATCH($B530,$B$5:$B$67,0))</f>
        <v>1646</v>
      </c>
      <c r="G530" s="25">
        <f t="array" ref="G530">INDEX(F$5:F$67,MATCH($B530,$B$5:$B$67,0))</f>
        <v>131.68</v>
      </c>
      <c r="H530" s="25">
        <f t="array" ref="H530">INDEX(G$5:G$66,MATCH($B530,$B$5:$B$67,0))</f>
        <v>1646</v>
      </c>
      <c r="I530" s="25">
        <f t="array" ref="I530">INDEX(H$5:H$67,MATCH($B530,$B$5:$B$67,0))</f>
        <v>131.68</v>
      </c>
      <c r="J530" s="25">
        <f t="array" ref="J530">INDEX(I$5:I$67,MATCH($B530,$B$5:$B$67,0))</f>
        <v>1000</v>
      </c>
      <c r="K530" s="25">
        <f t="array" ref="K530">INDEX(J$5:J$67,MATCH($B530,$B$5:$B$67,0))</f>
        <v>80</v>
      </c>
      <c r="L530" s="25">
        <f t="shared" si="565"/>
        <v>16020</v>
      </c>
      <c r="M530" s="25">
        <f t="shared" si="566"/>
        <v>5860</v>
      </c>
      <c r="N530" s="25">
        <f t="shared" si="567"/>
        <v>5860</v>
      </c>
      <c r="O530" s="25">
        <f t="shared" si="568"/>
        <v>3560</v>
      </c>
      <c r="R530" s="50">
        <f t="array" ref="R530">INDEX($B$46:$B$68,MATCH(S530,$C$46:$C$68,0))*1000+T530</f>
        <v>1020020</v>
      </c>
      <c r="S530" s="51" t="s">
        <v>350</v>
      </c>
      <c r="T530" s="29">
        <f t="shared" si="563"/>
        <v>20</v>
      </c>
      <c r="U530" s="25">
        <f t="array" ref="U530">INDEX(K$5:K$67,MATCH($S530,$B$5:$B$67,0))</f>
        <v>374.88</v>
      </c>
      <c r="V530" s="25">
        <f t="array" ref="V530">INDEX(L$5:L$67,MATCH($S530,$B$5:$B$67,0))</f>
        <v>91.39</v>
      </c>
      <c r="W530" s="25">
        <f t="array" ref="W530">INDEX(M$5:M$67,MATCH($S530,$B$5:$B$67,0))</f>
        <v>67.54</v>
      </c>
      <c r="X530" s="25">
        <f t="array" ref="X530">INDEX(N$5:N$67,MATCH($S530,$B$5:$B$67,0))</f>
        <v>69.97</v>
      </c>
      <c r="Y530" s="25">
        <f t="shared" si="569"/>
        <v>7498</v>
      </c>
      <c r="Z530" s="25">
        <f t="shared" si="570"/>
        <v>1828</v>
      </c>
      <c r="AA530" s="25">
        <f t="shared" si="571"/>
        <v>1351</v>
      </c>
      <c r="AB530" s="25">
        <f t="shared" si="572"/>
        <v>1399</v>
      </c>
    </row>
    <row r="531" spans="1:28">
      <c r="A531" s="53">
        <v>1008033</v>
      </c>
      <c r="B531" s="49" t="s">
        <v>332</v>
      </c>
      <c r="C531" s="25">
        <f t="shared" si="564"/>
        <v>33</v>
      </c>
      <c r="D531" s="25">
        <f t="array" ref="D531">INDEX(C$5:C$67,MATCH($B531,$B$5:$B$67,0))</f>
        <v>4500</v>
      </c>
      <c r="E531" s="25">
        <f t="array" ref="E531">INDEX(D$5:D$67,MATCH($B531,$B$5:$B$67,0))</f>
        <v>360</v>
      </c>
      <c r="F531" s="25">
        <f t="array" ref="F531">INDEX(E$5:E$67,MATCH($B531,$B$5:$B$67,0))</f>
        <v>1646</v>
      </c>
      <c r="G531" s="25">
        <f t="array" ref="G531">INDEX(F$5:F$67,MATCH($B531,$B$5:$B$67,0))</f>
        <v>131.68</v>
      </c>
      <c r="H531" s="25">
        <f t="array" ref="H531">INDEX(G$5:G$66,MATCH($B531,$B$5:$B$67,0))</f>
        <v>1646</v>
      </c>
      <c r="I531" s="25">
        <f t="array" ref="I531">INDEX(H$5:H$67,MATCH($B531,$B$5:$B$67,0))</f>
        <v>131.68</v>
      </c>
      <c r="J531" s="25">
        <f t="array" ref="J531">INDEX(I$5:I$67,MATCH($B531,$B$5:$B$67,0))</f>
        <v>1000</v>
      </c>
      <c r="K531" s="25">
        <f t="array" ref="K531">INDEX(J$5:J$67,MATCH($B531,$B$5:$B$67,0))</f>
        <v>80</v>
      </c>
      <c r="L531" s="25">
        <f t="shared" si="565"/>
        <v>16380</v>
      </c>
      <c r="M531" s="25">
        <f t="shared" si="566"/>
        <v>5991</v>
      </c>
      <c r="N531" s="25">
        <f t="shared" si="567"/>
        <v>5991</v>
      </c>
      <c r="O531" s="25">
        <f t="shared" si="568"/>
        <v>3640</v>
      </c>
      <c r="R531" s="50">
        <f t="array" ref="R531">INDEX($B$46:$B$68,MATCH(S531,$C$46:$C$68,0))*1000+T531</f>
        <v>1020021</v>
      </c>
      <c r="S531" s="51" t="s">
        <v>350</v>
      </c>
      <c r="T531" s="29">
        <f t="shared" si="563"/>
        <v>21</v>
      </c>
      <c r="U531" s="25">
        <f t="array" ref="U531">INDEX(K$5:K$67,MATCH($S531,$B$5:$B$67,0))</f>
        <v>374.88</v>
      </c>
      <c r="V531" s="25">
        <f t="array" ref="V531">INDEX(L$5:L$67,MATCH($S531,$B$5:$B$67,0))</f>
        <v>91.39</v>
      </c>
      <c r="W531" s="25">
        <f t="array" ref="W531">INDEX(M$5:M$67,MATCH($S531,$B$5:$B$67,0))</f>
        <v>67.54</v>
      </c>
      <c r="X531" s="25">
        <f t="array" ref="X531">INDEX(N$5:N$67,MATCH($S531,$B$5:$B$67,0))</f>
        <v>69.97</v>
      </c>
      <c r="Y531" s="25">
        <f t="shared" si="569"/>
        <v>7872</v>
      </c>
      <c r="Z531" s="25">
        <f t="shared" si="570"/>
        <v>1919</v>
      </c>
      <c r="AA531" s="25">
        <f t="shared" si="571"/>
        <v>1418</v>
      </c>
      <c r="AB531" s="25">
        <f t="shared" si="572"/>
        <v>1469</v>
      </c>
    </row>
    <row r="532" spans="1:28">
      <c r="A532" s="53">
        <v>1008034</v>
      </c>
      <c r="B532" s="49" t="s">
        <v>332</v>
      </c>
      <c r="C532" s="25">
        <f t="shared" si="564"/>
        <v>34</v>
      </c>
      <c r="D532" s="25">
        <f t="array" ref="D532">INDEX(C$5:C$67,MATCH($B532,$B$5:$B$67,0))</f>
        <v>4500</v>
      </c>
      <c r="E532" s="25">
        <f t="array" ref="E532">INDEX(D$5:D$67,MATCH($B532,$B$5:$B$67,0))</f>
        <v>360</v>
      </c>
      <c r="F532" s="25">
        <f t="array" ref="F532">INDEX(E$5:E$67,MATCH($B532,$B$5:$B$67,0))</f>
        <v>1646</v>
      </c>
      <c r="G532" s="25">
        <f t="array" ref="G532">INDEX(F$5:F$67,MATCH($B532,$B$5:$B$67,0))</f>
        <v>131.68</v>
      </c>
      <c r="H532" s="25">
        <f t="array" ref="H532">INDEX(G$5:G$66,MATCH($B532,$B$5:$B$67,0))</f>
        <v>1646</v>
      </c>
      <c r="I532" s="25">
        <f t="array" ref="I532">INDEX(H$5:H$67,MATCH($B532,$B$5:$B$67,0))</f>
        <v>131.68</v>
      </c>
      <c r="J532" s="25">
        <f t="array" ref="J532">INDEX(I$5:I$67,MATCH($B532,$B$5:$B$67,0))</f>
        <v>1000</v>
      </c>
      <c r="K532" s="25">
        <f t="array" ref="K532">INDEX(J$5:J$67,MATCH($B532,$B$5:$B$67,0))</f>
        <v>80</v>
      </c>
      <c r="L532" s="25">
        <f t="shared" si="565"/>
        <v>16740</v>
      </c>
      <c r="M532" s="25">
        <f t="shared" si="566"/>
        <v>6123</v>
      </c>
      <c r="N532" s="25">
        <f t="shared" si="567"/>
        <v>6123</v>
      </c>
      <c r="O532" s="25">
        <f t="shared" si="568"/>
        <v>3720</v>
      </c>
      <c r="R532" s="50">
        <f t="array" ref="R532">INDEX($B$46:$B$68,MATCH(S532,$C$46:$C$68,0))*1000+T532</f>
        <v>1020022</v>
      </c>
      <c r="S532" s="51" t="s">
        <v>350</v>
      </c>
      <c r="T532" s="29">
        <f t="shared" si="563"/>
        <v>22</v>
      </c>
      <c r="U532" s="25">
        <f t="array" ref="U532">INDEX(K$5:K$67,MATCH($S532,$B$5:$B$67,0))</f>
        <v>374.88</v>
      </c>
      <c r="V532" s="25">
        <f t="array" ref="V532">INDEX(L$5:L$67,MATCH($S532,$B$5:$B$67,0))</f>
        <v>91.39</v>
      </c>
      <c r="W532" s="25">
        <f t="array" ref="W532">INDEX(M$5:M$67,MATCH($S532,$B$5:$B$67,0))</f>
        <v>67.54</v>
      </c>
      <c r="X532" s="25">
        <f t="array" ref="X532">INDEX(N$5:N$67,MATCH($S532,$B$5:$B$67,0))</f>
        <v>69.97</v>
      </c>
      <c r="Y532" s="25">
        <f t="shared" si="569"/>
        <v>8247</v>
      </c>
      <c r="Z532" s="25">
        <f t="shared" si="570"/>
        <v>2011</v>
      </c>
      <c r="AA532" s="25">
        <f t="shared" si="571"/>
        <v>1486</v>
      </c>
      <c r="AB532" s="25">
        <f t="shared" si="572"/>
        <v>1539</v>
      </c>
    </row>
    <row r="533" spans="1:28">
      <c r="A533" s="53">
        <v>1008035</v>
      </c>
      <c r="B533" s="49" t="s">
        <v>332</v>
      </c>
      <c r="C533" s="25">
        <f t="shared" si="564"/>
        <v>35</v>
      </c>
      <c r="D533" s="25">
        <f t="array" ref="D533">INDEX(C$5:C$67,MATCH($B533,$B$5:$B$67,0))</f>
        <v>4500</v>
      </c>
      <c r="E533" s="25">
        <f t="array" ref="E533">INDEX(D$5:D$67,MATCH($B533,$B$5:$B$67,0))</f>
        <v>360</v>
      </c>
      <c r="F533" s="25">
        <f t="array" ref="F533">INDEX(E$5:E$67,MATCH($B533,$B$5:$B$67,0))</f>
        <v>1646</v>
      </c>
      <c r="G533" s="25">
        <f t="array" ref="G533">INDEX(F$5:F$67,MATCH($B533,$B$5:$B$67,0))</f>
        <v>131.68</v>
      </c>
      <c r="H533" s="25">
        <f t="array" ref="H533">INDEX(G$5:G$66,MATCH($B533,$B$5:$B$67,0))</f>
        <v>1646</v>
      </c>
      <c r="I533" s="25">
        <f t="array" ref="I533">INDEX(H$5:H$67,MATCH($B533,$B$5:$B$67,0))</f>
        <v>131.68</v>
      </c>
      <c r="J533" s="25">
        <f t="array" ref="J533">INDEX(I$5:I$67,MATCH($B533,$B$5:$B$67,0))</f>
        <v>1000</v>
      </c>
      <c r="K533" s="25">
        <f t="array" ref="K533">INDEX(J$5:J$67,MATCH($B533,$B$5:$B$67,0))</f>
        <v>80</v>
      </c>
      <c r="L533" s="25">
        <f t="shared" si="565"/>
        <v>17100</v>
      </c>
      <c r="M533" s="25">
        <f t="shared" si="566"/>
        <v>6255</v>
      </c>
      <c r="N533" s="25">
        <f t="shared" si="567"/>
        <v>6255</v>
      </c>
      <c r="O533" s="25">
        <f t="shared" si="568"/>
        <v>3800</v>
      </c>
      <c r="R533" s="50">
        <f t="array" ref="R533">INDEX($B$46:$B$68,MATCH(S533,$C$46:$C$68,0))*1000+T533</f>
        <v>1020023</v>
      </c>
      <c r="S533" s="51" t="s">
        <v>350</v>
      </c>
      <c r="T533" s="29">
        <f t="shared" si="563"/>
        <v>23</v>
      </c>
      <c r="U533" s="25">
        <f t="array" ref="U533">INDEX(K$5:K$67,MATCH($S533,$B$5:$B$67,0))</f>
        <v>374.88</v>
      </c>
      <c r="V533" s="25">
        <f t="array" ref="V533">INDEX(L$5:L$67,MATCH($S533,$B$5:$B$67,0))</f>
        <v>91.39</v>
      </c>
      <c r="W533" s="25">
        <f t="array" ref="W533">INDEX(M$5:M$67,MATCH($S533,$B$5:$B$67,0))</f>
        <v>67.54</v>
      </c>
      <c r="X533" s="25">
        <f t="array" ref="X533">INDEX(N$5:N$67,MATCH($S533,$B$5:$B$67,0))</f>
        <v>69.97</v>
      </c>
      <c r="Y533" s="25">
        <f t="shared" si="569"/>
        <v>8622</v>
      </c>
      <c r="Z533" s="25">
        <f t="shared" si="570"/>
        <v>2102</v>
      </c>
      <c r="AA533" s="25">
        <f t="shared" si="571"/>
        <v>1553</v>
      </c>
      <c r="AB533" s="25">
        <f t="shared" si="572"/>
        <v>1609</v>
      </c>
    </row>
    <row r="534" spans="1:28">
      <c r="A534" s="53">
        <v>1008036</v>
      </c>
      <c r="B534" s="49" t="s">
        <v>332</v>
      </c>
      <c r="C534" s="25">
        <f t="shared" si="564"/>
        <v>36</v>
      </c>
      <c r="D534" s="25">
        <f t="array" ref="D534">INDEX(C$5:C$67,MATCH($B534,$B$5:$B$67,0))</f>
        <v>4500</v>
      </c>
      <c r="E534" s="25">
        <f t="array" ref="E534">INDEX(D$5:D$67,MATCH($B534,$B$5:$B$67,0))</f>
        <v>360</v>
      </c>
      <c r="F534" s="25">
        <f t="array" ref="F534">INDEX(E$5:E$67,MATCH($B534,$B$5:$B$67,0))</f>
        <v>1646</v>
      </c>
      <c r="G534" s="25">
        <f t="array" ref="G534">INDEX(F$5:F$67,MATCH($B534,$B$5:$B$67,0))</f>
        <v>131.68</v>
      </c>
      <c r="H534" s="25">
        <f t="array" ref="H534">INDEX(G$5:G$66,MATCH($B534,$B$5:$B$67,0))</f>
        <v>1646</v>
      </c>
      <c r="I534" s="25">
        <f t="array" ref="I534">INDEX(H$5:H$67,MATCH($B534,$B$5:$B$67,0))</f>
        <v>131.68</v>
      </c>
      <c r="J534" s="25">
        <f t="array" ref="J534">INDEX(I$5:I$67,MATCH($B534,$B$5:$B$67,0))</f>
        <v>1000</v>
      </c>
      <c r="K534" s="25">
        <f t="array" ref="K534">INDEX(J$5:J$67,MATCH($B534,$B$5:$B$67,0))</f>
        <v>80</v>
      </c>
      <c r="L534" s="25">
        <f t="shared" si="565"/>
        <v>17460</v>
      </c>
      <c r="M534" s="25">
        <f t="shared" si="566"/>
        <v>6386</v>
      </c>
      <c r="N534" s="25">
        <f t="shared" si="567"/>
        <v>6386</v>
      </c>
      <c r="O534" s="25">
        <f t="shared" si="568"/>
        <v>3880</v>
      </c>
      <c r="R534" s="50">
        <f t="array" ref="R534">INDEX($B$46:$B$68,MATCH(S534,$C$46:$C$68,0))*1000+T534</f>
        <v>1020024</v>
      </c>
      <c r="S534" s="51" t="s">
        <v>350</v>
      </c>
      <c r="T534" s="29">
        <f t="shared" si="563"/>
        <v>24</v>
      </c>
      <c r="U534" s="25">
        <f t="array" ref="U534">INDEX(K$5:K$67,MATCH($S534,$B$5:$B$67,0))</f>
        <v>374.88</v>
      </c>
      <c r="V534" s="25">
        <f t="array" ref="V534">INDEX(L$5:L$67,MATCH($S534,$B$5:$B$67,0))</f>
        <v>91.39</v>
      </c>
      <c r="W534" s="25">
        <f t="array" ref="W534">INDEX(M$5:M$67,MATCH($S534,$B$5:$B$67,0))</f>
        <v>67.54</v>
      </c>
      <c r="X534" s="25">
        <f t="array" ref="X534">INDEX(N$5:N$67,MATCH($S534,$B$5:$B$67,0))</f>
        <v>69.97</v>
      </c>
      <c r="Y534" s="25">
        <f t="shared" si="569"/>
        <v>8997</v>
      </c>
      <c r="Z534" s="25">
        <f t="shared" si="570"/>
        <v>2193</v>
      </c>
      <c r="AA534" s="25">
        <f t="shared" si="571"/>
        <v>1621</v>
      </c>
      <c r="AB534" s="25">
        <f t="shared" si="572"/>
        <v>1679</v>
      </c>
    </row>
    <row r="535" spans="1:28">
      <c r="A535" s="53">
        <v>1008037</v>
      </c>
      <c r="B535" s="49" t="s">
        <v>332</v>
      </c>
      <c r="C535" s="25">
        <f t="shared" si="564"/>
        <v>37</v>
      </c>
      <c r="D535" s="25">
        <f t="array" ref="D535">INDEX(C$5:C$67,MATCH($B535,$B$5:$B$67,0))</f>
        <v>4500</v>
      </c>
      <c r="E535" s="25">
        <f t="array" ref="E535">INDEX(D$5:D$67,MATCH($B535,$B$5:$B$67,0))</f>
        <v>360</v>
      </c>
      <c r="F535" s="25">
        <f t="array" ref="F535">INDEX(E$5:E$67,MATCH($B535,$B$5:$B$67,0))</f>
        <v>1646</v>
      </c>
      <c r="G535" s="25">
        <f t="array" ref="G535">INDEX(F$5:F$67,MATCH($B535,$B$5:$B$67,0))</f>
        <v>131.68</v>
      </c>
      <c r="H535" s="25">
        <f t="array" ref="H535">INDEX(G$5:G$66,MATCH($B535,$B$5:$B$67,0))</f>
        <v>1646</v>
      </c>
      <c r="I535" s="25">
        <f t="array" ref="I535">INDEX(H$5:H$67,MATCH($B535,$B$5:$B$67,0))</f>
        <v>131.68</v>
      </c>
      <c r="J535" s="25">
        <f t="array" ref="J535">INDEX(I$5:I$67,MATCH($B535,$B$5:$B$67,0))</f>
        <v>1000</v>
      </c>
      <c r="K535" s="25">
        <f t="array" ref="K535">INDEX(J$5:J$67,MATCH($B535,$B$5:$B$67,0))</f>
        <v>80</v>
      </c>
      <c r="L535" s="25">
        <f t="shared" si="565"/>
        <v>17820</v>
      </c>
      <c r="M535" s="25">
        <f t="shared" si="566"/>
        <v>6518</v>
      </c>
      <c r="N535" s="25">
        <f t="shared" si="567"/>
        <v>6518</v>
      </c>
      <c r="O535" s="25">
        <f t="shared" si="568"/>
        <v>3960</v>
      </c>
      <c r="R535" s="50">
        <f t="array" ref="R535">INDEX($B$46:$B$68,MATCH(S535,$C$46:$C$68,0))*1000+T535</f>
        <v>1020025</v>
      </c>
      <c r="S535" s="51" t="s">
        <v>350</v>
      </c>
      <c r="T535" s="29">
        <f t="shared" si="563"/>
        <v>25</v>
      </c>
      <c r="U535" s="25">
        <f t="array" ref="U535">INDEX(K$5:K$67,MATCH($S535,$B$5:$B$67,0))</f>
        <v>374.88</v>
      </c>
      <c r="V535" s="25">
        <f t="array" ref="V535">INDEX(L$5:L$67,MATCH($S535,$B$5:$B$67,0))</f>
        <v>91.39</v>
      </c>
      <c r="W535" s="25">
        <f t="array" ref="W535">INDEX(M$5:M$67,MATCH($S535,$B$5:$B$67,0))</f>
        <v>67.54</v>
      </c>
      <c r="X535" s="25">
        <f t="array" ref="X535">INDEX(N$5:N$67,MATCH($S535,$B$5:$B$67,0))</f>
        <v>69.97</v>
      </c>
      <c r="Y535" s="25">
        <f t="shared" si="569"/>
        <v>9372</v>
      </c>
      <c r="Z535" s="25">
        <f t="shared" si="570"/>
        <v>2285</v>
      </c>
      <c r="AA535" s="25">
        <f t="shared" si="571"/>
        <v>1689</v>
      </c>
      <c r="AB535" s="25">
        <f t="shared" si="572"/>
        <v>1749</v>
      </c>
    </row>
    <row r="536" spans="1:28">
      <c r="A536" s="53">
        <v>1008038</v>
      </c>
      <c r="B536" s="49" t="s">
        <v>332</v>
      </c>
      <c r="C536" s="25">
        <f t="shared" si="564"/>
        <v>38</v>
      </c>
      <c r="D536" s="25">
        <f t="array" ref="D536">INDEX(C$5:C$67,MATCH($B536,$B$5:$B$67,0))</f>
        <v>4500</v>
      </c>
      <c r="E536" s="25">
        <f t="array" ref="E536">INDEX(D$5:D$67,MATCH($B536,$B$5:$B$67,0))</f>
        <v>360</v>
      </c>
      <c r="F536" s="25">
        <f t="array" ref="F536">INDEX(E$5:E$67,MATCH($B536,$B$5:$B$67,0))</f>
        <v>1646</v>
      </c>
      <c r="G536" s="25">
        <f t="array" ref="G536">INDEX(F$5:F$67,MATCH($B536,$B$5:$B$67,0))</f>
        <v>131.68</v>
      </c>
      <c r="H536" s="25">
        <f t="array" ref="H536">INDEX(G$5:G$66,MATCH($B536,$B$5:$B$67,0))</f>
        <v>1646</v>
      </c>
      <c r="I536" s="25">
        <f t="array" ref="I536">INDEX(H$5:H$67,MATCH($B536,$B$5:$B$67,0))</f>
        <v>131.68</v>
      </c>
      <c r="J536" s="25">
        <f t="array" ref="J536">INDEX(I$5:I$67,MATCH($B536,$B$5:$B$67,0))</f>
        <v>1000</v>
      </c>
      <c r="K536" s="25">
        <f t="array" ref="K536">INDEX(J$5:J$67,MATCH($B536,$B$5:$B$67,0))</f>
        <v>80</v>
      </c>
      <c r="L536" s="25">
        <f t="shared" si="565"/>
        <v>18180</v>
      </c>
      <c r="M536" s="25">
        <f t="shared" si="566"/>
        <v>6650</v>
      </c>
      <c r="N536" s="25">
        <f t="shared" si="567"/>
        <v>6650</v>
      </c>
      <c r="O536" s="25">
        <f t="shared" si="568"/>
        <v>4040</v>
      </c>
      <c r="R536" s="50">
        <f t="array" ref="R536">INDEX($B$46:$B$68,MATCH(S536,$C$46:$C$68,0))*1000+T536</f>
        <v>1020026</v>
      </c>
      <c r="S536" s="51" t="s">
        <v>350</v>
      </c>
      <c r="T536" s="29">
        <f t="shared" si="563"/>
        <v>26</v>
      </c>
      <c r="U536" s="25">
        <f t="array" ref="U536">INDEX(K$5:K$67,MATCH($S536,$B$5:$B$67,0))</f>
        <v>374.88</v>
      </c>
      <c r="V536" s="25">
        <f t="array" ref="V536">INDEX(L$5:L$67,MATCH($S536,$B$5:$B$67,0))</f>
        <v>91.39</v>
      </c>
      <c r="W536" s="25">
        <f t="array" ref="W536">INDEX(M$5:M$67,MATCH($S536,$B$5:$B$67,0))</f>
        <v>67.54</v>
      </c>
      <c r="X536" s="25">
        <f t="array" ref="X536">INDEX(N$5:N$67,MATCH($S536,$B$5:$B$67,0))</f>
        <v>69.97</v>
      </c>
      <c r="Y536" s="25">
        <f t="shared" si="569"/>
        <v>9747</v>
      </c>
      <c r="Z536" s="25">
        <f t="shared" si="570"/>
        <v>2376</v>
      </c>
      <c r="AA536" s="25">
        <f t="shared" si="571"/>
        <v>1756</v>
      </c>
      <c r="AB536" s="25">
        <f t="shared" si="572"/>
        <v>1819</v>
      </c>
    </row>
    <row r="537" spans="1:28">
      <c r="A537" s="53">
        <v>1008039</v>
      </c>
      <c r="B537" s="49" t="s">
        <v>332</v>
      </c>
      <c r="C537" s="25">
        <f t="shared" si="564"/>
        <v>39</v>
      </c>
      <c r="D537" s="25">
        <f t="array" ref="D537">INDEX(C$5:C$67,MATCH($B537,$B$5:$B$67,0))</f>
        <v>4500</v>
      </c>
      <c r="E537" s="25">
        <f t="array" ref="E537">INDEX(D$5:D$67,MATCH($B537,$B$5:$B$67,0))</f>
        <v>360</v>
      </c>
      <c r="F537" s="25">
        <f t="array" ref="F537">INDEX(E$5:E$67,MATCH($B537,$B$5:$B$67,0))</f>
        <v>1646</v>
      </c>
      <c r="G537" s="25">
        <f t="array" ref="G537">INDEX(F$5:F$67,MATCH($B537,$B$5:$B$67,0))</f>
        <v>131.68</v>
      </c>
      <c r="H537" s="25">
        <f t="array" ref="H537">INDEX(G$5:G$66,MATCH($B537,$B$5:$B$67,0))</f>
        <v>1646</v>
      </c>
      <c r="I537" s="25">
        <f t="array" ref="I537">INDEX(H$5:H$67,MATCH($B537,$B$5:$B$67,0))</f>
        <v>131.68</v>
      </c>
      <c r="J537" s="25">
        <f t="array" ref="J537">INDEX(I$5:I$67,MATCH($B537,$B$5:$B$67,0))</f>
        <v>1000</v>
      </c>
      <c r="K537" s="25">
        <f t="array" ref="K537">INDEX(J$5:J$67,MATCH($B537,$B$5:$B$67,0))</f>
        <v>80</v>
      </c>
      <c r="L537" s="25">
        <f t="shared" si="565"/>
        <v>18540</v>
      </c>
      <c r="M537" s="25">
        <f t="shared" si="566"/>
        <v>6782</v>
      </c>
      <c r="N537" s="25">
        <f t="shared" si="567"/>
        <v>6782</v>
      </c>
      <c r="O537" s="25">
        <f t="shared" si="568"/>
        <v>4120</v>
      </c>
      <c r="R537" s="50">
        <f t="array" ref="R537">INDEX($B$46:$B$68,MATCH(S537,$C$46:$C$68,0))*1000+T537</f>
        <v>1020027</v>
      </c>
      <c r="S537" s="51" t="s">
        <v>350</v>
      </c>
      <c r="T537" s="29">
        <f t="shared" si="563"/>
        <v>27</v>
      </c>
      <c r="U537" s="25">
        <f t="array" ref="U537">INDEX(K$5:K$67,MATCH($S537,$B$5:$B$67,0))</f>
        <v>374.88</v>
      </c>
      <c r="V537" s="25">
        <f t="array" ref="V537">INDEX(L$5:L$67,MATCH($S537,$B$5:$B$67,0))</f>
        <v>91.39</v>
      </c>
      <c r="W537" s="25">
        <f t="array" ref="W537">INDEX(M$5:M$67,MATCH($S537,$B$5:$B$67,0))</f>
        <v>67.54</v>
      </c>
      <c r="X537" s="25">
        <f t="array" ref="X537">INDEX(N$5:N$67,MATCH($S537,$B$5:$B$67,0))</f>
        <v>69.97</v>
      </c>
      <c r="Y537" s="25">
        <f t="shared" si="569"/>
        <v>10122</v>
      </c>
      <c r="Z537" s="25">
        <f t="shared" si="570"/>
        <v>2468</v>
      </c>
      <c r="AA537" s="25">
        <f t="shared" si="571"/>
        <v>1824</v>
      </c>
      <c r="AB537" s="25">
        <f t="shared" si="572"/>
        <v>1889</v>
      </c>
    </row>
    <row r="538" spans="1:28">
      <c r="A538" s="53">
        <v>1008040</v>
      </c>
      <c r="B538" s="49" t="s">
        <v>332</v>
      </c>
      <c r="C538" s="25">
        <f t="shared" si="564"/>
        <v>40</v>
      </c>
      <c r="D538" s="25">
        <f t="array" ref="D538">INDEX(C$5:C$67,MATCH($B538,$B$5:$B$67,0))</f>
        <v>4500</v>
      </c>
      <c r="E538" s="25">
        <f t="array" ref="E538">INDEX(D$5:D$67,MATCH($B538,$B$5:$B$67,0))</f>
        <v>360</v>
      </c>
      <c r="F538" s="25">
        <f t="array" ref="F538">INDEX(E$5:E$67,MATCH($B538,$B$5:$B$67,0))</f>
        <v>1646</v>
      </c>
      <c r="G538" s="25">
        <f t="array" ref="G538">INDEX(F$5:F$67,MATCH($B538,$B$5:$B$67,0))</f>
        <v>131.68</v>
      </c>
      <c r="H538" s="25">
        <f t="array" ref="H538">INDEX(G$5:G$66,MATCH($B538,$B$5:$B$67,0))</f>
        <v>1646</v>
      </c>
      <c r="I538" s="25">
        <f t="array" ref="I538">INDEX(H$5:H$67,MATCH($B538,$B$5:$B$67,0))</f>
        <v>131.68</v>
      </c>
      <c r="J538" s="25">
        <f t="array" ref="J538">INDEX(I$5:I$67,MATCH($B538,$B$5:$B$67,0))</f>
        <v>1000</v>
      </c>
      <c r="K538" s="25">
        <f t="array" ref="K538">INDEX(J$5:J$67,MATCH($B538,$B$5:$B$67,0))</f>
        <v>80</v>
      </c>
      <c r="L538" s="25">
        <f t="shared" si="565"/>
        <v>18900</v>
      </c>
      <c r="M538" s="25">
        <f t="shared" si="566"/>
        <v>6913</v>
      </c>
      <c r="N538" s="25">
        <f t="shared" si="567"/>
        <v>6913</v>
      </c>
      <c r="O538" s="25">
        <f t="shared" si="568"/>
        <v>4200</v>
      </c>
      <c r="R538" s="50">
        <f t="array" ref="R538">INDEX($B$46:$B$68,MATCH(S538,$C$46:$C$68,0))*1000+T538</f>
        <v>1021001</v>
      </c>
      <c r="S538" s="51" t="s">
        <v>353</v>
      </c>
      <c r="T538" s="29">
        <f t="shared" si="563"/>
        <v>1</v>
      </c>
      <c r="U538" s="25">
        <f t="array" ref="U538">INDEX(K$5:K$67,MATCH($S538,$B$5:$B$67,0))</f>
        <v>375.73</v>
      </c>
      <c r="V538" s="25">
        <f t="array" ref="V538">INDEX(L$5:L$67,MATCH($S538,$B$5:$B$67,0))</f>
        <v>98.25</v>
      </c>
      <c r="W538" s="25">
        <f t="array" ref="W538">INDEX(M$5:M$67,MATCH($S538,$B$5:$B$67,0))</f>
        <v>76.27</v>
      </c>
      <c r="X538" s="25">
        <f t="array" ref="X538">INDEX(N$5:N$67,MATCH($S538,$B$5:$B$67,0))</f>
        <v>64.6</v>
      </c>
      <c r="Y538" s="25">
        <f t="shared" si="569"/>
        <v>376</v>
      </c>
      <c r="Z538" s="25">
        <f t="shared" si="570"/>
        <v>98</v>
      </c>
      <c r="AA538" s="25">
        <f t="shared" si="571"/>
        <v>76</v>
      </c>
      <c r="AB538" s="25">
        <f t="shared" si="572"/>
        <v>65</v>
      </c>
    </row>
    <row r="539" spans="1:28">
      <c r="A539" s="53">
        <v>1008041</v>
      </c>
      <c r="B539" s="49" t="s">
        <v>332</v>
      </c>
      <c r="C539" s="25">
        <f t="shared" si="564"/>
        <v>41</v>
      </c>
      <c r="D539" s="25">
        <f t="array" ref="D539">INDEX(C$5:C$67,MATCH($B539,$B$5:$B$67,0))</f>
        <v>4500</v>
      </c>
      <c r="E539" s="25">
        <f t="array" ref="E539">INDEX(D$5:D$67,MATCH($B539,$B$5:$B$67,0))</f>
        <v>360</v>
      </c>
      <c r="F539" s="25">
        <f t="array" ref="F539">INDEX(E$5:E$67,MATCH($B539,$B$5:$B$67,0))</f>
        <v>1646</v>
      </c>
      <c r="G539" s="25">
        <f t="array" ref="G539">INDEX(F$5:F$67,MATCH($B539,$B$5:$B$67,0))</f>
        <v>131.68</v>
      </c>
      <c r="H539" s="25">
        <f t="array" ref="H539">INDEX(G$5:G$66,MATCH($B539,$B$5:$B$67,0))</f>
        <v>1646</v>
      </c>
      <c r="I539" s="25">
        <f t="array" ref="I539">INDEX(H$5:H$67,MATCH($B539,$B$5:$B$67,0))</f>
        <v>131.68</v>
      </c>
      <c r="J539" s="25">
        <f t="array" ref="J539">INDEX(I$5:I$67,MATCH($B539,$B$5:$B$67,0))</f>
        <v>1000</v>
      </c>
      <c r="K539" s="25">
        <f t="array" ref="K539">INDEX(J$5:J$67,MATCH($B539,$B$5:$B$67,0))</f>
        <v>80</v>
      </c>
      <c r="L539" s="25">
        <f t="shared" si="565"/>
        <v>19260</v>
      </c>
      <c r="M539" s="25">
        <f t="shared" si="566"/>
        <v>7045</v>
      </c>
      <c r="N539" s="25">
        <f t="shared" si="567"/>
        <v>7045</v>
      </c>
      <c r="O539" s="25">
        <f t="shared" si="568"/>
        <v>4280</v>
      </c>
      <c r="R539" s="50">
        <f t="array" ref="R539">INDEX($B$46:$B$68,MATCH(S539,$C$46:$C$68,0))*1000+T539</f>
        <v>1021002</v>
      </c>
      <c r="S539" s="51" t="s">
        <v>353</v>
      </c>
      <c r="T539" s="29">
        <f t="shared" si="563"/>
        <v>2</v>
      </c>
      <c r="U539" s="25">
        <f t="array" ref="U539">INDEX(K$5:K$67,MATCH($S539,$B$5:$B$67,0))</f>
        <v>375.73</v>
      </c>
      <c r="V539" s="25">
        <f t="array" ref="V539">INDEX(L$5:L$67,MATCH($S539,$B$5:$B$67,0))</f>
        <v>98.25</v>
      </c>
      <c r="W539" s="25">
        <f t="array" ref="W539">INDEX(M$5:M$67,MATCH($S539,$B$5:$B$67,0))</f>
        <v>76.27</v>
      </c>
      <c r="X539" s="25">
        <f t="array" ref="X539">INDEX(N$5:N$67,MATCH($S539,$B$5:$B$67,0))</f>
        <v>64.6</v>
      </c>
      <c r="Y539" s="25">
        <f t="shared" si="569"/>
        <v>751</v>
      </c>
      <c r="Z539" s="25">
        <f t="shared" si="570"/>
        <v>197</v>
      </c>
      <c r="AA539" s="25">
        <f t="shared" si="571"/>
        <v>153</v>
      </c>
      <c r="AB539" s="25">
        <f t="shared" si="572"/>
        <v>129</v>
      </c>
    </row>
    <row r="540" spans="1:28">
      <c r="A540" s="53">
        <v>1008042</v>
      </c>
      <c r="B540" s="49" t="s">
        <v>332</v>
      </c>
      <c r="C540" s="25">
        <f t="shared" si="564"/>
        <v>42</v>
      </c>
      <c r="D540" s="25">
        <f t="array" ref="D540">INDEX(C$5:C$67,MATCH($B540,$B$5:$B$67,0))</f>
        <v>4500</v>
      </c>
      <c r="E540" s="25">
        <f t="array" ref="E540">INDEX(D$5:D$67,MATCH($B540,$B$5:$B$67,0))</f>
        <v>360</v>
      </c>
      <c r="F540" s="25">
        <f t="array" ref="F540">INDEX(E$5:E$67,MATCH($B540,$B$5:$B$67,0))</f>
        <v>1646</v>
      </c>
      <c r="G540" s="25">
        <f t="array" ref="G540">INDEX(F$5:F$67,MATCH($B540,$B$5:$B$67,0))</f>
        <v>131.68</v>
      </c>
      <c r="H540" s="25">
        <f t="array" ref="H540">INDEX(G$5:G$66,MATCH($B540,$B$5:$B$67,0))</f>
        <v>1646</v>
      </c>
      <c r="I540" s="25">
        <f t="array" ref="I540">INDEX(H$5:H$67,MATCH($B540,$B$5:$B$67,0))</f>
        <v>131.68</v>
      </c>
      <c r="J540" s="25">
        <f t="array" ref="J540">INDEX(I$5:I$67,MATCH($B540,$B$5:$B$67,0))</f>
        <v>1000</v>
      </c>
      <c r="K540" s="25">
        <f t="array" ref="K540">INDEX(J$5:J$67,MATCH($B540,$B$5:$B$67,0))</f>
        <v>80</v>
      </c>
      <c r="L540" s="25">
        <f t="shared" si="565"/>
        <v>19620</v>
      </c>
      <c r="M540" s="25">
        <f t="shared" si="566"/>
        <v>7177</v>
      </c>
      <c r="N540" s="25">
        <f t="shared" si="567"/>
        <v>7177</v>
      </c>
      <c r="O540" s="25">
        <f t="shared" si="568"/>
        <v>4360</v>
      </c>
      <c r="R540" s="50">
        <f t="array" ref="R540">INDEX($B$46:$B$68,MATCH(S540,$C$46:$C$68,0))*1000+T540</f>
        <v>1021003</v>
      </c>
      <c r="S540" s="51" t="s">
        <v>353</v>
      </c>
      <c r="T540" s="29">
        <f t="shared" si="563"/>
        <v>3</v>
      </c>
      <c r="U540" s="25">
        <f t="array" ref="U540">INDEX(K$5:K$67,MATCH($S540,$B$5:$B$67,0))</f>
        <v>375.73</v>
      </c>
      <c r="V540" s="25">
        <f t="array" ref="V540">INDEX(L$5:L$67,MATCH($S540,$B$5:$B$67,0))</f>
        <v>98.25</v>
      </c>
      <c r="W540" s="25">
        <f t="array" ref="W540">INDEX(M$5:M$67,MATCH($S540,$B$5:$B$67,0))</f>
        <v>76.27</v>
      </c>
      <c r="X540" s="25">
        <f t="array" ref="X540">INDEX(N$5:N$67,MATCH($S540,$B$5:$B$67,0))</f>
        <v>64.6</v>
      </c>
      <c r="Y540" s="25">
        <f t="shared" si="569"/>
        <v>1127</v>
      </c>
      <c r="Z540" s="25">
        <f t="shared" si="570"/>
        <v>295</v>
      </c>
      <c r="AA540" s="25">
        <f t="shared" si="571"/>
        <v>229</v>
      </c>
      <c r="AB540" s="25">
        <f t="shared" si="572"/>
        <v>194</v>
      </c>
    </row>
    <row r="541" spans="1:28">
      <c r="A541" s="53">
        <v>1008043</v>
      </c>
      <c r="B541" s="49" t="s">
        <v>332</v>
      </c>
      <c r="C541" s="25">
        <f t="shared" si="564"/>
        <v>43</v>
      </c>
      <c r="D541" s="25">
        <f t="array" ref="D541">INDEX(C$5:C$67,MATCH($B541,$B$5:$B$67,0))</f>
        <v>4500</v>
      </c>
      <c r="E541" s="25">
        <f t="array" ref="E541">INDEX(D$5:D$67,MATCH($B541,$B$5:$B$67,0))</f>
        <v>360</v>
      </c>
      <c r="F541" s="25">
        <f t="array" ref="F541">INDEX(E$5:E$67,MATCH($B541,$B$5:$B$67,0))</f>
        <v>1646</v>
      </c>
      <c r="G541" s="25">
        <f t="array" ref="G541">INDEX(F$5:F$67,MATCH($B541,$B$5:$B$67,0))</f>
        <v>131.68</v>
      </c>
      <c r="H541" s="25">
        <f t="array" ref="H541">INDEX(G$5:G$66,MATCH($B541,$B$5:$B$67,0))</f>
        <v>1646</v>
      </c>
      <c r="I541" s="25">
        <f t="array" ref="I541">INDEX(H$5:H$67,MATCH($B541,$B$5:$B$67,0))</f>
        <v>131.68</v>
      </c>
      <c r="J541" s="25">
        <f t="array" ref="J541">INDEX(I$5:I$67,MATCH($B541,$B$5:$B$67,0))</f>
        <v>1000</v>
      </c>
      <c r="K541" s="25">
        <f t="array" ref="K541">INDEX(J$5:J$67,MATCH($B541,$B$5:$B$67,0))</f>
        <v>80</v>
      </c>
      <c r="L541" s="25">
        <f t="shared" si="565"/>
        <v>19980</v>
      </c>
      <c r="M541" s="25">
        <f t="shared" si="566"/>
        <v>7308</v>
      </c>
      <c r="N541" s="25">
        <f t="shared" si="567"/>
        <v>7308</v>
      </c>
      <c r="O541" s="25">
        <f t="shared" si="568"/>
        <v>4440</v>
      </c>
      <c r="R541" s="50">
        <f t="array" ref="R541">INDEX($B$46:$B$68,MATCH(S541,$C$46:$C$68,0))*1000+T541</f>
        <v>1021004</v>
      </c>
      <c r="S541" s="51" t="s">
        <v>353</v>
      </c>
      <c r="T541" s="29">
        <f t="shared" si="563"/>
        <v>4</v>
      </c>
      <c r="U541" s="25">
        <f t="array" ref="U541">INDEX(K$5:K$67,MATCH($S541,$B$5:$B$67,0))</f>
        <v>375.73</v>
      </c>
      <c r="V541" s="25">
        <f t="array" ref="V541">INDEX(L$5:L$67,MATCH($S541,$B$5:$B$67,0))</f>
        <v>98.25</v>
      </c>
      <c r="W541" s="25">
        <f t="array" ref="W541">INDEX(M$5:M$67,MATCH($S541,$B$5:$B$67,0))</f>
        <v>76.27</v>
      </c>
      <c r="X541" s="25">
        <f t="array" ref="X541">INDEX(N$5:N$67,MATCH($S541,$B$5:$B$67,0))</f>
        <v>64.6</v>
      </c>
      <c r="Y541" s="25">
        <f t="shared" si="569"/>
        <v>1503</v>
      </c>
      <c r="Z541" s="25">
        <f t="shared" si="570"/>
        <v>393</v>
      </c>
      <c r="AA541" s="25">
        <f t="shared" si="571"/>
        <v>305</v>
      </c>
      <c r="AB541" s="25">
        <f t="shared" si="572"/>
        <v>258</v>
      </c>
    </row>
    <row r="542" spans="1:28">
      <c r="A542" s="53">
        <v>1008044</v>
      </c>
      <c r="B542" s="49" t="s">
        <v>332</v>
      </c>
      <c r="C542" s="25">
        <f t="shared" si="564"/>
        <v>44</v>
      </c>
      <c r="D542" s="25">
        <f t="array" ref="D542">INDEX(C$5:C$67,MATCH($B542,$B$5:$B$67,0))</f>
        <v>4500</v>
      </c>
      <c r="E542" s="25">
        <f t="array" ref="E542">INDEX(D$5:D$67,MATCH($B542,$B$5:$B$67,0))</f>
        <v>360</v>
      </c>
      <c r="F542" s="25">
        <f t="array" ref="F542">INDEX(E$5:E$67,MATCH($B542,$B$5:$B$67,0))</f>
        <v>1646</v>
      </c>
      <c r="G542" s="25">
        <f t="array" ref="G542">INDEX(F$5:F$67,MATCH($B542,$B$5:$B$67,0))</f>
        <v>131.68</v>
      </c>
      <c r="H542" s="25">
        <f t="array" ref="H542">INDEX(G$5:G$66,MATCH($B542,$B$5:$B$67,0))</f>
        <v>1646</v>
      </c>
      <c r="I542" s="25">
        <f t="array" ref="I542">INDEX(H$5:H$67,MATCH($B542,$B$5:$B$67,0))</f>
        <v>131.68</v>
      </c>
      <c r="J542" s="25">
        <f t="array" ref="J542">INDEX(I$5:I$67,MATCH($B542,$B$5:$B$67,0))</f>
        <v>1000</v>
      </c>
      <c r="K542" s="25">
        <f t="array" ref="K542">INDEX(J$5:J$67,MATCH($B542,$B$5:$B$67,0))</f>
        <v>80</v>
      </c>
      <c r="L542" s="25">
        <f t="shared" si="565"/>
        <v>20340</v>
      </c>
      <c r="M542" s="25">
        <f t="shared" si="566"/>
        <v>7440</v>
      </c>
      <c r="N542" s="25">
        <f t="shared" si="567"/>
        <v>7440</v>
      </c>
      <c r="O542" s="25">
        <f t="shared" si="568"/>
        <v>4520</v>
      </c>
      <c r="R542" s="50">
        <f t="array" ref="R542">INDEX($B$46:$B$68,MATCH(S542,$C$46:$C$68,0))*1000+T542</f>
        <v>1021005</v>
      </c>
      <c r="S542" s="51" t="s">
        <v>353</v>
      </c>
      <c r="T542" s="29">
        <f t="shared" si="563"/>
        <v>5</v>
      </c>
      <c r="U542" s="25">
        <f t="array" ref="U542">INDEX(K$5:K$67,MATCH($S542,$B$5:$B$67,0))</f>
        <v>375.73</v>
      </c>
      <c r="V542" s="25">
        <f t="array" ref="V542">INDEX(L$5:L$67,MATCH($S542,$B$5:$B$67,0))</f>
        <v>98.25</v>
      </c>
      <c r="W542" s="25">
        <f t="array" ref="W542">INDEX(M$5:M$67,MATCH($S542,$B$5:$B$67,0))</f>
        <v>76.27</v>
      </c>
      <c r="X542" s="25">
        <f t="array" ref="X542">INDEX(N$5:N$67,MATCH($S542,$B$5:$B$67,0))</f>
        <v>64.6</v>
      </c>
      <c r="Y542" s="25">
        <f t="shared" si="569"/>
        <v>1879</v>
      </c>
      <c r="Z542" s="25">
        <f t="shared" si="570"/>
        <v>491</v>
      </c>
      <c r="AA542" s="25">
        <f t="shared" si="571"/>
        <v>381</v>
      </c>
      <c r="AB542" s="25">
        <f t="shared" si="572"/>
        <v>323</v>
      </c>
    </row>
    <row r="543" spans="1:28">
      <c r="A543" s="53">
        <v>1008045</v>
      </c>
      <c r="B543" s="49" t="s">
        <v>332</v>
      </c>
      <c r="C543" s="25">
        <f t="shared" si="564"/>
        <v>45</v>
      </c>
      <c r="D543" s="25">
        <f t="array" ref="D543">INDEX(C$5:C$67,MATCH($B543,$B$5:$B$67,0))</f>
        <v>4500</v>
      </c>
      <c r="E543" s="25">
        <f t="array" ref="E543">INDEX(D$5:D$67,MATCH($B543,$B$5:$B$67,0))</f>
        <v>360</v>
      </c>
      <c r="F543" s="25">
        <f t="array" ref="F543">INDEX(E$5:E$67,MATCH($B543,$B$5:$B$67,0))</f>
        <v>1646</v>
      </c>
      <c r="G543" s="25">
        <f t="array" ref="G543">INDEX(F$5:F$67,MATCH($B543,$B$5:$B$67,0))</f>
        <v>131.68</v>
      </c>
      <c r="H543" s="25">
        <f t="array" ref="H543">INDEX(G$5:G$66,MATCH($B543,$B$5:$B$67,0))</f>
        <v>1646</v>
      </c>
      <c r="I543" s="25">
        <f t="array" ref="I543">INDEX(H$5:H$67,MATCH($B543,$B$5:$B$67,0))</f>
        <v>131.68</v>
      </c>
      <c r="J543" s="25">
        <f t="array" ref="J543">INDEX(I$5:I$67,MATCH($B543,$B$5:$B$67,0))</f>
        <v>1000</v>
      </c>
      <c r="K543" s="25">
        <f t="array" ref="K543">INDEX(J$5:J$67,MATCH($B543,$B$5:$B$67,0))</f>
        <v>80</v>
      </c>
      <c r="L543" s="25">
        <f t="shared" si="565"/>
        <v>20700</v>
      </c>
      <c r="M543" s="25">
        <f t="shared" si="566"/>
        <v>7572</v>
      </c>
      <c r="N543" s="25">
        <f t="shared" si="567"/>
        <v>7572</v>
      </c>
      <c r="O543" s="25">
        <f t="shared" si="568"/>
        <v>4600</v>
      </c>
      <c r="R543" s="50">
        <f t="array" ref="R543">INDEX($B$46:$B$68,MATCH(S543,$C$46:$C$68,0))*1000+T543</f>
        <v>1021006</v>
      </c>
      <c r="S543" s="51" t="s">
        <v>353</v>
      </c>
      <c r="T543" s="29">
        <f t="shared" si="563"/>
        <v>6</v>
      </c>
      <c r="U543" s="25">
        <f t="array" ref="U543">INDEX(K$5:K$67,MATCH($S543,$B$5:$B$67,0))</f>
        <v>375.73</v>
      </c>
      <c r="V543" s="25">
        <f t="array" ref="V543">INDEX(L$5:L$67,MATCH($S543,$B$5:$B$67,0))</f>
        <v>98.25</v>
      </c>
      <c r="W543" s="25">
        <f t="array" ref="W543">INDEX(M$5:M$67,MATCH($S543,$B$5:$B$67,0))</f>
        <v>76.27</v>
      </c>
      <c r="X543" s="25">
        <f t="array" ref="X543">INDEX(N$5:N$67,MATCH($S543,$B$5:$B$67,0))</f>
        <v>64.6</v>
      </c>
      <c r="Y543" s="25">
        <f t="shared" si="569"/>
        <v>2254</v>
      </c>
      <c r="Z543" s="25">
        <f t="shared" si="570"/>
        <v>590</v>
      </c>
      <c r="AA543" s="25">
        <f t="shared" si="571"/>
        <v>458</v>
      </c>
      <c r="AB543" s="25">
        <f t="shared" si="572"/>
        <v>388</v>
      </c>
    </row>
    <row r="544" spans="1:28">
      <c r="A544" s="53">
        <v>1008046</v>
      </c>
      <c r="B544" s="49" t="s">
        <v>332</v>
      </c>
      <c r="C544" s="25">
        <f t="shared" si="564"/>
        <v>46</v>
      </c>
      <c r="D544" s="25">
        <f t="array" ref="D544">INDEX(C$5:C$67,MATCH($B544,$B$5:$B$67,0))</f>
        <v>4500</v>
      </c>
      <c r="E544" s="25">
        <f t="array" ref="E544">INDEX(D$5:D$67,MATCH($B544,$B$5:$B$67,0))</f>
        <v>360</v>
      </c>
      <c r="F544" s="25">
        <f t="array" ref="F544">INDEX(E$5:E$67,MATCH($B544,$B$5:$B$67,0))</f>
        <v>1646</v>
      </c>
      <c r="G544" s="25">
        <f t="array" ref="G544">INDEX(F$5:F$67,MATCH($B544,$B$5:$B$67,0))</f>
        <v>131.68</v>
      </c>
      <c r="H544" s="25">
        <f t="array" ref="H544">INDEX(G$5:G$66,MATCH($B544,$B$5:$B$67,0))</f>
        <v>1646</v>
      </c>
      <c r="I544" s="25">
        <f t="array" ref="I544">INDEX(H$5:H$67,MATCH($B544,$B$5:$B$67,0))</f>
        <v>131.68</v>
      </c>
      <c r="J544" s="25">
        <f t="array" ref="J544">INDEX(I$5:I$67,MATCH($B544,$B$5:$B$67,0))</f>
        <v>1000</v>
      </c>
      <c r="K544" s="25">
        <f t="array" ref="K544">INDEX(J$5:J$67,MATCH($B544,$B$5:$B$67,0))</f>
        <v>80</v>
      </c>
      <c r="L544" s="25">
        <f t="shared" si="565"/>
        <v>21060</v>
      </c>
      <c r="M544" s="25">
        <f t="shared" si="566"/>
        <v>7703</v>
      </c>
      <c r="N544" s="25">
        <f t="shared" si="567"/>
        <v>7703</v>
      </c>
      <c r="O544" s="25">
        <f t="shared" si="568"/>
        <v>4680</v>
      </c>
      <c r="R544" s="50">
        <f t="array" ref="R544">INDEX($B$46:$B$68,MATCH(S544,$C$46:$C$68,0))*1000+T544</f>
        <v>1021007</v>
      </c>
      <c r="S544" s="51" t="s">
        <v>353</v>
      </c>
      <c r="T544" s="29">
        <f t="shared" si="563"/>
        <v>7</v>
      </c>
      <c r="U544" s="25">
        <f t="array" ref="U544">INDEX(K$5:K$67,MATCH($S544,$B$5:$B$67,0))</f>
        <v>375.73</v>
      </c>
      <c r="V544" s="25">
        <f t="array" ref="V544">INDEX(L$5:L$67,MATCH($S544,$B$5:$B$67,0))</f>
        <v>98.25</v>
      </c>
      <c r="W544" s="25">
        <f t="array" ref="W544">INDEX(M$5:M$67,MATCH($S544,$B$5:$B$67,0))</f>
        <v>76.27</v>
      </c>
      <c r="X544" s="25">
        <f t="array" ref="X544">INDEX(N$5:N$67,MATCH($S544,$B$5:$B$67,0))</f>
        <v>64.6</v>
      </c>
      <c r="Y544" s="25">
        <f t="shared" si="569"/>
        <v>2630</v>
      </c>
      <c r="Z544" s="25">
        <f t="shared" si="570"/>
        <v>688</v>
      </c>
      <c r="AA544" s="25">
        <f t="shared" si="571"/>
        <v>534</v>
      </c>
      <c r="AB544" s="25">
        <f t="shared" si="572"/>
        <v>452</v>
      </c>
    </row>
    <row r="545" spans="1:28">
      <c r="A545" s="53">
        <v>1008047</v>
      </c>
      <c r="B545" s="49" t="s">
        <v>332</v>
      </c>
      <c r="C545" s="25">
        <f t="shared" si="564"/>
        <v>47</v>
      </c>
      <c r="D545" s="25">
        <f t="array" ref="D545">INDEX(C$5:C$67,MATCH($B545,$B$5:$B$67,0))</f>
        <v>4500</v>
      </c>
      <c r="E545" s="25">
        <f t="array" ref="E545">INDEX(D$5:D$67,MATCH($B545,$B$5:$B$67,0))</f>
        <v>360</v>
      </c>
      <c r="F545" s="25">
        <f t="array" ref="F545">INDEX(E$5:E$67,MATCH($B545,$B$5:$B$67,0))</f>
        <v>1646</v>
      </c>
      <c r="G545" s="25">
        <f t="array" ref="G545">INDEX(F$5:F$67,MATCH($B545,$B$5:$B$67,0))</f>
        <v>131.68</v>
      </c>
      <c r="H545" s="25">
        <f t="array" ref="H545">INDEX(G$5:G$66,MATCH($B545,$B$5:$B$67,0))</f>
        <v>1646</v>
      </c>
      <c r="I545" s="25">
        <f t="array" ref="I545">INDEX(H$5:H$67,MATCH($B545,$B$5:$B$67,0))</f>
        <v>131.68</v>
      </c>
      <c r="J545" s="25">
        <f t="array" ref="J545">INDEX(I$5:I$67,MATCH($B545,$B$5:$B$67,0))</f>
        <v>1000</v>
      </c>
      <c r="K545" s="25">
        <f t="array" ref="K545">INDEX(J$5:J$67,MATCH($B545,$B$5:$B$67,0))</f>
        <v>80</v>
      </c>
      <c r="L545" s="25">
        <f t="shared" si="565"/>
        <v>21420</v>
      </c>
      <c r="M545" s="25">
        <f t="shared" si="566"/>
        <v>7835</v>
      </c>
      <c r="N545" s="25">
        <f t="shared" si="567"/>
        <v>7835</v>
      </c>
      <c r="O545" s="25">
        <f t="shared" si="568"/>
        <v>4760</v>
      </c>
      <c r="R545" s="50">
        <f t="array" ref="R545">INDEX($B$46:$B$68,MATCH(S545,$C$46:$C$68,0))*1000+T545</f>
        <v>1021008</v>
      </c>
      <c r="S545" s="51" t="s">
        <v>353</v>
      </c>
      <c r="T545" s="29">
        <f t="shared" si="563"/>
        <v>8</v>
      </c>
      <c r="U545" s="25">
        <f t="array" ref="U545">INDEX(K$5:K$67,MATCH($S545,$B$5:$B$67,0))</f>
        <v>375.73</v>
      </c>
      <c r="V545" s="25">
        <f t="array" ref="V545">INDEX(L$5:L$67,MATCH($S545,$B$5:$B$67,0))</f>
        <v>98.25</v>
      </c>
      <c r="W545" s="25">
        <f t="array" ref="W545">INDEX(M$5:M$67,MATCH($S545,$B$5:$B$67,0))</f>
        <v>76.27</v>
      </c>
      <c r="X545" s="25">
        <f t="array" ref="X545">INDEX(N$5:N$67,MATCH($S545,$B$5:$B$67,0))</f>
        <v>64.6</v>
      </c>
      <c r="Y545" s="25">
        <f t="shared" si="569"/>
        <v>3006</v>
      </c>
      <c r="Z545" s="25">
        <f t="shared" si="570"/>
        <v>786</v>
      </c>
      <c r="AA545" s="25">
        <f t="shared" si="571"/>
        <v>610</v>
      </c>
      <c r="AB545" s="25">
        <f t="shared" si="572"/>
        <v>517</v>
      </c>
    </row>
    <row r="546" spans="1:28">
      <c r="A546" s="53">
        <v>1008048</v>
      </c>
      <c r="B546" s="49" t="s">
        <v>332</v>
      </c>
      <c r="C546" s="25">
        <f t="shared" si="564"/>
        <v>48</v>
      </c>
      <c r="D546" s="25">
        <f t="array" ref="D546">INDEX(C$5:C$67,MATCH($B546,$B$5:$B$67,0))</f>
        <v>4500</v>
      </c>
      <c r="E546" s="25">
        <f t="array" ref="E546">INDEX(D$5:D$67,MATCH($B546,$B$5:$B$67,0))</f>
        <v>360</v>
      </c>
      <c r="F546" s="25">
        <f t="array" ref="F546">INDEX(E$5:E$67,MATCH($B546,$B$5:$B$67,0))</f>
        <v>1646</v>
      </c>
      <c r="G546" s="25">
        <f t="array" ref="G546">INDEX(F$5:F$67,MATCH($B546,$B$5:$B$67,0))</f>
        <v>131.68</v>
      </c>
      <c r="H546" s="25">
        <f t="array" ref="H546">INDEX(G$5:G$66,MATCH($B546,$B$5:$B$67,0))</f>
        <v>1646</v>
      </c>
      <c r="I546" s="25">
        <f t="array" ref="I546">INDEX(H$5:H$67,MATCH($B546,$B$5:$B$67,0))</f>
        <v>131.68</v>
      </c>
      <c r="J546" s="25">
        <f t="array" ref="J546">INDEX(I$5:I$67,MATCH($B546,$B$5:$B$67,0))</f>
        <v>1000</v>
      </c>
      <c r="K546" s="25">
        <f t="array" ref="K546">INDEX(J$5:J$67,MATCH($B546,$B$5:$B$67,0))</f>
        <v>80</v>
      </c>
      <c r="L546" s="25">
        <f t="shared" si="565"/>
        <v>21780</v>
      </c>
      <c r="M546" s="25">
        <f t="shared" si="566"/>
        <v>7967</v>
      </c>
      <c r="N546" s="25">
        <f t="shared" si="567"/>
        <v>7967</v>
      </c>
      <c r="O546" s="25">
        <f t="shared" si="568"/>
        <v>4840</v>
      </c>
      <c r="R546" s="50">
        <f t="array" ref="R546">INDEX($B$46:$B$68,MATCH(S546,$C$46:$C$68,0))*1000+T546</f>
        <v>1021009</v>
      </c>
      <c r="S546" s="51" t="s">
        <v>353</v>
      </c>
      <c r="T546" s="29">
        <f t="shared" si="563"/>
        <v>9</v>
      </c>
      <c r="U546" s="25">
        <f t="array" ref="U546">INDEX(K$5:K$67,MATCH($S546,$B$5:$B$67,0))</f>
        <v>375.73</v>
      </c>
      <c r="V546" s="25">
        <f t="array" ref="V546">INDEX(L$5:L$67,MATCH($S546,$B$5:$B$67,0))</f>
        <v>98.25</v>
      </c>
      <c r="W546" s="25">
        <f t="array" ref="W546">INDEX(M$5:M$67,MATCH($S546,$B$5:$B$67,0))</f>
        <v>76.27</v>
      </c>
      <c r="X546" s="25">
        <f t="array" ref="X546">INDEX(N$5:N$67,MATCH($S546,$B$5:$B$67,0))</f>
        <v>64.6</v>
      </c>
      <c r="Y546" s="25">
        <f t="shared" si="569"/>
        <v>3382</v>
      </c>
      <c r="Z546" s="25">
        <f t="shared" si="570"/>
        <v>884</v>
      </c>
      <c r="AA546" s="25">
        <f t="shared" si="571"/>
        <v>686</v>
      </c>
      <c r="AB546" s="25">
        <f t="shared" si="572"/>
        <v>581</v>
      </c>
    </row>
    <row r="547" spans="1:28">
      <c r="A547" s="53">
        <v>1008049</v>
      </c>
      <c r="B547" s="49" t="s">
        <v>332</v>
      </c>
      <c r="C547" s="25">
        <f t="shared" si="564"/>
        <v>49</v>
      </c>
      <c r="D547" s="25">
        <f t="array" ref="D547">INDEX(C$5:C$67,MATCH($B547,$B$5:$B$67,0))</f>
        <v>4500</v>
      </c>
      <c r="E547" s="25">
        <f t="array" ref="E547">INDEX(D$5:D$67,MATCH($B547,$B$5:$B$67,0))</f>
        <v>360</v>
      </c>
      <c r="F547" s="25">
        <f t="array" ref="F547">INDEX(E$5:E$67,MATCH($B547,$B$5:$B$67,0))</f>
        <v>1646</v>
      </c>
      <c r="G547" s="25">
        <f t="array" ref="G547">INDEX(F$5:F$67,MATCH($B547,$B$5:$B$67,0))</f>
        <v>131.68</v>
      </c>
      <c r="H547" s="25">
        <f t="array" ref="H547">INDEX(G$5:G$66,MATCH($B547,$B$5:$B$67,0))</f>
        <v>1646</v>
      </c>
      <c r="I547" s="25">
        <f t="array" ref="I547">INDEX(H$5:H$67,MATCH($B547,$B$5:$B$67,0))</f>
        <v>131.68</v>
      </c>
      <c r="J547" s="25">
        <f t="array" ref="J547">INDEX(I$5:I$67,MATCH($B547,$B$5:$B$67,0))</f>
        <v>1000</v>
      </c>
      <c r="K547" s="25">
        <f t="array" ref="K547">INDEX(J$5:J$67,MATCH($B547,$B$5:$B$67,0))</f>
        <v>80</v>
      </c>
      <c r="L547" s="25">
        <f t="shared" si="565"/>
        <v>22140</v>
      </c>
      <c r="M547" s="25">
        <f t="shared" si="566"/>
        <v>8098</v>
      </c>
      <c r="N547" s="25">
        <f t="shared" si="567"/>
        <v>8098</v>
      </c>
      <c r="O547" s="25">
        <f t="shared" si="568"/>
        <v>4920</v>
      </c>
      <c r="R547" s="50">
        <f t="array" ref="R547">INDEX($B$46:$B$68,MATCH(S547,$C$46:$C$68,0))*1000+T547</f>
        <v>1021010</v>
      </c>
      <c r="S547" s="51" t="s">
        <v>353</v>
      </c>
      <c r="T547" s="29">
        <f t="shared" si="563"/>
        <v>10</v>
      </c>
      <c r="U547" s="25">
        <f t="array" ref="U547">INDEX(K$5:K$67,MATCH($S547,$B$5:$B$67,0))</f>
        <v>375.73</v>
      </c>
      <c r="V547" s="25">
        <f t="array" ref="V547">INDEX(L$5:L$67,MATCH($S547,$B$5:$B$67,0))</f>
        <v>98.25</v>
      </c>
      <c r="W547" s="25">
        <f t="array" ref="W547">INDEX(M$5:M$67,MATCH($S547,$B$5:$B$67,0))</f>
        <v>76.27</v>
      </c>
      <c r="X547" s="25">
        <f t="array" ref="X547">INDEX(N$5:N$67,MATCH($S547,$B$5:$B$67,0))</f>
        <v>64.6</v>
      </c>
      <c r="Y547" s="25">
        <f t="shared" si="569"/>
        <v>3757</v>
      </c>
      <c r="Z547" s="25">
        <f t="shared" si="570"/>
        <v>983</v>
      </c>
      <c r="AA547" s="25">
        <f t="shared" si="571"/>
        <v>763</v>
      </c>
      <c r="AB547" s="25">
        <f t="shared" si="572"/>
        <v>646</v>
      </c>
    </row>
    <row r="548" spans="1:28">
      <c r="A548" s="53">
        <v>1008050</v>
      </c>
      <c r="B548" s="49" t="s">
        <v>332</v>
      </c>
      <c r="C548" s="25">
        <f t="shared" si="564"/>
        <v>50</v>
      </c>
      <c r="D548" s="25">
        <f t="array" ref="D548">INDEX(C$5:C$67,MATCH($B548,$B$5:$B$67,0))</f>
        <v>4500</v>
      </c>
      <c r="E548" s="25">
        <f t="array" ref="E548">INDEX(D$5:D$67,MATCH($B548,$B$5:$B$67,0))</f>
        <v>360</v>
      </c>
      <c r="F548" s="25">
        <f t="array" ref="F548">INDEX(E$5:E$67,MATCH($B548,$B$5:$B$67,0))</f>
        <v>1646</v>
      </c>
      <c r="G548" s="25">
        <f t="array" ref="G548">INDEX(F$5:F$67,MATCH($B548,$B$5:$B$67,0))</f>
        <v>131.68</v>
      </c>
      <c r="H548" s="25">
        <f t="array" ref="H548">INDEX(G$5:G$66,MATCH($B548,$B$5:$B$67,0))</f>
        <v>1646</v>
      </c>
      <c r="I548" s="25">
        <f t="array" ref="I548">INDEX(H$5:H$67,MATCH($B548,$B$5:$B$67,0))</f>
        <v>131.68</v>
      </c>
      <c r="J548" s="25">
        <f t="array" ref="J548">INDEX(I$5:I$67,MATCH($B548,$B$5:$B$67,0))</f>
        <v>1000</v>
      </c>
      <c r="K548" s="25">
        <f t="array" ref="K548">INDEX(J$5:J$67,MATCH($B548,$B$5:$B$67,0))</f>
        <v>80</v>
      </c>
      <c r="L548" s="25">
        <f t="shared" si="565"/>
        <v>22500</v>
      </c>
      <c r="M548" s="25">
        <f t="shared" si="566"/>
        <v>8230</v>
      </c>
      <c r="N548" s="25">
        <f t="shared" si="567"/>
        <v>8230</v>
      </c>
      <c r="O548" s="25">
        <f t="shared" si="568"/>
        <v>5000</v>
      </c>
      <c r="R548" s="50">
        <f t="array" ref="R548">INDEX($B$46:$B$68,MATCH(S548,$C$46:$C$68,0))*1000+T548</f>
        <v>1021011</v>
      </c>
      <c r="S548" s="51" t="s">
        <v>353</v>
      </c>
      <c r="T548" s="29">
        <f t="shared" si="563"/>
        <v>11</v>
      </c>
      <c r="U548" s="25">
        <f t="array" ref="U548">INDEX(K$5:K$67,MATCH($S548,$B$5:$B$67,0))</f>
        <v>375.73</v>
      </c>
      <c r="V548" s="25">
        <f t="array" ref="V548">INDEX(L$5:L$67,MATCH($S548,$B$5:$B$67,0))</f>
        <v>98.25</v>
      </c>
      <c r="W548" s="25">
        <f t="array" ref="W548">INDEX(M$5:M$67,MATCH($S548,$B$5:$B$67,0))</f>
        <v>76.27</v>
      </c>
      <c r="X548" s="25">
        <f t="array" ref="X548">INDEX(N$5:N$67,MATCH($S548,$B$5:$B$67,0))</f>
        <v>64.6</v>
      </c>
      <c r="Y548" s="25">
        <f t="shared" si="569"/>
        <v>4133</v>
      </c>
      <c r="Z548" s="25">
        <f t="shared" si="570"/>
        <v>1081</v>
      </c>
      <c r="AA548" s="25">
        <f t="shared" si="571"/>
        <v>839</v>
      </c>
      <c r="AB548" s="25">
        <f t="shared" si="572"/>
        <v>711</v>
      </c>
    </row>
    <row r="549" spans="1:28">
      <c r="A549" s="53">
        <v>1008051</v>
      </c>
      <c r="B549" s="49" t="s">
        <v>332</v>
      </c>
      <c r="C549" s="25">
        <f t="shared" si="564"/>
        <v>51</v>
      </c>
      <c r="D549" s="25">
        <f t="array" ref="D549">INDEX(C$5:C$67,MATCH($B549,$B$5:$B$67,0))</f>
        <v>4500</v>
      </c>
      <c r="E549" s="25">
        <f t="array" ref="E549">INDEX(D$5:D$67,MATCH($B549,$B$5:$B$67,0))</f>
        <v>360</v>
      </c>
      <c r="F549" s="25">
        <f t="array" ref="F549">INDEX(E$5:E$67,MATCH($B549,$B$5:$B$67,0))</f>
        <v>1646</v>
      </c>
      <c r="G549" s="25">
        <f t="array" ref="G549">INDEX(F$5:F$67,MATCH($B549,$B$5:$B$67,0))</f>
        <v>131.68</v>
      </c>
      <c r="H549" s="25">
        <f t="array" ref="H549">INDEX(G$5:G$66,MATCH($B549,$B$5:$B$67,0))</f>
        <v>1646</v>
      </c>
      <c r="I549" s="25">
        <f t="array" ref="I549">INDEX(H$5:H$67,MATCH($B549,$B$5:$B$67,0))</f>
        <v>131.68</v>
      </c>
      <c r="J549" s="25">
        <f t="array" ref="J549">INDEX(I$5:I$67,MATCH($B549,$B$5:$B$67,0))</f>
        <v>1000</v>
      </c>
      <c r="K549" s="25">
        <f t="array" ref="K549">INDEX(J$5:J$67,MATCH($B549,$B$5:$B$67,0))</f>
        <v>80</v>
      </c>
      <c r="L549" s="25">
        <f t="shared" si="565"/>
        <v>22860</v>
      </c>
      <c r="M549" s="25">
        <f t="shared" si="566"/>
        <v>8362</v>
      </c>
      <c r="N549" s="25">
        <f t="shared" si="567"/>
        <v>8362</v>
      </c>
      <c r="O549" s="25">
        <f t="shared" si="568"/>
        <v>5080</v>
      </c>
      <c r="R549" s="50">
        <f t="array" ref="R549">INDEX($B$46:$B$68,MATCH(S549,$C$46:$C$68,0))*1000+T549</f>
        <v>1021012</v>
      </c>
      <c r="S549" s="51" t="s">
        <v>353</v>
      </c>
      <c r="T549" s="29">
        <f t="shared" si="563"/>
        <v>12</v>
      </c>
      <c r="U549" s="25">
        <f t="array" ref="U549">INDEX(K$5:K$67,MATCH($S549,$B$5:$B$67,0))</f>
        <v>375.73</v>
      </c>
      <c r="V549" s="25">
        <f t="array" ref="V549">INDEX(L$5:L$67,MATCH($S549,$B$5:$B$67,0))</f>
        <v>98.25</v>
      </c>
      <c r="W549" s="25">
        <f t="array" ref="W549">INDEX(M$5:M$67,MATCH($S549,$B$5:$B$67,0))</f>
        <v>76.27</v>
      </c>
      <c r="X549" s="25">
        <f t="array" ref="X549">INDEX(N$5:N$67,MATCH($S549,$B$5:$B$67,0))</f>
        <v>64.6</v>
      </c>
      <c r="Y549" s="25">
        <f t="shared" si="569"/>
        <v>4509</v>
      </c>
      <c r="Z549" s="25">
        <f t="shared" si="570"/>
        <v>1179</v>
      </c>
      <c r="AA549" s="25">
        <f t="shared" si="571"/>
        <v>915</v>
      </c>
      <c r="AB549" s="25">
        <f t="shared" si="572"/>
        <v>775</v>
      </c>
    </row>
    <row r="550" spans="1:28">
      <c r="A550" s="53">
        <v>1008052</v>
      </c>
      <c r="B550" s="49" t="s">
        <v>332</v>
      </c>
      <c r="C550" s="25">
        <f t="shared" si="564"/>
        <v>52</v>
      </c>
      <c r="D550" s="25">
        <f t="array" ref="D550">INDEX(C$5:C$67,MATCH($B550,$B$5:$B$67,0))</f>
        <v>4500</v>
      </c>
      <c r="E550" s="25">
        <f t="array" ref="E550">INDEX(D$5:D$67,MATCH($B550,$B$5:$B$67,0))</f>
        <v>360</v>
      </c>
      <c r="F550" s="25">
        <f t="array" ref="F550">INDEX(E$5:E$67,MATCH($B550,$B$5:$B$67,0))</f>
        <v>1646</v>
      </c>
      <c r="G550" s="25">
        <f t="array" ref="G550">INDEX(F$5:F$67,MATCH($B550,$B$5:$B$67,0))</f>
        <v>131.68</v>
      </c>
      <c r="H550" s="25">
        <f t="array" ref="H550">INDEX(G$5:G$66,MATCH($B550,$B$5:$B$67,0))</f>
        <v>1646</v>
      </c>
      <c r="I550" s="25">
        <f t="array" ref="I550">INDEX(H$5:H$67,MATCH($B550,$B$5:$B$67,0))</f>
        <v>131.68</v>
      </c>
      <c r="J550" s="25">
        <f t="array" ref="J550">INDEX(I$5:I$67,MATCH($B550,$B$5:$B$67,0))</f>
        <v>1000</v>
      </c>
      <c r="K550" s="25">
        <f t="array" ref="K550">INDEX(J$5:J$67,MATCH($B550,$B$5:$B$67,0))</f>
        <v>80</v>
      </c>
      <c r="L550" s="25">
        <f t="shared" si="565"/>
        <v>23220</v>
      </c>
      <c r="M550" s="25">
        <f t="shared" si="566"/>
        <v>8493</v>
      </c>
      <c r="N550" s="25">
        <f t="shared" si="567"/>
        <v>8493</v>
      </c>
      <c r="O550" s="25">
        <f t="shared" si="568"/>
        <v>5160</v>
      </c>
      <c r="R550" s="50">
        <f t="array" ref="R550">INDEX($B$46:$B$68,MATCH(S550,$C$46:$C$68,0))*1000+T550</f>
        <v>1021013</v>
      </c>
      <c r="S550" s="51" t="s">
        <v>353</v>
      </c>
      <c r="T550" s="29">
        <f t="shared" si="563"/>
        <v>13</v>
      </c>
      <c r="U550" s="25">
        <f t="array" ref="U550">INDEX(K$5:K$67,MATCH($S550,$B$5:$B$67,0))</f>
        <v>375.73</v>
      </c>
      <c r="V550" s="25">
        <f t="array" ref="V550">INDEX(L$5:L$67,MATCH($S550,$B$5:$B$67,0))</f>
        <v>98.25</v>
      </c>
      <c r="W550" s="25">
        <f t="array" ref="W550">INDEX(M$5:M$67,MATCH($S550,$B$5:$B$67,0))</f>
        <v>76.27</v>
      </c>
      <c r="X550" s="25">
        <f t="array" ref="X550">INDEX(N$5:N$67,MATCH($S550,$B$5:$B$67,0))</f>
        <v>64.6</v>
      </c>
      <c r="Y550" s="25">
        <f t="shared" si="569"/>
        <v>4884</v>
      </c>
      <c r="Z550" s="25">
        <f t="shared" si="570"/>
        <v>1277</v>
      </c>
      <c r="AA550" s="25">
        <f t="shared" si="571"/>
        <v>992</v>
      </c>
      <c r="AB550" s="25">
        <f t="shared" si="572"/>
        <v>840</v>
      </c>
    </row>
    <row r="551" spans="1:28">
      <c r="A551" s="53">
        <v>1008053</v>
      </c>
      <c r="B551" s="49" t="s">
        <v>332</v>
      </c>
      <c r="C551" s="25">
        <f t="shared" si="564"/>
        <v>53</v>
      </c>
      <c r="D551" s="25">
        <f t="array" ref="D551">INDEX(C$5:C$67,MATCH($B551,$B$5:$B$67,0))</f>
        <v>4500</v>
      </c>
      <c r="E551" s="25">
        <f t="array" ref="E551">INDEX(D$5:D$67,MATCH($B551,$B$5:$B$67,0))</f>
        <v>360</v>
      </c>
      <c r="F551" s="25">
        <f t="array" ref="F551">INDEX(E$5:E$67,MATCH($B551,$B$5:$B$67,0))</f>
        <v>1646</v>
      </c>
      <c r="G551" s="25">
        <f t="array" ref="G551">INDEX(F$5:F$67,MATCH($B551,$B$5:$B$67,0))</f>
        <v>131.68</v>
      </c>
      <c r="H551" s="25">
        <f t="array" ref="H551">INDEX(G$5:G$66,MATCH($B551,$B$5:$B$67,0))</f>
        <v>1646</v>
      </c>
      <c r="I551" s="25">
        <f t="array" ref="I551">INDEX(H$5:H$67,MATCH($B551,$B$5:$B$67,0))</f>
        <v>131.68</v>
      </c>
      <c r="J551" s="25">
        <f t="array" ref="J551">INDEX(I$5:I$67,MATCH($B551,$B$5:$B$67,0))</f>
        <v>1000</v>
      </c>
      <c r="K551" s="25">
        <f t="array" ref="K551">INDEX(J$5:J$67,MATCH($B551,$B$5:$B$67,0))</f>
        <v>80</v>
      </c>
      <c r="L551" s="25">
        <f t="shared" si="565"/>
        <v>23580</v>
      </c>
      <c r="M551" s="25">
        <f t="shared" si="566"/>
        <v>8625</v>
      </c>
      <c r="N551" s="25">
        <f t="shared" si="567"/>
        <v>8625</v>
      </c>
      <c r="O551" s="25">
        <f t="shared" si="568"/>
        <v>5240</v>
      </c>
      <c r="R551" s="50">
        <f t="array" ref="R551">INDEX($B$46:$B$68,MATCH(S551,$C$46:$C$68,0))*1000+T551</f>
        <v>1021014</v>
      </c>
      <c r="S551" s="51" t="s">
        <v>353</v>
      </c>
      <c r="T551" s="29">
        <f t="shared" si="563"/>
        <v>14</v>
      </c>
      <c r="U551" s="25">
        <f t="array" ref="U551">INDEX(K$5:K$67,MATCH($S551,$B$5:$B$67,0))</f>
        <v>375.73</v>
      </c>
      <c r="V551" s="25">
        <f t="array" ref="V551">INDEX(L$5:L$67,MATCH($S551,$B$5:$B$67,0))</f>
        <v>98.25</v>
      </c>
      <c r="W551" s="25">
        <f t="array" ref="W551">INDEX(M$5:M$67,MATCH($S551,$B$5:$B$67,0))</f>
        <v>76.27</v>
      </c>
      <c r="X551" s="25">
        <f t="array" ref="X551">INDEX(N$5:N$67,MATCH($S551,$B$5:$B$67,0))</f>
        <v>64.6</v>
      </c>
      <c r="Y551" s="25">
        <f t="shared" si="569"/>
        <v>5260</v>
      </c>
      <c r="Z551" s="25">
        <f t="shared" si="570"/>
        <v>1376</v>
      </c>
      <c r="AA551" s="25">
        <f t="shared" si="571"/>
        <v>1068</v>
      </c>
      <c r="AB551" s="25">
        <f t="shared" si="572"/>
        <v>904</v>
      </c>
    </row>
    <row r="552" spans="1:28">
      <c r="A552" s="53">
        <v>1008054</v>
      </c>
      <c r="B552" s="49" t="s">
        <v>332</v>
      </c>
      <c r="C552" s="25">
        <f t="shared" si="564"/>
        <v>54</v>
      </c>
      <c r="D552" s="25">
        <f t="array" ref="D552">INDEX(C$5:C$67,MATCH($B552,$B$5:$B$67,0))</f>
        <v>4500</v>
      </c>
      <c r="E552" s="25">
        <f t="array" ref="E552">INDEX(D$5:D$67,MATCH($B552,$B$5:$B$67,0))</f>
        <v>360</v>
      </c>
      <c r="F552" s="25">
        <f t="array" ref="F552">INDEX(E$5:E$67,MATCH($B552,$B$5:$B$67,0))</f>
        <v>1646</v>
      </c>
      <c r="G552" s="25">
        <f t="array" ref="G552">INDEX(F$5:F$67,MATCH($B552,$B$5:$B$67,0))</f>
        <v>131.68</v>
      </c>
      <c r="H552" s="25">
        <f t="array" ref="H552">INDEX(G$5:G$66,MATCH($B552,$B$5:$B$67,0))</f>
        <v>1646</v>
      </c>
      <c r="I552" s="25">
        <f t="array" ref="I552">INDEX(H$5:H$67,MATCH($B552,$B$5:$B$67,0))</f>
        <v>131.68</v>
      </c>
      <c r="J552" s="25">
        <f t="array" ref="J552">INDEX(I$5:I$67,MATCH($B552,$B$5:$B$67,0))</f>
        <v>1000</v>
      </c>
      <c r="K552" s="25">
        <f t="array" ref="K552">INDEX(J$5:J$67,MATCH($B552,$B$5:$B$67,0))</f>
        <v>80</v>
      </c>
      <c r="L552" s="25">
        <f t="shared" si="565"/>
        <v>23940</v>
      </c>
      <c r="M552" s="25">
        <f t="shared" si="566"/>
        <v>8757</v>
      </c>
      <c r="N552" s="25">
        <f t="shared" si="567"/>
        <v>8757</v>
      </c>
      <c r="O552" s="25">
        <f t="shared" si="568"/>
        <v>5320</v>
      </c>
      <c r="R552" s="50">
        <f t="array" ref="R552">INDEX($B$46:$B$68,MATCH(S552,$C$46:$C$68,0))*1000+T552</f>
        <v>1021015</v>
      </c>
      <c r="S552" s="51" t="s">
        <v>353</v>
      </c>
      <c r="T552" s="29">
        <f t="shared" si="563"/>
        <v>15</v>
      </c>
      <c r="U552" s="25">
        <f t="array" ref="U552">INDEX(K$5:K$67,MATCH($S552,$B$5:$B$67,0))</f>
        <v>375.73</v>
      </c>
      <c r="V552" s="25">
        <f t="array" ref="V552">INDEX(L$5:L$67,MATCH($S552,$B$5:$B$67,0))</f>
        <v>98.25</v>
      </c>
      <c r="W552" s="25">
        <f t="array" ref="W552">INDEX(M$5:M$67,MATCH($S552,$B$5:$B$67,0))</f>
        <v>76.27</v>
      </c>
      <c r="X552" s="25">
        <f t="array" ref="X552">INDEX(N$5:N$67,MATCH($S552,$B$5:$B$67,0))</f>
        <v>64.6</v>
      </c>
      <c r="Y552" s="25">
        <f t="shared" si="569"/>
        <v>5636</v>
      </c>
      <c r="Z552" s="25">
        <f t="shared" si="570"/>
        <v>1474</v>
      </c>
      <c r="AA552" s="25">
        <f t="shared" si="571"/>
        <v>1144</v>
      </c>
      <c r="AB552" s="25">
        <f t="shared" si="572"/>
        <v>969</v>
      </c>
    </row>
    <row r="553" spans="1:28">
      <c r="A553" s="53">
        <v>1008055</v>
      </c>
      <c r="B553" s="49" t="s">
        <v>332</v>
      </c>
      <c r="C553" s="25">
        <f t="shared" si="564"/>
        <v>55</v>
      </c>
      <c r="D553" s="25">
        <f t="array" ref="D553">INDEX(C$5:C$67,MATCH($B553,$B$5:$B$67,0))</f>
        <v>4500</v>
      </c>
      <c r="E553" s="25">
        <f t="array" ref="E553">INDEX(D$5:D$67,MATCH($B553,$B$5:$B$67,0))</f>
        <v>360</v>
      </c>
      <c r="F553" s="25">
        <f t="array" ref="F553">INDEX(E$5:E$67,MATCH($B553,$B$5:$B$67,0))</f>
        <v>1646</v>
      </c>
      <c r="G553" s="25">
        <f t="array" ref="G553">INDEX(F$5:F$67,MATCH($B553,$B$5:$B$67,0))</f>
        <v>131.68</v>
      </c>
      <c r="H553" s="25">
        <f t="array" ref="H553">INDEX(G$5:G$66,MATCH($B553,$B$5:$B$67,0))</f>
        <v>1646</v>
      </c>
      <c r="I553" s="25">
        <f t="array" ref="I553">INDEX(H$5:H$67,MATCH($B553,$B$5:$B$67,0))</f>
        <v>131.68</v>
      </c>
      <c r="J553" s="25">
        <f t="array" ref="J553">INDEX(I$5:I$67,MATCH($B553,$B$5:$B$67,0))</f>
        <v>1000</v>
      </c>
      <c r="K553" s="25">
        <f t="array" ref="K553">INDEX(J$5:J$67,MATCH($B553,$B$5:$B$67,0))</f>
        <v>80</v>
      </c>
      <c r="L553" s="25">
        <f t="shared" si="565"/>
        <v>24300</v>
      </c>
      <c r="M553" s="25">
        <f t="shared" si="566"/>
        <v>8888</v>
      </c>
      <c r="N553" s="25">
        <f t="shared" si="567"/>
        <v>8888</v>
      </c>
      <c r="O553" s="25">
        <f t="shared" si="568"/>
        <v>5400</v>
      </c>
      <c r="R553" s="50">
        <f t="array" ref="R553">INDEX($B$46:$B$68,MATCH(S553,$C$46:$C$68,0))*1000+T553</f>
        <v>1021016</v>
      </c>
      <c r="S553" s="51" t="s">
        <v>353</v>
      </c>
      <c r="T553" s="29">
        <f t="shared" si="563"/>
        <v>16</v>
      </c>
      <c r="U553" s="25">
        <f t="array" ref="U553">INDEX(K$5:K$67,MATCH($S553,$B$5:$B$67,0))</f>
        <v>375.73</v>
      </c>
      <c r="V553" s="25">
        <f t="array" ref="V553">INDEX(L$5:L$67,MATCH($S553,$B$5:$B$67,0))</f>
        <v>98.25</v>
      </c>
      <c r="W553" s="25">
        <f t="array" ref="W553">INDEX(M$5:M$67,MATCH($S553,$B$5:$B$67,0))</f>
        <v>76.27</v>
      </c>
      <c r="X553" s="25">
        <f t="array" ref="X553">INDEX(N$5:N$67,MATCH($S553,$B$5:$B$67,0))</f>
        <v>64.6</v>
      </c>
      <c r="Y553" s="25">
        <f t="shared" si="569"/>
        <v>6012</v>
      </c>
      <c r="Z553" s="25">
        <f t="shared" si="570"/>
        <v>1572</v>
      </c>
      <c r="AA553" s="25">
        <f t="shared" si="571"/>
        <v>1220</v>
      </c>
      <c r="AB553" s="25">
        <f t="shared" si="572"/>
        <v>1034</v>
      </c>
    </row>
    <row r="554" spans="1:28">
      <c r="A554" s="53">
        <v>1008056</v>
      </c>
      <c r="B554" s="49" t="s">
        <v>332</v>
      </c>
      <c r="C554" s="25">
        <f t="shared" si="564"/>
        <v>56</v>
      </c>
      <c r="D554" s="25">
        <f t="array" ref="D554">INDEX(C$5:C$67,MATCH($B554,$B$5:$B$67,0))</f>
        <v>4500</v>
      </c>
      <c r="E554" s="25">
        <f t="array" ref="E554">INDEX(D$5:D$67,MATCH($B554,$B$5:$B$67,0))</f>
        <v>360</v>
      </c>
      <c r="F554" s="25">
        <f t="array" ref="F554">INDEX(E$5:E$67,MATCH($B554,$B$5:$B$67,0))</f>
        <v>1646</v>
      </c>
      <c r="G554" s="25">
        <f t="array" ref="G554">INDEX(F$5:F$67,MATCH($B554,$B$5:$B$67,0))</f>
        <v>131.68</v>
      </c>
      <c r="H554" s="25">
        <f t="array" ref="H554">INDEX(G$5:G$66,MATCH($B554,$B$5:$B$67,0))</f>
        <v>1646</v>
      </c>
      <c r="I554" s="25">
        <f t="array" ref="I554">INDEX(H$5:H$67,MATCH($B554,$B$5:$B$67,0))</f>
        <v>131.68</v>
      </c>
      <c r="J554" s="25">
        <f t="array" ref="J554">INDEX(I$5:I$67,MATCH($B554,$B$5:$B$67,0))</f>
        <v>1000</v>
      </c>
      <c r="K554" s="25">
        <f t="array" ref="K554">INDEX(J$5:J$67,MATCH($B554,$B$5:$B$67,0))</f>
        <v>80</v>
      </c>
      <c r="L554" s="25">
        <f t="shared" si="565"/>
        <v>24660</v>
      </c>
      <c r="M554" s="25">
        <f t="shared" si="566"/>
        <v>9020</v>
      </c>
      <c r="N554" s="25">
        <f t="shared" si="567"/>
        <v>9020</v>
      </c>
      <c r="O554" s="25">
        <f t="shared" si="568"/>
        <v>5480</v>
      </c>
      <c r="R554" s="50">
        <f t="array" ref="R554">INDEX($B$46:$B$68,MATCH(S554,$C$46:$C$68,0))*1000+T554</f>
        <v>1021017</v>
      </c>
      <c r="S554" s="51" t="s">
        <v>353</v>
      </c>
      <c r="T554" s="29">
        <f t="shared" ref="T554:T617" si="573">T527</f>
        <v>17</v>
      </c>
      <c r="U554" s="25">
        <f t="array" ref="U554">INDEX(K$5:K$67,MATCH($S554,$B$5:$B$67,0))</f>
        <v>375.73</v>
      </c>
      <c r="V554" s="25">
        <f t="array" ref="V554">INDEX(L$5:L$67,MATCH($S554,$B$5:$B$67,0))</f>
        <v>98.25</v>
      </c>
      <c r="W554" s="25">
        <f t="array" ref="W554">INDEX(M$5:M$67,MATCH($S554,$B$5:$B$67,0))</f>
        <v>76.27</v>
      </c>
      <c r="X554" s="25">
        <f t="array" ref="X554">INDEX(N$5:N$67,MATCH($S554,$B$5:$B$67,0))</f>
        <v>64.6</v>
      </c>
      <c r="Y554" s="25">
        <f t="shared" si="569"/>
        <v>6387</v>
      </c>
      <c r="Z554" s="25">
        <f t="shared" si="570"/>
        <v>1670</v>
      </c>
      <c r="AA554" s="25">
        <f t="shared" si="571"/>
        <v>1297</v>
      </c>
      <c r="AB554" s="25">
        <f t="shared" si="572"/>
        <v>1098</v>
      </c>
    </row>
    <row r="555" spans="1:28">
      <c r="A555" s="53">
        <v>1008057</v>
      </c>
      <c r="B555" s="49" t="s">
        <v>332</v>
      </c>
      <c r="C555" s="25">
        <f t="shared" si="564"/>
        <v>57</v>
      </c>
      <c r="D555" s="25">
        <f t="array" ref="D555">INDEX(C$5:C$67,MATCH($B555,$B$5:$B$67,0))</f>
        <v>4500</v>
      </c>
      <c r="E555" s="25">
        <f t="array" ref="E555">INDEX(D$5:D$67,MATCH($B555,$B$5:$B$67,0))</f>
        <v>360</v>
      </c>
      <c r="F555" s="25">
        <f t="array" ref="F555">INDEX(E$5:E$67,MATCH($B555,$B$5:$B$67,0))</f>
        <v>1646</v>
      </c>
      <c r="G555" s="25">
        <f t="array" ref="G555">INDEX(F$5:F$67,MATCH($B555,$B$5:$B$67,0))</f>
        <v>131.68</v>
      </c>
      <c r="H555" s="25">
        <f t="array" ref="H555">INDEX(G$5:G$66,MATCH($B555,$B$5:$B$67,0))</f>
        <v>1646</v>
      </c>
      <c r="I555" s="25">
        <f t="array" ref="I555">INDEX(H$5:H$67,MATCH($B555,$B$5:$B$67,0))</f>
        <v>131.68</v>
      </c>
      <c r="J555" s="25">
        <f t="array" ref="J555">INDEX(I$5:I$67,MATCH($B555,$B$5:$B$67,0))</f>
        <v>1000</v>
      </c>
      <c r="K555" s="25">
        <f t="array" ref="K555">INDEX(J$5:J$67,MATCH($B555,$B$5:$B$67,0))</f>
        <v>80</v>
      </c>
      <c r="L555" s="25">
        <f t="shared" si="565"/>
        <v>25020</v>
      </c>
      <c r="M555" s="25">
        <f t="shared" si="566"/>
        <v>9152</v>
      </c>
      <c r="N555" s="25">
        <f t="shared" si="567"/>
        <v>9152</v>
      </c>
      <c r="O555" s="25">
        <f t="shared" si="568"/>
        <v>5560</v>
      </c>
      <c r="R555" s="50">
        <f t="array" ref="R555">INDEX($B$46:$B$68,MATCH(S555,$C$46:$C$68,0))*1000+T555</f>
        <v>1021018</v>
      </c>
      <c r="S555" s="51" t="s">
        <v>353</v>
      </c>
      <c r="T555" s="29">
        <f t="shared" si="573"/>
        <v>18</v>
      </c>
      <c r="U555" s="25">
        <f t="array" ref="U555">INDEX(K$5:K$67,MATCH($S555,$B$5:$B$67,0))</f>
        <v>375.73</v>
      </c>
      <c r="V555" s="25">
        <f t="array" ref="V555">INDEX(L$5:L$67,MATCH($S555,$B$5:$B$67,0))</f>
        <v>98.25</v>
      </c>
      <c r="W555" s="25">
        <f t="array" ref="W555">INDEX(M$5:M$67,MATCH($S555,$B$5:$B$67,0))</f>
        <v>76.27</v>
      </c>
      <c r="X555" s="25">
        <f t="array" ref="X555">INDEX(N$5:N$67,MATCH($S555,$B$5:$B$67,0))</f>
        <v>64.6</v>
      </c>
      <c r="Y555" s="25">
        <f t="shared" si="569"/>
        <v>6763</v>
      </c>
      <c r="Z555" s="25">
        <f t="shared" si="570"/>
        <v>1769</v>
      </c>
      <c r="AA555" s="25">
        <f t="shared" si="571"/>
        <v>1373</v>
      </c>
      <c r="AB555" s="25">
        <f t="shared" si="572"/>
        <v>1163</v>
      </c>
    </row>
    <row r="556" spans="1:28">
      <c r="A556" s="53">
        <v>1008058</v>
      </c>
      <c r="B556" s="49" t="s">
        <v>332</v>
      </c>
      <c r="C556" s="25">
        <f t="shared" si="564"/>
        <v>58</v>
      </c>
      <c r="D556" s="25">
        <f t="array" ref="D556">INDEX(C$5:C$67,MATCH($B556,$B$5:$B$67,0))</f>
        <v>4500</v>
      </c>
      <c r="E556" s="25">
        <f t="array" ref="E556">INDEX(D$5:D$67,MATCH($B556,$B$5:$B$67,0))</f>
        <v>360</v>
      </c>
      <c r="F556" s="25">
        <f t="array" ref="F556">INDEX(E$5:E$67,MATCH($B556,$B$5:$B$67,0))</f>
        <v>1646</v>
      </c>
      <c r="G556" s="25">
        <f t="array" ref="G556">INDEX(F$5:F$67,MATCH($B556,$B$5:$B$67,0))</f>
        <v>131.68</v>
      </c>
      <c r="H556" s="25">
        <f t="array" ref="H556">INDEX(G$5:G$66,MATCH($B556,$B$5:$B$67,0))</f>
        <v>1646</v>
      </c>
      <c r="I556" s="25">
        <f t="array" ref="I556">INDEX(H$5:H$67,MATCH($B556,$B$5:$B$67,0))</f>
        <v>131.68</v>
      </c>
      <c r="J556" s="25">
        <f t="array" ref="J556">INDEX(I$5:I$67,MATCH($B556,$B$5:$B$67,0))</f>
        <v>1000</v>
      </c>
      <c r="K556" s="25">
        <f t="array" ref="K556">INDEX(J$5:J$67,MATCH($B556,$B$5:$B$67,0))</f>
        <v>80</v>
      </c>
      <c r="L556" s="25">
        <f t="shared" si="565"/>
        <v>25380</v>
      </c>
      <c r="M556" s="25">
        <f t="shared" si="566"/>
        <v>9283</v>
      </c>
      <c r="N556" s="25">
        <f t="shared" si="567"/>
        <v>9283</v>
      </c>
      <c r="O556" s="25">
        <f t="shared" si="568"/>
        <v>5640</v>
      </c>
      <c r="R556" s="50">
        <f t="array" ref="R556">INDEX($B$46:$B$68,MATCH(S556,$C$46:$C$68,0))*1000+T556</f>
        <v>1021019</v>
      </c>
      <c r="S556" s="51" t="s">
        <v>353</v>
      </c>
      <c r="T556" s="29">
        <f t="shared" si="573"/>
        <v>19</v>
      </c>
      <c r="U556" s="25">
        <f t="array" ref="U556">INDEX(K$5:K$67,MATCH($S556,$B$5:$B$67,0))</f>
        <v>375.73</v>
      </c>
      <c r="V556" s="25">
        <f t="array" ref="V556">INDEX(L$5:L$67,MATCH($S556,$B$5:$B$67,0))</f>
        <v>98.25</v>
      </c>
      <c r="W556" s="25">
        <f t="array" ref="W556">INDEX(M$5:M$67,MATCH($S556,$B$5:$B$67,0))</f>
        <v>76.27</v>
      </c>
      <c r="X556" s="25">
        <f t="array" ref="X556">INDEX(N$5:N$67,MATCH($S556,$B$5:$B$67,0))</f>
        <v>64.6</v>
      </c>
      <c r="Y556" s="25">
        <f t="shared" si="569"/>
        <v>7139</v>
      </c>
      <c r="Z556" s="25">
        <f t="shared" si="570"/>
        <v>1867</v>
      </c>
      <c r="AA556" s="25">
        <f t="shared" si="571"/>
        <v>1449</v>
      </c>
      <c r="AB556" s="25">
        <f t="shared" si="572"/>
        <v>1227</v>
      </c>
    </row>
    <row r="557" spans="1:28">
      <c r="A557" s="53">
        <v>1008059</v>
      </c>
      <c r="B557" s="49" t="s">
        <v>332</v>
      </c>
      <c r="C557" s="25">
        <f t="shared" si="564"/>
        <v>59</v>
      </c>
      <c r="D557" s="25">
        <f t="array" ref="D557">INDEX(C$5:C$67,MATCH($B557,$B$5:$B$67,0))</f>
        <v>4500</v>
      </c>
      <c r="E557" s="25">
        <f t="array" ref="E557">INDEX(D$5:D$67,MATCH($B557,$B$5:$B$67,0))</f>
        <v>360</v>
      </c>
      <c r="F557" s="25">
        <f t="array" ref="F557">INDEX(E$5:E$67,MATCH($B557,$B$5:$B$67,0))</f>
        <v>1646</v>
      </c>
      <c r="G557" s="25">
        <f t="array" ref="G557">INDEX(F$5:F$67,MATCH($B557,$B$5:$B$67,0))</f>
        <v>131.68</v>
      </c>
      <c r="H557" s="25">
        <f t="array" ref="H557">INDEX(G$5:G$66,MATCH($B557,$B$5:$B$67,0))</f>
        <v>1646</v>
      </c>
      <c r="I557" s="25">
        <f t="array" ref="I557">INDEX(H$5:H$67,MATCH($B557,$B$5:$B$67,0))</f>
        <v>131.68</v>
      </c>
      <c r="J557" s="25">
        <f t="array" ref="J557">INDEX(I$5:I$67,MATCH($B557,$B$5:$B$67,0))</f>
        <v>1000</v>
      </c>
      <c r="K557" s="25">
        <f t="array" ref="K557">INDEX(J$5:J$67,MATCH($B557,$B$5:$B$67,0))</f>
        <v>80</v>
      </c>
      <c r="L557" s="25">
        <f t="shared" si="565"/>
        <v>25740</v>
      </c>
      <c r="M557" s="25">
        <f t="shared" si="566"/>
        <v>9415</v>
      </c>
      <c r="N557" s="25">
        <f t="shared" si="567"/>
        <v>9415</v>
      </c>
      <c r="O557" s="25">
        <f t="shared" si="568"/>
        <v>5720</v>
      </c>
      <c r="R557" s="50">
        <f t="array" ref="R557">INDEX($B$46:$B$68,MATCH(S557,$C$46:$C$68,0))*1000+T557</f>
        <v>1021020</v>
      </c>
      <c r="S557" s="51" t="s">
        <v>353</v>
      </c>
      <c r="T557" s="29">
        <f t="shared" si="573"/>
        <v>20</v>
      </c>
      <c r="U557" s="25">
        <f t="array" ref="U557">INDEX(K$5:K$67,MATCH($S557,$B$5:$B$67,0))</f>
        <v>375.73</v>
      </c>
      <c r="V557" s="25">
        <f t="array" ref="V557">INDEX(L$5:L$67,MATCH($S557,$B$5:$B$67,0))</f>
        <v>98.25</v>
      </c>
      <c r="W557" s="25">
        <f t="array" ref="W557">INDEX(M$5:M$67,MATCH($S557,$B$5:$B$67,0))</f>
        <v>76.27</v>
      </c>
      <c r="X557" s="25">
        <f t="array" ref="X557">INDEX(N$5:N$67,MATCH($S557,$B$5:$B$67,0))</f>
        <v>64.6</v>
      </c>
      <c r="Y557" s="25">
        <f t="shared" si="569"/>
        <v>7515</v>
      </c>
      <c r="Z557" s="25">
        <f t="shared" si="570"/>
        <v>1965</v>
      </c>
      <c r="AA557" s="25">
        <f t="shared" si="571"/>
        <v>1525</v>
      </c>
      <c r="AB557" s="25">
        <f t="shared" si="572"/>
        <v>1292</v>
      </c>
    </row>
    <row r="558" spans="1:28">
      <c r="A558" s="53">
        <v>1008060</v>
      </c>
      <c r="B558" s="49" t="s">
        <v>332</v>
      </c>
      <c r="C558" s="25">
        <f t="shared" si="564"/>
        <v>60</v>
      </c>
      <c r="D558" s="25">
        <f t="array" ref="D558">INDEX(C$5:C$67,MATCH($B558,$B$5:$B$67,0))</f>
        <v>4500</v>
      </c>
      <c r="E558" s="25">
        <f t="array" ref="E558">INDEX(D$5:D$67,MATCH($B558,$B$5:$B$67,0))</f>
        <v>360</v>
      </c>
      <c r="F558" s="25">
        <f t="array" ref="F558">INDEX(E$5:E$67,MATCH($B558,$B$5:$B$67,0))</f>
        <v>1646</v>
      </c>
      <c r="G558" s="25">
        <f t="array" ref="G558">INDEX(F$5:F$67,MATCH($B558,$B$5:$B$67,0))</f>
        <v>131.68</v>
      </c>
      <c r="H558" s="25">
        <f t="array" ref="H558">INDEX(G$5:G$66,MATCH($B558,$B$5:$B$67,0))</f>
        <v>1646</v>
      </c>
      <c r="I558" s="25">
        <f t="array" ref="I558">INDEX(H$5:H$67,MATCH($B558,$B$5:$B$67,0))</f>
        <v>131.68</v>
      </c>
      <c r="J558" s="25">
        <f t="array" ref="J558">INDEX(I$5:I$67,MATCH($B558,$B$5:$B$67,0))</f>
        <v>1000</v>
      </c>
      <c r="K558" s="25">
        <f t="array" ref="K558">INDEX(J$5:J$67,MATCH($B558,$B$5:$B$67,0))</f>
        <v>80</v>
      </c>
      <c r="L558" s="25">
        <f t="shared" si="565"/>
        <v>26100</v>
      </c>
      <c r="M558" s="25">
        <f t="shared" si="566"/>
        <v>9547</v>
      </c>
      <c r="N558" s="25">
        <f t="shared" si="567"/>
        <v>9547</v>
      </c>
      <c r="O558" s="25">
        <f t="shared" si="568"/>
        <v>5800</v>
      </c>
      <c r="R558" s="50">
        <f t="array" ref="R558">INDEX($B$46:$B$68,MATCH(S558,$C$46:$C$68,0))*1000+T558</f>
        <v>1021021</v>
      </c>
      <c r="S558" s="51" t="s">
        <v>353</v>
      </c>
      <c r="T558" s="29">
        <f t="shared" si="573"/>
        <v>21</v>
      </c>
      <c r="U558" s="25">
        <f t="array" ref="U558">INDEX(K$5:K$67,MATCH($S558,$B$5:$B$67,0))</f>
        <v>375.73</v>
      </c>
      <c r="V558" s="25">
        <f t="array" ref="V558">INDEX(L$5:L$67,MATCH($S558,$B$5:$B$67,0))</f>
        <v>98.25</v>
      </c>
      <c r="W558" s="25">
        <f t="array" ref="W558">INDEX(M$5:M$67,MATCH($S558,$B$5:$B$67,0))</f>
        <v>76.27</v>
      </c>
      <c r="X558" s="25">
        <f t="array" ref="X558">INDEX(N$5:N$67,MATCH($S558,$B$5:$B$67,0))</f>
        <v>64.6</v>
      </c>
      <c r="Y558" s="25">
        <f t="shared" si="569"/>
        <v>7890</v>
      </c>
      <c r="Z558" s="25">
        <f t="shared" si="570"/>
        <v>2063</v>
      </c>
      <c r="AA558" s="25">
        <f t="shared" si="571"/>
        <v>1602</v>
      </c>
      <c r="AB558" s="25">
        <f t="shared" si="572"/>
        <v>1357</v>
      </c>
    </row>
    <row r="559" spans="1:28">
      <c r="A559" s="48">
        <v>1009001</v>
      </c>
      <c r="B559" s="49" t="s">
        <v>905</v>
      </c>
      <c r="C559" s="25">
        <f t="shared" si="564"/>
        <v>1</v>
      </c>
      <c r="D559" s="25">
        <f t="array" ref="D559">INDEX(C$5:C$67,MATCH($B559,$B$5:$B$67,0))</f>
        <v>4200</v>
      </c>
      <c r="E559" s="25">
        <f t="array" ref="E559">INDEX(D$5:D$67,MATCH($B559,$B$5:$B$67,0))</f>
        <v>336</v>
      </c>
      <c r="F559" s="25">
        <f t="array" ref="F559">INDEX(E$5:E$67,MATCH($B559,$B$5:$B$67,0))</f>
        <v>1440</v>
      </c>
      <c r="G559" s="25">
        <f t="array" ref="G559">INDEX(F$5:F$67,MATCH($B559,$B$5:$B$67,0))</f>
        <v>115.2</v>
      </c>
      <c r="H559" s="25">
        <f t="array" ref="H559">INDEX(G$5:G$66,MATCH($B559,$B$5:$B$67,0))</f>
        <v>1818</v>
      </c>
      <c r="I559" s="25">
        <f t="array" ref="I559">INDEX(H$5:H$67,MATCH($B559,$B$5:$B$67,0))</f>
        <v>145.44</v>
      </c>
      <c r="J559" s="25">
        <f t="array" ref="J559">INDEX(I$5:I$67,MATCH($B559,$B$5:$B$67,0))</f>
        <v>990</v>
      </c>
      <c r="K559" s="25">
        <f t="array" ref="K559">INDEX(J$5:J$67,MATCH($B559,$B$5:$B$67,0))</f>
        <v>79.2</v>
      </c>
      <c r="L559" s="25">
        <f t="shared" si="565"/>
        <v>4536</v>
      </c>
      <c r="M559" s="25">
        <f t="shared" si="566"/>
        <v>1555</v>
      </c>
      <c r="N559" s="25">
        <f t="shared" si="567"/>
        <v>1963</v>
      </c>
      <c r="O559" s="25">
        <f t="shared" si="568"/>
        <v>1069</v>
      </c>
      <c r="R559" s="50">
        <f t="array" ref="R559">INDEX($B$46:$B$68,MATCH(S559,$C$46:$C$68,0))*1000+T559</f>
        <v>1021022</v>
      </c>
      <c r="S559" s="51" t="s">
        <v>353</v>
      </c>
      <c r="T559" s="29">
        <f t="shared" si="573"/>
        <v>22</v>
      </c>
      <c r="U559" s="25">
        <f t="array" ref="U559">INDEX(K$5:K$67,MATCH($S559,$B$5:$B$67,0))</f>
        <v>375.73</v>
      </c>
      <c r="V559" s="25">
        <f t="array" ref="V559">INDEX(L$5:L$67,MATCH($S559,$B$5:$B$67,0))</f>
        <v>98.25</v>
      </c>
      <c r="W559" s="25">
        <f t="array" ref="W559">INDEX(M$5:M$67,MATCH($S559,$B$5:$B$67,0))</f>
        <v>76.27</v>
      </c>
      <c r="X559" s="25">
        <f t="array" ref="X559">INDEX(N$5:N$67,MATCH($S559,$B$5:$B$67,0))</f>
        <v>64.6</v>
      </c>
      <c r="Y559" s="25">
        <f t="shared" si="569"/>
        <v>8266</v>
      </c>
      <c r="Z559" s="25">
        <f t="shared" si="570"/>
        <v>2162</v>
      </c>
      <c r="AA559" s="25">
        <f t="shared" si="571"/>
        <v>1678</v>
      </c>
      <c r="AB559" s="25">
        <f t="shared" si="572"/>
        <v>1421</v>
      </c>
    </row>
    <row r="560" spans="1:28">
      <c r="A560" s="48">
        <v>1009002</v>
      </c>
      <c r="B560" s="49" t="s">
        <v>905</v>
      </c>
      <c r="C560" s="25">
        <f t="shared" si="564"/>
        <v>2</v>
      </c>
      <c r="D560" s="25">
        <f t="array" ref="D560">INDEX(C$5:C$67,MATCH($B560,$B$5:$B$67,0))</f>
        <v>4200</v>
      </c>
      <c r="E560" s="25">
        <f t="array" ref="E560">INDEX(D$5:D$67,MATCH($B560,$B$5:$B$67,0))</f>
        <v>336</v>
      </c>
      <c r="F560" s="25">
        <f t="array" ref="F560">INDEX(E$5:E$67,MATCH($B560,$B$5:$B$67,0))</f>
        <v>1440</v>
      </c>
      <c r="G560" s="25">
        <f t="array" ref="G560">INDEX(F$5:F$67,MATCH($B560,$B$5:$B$67,0))</f>
        <v>115.2</v>
      </c>
      <c r="H560" s="25">
        <f t="array" ref="H560">INDEX(G$5:G$66,MATCH($B560,$B$5:$B$67,0))</f>
        <v>1818</v>
      </c>
      <c r="I560" s="25">
        <f t="array" ref="I560">INDEX(H$5:H$67,MATCH($B560,$B$5:$B$67,0))</f>
        <v>145.44</v>
      </c>
      <c r="J560" s="25">
        <f t="array" ref="J560">INDEX(I$5:I$67,MATCH($B560,$B$5:$B$67,0))</f>
        <v>990</v>
      </c>
      <c r="K560" s="25">
        <f t="array" ref="K560">INDEX(J$5:J$67,MATCH($B560,$B$5:$B$67,0))</f>
        <v>79.2</v>
      </c>
      <c r="L560" s="25">
        <f t="shared" si="565"/>
        <v>4872</v>
      </c>
      <c r="M560" s="25">
        <f t="shared" si="566"/>
        <v>1670</v>
      </c>
      <c r="N560" s="25">
        <f t="shared" si="567"/>
        <v>2109</v>
      </c>
      <c r="O560" s="25">
        <f t="shared" si="568"/>
        <v>1148</v>
      </c>
      <c r="R560" s="50">
        <f t="array" ref="R560">INDEX($B$46:$B$68,MATCH(S560,$C$46:$C$68,0))*1000+T560</f>
        <v>1021023</v>
      </c>
      <c r="S560" s="51" t="s">
        <v>353</v>
      </c>
      <c r="T560" s="29">
        <f t="shared" si="573"/>
        <v>23</v>
      </c>
      <c r="U560" s="25">
        <f t="array" ref="U560">INDEX(K$5:K$67,MATCH($S560,$B$5:$B$67,0))</f>
        <v>375.73</v>
      </c>
      <c r="V560" s="25">
        <f t="array" ref="V560">INDEX(L$5:L$67,MATCH($S560,$B$5:$B$67,0))</f>
        <v>98.25</v>
      </c>
      <c r="W560" s="25">
        <f t="array" ref="W560">INDEX(M$5:M$67,MATCH($S560,$B$5:$B$67,0))</f>
        <v>76.27</v>
      </c>
      <c r="X560" s="25">
        <f t="array" ref="X560">INDEX(N$5:N$67,MATCH($S560,$B$5:$B$67,0))</f>
        <v>64.6</v>
      </c>
      <c r="Y560" s="25">
        <f t="shared" si="569"/>
        <v>8642</v>
      </c>
      <c r="Z560" s="25">
        <f t="shared" si="570"/>
        <v>2260</v>
      </c>
      <c r="AA560" s="25">
        <f t="shared" si="571"/>
        <v>1754</v>
      </c>
      <c r="AB560" s="25">
        <f t="shared" si="572"/>
        <v>1486</v>
      </c>
    </row>
    <row r="561" spans="1:28">
      <c r="A561" s="48">
        <v>1009003</v>
      </c>
      <c r="B561" s="49" t="s">
        <v>905</v>
      </c>
      <c r="C561" s="25">
        <f t="shared" si="564"/>
        <v>3</v>
      </c>
      <c r="D561" s="25">
        <f t="array" ref="D561">INDEX(C$5:C$67,MATCH($B561,$B$5:$B$67,0))</f>
        <v>4200</v>
      </c>
      <c r="E561" s="25">
        <f t="array" ref="E561">INDEX(D$5:D$67,MATCH($B561,$B$5:$B$67,0))</f>
        <v>336</v>
      </c>
      <c r="F561" s="25">
        <f t="array" ref="F561">INDEX(E$5:E$67,MATCH($B561,$B$5:$B$67,0))</f>
        <v>1440</v>
      </c>
      <c r="G561" s="25">
        <f t="array" ref="G561">INDEX(F$5:F$67,MATCH($B561,$B$5:$B$67,0))</f>
        <v>115.2</v>
      </c>
      <c r="H561" s="25">
        <f t="array" ref="H561">INDEX(G$5:G$66,MATCH($B561,$B$5:$B$67,0))</f>
        <v>1818</v>
      </c>
      <c r="I561" s="25">
        <f t="array" ref="I561">INDEX(H$5:H$67,MATCH($B561,$B$5:$B$67,0))</f>
        <v>145.44</v>
      </c>
      <c r="J561" s="25">
        <f t="array" ref="J561">INDEX(I$5:I$67,MATCH($B561,$B$5:$B$67,0))</f>
        <v>990</v>
      </c>
      <c r="K561" s="25">
        <f t="array" ref="K561">INDEX(J$5:J$67,MATCH($B561,$B$5:$B$67,0))</f>
        <v>79.2</v>
      </c>
      <c r="L561" s="25">
        <f t="shared" si="565"/>
        <v>5208</v>
      </c>
      <c r="M561" s="25">
        <f t="shared" si="566"/>
        <v>1786</v>
      </c>
      <c r="N561" s="25">
        <f t="shared" si="567"/>
        <v>2254</v>
      </c>
      <c r="O561" s="25">
        <f t="shared" si="568"/>
        <v>1228</v>
      </c>
      <c r="R561" s="50">
        <f t="array" ref="R561">INDEX($B$46:$B$68,MATCH(S561,$C$46:$C$68,0))*1000+T561</f>
        <v>1021024</v>
      </c>
      <c r="S561" s="51" t="s">
        <v>353</v>
      </c>
      <c r="T561" s="29">
        <f t="shared" si="573"/>
        <v>24</v>
      </c>
      <c r="U561" s="25">
        <f t="array" ref="U561">INDEX(K$5:K$67,MATCH($S561,$B$5:$B$67,0))</f>
        <v>375.73</v>
      </c>
      <c r="V561" s="25">
        <f t="array" ref="V561">INDEX(L$5:L$67,MATCH($S561,$B$5:$B$67,0))</f>
        <v>98.25</v>
      </c>
      <c r="W561" s="25">
        <f t="array" ref="W561">INDEX(M$5:M$67,MATCH($S561,$B$5:$B$67,0))</f>
        <v>76.27</v>
      </c>
      <c r="X561" s="25">
        <f t="array" ref="X561">INDEX(N$5:N$67,MATCH($S561,$B$5:$B$67,0))</f>
        <v>64.6</v>
      </c>
      <c r="Y561" s="25">
        <f t="shared" si="569"/>
        <v>9018</v>
      </c>
      <c r="Z561" s="25">
        <f t="shared" si="570"/>
        <v>2358</v>
      </c>
      <c r="AA561" s="25">
        <f t="shared" si="571"/>
        <v>1830</v>
      </c>
      <c r="AB561" s="25">
        <f t="shared" si="572"/>
        <v>1550</v>
      </c>
    </row>
    <row r="562" spans="1:28">
      <c r="A562" s="48">
        <v>1009004</v>
      </c>
      <c r="B562" s="49" t="s">
        <v>905</v>
      </c>
      <c r="C562" s="25">
        <f t="shared" si="564"/>
        <v>4</v>
      </c>
      <c r="D562" s="25">
        <f t="array" ref="D562">INDEX(C$5:C$67,MATCH($B562,$B$5:$B$67,0))</f>
        <v>4200</v>
      </c>
      <c r="E562" s="25">
        <f t="array" ref="E562">INDEX(D$5:D$67,MATCH($B562,$B$5:$B$67,0))</f>
        <v>336</v>
      </c>
      <c r="F562" s="25">
        <f t="array" ref="F562">INDEX(E$5:E$67,MATCH($B562,$B$5:$B$67,0))</f>
        <v>1440</v>
      </c>
      <c r="G562" s="25">
        <f t="array" ref="G562">INDEX(F$5:F$67,MATCH($B562,$B$5:$B$67,0))</f>
        <v>115.2</v>
      </c>
      <c r="H562" s="25">
        <f t="array" ref="H562">INDEX(G$5:G$66,MATCH($B562,$B$5:$B$67,0))</f>
        <v>1818</v>
      </c>
      <c r="I562" s="25">
        <f t="array" ref="I562">INDEX(H$5:H$67,MATCH($B562,$B$5:$B$67,0))</f>
        <v>145.44</v>
      </c>
      <c r="J562" s="25">
        <f t="array" ref="J562">INDEX(I$5:I$67,MATCH($B562,$B$5:$B$67,0))</f>
        <v>990</v>
      </c>
      <c r="K562" s="25">
        <f t="array" ref="K562">INDEX(J$5:J$67,MATCH($B562,$B$5:$B$67,0))</f>
        <v>79.2</v>
      </c>
      <c r="L562" s="25">
        <f t="shared" si="565"/>
        <v>5544</v>
      </c>
      <c r="M562" s="25">
        <f t="shared" si="566"/>
        <v>1901</v>
      </c>
      <c r="N562" s="25">
        <f t="shared" si="567"/>
        <v>2400</v>
      </c>
      <c r="O562" s="25">
        <f t="shared" si="568"/>
        <v>1307</v>
      </c>
      <c r="R562" s="50">
        <f t="array" ref="R562">INDEX($B$46:$B$68,MATCH(S562,$C$46:$C$68,0))*1000+T562</f>
        <v>1021025</v>
      </c>
      <c r="S562" s="51" t="s">
        <v>353</v>
      </c>
      <c r="T562" s="29">
        <f t="shared" si="573"/>
        <v>25</v>
      </c>
      <c r="U562" s="25">
        <f t="array" ref="U562">INDEX(K$5:K$67,MATCH($S562,$B$5:$B$67,0))</f>
        <v>375.73</v>
      </c>
      <c r="V562" s="25">
        <f t="array" ref="V562">INDEX(L$5:L$67,MATCH($S562,$B$5:$B$67,0))</f>
        <v>98.25</v>
      </c>
      <c r="W562" s="25">
        <f t="array" ref="W562">INDEX(M$5:M$67,MATCH($S562,$B$5:$B$67,0))</f>
        <v>76.27</v>
      </c>
      <c r="X562" s="25">
        <f t="array" ref="X562">INDEX(N$5:N$67,MATCH($S562,$B$5:$B$67,0))</f>
        <v>64.6</v>
      </c>
      <c r="Y562" s="25">
        <f t="shared" si="569"/>
        <v>9393</v>
      </c>
      <c r="Z562" s="25">
        <f t="shared" si="570"/>
        <v>2456</v>
      </c>
      <c r="AA562" s="25">
        <f t="shared" si="571"/>
        <v>1907</v>
      </c>
      <c r="AB562" s="25">
        <f t="shared" si="572"/>
        <v>1615</v>
      </c>
    </row>
    <row r="563" spans="1:28">
      <c r="A563" s="48">
        <v>1009005</v>
      </c>
      <c r="B563" s="49" t="s">
        <v>905</v>
      </c>
      <c r="C563" s="25">
        <f t="shared" si="564"/>
        <v>5</v>
      </c>
      <c r="D563" s="25">
        <f t="array" ref="D563">INDEX(C$5:C$67,MATCH($B563,$B$5:$B$67,0))</f>
        <v>4200</v>
      </c>
      <c r="E563" s="25">
        <f t="array" ref="E563">INDEX(D$5:D$67,MATCH($B563,$B$5:$B$67,0))</f>
        <v>336</v>
      </c>
      <c r="F563" s="25">
        <f t="array" ref="F563">INDEX(E$5:E$67,MATCH($B563,$B$5:$B$67,0))</f>
        <v>1440</v>
      </c>
      <c r="G563" s="25">
        <f t="array" ref="G563">INDEX(F$5:F$67,MATCH($B563,$B$5:$B$67,0))</f>
        <v>115.2</v>
      </c>
      <c r="H563" s="25">
        <f t="array" ref="H563">INDEX(G$5:G$66,MATCH($B563,$B$5:$B$67,0))</f>
        <v>1818</v>
      </c>
      <c r="I563" s="25">
        <f t="array" ref="I563">INDEX(H$5:H$67,MATCH($B563,$B$5:$B$67,0))</f>
        <v>145.44</v>
      </c>
      <c r="J563" s="25">
        <f t="array" ref="J563">INDEX(I$5:I$67,MATCH($B563,$B$5:$B$67,0))</f>
        <v>990</v>
      </c>
      <c r="K563" s="25">
        <f t="array" ref="K563">INDEX(J$5:J$67,MATCH($B563,$B$5:$B$67,0))</f>
        <v>79.2</v>
      </c>
      <c r="L563" s="25">
        <f t="shared" si="565"/>
        <v>5880</v>
      </c>
      <c r="M563" s="25">
        <f t="shared" si="566"/>
        <v>2016</v>
      </c>
      <c r="N563" s="25">
        <f t="shared" si="567"/>
        <v>2545</v>
      </c>
      <c r="O563" s="25">
        <f t="shared" si="568"/>
        <v>1386</v>
      </c>
      <c r="R563" s="50">
        <f t="array" ref="R563">INDEX($B$46:$B$68,MATCH(S563,$C$46:$C$68,0))*1000+T563</f>
        <v>1021026</v>
      </c>
      <c r="S563" s="51" t="s">
        <v>353</v>
      </c>
      <c r="T563" s="29">
        <f t="shared" si="573"/>
        <v>26</v>
      </c>
      <c r="U563" s="25">
        <f t="array" ref="U563">INDEX(K$5:K$67,MATCH($S563,$B$5:$B$67,0))</f>
        <v>375.73</v>
      </c>
      <c r="V563" s="25">
        <f t="array" ref="V563">INDEX(L$5:L$67,MATCH($S563,$B$5:$B$67,0))</f>
        <v>98.25</v>
      </c>
      <c r="W563" s="25">
        <f t="array" ref="W563">INDEX(M$5:M$67,MATCH($S563,$B$5:$B$67,0))</f>
        <v>76.27</v>
      </c>
      <c r="X563" s="25">
        <f t="array" ref="X563">INDEX(N$5:N$67,MATCH($S563,$B$5:$B$67,0))</f>
        <v>64.6</v>
      </c>
      <c r="Y563" s="25">
        <f t="shared" si="569"/>
        <v>9769</v>
      </c>
      <c r="Z563" s="25">
        <f t="shared" si="570"/>
        <v>2555</v>
      </c>
      <c r="AA563" s="25">
        <f t="shared" si="571"/>
        <v>1983</v>
      </c>
      <c r="AB563" s="25">
        <f t="shared" si="572"/>
        <v>1680</v>
      </c>
    </row>
    <row r="564" spans="1:28">
      <c r="A564" s="48">
        <v>1009006</v>
      </c>
      <c r="B564" s="49" t="s">
        <v>905</v>
      </c>
      <c r="C564" s="25">
        <f t="shared" si="564"/>
        <v>6</v>
      </c>
      <c r="D564" s="25">
        <f t="array" ref="D564">INDEX(C$5:C$67,MATCH($B564,$B$5:$B$67,0))</f>
        <v>4200</v>
      </c>
      <c r="E564" s="25">
        <f t="array" ref="E564">INDEX(D$5:D$67,MATCH($B564,$B$5:$B$67,0))</f>
        <v>336</v>
      </c>
      <c r="F564" s="25">
        <f t="array" ref="F564">INDEX(E$5:E$67,MATCH($B564,$B$5:$B$67,0))</f>
        <v>1440</v>
      </c>
      <c r="G564" s="25">
        <f t="array" ref="G564">INDEX(F$5:F$67,MATCH($B564,$B$5:$B$67,0))</f>
        <v>115.2</v>
      </c>
      <c r="H564" s="25">
        <f t="array" ref="H564">INDEX(G$5:G$66,MATCH($B564,$B$5:$B$67,0))</f>
        <v>1818</v>
      </c>
      <c r="I564" s="25">
        <f t="array" ref="I564">INDEX(H$5:H$67,MATCH($B564,$B$5:$B$67,0))</f>
        <v>145.44</v>
      </c>
      <c r="J564" s="25">
        <f t="array" ref="J564">INDEX(I$5:I$67,MATCH($B564,$B$5:$B$67,0))</f>
        <v>990</v>
      </c>
      <c r="K564" s="25">
        <f t="array" ref="K564">INDEX(J$5:J$67,MATCH($B564,$B$5:$B$67,0))</f>
        <v>79.2</v>
      </c>
      <c r="L564" s="25">
        <f t="shared" si="565"/>
        <v>6216</v>
      </c>
      <c r="M564" s="25">
        <f t="shared" si="566"/>
        <v>2131</v>
      </c>
      <c r="N564" s="25">
        <f t="shared" si="567"/>
        <v>2691</v>
      </c>
      <c r="O564" s="25">
        <f t="shared" si="568"/>
        <v>1465</v>
      </c>
      <c r="R564" s="50">
        <f t="array" ref="R564">INDEX($B$46:$B$68,MATCH(S564,$C$46:$C$68,0))*1000+T564</f>
        <v>1021027</v>
      </c>
      <c r="S564" s="51" t="s">
        <v>353</v>
      </c>
      <c r="T564" s="29">
        <f t="shared" si="573"/>
        <v>27</v>
      </c>
      <c r="U564" s="25">
        <f t="array" ref="U564">INDEX(K$5:K$67,MATCH($S564,$B$5:$B$67,0))</f>
        <v>375.73</v>
      </c>
      <c r="V564" s="25">
        <f t="array" ref="V564">INDEX(L$5:L$67,MATCH($S564,$B$5:$B$67,0))</f>
        <v>98.25</v>
      </c>
      <c r="W564" s="25">
        <f t="array" ref="W564">INDEX(M$5:M$67,MATCH($S564,$B$5:$B$67,0))</f>
        <v>76.27</v>
      </c>
      <c r="X564" s="25">
        <f t="array" ref="X564">INDEX(N$5:N$67,MATCH($S564,$B$5:$B$67,0))</f>
        <v>64.6</v>
      </c>
      <c r="Y564" s="25">
        <f t="shared" si="569"/>
        <v>10145</v>
      </c>
      <c r="Z564" s="25">
        <f t="shared" si="570"/>
        <v>2653</v>
      </c>
      <c r="AA564" s="25">
        <f t="shared" si="571"/>
        <v>2059</v>
      </c>
      <c r="AB564" s="25">
        <f t="shared" si="572"/>
        <v>1744</v>
      </c>
    </row>
    <row r="565" spans="1:28">
      <c r="A565" s="48">
        <v>1009007</v>
      </c>
      <c r="B565" s="49" t="s">
        <v>905</v>
      </c>
      <c r="C565" s="25">
        <f t="shared" si="564"/>
        <v>7</v>
      </c>
      <c r="D565" s="25">
        <f t="array" ref="D565">INDEX(C$5:C$67,MATCH($B565,$B$5:$B$67,0))</f>
        <v>4200</v>
      </c>
      <c r="E565" s="25">
        <f t="array" ref="E565">INDEX(D$5:D$67,MATCH($B565,$B$5:$B$67,0))</f>
        <v>336</v>
      </c>
      <c r="F565" s="25">
        <f t="array" ref="F565">INDEX(E$5:E$67,MATCH($B565,$B$5:$B$67,0))</f>
        <v>1440</v>
      </c>
      <c r="G565" s="25">
        <f t="array" ref="G565">INDEX(F$5:F$67,MATCH($B565,$B$5:$B$67,0))</f>
        <v>115.2</v>
      </c>
      <c r="H565" s="25">
        <f t="array" ref="H565">INDEX(G$5:G$66,MATCH($B565,$B$5:$B$67,0))</f>
        <v>1818</v>
      </c>
      <c r="I565" s="25">
        <f t="array" ref="I565">INDEX(H$5:H$67,MATCH($B565,$B$5:$B$67,0))</f>
        <v>145.44</v>
      </c>
      <c r="J565" s="25">
        <f t="array" ref="J565">INDEX(I$5:I$67,MATCH($B565,$B$5:$B$67,0))</f>
        <v>990</v>
      </c>
      <c r="K565" s="25">
        <f t="array" ref="K565">INDEX(J$5:J$67,MATCH($B565,$B$5:$B$67,0))</f>
        <v>79.2</v>
      </c>
      <c r="L565" s="25">
        <f t="shared" si="565"/>
        <v>6552</v>
      </c>
      <c r="M565" s="25">
        <f t="shared" si="566"/>
        <v>2246</v>
      </c>
      <c r="N565" s="25">
        <f t="shared" si="567"/>
        <v>2836</v>
      </c>
      <c r="O565" s="25">
        <f t="shared" si="568"/>
        <v>1544</v>
      </c>
      <c r="R565" s="50">
        <f t="array" ref="R565">INDEX($B$46:$B$68,MATCH(S565,$C$46:$C$68,0))*1000+T565</f>
        <v>1023001</v>
      </c>
      <c r="S565" s="51" t="s">
        <v>354</v>
      </c>
      <c r="T565" s="29">
        <f t="shared" si="573"/>
        <v>1</v>
      </c>
      <c r="U565" s="25">
        <f t="array" ref="U565">INDEX(K$5:K$67,MATCH($S565,$B$5:$B$67,0))</f>
        <v>374.88</v>
      </c>
      <c r="V565" s="25">
        <f t="array" ref="V565">INDEX(L$5:L$67,MATCH($S565,$B$5:$B$67,0))</f>
        <v>82.94</v>
      </c>
      <c r="W565" s="25">
        <f t="array" ref="W565">INDEX(M$5:M$67,MATCH($S565,$B$5:$B$67,0))</f>
        <v>66.36</v>
      </c>
      <c r="X565" s="25">
        <f t="array" ref="X565">INDEX(N$5:N$67,MATCH($S565,$B$5:$B$67,0))</f>
        <v>78.54</v>
      </c>
      <c r="Y565" s="25">
        <f t="shared" si="569"/>
        <v>375</v>
      </c>
      <c r="Z565" s="25">
        <f t="shared" si="570"/>
        <v>83</v>
      </c>
      <c r="AA565" s="25">
        <f t="shared" si="571"/>
        <v>66</v>
      </c>
      <c r="AB565" s="25">
        <f t="shared" si="572"/>
        <v>79</v>
      </c>
    </row>
    <row r="566" spans="1:28">
      <c r="A566" s="48">
        <v>1009008</v>
      </c>
      <c r="B566" s="49" t="s">
        <v>905</v>
      </c>
      <c r="C566" s="25">
        <f t="shared" si="564"/>
        <v>8</v>
      </c>
      <c r="D566" s="25">
        <f t="array" ref="D566">INDEX(C$5:C$67,MATCH($B566,$B$5:$B$67,0))</f>
        <v>4200</v>
      </c>
      <c r="E566" s="25">
        <f t="array" ref="E566">INDEX(D$5:D$67,MATCH($B566,$B$5:$B$67,0))</f>
        <v>336</v>
      </c>
      <c r="F566" s="25">
        <f t="array" ref="F566">INDEX(E$5:E$67,MATCH($B566,$B$5:$B$67,0))</f>
        <v>1440</v>
      </c>
      <c r="G566" s="25">
        <f t="array" ref="G566">INDEX(F$5:F$67,MATCH($B566,$B$5:$B$67,0))</f>
        <v>115.2</v>
      </c>
      <c r="H566" s="25">
        <f t="array" ref="H566">INDEX(G$5:G$66,MATCH($B566,$B$5:$B$67,0))</f>
        <v>1818</v>
      </c>
      <c r="I566" s="25">
        <f t="array" ref="I566">INDEX(H$5:H$67,MATCH($B566,$B$5:$B$67,0))</f>
        <v>145.44</v>
      </c>
      <c r="J566" s="25">
        <f t="array" ref="J566">INDEX(I$5:I$67,MATCH($B566,$B$5:$B$67,0))</f>
        <v>990</v>
      </c>
      <c r="K566" s="25">
        <f t="array" ref="K566">INDEX(J$5:J$67,MATCH($B566,$B$5:$B$67,0))</f>
        <v>79.2</v>
      </c>
      <c r="L566" s="25">
        <f t="shared" si="565"/>
        <v>6888</v>
      </c>
      <c r="M566" s="25">
        <f t="shared" si="566"/>
        <v>2362</v>
      </c>
      <c r="N566" s="25">
        <f t="shared" si="567"/>
        <v>2982</v>
      </c>
      <c r="O566" s="25">
        <f t="shared" si="568"/>
        <v>1624</v>
      </c>
      <c r="R566" s="50">
        <f t="array" ref="R566">INDEX($B$46:$B$68,MATCH(S566,$C$46:$C$68,0))*1000+T566</f>
        <v>1023002</v>
      </c>
      <c r="S566" s="51" t="s">
        <v>354</v>
      </c>
      <c r="T566" s="29">
        <f t="shared" si="573"/>
        <v>2</v>
      </c>
      <c r="U566" s="25">
        <f t="array" ref="U566">INDEX(K$5:K$67,MATCH($S566,$B$5:$B$67,0))</f>
        <v>374.88</v>
      </c>
      <c r="V566" s="25">
        <f t="array" ref="V566">INDEX(L$5:L$67,MATCH($S566,$B$5:$B$67,0))</f>
        <v>82.94</v>
      </c>
      <c r="W566" s="25">
        <f t="array" ref="W566">INDEX(M$5:M$67,MATCH($S566,$B$5:$B$67,0))</f>
        <v>66.36</v>
      </c>
      <c r="X566" s="25">
        <f t="array" ref="X566">INDEX(N$5:N$67,MATCH($S566,$B$5:$B$67,0))</f>
        <v>78.54</v>
      </c>
      <c r="Y566" s="25">
        <f t="shared" si="569"/>
        <v>750</v>
      </c>
      <c r="Z566" s="25">
        <f t="shared" si="570"/>
        <v>166</v>
      </c>
      <c r="AA566" s="25">
        <f t="shared" si="571"/>
        <v>133</v>
      </c>
      <c r="AB566" s="25">
        <f t="shared" si="572"/>
        <v>157</v>
      </c>
    </row>
    <row r="567" spans="1:28">
      <c r="A567" s="48">
        <v>1009009</v>
      </c>
      <c r="B567" s="49" t="s">
        <v>905</v>
      </c>
      <c r="C567" s="25">
        <f t="shared" si="564"/>
        <v>9</v>
      </c>
      <c r="D567" s="25">
        <f t="array" ref="D567">INDEX(C$5:C$67,MATCH($B567,$B$5:$B$67,0))</f>
        <v>4200</v>
      </c>
      <c r="E567" s="25">
        <f t="array" ref="E567">INDEX(D$5:D$67,MATCH($B567,$B$5:$B$67,0))</f>
        <v>336</v>
      </c>
      <c r="F567" s="25">
        <f t="array" ref="F567">INDEX(E$5:E$67,MATCH($B567,$B$5:$B$67,0))</f>
        <v>1440</v>
      </c>
      <c r="G567" s="25">
        <f t="array" ref="G567">INDEX(F$5:F$67,MATCH($B567,$B$5:$B$67,0))</f>
        <v>115.2</v>
      </c>
      <c r="H567" s="25">
        <f t="array" ref="H567">INDEX(G$5:G$66,MATCH($B567,$B$5:$B$67,0))</f>
        <v>1818</v>
      </c>
      <c r="I567" s="25">
        <f t="array" ref="I567">INDEX(H$5:H$67,MATCH($B567,$B$5:$B$67,0))</f>
        <v>145.44</v>
      </c>
      <c r="J567" s="25">
        <f t="array" ref="J567">INDEX(I$5:I$67,MATCH($B567,$B$5:$B$67,0))</f>
        <v>990</v>
      </c>
      <c r="K567" s="25">
        <f t="array" ref="K567">INDEX(J$5:J$67,MATCH($B567,$B$5:$B$67,0))</f>
        <v>79.2</v>
      </c>
      <c r="L567" s="25">
        <f t="shared" si="565"/>
        <v>7224</v>
      </c>
      <c r="M567" s="25">
        <f t="shared" si="566"/>
        <v>2477</v>
      </c>
      <c r="N567" s="25">
        <f t="shared" si="567"/>
        <v>3127</v>
      </c>
      <c r="O567" s="25">
        <f t="shared" si="568"/>
        <v>1703</v>
      </c>
      <c r="R567" s="50">
        <f t="array" ref="R567">INDEX($B$46:$B$68,MATCH(S567,$C$46:$C$68,0))*1000+T567</f>
        <v>1023003</v>
      </c>
      <c r="S567" s="51" t="s">
        <v>354</v>
      </c>
      <c r="T567" s="29">
        <f t="shared" si="573"/>
        <v>3</v>
      </c>
      <c r="U567" s="25">
        <f t="array" ref="U567">INDEX(K$5:K$67,MATCH($S567,$B$5:$B$67,0))</f>
        <v>374.88</v>
      </c>
      <c r="V567" s="25">
        <f t="array" ref="V567">INDEX(L$5:L$67,MATCH($S567,$B$5:$B$67,0))</f>
        <v>82.94</v>
      </c>
      <c r="W567" s="25">
        <f t="array" ref="W567">INDEX(M$5:M$67,MATCH($S567,$B$5:$B$67,0))</f>
        <v>66.36</v>
      </c>
      <c r="X567" s="25">
        <f t="array" ref="X567">INDEX(N$5:N$67,MATCH($S567,$B$5:$B$67,0))</f>
        <v>78.54</v>
      </c>
      <c r="Y567" s="25">
        <f t="shared" si="569"/>
        <v>1125</v>
      </c>
      <c r="Z567" s="25">
        <f t="shared" si="570"/>
        <v>249</v>
      </c>
      <c r="AA567" s="25">
        <f t="shared" si="571"/>
        <v>199</v>
      </c>
      <c r="AB567" s="25">
        <f t="shared" si="572"/>
        <v>236</v>
      </c>
    </row>
    <row r="568" spans="1:28">
      <c r="A568" s="48">
        <v>1009010</v>
      </c>
      <c r="B568" s="49" t="s">
        <v>905</v>
      </c>
      <c r="C568" s="25">
        <f t="shared" si="564"/>
        <v>10</v>
      </c>
      <c r="D568" s="25">
        <f t="array" ref="D568">INDEX(C$5:C$67,MATCH($B568,$B$5:$B$67,0))</f>
        <v>4200</v>
      </c>
      <c r="E568" s="25">
        <f t="array" ref="E568">INDEX(D$5:D$67,MATCH($B568,$B$5:$B$67,0))</f>
        <v>336</v>
      </c>
      <c r="F568" s="25">
        <f t="array" ref="F568">INDEX(E$5:E$67,MATCH($B568,$B$5:$B$67,0))</f>
        <v>1440</v>
      </c>
      <c r="G568" s="25">
        <f t="array" ref="G568">INDEX(F$5:F$67,MATCH($B568,$B$5:$B$67,0))</f>
        <v>115.2</v>
      </c>
      <c r="H568" s="25">
        <f t="array" ref="H568">INDEX(G$5:G$66,MATCH($B568,$B$5:$B$67,0))</f>
        <v>1818</v>
      </c>
      <c r="I568" s="25">
        <f t="array" ref="I568">INDEX(H$5:H$67,MATCH($B568,$B$5:$B$67,0))</f>
        <v>145.44</v>
      </c>
      <c r="J568" s="25">
        <f t="array" ref="J568">INDEX(I$5:I$67,MATCH($B568,$B$5:$B$67,0))</f>
        <v>990</v>
      </c>
      <c r="K568" s="25">
        <f t="array" ref="K568">INDEX(J$5:J$67,MATCH($B568,$B$5:$B$67,0))</f>
        <v>79.2</v>
      </c>
      <c r="L568" s="25">
        <f t="shared" si="565"/>
        <v>7560</v>
      </c>
      <c r="M568" s="25">
        <f t="shared" si="566"/>
        <v>2592</v>
      </c>
      <c r="N568" s="25">
        <f t="shared" si="567"/>
        <v>3272</v>
      </c>
      <c r="O568" s="25">
        <f t="shared" si="568"/>
        <v>1782</v>
      </c>
      <c r="R568" s="50">
        <f t="array" ref="R568">INDEX($B$46:$B$68,MATCH(S568,$C$46:$C$68,0))*1000+T568</f>
        <v>1023004</v>
      </c>
      <c r="S568" s="51" t="s">
        <v>354</v>
      </c>
      <c r="T568" s="29">
        <f t="shared" si="573"/>
        <v>4</v>
      </c>
      <c r="U568" s="25">
        <f t="array" ref="U568">INDEX(K$5:K$67,MATCH($S568,$B$5:$B$67,0))</f>
        <v>374.88</v>
      </c>
      <c r="V568" s="25">
        <f t="array" ref="V568">INDEX(L$5:L$67,MATCH($S568,$B$5:$B$67,0))</f>
        <v>82.94</v>
      </c>
      <c r="W568" s="25">
        <f t="array" ref="W568">INDEX(M$5:M$67,MATCH($S568,$B$5:$B$67,0))</f>
        <v>66.36</v>
      </c>
      <c r="X568" s="25">
        <f t="array" ref="X568">INDEX(N$5:N$67,MATCH($S568,$B$5:$B$67,0))</f>
        <v>78.54</v>
      </c>
      <c r="Y568" s="25">
        <f t="shared" si="569"/>
        <v>1500</v>
      </c>
      <c r="Z568" s="25">
        <f t="shared" si="570"/>
        <v>332</v>
      </c>
      <c r="AA568" s="25">
        <f t="shared" si="571"/>
        <v>265</v>
      </c>
      <c r="AB568" s="25">
        <f t="shared" si="572"/>
        <v>314</v>
      </c>
    </row>
    <row r="569" spans="1:28">
      <c r="A569" s="48">
        <v>1009011</v>
      </c>
      <c r="B569" s="49" t="s">
        <v>905</v>
      </c>
      <c r="C569" s="25">
        <f t="shared" si="564"/>
        <v>11</v>
      </c>
      <c r="D569" s="25">
        <f t="array" ref="D569">INDEX(C$5:C$67,MATCH($B569,$B$5:$B$67,0))</f>
        <v>4200</v>
      </c>
      <c r="E569" s="25">
        <f t="array" ref="E569">INDEX(D$5:D$67,MATCH($B569,$B$5:$B$67,0))</f>
        <v>336</v>
      </c>
      <c r="F569" s="25">
        <f t="array" ref="F569">INDEX(E$5:E$67,MATCH($B569,$B$5:$B$67,0))</f>
        <v>1440</v>
      </c>
      <c r="G569" s="25">
        <f t="array" ref="G569">INDEX(F$5:F$67,MATCH($B569,$B$5:$B$67,0))</f>
        <v>115.2</v>
      </c>
      <c r="H569" s="25">
        <f t="array" ref="H569">INDEX(G$5:G$66,MATCH($B569,$B$5:$B$67,0))</f>
        <v>1818</v>
      </c>
      <c r="I569" s="25">
        <f t="array" ref="I569">INDEX(H$5:H$67,MATCH($B569,$B$5:$B$67,0))</f>
        <v>145.44</v>
      </c>
      <c r="J569" s="25">
        <f t="array" ref="J569">INDEX(I$5:I$67,MATCH($B569,$B$5:$B$67,0))</f>
        <v>990</v>
      </c>
      <c r="K569" s="25">
        <f t="array" ref="K569">INDEX(J$5:J$67,MATCH($B569,$B$5:$B$67,0))</f>
        <v>79.2</v>
      </c>
      <c r="L569" s="25">
        <f t="shared" si="565"/>
        <v>7896</v>
      </c>
      <c r="M569" s="25">
        <f t="shared" si="566"/>
        <v>2707</v>
      </c>
      <c r="N569" s="25">
        <f t="shared" si="567"/>
        <v>3418</v>
      </c>
      <c r="O569" s="25">
        <f t="shared" si="568"/>
        <v>1861</v>
      </c>
      <c r="R569" s="50">
        <f t="array" ref="R569">INDEX($B$46:$B$68,MATCH(S569,$C$46:$C$68,0))*1000+T569</f>
        <v>1023005</v>
      </c>
      <c r="S569" s="51" t="s">
        <v>354</v>
      </c>
      <c r="T569" s="29">
        <f t="shared" si="573"/>
        <v>5</v>
      </c>
      <c r="U569" s="25">
        <f t="array" ref="U569">INDEX(K$5:K$67,MATCH($S569,$B$5:$B$67,0))</f>
        <v>374.88</v>
      </c>
      <c r="V569" s="25">
        <f t="array" ref="V569">INDEX(L$5:L$67,MATCH($S569,$B$5:$B$67,0))</f>
        <v>82.94</v>
      </c>
      <c r="W569" s="25">
        <f t="array" ref="W569">INDEX(M$5:M$67,MATCH($S569,$B$5:$B$67,0))</f>
        <v>66.36</v>
      </c>
      <c r="X569" s="25">
        <f t="array" ref="X569">INDEX(N$5:N$67,MATCH($S569,$B$5:$B$67,0))</f>
        <v>78.54</v>
      </c>
      <c r="Y569" s="25">
        <f t="shared" si="569"/>
        <v>1874</v>
      </c>
      <c r="Z569" s="25">
        <f t="shared" si="570"/>
        <v>415</v>
      </c>
      <c r="AA569" s="25">
        <f t="shared" si="571"/>
        <v>332</v>
      </c>
      <c r="AB569" s="25">
        <f t="shared" si="572"/>
        <v>393</v>
      </c>
    </row>
    <row r="570" spans="1:28">
      <c r="A570" s="48">
        <v>1009012</v>
      </c>
      <c r="B570" s="49" t="s">
        <v>905</v>
      </c>
      <c r="C570" s="25">
        <f t="shared" si="564"/>
        <v>12</v>
      </c>
      <c r="D570" s="25">
        <f t="array" ref="D570">INDEX(C$5:C$67,MATCH($B570,$B$5:$B$67,0))</f>
        <v>4200</v>
      </c>
      <c r="E570" s="25">
        <f t="array" ref="E570">INDEX(D$5:D$67,MATCH($B570,$B$5:$B$67,0))</f>
        <v>336</v>
      </c>
      <c r="F570" s="25">
        <f t="array" ref="F570">INDEX(E$5:E$67,MATCH($B570,$B$5:$B$67,0))</f>
        <v>1440</v>
      </c>
      <c r="G570" s="25">
        <f t="array" ref="G570">INDEX(F$5:F$67,MATCH($B570,$B$5:$B$67,0))</f>
        <v>115.2</v>
      </c>
      <c r="H570" s="25">
        <f t="array" ref="H570">INDEX(G$5:G$66,MATCH($B570,$B$5:$B$67,0))</f>
        <v>1818</v>
      </c>
      <c r="I570" s="25">
        <f t="array" ref="I570">INDEX(H$5:H$67,MATCH($B570,$B$5:$B$67,0))</f>
        <v>145.44</v>
      </c>
      <c r="J570" s="25">
        <f t="array" ref="J570">INDEX(I$5:I$67,MATCH($B570,$B$5:$B$67,0))</f>
        <v>990</v>
      </c>
      <c r="K570" s="25">
        <f t="array" ref="K570">INDEX(J$5:J$67,MATCH($B570,$B$5:$B$67,0))</f>
        <v>79.2</v>
      </c>
      <c r="L570" s="25">
        <f t="shared" si="565"/>
        <v>8232</v>
      </c>
      <c r="M570" s="25">
        <f t="shared" si="566"/>
        <v>2822</v>
      </c>
      <c r="N570" s="25">
        <f t="shared" si="567"/>
        <v>3563</v>
      </c>
      <c r="O570" s="25">
        <f t="shared" si="568"/>
        <v>1940</v>
      </c>
      <c r="R570" s="50">
        <f t="array" ref="R570">INDEX($B$46:$B$68,MATCH(S570,$C$46:$C$68,0))*1000+T570</f>
        <v>1023006</v>
      </c>
      <c r="S570" s="51" t="s">
        <v>354</v>
      </c>
      <c r="T570" s="29">
        <f t="shared" si="573"/>
        <v>6</v>
      </c>
      <c r="U570" s="25">
        <f t="array" ref="U570">INDEX(K$5:K$67,MATCH($S570,$B$5:$B$67,0))</f>
        <v>374.88</v>
      </c>
      <c r="V570" s="25">
        <f t="array" ref="V570">INDEX(L$5:L$67,MATCH($S570,$B$5:$B$67,0))</f>
        <v>82.94</v>
      </c>
      <c r="W570" s="25">
        <f t="array" ref="W570">INDEX(M$5:M$67,MATCH($S570,$B$5:$B$67,0))</f>
        <v>66.36</v>
      </c>
      <c r="X570" s="25">
        <f t="array" ref="X570">INDEX(N$5:N$67,MATCH($S570,$B$5:$B$67,0))</f>
        <v>78.54</v>
      </c>
      <c r="Y570" s="25">
        <f t="shared" si="569"/>
        <v>2249</v>
      </c>
      <c r="Z570" s="25">
        <f t="shared" si="570"/>
        <v>498</v>
      </c>
      <c r="AA570" s="25">
        <f t="shared" si="571"/>
        <v>398</v>
      </c>
      <c r="AB570" s="25">
        <f t="shared" si="572"/>
        <v>471</v>
      </c>
    </row>
    <row r="571" spans="1:28">
      <c r="A571" s="48">
        <v>1009013</v>
      </c>
      <c r="B571" s="49" t="s">
        <v>905</v>
      </c>
      <c r="C571" s="25">
        <f t="shared" si="564"/>
        <v>13</v>
      </c>
      <c r="D571" s="25">
        <f t="array" ref="D571">INDEX(C$5:C$67,MATCH($B571,$B$5:$B$67,0))</f>
        <v>4200</v>
      </c>
      <c r="E571" s="25">
        <f t="array" ref="E571">INDEX(D$5:D$67,MATCH($B571,$B$5:$B$67,0))</f>
        <v>336</v>
      </c>
      <c r="F571" s="25">
        <f t="array" ref="F571">INDEX(E$5:E$67,MATCH($B571,$B$5:$B$67,0))</f>
        <v>1440</v>
      </c>
      <c r="G571" s="25">
        <f t="array" ref="G571">INDEX(F$5:F$67,MATCH($B571,$B$5:$B$67,0))</f>
        <v>115.2</v>
      </c>
      <c r="H571" s="25">
        <f t="array" ref="H571">INDEX(G$5:G$66,MATCH($B571,$B$5:$B$67,0))</f>
        <v>1818</v>
      </c>
      <c r="I571" s="25">
        <f t="array" ref="I571">INDEX(H$5:H$67,MATCH($B571,$B$5:$B$67,0))</f>
        <v>145.44</v>
      </c>
      <c r="J571" s="25">
        <f t="array" ref="J571">INDEX(I$5:I$67,MATCH($B571,$B$5:$B$67,0))</f>
        <v>990</v>
      </c>
      <c r="K571" s="25">
        <f t="array" ref="K571">INDEX(J$5:J$67,MATCH($B571,$B$5:$B$67,0))</f>
        <v>79.2</v>
      </c>
      <c r="L571" s="25">
        <f t="shared" si="565"/>
        <v>8568</v>
      </c>
      <c r="M571" s="25">
        <f t="shared" si="566"/>
        <v>2938</v>
      </c>
      <c r="N571" s="25">
        <f t="shared" si="567"/>
        <v>3709</v>
      </c>
      <c r="O571" s="25">
        <f t="shared" si="568"/>
        <v>2020</v>
      </c>
      <c r="R571" s="50">
        <f t="array" ref="R571">INDEX($B$46:$B$68,MATCH(S571,$C$46:$C$68,0))*1000+T571</f>
        <v>1023007</v>
      </c>
      <c r="S571" s="51" t="s">
        <v>354</v>
      </c>
      <c r="T571" s="29">
        <f t="shared" si="573"/>
        <v>7</v>
      </c>
      <c r="U571" s="25">
        <f t="array" ref="U571">INDEX(K$5:K$67,MATCH($S571,$B$5:$B$67,0))</f>
        <v>374.88</v>
      </c>
      <c r="V571" s="25">
        <f t="array" ref="V571">INDEX(L$5:L$67,MATCH($S571,$B$5:$B$67,0))</f>
        <v>82.94</v>
      </c>
      <c r="W571" s="25">
        <f t="array" ref="W571">INDEX(M$5:M$67,MATCH($S571,$B$5:$B$67,0))</f>
        <v>66.36</v>
      </c>
      <c r="X571" s="25">
        <f t="array" ref="X571">INDEX(N$5:N$67,MATCH($S571,$B$5:$B$67,0))</f>
        <v>78.54</v>
      </c>
      <c r="Y571" s="25">
        <f t="shared" si="569"/>
        <v>2624</v>
      </c>
      <c r="Z571" s="25">
        <f t="shared" si="570"/>
        <v>581</v>
      </c>
      <c r="AA571" s="25">
        <f t="shared" si="571"/>
        <v>465</v>
      </c>
      <c r="AB571" s="25">
        <f t="shared" si="572"/>
        <v>550</v>
      </c>
    </row>
    <row r="572" spans="1:28">
      <c r="A572" s="48">
        <v>1009014</v>
      </c>
      <c r="B572" s="49" t="s">
        <v>905</v>
      </c>
      <c r="C572" s="25">
        <f t="shared" si="564"/>
        <v>14</v>
      </c>
      <c r="D572" s="25">
        <f t="array" ref="D572">INDEX(C$5:C$67,MATCH($B572,$B$5:$B$67,0))</f>
        <v>4200</v>
      </c>
      <c r="E572" s="25">
        <f t="array" ref="E572">INDEX(D$5:D$67,MATCH($B572,$B$5:$B$67,0))</f>
        <v>336</v>
      </c>
      <c r="F572" s="25">
        <f t="array" ref="F572">INDEX(E$5:E$67,MATCH($B572,$B$5:$B$67,0))</f>
        <v>1440</v>
      </c>
      <c r="G572" s="25">
        <f t="array" ref="G572">INDEX(F$5:F$67,MATCH($B572,$B$5:$B$67,0))</f>
        <v>115.2</v>
      </c>
      <c r="H572" s="25">
        <f t="array" ref="H572">INDEX(G$5:G$66,MATCH($B572,$B$5:$B$67,0))</f>
        <v>1818</v>
      </c>
      <c r="I572" s="25">
        <f t="array" ref="I572">INDEX(H$5:H$67,MATCH($B572,$B$5:$B$67,0))</f>
        <v>145.44</v>
      </c>
      <c r="J572" s="25">
        <f t="array" ref="J572">INDEX(I$5:I$67,MATCH($B572,$B$5:$B$67,0))</f>
        <v>990</v>
      </c>
      <c r="K572" s="25">
        <f t="array" ref="K572">INDEX(J$5:J$67,MATCH($B572,$B$5:$B$67,0))</f>
        <v>79.2</v>
      </c>
      <c r="L572" s="25">
        <f t="shared" si="565"/>
        <v>8904</v>
      </c>
      <c r="M572" s="25">
        <f t="shared" si="566"/>
        <v>3053</v>
      </c>
      <c r="N572" s="25">
        <f t="shared" si="567"/>
        <v>3854</v>
      </c>
      <c r="O572" s="25">
        <f t="shared" si="568"/>
        <v>2099</v>
      </c>
      <c r="R572" s="50">
        <f t="array" ref="R572">INDEX($B$46:$B$68,MATCH(S572,$C$46:$C$68,0))*1000+T572</f>
        <v>1023008</v>
      </c>
      <c r="S572" s="51" t="s">
        <v>354</v>
      </c>
      <c r="T572" s="29">
        <f t="shared" si="573"/>
        <v>8</v>
      </c>
      <c r="U572" s="25">
        <f t="array" ref="U572">INDEX(K$5:K$67,MATCH($S572,$B$5:$B$67,0))</f>
        <v>374.88</v>
      </c>
      <c r="V572" s="25">
        <f t="array" ref="V572">INDEX(L$5:L$67,MATCH($S572,$B$5:$B$67,0))</f>
        <v>82.94</v>
      </c>
      <c r="W572" s="25">
        <f t="array" ref="W572">INDEX(M$5:M$67,MATCH($S572,$B$5:$B$67,0))</f>
        <v>66.36</v>
      </c>
      <c r="X572" s="25">
        <f t="array" ref="X572">INDEX(N$5:N$67,MATCH($S572,$B$5:$B$67,0))</f>
        <v>78.54</v>
      </c>
      <c r="Y572" s="25">
        <f t="shared" si="569"/>
        <v>2999</v>
      </c>
      <c r="Z572" s="25">
        <f t="shared" si="570"/>
        <v>664</v>
      </c>
      <c r="AA572" s="25">
        <f t="shared" si="571"/>
        <v>531</v>
      </c>
      <c r="AB572" s="25">
        <f t="shared" si="572"/>
        <v>628</v>
      </c>
    </row>
    <row r="573" spans="1:28">
      <c r="A573" s="48">
        <v>1009015</v>
      </c>
      <c r="B573" s="49" t="s">
        <v>905</v>
      </c>
      <c r="C573" s="25">
        <f t="shared" si="564"/>
        <v>15</v>
      </c>
      <c r="D573" s="25">
        <f t="array" ref="D573">INDEX(C$5:C$67,MATCH($B573,$B$5:$B$67,0))</f>
        <v>4200</v>
      </c>
      <c r="E573" s="25">
        <f t="array" ref="E573">INDEX(D$5:D$67,MATCH($B573,$B$5:$B$67,0))</f>
        <v>336</v>
      </c>
      <c r="F573" s="25">
        <f t="array" ref="F573">INDEX(E$5:E$67,MATCH($B573,$B$5:$B$67,0))</f>
        <v>1440</v>
      </c>
      <c r="G573" s="25">
        <f t="array" ref="G573">INDEX(F$5:F$67,MATCH($B573,$B$5:$B$67,0))</f>
        <v>115.2</v>
      </c>
      <c r="H573" s="25">
        <f t="array" ref="H573">INDEX(G$5:G$66,MATCH($B573,$B$5:$B$67,0))</f>
        <v>1818</v>
      </c>
      <c r="I573" s="25">
        <f t="array" ref="I573">INDEX(H$5:H$67,MATCH($B573,$B$5:$B$67,0))</f>
        <v>145.44</v>
      </c>
      <c r="J573" s="25">
        <f t="array" ref="J573">INDEX(I$5:I$67,MATCH($B573,$B$5:$B$67,0))</f>
        <v>990</v>
      </c>
      <c r="K573" s="25">
        <f t="array" ref="K573">INDEX(J$5:J$67,MATCH($B573,$B$5:$B$67,0))</f>
        <v>79.2</v>
      </c>
      <c r="L573" s="25">
        <f t="shared" si="565"/>
        <v>9240</v>
      </c>
      <c r="M573" s="25">
        <f t="shared" si="566"/>
        <v>3168</v>
      </c>
      <c r="N573" s="25">
        <f t="shared" si="567"/>
        <v>4000</v>
      </c>
      <c r="O573" s="25">
        <f t="shared" si="568"/>
        <v>2178</v>
      </c>
      <c r="R573" s="50">
        <f t="array" ref="R573">INDEX($B$46:$B$68,MATCH(S573,$C$46:$C$68,0))*1000+T573</f>
        <v>1023009</v>
      </c>
      <c r="S573" s="51" t="s">
        <v>354</v>
      </c>
      <c r="T573" s="29">
        <f t="shared" si="573"/>
        <v>9</v>
      </c>
      <c r="U573" s="25">
        <f t="array" ref="U573">INDEX(K$5:K$67,MATCH($S573,$B$5:$B$67,0))</f>
        <v>374.88</v>
      </c>
      <c r="V573" s="25">
        <f t="array" ref="V573">INDEX(L$5:L$67,MATCH($S573,$B$5:$B$67,0))</f>
        <v>82.94</v>
      </c>
      <c r="W573" s="25">
        <f t="array" ref="W573">INDEX(M$5:M$67,MATCH($S573,$B$5:$B$67,0))</f>
        <v>66.36</v>
      </c>
      <c r="X573" s="25">
        <f t="array" ref="X573">INDEX(N$5:N$67,MATCH($S573,$B$5:$B$67,0))</f>
        <v>78.54</v>
      </c>
      <c r="Y573" s="25">
        <f t="shared" si="569"/>
        <v>3374</v>
      </c>
      <c r="Z573" s="25">
        <f t="shared" si="570"/>
        <v>746</v>
      </c>
      <c r="AA573" s="25">
        <f t="shared" si="571"/>
        <v>597</v>
      </c>
      <c r="AB573" s="25">
        <f t="shared" si="572"/>
        <v>707</v>
      </c>
    </row>
    <row r="574" spans="1:28">
      <c r="A574" s="48">
        <v>1009016</v>
      </c>
      <c r="B574" s="49" t="s">
        <v>905</v>
      </c>
      <c r="C574" s="25">
        <f t="shared" si="564"/>
        <v>16</v>
      </c>
      <c r="D574" s="25">
        <f t="array" ref="D574">INDEX(C$5:C$67,MATCH($B574,$B$5:$B$67,0))</f>
        <v>4200</v>
      </c>
      <c r="E574" s="25">
        <f t="array" ref="E574">INDEX(D$5:D$67,MATCH($B574,$B$5:$B$67,0))</f>
        <v>336</v>
      </c>
      <c r="F574" s="25">
        <f t="array" ref="F574">INDEX(E$5:E$67,MATCH($B574,$B$5:$B$67,0))</f>
        <v>1440</v>
      </c>
      <c r="G574" s="25">
        <f t="array" ref="G574">INDEX(F$5:F$67,MATCH($B574,$B$5:$B$67,0))</f>
        <v>115.2</v>
      </c>
      <c r="H574" s="25">
        <f t="array" ref="H574">INDEX(G$5:G$66,MATCH($B574,$B$5:$B$67,0))</f>
        <v>1818</v>
      </c>
      <c r="I574" s="25">
        <f t="array" ref="I574">INDEX(H$5:H$67,MATCH($B574,$B$5:$B$67,0))</f>
        <v>145.44</v>
      </c>
      <c r="J574" s="25">
        <f t="array" ref="J574">INDEX(I$5:I$67,MATCH($B574,$B$5:$B$67,0))</f>
        <v>990</v>
      </c>
      <c r="K574" s="25">
        <f t="array" ref="K574">INDEX(J$5:J$67,MATCH($B574,$B$5:$B$67,0))</f>
        <v>79.2</v>
      </c>
      <c r="L574" s="25">
        <f t="shared" si="565"/>
        <v>9576</v>
      </c>
      <c r="M574" s="25">
        <f t="shared" si="566"/>
        <v>3283</v>
      </c>
      <c r="N574" s="25">
        <f t="shared" si="567"/>
        <v>4145</v>
      </c>
      <c r="O574" s="25">
        <f t="shared" si="568"/>
        <v>2257</v>
      </c>
      <c r="R574" s="50">
        <f t="array" ref="R574">INDEX($B$46:$B$68,MATCH(S574,$C$46:$C$68,0))*1000+T574</f>
        <v>1023010</v>
      </c>
      <c r="S574" s="51" t="s">
        <v>354</v>
      </c>
      <c r="T574" s="29">
        <f t="shared" si="573"/>
        <v>10</v>
      </c>
      <c r="U574" s="25">
        <f t="array" ref="U574">INDEX(K$5:K$67,MATCH($S574,$B$5:$B$67,0))</f>
        <v>374.88</v>
      </c>
      <c r="V574" s="25">
        <f t="array" ref="V574">INDEX(L$5:L$67,MATCH($S574,$B$5:$B$67,0))</f>
        <v>82.94</v>
      </c>
      <c r="W574" s="25">
        <f t="array" ref="W574">INDEX(M$5:M$67,MATCH($S574,$B$5:$B$67,0))</f>
        <v>66.36</v>
      </c>
      <c r="X574" s="25">
        <f t="array" ref="X574">INDEX(N$5:N$67,MATCH($S574,$B$5:$B$67,0))</f>
        <v>78.54</v>
      </c>
      <c r="Y574" s="25">
        <f t="shared" si="569"/>
        <v>3749</v>
      </c>
      <c r="Z574" s="25">
        <f t="shared" si="570"/>
        <v>829</v>
      </c>
      <c r="AA574" s="25">
        <f t="shared" si="571"/>
        <v>664</v>
      </c>
      <c r="AB574" s="25">
        <f t="shared" si="572"/>
        <v>785</v>
      </c>
    </row>
    <row r="575" spans="1:28">
      <c r="A575" s="48">
        <v>1009017</v>
      </c>
      <c r="B575" s="49" t="s">
        <v>905</v>
      </c>
      <c r="C575" s="25">
        <f t="shared" si="564"/>
        <v>17</v>
      </c>
      <c r="D575" s="25">
        <f t="array" ref="D575">INDEX(C$5:C$67,MATCH($B575,$B$5:$B$67,0))</f>
        <v>4200</v>
      </c>
      <c r="E575" s="25">
        <f t="array" ref="E575">INDEX(D$5:D$67,MATCH($B575,$B$5:$B$67,0))</f>
        <v>336</v>
      </c>
      <c r="F575" s="25">
        <f t="array" ref="F575">INDEX(E$5:E$67,MATCH($B575,$B$5:$B$67,0))</f>
        <v>1440</v>
      </c>
      <c r="G575" s="25">
        <f t="array" ref="G575">INDEX(F$5:F$67,MATCH($B575,$B$5:$B$67,0))</f>
        <v>115.2</v>
      </c>
      <c r="H575" s="25">
        <f t="array" ref="H575">INDEX(G$5:G$66,MATCH($B575,$B$5:$B$67,0))</f>
        <v>1818</v>
      </c>
      <c r="I575" s="25">
        <f t="array" ref="I575">INDEX(H$5:H$67,MATCH($B575,$B$5:$B$67,0))</f>
        <v>145.44</v>
      </c>
      <c r="J575" s="25">
        <f t="array" ref="J575">INDEX(I$5:I$67,MATCH($B575,$B$5:$B$67,0))</f>
        <v>990</v>
      </c>
      <c r="K575" s="25">
        <f t="array" ref="K575">INDEX(J$5:J$67,MATCH($B575,$B$5:$B$67,0))</f>
        <v>79.2</v>
      </c>
      <c r="L575" s="25">
        <f t="shared" si="565"/>
        <v>9912</v>
      </c>
      <c r="M575" s="25">
        <f t="shared" si="566"/>
        <v>3398</v>
      </c>
      <c r="N575" s="25">
        <f t="shared" si="567"/>
        <v>4290</v>
      </c>
      <c r="O575" s="25">
        <f t="shared" si="568"/>
        <v>2336</v>
      </c>
      <c r="R575" s="50">
        <f t="array" ref="R575">INDEX($B$46:$B$68,MATCH(S575,$C$46:$C$68,0))*1000+T575</f>
        <v>1023011</v>
      </c>
      <c r="S575" s="51" t="s">
        <v>354</v>
      </c>
      <c r="T575" s="29">
        <f t="shared" si="573"/>
        <v>11</v>
      </c>
      <c r="U575" s="25">
        <f t="array" ref="U575">INDEX(K$5:K$67,MATCH($S575,$B$5:$B$67,0))</f>
        <v>374.88</v>
      </c>
      <c r="V575" s="25">
        <f t="array" ref="V575">INDEX(L$5:L$67,MATCH($S575,$B$5:$B$67,0))</f>
        <v>82.94</v>
      </c>
      <c r="W575" s="25">
        <f t="array" ref="W575">INDEX(M$5:M$67,MATCH($S575,$B$5:$B$67,0))</f>
        <v>66.36</v>
      </c>
      <c r="X575" s="25">
        <f t="array" ref="X575">INDEX(N$5:N$67,MATCH($S575,$B$5:$B$67,0))</f>
        <v>78.54</v>
      </c>
      <c r="Y575" s="25">
        <f t="shared" si="569"/>
        <v>4124</v>
      </c>
      <c r="Z575" s="25">
        <f t="shared" si="570"/>
        <v>912</v>
      </c>
      <c r="AA575" s="25">
        <f t="shared" si="571"/>
        <v>730</v>
      </c>
      <c r="AB575" s="25">
        <f t="shared" si="572"/>
        <v>864</v>
      </c>
    </row>
    <row r="576" spans="1:28">
      <c r="A576" s="48">
        <v>1009018</v>
      </c>
      <c r="B576" s="49" t="s">
        <v>905</v>
      </c>
      <c r="C576" s="25">
        <f t="shared" si="564"/>
        <v>18</v>
      </c>
      <c r="D576" s="25">
        <f t="array" ref="D576">INDEX(C$5:C$67,MATCH($B576,$B$5:$B$67,0))</f>
        <v>4200</v>
      </c>
      <c r="E576" s="25">
        <f t="array" ref="E576">INDEX(D$5:D$67,MATCH($B576,$B$5:$B$67,0))</f>
        <v>336</v>
      </c>
      <c r="F576" s="25">
        <f t="array" ref="F576">INDEX(E$5:E$67,MATCH($B576,$B$5:$B$67,0))</f>
        <v>1440</v>
      </c>
      <c r="G576" s="25">
        <f t="array" ref="G576">INDEX(F$5:F$67,MATCH($B576,$B$5:$B$67,0))</f>
        <v>115.2</v>
      </c>
      <c r="H576" s="25">
        <f t="array" ref="H576">INDEX(G$5:G$66,MATCH($B576,$B$5:$B$67,0))</f>
        <v>1818</v>
      </c>
      <c r="I576" s="25">
        <f t="array" ref="I576">INDEX(H$5:H$67,MATCH($B576,$B$5:$B$67,0))</f>
        <v>145.44</v>
      </c>
      <c r="J576" s="25">
        <f t="array" ref="J576">INDEX(I$5:I$67,MATCH($B576,$B$5:$B$67,0))</f>
        <v>990</v>
      </c>
      <c r="K576" s="25">
        <f t="array" ref="K576">INDEX(J$5:J$67,MATCH($B576,$B$5:$B$67,0))</f>
        <v>79.2</v>
      </c>
      <c r="L576" s="25">
        <f t="shared" si="565"/>
        <v>10248</v>
      </c>
      <c r="M576" s="25">
        <f t="shared" si="566"/>
        <v>3514</v>
      </c>
      <c r="N576" s="25">
        <f t="shared" si="567"/>
        <v>4436</v>
      </c>
      <c r="O576" s="25">
        <f t="shared" si="568"/>
        <v>2416</v>
      </c>
      <c r="R576" s="50">
        <f t="array" ref="R576">INDEX($B$46:$B$68,MATCH(S576,$C$46:$C$68,0))*1000+T576</f>
        <v>1023012</v>
      </c>
      <c r="S576" s="51" t="s">
        <v>354</v>
      </c>
      <c r="T576" s="29">
        <f t="shared" si="573"/>
        <v>12</v>
      </c>
      <c r="U576" s="25">
        <f t="array" ref="U576">INDEX(K$5:K$67,MATCH($S576,$B$5:$B$67,0))</f>
        <v>374.88</v>
      </c>
      <c r="V576" s="25">
        <f t="array" ref="V576">INDEX(L$5:L$67,MATCH($S576,$B$5:$B$67,0))</f>
        <v>82.94</v>
      </c>
      <c r="W576" s="25">
        <f t="array" ref="W576">INDEX(M$5:M$67,MATCH($S576,$B$5:$B$67,0))</f>
        <v>66.36</v>
      </c>
      <c r="X576" s="25">
        <f t="array" ref="X576">INDEX(N$5:N$67,MATCH($S576,$B$5:$B$67,0))</f>
        <v>78.54</v>
      </c>
      <c r="Y576" s="25">
        <f t="shared" si="569"/>
        <v>4499</v>
      </c>
      <c r="Z576" s="25">
        <f t="shared" si="570"/>
        <v>995</v>
      </c>
      <c r="AA576" s="25">
        <f t="shared" si="571"/>
        <v>796</v>
      </c>
      <c r="AB576" s="25">
        <f t="shared" si="572"/>
        <v>942</v>
      </c>
    </row>
    <row r="577" spans="1:28">
      <c r="A577" s="48">
        <v>1009019</v>
      </c>
      <c r="B577" s="49" t="s">
        <v>905</v>
      </c>
      <c r="C577" s="25">
        <f t="shared" si="564"/>
        <v>19</v>
      </c>
      <c r="D577" s="25">
        <f t="array" ref="D577">INDEX(C$5:C$67,MATCH($B577,$B$5:$B$67,0))</f>
        <v>4200</v>
      </c>
      <c r="E577" s="25">
        <f t="array" ref="E577">INDEX(D$5:D$67,MATCH($B577,$B$5:$B$67,0))</f>
        <v>336</v>
      </c>
      <c r="F577" s="25">
        <f t="array" ref="F577">INDEX(E$5:E$67,MATCH($B577,$B$5:$B$67,0))</f>
        <v>1440</v>
      </c>
      <c r="G577" s="25">
        <f t="array" ref="G577">INDEX(F$5:F$67,MATCH($B577,$B$5:$B$67,0))</f>
        <v>115.2</v>
      </c>
      <c r="H577" s="25">
        <f t="array" ref="H577">INDEX(G$5:G$66,MATCH($B577,$B$5:$B$67,0))</f>
        <v>1818</v>
      </c>
      <c r="I577" s="25">
        <f t="array" ref="I577">INDEX(H$5:H$67,MATCH($B577,$B$5:$B$67,0))</f>
        <v>145.44</v>
      </c>
      <c r="J577" s="25">
        <f t="array" ref="J577">INDEX(I$5:I$67,MATCH($B577,$B$5:$B$67,0))</f>
        <v>990</v>
      </c>
      <c r="K577" s="25">
        <f t="array" ref="K577">INDEX(J$5:J$67,MATCH($B577,$B$5:$B$67,0))</f>
        <v>79.2</v>
      </c>
      <c r="L577" s="25">
        <f t="shared" si="565"/>
        <v>10584</v>
      </c>
      <c r="M577" s="25">
        <f t="shared" si="566"/>
        <v>3629</v>
      </c>
      <c r="N577" s="25">
        <f t="shared" si="567"/>
        <v>4581</v>
      </c>
      <c r="O577" s="25">
        <f t="shared" si="568"/>
        <v>2495</v>
      </c>
      <c r="R577" s="50">
        <f t="array" ref="R577">INDEX($B$46:$B$68,MATCH(S577,$C$46:$C$68,0))*1000+T577</f>
        <v>1023013</v>
      </c>
      <c r="S577" s="51" t="s">
        <v>354</v>
      </c>
      <c r="T577" s="29">
        <f t="shared" si="573"/>
        <v>13</v>
      </c>
      <c r="U577" s="25">
        <f t="array" ref="U577">INDEX(K$5:K$67,MATCH($S577,$B$5:$B$67,0))</f>
        <v>374.88</v>
      </c>
      <c r="V577" s="25">
        <f t="array" ref="V577">INDEX(L$5:L$67,MATCH($S577,$B$5:$B$67,0))</f>
        <v>82.94</v>
      </c>
      <c r="W577" s="25">
        <f t="array" ref="W577">INDEX(M$5:M$67,MATCH($S577,$B$5:$B$67,0))</f>
        <v>66.36</v>
      </c>
      <c r="X577" s="25">
        <f t="array" ref="X577">INDEX(N$5:N$67,MATCH($S577,$B$5:$B$67,0))</f>
        <v>78.54</v>
      </c>
      <c r="Y577" s="25">
        <f t="shared" si="569"/>
        <v>4873</v>
      </c>
      <c r="Z577" s="25">
        <f t="shared" si="570"/>
        <v>1078</v>
      </c>
      <c r="AA577" s="25">
        <f t="shared" si="571"/>
        <v>863</v>
      </c>
      <c r="AB577" s="25">
        <f t="shared" si="572"/>
        <v>1021</v>
      </c>
    </row>
    <row r="578" spans="1:28">
      <c r="A578" s="48">
        <v>1009020</v>
      </c>
      <c r="B578" s="49" t="s">
        <v>905</v>
      </c>
      <c r="C578" s="25">
        <f t="shared" si="564"/>
        <v>20</v>
      </c>
      <c r="D578" s="25">
        <f t="array" ref="D578">INDEX(C$5:C$67,MATCH($B578,$B$5:$B$67,0))</f>
        <v>4200</v>
      </c>
      <c r="E578" s="25">
        <f t="array" ref="E578">INDEX(D$5:D$67,MATCH($B578,$B$5:$B$67,0))</f>
        <v>336</v>
      </c>
      <c r="F578" s="25">
        <f t="array" ref="F578">INDEX(E$5:E$67,MATCH($B578,$B$5:$B$67,0))</f>
        <v>1440</v>
      </c>
      <c r="G578" s="25">
        <f t="array" ref="G578">INDEX(F$5:F$67,MATCH($B578,$B$5:$B$67,0))</f>
        <v>115.2</v>
      </c>
      <c r="H578" s="25">
        <f t="array" ref="H578">INDEX(G$5:G$66,MATCH($B578,$B$5:$B$67,0))</f>
        <v>1818</v>
      </c>
      <c r="I578" s="25">
        <f t="array" ref="I578">INDEX(H$5:H$67,MATCH($B578,$B$5:$B$67,0))</f>
        <v>145.44</v>
      </c>
      <c r="J578" s="25">
        <f t="array" ref="J578">INDEX(I$5:I$67,MATCH($B578,$B$5:$B$67,0))</f>
        <v>990</v>
      </c>
      <c r="K578" s="25">
        <f t="array" ref="K578">INDEX(J$5:J$67,MATCH($B578,$B$5:$B$67,0))</f>
        <v>79.2</v>
      </c>
      <c r="L578" s="25">
        <f t="shared" si="565"/>
        <v>10920</v>
      </c>
      <c r="M578" s="25">
        <f t="shared" si="566"/>
        <v>3744</v>
      </c>
      <c r="N578" s="25">
        <f t="shared" si="567"/>
        <v>4727</v>
      </c>
      <c r="O578" s="25">
        <f t="shared" si="568"/>
        <v>2574</v>
      </c>
      <c r="R578" s="50">
        <f t="array" ref="R578">INDEX($B$46:$B$68,MATCH(S578,$C$46:$C$68,0))*1000+T578</f>
        <v>1023014</v>
      </c>
      <c r="S578" s="51" t="s">
        <v>354</v>
      </c>
      <c r="T578" s="29">
        <f t="shared" si="573"/>
        <v>14</v>
      </c>
      <c r="U578" s="25">
        <f t="array" ref="U578">INDEX(K$5:K$67,MATCH($S578,$B$5:$B$67,0))</f>
        <v>374.88</v>
      </c>
      <c r="V578" s="25">
        <f t="array" ref="V578">INDEX(L$5:L$67,MATCH($S578,$B$5:$B$67,0))</f>
        <v>82.94</v>
      </c>
      <c r="W578" s="25">
        <f t="array" ref="W578">INDEX(M$5:M$67,MATCH($S578,$B$5:$B$67,0))</f>
        <v>66.36</v>
      </c>
      <c r="X578" s="25">
        <f t="array" ref="X578">INDEX(N$5:N$67,MATCH($S578,$B$5:$B$67,0))</f>
        <v>78.54</v>
      </c>
      <c r="Y578" s="25">
        <f t="shared" si="569"/>
        <v>5248</v>
      </c>
      <c r="Z578" s="25">
        <f t="shared" si="570"/>
        <v>1161</v>
      </c>
      <c r="AA578" s="25">
        <f t="shared" si="571"/>
        <v>929</v>
      </c>
      <c r="AB578" s="25">
        <f t="shared" si="572"/>
        <v>1100</v>
      </c>
    </row>
    <row r="579" spans="1:28">
      <c r="A579" s="48">
        <v>1009021</v>
      </c>
      <c r="B579" s="49" t="s">
        <v>905</v>
      </c>
      <c r="C579" s="25">
        <f t="shared" si="564"/>
        <v>21</v>
      </c>
      <c r="D579" s="25">
        <f t="array" ref="D579">INDEX(C$5:C$67,MATCH($B579,$B$5:$B$67,0))</f>
        <v>4200</v>
      </c>
      <c r="E579" s="25">
        <f t="array" ref="E579">INDEX(D$5:D$67,MATCH($B579,$B$5:$B$67,0))</f>
        <v>336</v>
      </c>
      <c r="F579" s="25">
        <f t="array" ref="F579">INDEX(E$5:E$67,MATCH($B579,$B$5:$B$67,0))</f>
        <v>1440</v>
      </c>
      <c r="G579" s="25">
        <f t="array" ref="G579">INDEX(F$5:F$67,MATCH($B579,$B$5:$B$67,0))</f>
        <v>115.2</v>
      </c>
      <c r="H579" s="25">
        <f t="array" ref="H579">INDEX(G$5:G$66,MATCH($B579,$B$5:$B$67,0))</f>
        <v>1818</v>
      </c>
      <c r="I579" s="25">
        <f t="array" ref="I579">INDEX(H$5:H$67,MATCH($B579,$B$5:$B$67,0))</f>
        <v>145.44</v>
      </c>
      <c r="J579" s="25">
        <f t="array" ref="J579">INDEX(I$5:I$67,MATCH($B579,$B$5:$B$67,0))</f>
        <v>990</v>
      </c>
      <c r="K579" s="25">
        <f t="array" ref="K579">INDEX(J$5:J$67,MATCH($B579,$B$5:$B$67,0))</f>
        <v>79.2</v>
      </c>
      <c r="L579" s="25">
        <f t="shared" si="565"/>
        <v>11256</v>
      </c>
      <c r="M579" s="25">
        <f t="shared" si="566"/>
        <v>3859</v>
      </c>
      <c r="N579" s="25">
        <f t="shared" si="567"/>
        <v>4872</v>
      </c>
      <c r="O579" s="25">
        <f t="shared" si="568"/>
        <v>2653</v>
      </c>
      <c r="R579" s="50">
        <f t="array" ref="R579">INDEX($B$46:$B$68,MATCH(S579,$C$46:$C$68,0))*1000+T579</f>
        <v>1023015</v>
      </c>
      <c r="S579" s="51" t="s">
        <v>354</v>
      </c>
      <c r="T579" s="29">
        <f t="shared" si="573"/>
        <v>15</v>
      </c>
      <c r="U579" s="25">
        <f t="array" ref="U579">INDEX(K$5:K$67,MATCH($S579,$B$5:$B$67,0))</f>
        <v>374.88</v>
      </c>
      <c r="V579" s="25">
        <f t="array" ref="V579">INDEX(L$5:L$67,MATCH($S579,$B$5:$B$67,0))</f>
        <v>82.94</v>
      </c>
      <c r="W579" s="25">
        <f t="array" ref="W579">INDEX(M$5:M$67,MATCH($S579,$B$5:$B$67,0))</f>
        <v>66.36</v>
      </c>
      <c r="X579" s="25">
        <f t="array" ref="X579">INDEX(N$5:N$67,MATCH($S579,$B$5:$B$67,0))</f>
        <v>78.54</v>
      </c>
      <c r="Y579" s="25">
        <f t="shared" si="569"/>
        <v>5623</v>
      </c>
      <c r="Z579" s="25">
        <f t="shared" si="570"/>
        <v>1244</v>
      </c>
      <c r="AA579" s="25">
        <f t="shared" si="571"/>
        <v>995</v>
      </c>
      <c r="AB579" s="25">
        <f t="shared" si="572"/>
        <v>1178</v>
      </c>
    </row>
    <row r="580" spans="1:28">
      <c r="A580" s="48">
        <v>1009022</v>
      </c>
      <c r="B580" s="49" t="s">
        <v>905</v>
      </c>
      <c r="C580" s="25">
        <f t="shared" si="564"/>
        <v>22</v>
      </c>
      <c r="D580" s="25">
        <f t="array" ref="D580">INDEX(C$5:C$67,MATCH($B580,$B$5:$B$67,0))</f>
        <v>4200</v>
      </c>
      <c r="E580" s="25">
        <f t="array" ref="E580">INDEX(D$5:D$67,MATCH($B580,$B$5:$B$67,0))</f>
        <v>336</v>
      </c>
      <c r="F580" s="25">
        <f t="array" ref="F580">INDEX(E$5:E$67,MATCH($B580,$B$5:$B$67,0))</f>
        <v>1440</v>
      </c>
      <c r="G580" s="25">
        <f t="array" ref="G580">INDEX(F$5:F$67,MATCH($B580,$B$5:$B$67,0))</f>
        <v>115.2</v>
      </c>
      <c r="H580" s="25">
        <f t="array" ref="H580">INDEX(G$5:G$66,MATCH($B580,$B$5:$B$67,0))</f>
        <v>1818</v>
      </c>
      <c r="I580" s="25">
        <f t="array" ref="I580">INDEX(H$5:H$67,MATCH($B580,$B$5:$B$67,0))</f>
        <v>145.44</v>
      </c>
      <c r="J580" s="25">
        <f t="array" ref="J580">INDEX(I$5:I$67,MATCH($B580,$B$5:$B$67,0))</f>
        <v>990</v>
      </c>
      <c r="K580" s="25">
        <f t="array" ref="K580">INDEX(J$5:J$67,MATCH($B580,$B$5:$B$67,0))</f>
        <v>79.2</v>
      </c>
      <c r="L580" s="25">
        <f t="shared" si="565"/>
        <v>11592</v>
      </c>
      <c r="M580" s="25">
        <f t="shared" si="566"/>
        <v>3974</v>
      </c>
      <c r="N580" s="25">
        <f t="shared" si="567"/>
        <v>5018</v>
      </c>
      <c r="O580" s="25">
        <f t="shared" si="568"/>
        <v>2732</v>
      </c>
      <c r="R580" s="50">
        <f t="array" ref="R580">INDEX($B$46:$B$68,MATCH(S580,$C$46:$C$68,0))*1000+T580</f>
        <v>1023016</v>
      </c>
      <c r="S580" s="51" t="s">
        <v>354</v>
      </c>
      <c r="T580" s="29">
        <f t="shared" si="573"/>
        <v>16</v>
      </c>
      <c r="U580" s="25">
        <f t="array" ref="U580">INDEX(K$5:K$67,MATCH($S580,$B$5:$B$67,0))</f>
        <v>374.88</v>
      </c>
      <c r="V580" s="25">
        <f t="array" ref="V580">INDEX(L$5:L$67,MATCH($S580,$B$5:$B$67,0))</f>
        <v>82.94</v>
      </c>
      <c r="W580" s="25">
        <f t="array" ref="W580">INDEX(M$5:M$67,MATCH($S580,$B$5:$B$67,0))</f>
        <v>66.36</v>
      </c>
      <c r="X580" s="25">
        <f t="array" ref="X580">INDEX(N$5:N$67,MATCH($S580,$B$5:$B$67,0))</f>
        <v>78.54</v>
      </c>
      <c r="Y580" s="25">
        <f t="shared" si="569"/>
        <v>5998</v>
      </c>
      <c r="Z580" s="25">
        <f t="shared" si="570"/>
        <v>1327</v>
      </c>
      <c r="AA580" s="25">
        <f t="shared" si="571"/>
        <v>1062</v>
      </c>
      <c r="AB580" s="25">
        <f t="shared" si="572"/>
        <v>1257</v>
      </c>
    </row>
    <row r="581" spans="1:28">
      <c r="A581" s="48">
        <v>1009023</v>
      </c>
      <c r="B581" s="49" t="s">
        <v>905</v>
      </c>
      <c r="C581" s="25">
        <f t="shared" si="564"/>
        <v>23</v>
      </c>
      <c r="D581" s="25">
        <f t="array" ref="D581">INDEX(C$5:C$67,MATCH($B581,$B$5:$B$67,0))</f>
        <v>4200</v>
      </c>
      <c r="E581" s="25">
        <f t="array" ref="E581">INDEX(D$5:D$67,MATCH($B581,$B$5:$B$67,0))</f>
        <v>336</v>
      </c>
      <c r="F581" s="25">
        <f t="array" ref="F581">INDEX(E$5:E$67,MATCH($B581,$B$5:$B$67,0))</f>
        <v>1440</v>
      </c>
      <c r="G581" s="25">
        <f t="array" ref="G581">INDEX(F$5:F$67,MATCH($B581,$B$5:$B$67,0))</f>
        <v>115.2</v>
      </c>
      <c r="H581" s="25">
        <f t="array" ref="H581">INDEX(G$5:G$66,MATCH($B581,$B$5:$B$67,0))</f>
        <v>1818</v>
      </c>
      <c r="I581" s="25">
        <f t="array" ref="I581">INDEX(H$5:H$67,MATCH($B581,$B$5:$B$67,0))</f>
        <v>145.44</v>
      </c>
      <c r="J581" s="25">
        <f t="array" ref="J581">INDEX(I$5:I$67,MATCH($B581,$B$5:$B$67,0))</f>
        <v>990</v>
      </c>
      <c r="K581" s="25">
        <f t="array" ref="K581">INDEX(J$5:J$67,MATCH($B581,$B$5:$B$67,0))</f>
        <v>79.2</v>
      </c>
      <c r="L581" s="25">
        <f t="shared" si="565"/>
        <v>11928</v>
      </c>
      <c r="M581" s="25">
        <f t="shared" si="566"/>
        <v>4090</v>
      </c>
      <c r="N581" s="25">
        <f t="shared" si="567"/>
        <v>5163</v>
      </c>
      <c r="O581" s="25">
        <f t="shared" si="568"/>
        <v>2812</v>
      </c>
      <c r="R581" s="50">
        <f t="array" ref="R581">INDEX($B$46:$B$68,MATCH(S581,$C$46:$C$68,0))*1000+T581</f>
        <v>1023017</v>
      </c>
      <c r="S581" s="51" t="s">
        <v>354</v>
      </c>
      <c r="T581" s="29">
        <f t="shared" si="573"/>
        <v>17</v>
      </c>
      <c r="U581" s="25">
        <f t="array" ref="U581">INDEX(K$5:K$67,MATCH($S581,$B$5:$B$67,0))</f>
        <v>374.88</v>
      </c>
      <c r="V581" s="25">
        <f t="array" ref="V581">INDEX(L$5:L$67,MATCH($S581,$B$5:$B$67,0))</f>
        <v>82.94</v>
      </c>
      <c r="W581" s="25">
        <f t="array" ref="W581">INDEX(M$5:M$67,MATCH($S581,$B$5:$B$67,0))</f>
        <v>66.36</v>
      </c>
      <c r="X581" s="25">
        <f t="array" ref="X581">INDEX(N$5:N$67,MATCH($S581,$B$5:$B$67,0))</f>
        <v>78.54</v>
      </c>
      <c r="Y581" s="25">
        <f t="shared" si="569"/>
        <v>6373</v>
      </c>
      <c r="Z581" s="25">
        <f t="shared" si="570"/>
        <v>1410</v>
      </c>
      <c r="AA581" s="25">
        <f t="shared" si="571"/>
        <v>1128</v>
      </c>
      <c r="AB581" s="25">
        <f t="shared" si="572"/>
        <v>1335</v>
      </c>
    </row>
    <row r="582" spans="1:28">
      <c r="A582" s="48">
        <v>1009024</v>
      </c>
      <c r="B582" s="49" t="s">
        <v>905</v>
      </c>
      <c r="C582" s="25">
        <f t="shared" si="564"/>
        <v>24</v>
      </c>
      <c r="D582" s="25">
        <f t="array" ref="D582">INDEX(C$5:C$67,MATCH($B582,$B$5:$B$67,0))</f>
        <v>4200</v>
      </c>
      <c r="E582" s="25">
        <f t="array" ref="E582">INDEX(D$5:D$67,MATCH($B582,$B$5:$B$67,0))</f>
        <v>336</v>
      </c>
      <c r="F582" s="25">
        <f t="array" ref="F582">INDEX(E$5:E$67,MATCH($B582,$B$5:$B$67,0))</f>
        <v>1440</v>
      </c>
      <c r="G582" s="25">
        <f t="array" ref="G582">INDEX(F$5:F$67,MATCH($B582,$B$5:$B$67,0))</f>
        <v>115.2</v>
      </c>
      <c r="H582" s="25">
        <f t="array" ref="H582">INDEX(G$5:G$66,MATCH($B582,$B$5:$B$67,0))</f>
        <v>1818</v>
      </c>
      <c r="I582" s="25">
        <f t="array" ref="I582">INDEX(H$5:H$67,MATCH($B582,$B$5:$B$67,0))</f>
        <v>145.44</v>
      </c>
      <c r="J582" s="25">
        <f t="array" ref="J582">INDEX(I$5:I$67,MATCH($B582,$B$5:$B$67,0))</f>
        <v>990</v>
      </c>
      <c r="K582" s="25">
        <f t="array" ref="K582">INDEX(J$5:J$67,MATCH($B582,$B$5:$B$67,0))</f>
        <v>79.2</v>
      </c>
      <c r="L582" s="25">
        <f t="shared" si="565"/>
        <v>12264</v>
      </c>
      <c r="M582" s="25">
        <f t="shared" si="566"/>
        <v>4205</v>
      </c>
      <c r="N582" s="25">
        <f t="shared" si="567"/>
        <v>5309</v>
      </c>
      <c r="O582" s="25">
        <f t="shared" si="568"/>
        <v>2891</v>
      </c>
      <c r="R582" s="50">
        <f t="array" ref="R582">INDEX($B$46:$B$68,MATCH(S582,$C$46:$C$68,0))*1000+T582</f>
        <v>1023018</v>
      </c>
      <c r="S582" s="51" t="s">
        <v>354</v>
      </c>
      <c r="T582" s="29">
        <f t="shared" si="573"/>
        <v>18</v>
      </c>
      <c r="U582" s="25">
        <f t="array" ref="U582">INDEX(K$5:K$67,MATCH($S582,$B$5:$B$67,0))</f>
        <v>374.88</v>
      </c>
      <c r="V582" s="25">
        <f t="array" ref="V582">INDEX(L$5:L$67,MATCH($S582,$B$5:$B$67,0))</f>
        <v>82.94</v>
      </c>
      <c r="W582" s="25">
        <f t="array" ref="W582">INDEX(M$5:M$67,MATCH($S582,$B$5:$B$67,0))</f>
        <v>66.36</v>
      </c>
      <c r="X582" s="25">
        <f t="array" ref="X582">INDEX(N$5:N$67,MATCH($S582,$B$5:$B$67,0))</f>
        <v>78.54</v>
      </c>
      <c r="Y582" s="25">
        <f t="shared" si="569"/>
        <v>6748</v>
      </c>
      <c r="Z582" s="25">
        <f t="shared" si="570"/>
        <v>1493</v>
      </c>
      <c r="AA582" s="25">
        <f t="shared" si="571"/>
        <v>1194</v>
      </c>
      <c r="AB582" s="25">
        <f t="shared" si="572"/>
        <v>1414</v>
      </c>
    </row>
    <row r="583" spans="1:28">
      <c r="A583" s="48">
        <v>1009025</v>
      </c>
      <c r="B583" s="49" t="s">
        <v>905</v>
      </c>
      <c r="C583" s="25">
        <f t="shared" si="564"/>
        <v>25</v>
      </c>
      <c r="D583" s="25">
        <f t="array" ref="D583">INDEX(C$5:C$67,MATCH($B583,$B$5:$B$67,0))</f>
        <v>4200</v>
      </c>
      <c r="E583" s="25">
        <f t="array" ref="E583">INDEX(D$5:D$67,MATCH($B583,$B$5:$B$67,0))</f>
        <v>336</v>
      </c>
      <c r="F583" s="25">
        <f t="array" ref="F583">INDEX(E$5:E$67,MATCH($B583,$B$5:$B$67,0))</f>
        <v>1440</v>
      </c>
      <c r="G583" s="25">
        <f t="array" ref="G583">INDEX(F$5:F$67,MATCH($B583,$B$5:$B$67,0))</f>
        <v>115.2</v>
      </c>
      <c r="H583" s="25">
        <f t="array" ref="H583">INDEX(G$5:G$66,MATCH($B583,$B$5:$B$67,0))</f>
        <v>1818</v>
      </c>
      <c r="I583" s="25">
        <f t="array" ref="I583">INDEX(H$5:H$67,MATCH($B583,$B$5:$B$67,0))</f>
        <v>145.44</v>
      </c>
      <c r="J583" s="25">
        <f t="array" ref="J583">INDEX(I$5:I$67,MATCH($B583,$B$5:$B$67,0))</f>
        <v>990</v>
      </c>
      <c r="K583" s="25">
        <f t="array" ref="K583">INDEX(J$5:J$67,MATCH($B583,$B$5:$B$67,0))</f>
        <v>79.2</v>
      </c>
      <c r="L583" s="25">
        <f t="shared" si="565"/>
        <v>12600</v>
      </c>
      <c r="M583" s="25">
        <f t="shared" si="566"/>
        <v>4320</v>
      </c>
      <c r="N583" s="25">
        <f t="shared" si="567"/>
        <v>5454</v>
      </c>
      <c r="O583" s="25">
        <f t="shared" si="568"/>
        <v>2970</v>
      </c>
      <c r="R583" s="50">
        <f t="array" ref="R583">INDEX($B$46:$B$68,MATCH(S583,$C$46:$C$68,0))*1000+T583</f>
        <v>1023019</v>
      </c>
      <c r="S583" s="51" t="s">
        <v>354</v>
      </c>
      <c r="T583" s="29">
        <f t="shared" si="573"/>
        <v>19</v>
      </c>
      <c r="U583" s="25">
        <f t="array" ref="U583">INDEX(K$5:K$67,MATCH($S583,$B$5:$B$67,0))</f>
        <v>374.88</v>
      </c>
      <c r="V583" s="25">
        <f t="array" ref="V583">INDEX(L$5:L$67,MATCH($S583,$B$5:$B$67,0))</f>
        <v>82.94</v>
      </c>
      <c r="W583" s="25">
        <f t="array" ref="W583">INDEX(M$5:M$67,MATCH($S583,$B$5:$B$67,0))</f>
        <v>66.36</v>
      </c>
      <c r="X583" s="25">
        <f t="array" ref="X583">INDEX(N$5:N$67,MATCH($S583,$B$5:$B$67,0))</f>
        <v>78.54</v>
      </c>
      <c r="Y583" s="25">
        <f t="shared" si="569"/>
        <v>7123</v>
      </c>
      <c r="Z583" s="25">
        <f t="shared" si="570"/>
        <v>1576</v>
      </c>
      <c r="AA583" s="25">
        <f t="shared" si="571"/>
        <v>1261</v>
      </c>
      <c r="AB583" s="25">
        <f t="shared" si="572"/>
        <v>1492</v>
      </c>
    </row>
    <row r="584" spans="1:28">
      <c r="A584" s="48">
        <v>1009026</v>
      </c>
      <c r="B584" s="49" t="s">
        <v>905</v>
      </c>
      <c r="C584" s="25">
        <f t="shared" si="564"/>
        <v>26</v>
      </c>
      <c r="D584" s="25">
        <f t="array" ref="D584">INDEX(C$5:C$67,MATCH($B584,$B$5:$B$67,0))</f>
        <v>4200</v>
      </c>
      <c r="E584" s="25">
        <f t="array" ref="E584">INDEX(D$5:D$67,MATCH($B584,$B$5:$B$67,0))</f>
        <v>336</v>
      </c>
      <c r="F584" s="25">
        <f t="array" ref="F584">INDEX(E$5:E$67,MATCH($B584,$B$5:$B$67,0))</f>
        <v>1440</v>
      </c>
      <c r="G584" s="25">
        <f t="array" ref="G584">INDEX(F$5:F$67,MATCH($B584,$B$5:$B$67,0))</f>
        <v>115.2</v>
      </c>
      <c r="H584" s="25">
        <f t="array" ref="H584">INDEX(G$5:G$66,MATCH($B584,$B$5:$B$67,0))</f>
        <v>1818</v>
      </c>
      <c r="I584" s="25">
        <f t="array" ref="I584">INDEX(H$5:H$67,MATCH($B584,$B$5:$B$67,0))</f>
        <v>145.44</v>
      </c>
      <c r="J584" s="25">
        <f t="array" ref="J584">INDEX(I$5:I$67,MATCH($B584,$B$5:$B$67,0))</f>
        <v>990</v>
      </c>
      <c r="K584" s="25">
        <f t="array" ref="K584">INDEX(J$5:J$67,MATCH($B584,$B$5:$B$67,0))</f>
        <v>79.2</v>
      </c>
      <c r="L584" s="25">
        <f t="shared" si="565"/>
        <v>12936</v>
      </c>
      <c r="M584" s="25">
        <f t="shared" si="566"/>
        <v>4435</v>
      </c>
      <c r="N584" s="25">
        <f t="shared" si="567"/>
        <v>5599</v>
      </c>
      <c r="O584" s="25">
        <f t="shared" si="568"/>
        <v>3049</v>
      </c>
      <c r="R584" s="50">
        <f t="array" ref="R584">INDEX($B$46:$B$68,MATCH(S584,$C$46:$C$68,0))*1000+T584</f>
        <v>1023020</v>
      </c>
      <c r="S584" s="51" t="s">
        <v>354</v>
      </c>
      <c r="T584" s="29">
        <f t="shared" si="573"/>
        <v>20</v>
      </c>
      <c r="U584" s="25">
        <f t="array" ref="U584">INDEX(K$5:K$67,MATCH($S584,$B$5:$B$67,0))</f>
        <v>374.88</v>
      </c>
      <c r="V584" s="25">
        <f t="array" ref="V584">INDEX(L$5:L$67,MATCH($S584,$B$5:$B$67,0))</f>
        <v>82.94</v>
      </c>
      <c r="W584" s="25">
        <f t="array" ref="W584">INDEX(M$5:M$67,MATCH($S584,$B$5:$B$67,0))</f>
        <v>66.36</v>
      </c>
      <c r="X584" s="25">
        <f t="array" ref="X584">INDEX(N$5:N$67,MATCH($S584,$B$5:$B$67,0))</f>
        <v>78.54</v>
      </c>
      <c r="Y584" s="25">
        <f t="shared" si="569"/>
        <v>7498</v>
      </c>
      <c r="Z584" s="25">
        <f t="shared" si="570"/>
        <v>1659</v>
      </c>
      <c r="AA584" s="25">
        <f t="shared" si="571"/>
        <v>1327</v>
      </c>
      <c r="AB584" s="25">
        <f t="shared" si="572"/>
        <v>1571</v>
      </c>
    </row>
    <row r="585" spans="1:28">
      <c r="A585" s="48">
        <v>1009027</v>
      </c>
      <c r="B585" s="49" t="s">
        <v>905</v>
      </c>
      <c r="C585" s="25">
        <f t="shared" si="564"/>
        <v>27</v>
      </c>
      <c r="D585" s="25">
        <f t="array" ref="D585">INDEX(C$5:C$67,MATCH($B585,$B$5:$B$67,0))</f>
        <v>4200</v>
      </c>
      <c r="E585" s="25">
        <f t="array" ref="E585">INDEX(D$5:D$67,MATCH($B585,$B$5:$B$67,0))</f>
        <v>336</v>
      </c>
      <c r="F585" s="25">
        <f t="array" ref="F585">INDEX(E$5:E$67,MATCH($B585,$B$5:$B$67,0))</f>
        <v>1440</v>
      </c>
      <c r="G585" s="25">
        <f t="array" ref="G585">INDEX(F$5:F$67,MATCH($B585,$B$5:$B$67,0))</f>
        <v>115.2</v>
      </c>
      <c r="H585" s="25">
        <f t="array" ref="H585">INDEX(G$5:G$66,MATCH($B585,$B$5:$B$67,0))</f>
        <v>1818</v>
      </c>
      <c r="I585" s="25">
        <f t="array" ref="I585">INDEX(H$5:H$67,MATCH($B585,$B$5:$B$67,0))</f>
        <v>145.44</v>
      </c>
      <c r="J585" s="25">
        <f t="array" ref="J585">INDEX(I$5:I$67,MATCH($B585,$B$5:$B$67,0))</f>
        <v>990</v>
      </c>
      <c r="K585" s="25">
        <f t="array" ref="K585">INDEX(J$5:J$67,MATCH($B585,$B$5:$B$67,0))</f>
        <v>79.2</v>
      </c>
      <c r="L585" s="25">
        <f t="shared" si="565"/>
        <v>13272</v>
      </c>
      <c r="M585" s="25">
        <f t="shared" si="566"/>
        <v>4550</v>
      </c>
      <c r="N585" s="25">
        <f t="shared" si="567"/>
        <v>5745</v>
      </c>
      <c r="O585" s="25">
        <f t="shared" si="568"/>
        <v>3128</v>
      </c>
      <c r="R585" s="50">
        <f t="array" ref="R585">INDEX($B$46:$B$68,MATCH(S585,$C$46:$C$68,0))*1000+T585</f>
        <v>1023021</v>
      </c>
      <c r="S585" s="51" t="s">
        <v>354</v>
      </c>
      <c r="T585" s="29">
        <f t="shared" si="573"/>
        <v>21</v>
      </c>
      <c r="U585" s="25">
        <f t="array" ref="U585">INDEX(K$5:K$67,MATCH($S585,$B$5:$B$67,0))</f>
        <v>374.88</v>
      </c>
      <c r="V585" s="25">
        <f t="array" ref="V585">INDEX(L$5:L$67,MATCH($S585,$B$5:$B$67,0))</f>
        <v>82.94</v>
      </c>
      <c r="W585" s="25">
        <f t="array" ref="W585">INDEX(M$5:M$67,MATCH($S585,$B$5:$B$67,0))</f>
        <v>66.36</v>
      </c>
      <c r="X585" s="25">
        <f t="array" ref="X585">INDEX(N$5:N$67,MATCH($S585,$B$5:$B$67,0))</f>
        <v>78.54</v>
      </c>
      <c r="Y585" s="25">
        <f t="shared" si="569"/>
        <v>7872</v>
      </c>
      <c r="Z585" s="25">
        <f t="shared" si="570"/>
        <v>1742</v>
      </c>
      <c r="AA585" s="25">
        <f t="shared" si="571"/>
        <v>1394</v>
      </c>
      <c r="AB585" s="25">
        <f t="shared" si="572"/>
        <v>1649</v>
      </c>
    </row>
    <row r="586" spans="1:28">
      <c r="A586" s="48">
        <v>1009028</v>
      </c>
      <c r="B586" s="49" t="s">
        <v>905</v>
      </c>
      <c r="C586" s="25">
        <f t="shared" si="564"/>
        <v>28</v>
      </c>
      <c r="D586" s="25">
        <f t="array" ref="D586">INDEX(C$5:C$67,MATCH($B586,$B$5:$B$67,0))</f>
        <v>4200</v>
      </c>
      <c r="E586" s="25">
        <f t="array" ref="E586">INDEX(D$5:D$67,MATCH($B586,$B$5:$B$67,0))</f>
        <v>336</v>
      </c>
      <c r="F586" s="25">
        <f t="array" ref="F586">INDEX(E$5:E$67,MATCH($B586,$B$5:$B$67,0))</f>
        <v>1440</v>
      </c>
      <c r="G586" s="25">
        <f t="array" ref="G586">INDEX(F$5:F$67,MATCH($B586,$B$5:$B$67,0))</f>
        <v>115.2</v>
      </c>
      <c r="H586" s="25">
        <f t="array" ref="H586">INDEX(G$5:G$66,MATCH($B586,$B$5:$B$67,0))</f>
        <v>1818</v>
      </c>
      <c r="I586" s="25">
        <f t="array" ref="I586">INDEX(H$5:H$67,MATCH($B586,$B$5:$B$67,0))</f>
        <v>145.44</v>
      </c>
      <c r="J586" s="25">
        <f t="array" ref="J586">INDEX(I$5:I$67,MATCH($B586,$B$5:$B$67,0))</f>
        <v>990</v>
      </c>
      <c r="K586" s="25">
        <f t="array" ref="K586">INDEX(J$5:J$67,MATCH($B586,$B$5:$B$67,0))</f>
        <v>79.2</v>
      </c>
      <c r="L586" s="25">
        <f t="shared" si="565"/>
        <v>13608</v>
      </c>
      <c r="M586" s="25">
        <f t="shared" si="566"/>
        <v>4666</v>
      </c>
      <c r="N586" s="25">
        <f t="shared" si="567"/>
        <v>5890</v>
      </c>
      <c r="O586" s="25">
        <f t="shared" si="568"/>
        <v>3208</v>
      </c>
      <c r="R586" s="50">
        <f t="array" ref="R586">INDEX($B$46:$B$68,MATCH(S586,$C$46:$C$68,0))*1000+T586</f>
        <v>1023022</v>
      </c>
      <c r="S586" s="51" t="s">
        <v>354</v>
      </c>
      <c r="T586" s="29">
        <f t="shared" si="573"/>
        <v>22</v>
      </c>
      <c r="U586" s="25">
        <f t="array" ref="U586">INDEX(K$5:K$67,MATCH($S586,$B$5:$B$67,0))</f>
        <v>374.88</v>
      </c>
      <c r="V586" s="25">
        <f t="array" ref="V586">INDEX(L$5:L$67,MATCH($S586,$B$5:$B$67,0))</f>
        <v>82.94</v>
      </c>
      <c r="W586" s="25">
        <f t="array" ref="W586">INDEX(M$5:M$67,MATCH($S586,$B$5:$B$67,0))</f>
        <v>66.36</v>
      </c>
      <c r="X586" s="25">
        <f t="array" ref="X586">INDEX(N$5:N$67,MATCH($S586,$B$5:$B$67,0))</f>
        <v>78.54</v>
      </c>
      <c r="Y586" s="25">
        <f t="shared" si="569"/>
        <v>8247</v>
      </c>
      <c r="Z586" s="25">
        <f t="shared" si="570"/>
        <v>1825</v>
      </c>
      <c r="AA586" s="25">
        <f t="shared" si="571"/>
        <v>1460</v>
      </c>
      <c r="AB586" s="25">
        <f t="shared" si="572"/>
        <v>1728</v>
      </c>
    </row>
    <row r="587" spans="1:28">
      <c r="A587" s="48">
        <v>1009029</v>
      </c>
      <c r="B587" s="49" t="s">
        <v>905</v>
      </c>
      <c r="C587" s="25">
        <f t="shared" ref="C587:C650" si="574">C527</f>
        <v>29</v>
      </c>
      <c r="D587" s="25">
        <f t="array" ref="D587">INDEX(C$5:C$67,MATCH($B587,$B$5:$B$67,0))</f>
        <v>4200</v>
      </c>
      <c r="E587" s="25">
        <f t="array" ref="E587">INDEX(D$5:D$67,MATCH($B587,$B$5:$B$67,0))</f>
        <v>336</v>
      </c>
      <c r="F587" s="25">
        <f t="array" ref="F587">INDEX(E$5:E$67,MATCH($B587,$B$5:$B$67,0))</f>
        <v>1440</v>
      </c>
      <c r="G587" s="25">
        <f t="array" ref="G587">INDEX(F$5:F$67,MATCH($B587,$B$5:$B$67,0))</f>
        <v>115.2</v>
      </c>
      <c r="H587" s="25">
        <f t="array" ref="H587">INDEX(G$5:G$66,MATCH($B587,$B$5:$B$67,0))</f>
        <v>1818</v>
      </c>
      <c r="I587" s="25">
        <f t="array" ref="I587">INDEX(H$5:H$67,MATCH($B587,$B$5:$B$67,0))</f>
        <v>145.44</v>
      </c>
      <c r="J587" s="25">
        <f t="array" ref="J587">INDEX(I$5:I$67,MATCH($B587,$B$5:$B$67,0))</f>
        <v>990</v>
      </c>
      <c r="K587" s="25">
        <f t="array" ref="K587">INDEX(J$5:J$67,MATCH($B587,$B$5:$B$67,0))</f>
        <v>79.2</v>
      </c>
      <c r="L587" s="25">
        <f t="shared" si="565"/>
        <v>13944</v>
      </c>
      <c r="M587" s="25">
        <f t="shared" si="566"/>
        <v>4781</v>
      </c>
      <c r="N587" s="25">
        <f t="shared" si="567"/>
        <v>6036</v>
      </c>
      <c r="O587" s="25">
        <f t="shared" si="568"/>
        <v>3287</v>
      </c>
      <c r="R587" s="50">
        <f t="array" ref="R587">INDEX($B$46:$B$68,MATCH(S587,$C$46:$C$68,0))*1000+T587</f>
        <v>1023023</v>
      </c>
      <c r="S587" s="51" t="s">
        <v>354</v>
      </c>
      <c r="T587" s="29">
        <f t="shared" si="573"/>
        <v>23</v>
      </c>
      <c r="U587" s="25">
        <f t="array" ref="U587">INDEX(K$5:K$67,MATCH($S587,$B$5:$B$67,0))</f>
        <v>374.88</v>
      </c>
      <c r="V587" s="25">
        <f t="array" ref="V587">INDEX(L$5:L$67,MATCH($S587,$B$5:$B$67,0))</f>
        <v>82.94</v>
      </c>
      <c r="W587" s="25">
        <f t="array" ref="W587">INDEX(M$5:M$67,MATCH($S587,$B$5:$B$67,0))</f>
        <v>66.36</v>
      </c>
      <c r="X587" s="25">
        <f t="array" ref="X587">INDEX(N$5:N$67,MATCH($S587,$B$5:$B$67,0))</f>
        <v>78.54</v>
      </c>
      <c r="Y587" s="25">
        <f t="shared" si="569"/>
        <v>8622</v>
      </c>
      <c r="Z587" s="25">
        <f t="shared" si="570"/>
        <v>1908</v>
      </c>
      <c r="AA587" s="25">
        <f t="shared" si="571"/>
        <v>1526</v>
      </c>
      <c r="AB587" s="25">
        <f t="shared" si="572"/>
        <v>1806</v>
      </c>
    </row>
    <row r="588" spans="1:28">
      <c r="A588" s="48">
        <v>1009030</v>
      </c>
      <c r="B588" s="49" t="s">
        <v>905</v>
      </c>
      <c r="C588" s="25">
        <f t="shared" si="574"/>
        <v>30</v>
      </c>
      <c r="D588" s="25">
        <f t="array" ref="D588">INDEX(C$5:C$67,MATCH($B588,$B$5:$B$67,0))</f>
        <v>4200</v>
      </c>
      <c r="E588" s="25">
        <f t="array" ref="E588">INDEX(D$5:D$67,MATCH($B588,$B$5:$B$67,0))</f>
        <v>336</v>
      </c>
      <c r="F588" s="25">
        <f t="array" ref="F588">INDEX(E$5:E$67,MATCH($B588,$B$5:$B$67,0))</f>
        <v>1440</v>
      </c>
      <c r="G588" s="25">
        <f t="array" ref="G588">INDEX(F$5:F$67,MATCH($B588,$B$5:$B$67,0))</f>
        <v>115.2</v>
      </c>
      <c r="H588" s="25">
        <f t="array" ref="H588">INDEX(G$5:G$66,MATCH($B588,$B$5:$B$67,0))</f>
        <v>1818</v>
      </c>
      <c r="I588" s="25">
        <f t="array" ref="I588">INDEX(H$5:H$67,MATCH($B588,$B$5:$B$67,0))</f>
        <v>145.44</v>
      </c>
      <c r="J588" s="25">
        <f t="array" ref="J588">INDEX(I$5:I$67,MATCH($B588,$B$5:$B$67,0))</f>
        <v>990</v>
      </c>
      <c r="K588" s="25">
        <f t="array" ref="K588">INDEX(J$5:J$67,MATCH($B588,$B$5:$B$67,0))</f>
        <v>79.2</v>
      </c>
      <c r="L588" s="25">
        <f t="shared" si="565"/>
        <v>14280</v>
      </c>
      <c r="M588" s="25">
        <f t="shared" si="566"/>
        <v>4896</v>
      </c>
      <c r="N588" s="25">
        <f t="shared" si="567"/>
        <v>6181</v>
      </c>
      <c r="O588" s="25">
        <f t="shared" si="568"/>
        <v>3366</v>
      </c>
      <c r="R588" s="50">
        <f t="array" ref="R588">INDEX($B$46:$B$68,MATCH(S588,$C$46:$C$68,0))*1000+T588</f>
        <v>1023024</v>
      </c>
      <c r="S588" s="51" t="s">
        <v>354</v>
      </c>
      <c r="T588" s="29">
        <f t="shared" si="573"/>
        <v>24</v>
      </c>
      <c r="U588" s="25">
        <f t="array" ref="U588">INDEX(K$5:K$67,MATCH($S588,$B$5:$B$67,0))</f>
        <v>374.88</v>
      </c>
      <c r="V588" s="25">
        <f t="array" ref="V588">INDEX(L$5:L$67,MATCH($S588,$B$5:$B$67,0))</f>
        <v>82.94</v>
      </c>
      <c r="W588" s="25">
        <f t="array" ref="W588">INDEX(M$5:M$67,MATCH($S588,$B$5:$B$67,0))</f>
        <v>66.36</v>
      </c>
      <c r="X588" s="25">
        <f t="array" ref="X588">INDEX(N$5:N$67,MATCH($S588,$B$5:$B$67,0))</f>
        <v>78.54</v>
      </c>
      <c r="Y588" s="25">
        <f t="shared" si="569"/>
        <v>8997</v>
      </c>
      <c r="Z588" s="25">
        <f t="shared" si="570"/>
        <v>1991</v>
      </c>
      <c r="AA588" s="25">
        <f t="shared" si="571"/>
        <v>1593</v>
      </c>
      <c r="AB588" s="25">
        <f t="shared" si="572"/>
        <v>1885</v>
      </c>
    </row>
    <row r="589" spans="1:28">
      <c r="A589" s="48">
        <v>1009031</v>
      </c>
      <c r="B589" s="49" t="s">
        <v>905</v>
      </c>
      <c r="C589" s="25">
        <f t="shared" si="574"/>
        <v>31</v>
      </c>
      <c r="D589" s="25">
        <f t="array" ref="D589">INDEX(C$5:C$67,MATCH($B589,$B$5:$B$67,0))</f>
        <v>4200</v>
      </c>
      <c r="E589" s="25">
        <f t="array" ref="E589">INDEX(D$5:D$67,MATCH($B589,$B$5:$B$67,0))</f>
        <v>336</v>
      </c>
      <c r="F589" s="25">
        <f t="array" ref="F589">INDEX(E$5:E$67,MATCH($B589,$B$5:$B$67,0))</f>
        <v>1440</v>
      </c>
      <c r="G589" s="25">
        <f t="array" ref="G589">INDEX(F$5:F$67,MATCH($B589,$B$5:$B$67,0))</f>
        <v>115.2</v>
      </c>
      <c r="H589" s="25">
        <f t="array" ref="H589">INDEX(G$5:G$66,MATCH($B589,$B$5:$B$67,0))</f>
        <v>1818</v>
      </c>
      <c r="I589" s="25">
        <f t="array" ref="I589">INDEX(H$5:H$67,MATCH($B589,$B$5:$B$67,0))</f>
        <v>145.44</v>
      </c>
      <c r="J589" s="25">
        <f t="array" ref="J589">INDEX(I$5:I$67,MATCH($B589,$B$5:$B$67,0))</f>
        <v>990</v>
      </c>
      <c r="K589" s="25">
        <f t="array" ref="K589">INDEX(J$5:J$67,MATCH($B589,$B$5:$B$67,0))</f>
        <v>79.2</v>
      </c>
      <c r="L589" s="25">
        <f t="shared" si="565"/>
        <v>14616</v>
      </c>
      <c r="M589" s="25">
        <f t="shared" si="566"/>
        <v>5011</v>
      </c>
      <c r="N589" s="25">
        <f t="shared" si="567"/>
        <v>6327</v>
      </c>
      <c r="O589" s="25">
        <f t="shared" si="568"/>
        <v>3445</v>
      </c>
      <c r="R589" s="50">
        <f t="array" ref="R589">INDEX($B$46:$B$68,MATCH(S589,$C$46:$C$68,0))*1000+T589</f>
        <v>1023025</v>
      </c>
      <c r="S589" s="51" t="s">
        <v>354</v>
      </c>
      <c r="T589" s="29">
        <f t="shared" si="573"/>
        <v>25</v>
      </c>
      <c r="U589" s="25">
        <f t="array" ref="U589">INDEX(K$5:K$67,MATCH($S589,$B$5:$B$67,0))</f>
        <v>374.88</v>
      </c>
      <c r="V589" s="25">
        <f t="array" ref="V589">INDEX(L$5:L$67,MATCH($S589,$B$5:$B$67,0))</f>
        <v>82.94</v>
      </c>
      <c r="W589" s="25">
        <f t="array" ref="W589">INDEX(M$5:M$67,MATCH($S589,$B$5:$B$67,0))</f>
        <v>66.36</v>
      </c>
      <c r="X589" s="25">
        <f t="array" ref="X589">INDEX(N$5:N$67,MATCH($S589,$B$5:$B$67,0))</f>
        <v>78.54</v>
      </c>
      <c r="Y589" s="25">
        <f t="shared" si="569"/>
        <v>9372</v>
      </c>
      <c r="Z589" s="25">
        <f t="shared" si="570"/>
        <v>2074</v>
      </c>
      <c r="AA589" s="25">
        <f t="shared" si="571"/>
        <v>1659</v>
      </c>
      <c r="AB589" s="25">
        <f t="shared" si="572"/>
        <v>1964</v>
      </c>
    </row>
    <row r="590" spans="1:28">
      <c r="A590" s="48">
        <v>1009032</v>
      </c>
      <c r="B590" s="49" t="s">
        <v>905</v>
      </c>
      <c r="C590" s="25">
        <f t="shared" si="574"/>
        <v>32</v>
      </c>
      <c r="D590" s="25">
        <f t="array" ref="D590">INDEX(C$5:C$67,MATCH($B590,$B$5:$B$67,0))</f>
        <v>4200</v>
      </c>
      <c r="E590" s="25">
        <f t="array" ref="E590">INDEX(D$5:D$67,MATCH($B590,$B$5:$B$67,0))</f>
        <v>336</v>
      </c>
      <c r="F590" s="25">
        <f t="array" ref="F590">INDEX(E$5:E$67,MATCH($B590,$B$5:$B$67,0))</f>
        <v>1440</v>
      </c>
      <c r="G590" s="25">
        <f t="array" ref="G590">INDEX(F$5:F$67,MATCH($B590,$B$5:$B$67,0))</f>
        <v>115.2</v>
      </c>
      <c r="H590" s="25">
        <f t="array" ref="H590">INDEX(G$5:G$66,MATCH($B590,$B$5:$B$67,0))</f>
        <v>1818</v>
      </c>
      <c r="I590" s="25">
        <f t="array" ref="I590">INDEX(H$5:H$67,MATCH($B590,$B$5:$B$67,0))</f>
        <v>145.44</v>
      </c>
      <c r="J590" s="25">
        <f t="array" ref="J590">INDEX(I$5:I$67,MATCH($B590,$B$5:$B$67,0))</f>
        <v>990</v>
      </c>
      <c r="K590" s="25">
        <f t="array" ref="K590">INDEX(J$5:J$67,MATCH($B590,$B$5:$B$67,0))</f>
        <v>79.2</v>
      </c>
      <c r="L590" s="25">
        <f t="shared" si="565"/>
        <v>14952</v>
      </c>
      <c r="M590" s="25">
        <f t="shared" si="566"/>
        <v>5126</v>
      </c>
      <c r="N590" s="25">
        <f t="shared" si="567"/>
        <v>6472</v>
      </c>
      <c r="O590" s="25">
        <f t="shared" si="568"/>
        <v>3524</v>
      </c>
      <c r="R590" s="50">
        <f t="array" ref="R590">INDEX($B$46:$B$68,MATCH(S590,$C$46:$C$68,0))*1000+T590</f>
        <v>1023026</v>
      </c>
      <c r="S590" s="51" t="s">
        <v>354</v>
      </c>
      <c r="T590" s="29">
        <f t="shared" si="573"/>
        <v>26</v>
      </c>
      <c r="U590" s="25">
        <f t="array" ref="U590">INDEX(K$5:K$67,MATCH($S590,$B$5:$B$67,0))</f>
        <v>374.88</v>
      </c>
      <c r="V590" s="25">
        <f t="array" ref="V590">INDEX(L$5:L$67,MATCH($S590,$B$5:$B$67,0))</f>
        <v>82.94</v>
      </c>
      <c r="W590" s="25">
        <f t="array" ref="W590">INDEX(M$5:M$67,MATCH($S590,$B$5:$B$67,0))</f>
        <v>66.36</v>
      </c>
      <c r="X590" s="25">
        <f t="array" ref="X590">INDEX(N$5:N$67,MATCH($S590,$B$5:$B$67,0))</f>
        <v>78.54</v>
      </c>
      <c r="Y590" s="25">
        <f t="shared" si="569"/>
        <v>9747</v>
      </c>
      <c r="Z590" s="25">
        <f t="shared" si="570"/>
        <v>2156</v>
      </c>
      <c r="AA590" s="25">
        <f t="shared" si="571"/>
        <v>1725</v>
      </c>
      <c r="AB590" s="25">
        <f t="shared" si="572"/>
        <v>2042</v>
      </c>
    </row>
    <row r="591" spans="1:28">
      <c r="A591" s="48">
        <v>1009033</v>
      </c>
      <c r="B591" s="49" t="s">
        <v>905</v>
      </c>
      <c r="C591" s="25">
        <f t="shared" si="574"/>
        <v>33</v>
      </c>
      <c r="D591" s="25">
        <f t="array" ref="D591">INDEX(C$5:C$67,MATCH($B591,$B$5:$B$67,0))</f>
        <v>4200</v>
      </c>
      <c r="E591" s="25">
        <f t="array" ref="E591">INDEX(D$5:D$67,MATCH($B591,$B$5:$B$67,0))</f>
        <v>336</v>
      </c>
      <c r="F591" s="25">
        <f t="array" ref="F591">INDEX(E$5:E$67,MATCH($B591,$B$5:$B$67,0))</f>
        <v>1440</v>
      </c>
      <c r="G591" s="25">
        <f t="array" ref="G591">INDEX(F$5:F$67,MATCH($B591,$B$5:$B$67,0))</f>
        <v>115.2</v>
      </c>
      <c r="H591" s="25">
        <f t="array" ref="H591">INDEX(G$5:G$66,MATCH($B591,$B$5:$B$67,0))</f>
        <v>1818</v>
      </c>
      <c r="I591" s="25">
        <f t="array" ref="I591">INDEX(H$5:H$67,MATCH($B591,$B$5:$B$67,0))</f>
        <v>145.44</v>
      </c>
      <c r="J591" s="25">
        <f t="array" ref="J591">INDEX(I$5:I$67,MATCH($B591,$B$5:$B$67,0))</f>
        <v>990</v>
      </c>
      <c r="K591" s="25">
        <f t="array" ref="K591">INDEX(J$5:J$67,MATCH($B591,$B$5:$B$67,0))</f>
        <v>79.2</v>
      </c>
      <c r="L591" s="25">
        <f t="shared" ref="L591:L654" si="575">ROUND(D591+E591*$C591,0)</f>
        <v>15288</v>
      </c>
      <c r="M591" s="25">
        <f t="shared" ref="M591:M654" si="576">ROUND(F591+G591*$C591,0)</f>
        <v>5242</v>
      </c>
      <c r="N591" s="25">
        <f t="shared" ref="N591:N654" si="577">ROUND(H591+I591*$C591,0)</f>
        <v>6618</v>
      </c>
      <c r="O591" s="25">
        <f t="shared" ref="O591:O654" si="578">ROUND(J591+K591*$C591,0)</f>
        <v>3604</v>
      </c>
      <c r="R591" s="50">
        <f t="array" ref="R591">INDEX($B$46:$B$68,MATCH(S591,$C$46:$C$68,0))*1000+T591</f>
        <v>1023027</v>
      </c>
      <c r="S591" s="51" t="s">
        <v>354</v>
      </c>
      <c r="T591" s="29">
        <f t="shared" si="573"/>
        <v>27</v>
      </c>
      <c r="U591" s="25">
        <f t="array" ref="U591">INDEX(K$5:K$67,MATCH($S591,$B$5:$B$67,0))</f>
        <v>374.88</v>
      </c>
      <c r="V591" s="25">
        <f t="array" ref="V591">INDEX(L$5:L$67,MATCH($S591,$B$5:$B$67,0))</f>
        <v>82.94</v>
      </c>
      <c r="W591" s="25">
        <f t="array" ref="W591">INDEX(M$5:M$67,MATCH($S591,$B$5:$B$67,0))</f>
        <v>66.36</v>
      </c>
      <c r="X591" s="25">
        <f t="array" ref="X591">INDEX(N$5:N$67,MATCH($S591,$B$5:$B$67,0))</f>
        <v>78.54</v>
      </c>
      <c r="Y591" s="25">
        <f t="shared" ref="Y591:Y654" si="579">ROUND($T591*U591,0)</f>
        <v>10122</v>
      </c>
      <c r="Z591" s="25">
        <f t="shared" ref="Z591:Z654" si="580">ROUND($T591*V591,0)</f>
        <v>2239</v>
      </c>
      <c r="AA591" s="25">
        <f t="shared" ref="AA591:AA654" si="581">ROUND($T591*W591,0)</f>
        <v>1792</v>
      </c>
      <c r="AB591" s="25">
        <f t="shared" ref="AB591:AB654" si="582">ROUND($T591*X591,0)</f>
        <v>2121</v>
      </c>
    </row>
    <row r="592" spans="1:28">
      <c r="A592" s="48">
        <v>1009034</v>
      </c>
      <c r="B592" s="49" t="s">
        <v>905</v>
      </c>
      <c r="C592" s="25">
        <f t="shared" si="574"/>
        <v>34</v>
      </c>
      <c r="D592" s="25">
        <f t="array" ref="D592">INDEX(C$5:C$67,MATCH($B592,$B$5:$B$67,0))</f>
        <v>4200</v>
      </c>
      <c r="E592" s="25">
        <f t="array" ref="E592">INDEX(D$5:D$67,MATCH($B592,$B$5:$B$67,0))</f>
        <v>336</v>
      </c>
      <c r="F592" s="25">
        <f t="array" ref="F592">INDEX(E$5:E$67,MATCH($B592,$B$5:$B$67,0))</f>
        <v>1440</v>
      </c>
      <c r="G592" s="25">
        <f t="array" ref="G592">INDEX(F$5:F$67,MATCH($B592,$B$5:$B$67,0))</f>
        <v>115.2</v>
      </c>
      <c r="H592" s="25">
        <f t="array" ref="H592">INDEX(G$5:G$66,MATCH($B592,$B$5:$B$67,0))</f>
        <v>1818</v>
      </c>
      <c r="I592" s="25">
        <f t="array" ref="I592">INDEX(H$5:H$67,MATCH($B592,$B$5:$B$67,0))</f>
        <v>145.44</v>
      </c>
      <c r="J592" s="25">
        <f t="array" ref="J592">INDEX(I$5:I$67,MATCH($B592,$B$5:$B$67,0))</f>
        <v>990</v>
      </c>
      <c r="K592" s="25">
        <f t="array" ref="K592">INDEX(J$5:J$67,MATCH($B592,$B$5:$B$67,0))</f>
        <v>79.2</v>
      </c>
      <c r="L592" s="25">
        <f t="shared" si="575"/>
        <v>15624</v>
      </c>
      <c r="M592" s="25">
        <f t="shared" si="576"/>
        <v>5357</v>
      </c>
      <c r="N592" s="25">
        <f t="shared" si="577"/>
        <v>6763</v>
      </c>
      <c r="O592" s="25">
        <f t="shared" si="578"/>
        <v>3683</v>
      </c>
      <c r="R592" s="50">
        <f t="array" ref="R592">INDEX($B$46:$B$68,MATCH(S592,$C$46:$C$68,0))*1000+T592</f>
        <v>1024001</v>
      </c>
      <c r="S592" s="51" t="s">
        <v>355</v>
      </c>
      <c r="T592" s="29">
        <f t="shared" si="573"/>
        <v>1</v>
      </c>
      <c r="U592" s="25">
        <f t="array" ref="U592">INDEX(K$5:K$67,MATCH($S592,$B$5:$B$67,0))</f>
        <v>269.91</v>
      </c>
      <c r="V592" s="25">
        <f t="array" ref="V592">INDEX(L$5:L$67,MATCH($S592,$B$5:$B$67,0))</f>
        <v>98.3</v>
      </c>
      <c r="W592" s="25">
        <f t="array" ref="W592">INDEX(M$5:M$67,MATCH($S592,$B$5:$B$67,0))</f>
        <v>122.88</v>
      </c>
      <c r="X592" s="25">
        <f t="array" ref="X592">INDEX(N$5:N$67,MATCH($S592,$B$5:$B$67,0))</f>
        <v>68</v>
      </c>
      <c r="Y592" s="25">
        <f t="shared" si="579"/>
        <v>270</v>
      </c>
      <c r="Z592" s="25">
        <f t="shared" si="580"/>
        <v>98</v>
      </c>
      <c r="AA592" s="25">
        <f t="shared" si="581"/>
        <v>123</v>
      </c>
      <c r="AB592" s="25">
        <f t="shared" si="582"/>
        <v>68</v>
      </c>
    </row>
    <row r="593" spans="1:28">
      <c r="A593" s="48">
        <v>1009035</v>
      </c>
      <c r="B593" s="49" t="s">
        <v>905</v>
      </c>
      <c r="C593" s="25">
        <f t="shared" si="574"/>
        <v>35</v>
      </c>
      <c r="D593" s="25">
        <f t="array" ref="D593">INDEX(C$5:C$67,MATCH($B593,$B$5:$B$67,0))</f>
        <v>4200</v>
      </c>
      <c r="E593" s="25">
        <f t="array" ref="E593">INDEX(D$5:D$67,MATCH($B593,$B$5:$B$67,0))</f>
        <v>336</v>
      </c>
      <c r="F593" s="25">
        <f t="array" ref="F593">INDEX(E$5:E$67,MATCH($B593,$B$5:$B$67,0))</f>
        <v>1440</v>
      </c>
      <c r="G593" s="25">
        <f t="array" ref="G593">INDEX(F$5:F$67,MATCH($B593,$B$5:$B$67,0))</f>
        <v>115.2</v>
      </c>
      <c r="H593" s="25">
        <f t="array" ref="H593">INDEX(G$5:G$66,MATCH($B593,$B$5:$B$67,0))</f>
        <v>1818</v>
      </c>
      <c r="I593" s="25">
        <f t="array" ref="I593">INDEX(H$5:H$67,MATCH($B593,$B$5:$B$67,0))</f>
        <v>145.44</v>
      </c>
      <c r="J593" s="25">
        <f t="array" ref="J593">INDEX(I$5:I$67,MATCH($B593,$B$5:$B$67,0))</f>
        <v>990</v>
      </c>
      <c r="K593" s="25">
        <f t="array" ref="K593">INDEX(J$5:J$67,MATCH($B593,$B$5:$B$67,0))</f>
        <v>79.2</v>
      </c>
      <c r="L593" s="25">
        <f t="shared" si="575"/>
        <v>15960</v>
      </c>
      <c r="M593" s="25">
        <f t="shared" si="576"/>
        <v>5472</v>
      </c>
      <c r="N593" s="25">
        <f t="shared" si="577"/>
        <v>6908</v>
      </c>
      <c r="O593" s="25">
        <f t="shared" si="578"/>
        <v>3762</v>
      </c>
      <c r="R593" s="50">
        <f t="array" ref="R593">INDEX($B$46:$B$68,MATCH(S593,$C$46:$C$68,0))*1000+T593</f>
        <v>1024002</v>
      </c>
      <c r="S593" s="51" t="s">
        <v>355</v>
      </c>
      <c r="T593" s="29">
        <f t="shared" si="573"/>
        <v>2</v>
      </c>
      <c r="U593" s="25">
        <f t="array" ref="U593">INDEX(K$5:K$67,MATCH($S593,$B$5:$B$67,0))</f>
        <v>269.91</v>
      </c>
      <c r="V593" s="25">
        <f t="array" ref="V593">INDEX(L$5:L$67,MATCH($S593,$B$5:$B$67,0))</f>
        <v>98.3</v>
      </c>
      <c r="W593" s="25">
        <f t="array" ref="W593">INDEX(M$5:M$67,MATCH($S593,$B$5:$B$67,0))</f>
        <v>122.88</v>
      </c>
      <c r="X593" s="25">
        <f t="array" ref="X593">INDEX(N$5:N$67,MATCH($S593,$B$5:$B$67,0))</f>
        <v>68</v>
      </c>
      <c r="Y593" s="25">
        <f t="shared" si="579"/>
        <v>540</v>
      </c>
      <c r="Z593" s="25">
        <f t="shared" si="580"/>
        <v>197</v>
      </c>
      <c r="AA593" s="25">
        <f t="shared" si="581"/>
        <v>246</v>
      </c>
      <c r="AB593" s="25">
        <f t="shared" si="582"/>
        <v>136</v>
      </c>
    </row>
    <row r="594" spans="1:28">
      <c r="A594" s="48">
        <v>1009036</v>
      </c>
      <c r="B594" s="49" t="s">
        <v>905</v>
      </c>
      <c r="C594" s="25">
        <f t="shared" si="574"/>
        <v>36</v>
      </c>
      <c r="D594" s="25">
        <f t="array" ref="D594">INDEX(C$5:C$67,MATCH($B594,$B$5:$B$67,0))</f>
        <v>4200</v>
      </c>
      <c r="E594" s="25">
        <f t="array" ref="E594">INDEX(D$5:D$67,MATCH($B594,$B$5:$B$67,0))</f>
        <v>336</v>
      </c>
      <c r="F594" s="25">
        <f t="array" ref="F594">INDEX(E$5:E$67,MATCH($B594,$B$5:$B$67,0))</f>
        <v>1440</v>
      </c>
      <c r="G594" s="25">
        <f t="array" ref="G594">INDEX(F$5:F$67,MATCH($B594,$B$5:$B$67,0))</f>
        <v>115.2</v>
      </c>
      <c r="H594" s="25">
        <f t="array" ref="H594">INDEX(G$5:G$66,MATCH($B594,$B$5:$B$67,0))</f>
        <v>1818</v>
      </c>
      <c r="I594" s="25">
        <f t="array" ref="I594">INDEX(H$5:H$67,MATCH($B594,$B$5:$B$67,0))</f>
        <v>145.44</v>
      </c>
      <c r="J594" s="25">
        <f t="array" ref="J594">INDEX(I$5:I$67,MATCH($B594,$B$5:$B$67,0))</f>
        <v>990</v>
      </c>
      <c r="K594" s="25">
        <f t="array" ref="K594">INDEX(J$5:J$67,MATCH($B594,$B$5:$B$67,0))</f>
        <v>79.2</v>
      </c>
      <c r="L594" s="25">
        <f t="shared" si="575"/>
        <v>16296</v>
      </c>
      <c r="M594" s="25">
        <f t="shared" si="576"/>
        <v>5587</v>
      </c>
      <c r="N594" s="25">
        <f t="shared" si="577"/>
        <v>7054</v>
      </c>
      <c r="O594" s="25">
        <f t="shared" si="578"/>
        <v>3841</v>
      </c>
      <c r="R594" s="50">
        <f t="array" ref="R594">INDEX($B$46:$B$68,MATCH(S594,$C$46:$C$68,0))*1000+T594</f>
        <v>1024003</v>
      </c>
      <c r="S594" s="51" t="s">
        <v>355</v>
      </c>
      <c r="T594" s="29">
        <f t="shared" si="573"/>
        <v>3</v>
      </c>
      <c r="U594" s="25">
        <f t="array" ref="U594">INDEX(K$5:K$67,MATCH($S594,$B$5:$B$67,0))</f>
        <v>269.91</v>
      </c>
      <c r="V594" s="25">
        <f t="array" ref="V594">INDEX(L$5:L$67,MATCH($S594,$B$5:$B$67,0))</f>
        <v>98.3</v>
      </c>
      <c r="W594" s="25">
        <f t="array" ref="W594">INDEX(M$5:M$67,MATCH($S594,$B$5:$B$67,0))</f>
        <v>122.88</v>
      </c>
      <c r="X594" s="25">
        <f t="array" ref="X594">INDEX(N$5:N$67,MATCH($S594,$B$5:$B$67,0))</f>
        <v>68</v>
      </c>
      <c r="Y594" s="25">
        <f t="shared" si="579"/>
        <v>810</v>
      </c>
      <c r="Z594" s="25">
        <f t="shared" si="580"/>
        <v>295</v>
      </c>
      <c r="AA594" s="25">
        <f t="shared" si="581"/>
        <v>369</v>
      </c>
      <c r="AB594" s="25">
        <f t="shared" si="582"/>
        <v>204</v>
      </c>
    </row>
    <row r="595" spans="1:28">
      <c r="A595" s="48">
        <v>1009037</v>
      </c>
      <c r="B595" s="49" t="s">
        <v>905</v>
      </c>
      <c r="C595" s="25">
        <f t="shared" si="574"/>
        <v>37</v>
      </c>
      <c r="D595" s="25">
        <f t="array" ref="D595">INDEX(C$5:C$67,MATCH($B595,$B$5:$B$67,0))</f>
        <v>4200</v>
      </c>
      <c r="E595" s="25">
        <f t="array" ref="E595">INDEX(D$5:D$67,MATCH($B595,$B$5:$B$67,0))</f>
        <v>336</v>
      </c>
      <c r="F595" s="25">
        <f t="array" ref="F595">INDEX(E$5:E$67,MATCH($B595,$B$5:$B$67,0))</f>
        <v>1440</v>
      </c>
      <c r="G595" s="25">
        <f t="array" ref="G595">INDEX(F$5:F$67,MATCH($B595,$B$5:$B$67,0))</f>
        <v>115.2</v>
      </c>
      <c r="H595" s="25">
        <f t="array" ref="H595">INDEX(G$5:G$66,MATCH($B595,$B$5:$B$67,0))</f>
        <v>1818</v>
      </c>
      <c r="I595" s="25">
        <f t="array" ref="I595">INDEX(H$5:H$67,MATCH($B595,$B$5:$B$67,0))</f>
        <v>145.44</v>
      </c>
      <c r="J595" s="25">
        <f t="array" ref="J595">INDEX(I$5:I$67,MATCH($B595,$B$5:$B$67,0))</f>
        <v>990</v>
      </c>
      <c r="K595" s="25">
        <f t="array" ref="K595">INDEX(J$5:J$67,MATCH($B595,$B$5:$B$67,0))</f>
        <v>79.2</v>
      </c>
      <c r="L595" s="25">
        <f t="shared" si="575"/>
        <v>16632</v>
      </c>
      <c r="M595" s="25">
        <f t="shared" si="576"/>
        <v>5702</v>
      </c>
      <c r="N595" s="25">
        <f t="shared" si="577"/>
        <v>7199</v>
      </c>
      <c r="O595" s="25">
        <f t="shared" si="578"/>
        <v>3920</v>
      </c>
      <c r="R595" s="50">
        <f t="array" ref="R595">INDEX($B$46:$B$68,MATCH(S595,$C$46:$C$68,0))*1000+T595</f>
        <v>1024004</v>
      </c>
      <c r="S595" s="51" t="s">
        <v>355</v>
      </c>
      <c r="T595" s="29">
        <f t="shared" si="573"/>
        <v>4</v>
      </c>
      <c r="U595" s="25">
        <f t="array" ref="U595">INDEX(K$5:K$67,MATCH($S595,$B$5:$B$67,0))</f>
        <v>269.91</v>
      </c>
      <c r="V595" s="25">
        <f t="array" ref="V595">INDEX(L$5:L$67,MATCH($S595,$B$5:$B$67,0))</f>
        <v>98.3</v>
      </c>
      <c r="W595" s="25">
        <f t="array" ref="W595">INDEX(M$5:M$67,MATCH($S595,$B$5:$B$67,0))</f>
        <v>122.88</v>
      </c>
      <c r="X595" s="25">
        <f t="array" ref="X595">INDEX(N$5:N$67,MATCH($S595,$B$5:$B$67,0))</f>
        <v>68</v>
      </c>
      <c r="Y595" s="25">
        <f t="shared" si="579"/>
        <v>1080</v>
      </c>
      <c r="Z595" s="25">
        <f t="shared" si="580"/>
        <v>393</v>
      </c>
      <c r="AA595" s="25">
        <f t="shared" si="581"/>
        <v>492</v>
      </c>
      <c r="AB595" s="25">
        <f t="shared" si="582"/>
        <v>272</v>
      </c>
    </row>
    <row r="596" spans="1:28">
      <c r="A596" s="48">
        <v>1009038</v>
      </c>
      <c r="B596" s="49" t="s">
        <v>905</v>
      </c>
      <c r="C596" s="25">
        <f t="shared" si="574"/>
        <v>38</v>
      </c>
      <c r="D596" s="25">
        <f t="array" ref="D596">INDEX(C$5:C$67,MATCH($B596,$B$5:$B$67,0))</f>
        <v>4200</v>
      </c>
      <c r="E596" s="25">
        <f t="array" ref="E596">INDEX(D$5:D$67,MATCH($B596,$B$5:$B$67,0))</f>
        <v>336</v>
      </c>
      <c r="F596" s="25">
        <f t="array" ref="F596">INDEX(E$5:E$67,MATCH($B596,$B$5:$B$67,0))</f>
        <v>1440</v>
      </c>
      <c r="G596" s="25">
        <f t="array" ref="G596">INDEX(F$5:F$67,MATCH($B596,$B$5:$B$67,0))</f>
        <v>115.2</v>
      </c>
      <c r="H596" s="25">
        <f t="array" ref="H596">INDEX(G$5:G$66,MATCH($B596,$B$5:$B$67,0))</f>
        <v>1818</v>
      </c>
      <c r="I596" s="25">
        <f t="array" ref="I596">INDEX(H$5:H$67,MATCH($B596,$B$5:$B$67,0))</f>
        <v>145.44</v>
      </c>
      <c r="J596" s="25">
        <f t="array" ref="J596">INDEX(I$5:I$67,MATCH($B596,$B$5:$B$67,0))</f>
        <v>990</v>
      </c>
      <c r="K596" s="25">
        <f t="array" ref="K596">INDEX(J$5:J$67,MATCH($B596,$B$5:$B$67,0))</f>
        <v>79.2</v>
      </c>
      <c r="L596" s="25">
        <f t="shared" si="575"/>
        <v>16968</v>
      </c>
      <c r="M596" s="25">
        <f t="shared" si="576"/>
        <v>5818</v>
      </c>
      <c r="N596" s="25">
        <f t="shared" si="577"/>
        <v>7345</v>
      </c>
      <c r="O596" s="25">
        <f t="shared" si="578"/>
        <v>4000</v>
      </c>
      <c r="R596" s="50">
        <f t="array" ref="R596">INDEX($B$46:$B$68,MATCH(S596,$C$46:$C$68,0))*1000+T596</f>
        <v>1024005</v>
      </c>
      <c r="S596" s="51" t="s">
        <v>355</v>
      </c>
      <c r="T596" s="29">
        <f t="shared" si="573"/>
        <v>5</v>
      </c>
      <c r="U596" s="25">
        <f t="array" ref="U596">INDEX(K$5:K$67,MATCH($S596,$B$5:$B$67,0))</f>
        <v>269.91</v>
      </c>
      <c r="V596" s="25">
        <f t="array" ref="V596">INDEX(L$5:L$67,MATCH($S596,$B$5:$B$67,0))</f>
        <v>98.3</v>
      </c>
      <c r="W596" s="25">
        <f t="array" ref="W596">INDEX(M$5:M$67,MATCH($S596,$B$5:$B$67,0))</f>
        <v>122.88</v>
      </c>
      <c r="X596" s="25">
        <f t="array" ref="X596">INDEX(N$5:N$67,MATCH($S596,$B$5:$B$67,0))</f>
        <v>68</v>
      </c>
      <c r="Y596" s="25">
        <f t="shared" si="579"/>
        <v>1350</v>
      </c>
      <c r="Z596" s="25">
        <f t="shared" si="580"/>
        <v>492</v>
      </c>
      <c r="AA596" s="25">
        <f t="shared" si="581"/>
        <v>614</v>
      </c>
      <c r="AB596" s="25">
        <f t="shared" si="582"/>
        <v>340</v>
      </c>
    </row>
    <row r="597" spans="1:28">
      <c r="A597" s="48">
        <v>1009039</v>
      </c>
      <c r="B597" s="49" t="s">
        <v>905</v>
      </c>
      <c r="C597" s="25">
        <f t="shared" si="574"/>
        <v>39</v>
      </c>
      <c r="D597" s="25">
        <f t="array" ref="D597">INDEX(C$5:C$67,MATCH($B597,$B$5:$B$67,0))</f>
        <v>4200</v>
      </c>
      <c r="E597" s="25">
        <f t="array" ref="E597">INDEX(D$5:D$67,MATCH($B597,$B$5:$B$67,0))</f>
        <v>336</v>
      </c>
      <c r="F597" s="25">
        <f t="array" ref="F597">INDEX(E$5:E$67,MATCH($B597,$B$5:$B$67,0))</f>
        <v>1440</v>
      </c>
      <c r="G597" s="25">
        <f t="array" ref="G597">INDEX(F$5:F$67,MATCH($B597,$B$5:$B$67,0))</f>
        <v>115.2</v>
      </c>
      <c r="H597" s="25">
        <f t="array" ref="H597">INDEX(G$5:G$66,MATCH($B597,$B$5:$B$67,0))</f>
        <v>1818</v>
      </c>
      <c r="I597" s="25">
        <f t="array" ref="I597">INDEX(H$5:H$67,MATCH($B597,$B$5:$B$67,0))</f>
        <v>145.44</v>
      </c>
      <c r="J597" s="25">
        <f t="array" ref="J597">INDEX(I$5:I$67,MATCH($B597,$B$5:$B$67,0))</f>
        <v>990</v>
      </c>
      <c r="K597" s="25">
        <f t="array" ref="K597">INDEX(J$5:J$67,MATCH($B597,$B$5:$B$67,0))</f>
        <v>79.2</v>
      </c>
      <c r="L597" s="25">
        <f t="shared" si="575"/>
        <v>17304</v>
      </c>
      <c r="M597" s="25">
        <f t="shared" si="576"/>
        <v>5933</v>
      </c>
      <c r="N597" s="25">
        <f t="shared" si="577"/>
        <v>7490</v>
      </c>
      <c r="O597" s="25">
        <f t="shared" si="578"/>
        <v>4079</v>
      </c>
      <c r="R597" s="50">
        <f t="array" ref="R597">INDEX($B$46:$B$68,MATCH(S597,$C$46:$C$68,0))*1000+T597</f>
        <v>1024006</v>
      </c>
      <c r="S597" s="51" t="s">
        <v>355</v>
      </c>
      <c r="T597" s="29">
        <f t="shared" si="573"/>
        <v>6</v>
      </c>
      <c r="U597" s="25">
        <f t="array" ref="U597">INDEX(K$5:K$67,MATCH($S597,$B$5:$B$67,0))</f>
        <v>269.91</v>
      </c>
      <c r="V597" s="25">
        <f t="array" ref="V597">INDEX(L$5:L$67,MATCH($S597,$B$5:$B$67,0))</f>
        <v>98.3</v>
      </c>
      <c r="W597" s="25">
        <f t="array" ref="W597">INDEX(M$5:M$67,MATCH($S597,$B$5:$B$67,0))</f>
        <v>122.88</v>
      </c>
      <c r="X597" s="25">
        <f t="array" ref="X597">INDEX(N$5:N$67,MATCH($S597,$B$5:$B$67,0))</f>
        <v>68</v>
      </c>
      <c r="Y597" s="25">
        <f t="shared" si="579"/>
        <v>1619</v>
      </c>
      <c r="Z597" s="25">
        <f t="shared" si="580"/>
        <v>590</v>
      </c>
      <c r="AA597" s="25">
        <f t="shared" si="581"/>
        <v>737</v>
      </c>
      <c r="AB597" s="25">
        <f t="shared" si="582"/>
        <v>408</v>
      </c>
    </row>
    <row r="598" spans="1:28">
      <c r="A598" s="48">
        <v>1009040</v>
      </c>
      <c r="B598" s="49" t="s">
        <v>905</v>
      </c>
      <c r="C598" s="25">
        <f t="shared" si="574"/>
        <v>40</v>
      </c>
      <c r="D598" s="25">
        <f t="array" ref="D598">INDEX(C$5:C$67,MATCH($B598,$B$5:$B$67,0))</f>
        <v>4200</v>
      </c>
      <c r="E598" s="25">
        <f t="array" ref="E598">INDEX(D$5:D$67,MATCH($B598,$B$5:$B$67,0))</f>
        <v>336</v>
      </c>
      <c r="F598" s="25">
        <f t="array" ref="F598">INDEX(E$5:E$67,MATCH($B598,$B$5:$B$67,0))</f>
        <v>1440</v>
      </c>
      <c r="G598" s="25">
        <f t="array" ref="G598">INDEX(F$5:F$67,MATCH($B598,$B$5:$B$67,0))</f>
        <v>115.2</v>
      </c>
      <c r="H598" s="25">
        <f t="array" ref="H598">INDEX(G$5:G$66,MATCH($B598,$B$5:$B$67,0))</f>
        <v>1818</v>
      </c>
      <c r="I598" s="25">
        <f t="array" ref="I598">INDEX(H$5:H$67,MATCH($B598,$B$5:$B$67,0))</f>
        <v>145.44</v>
      </c>
      <c r="J598" s="25">
        <f t="array" ref="J598">INDEX(I$5:I$67,MATCH($B598,$B$5:$B$67,0))</f>
        <v>990</v>
      </c>
      <c r="K598" s="25">
        <f t="array" ref="K598">INDEX(J$5:J$67,MATCH($B598,$B$5:$B$67,0))</f>
        <v>79.2</v>
      </c>
      <c r="L598" s="25">
        <f t="shared" si="575"/>
        <v>17640</v>
      </c>
      <c r="M598" s="25">
        <f t="shared" si="576"/>
        <v>6048</v>
      </c>
      <c r="N598" s="25">
        <f t="shared" si="577"/>
        <v>7636</v>
      </c>
      <c r="O598" s="25">
        <f t="shared" si="578"/>
        <v>4158</v>
      </c>
      <c r="R598" s="50">
        <f t="array" ref="R598">INDEX($B$46:$B$68,MATCH(S598,$C$46:$C$68,0))*1000+T598</f>
        <v>1024007</v>
      </c>
      <c r="S598" s="51" t="s">
        <v>355</v>
      </c>
      <c r="T598" s="29">
        <f t="shared" si="573"/>
        <v>7</v>
      </c>
      <c r="U598" s="25">
        <f t="array" ref="U598">INDEX(K$5:K$67,MATCH($S598,$B$5:$B$67,0))</f>
        <v>269.91</v>
      </c>
      <c r="V598" s="25">
        <f t="array" ref="V598">INDEX(L$5:L$67,MATCH($S598,$B$5:$B$67,0))</f>
        <v>98.3</v>
      </c>
      <c r="W598" s="25">
        <f t="array" ref="W598">INDEX(M$5:M$67,MATCH($S598,$B$5:$B$67,0))</f>
        <v>122.88</v>
      </c>
      <c r="X598" s="25">
        <f t="array" ref="X598">INDEX(N$5:N$67,MATCH($S598,$B$5:$B$67,0))</f>
        <v>68</v>
      </c>
      <c r="Y598" s="25">
        <f t="shared" si="579"/>
        <v>1889</v>
      </c>
      <c r="Z598" s="25">
        <f t="shared" si="580"/>
        <v>688</v>
      </c>
      <c r="AA598" s="25">
        <f t="shared" si="581"/>
        <v>860</v>
      </c>
      <c r="AB598" s="25">
        <f t="shared" si="582"/>
        <v>476</v>
      </c>
    </row>
    <row r="599" spans="1:28">
      <c r="A599" s="48">
        <v>1009041</v>
      </c>
      <c r="B599" s="49" t="s">
        <v>905</v>
      </c>
      <c r="C599" s="25">
        <f t="shared" si="574"/>
        <v>41</v>
      </c>
      <c r="D599" s="25">
        <f t="array" ref="D599">INDEX(C$5:C$67,MATCH($B599,$B$5:$B$67,0))</f>
        <v>4200</v>
      </c>
      <c r="E599" s="25">
        <f t="array" ref="E599">INDEX(D$5:D$67,MATCH($B599,$B$5:$B$67,0))</f>
        <v>336</v>
      </c>
      <c r="F599" s="25">
        <f t="array" ref="F599">INDEX(E$5:E$67,MATCH($B599,$B$5:$B$67,0))</f>
        <v>1440</v>
      </c>
      <c r="G599" s="25">
        <f t="array" ref="G599">INDEX(F$5:F$67,MATCH($B599,$B$5:$B$67,0))</f>
        <v>115.2</v>
      </c>
      <c r="H599" s="25">
        <f t="array" ref="H599">INDEX(G$5:G$66,MATCH($B599,$B$5:$B$67,0))</f>
        <v>1818</v>
      </c>
      <c r="I599" s="25">
        <f t="array" ref="I599">INDEX(H$5:H$67,MATCH($B599,$B$5:$B$67,0))</f>
        <v>145.44</v>
      </c>
      <c r="J599" s="25">
        <f t="array" ref="J599">INDEX(I$5:I$67,MATCH($B599,$B$5:$B$67,0))</f>
        <v>990</v>
      </c>
      <c r="K599" s="25">
        <f t="array" ref="K599">INDEX(J$5:J$67,MATCH($B599,$B$5:$B$67,0))</f>
        <v>79.2</v>
      </c>
      <c r="L599" s="25">
        <f t="shared" si="575"/>
        <v>17976</v>
      </c>
      <c r="M599" s="25">
        <f t="shared" si="576"/>
        <v>6163</v>
      </c>
      <c r="N599" s="25">
        <f t="shared" si="577"/>
        <v>7781</v>
      </c>
      <c r="O599" s="25">
        <f t="shared" si="578"/>
        <v>4237</v>
      </c>
      <c r="R599" s="50">
        <f t="array" ref="R599">INDEX($B$46:$B$68,MATCH(S599,$C$46:$C$68,0))*1000+T599</f>
        <v>1024008</v>
      </c>
      <c r="S599" s="51" t="s">
        <v>355</v>
      </c>
      <c r="T599" s="29">
        <f t="shared" si="573"/>
        <v>8</v>
      </c>
      <c r="U599" s="25">
        <f t="array" ref="U599">INDEX(K$5:K$67,MATCH($S599,$B$5:$B$67,0))</f>
        <v>269.91</v>
      </c>
      <c r="V599" s="25">
        <f t="array" ref="V599">INDEX(L$5:L$67,MATCH($S599,$B$5:$B$67,0))</f>
        <v>98.3</v>
      </c>
      <c r="W599" s="25">
        <f t="array" ref="W599">INDEX(M$5:M$67,MATCH($S599,$B$5:$B$67,0))</f>
        <v>122.88</v>
      </c>
      <c r="X599" s="25">
        <f t="array" ref="X599">INDEX(N$5:N$67,MATCH($S599,$B$5:$B$67,0))</f>
        <v>68</v>
      </c>
      <c r="Y599" s="25">
        <f t="shared" si="579"/>
        <v>2159</v>
      </c>
      <c r="Z599" s="25">
        <f t="shared" si="580"/>
        <v>786</v>
      </c>
      <c r="AA599" s="25">
        <f t="shared" si="581"/>
        <v>983</v>
      </c>
      <c r="AB599" s="25">
        <f t="shared" si="582"/>
        <v>544</v>
      </c>
    </row>
    <row r="600" spans="1:28">
      <c r="A600" s="48">
        <v>1009042</v>
      </c>
      <c r="B600" s="49" t="s">
        <v>905</v>
      </c>
      <c r="C600" s="25">
        <f t="shared" si="574"/>
        <v>42</v>
      </c>
      <c r="D600" s="25">
        <f t="array" ref="D600">INDEX(C$5:C$67,MATCH($B600,$B$5:$B$67,0))</f>
        <v>4200</v>
      </c>
      <c r="E600" s="25">
        <f t="array" ref="E600">INDEX(D$5:D$67,MATCH($B600,$B$5:$B$67,0))</f>
        <v>336</v>
      </c>
      <c r="F600" s="25">
        <f t="array" ref="F600">INDEX(E$5:E$67,MATCH($B600,$B$5:$B$67,0))</f>
        <v>1440</v>
      </c>
      <c r="G600" s="25">
        <f t="array" ref="G600">INDEX(F$5:F$67,MATCH($B600,$B$5:$B$67,0))</f>
        <v>115.2</v>
      </c>
      <c r="H600" s="25">
        <f t="array" ref="H600">INDEX(G$5:G$66,MATCH($B600,$B$5:$B$67,0))</f>
        <v>1818</v>
      </c>
      <c r="I600" s="25">
        <f t="array" ref="I600">INDEX(H$5:H$67,MATCH($B600,$B$5:$B$67,0))</f>
        <v>145.44</v>
      </c>
      <c r="J600" s="25">
        <f t="array" ref="J600">INDEX(I$5:I$67,MATCH($B600,$B$5:$B$67,0))</f>
        <v>990</v>
      </c>
      <c r="K600" s="25">
        <f t="array" ref="K600">INDEX(J$5:J$67,MATCH($B600,$B$5:$B$67,0))</f>
        <v>79.2</v>
      </c>
      <c r="L600" s="25">
        <f t="shared" si="575"/>
        <v>18312</v>
      </c>
      <c r="M600" s="25">
        <f t="shared" si="576"/>
        <v>6278</v>
      </c>
      <c r="N600" s="25">
        <f t="shared" si="577"/>
        <v>7926</v>
      </c>
      <c r="O600" s="25">
        <f t="shared" si="578"/>
        <v>4316</v>
      </c>
      <c r="R600" s="50">
        <f t="array" ref="R600">INDEX($B$46:$B$68,MATCH(S600,$C$46:$C$68,0))*1000+T600</f>
        <v>1024009</v>
      </c>
      <c r="S600" s="51" t="s">
        <v>355</v>
      </c>
      <c r="T600" s="29">
        <f t="shared" si="573"/>
        <v>9</v>
      </c>
      <c r="U600" s="25">
        <f t="array" ref="U600">INDEX(K$5:K$67,MATCH($S600,$B$5:$B$67,0))</f>
        <v>269.91</v>
      </c>
      <c r="V600" s="25">
        <f t="array" ref="V600">INDEX(L$5:L$67,MATCH($S600,$B$5:$B$67,0))</f>
        <v>98.3</v>
      </c>
      <c r="W600" s="25">
        <f t="array" ref="W600">INDEX(M$5:M$67,MATCH($S600,$B$5:$B$67,0))</f>
        <v>122.88</v>
      </c>
      <c r="X600" s="25">
        <f t="array" ref="X600">INDEX(N$5:N$67,MATCH($S600,$B$5:$B$67,0))</f>
        <v>68</v>
      </c>
      <c r="Y600" s="25">
        <f t="shared" si="579"/>
        <v>2429</v>
      </c>
      <c r="Z600" s="25">
        <f t="shared" si="580"/>
        <v>885</v>
      </c>
      <c r="AA600" s="25">
        <f t="shared" si="581"/>
        <v>1106</v>
      </c>
      <c r="AB600" s="25">
        <f t="shared" si="582"/>
        <v>612</v>
      </c>
    </row>
    <row r="601" spans="1:28">
      <c r="A601" s="48">
        <v>1009043</v>
      </c>
      <c r="B601" s="49" t="s">
        <v>905</v>
      </c>
      <c r="C601" s="25">
        <f t="shared" si="574"/>
        <v>43</v>
      </c>
      <c r="D601" s="25">
        <f t="array" ref="D601">INDEX(C$5:C$67,MATCH($B601,$B$5:$B$67,0))</f>
        <v>4200</v>
      </c>
      <c r="E601" s="25">
        <f t="array" ref="E601">INDEX(D$5:D$67,MATCH($B601,$B$5:$B$67,0))</f>
        <v>336</v>
      </c>
      <c r="F601" s="25">
        <f t="array" ref="F601">INDEX(E$5:E$67,MATCH($B601,$B$5:$B$67,0))</f>
        <v>1440</v>
      </c>
      <c r="G601" s="25">
        <f t="array" ref="G601">INDEX(F$5:F$67,MATCH($B601,$B$5:$B$67,0))</f>
        <v>115.2</v>
      </c>
      <c r="H601" s="25">
        <f t="array" ref="H601">INDEX(G$5:G$66,MATCH($B601,$B$5:$B$67,0))</f>
        <v>1818</v>
      </c>
      <c r="I601" s="25">
        <f t="array" ref="I601">INDEX(H$5:H$67,MATCH($B601,$B$5:$B$67,0))</f>
        <v>145.44</v>
      </c>
      <c r="J601" s="25">
        <f t="array" ref="J601">INDEX(I$5:I$67,MATCH($B601,$B$5:$B$67,0))</f>
        <v>990</v>
      </c>
      <c r="K601" s="25">
        <f t="array" ref="K601">INDEX(J$5:J$67,MATCH($B601,$B$5:$B$67,0))</f>
        <v>79.2</v>
      </c>
      <c r="L601" s="25">
        <f t="shared" si="575"/>
        <v>18648</v>
      </c>
      <c r="M601" s="25">
        <f t="shared" si="576"/>
        <v>6394</v>
      </c>
      <c r="N601" s="25">
        <f t="shared" si="577"/>
        <v>8072</v>
      </c>
      <c r="O601" s="25">
        <f t="shared" si="578"/>
        <v>4396</v>
      </c>
      <c r="R601" s="50">
        <f t="array" ref="R601">INDEX($B$46:$B$68,MATCH(S601,$C$46:$C$68,0))*1000+T601</f>
        <v>1024010</v>
      </c>
      <c r="S601" s="51" t="s">
        <v>355</v>
      </c>
      <c r="T601" s="29">
        <f t="shared" si="573"/>
        <v>10</v>
      </c>
      <c r="U601" s="25">
        <f t="array" ref="U601">INDEX(K$5:K$67,MATCH($S601,$B$5:$B$67,0))</f>
        <v>269.91</v>
      </c>
      <c r="V601" s="25">
        <f t="array" ref="V601">INDEX(L$5:L$67,MATCH($S601,$B$5:$B$67,0))</f>
        <v>98.3</v>
      </c>
      <c r="W601" s="25">
        <f t="array" ref="W601">INDEX(M$5:M$67,MATCH($S601,$B$5:$B$67,0))</f>
        <v>122.88</v>
      </c>
      <c r="X601" s="25">
        <f t="array" ref="X601">INDEX(N$5:N$67,MATCH($S601,$B$5:$B$67,0))</f>
        <v>68</v>
      </c>
      <c r="Y601" s="25">
        <f t="shared" si="579"/>
        <v>2699</v>
      </c>
      <c r="Z601" s="25">
        <f t="shared" si="580"/>
        <v>983</v>
      </c>
      <c r="AA601" s="25">
        <f t="shared" si="581"/>
        <v>1229</v>
      </c>
      <c r="AB601" s="25">
        <f t="shared" si="582"/>
        <v>680</v>
      </c>
    </row>
    <row r="602" spans="1:28">
      <c r="A602" s="48">
        <v>1009044</v>
      </c>
      <c r="B602" s="49" t="s">
        <v>905</v>
      </c>
      <c r="C602" s="25">
        <f t="shared" si="574"/>
        <v>44</v>
      </c>
      <c r="D602" s="25">
        <f t="array" ref="D602">INDEX(C$5:C$67,MATCH($B602,$B$5:$B$67,0))</f>
        <v>4200</v>
      </c>
      <c r="E602" s="25">
        <f t="array" ref="E602">INDEX(D$5:D$67,MATCH($B602,$B$5:$B$67,0))</f>
        <v>336</v>
      </c>
      <c r="F602" s="25">
        <f t="array" ref="F602">INDEX(E$5:E$67,MATCH($B602,$B$5:$B$67,0))</f>
        <v>1440</v>
      </c>
      <c r="G602" s="25">
        <f t="array" ref="G602">INDEX(F$5:F$67,MATCH($B602,$B$5:$B$67,0))</f>
        <v>115.2</v>
      </c>
      <c r="H602" s="25">
        <f t="array" ref="H602">INDEX(G$5:G$66,MATCH($B602,$B$5:$B$67,0))</f>
        <v>1818</v>
      </c>
      <c r="I602" s="25">
        <f t="array" ref="I602">INDEX(H$5:H$67,MATCH($B602,$B$5:$B$67,0))</f>
        <v>145.44</v>
      </c>
      <c r="J602" s="25">
        <f t="array" ref="J602">INDEX(I$5:I$67,MATCH($B602,$B$5:$B$67,0))</f>
        <v>990</v>
      </c>
      <c r="K602" s="25">
        <f t="array" ref="K602">INDEX(J$5:J$67,MATCH($B602,$B$5:$B$67,0))</f>
        <v>79.2</v>
      </c>
      <c r="L602" s="25">
        <f t="shared" si="575"/>
        <v>18984</v>
      </c>
      <c r="M602" s="25">
        <f t="shared" si="576"/>
        <v>6509</v>
      </c>
      <c r="N602" s="25">
        <f t="shared" si="577"/>
        <v>8217</v>
      </c>
      <c r="O602" s="25">
        <f t="shared" si="578"/>
        <v>4475</v>
      </c>
      <c r="R602" s="50">
        <f t="array" ref="R602">INDEX($B$46:$B$68,MATCH(S602,$C$46:$C$68,0))*1000+T602</f>
        <v>1024011</v>
      </c>
      <c r="S602" s="51" t="s">
        <v>355</v>
      </c>
      <c r="T602" s="29">
        <f t="shared" si="573"/>
        <v>11</v>
      </c>
      <c r="U602" s="25">
        <f t="array" ref="U602">INDEX(K$5:K$67,MATCH($S602,$B$5:$B$67,0))</f>
        <v>269.91</v>
      </c>
      <c r="V602" s="25">
        <f t="array" ref="V602">INDEX(L$5:L$67,MATCH($S602,$B$5:$B$67,0))</f>
        <v>98.3</v>
      </c>
      <c r="W602" s="25">
        <f t="array" ref="W602">INDEX(M$5:M$67,MATCH($S602,$B$5:$B$67,0))</f>
        <v>122.88</v>
      </c>
      <c r="X602" s="25">
        <f t="array" ref="X602">INDEX(N$5:N$67,MATCH($S602,$B$5:$B$67,0))</f>
        <v>68</v>
      </c>
      <c r="Y602" s="25">
        <f t="shared" si="579"/>
        <v>2969</v>
      </c>
      <c r="Z602" s="25">
        <f t="shared" si="580"/>
        <v>1081</v>
      </c>
      <c r="AA602" s="25">
        <f t="shared" si="581"/>
        <v>1352</v>
      </c>
      <c r="AB602" s="25">
        <f t="shared" si="582"/>
        <v>748</v>
      </c>
    </row>
    <row r="603" spans="1:28">
      <c r="A603" s="48">
        <v>1009045</v>
      </c>
      <c r="B603" s="49" t="s">
        <v>905</v>
      </c>
      <c r="C603" s="25">
        <f t="shared" si="574"/>
        <v>45</v>
      </c>
      <c r="D603" s="25">
        <f t="array" ref="D603">INDEX(C$5:C$67,MATCH($B603,$B$5:$B$67,0))</f>
        <v>4200</v>
      </c>
      <c r="E603" s="25">
        <f t="array" ref="E603">INDEX(D$5:D$67,MATCH($B603,$B$5:$B$67,0))</f>
        <v>336</v>
      </c>
      <c r="F603" s="25">
        <f t="array" ref="F603">INDEX(E$5:E$67,MATCH($B603,$B$5:$B$67,0))</f>
        <v>1440</v>
      </c>
      <c r="G603" s="25">
        <f t="array" ref="G603">INDEX(F$5:F$67,MATCH($B603,$B$5:$B$67,0))</f>
        <v>115.2</v>
      </c>
      <c r="H603" s="25">
        <f t="array" ref="H603">INDEX(G$5:G$66,MATCH($B603,$B$5:$B$67,0))</f>
        <v>1818</v>
      </c>
      <c r="I603" s="25">
        <f t="array" ref="I603">INDEX(H$5:H$67,MATCH($B603,$B$5:$B$67,0))</f>
        <v>145.44</v>
      </c>
      <c r="J603" s="25">
        <f t="array" ref="J603">INDEX(I$5:I$67,MATCH($B603,$B$5:$B$67,0))</f>
        <v>990</v>
      </c>
      <c r="K603" s="25">
        <f t="array" ref="K603">INDEX(J$5:J$67,MATCH($B603,$B$5:$B$67,0))</f>
        <v>79.2</v>
      </c>
      <c r="L603" s="25">
        <f t="shared" si="575"/>
        <v>19320</v>
      </c>
      <c r="M603" s="25">
        <f t="shared" si="576"/>
        <v>6624</v>
      </c>
      <c r="N603" s="25">
        <f t="shared" si="577"/>
        <v>8363</v>
      </c>
      <c r="O603" s="25">
        <f t="shared" si="578"/>
        <v>4554</v>
      </c>
      <c r="R603" s="50">
        <f t="array" ref="R603">INDEX($B$46:$B$68,MATCH(S603,$C$46:$C$68,0))*1000+T603</f>
        <v>1024012</v>
      </c>
      <c r="S603" s="51" t="s">
        <v>355</v>
      </c>
      <c r="T603" s="29">
        <f t="shared" si="573"/>
        <v>12</v>
      </c>
      <c r="U603" s="25">
        <f t="array" ref="U603">INDEX(K$5:K$67,MATCH($S603,$B$5:$B$67,0))</f>
        <v>269.91</v>
      </c>
      <c r="V603" s="25">
        <f t="array" ref="V603">INDEX(L$5:L$67,MATCH($S603,$B$5:$B$67,0))</f>
        <v>98.3</v>
      </c>
      <c r="W603" s="25">
        <f t="array" ref="W603">INDEX(M$5:M$67,MATCH($S603,$B$5:$B$67,0))</f>
        <v>122.88</v>
      </c>
      <c r="X603" s="25">
        <f t="array" ref="X603">INDEX(N$5:N$67,MATCH($S603,$B$5:$B$67,0))</f>
        <v>68</v>
      </c>
      <c r="Y603" s="25">
        <f t="shared" si="579"/>
        <v>3239</v>
      </c>
      <c r="Z603" s="25">
        <f t="shared" si="580"/>
        <v>1180</v>
      </c>
      <c r="AA603" s="25">
        <f t="shared" si="581"/>
        <v>1475</v>
      </c>
      <c r="AB603" s="25">
        <f t="shared" si="582"/>
        <v>816</v>
      </c>
    </row>
    <row r="604" spans="1:28">
      <c r="A604" s="48">
        <v>1009046</v>
      </c>
      <c r="B604" s="49" t="s">
        <v>905</v>
      </c>
      <c r="C604" s="25">
        <f t="shared" si="574"/>
        <v>46</v>
      </c>
      <c r="D604" s="25">
        <f t="array" ref="D604">INDEX(C$5:C$67,MATCH($B604,$B$5:$B$67,0))</f>
        <v>4200</v>
      </c>
      <c r="E604" s="25">
        <f t="array" ref="E604">INDEX(D$5:D$67,MATCH($B604,$B$5:$B$67,0))</f>
        <v>336</v>
      </c>
      <c r="F604" s="25">
        <f t="array" ref="F604">INDEX(E$5:E$67,MATCH($B604,$B$5:$B$67,0))</f>
        <v>1440</v>
      </c>
      <c r="G604" s="25">
        <f t="array" ref="G604">INDEX(F$5:F$67,MATCH($B604,$B$5:$B$67,0))</f>
        <v>115.2</v>
      </c>
      <c r="H604" s="25">
        <f t="array" ref="H604">INDEX(G$5:G$66,MATCH($B604,$B$5:$B$67,0))</f>
        <v>1818</v>
      </c>
      <c r="I604" s="25">
        <f t="array" ref="I604">INDEX(H$5:H$67,MATCH($B604,$B$5:$B$67,0))</f>
        <v>145.44</v>
      </c>
      <c r="J604" s="25">
        <f t="array" ref="J604">INDEX(I$5:I$67,MATCH($B604,$B$5:$B$67,0))</f>
        <v>990</v>
      </c>
      <c r="K604" s="25">
        <f t="array" ref="K604">INDEX(J$5:J$67,MATCH($B604,$B$5:$B$67,0))</f>
        <v>79.2</v>
      </c>
      <c r="L604" s="25">
        <f t="shared" si="575"/>
        <v>19656</v>
      </c>
      <c r="M604" s="25">
        <f t="shared" si="576"/>
        <v>6739</v>
      </c>
      <c r="N604" s="25">
        <f t="shared" si="577"/>
        <v>8508</v>
      </c>
      <c r="O604" s="25">
        <f t="shared" si="578"/>
        <v>4633</v>
      </c>
      <c r="R604" s="50">
        <f t="array" ref="R604">INDEX($B$46:$B$68,MATCH(S604,$C$46:$C$68,0))*1000+T604</f>
        <v>1024013</v>
      </c>
      <c r="S604" s="51" t="s">
        <v>355</v>
      </c>
      <c r="T604" s="29">
        <f t="shared" si="573"/>
        <v>13</v>
      </c>
      <c r="U604" s="25">
        <f t="array" ref="U604">INDEX(K$5:K$67,MATCH($S604,$B$5:$B$67,0))</f>
        <v>269.91</v>
      </c>
      <c r="V604" s="25">
        <f t="array" ref="V604">INDEX(L$5:L$67,MATCH($S604,$B$5:$B$67,0))</f>
        <v>98.3</v>
      </c>
      <c r="W604" s="25">
        <f t="array" ref="W604">INDEX(M$5:M$67,MATCH($S604,$B$5:$B$67,0))</f>
        <v>122.88</v>
      </c>
      <c r="X604" s="25">
        <f t="array" ref="X604">INDEX(N$5:N$67,MATCH($S604,$B$5:$B$67,0))</f>
        <v>68</v>
      </c>
      <c r="Y604" s="25">
        <f t="shared" si="579"/>
        <v>3509</v>
      </c>
      <c r="Z604" s="25">
        <f t="shared" si="580"/>
        <v>1278</v>
      </c>
      <c r="AA604" s="25">
        <f t="shared" si="581"/>
        <v>1597</v>
      </c>
      <c r="AB604" s="25">
        <f t="shared" si="582"/>
        <v>884</v>
      </c>
    </row>
    <row r="605" spans="1:28">
      <c r="A605" s="48">
        <v>1009047</v>
      </c>
      <c r="B605" s="49" t="s">
        <v>905</v>
      </c>
      <c r="C605" s="25">
        <f t="shared" si="574"/>
        <v>47</v>
      </c>
      <c r="D605" s="25">
        <f t="array" ref="D605">INDEX(C$5:C$67,MATCH($B605,$B$5:$B$67,0))</f>
        <v>4200</v>
      </c>
      <c r="E605" s="25">
        <f t="array" ref="E605">INDEX(D$5:D$67,MATCH($B605,$B$5:$B$67,0))</f>
        <v>336</v>
      </c>
      <c r="F605" s="25">
        <f t="array" ref="F605">INDEX(E$5:E$67,MATCH($B605,$B$5:$B$67,0))</f>
        <v>1440</v>
      </c>
      <c r="G605" s="25">
        <f t="array" ref="G605">INDEX(F$5:F$67,MATCH($B605,$B$5:$B$67,0))</f>
        <v>115.2</v>
      </c>
      <c r="H605" s="25">
        <f t="array" ref="H605">INDEX(G$5:G$66,MATCH($B605,$B$5:$B$67,0))</f>
        <v>1818</v>
      </c>
      <c r="I605" s="25">
        <f t="array" ref="I605">INDEX(H$5:H$67,MATCH($B605,$B$5:$B$67,0))</f>
        <v>145.44</v>
      </c>
      <c r="J605" s="25">
        <f t="array" ref="J605">INDEX(I$5:I$67,MATCH($B605,$B$5:$B$67,0))</f>
        <v>990</v>
      </c>
      <c r="K605" s="25">
        <f t="array" ref="K605">INDEX(J$5:J$67,MATCH($B605,$B$5:$B$67,0))</f>
        <v>79.2</v>
      </c>
      <c r="L605" s="25">
        <f t="shared" si="575"/>
        <v>19992</v>
      </c>
      <c r="M605" s="25">
        <f t="shared" si="576"/>
        <v>6854</v>
      </c>
      <c r="N605" s="25">
        <f t="shared" si="577"/>
        <v>8654</v>
      </c>
      <c r="O605" s="25">
        <f t="shared" si="578"/>
        <v>4712</v>
      </c>
      <c r="R605" s="50">
        <f t="array" ref="R605">INDEX($B$46:$B$68,MATCH(S605,$C$46:$C$68,0))*1000+T605</f>
        <v>1024014</v>
      </c>
      <c r="S605" s="51" t="s">
        <v>355</v>
      </c>
      <c r="T605" s="29">
        <f t="shared" si="573"/>
        <v>14</v>
      </c>
      <c r="U605" s="25">
        <f t="array" ref="U605">INDEX(K$5:K$67,MATCH($S605,$B$5:$B$67,0))</f>
        <v>269.91</v>
      </c>
      <c r="V605" s="25">
        <f t="array" ref="V605">INDEX(L$5:L$67,MATCH($S605,$B$5:$B$67,0))</f>
        <v>98.3</v>
      </c>
      <c r="W605" s="25">
        <f t="array" ref="W605">INDEX(M$5:M$67,MATCH($S605,$B$5:$B$67,0))</f>
        <v>122.88</v>
      </c>
      <c r="X605" s="25">
        <f t="array" ref="X605">INDEX(N$5:N$67,MATCH($S605,$B$5:$B$67,0))</f>
        <v>68</v>
      </c>
      <c r="Y605" s="25">
        <f t="shared" si="579"/>
        <v>3779</v>
      </c>
      <c r="Z605" s="25">
        <f t="shared" si="580"/>
        <v>1376</v>
      </c>
      <c r="AA605" s="25">
        <f t="shared" si="581"/>
        <v>1720</v>
      </c>
      <c r="AB605" s="25">
        <f t="shared" si="582"/>
        <v>952</v>
      </c>
    </row>
    <row r="606" spans="1:28">
      <c r="A606" s="48">
        <v>1009048</v>
      </c>
      <c r="B606" s="49" t="s">
        <v>905</v>
      </c>
      <c r="C606" s="25">
        <f t="shared" si="574"/>
        <v>48</v>
      </c>
      <c r="D606" s="25">
        <f t="array" ref="D606">INDEX(C$5:C$67,MATCH($B606,$B$5:$B$67,0))</f>
        <v>4200</v>
      </c>
      <c r="E606" s="25">
        <f t="array" ref="E606">INDEX(D$5:D$67,MATCH($B606,$B$5:$B$67,0))</f>
        <v>336</v>
      </c>
      <c r="F606" s="25">
        <f t="array" ref="F606">INDEX(E$5:E$67,MATCH($B606,$B$5:$B$67,0))</f>
        <v>1440</v>
      </c>
      <c r="G606" s="25">
        <f t="array" ref="G606">INDEX(F$5:F$67,MATCH($B606,$B$5:$B$67,0))</f>
        <v>115.2</v>
      </c>
      <c r="H606" s="25">
        <f t="array" ref="H606">INDEX(G$5:G$66,MATCH($B606,$B$5:$B$67,0))</f>
        <v>1818</v>
      </c>
      <c r="I606" s="25">
        <f t="array" ref="I606">INDEX(H$5:H$67,MATCH($B606,$B$5:$B$67,0))</f>
        <v>145.44</v>
      </c>
      <c r="J606" s="25">
        <f t="array" ref="J606">INDEX(I$5:I$67,MATCH($B606,$B$5:$B$67,0))</f>
        <v>990</v>
      </c>
      <c r="K606" s="25">
        <f t="array" ref="K606">INDEX(J$5:J$67,MATCH($B606,$B$5:$B$67,0))</f>
        <v>79.2</v>
      </c>
      <c r="L606" s="25">
        <f t="shared" si="575"/>
        <v>20328</v>
      </c>
      <c r="M606" s="25">
        <f t="shared" si="576"/>
        <v>6970</v>
      </c>
      <c r="N606" s="25">
        <f t="shared" si="577"/>
        <v>8799</v>
      </c>
      <c r="O606" s="25">
        <f t="shared" si="578"/>
        <v>4792</v>
      </c>
      <c r="R606" s="50">
        <f t="array" ref="R606">INDEX($B$46:$B$68,MATCH(S606,$C$46:$C$68,0))*1000+T606</f>
        <v>1024015</v>
      </c>
      <c r="S606" s="51" t="s">
        <v>355</v>
      </c>
      <c r="T606" s="29">
        <f t="shared" si="573"/>
        <v>15</v>
      </c>
      <c r="U606" s="25">
        <f t="array" ref="U606">INDEX(K$5:K$67,MATCH($S606,$B$5:$B$67,0))</f>
        <v>269.91</v>
      </c>
      <c r="V606" s="25">
        <f t="array" ref="V606">INDEX(L$5:L$67,MATCH($S606,$B$5:$B$67,0))</f>
        <v>98.3</v>
      </c>
      <c r="W606" s="25">
        <f t="array" ref="W606">INDEX(M$5:M$67,MATCH($S606,$B$5:$B$67,0))</f>
        <v>122.88</v>
      </c>
      <c r="X606" s="25">
        <f t="array" ref="X606">INDEX(N$5:N$67,MATCH($S606,$B$5:$B$67,0))</f>
        <v>68</v>
      </c>
      <c r="Y606" s="25">
        <f t="shared" si="579"/>
        <v>4049</v>
      </c>
      <c r="Z606" s="25">
        <f t="shared" si="580"/>
        <v>1475</v>
      </c>
      <c r="AA606" s="25">
        <f t="shared" si="581"/>
        <v>1843</v>
      </c>
      <c r="AB606" s="25">
        <f t="shared" si="582"/>
        <v>1020</v>
      </c>
    </row>
    <row r="607" spans="1:28">
      <c r="A607" s="48">
        <v>1009049</v>
      </c>
      <c r="B607" s="49" t="s">
        <v>905</v>
      </c>
      <c r="C607" s="25">
        <f t="shared" si="574"/>
        <v>49</v>
      </c>
      <c r="D607" s="25">
        <f t="array" ref="D607">INDEX(C$5:C$67,MATCH($B607,$B$5:$B$67,0))</f>
        <v>4200</v>
      </c>
      <c r="E607" s="25">
        <f t="array" ref="E607">INDEX(D$5:D$67,MATCH($B607,$B$5:$B$67,0))</f>
        <v>336</v>
      </c>
      <c r="F607" s="25">
        <f t="array" ref="F607">INDEX(E$5:E$67,MATCH($B607,$B$5:$B$67,0))</f>
        <v>1440</v>
      </c>
      <c r="G607" s="25">
        <f t="array" ref="G607">INDEX(F$5:F$67,MATCH($B607,$B$5:$B$67,0))</f>
        <v>115.2</v>
      </c>
      <c r="H607" s="25">
        <f t="array" ref="H607">INDEX(G$5:G$66,MATCH($B607,$B$5:$B$67,0))</f>
        <v>1818</v>
      </c>
      <c r="I607" s="25">
        <f t="array" ref="I607">INDEX(H$5:H$67,MATCH($B607,$B$5:$B$67,0))</f>
        <v>145.44</v>
      </c>
      <c r="J607" s="25">
        <f t="array" ref="J607">INDEX(I$5:I$67,MATCH($B607,$B$5:$B$67,0))</f>
        <v>990</v>
      </c>
      <c r="K607" s="25">
        <f t="array" ref="K607">INDEX(J$5:J$67,MATCH($B607,$B$5:$B$67,0))</f>
        <v>79.2</v>
      </c>
      <c r="L607" s="25">
        <f t="shared" si="575"/>
        <v>20664</v>
      </c>
      <c r="M607" s="25">
        <f t="shared" si="576"/>
        <v>7085</v>
      </c>
      <c r="N607" s="25">
        <f t="shared" si="577"/>
        <v>8945</v>
      </c>
      <c r="O607" s="25">
        <f t="shared" si="578"/>
        <v>4871</v>
      </c>
      <c r="R607" s="50">
        <f t="array" ref="R607">INDEX($B$46:$B$68,MATCH(S607,$C$46:$C$68,0))*1000+T607</f>
        <v>1024016</v>
      </c>
      <c r="S607" s="51" t="s">
        <v>355</v>
      </c>
      <c r="T607" s="29">
        <f t="shared" si="573"/>
        <v>16</v>
      </c>
      <c r="U607" s="25">
        <f t="array" ref="U607">INDEX(K$5:K$67,MATCH($S607,$B$5:$B$67,0))</f>
        <v>269.91</v>
      </c>
      <c r="V607" s="25">
        <f t="array" ref="V607">INDEX(L$5:L$67,MATCH($S607,$B$5:$B$67,0))</f>
        <v>98.3</v>
      </c>
      <c r="W607" s="25">
        <f t="array" ref="W607">INDEX(M$5:M$67,MATCH($S607,$B$5:$B$67,0))</f>
        <v>122.88</v>
      </c>
      <c r="X607" s="25">
        <f t="array" ref="X607">INDEX(N$5:N$67,MATCH($S607,$B$5:$B$67,0))</f>
        <v>68</v>
      </c>
      <c r="Y607" s="25">
        <f t="shared" si="579"/>
        <v>4319</v>
      </c>
      <c r="Z607" s="25">
        <f t="shared" si="580"/>
        <v>1573</v>
      </c>
      <c r="AA607" s="25">
        <f t="shared" si="581"/>
        <v>1966</v>
      </c>
      <c r="AB607" s="25">
        <f t="shared" si="582"/>
        <v>1088</v>
      </c>
    </row>
    <row r="608" spans="1:28">
      <c r="A608" s="48">
        <v>1009050</v>
      </c>
      <c r="B608" s="49" t="s">
        <v>905</v>
      </c>
      <c r="C608" s="25">
        <f t="shared" si="574"/>
        <v>50</v>
      </c>
      <c r="D608" s="25">
        <f t="array" ref="D608">INDEX(C$5:C$67,MATCH($B608,$B$5:$B$67,0))</f>
        <v>4200</v>
      </c>
      <c r="E608" s="25">
        <f t="array" ref="E608">INDEX(D$5:D$67,MATCH($B608,$B$5:$B$67,0))</f>
        <v>336</v>
      </c>
      <c r="F608" s="25">
        <f t="array" ref="F608">INDEX(E$5:E$67,MATCH($B608,$B$5:$B$67,0))</f>
        <v>1440</v>
      </c>
      <c r="G608" s="25">
        <f t="array" ref="G608">INDEX(F$5:F$67,MATCH($B608,$B$5:$B$67,0))</f>
        <v>115.2</v>
      </c>
      <c r="H608" s="25">
        <f t="array" ref="H608">INDEX(G$5:G$66,MATCH($B608,$B$5:$B$67,0))</f>
        <v>1818</v>
      </c>
      <c r="I608" s="25">
        <f t="array" ref="I608">INDEX(H$5:H$67,MATCH($B608,$B$5:$B$67,0))</f>
        <v>145.44</v>
      </c>
      <c r="J608" s="25">
        <f t="array" ref="J608">INDEX(I$5:I$67,MATCH($B608,$B$5:$B$67,0))</f>
        <v>990</v>
      </c>
      <c r="K608" s="25">
        <f t="array" ref="K608">INDEX(J$5:J$67,MATCH($B608,$B$5:$B$67,0))</f>
        <v>79.2</v>
      </c>
      <c r="L608" s="25">
        <f t="shared" si="575"/>
        <v>21000</v>
      </c>
      <c r="M608" s="25">
        <f t="shared" si="576"/>
        <v>7200</v>
      </c>
      <c r="N608" s="25">
        <f t="shared" si="577"/>
        <v>9090</v>
      </c>
      <c r="O608" s="25">
        <f t="shared" si="578"/>
        <v>4950</v>
      </c>
      <c r="R608" s="50">
        <f t="array" ref="R608">INDEX($B$46:$B$68,MATCH(S608,$C$46:$C$68,0))*1000+T608</f>
        <v>1024017</v>
      </c>
      <c r="S608" s="51" t="s">
        <v>355</v>
      </c>
      <c r="T608" s="29">
        <f t="shared" si="573"/>
        <v>17</v>
      </c>
      <c r="U608" s="25">
        <f t="array" ref="U608">INDEX(K$5:K$67,MATCH($S608,$B$5:$B$67,0))</f>
        <v>269.91</v>
      </c>
      <c r="V608" s="25">
        <f t="array" ref="V608">INDEX(L$5:L$67,MATCH($S608,$B$5:$B$67,0))</f>
        <v>98.3</v>
      </c>
      <c r="W608" s="25">
        <f t="array" ref="W608">INDEX(M$5:M$67,MATCH($S608,$B$5:$B$67,0))</f>
        <v>122.88</v>
      </c>
      <c r="X608" s="25">
        <f t="array" ref="X608">INDEX(N$5:N$67,MATCH($S608,$B$5:$B$67,0))</f>
        <v>68</v>
      </c>
      <c r="Y608" s="25">
        <f t="shared" si="579"/>
        <v>4588</v>
      </c>
      <c r="Z608" s="25">
        <f t="shared" si="580"/>
        <v>1671</v>
      </c>
      <c r="AA608" s="25">
        <f t="shared" si="581"/>
        <v>2089</v>
      </c>
      <c r="AB608" s="25">
        <f t="shared" si="582"/>
        <v>1156</v>
      </c>
    </row>
    <row r="609" spans="1:28">
      <c r="A609" s="48">
        <v>1009051</v>
      </c>
      <c r="B609" s="49" t="s">
        <v>905</v>
      </c>
      <c r="C609" s="25">
        <f t="shared" si="574"/>
        <v>51</v>
      </c>
      <c r="D609" s="25">
        <f t="array" ref="D609">INDEX(C$5:C$67,MATCH($B609,$B$5:$B$67,0))</f>
        <v>4200</v>
      </c>
      <c r="E609" s="25">
        <f t="array" ref="E609">INDEX(D$5:D$67,MATCH($B609,$B$5:$B$67,0))</f>
        <v>336</v>
      </c>
      <c r="F609" s="25">
        <f t="array" ref="F609">INDEX(E$5:E$67,MATCH($B609,$B$5:$B$67,0))</f>
        <v>1440</v>
      </c>
      <c r="G609" s="25">
        <f t="array" ref="G609">INDEX(F$5:F$67,MATCH($B609,$B$5:$B$67,0))</f>
        <v>115.2</v>
      </c>
      <c r="H609" s="25">
        <f t="array" ref="H609">INDEX(G$5:G$66,MATCH($B609,$B$5:$B$67,0))</f>
        <v>1818</v>
      </c>
      <c r="I609" s="25">
        <f t="array" ref="I609">INDEX(H$5:H$67,MATCH($B609,$B$5:$B$67,0))</f>
        <v>145.44</v>
      </c>
      <c r="J609" s="25">
        <f t="array" ref="J609">INDEX(I$5:I$67,MATCH($B609,$B$5:$B$67,0))</f>
        <v>990</v>
      </c>
      <c r="K609" s="25">
        <f t="array" ref="K609">INDEX(J$5:J$67,MATCH($B609,$B$5:$B$67,0))</f>
        <v>79.2</v>
      </c>
      <c r="L609" s="25">
        <f t="shared" si="575"/>
        <v>21336</v>
      </c>
      <c r="M609" s="25">
        <f t="shared" si="576"/>
        <v>7315</v>
      </c>
      <c r="N609" s="25">
        <f t="shared" si="577"/>
        <v>9235</v>
      </c>
      <c r="O609" s="25">
        <f t="shared" si="578"/>
        <v>5029</v>
      </c>
      <c r="R609" s="50">
        <f t="array" ref="R609">INDEX($B$46:$B$68,MATCH(S609,$C$46:$C$68,0))*1000+T609</f>
        <v>1024018</v>
      </c>
      <c r="S609" s="51" t="s">
        <v>355</v>
      </c>
      <c r="T609" s="29">
        <f t="shared" si="573"/>
        <v>18</v>
      </c>
      <c r="U609" s="25">
        <f t="array" ref="U609">INDEX(K$5:K$67,MATCH($S609,$B$5:$B$67,0))</f>
        <v>269.91</v>
      </c>
      <c r="V609" s="25">
        <f t="array" ref="V609">INDEX(L$5:L$67,MATCH($S609,$B$5:$B$67,0))</f>
        <v>98.3</v>
      </c>
      <c r="W609" s="25">
        <f t="array" ref="W609">INDEX(M$5:M$67,MATCH($S609,$B$5:$B$67,0))</f>
        <v>122.88</v>
      </c>
      <c r="X609" s="25">
        <f t="array" ref="X609">INDEX(N$5:N$67,MATCH($S609,$B$5:$B$67,0))</f>
        <v>68</v>
      </c>
      <c r="Y609" s="25">
        <f t="shared" si="579"/>
        <v>4858</v>
      </c>
      <c r="Z609" s="25">
        <f t="shared" si="580"/>
        <v>1769</v>
      </c>
      <c r="AA609" s="25">
        <f t="shared" si="581"/>
        <v>2212</v>
      </c>
      <c r="AB609" s="25">
        <f t="shared" si="582"/>
        <v>1224</v>
      </c>
    </row>
    <row r="610" spans="1:28">
      <c r="A610" s="48">
        <v>1009052</v>
      </c>
      <c r="B610" s="49" t="s">
        <v>905</v>
      </c>
      <c r="C610" s="25">
        <f t="shared" si="574"/>
        <v>52</v>
      </c>
      <c r="D610" s="25">
        <f t="array" ref="D610">INDEX(C$5:C$67,MATCH($B610,$B$5:$B$67,0))</f>
        <v>4200</v>
      </c>
      <c r="E610" s="25">
        <f t="array" ref="E610">INDEX(D$5:D$67,MATCH($B610,$B$5:$B$67,0))</f>
        <v>336</v>
      </c>
      <c r="F610" s="25">
        <f t="array" ref="F610">INDEX(E$5:E$67,MATCH($B610,$B$5:$B$67,0))</f>
        <v>1440</v>
      </c>
      <c r="G610" s="25">
        <f t="array" ref="G610">INDEX(F$5:F$67,MATCH($B610,$B$5:$B$67,0))</f>
        <v>115.2</v>
      </c>
      <c r="H610" s="25">
        <f t="array" ref="H610">INDEX(G$5:G$66,MATCH($B610,$B$5:$B$67,0))</f>
        <v>1818</v>
      </c>
      <c r="I610" s="25">
        <f t="array" ref="I610">INDEX(H$5:H$67,MATCH($B610,$B$5:$B$67,0))</f>
        <v>145.44</v>
      </c>
      <c r="J610" s="25">
        <f t="array" ref="J610">INDEX(I$5:I$67,MATCH($B610,$B$5:$B$67,0))</f>
        <v>990</v>
      </c>
      <c r="K610" s="25">
        <f t="array" ref="K610">INDEX(J$5:J$67,MATCH($B610,$B$5:$B$67,0))</f>
        <v>79.2</v>
      </c>
      <c r="L610" s="25">
        <f t="shared" si="575"/>
        <v>21672</v>
      </c>
      <c r="M610" s="25">
        <f t="shared" si="576"/>
        <v>7430</v>
      </c>
      <c r="N610" s="25">
        <f t="shared" si="577"/>
        <v>9381</v>
      </c>
      <c r="O610" s="25">
        <f t="shared" si="578"/>
        <v>5108</v>
      </c>
      <c r="R610" s="50">
        <f t="array" ref="R610">INDEX($B$46:$B$68,MATCH(S610,$C$46:$C$68,0))*1000+T610</f>
        <v>1024019</v>
      </c>
      <c r="S610" s="51" t="s">
        <v>355</v>
      </c>
      <c r="T610" s="29">
        <f t="shared" si="573"/>
        <v>19</v>
      </c>
      <c r="U610" s="25">
        <f t="array" ref="U610">INDEX(K$5:K$67,MATCH($S610,$B$5:$B$67,0))</f>
        <v>269.91</v>
      </c>
      <c r="V610" s="25">
        <f t="array" ref="V610">INDEX(L$5:L$67,MATCH($S610,$B$5:$B$67,0))</f>
        <v>98.3</v>
      </c>
      <c r="W610" s="25">
        <f t="array" ref="W610">INDEX(M$5:M$67,MATCH($S610,$B$5:$B$67,0))</f>
        <v>122.88</v>
      </c>
      <c r="X610" s="25">
        <f t="array" ref="X610">INDEX(N$5:N$67,MATCH($S610,$B$5:$B$67,0))</f>
        <v>68</v>
      </c>
      <c r="Y610" s="25">
        <f t="shared" si="579"/>
        <v>5128</v>
      </c>
      <c r="Z610" s="25">
        <f t="shared" si="580"/>
        <v>1868</v>
      </c>
      <c r="AA610" s="25">
        <f t="shared" si="581"/>
        <v>2335</v>
      </c>
      <c r="AB610" s="25">
        <f t="shared" si="582"/>
        <v>1292</v>
      </c>
    </row>
    <row r="611" spans="1:28">
      <c r="A611" s="48">
        <v>1009053</v>
      </c>
      <c r="B611" s="49" t="s">
        <v>905</v>
      </c>
      <c r="C611" s="25">
        <f t="shared" si="574"/>
        <v>53</v>
      </c>
      <c r="D611" s="25">
        <f t="array" ref="D611">INDEX(C$5:C$67,MATCH($B611,$B$5:$B$67,0))</f>
        <v>4200</v>
      </c>
      <c r="E611" s="25">
        <f t="array" ref="E611">INDEX(D$5:D$67,MATCH($B611,$B$5:$B$67,0))</f>
        <v>336</v>
      </c>
      <c r="F611" s="25">
        <f t="array" ref="F611">INDEX(E$5:E$67,MATCH($B611,$B$5:$B$67,0))</f>
        <v>1440</v>
      </c>
      <c r="G611" s="25">
        <f t="array" ref="G611">INDEX(F$5:F$67,MATCH($B611,$B$5:$B$67,0))</f>
        <v>115.2</v>
      </c>
      <c r="H611" s="25">
        <f t="array" ref="H611">INDEX(G$5:G$66,MATCH($B611,$B$5:$B$67,0))</f>
        <v>1818</v>
      </c>
      <c r="I611" s="25">
        <f t="array" ref="I611">INDEX(H$5:H$67,MATCH($B611,$B$5:$B$67,0))</f>
        <v>145.44</v>
      </c>
      <c r="J611" s="25">
        <f t="array" ref="J611">INDEX(I$5:I$67,MATCH($B611,$B$5:$B$67,0))</f>
        <v>990</v>
      </c>
      <c r="K611" s="25">
        <f t="array" ref="K611">INDEX(J$5:J$67,MATCH($B611,$B$5:$B$67,0))</f>
        <v>79.2</v>
      </c>
      <c r="L611" s="25">
        <f t="shared" si="575"/>
        <v>22008</v>
      </c>
      <c r="M611" s="25">
        <f t="shared" si="576"/>
        <v>7546</v>
      </c>
      <c r="N611" s="25">
        <f t="shared" si="577"/>
        <v>9526</v>
      </c>
      <c r="O611" s="25">
        <f t="shared" si="578"/>
        <v>5188</v>
      </c>
      <c r="R611" s="50">
        <f t="array" ref="R611">INDEX($B$46:$B$68,MATCH(S611,$C$46:$C$68,0))*1000+T611</f>
        <v>1024020</v>
      </c>
      <c r="S611" s="51" t="s">
        <v>355</v>
      </c>
      <c r="T611" s="29">
        <f t="shared" si="573"/>
        <v>20</v>
      </c>
      <c r="U611" s="25">
        <f t="array" ref="U611">INDEX(K$5:K$67,MATCH($S611,$B$5:$B$67,0))</f>
        <v>269.91</v>
      </c>
      <c r="V611" s="25">
        <f t="array" ref="V611">INDEX(L$5:L$67,MATCH($S611,$B$5:$B$67,0))</f>
        <v>98.3</v>
      </c>
      <c r="W611" s="25">
        <f t="array" ref="W611">INDEX(M$5:M$67,MATCH($S611,$B$5:$B$67,0))</f>
        <v>122.88</v>
      </c>
      <c r="X611" s="25">
        <f t="array" ref="X611">INDEX(N$5:N$67,MATCH($S611,$B$5:$B$67,0))</f>
        <v>68</v>
      </c>
      <c r="Y611" s="25">
        <f t="shared" si="579"/>
        <v>5398</v>
      </c>
      <c r="Z611" s="25">
        <f t="shared" si="580"/>
        <v>1966</v>
      </c>
      <c r="AA611" s="25">
        <f t="shared" si="581"/>
        <v>2458</v>
      </c>
      <c r="AB611" s="25">
        <f t="shared" si="582"/>
        <v>1360</v>
      </c>
    </row>
    <row r="612" spans="1:28">
      <c r="A612" s="48">
        <v>1009054</v>
      </c>
      <c r="B612" s="49" t="s">
        <v>905</v>
      </c>
      <c r="C612" s="25">
        <f t="shared" si="574"/>
        <v>54</v>
      </c>
      <c r="D612" s="25">
        <f t="array" ref="D612">INDEX(C$5:C$67,MATCH($B612,$B$5:$B$67,0))</f>
        <v>4200</v>
      </c>
      <c r="E612" s="25">
        <f t="array" ref="E612">INDEX(D$5:D$67,MATCH($B612,$B$5:$B$67,0))</f>
        <v>336</v>
      </c>
      <c r="F612" s="25">
        <f t="array" ref="F612">INDEX(E$5:E$67,MATCH($B612,$B$5:$B$67,0))</f>
        <v>1440</v>
      </c>
      <c r="G612" s="25">
        <f t="array" ref="G612">INDEX(F$5:F$67,MATCH($B612,$B$5:$B$67,0))</f>
        <v>115.2</v>
      </c>
      <c r="H612" s="25">
        <f t="array" ref="H612">INDEX(G$5:G$66,MATCH($B612,$B$5:$B$67,0))</f>
        <v>1818</v>
      </c>
      <c r="I612" s="25">
        <f t="array" ref="I612">INDEX(H$5:H$67,MATCH($B612,$B$5:$B$67,0))</f>
        <v>145.44</v>
      </c>
      <c r="J612" s="25">
        <f t="array" ref="J612">INDEX(I$5:I$67,MATCH($B612,$B$5:$B$67,0))</f>
        <v>990</v>
      </c>
      <c r="K612" s="25">
        <f t="array" ref="K612">INDEX(J$5:J$67,MATCH($B612,$B$5:$B$67,0))</f>
        <v>79.2</v>
      </c>
      <c r="L612" s="25">
        <f t="shared" si="575"/>
        <v>22344</v>
      </c>
      <c r="M612" s="25">
        <f t="shared" si="576"/>
        <v>7661</v>
      </c>
      <c r="N612" s="25">
        <f t="shared" si="577"/>
        <v>9672</v>
      </c>
      <c r="O612" s="25">
        <f t="shared" si="578"/>
        <v>5267</v>
      </c>
      <c r="R612" s="50">
        <f t="array" ref="R612">INDEX($B$46:$B$68,MATCH(S612,$C$46:$C$68,0))*1000+T612</f>
        <v>1024021</v>
      </c>
      <c r="S612" s="51" t="s">
        <v>355</v>
      </c>
      <c r="T612" s="29">
        <f t="shared" si="573"/>
        <v>21</v>
      </c>
      <c r="U612" s="25">
        <f t="array" ref="U612">INDEX(K$5:K$67,MATCH($S612,$B$5:$B$67,0))</f>
        <v>269.91</v>
      </c>
      <c r="V612" s="25">
        <f t="array" ref="V612">INDEX(L$5:L$67,MATCH($S612,$B$5:$B$67,0))</f>
        <v>98.3</v>
      </c>
      <c r="W612" s="25">
        <f t="array" ref="W612">INDEX(M$5:M$67,MATCH($S612,$B$5:$B$67,0))</f>
        <v>122.88</v>
      </c>
      <c r="X612" s="25">
        <f t="array" ref="X612">INDEX(N$5:N$67,MATCH($S612,$B$5:$B$67,0))</f>
        <v>68</v>
      </c>
      <c r="Y612" s="25">
        <f t="shared" si="579"/>
        <v>5668</v>
      </c>
      <c r="Z612" s="25">
        <f t="shared" si="580"/>
        <v>2064</v>
      </c>
      <c r="AA612" s="25">
        <f t="shared" si="581"/>
        <v>2580</v>
      </c>
      <c r="AB612" s="25">
        <f t="shared" si="582"/>
        <v>1428</v>
      </c>
    </row>
    <row r="613" spans="1:28">
      <c r="A613" s="48">
        <v>1009055</v>
      </c>
      <c r="B613" s="49" t="s">
        <v>905</v>
      </c>
      <c r="C613" s="25">
        <f t="shared" si="574"/>
        <v>55</v>
      </c>
      <c r="D613" s="25">
        <f t="array" ref="D613">INDEX(C$5:C$67,MATCH($B613,$B$5:$B$67,0))</f>
        <v>4200</v>
      </c>
      <c r="E613" s="25">
        <f t="array" ref="E613">INDEX(D$5:D$67,MATCH($B613,$B$5:$B$67,0))</f>
        <v>336</v>
      </c>
      <c r="F613" s="25">
        <f t="array" ref="F613">INDEX(E$5:E$67,MATCH($B613,$B$5:$B$67,0))</f>
        <v>1440</v>
      </c>
      <c r="G613" s="25">
        <f t="array" ref="G613">INDEX(F$5:F$67,MATCH($B613,$B$5:$B$67,0))</f>
        <v>115.2</v>
      </c>
      <c r="H613" s="25">
        <f t="array" ref="H613">INDEX(G$5:G$66,MATCH($B613,$B$5:$B$67,0))</f>
        <v>1818</v>
      </c>
      <c r="I613" s="25">
        <f t="array" ref="I613">INDEX(H$5:H$67,MATCH($B613,$B$5:$B$67,0))</f>
        <v>145.44</v>
      </c>
      <c r="J613" s="25">
        <f t="array" ref="J613">INDEX(I$5:I$67,MATCH($B613,$B$5:$B$67,0))</f>
        <v>990</v>
      </c>
      <c r="K613" s="25">
        <f t="array" ref="K613">INDEX(J$5:J$67,MATCH($B613,$B$5:$B$67,0))</f>
        <v>79.2</v>
      </c>
      <c r="L613" s="25">
        <f t="shared" si="575"/>
        <v>22680</v>
      </c>
      <c r="M613" s="25">
        <f t="shared" si="576"/>
        <v>7776</v>
      </c>
      <c r="N613" s="25">
        <f t="shared" si="577"/>
        <v>9817</v>
      </c>
      <c r="O613" s="25">
        <f t="shared" si="578"/>
        <v>5346</v>
      </c>
      <c r="R613" s="50">
        <f t="array" ref="R613">INDEX($B$46:$B$68,MATCH(S613,$C$46:$C$68,0))*1000+T613</f>
        <v>1024022</v>
      </c>
      <c r="S613" s="51" t="s">
        <v>355</v>
      </c>
      <c r="T613" s="29">
        <f t="shared" si="573"/>
        <v>22</v>
      </c>
      <c r="U613" s="25">
        <f t="array" ref="U613">INDEX(K$5:K$67,MATCH($S613,$B$5:$B$67,0))</f>
        <v>269.91</v>
      </c>
      <c r="V613" s="25">
        <f t="array" ref="V613">INDEX(L$5:L$67,MATCH($S613,$B$5:$B$67,0))</f>
        <v>98.3</v>
      </c>
      <c r="W613" s="25">
        <f t="array" ref="W613">INDEX(M$5:M$67,MATCH($S613,$B$5:$B$67,0))</f>
        <v>122.88</v>
      </c>
      <c r="X613" s="25">
        <f t="array" ref="X613">INDEX(N$5:N$67,MATCH($S613,$B$5:$B$67,0))</f>
        <v>68</v>
      </c>
      <c r="Y613" s="25">
        <f t="shared" si="579"/>
        <v>5938</v>
      </c>
      <c r="Z613" s="25">
        <f t="shared" si="580"/>
        <v>2163</v>
      </c>
      <c r="AA613" s="25">
        <f t="shared" si="581"/>
        <v>2703</v>
      </c>
      <c r="AB613" s="25">
        <f t="shared" si="582"/>
        <v>1496</v>
      </c>
    </row>
    <row r="614" spans="1:28">
      <c r="A614" s="48">
        <v>1009056</v>
      </c>
      <c r="B614" s="49" t="s">
        <v>905</v>
      </c>
      <c r="C614" s="25">
        <f t="shared" si="574"/>
        <v>56</v>
      </c>
      <c r="D614" s="25">
        <f t="array" ref="D614">INDEX(C$5:C$67,MATCH($B614,$B$5:$B$67,0))</f>
        <v>4200</v>
      </c>
      <c r="E614" s="25">
        <f t="array" ref="E614">INDEX(D$5:D$67,MATCH($B614,$B$5:$B$67,0))</f>
        <v>336</v>
      </c>
      <c r="F614" s="25">
        <f t="array" ref="F614">INDEX(E$5:E$67,MATCH($B614,$B$5:$B$67,0))</f>
        <v>1440</v>
      </c>
      <c r="G614" s="25">
        <f t="array" ref="G614">INDEX(F$5:F$67,MATCH($B614,$B$5:$B$67,0))</f>
        <v>115.2</v>
      </c>
      <c r="H614" s="25">
        <f t="array" ref="H614">INDEX(G$5:G$66,MATCH($B614,$B$5:$B$67,0))</f>
        <v>1818</v>
      </c>
      <c r="I614" s="25">
        <f t="array" ref="I614">INDEX(H$5:H$67,MATCH($B614,$B$5:$B$67,0))</f>
        <v>145.44</v>
      </c>
      <c r="J614" s="25">
        <f t="array" ref="J614">INDEX(I$5:I$67,MATCH($B614,$B$5:$B$67,0))</f>
        <v>990</v>
      </c>
      <c r="K614" s="25">
        <f t="array" ref="K614">INDEX(J$5:J$67,MATCH($B614,$B$5:$B$67,0))</f>
        <v>79.2</v>
      </c>
      <c r="L614" s="25">
        <f t="shared" si="575"/>
        <v>23016</v>
      </c>
      <c r="M614" s="25">
        <f t="shared" si="576"/>
        <v>7891</v>
      </c>
      <c r="N614" s="25">
        <f t="shared" si="577"/>
        <v>9963</v>
      </c>
      <c r="O614" s="25">
        <f t="shared" si="578"/>
        <v>5425</v>
      </c>
      <c r="R614" s="50">
        <f t="array" ref="R614">INDEX($B$46:$B$68,MATCH(S614,$C$46:$C$68,0))*1000+T614</f>
        <v>1024023</v>
      </c>
      <c r="S614" s="51" t="s">
        <v>355</v>
      </c>
      <c r="T614" s="29">
        <f t="shared" si="573"/>
        <v>23</v>
      </c>
      <c r="U614" s="25">
        <f t="array" ref="U614">INDEX(K$5:K$67,MATCH($S614,$B$5:$B$67,0))</f>
        <v>269.91</v>
      </c>
      <c r="V614" s="25">
        <f t="array" ref="V614">INDEX(L$5:L$67,MATCH($S614,$B$5:$B$67,0))</f>
        <v>98.3</v>
      </c>
      <c r="W614" s="25">
        <f t="array" ref="W614">INDEX(M$5:M$67,MATCH($S614,$B$5:$B$67,0))</f>
        <v>122.88</v>
      </c>
      <c r="X614" s="25">
        <f t="array" ref="X614">INDEX(N$5:N$67,MATCH($S614,$B$5:$B$67,0))</f>
        <v>68</v>
      </c>
      <c r="Y614" s="25">
        <f t="shared" si="579"/>
        <v>6208</v>
      </c>
      <c r="Z614" s="25">
        <f t="shared" si="580"/>
        <v>2261</v>
      </c>
      <c r="AA614" s="25">
        <f t="shared" si="581"/>
        <v>2826</v>
      </c>
      <c r="AB614" s="25">
        <f t="shared" si="582"/>
        <v>1564</v>
      </c>
    </row>
    <row r="615" spans="1:28">
      <c r="A615" s="48">
        <v>1009057</v>
      </c>
      <c r="B615" s="49" t="s">
        <v>905</v>
      </c>
      <c r="C615" s="25">
        <f t="shared" si="574"/>
        <v>57</v>
      </c>
      <c r="D615" s="25">
        <f t="array" ref="D615">INDEX(C$5:C$67,MATCH($B615,$B$5:$B$67,0))</f>
        <v>4200</v>
      </c>
      <c r="E615" s="25">
        <f t="array" ref="E615">INDEX(D$5:D$67,MATCH($B615,$B$5:$B$67,0))</f>
        <v>336</v>
      </c>
      <c r="F615" s="25">
        <f t="array" ref="F615">INDEX(E$5:E$67,MATCH($B615,$B$5:$B$67,0))</f>
        <v>1440</v>
      </c>
      <c r="G615" s="25">
        <f t="array" ref="G615">INDEX(F$5:F$67,MATCH($B615,$B$5:$B$67,0))</f>
        <v>115.2</v>
      </c>
      <c r="H615" s="25">
        <f t="array" ref="H615">INDEX(G$5:G$66,MATCH($B615,$B$5:$B$67,0))</f>
        <v>1818</v>
      </c>
      <c r="I615" s="25">
        <f t="array" ref="I615">INDEX(H$5:H$67,MATCH($B615,$B$5:$B$67,0))</f>
        <v>145.44</v>
      </c>
      <c r="J615" s="25">
        <f t="array" ref="J615">INDEX(I$5:I$67,MATCH($B615,$B$5:$B$67,0))</f>
        <v>990</v>
      </c>
      <c r="K615" s="25">
        <f t="array" ref="K615">INDEX(J$5:J$67,MATCH($B615,$B$5:$B$67,0))</f>
        <v>79.2</v>
      </c>
      <c r="L615" s="25">
        <f t="shared" si="575"/>
        <v>23352</v>
      </c>
      <c r="M615" s="25">
        <f t="shared" si="576"/>
        <v>8006</v>
      </c>
      <c r="N615" s="25">
        <f t="shared" si="577"/>
        <v>10108</v>
      </c>
      <c r="O615" s="25">
        <f t="shared" si="578"/>
        <v>5504</v>
      </c>
      <c r="R615" s="50">
        <f t="array" ref="R615">INDEX($B$46:$B$68,MATCH(S615,$C$46:$C$68,0))*1000+T615</f>
        <v>1024024</v>
      </c>
      <c r="S615" s="51" t="s">
        <v>355</v>
      </c>
      <c r="T615" s="29">
        <f t="shared" si="573"/>
        <v>24</v>
      </c>
      <c r="U615" s="25">
        <f t="array" ref="U615">INDEX(K$5:K$67,MATCH($S615,$B$5:$B$67,0))</f>
        <v>269.91</v>
      </c>
      <c r="V615" s="25">
        <f t="array" ref="V615">INDEX(L$5:L$67,MATCH($S615,$B$5:$B$67,0))</f>
        <v>98.3</v>
      </c>
      <c r="W615" s="25">
        <f t="array" ref="W615">INDEX(M$5:M$67,MATCH($S615,$B$5:$B$67,0))</f>
        <v>122.88</v>
      </c>
      <c r="X615" s="25">
        <f t="array" ref="X615">INDEX(N$5:N$67,MATCH($S615,$B$5:$B$67,0))</f>
        <v>68</v>
      </c>
      <c r="Y615" s="25">
        <f t="shared" si="579"/>
        <v>6478</v>
      </c>
      <c r="Z615" s="25">
        <f t="shared" si="580"/>
        <v>2359</v>
      </c>
      <c r="AA615" s="25">
        <f t="shared" si="581"/>
        <v>2949</v>
      </c>
      <c r="AB615" s="25">
        <f t="shared" si="582"/>
        <v>1632</v>
      </c>
    </row>
    <row r="616" spans="1:28">
      <c r="A616" s="48">
        <v>1009058</v>
      </c>
      <c r="B616" s="49" t="s">
        <v>905</v>
      </c>
      <c r="C616" s="25">
        <f t="shared" si="574"/>
        <v>58</v>
      </c>
      <c r="D616" s="25">
        <f t="array" ref="D616">INDEX(C$5:C$67,MATCH($B616,$B$5:$B$67,0))</f>
        <v>4200</v>
      </c>
      <c r="E616" s="25">
        <f t="array" ref="E616">INDEX(D$5:D$67,MATCH($B616,$B$5:$B$67,0))</f>
        <v>336</v>
      </c>
      <c r="F616" s="25">
        <f t="array" ref="F616">INDEX(E$5:E$67,MATCH($B616,$B$5:$B$67,0))</f>
        <v>1440</v>
      </c>
      <c r="G616" s="25">
        <f t="array" ref="G616">INDEX(F$5:F$67,MATCH($B616,$B$5:$B$67,0))</f>
        <v>115.2</v>
      </c>
      <c r="H616" s="25">
        <f t="array" ref="H616">INDEX(G$5:G$66,MATCH($B616,$B$5:$B$67,0))</f>
        <v>1818</v>
      </c>
      <c r="I616" s="25">
        <f t="array" ref="I616">INDEX(H$5:H$67,MATCH($B616,$B$5:$B$67,0))</f>
        <v>145.44</v>
      </c>
      <c r="J616" s="25">
        <f t="array" ref="J616">INDEX(I$5:I$67,MATCH($B616,$B$5:$B$67,0))</f>
        <v>990</v>
      </c>
      <c r="K616" s="25">
        <f t="array" ref="K616">INDEX(J$5:J$67,MATCH($B616,$B$5:$B$67,0))</f>
        <v>79.2</v>
      </c>
      <c r="L616" s="25">
        <f t="shared" si="575"/>
        <v>23688</v>
      </c>
      <c r="M616" s="25">
        <f t="shared" si="576"/>
        <v>8122</v>
      </c>
      <c r="N616" s="25">
        <f t="shared" si="577"/>
        <v>10254</v>
      </c>
      <c r="O616" s="25">
        <f t="shared" si="578"/>
        <v>5584</v>
      </c>
      <c r="R616" s="50">
        <f t="array" ref="R616">INDEX($B$46:$B$68,MATCH(S616,$C$46:$C$68,0))*1000+T616</f>
        <v>1024025</v>
      </c>
      <c r="S616" s="51" t="s">
        <v>355</v>
      </c>
      <c r="T616" s="29">
        <f t="shared" si="573"/>
        <v>25</v>
      </c>
      <c r="U616" s="25">
        <f t="array" ref="U616">INDEX(K$5:K$67,MATCH($S616,$B$5:$B$67,0))</f>
        <v>269.91</v>
      </c>
      <c r="V616" s="25">
        <f t="array" ref="V616">INDEX(L$5:L$67,MATCH($S616,$B$5:$B$67,0))</f>
        <v>98.3</v>
      </c>
      <c r="W616" s="25">
        <f t="array" ref="W616">INDEX(M$5:M$67,MATCH($S616,$B$5:$B$67,0))</f>
        <v>122.88</v>
      </c>
      <c r="X616" s="25">
        <f t="array" ref="X616">INDEX(N$5:N$67,MATCH($S616,$B$5:$B$67,0))</f>
        <v>68</v>
      </c>
      <c r="Y616" s="25">
        <f t="shared" si="579"/>
        <v>6748</v>
      </c>
      <c r="Z616" s="25">
        <f t="shared" si="580"/>
        <v>2458</v>
      </c>
      <c r="AA616" s="25">
        <f t="shared" si="581"/>
        <v>3072</v>
      </c>
      <c r="AB616" s="25">
        <f t="shared" si="582"/>
        <v>1700</v>
      </c>
    </row>
    <row r="617" spans="1:28">
      <c r="A617" s="48">
        <v>1009059</v>
      </c>
      <c r="B617" s="49" t="s">
        <v>905</v>
      </c>
      <c r="C617" s="25">
        <f t="shared" si="574"/>
        <v>59</v>
      </c>
      <c r="D617" s="25">
        <f t="array" ref="D617">INDEX(C$5:C$67,MATCH($B617,$B$5:$B$67,0))</f>
        <v>4200</v>
      </c>
      <c r="E617" s="25">
        <f t="array" ref="E617">INDEX(D$5:D$67,MATCH($B617,$B$5:$B$67,0))</f>
        <v>336</v>
      </c>
      <c r="F617" s="25">
        <f t="array" ref="F617">INDEX(E$5:E$67,MATCH($B617,$B$5:$B$67,0))</f>
        <v>1440</v>
      </c>
      <c r="G617" s="25">
        <f t="array" ref="G617">INDEX(F$5:F$67,MATCH($B617,$B$5:$B$67,0))</f>
        <v>115.2</v>
      </c>
      <c r="H617" s="25">
        <f t="array" ref="H617">INDEX(G$5:G$66,MATCH($B617,$B$5:$B$67,0))</f>
        <v>1818</v>
      </c>
      <c r="I617" s="25">
        <f t="array" ref="I617">INDEX(H$5:H$67,MATCH($B617,$B$5:$B$67,0))</f>
        <v>145.44</v>
      </c>
      <c r="J617" s="25">
        <f t="array" ref="J617">INDEX(I$5:I$67,MATCH($B617,$B$5:$B$67,0))</f>
        <v>990</v>
      </c>
      <c r="K617" s="25">
        <f t="array" ref="K617">INDEX(J$5:J$67,MATCH($B617,$B$5:$B$67,0))</f>
        <v>79.2</v>
      </c>
      <c r="L617" s="25">
        <f t="shared" si="575"/>
        <v>24024</v>
      </c>
      <c r="M617" s="25">
        <f t="shared" si="576"/>
        <v>8237</v>
      </c>
      <c r="N617" s="25">
        <f t="shared" si="577"/>
        <v>10399</v>
      </c>
      <c r="O617" s="25">
        <f t="shared" si="578"/>
        <v>5663</v>
      </c>
      <c r="R617" s="50">
        <f t="array" ref="R617">INDEX($B$46:$B$68,MATCH(S617,$C$46:$C$68,0))*1000+T617</f>
        <v>1024026</v>
      </c>
      <c r="S617" s="51" t="s">
        <v>355</v>
      </c>
      <c r="T617" s="29">
        <f t="shared" si="573"/>
        <v>26</v>
      </c>
      <c r="U617" s="25">
        <f t="array" ref="U617">INDEX(K$5:K$67,MATCH($S617,$B$5:$B$67,0))</f>
        <v>269.91</v>
      </c>
      <c r="V617" s="25">
        <f t="array" ref="V617">INDEX(L$5:L$67,MATCH($S617,$B$5:$B$67,0))</f>
        <v>98.3</v>
      </c>
      <c r="W617" s="25">
        <f t="array" ref="W617">INDEX(M$5:M$67,MATCH($S617,$B$5:$B$67,0))</f>
        <v>122.88</v>
      </c>
      <c r="X617" s="25">
        <f t="array" ref="X617">INDEX(N$5:N$67,MATCH($S617,$B$5:$B$67,0))</f>
        <v>68</v>
      </c>
      <c r="Y617" s="25">
        <f t="shared" si="579"/>
        <v>7018</v>
      </c>
      <c r="Z617" s="25">
        <f t="shared" si="580"/>
        <v>2556</v>
      </c>
      <c r="AA617" s="25">
        <f t="shared" si="581"/>
        <v>3195</v>
      </c>
      <c r="AB617" s="25">
        <f t="shared" si="582"/>
        <v>1768</v>
      </c>
    </row>
    <row r="618" spans="1:28">
      <c r="A618" s="48">
        <v>1009060</v>
      </c>
      <c r="B618" s="49" t="s">
        <v>905</v>
      </c>
      <c r="C618" s="25">
        <f t="shared" si="574"/>
        <v>60</v>
      </c>
      <c r="D618" s="25">
        <f t="array" ref="D618">INDEX(C$5:C$67,MATCH($B618,$B$5:$B$67,0))</f>
        <v>4200</v>
      </c>
      <c r="E618" s="25">
        <f t="array" ref="E618">INDEX(D$5:D$67,MATCH($B618,$B$5:$B$67,0))</f>
        <v>336</v>
      </c>
      <c r="F618" s="25">
        <f t="array" ref="F618">INDEX(E$5:E$67,MATCH($B618,$B$5:$B$67,0))</f>
        <v>1440</v>
      </c>
      <c r="G618" s="25">
        <f t="array" ref="G618">INDEX(F$5:F$67,MATCH($B618,$B$5:$B$67,0))</f>
        <v>115.2</v>
      </c>
      <c r="H618" s="25">
        <f t="array" ref="H618">INDEX(G$5:G$66,MATCH($B618,$B$5:$B$67,0))</f>
        <v>1818</v>
      </c>
      <c r="I618" s="25">
        <f t="array" ref="I618">INDEX(H$5:H$67,MATCH($B618,$B$5:$B$67,0))</f>
        <v>145.44</v>
      </c>
      <c r="J618" s="25">
        <f t="array" ref="J618">INDEX(I$5:I$67,MATCH($B618,$B$5:$B$67,0))</f>
        <v>990</v>
      </c>
      <c r="K618" s="25">
        <f t="array" ref="K618">INDEX(J$5:J$67,MATCH($B618,$B$5:$B$67,0))</f>
        <v>79.2</v>
      </c>
      <c r="L618" s="25">
        <f t="shared" si="575"/>
        <v>24360</v>
      </c>
      <c r="M618" s="25">
        <f t="shared" si="576"/>
        <v>8352</v>
      </c>
      <c r="N618" s="25">
        <f t="shared" si="577"/>
        <v>10544</v>
      </c>
      <c r="O618" s="25">
        <f t="shared" si="578"/>
        <v>5742</v>
      </c>
      <c r="R618" s="50">
        <f t="array" ref="R618">INDEX($B$46:$B$68,MATCH(S618,$C$46:$C$68,0))*1000+T618</f>
        <v>1024027</v>
      </c>
      <c r="S618" s="51" t="s">
        <v>355</v>
      </c>
      <c r="T618" s="29">
        <f t="shared" ref="T618:T681" si="583">T591</f>
        <v>27</v>
      </c>
      <c r="U618" s="25">
        <f t="array" ref="U618">INDEX(K$5:K$67,MATCH($S618,$B$5:$B$67,0))</f>
        <v>269.91</v>
      </c>
      <c r="V618" s="25">
        <f t="array" ref="V618">INDEX(L$5:L$67,MATCH($S618,$B$5:$B$67,0))</f>
        <v>98.3</v>
      </c>
      <c r="W618" s="25">
        <f t="array" ref="W618">INDEX(M$5:M$67,MATCH($S618,$B$5:$B$67,0))</f>
        <v>122.88</v>
      </c>
      <c r="X618" s="25">
        <f t="array" ref="X618">INDEX(N$5:N$67,MATCH($S618,$B$5:$B$67,0))</f>
        <v>68</v>
      </c>
      <c r="Y618" s="25">
        <f t="shared" si="579"/>
        <v>7288</v>
      </c>
      <c r="Z618" s="25">
        <f t="shared" si="580"/>
        <v>2654</v>
      </c>
      <c r="AA618" s="25">
        <f t="shared" si="581"/>
        <v>3318</v>
      </c>
      <c r="AB618" s="25">
        <f t="shared" si="582"/>
        <v>1836</v>
      </c>
    </row>
    <row r="619" spans="1:28">
      <c r="A619" s="48">
        <v>1010001</v>
      </c>
      <c r="B619" s="49" t="s">
        <v>915</v>
      </c>
      <c r="C619" s="25">
        <f t="shared" si="574"/>
        <v>1</v>
      </c>
      <c r="D619" s="25">
        <f t="array" ref="D619">INDEX(C$5:C$67,MATCH($B619,$B$5:$B$67,0))</f>
        <v>5280</v>
      </c>
      <c r="E619" s="25">
        <f t="array" ref="E619">INDEX(D$5:D$67,MATCH($B619,$B$5:$B$67,0))</f>
        <v>422.4</v>
      </c>
      <c r="F619" s="25">
        <f t="array" ref="F619">INDEX(E$5:E$67,MATCH($B619,$B$5:$B$67,0))</f>
        <v>677</v>
      </c>
      <c r="G619" s="25">
        <f t="array" ref="G619">INDEX(F$5:F$67,MATCH($B619,$B$5:$B$67,0))</f>
        <v>54.16</v>
      </c>
      <c r="H619" s="25">
        <f t="array" ref="H619">INDEX(G$5:G$66,MATCH($B619,$B$5:$B$67,0))</f>
        <v>541</v>
      </c>
      <c r="I619" s="25">
        <f t="array" ref="I619">INDEX(H$5:H$67,MATCH($B619,$B$5:$B$67,0))</f>
        <v>43.28</v>
      </c>
      <c r="J619" s="25">
        <f t="array" ref="J619">INDEX(I$5:I$67,MATCH($B619,$B$5:$B$67,0))</f>
        <v>960</v>
      </c>
      <c r="K619" s="25">
        <f t="array" ref="K619">INDEX(J$5:J$67,MATCH($B619,$B$5:$B$67,0))</f>
        <v>76.8</v>
      </c>
      <c r="L619" s="25">
        <f t="shared" si="575"/>
        <v>5702</v>
      </c>
      <c r="M619" s="25">
        <f t="shared" si="576"/>
        <v>731</v>
      </c>
      <c r="N619" s="25">
        <f t="shared" si="577"/>
        <v>584</v>
      </c>
      <c r="O619" s="25">
        <f t="shared" si="578"/>
        <v>1037</v>
      </c>
      <c r="R619" s="50">
        <f t="array" ref="R619">INDEX($B$46:$B$68,MATCH(S619,$C$46:$C$68,0))*1000+T619</f>
        <v>1026001</v>
      </c>
      <c r="S619" s="51" t="s">
        <v>356</v>
      </c>
      <c r="T619" s="29">
        <f t="shared" si="583"/>
        <v>1</v>
      </c>
      <c r="U619" s="25">
        <f t="array" ref="U619">INDEX(K$5:K$67,MATCH($S619,$B$5:$B$67,0))</f>
        <v>261.73</v>
      </c>
      <c r="V619" s="25">
        <f t="array" ref="V619">INDEX(L$5:L$67,MATCH($S619,$B$5:$B$67,0))</f>
        <v>126.57</v>
      </c>
      <c r="W619" s="25">
        <f t="array" ref="W619">INDEX(M$5:M$67,MATCH($S619,$B$5:$B$67,0))</f>
        <v>98.3</v>
      </c>
      <c r="X619" s="25">
        <f t="array" ref="X619">INDEX(N$5:N$67,MATCH($S619,$B$5:$B$67,0))</f>
        <v>66.64</v>
      </c>
      <c r="Y619" s="25">
        <f t="shared" si="579"/>
        <v>262</v>
      </c>
      <c r="Z619" s="25">
        <f t="shared" si="580"/>
        <v>127</v>
      </c>
      <c r="AA619" s="25">
        <f t="shared" si="581"/>
        <v>98</v>
      </c>
      <c r="AB619" s="25">
        <f t="shared" si="582"/>
        <v>67</v>
      </c>
    </row>
    <row r="620" spans="1:28">
      <c r="A620" s="48">
        <v>1010002</v>
      </c>
      <c r="B620" s="49" t="s">
        <v>915</v>
      </c>
      <c r="C620" s="25">
        <f t="shared" si="574"/>
        <v>2</v>
      </c>
      <c r="D620" s="25">
        <f t="array" ref="D620">INDEX(C$5:C$67,MATCH($B620,$B$5:$B$67,0))</f>
        <v>5280</v>
      </c>
      <c r="E620" s="25">
        <f t="array" ref="E620">INDEX(D$5:D$67,MATCH($B620,$B$5:$B$67,0))</f>
        <v>422.4</v>
      </c>
      <c r="F620" s="25">
        <f t="array" ref="F620">INDEX(E$5:E$67,MATCH($B620,$B$5:$B$67,0))</f>
        <v>677</v>
      </c>
      <c r="G620" s="25">
        <f t="array" ref="G620">INDEX(F$5:F$67,MATCH($B620,$B$5:$B$67,0))</f>
        <v>54.16</v>
      </c>
      <c r="H620" s="25">
        <f t="array" ref="H620">INDEX(G$5:G$66,MATCH($B620,$B$5:$B$67,0))</f>
        <v>541</v>
      </c>
      <c r="I620" s="25">
        <f t="array" ref="I620">INDEX(H$5:H$67,MATCH($B620,$B$5:$B$67,0))</f>
        <v>43.28</v>
      </c>
      <c r="J620" s="25">
        <f t="array" ref="J620">INDEX(I$5:I$67,MATCH($B620,$B$5:$B$67,0))</f>
        <v>960</v>
      </c>
      <c r="K620" s="25">
        <f t="array" ref="K620">INDEX(J$5:J$67,MATCH($B620,$B$5:$B$67,0))</f>
        <v>76.8</v>
      </c>
      <c r="L620" s="25">
        <f t="shared" si="575"/>
        <v>6125</v>
      </c>
      <c r="M620" s="25">
        <f t="shared" si="576"/>
        <v>785</v>
      </c>
      <c r="N620" s="25">
        <f t="shared" si="577"/>
        <v>628</v>
      </c>
      <c r="O620" s="25">
        <f t="shared" si="578"/>
        <v>1114</v>
      </c>
      <c r="R620" s="50">
        <f t="array" ref="R620">INDEX($B$46:$B$68,MATCH(S620,$C$46:$C$68,0))*1000+T620</f>
        <v>1026002</v>
      </c>
      <c r="S620" s="51" t="s">
        <v>356</v>
      </c>
      <c r="T620" s="29">
        <f t="shared" si="583"/>
        <v>2</v>
      </c>
      <c r="U620" s="25">
        <f t="array" ref="U620">INDEX(K$5:K$67,MATCH($S620,$B$5:$B$67,0))</f>
        <v>261.73</v>
      </c>
      <c r="V620" s="25">
        <f t="array" ref="V620">INDEX(L$5:L$67,MATCH($S620,$B$5:$B$67,0))</f>
        <v>126.57</v>
      </c>
      <c r="W620" s="25">
        <f t="array" ref="W620">INDEX(M$5:M$67,MATCH($S620,$B$5:$B$67,0))</f>
        <v>98.3</v>
      </c>
      <c r="X620" s="25">
        <f t="array" ref="X620">INDEX(N$5:N$67,MATCH($S620,$B$5:$B$67,0))</f>
        <v>66.64</v>
      </c>
      <c r="Y620" s="25">
        <f t="shared" si="579"/>
        <v>523</v>
      </c>
      <c r="Z620" s="25">
        <f t="shared" si="580"/>
        <v>253</v>
      </c>
      <c r="AA620" s="25">
        <f t="shared" si="581"/>
        <v>197</v>
      </c>
      <c r="AB620" s="25">
        <f t="shared" si="582"/>
        <v>133</v>
      </c>
    </row>
    <row r="621" spans="1:28">
      <c r="A621" s="48">
        <v>1010003</v>
      </c>
      <c r="B621" s="49" t="s">
        <v>915</v>
      </c>
      <c r="C621" s="25">
        <f t="shared" si="574"/>
        <v>3</v>
      </c>
      <c r="D621" s="25">
        <f t="array" ref="D621">INDEX(C$5:C$67,MATCH($B621,$B$5:$B$67,0))</f>
        <v>5280</v>
      </c>
      <c r="E621" s="25">
        <f t="array" ref="E621">INDEX(D$5:D$67,MATCH($B621,$B$5:$B$67,0))</f>
        <v>422.4</v>
      </c>
      <c r="F621" s="25">
        <f t="array" ref="F621">INDEX(E$5:E$67,MATCH($B621,$B$5:$B$67,0))</f>
        <v>677</v>
      </c>
      <c r="G621" s="25">
        <f t="array" ref="G621">INDEX(F$5:F$67,MATCH($B621,$B$5:$B$67,0))</f>
        <v>54.16</v>
      </c>
      <c r="H621" s="25">
        <f t="array" ref="H621">INDEX(G$5:G$66,MATCH($B621,$B$5:$B$67,0))</f>
        <v>541</v>
      </c>
      <c r="I621" s="25">
        <f t="array" ref="I621">INDEX(H$5:H$67,MATCH($B621,$B$5:$B$67,0))</f>
        <v>43.28</v>
      </c>
      <c r="J621" s="25">
        <f t="array" ref="J621">INDEX(I$5:I$67,MATCH($B621,$B$5:$B$67,0))</f>
        <v>960</v>
      </c>
      <c r="K621" s="25">
        <f t="array" ref="K621">INDEX(J$5:J$67,MATCH($B621,$B$5:$B$67,0))</f>
        <v>76.8</v>
      </c>
      <c r="L621" s="25">
        <f t="shared" si="575"/>
        <v>6547</v>
      </c>
      <c r="M621" s="25">
        <f t="shared" si="576"/>
        <v>839</v>
      </c>
      <c r="N621" s="25">
        <f t="shared" si="577"/>
        <v>671</v>
      </c>
      <c r="O621" s="25">
        <f t="shared" si="578"/>
        <v>1190</v>
      </c>
      <c r="R621" s="50">
        <f t="array" ref="R621">INDEX($B$46:$B$68,MATCH(S621,$C$46:$C$68,0))*1000+T621</f>
        <v>1026003</v>
      </c>
      <c r="S621" s="51" t="s">
        <v>356</v>
      </c>
      <c r="T621" s="29">
        <f t="shared" si="583"/>
        <v>3</v>
      </c>
      <c r="U621" s="25">
        <f t="array" ref="U621">INDEX(K$5:K$67,MATCH($S621,$B$5:$B$67,0))</f>
        <v>261.73</v>
      </c>
      <c r="V621" s="25">
        <f t="array" ref="V621">INDEX(L$5:L$67,MATCH($S621,$B$5:$B$67,0))</f>
        <v>126.57</v>
      </c>
      <c r="W621" s="25">
        <f t="array" ref="W621">INDEX(M$5:M$67,MATCH($S621,$B$5:$B$67,0))</f>
        <v>98.3</v>
      </c>
      <c r="X621" s="25">
        <f t="array" ref="X621">INDEX(N$5:N$67,MATCH($S621,$B$5:$B$67,0))</f>
        <v>66.64</v>
      </c>
      <c r="Y621" s="25">
        <f t="shared" si="579"/>
        <v>785</v>
      </c>
      <c r="Z621" s="25">
        <f t="shared" si="580"/>
        <v>380</v>
      </c>
      <c r="AA621" s="25">
        <f t="shared" si="581"/>
        <v>295</v>
      </c>
      <c r="AB621" s="25">
        <f t="shared" si="582"/>
        <v>200</v>
      </c>
    </row>
    <row r="622" spans="1:28">
      <c r="A622" s="48">
        <v>1010004</v>
      </c>
      <c r="B622" s="49" t="s">
        <v>915</v>
      </c>
      <c r="C622" s="25">
        <f t="shared" si="574"/>
        <v>4</v>
      </c>
      <c r="D622" s="25">
        <f t="array" ref="D622">INDEX(C$5:C$67,MATCH($B622,$B$5:$B$67,0))</f>
        <v>5280</v>
      </c>
      <c r="E622" s="25">
        <f t="array" ref="E622">INDEX(D$5:D$67,MATCH($B622,$B$5:$B$67,0))</f>
        <v>422.4</v>
      </c>
      <c r="F622" s="25">
        <f t="array" ref="F622">INDEX(E$5:E$67,MATCH($B622,$B$5:$B$67,0))</f>
        <v>677</v>
      </c>
      <c r="G622" s="25">
        <f t="array" ref="G622">INDEX(F$5:F$67,MATCH($B622,$B$5:$B$67,0))</f>
        <v>54.16</v>
      </c>
      <c r="H622" s="25">
        <f t="array" ref="H622">INDEX(G$5:G$66,MATCH($B622,$B$5:$B$67,0))</f>
        <v>541</v>
      </c>
      <c r="I622" s="25">
        <f t="array" ref="I622">INDEX(H$5:H$67,MATCH($B622,$B$5:$B$67,0))</f>
        <v>43.28</v>
      </c>
      <c r="J622" s="25">
        <f t="array" ref="J622">INDEX(I$5:I$67,MATCH($B622,$B$5:$B$67,0))</f>
        <v>960</v>
      </c>
      <c r="K622" s="25">
        <f t="array" ref="K622">INDEX(J$5:J$67,MATCH($B622,$B$5:$B$67,0))</f>
        <v>76.8</v>
      </c>
      <c r="L622" s="25">
        <f t="shared" si="575"/>
        <v>6970</v>
      </c>
      <c r="M622" s="25">
        <f t="shared" si="576"/>
        <v>894</v>
      </c>
      <c r="N622" s="25">
        <f t="shared" si="577"/>
        <v>714</v>
      </c>
      <c r="O622" s="25">
        <f t="shared" si="578"/>
        <v>1267</v>
      </c>
      <c r="R622" s="50">
        <f t="array" ref="R622">INDEX($B$46:$B$68,MATCH(S622,$C$46:$C$68,0))*1000+T622</f>
        <v>1026004</v>
      </c>
      <c r="S622" s="51" t="s">
        <v>356</v>
      </c>
      <c r="T622" s="29">
        <f t="shared" si="583"/>
        <v>4</v>
      </c>
      <c r="U622" s="25">
        <f t="array" ref="U622">INDEX(K$5:K$67,MATCH($S622,$B$5:$B$67,0))</f>
        <v>261.73</v>
      </c>
      <c r="V622" s="25">
        <f t="array" ref="V622">INDEX(L$5:L$67,MATCH($S622,$B$5:$B$67,0))</f>
        <v>126.57</v>
      </c>
      <c r="W622" s="25">
        <f t="array" ref="W622">INDEX(M$5:M$67,MATCH($S622,$B$5:$B$67,0))</f>
        <v>98.3</v>
      </c>
      <c r="X622" s="25">
        <f t="array" ref="X622">INDEX(N$5:N$67,MATCH($S622,$B$5:$B$67,0))</f>
        <v>66.64</v>
      </c>
      <c r="Y622" s="25">
        <f t="shared" si="579"/>
        <v>1047</v>
      </c>
      <c r="Z622" s="25">
        <f t="shared" si="580"/>
        <v>506</v>
      </c>
      <c r="AA622" s="25">
        <f t="shared" si="581"/>
        <v>393</v>
      </c>
      <c r="AB622" s="25">
        <f t="shared" si="582"/>
        <v>267</v>
      </c>
    </row>
    <row r="623" spans="1:28">
      <c r="A623" s="48">
        <v>1010005</v>
      </c>
      <c r="B623" s="49" t="s">
        <v>915</v>
      </c>
      <c r="C623" s="25">
        <f t="shared" si="574"/>
        <v>5</v>
      </c>
      <c r="D623" s="25">
        <f t="array" ref="D623">INDEX(C$5:C$67,MATCH($B623,$B$5:$B$67,0))</f>
        <v>5280</v>
      </c>
      <c r="E623" s="25">
        <f t="array" ref="E623">INDEX(D$5:D$67,MATCH($B623,$B$5:$B$67,0))</f>
        <v>422.4</v>
      </c>
      <c r="F623" s="25">
        <f t="array" ref="F623">INDEX(E$5:E$67,MATCH($B623,$B$5:$B$67,0))</f>
        <v>677</v>
      </c>
      <c r="G623" s="25">
        <f t="array" ref="G623">INDEX(F$5:F$67,MATCH($B623,$B$5:$B$67,0))</f>
        <v>54.16</v>
      </c>
      <c r="H623" s="25">
        <f t="array" ref="H623">INDEX(G$5:G$66,MATCH($B623,$B$5:$B$67,0))</f>
        <v>541</v>
      </c>
      <c r="I623" s="25">
        <f t="array" ref="I623">INDEX(H$5:H$67,MATCH($B623,$B$5:$B$67,0))</f>
        <v>43.28</v>
      </c>
      <c r="J623" s="25">
        <f t="array" ref="J623">INDEX(I$5:I$67,MATCH($B623,$B$5:$B$67,0))</f>
        <v>960</v>
      </c>
      <c r="K623" s="25">
        <f t="array" ref="K623">INDEX(J$5:J$67,MATCH($B623,$B$5:$B$67,0))</f>
        <v>76.8</v>
      </c>
      <c r="L623" s="25">
        <f t="shared" si="575"/>
        <v>7392</v>
      </c>
      <c r="M623" s="25">
        <f t="shared" si="576"/>
        <v>948</v>
      </c>
      <c r="N623" s="25">
        <f t="shared" si="577"/>
        <v>757</v>
      </c>
      <c r="O623" s="25">
        <f t="shared" si="578"/>
        <v>1344</v>
      </c>
      <c r="R623" s="50">
        <f t="array" ref="R623">INDEX($B$46:$B$68,MATCH(S623,$C$46:$C$68,0))*1000+T623</f>
        <v>1026005</v>
      </c>
      <c r="S623" s="51" t="s">
        <v>356</v>
      </c>
      <c r="T623" s="29">
        <f t="shared" si="583"/>
        <v>5</v>
      </c>
      <c r="U623" s="25">
        <f t="array" ref="U623">INDEX(K$5:K$67,MATCH($S623,$B$5:$B$67,0))</f>
        <v>261.73</v>
      </c>
      <c r="V623" s="25">
        <f t="array" ref="V623">INDEX(L$5:L$67,MATCH($S623,$B$5:$B$67,0))</f>
        <v>126.57</v>
      </c>
      <c r="W623" s="25">
        <f t="array" ref="W623">INDEX(M$5:M$67,MATCH($S623,$B$5:$B$67,0))</f>
        <v>98.3</v>
      </c>
      <c r="X623" s="25">
        <f t="array" ref="X623">INDEX(N$5:N$67,MATCH($S623,$B$5:$B$67,0))</f>
        <v>66.64</v>
      </c>
      <c r="Y623" s="25">
        <f t="shared" si="579"/>
        <v>1309</v>
      </c>
      <c r="Z623" s="25">
        <f t="shared" si="580"/>
        <v>633</v>
      </c>
      <c r="AA623" s="25">
        <f t="shared" si="581"/>
        <v>492</v>
      </c>
      <c r="AB623" s="25">
        <f t="shared" si="582"/>
        <v>333</v>
      </c>
    </row>
    <row r="624" spans="1:28">
      <c r="A624" s="48">
        <v>1010006</v>
      </c>
      <c r="B624" s="49" t="s">
        <v>915</v>
      </c>
      <c r="C624" s="25">
        <f t="shared" si="574"/>
        <v>6</v>
      </c>
      <c r="D624" s="25">
        <f t="array" ref="D624">INDEX(C$5:C$67,MATCH($B624,$B$5:$B$67,0))</f>
        <v>5280</v>
      </c>
      <c r="E624" s="25">
        <f t="array" ref="E624">INDEX(D$5:D$67,MATCH($B624,$B$5:$B$67,0))</f>
        <v>422.4</v>
      </c>
      <c r="F624" s="25">
        <f t="array" ref="F624">INDEX(E$5:E$67,MATCH($B624,$B$5:$B$67,0))</f>
        <v>677</v>
      </c>
      <c r="G624" s="25">
        <f t="array" ref="G624">INDEX(F$5:F$67,MATCH($B624,$B$5:$B$67,0))</f>
        <v>54.16</v>
      </c>
      <c r="H624" s="25">
        <f t="array" ref="H624">INDEX(G$5:G$66,MATCH($B624,$B$5:$B$67,0))</f>
        <v>541</v>
      </c>
      <c r="I624" s="25">
        <f t="array" ref="I624">INDEX(H$5:H$67,MATCH($B624,$B$5:$B$67,0))</f>
        <v>43.28</v>
      </c>
      <c r="J624" s="25">
        <f t="array" ref="J624">INDEX(I$5:I$67,MATCH($B624,$B$5:$B$67,0))</f>
        <v>960</v>
      </c>
      <c r="K624" s="25">
        <f t="array" ref="K624">INDEX(J$5:J$67,MATCH($B624,$B$5:$B$67,0))</f>
        <v>76.8</v>
      </c>
      <c r="L624" s="25">
        <f t="shared" si="575"/>
        <v>7814</v>
      </c>
      <c r="M624" s="25">
        <f t="shared" si="576"/>
        <v>1002</v>
      </c>
      <c r="N624" s="25">
        <f t="shared" si="577"/>
        <v>801</v>
      </c>
      <c r="O624" s="25">
        <f t="shared" si="578"/>
        <v>1421</v>
      </c>
      <c r="R624" s="50">
        <f t="array" ref="R624">INDEX($B$46:$B$68,MATCH(S624,$C$46:$C$68,0))*1000+T624</f>
        <v>1026006</v>
      </c>
      <c r="S624" s="51" t="s">
        <v>356</v>
      </c>
      <c r="T624" s="29">
        <f t="shared" si="583"/>
        <v>6</v>
      </c>
      <c r="U624" s="25">
        <f t="array" ref="U624">INDEX(K$5:K$67,MATCH($S624,$B$5:$B$67,0))</f>
        <v>261.73</v>
      </c>
      <c r="V624" s="25">
        <f t="array" ref="V624">INDEX(L$5:L$67,MATCH($S624,$B$5:$B$67,0))</f>
        <v>126.57</v>
      </c>
      <c r="W624" s="25">
        <f t="array" ref="W624">INDEX(M$5:M$67,MATCH($S624,$B$5:$B$67,0))</f>
        <v>98.3</v>
      </c>
      <c r="X624" s="25">
        <f t="array" ref="X624">INDEX(N$5:N$67,MATCH($S624,$B$5:$B$67,0))</f>
        <v>66.64</v>
      </c>
      <c r="Y624" s="25">
        <f t="shared" si="579"/>
        <v>1570</v>
      </c>
      <c r="Z624" s="25">
        <f t="shared" si="580"/>
        <v>759</v>
      </c>
      <c r="AA624" s="25">
        <f t="shared" si="581"/>
        <v>590</v>
      </c>
      <c r="AB624" s="25">
        <f t="shared" si="582"/>
        <v>400</v>
      </c>
    </row>
    <row r="625" spans="1:28">
      <c r="A625" s="48">
        <v>1010007</v>
      </c>
      <c r="B625" s="49" t="s">
        <v>915</v>
      </c>
      <c r="C625" s="25">
        <f t="shared" si="574"/>
        <v>7</v>
      </c>
      <c r="D625" s="25">
        <f t="array" ref="D625">INDEX(C$5:C$67,MATCH($B625,$B$5:$B$67,0))</f>
        <v>5280</v>
      </c>
      <c r="E625" s="25">
        <f t="array" ref="E625">INDEX(D$5:D$67,MATCH($B625,$B$5:$B$67,0))</f>
        <v>422.4</v>
      </c>
      <c r="F625" s="25">
        <f t="array" ref="F625">INDEX(E$5:E$67,MATCH($B625,$B$5:$B$67,0))</f>
        <v>677</v>
      </c>
      <c r="G625" s="25">
        <f t="array" ref="G625">INDEX(F$5:F$67,MATCH($B625,$B$5:$B$67,0))</f>
        <v>54.16</v>
      </c>
      <c r="H625" s="25">
        <f t="array" ref="H625">INDEX(G$5:G$66,MATCH($B625,$B$5:$B$67,0))</f>
        <v>541</v>
      </c>
      <c r="I625" s="25">
        <f t="array" ref="I625">INDEX(H$5:H$67,MATCH($B625,$B$5:$B$67,0))</f>
        <v>43.28</v>
      </c>
      <c r="J625" s="25">
        <f t="array" ref="J625">INDEX(I$5:I$67,MATCH($B625,$B$5:$B$67,0))</f>
        <v>960</v>
      </c>
      <c r="K625" s="25">
        <f t="array" ref="K625">INDEX(J$5:J$67,MATCH($B625,$B$5:$B$67,0))</f>
        <v>76.8</v>
      </c>
      <c r="L625" s="25">
        <f t="shared" si="575"/>
        <v>8237</v>
      </c>
      <c r="M625" s="25">
        <f t="shared" si="576"/>
        <v>1056</v>
      </c>
      <c r="N625" s="25">
        <f t="shared" si="577"/>
        <v>844</v>
      </c>
      <c r="O625" s="25">
        <f t="shared" si="578"/>
        <v>1498</v>
      </c>
      <c r="R625" s="50">
        <f t="array" ref="R625">INDEX($B$46:$B$68,MATCH(S625,$C$46:$C$68,0))*1000+T625</f>
        <v>1026007</v>
      </c>
      <c r="S625" s="51" t="s">
        <v>356</v>
      </c>
      <c r="T625" s="29">
        <f t="shared" si="583"/>
        <v>7</v>
      </c>
      <c r="U625" s="25">
        <f t="array" ref="U625">INDEX(K$5:K$67,MATCH($S625,$B$5:$B$67,0))</f>
        <v>261.73</v>
      </c>
      <c r="V625" s="25">
        <f t="array" ref="V625">INDEX(L$5:L$67,MATCH($S625,$B$5:$B$67,0))</f>
        <v>126.57</v>
      </c>
      <c r="W625" s="25">
        <f t="array" ref="W625">INDEX(M$5:M$67,MATCH($S625,$B$5:$B$67,0))</f>
        <v>98.3</v>
      </c>
      <c r="X625" s="25">
        <f t="array" ref="X625">INDEX(N$5:N$67,MATCH($S625,$B$5:$B$67,0))</f>
        <v>66.64</v>
      </c>
      <c r="Y625" s="25">
        <f t="shared" si="579"/>
        <v>1832</v>
      </c>
      <c r="Z625" s="25">
        <f t="shared" si="580"/>
        <v>886</v>
      </c>
      <c r="AA625" s="25">
        <f t="shared" si="581"/>
        <v>688</v>
      </c>
      <c r="AB625" s="25">
        <f t="shared" si="582"/>
        <v>466</v>
      </c>
    </row>
    <row r="626" spans="1:28">
      <c r="A626" s="48">
        <v>1010008</v>
      </c>
      <c r="B626" s="49" t="s">
        <v>915</v>
      </c>
      <c r="C626" s="25">
        <f t="shared" si="574"/>
        <v>8</v>
      </c>
      <c r="D626" s="25">
        <f t="array" ref="D626">INDEX(C$5:C$67,MATCH($B626,$B$5:$B$67,0))</f>
        <v>5280</v>
      </c>
      <c r="E626" s="25">
        <f t="array" ref="E626">INDEX(D$5:D$67,MATCH($B626,$B$5:$B$67,0))</f>
        <v>422.4</v>
      </c>
      <c r="F626" s="25">
        <f t="array" ref="F626">INDEX(E$5:E$67,MATCH($B626,$B$5:$B$67,0))</f>
        <v>677</v>
      </c>
      <c r="G626" s="25">
        <f t="array" ref="G626">INDEX(F$5:F$67,MATCH($B626,$B$5:$B$67,0))</f>
        <v>54.16</v>
      </c>
      <c r="H626" s="25">
        <f t="array" ref="H626">INDEX(G$5:G$66,MATCH($B626,$B$5:$B$67,0))</f>
        <v>541</v>
      </c>
      <c r="I626" s="25">
        <f t="array" ref="I626">INDEX(H$5:H$67,MATCH($B626,$B$5:$B$67,0))</f>
        <v>43.28</v>
      </c>
      <c r="J626" s="25">
        <f t="array" ref="J626">INDEX(I$5:I$67,MATCH($B626,$B$5:$B$67,0))</f>
        <v>960</v>
      </c>
      <c r="K626" s="25">
        <f t="array" ref="K626">INDEX(J$5:J$67,MATCH($B626,$B$5:$B$67,0))</f>
        <v>76.8</v>
      </c>
      <c r="L626" s="25">
        <f t="shared" si="575"/>
        <v>8659</v>
      </c>
      <c r="M626" s="25">
        <f t="shared" si="576"/>
        <v>1110</v>
      </c>
      <c r="N626" s="25">
        <f t="shared" si="577"/>
        <v>887</v>
      </c>
      <c r="O626" s="25">
        <f t="shared" si="578"/>
        <v>1574</v>
      </c>
      <c r="R626" s="50">
        <f t="array" ref="R626">INDEX($B$46:$B$68,MATCH(S626,$C$46:$C$68,0))*1000+T626</f>
        <v>1026008</v>
      </c>
      <c r="S626" s="51" t="s">
        <v>356</v>
      </c>
      <c r="T626" s="29">
        <f t="shared" si="583"/>
        <v>8</v>
      </c>
      <c r="U626" s="25">
        <f t="array" ref="U626">INDEX(K$5:K$67,MATCH($S626,$B$5:$B$67,0))</f>
        <v>261.73</v>
      </c>
      <c r="V626" s="25">
        <f t="array" ref="V626">INDEX(L$5:L$67,MATCH($S626,$B$5:$B$67,0))</f>
        <v>126.57</v>
      </c>
      <c r="W626" s="25">
        <f t="array" ref="W626">INDEX(M$5:M$67,MATCH($S626,$B$5:$B$67,0))</f>
        <v>98.3</v>
      </c>
      <c r="X626" s="25">
        <f t="array" ref="X626">INDEX(N$5:N$67,MATCH($S626,$B$5:$B$67,0))</f>
        <v>66.64</v>
      </c>
      <c r="Y626" s="25">
        <f t="shared" si="579"/>
        <v>2094</v>
      </c>
      <c r="Z626" s="25">
        <f t="shared" si="580"/>
        <v>1013</v>
      </c>
      <c r="AA626" s="25">
        <f t="shared" si="581"/>
        <v>786</v>
      </c>
      <c r="AB626" s="25">
        <f t="shared" si="582"/>
        <v>533</v>
      </c>
    </row>
    <row r="627" spans="1:28">
      <c r="A627" s="48">
        <v>1010009</v>
      </c>
      <c r="B627" s="49" t="s">
        <v>915</v>
      </c>
      <c r="C627" s="25">
        <f t="shared" si="574"/>
        <v>9</v>
      </c>
      <c r="D627" s="25">
        <f t="array" ref="D627">INDEX(C$5:C$67,MATCH($B627,$B$5:$B$67,0))</f>
        <v>5280</v>
      </c>
      <c r="E627" s="25">
        <f t="array" ref="E627">INDEX(D$5:D$67,MATCH($B627,$B$5:$B$67,0))</f>
        <v>422.4</v>
      </c>
      <c r="F627" s="25">
        <f t="array" ref="F627">INDEX(E$5:E$67,MATCH($B627,$B$5:$B$67,0))</f>
        <v>677</v>
      </c>
      <c r="G627" s="25">
        <f t="array" ref="G627">INDEX(F$5:F$67,MATCH($B627,$B$5:$B$67,0))</f>
        <v>54.16</v>
      </c>
      <c r="H627" s="25">
        <f t="array" ref="H627">INDEX(G$5:G$66,MATCH($B627,$B$5:$B$67,0))</f>
        <v>541</v>
      </c>
      <c r="I627" s="25">
        <f t="array" ref="I627">INDEX(H$5:H$67,MATCH($B627,$B$5:$B$67,0))</f>
        <v>43.28</v>
      </c>
      <c r="J627" s="25">
        <f t="array" ref="J627">INDEX(I$5:I$67,MATCH($B627,$B$5:$B$67,0))</f>
        <v>960</v>
      </c>
      <c r="K627" s="25">
        <f t="array" ref="K627">INDEX(J$5:J$67,MATCH($B627,$B$5:$B$67,0))</f>
        <v>76.8</v>
      </c>
      <c r="L627" s="25">
        <f t="shared" si="575"/>
        <v>9082</v>
      </c>
      <c r="M627" s="25">
        <f t="shared" si="576"/>
        <v>1164</v>
      </c>
      <c r="N627" s="25">
        <f t="shared" si="577"/>
        <v>931</v>
      </c>
      <c r="O627" s="25">
        <f t="shared" si="578"/>
        <v>1651</v>
      </c>
      <c r="R627" s="50">
        <f t="array" ref="R627">INDEX($B$46:$B$68,MATCH(S627,$C$46:$C$68,0))*1000+T627</f>
        <v>1026009</v>
      </c>
      <c r="S627" s="51" t="s">
        <v>356</v>
      </c>
      <c r="T627" s="29">
        <f t="shared" si="583"/>
        <v>9</v>
      </c>
      <c r="U627" s="25">
        <f t="array" ref="U627">INDEX(K$5:K$67,MATCH($S627,$B$5:$B$67,0))</f>
        <v>261.73</v>
      </c>
      <c r="V627" s="25">
        <f t="array" ref="V627">INDEX(L$5:L$67,MATCH($S627,$B$5:$B$67,0))</f>
        <v>126.57</v>
      </c>
      <c r="W627" s="25">
        <f t="array" ref="W627">INDEX(M$5:M$67,MATCH($S627,$B$5:$B$67,0))</f>
        <v>98.3</v>
      </c>
      <c r="X627" s="25">
        <f t="array" ref="X627">INDEX(N$5:N$67,MATCH($S627,$B$5:$B$67,0))</f>
        <v>66.64</v>
      </c>
      <c r="Y627" s="25">
        <f t="shared" si="579"/>
        <v>2356</v>
      </c>
      <c r="Z627" s="25">
        <f t="shared" si="580"/>
        <v>1139</v>
      </c>
      <c r="AA627" s="25">
        <f t="shared" si="581"/>
        <v>885</v>
      </c>
      <c r="AB627" s="25">
        <f t="shared" si="582"/>
        <v>600</v>
      </c>
    </row>
    <row r="628" spans="1:28">
      <c r="A628" s="48">
        <v>1010010</v>
      </c>
      <c r="B628" s="49" t="s">
        <v>915</v>
      </c>
      <c r="C628" s="25">
        <f t="shared" si="574"/>
        <v>10</v>
      </c>
      <c r="D628" s="25">
        <f t="array" ref="D628">INDEX(C$5:C$67,MATCH($B628,$B$5:$B$67,0))</f>
        <v>5280</v>
      </c>
      <c r="E628" s="25">
        <f t="array" ref="E628">INDEX(D$5:D$67,MATCH($B628,$B$5:$B$67,0))</f>
        <v>422.4</v>
      </c>
      <c r="F628" s="25">
        <f t="array" ref="F628">INDEX(E$5:E$67,MATCH($B628,$B$5:$B$67,0))</f>
        <v>677</v>
      </c>
      <c r="G628" s="25">
        <f t="array" ref="G628">INDEX(F$5:F$67,MATCH($B628,$B$5:$B$67,0))</f>
        <v>54.16</v>
      </c>
      <c r="H628" s="25">
        <f t="array" ref="H628">INDEX(G$5:G$66,MATCH($B628,$B$5:$B$67,0))</f>
        <v>541</v>
      </c>
      <c r="I628" s="25">
        <f t="array" ref="I628">INDEX(H$5:H$67,MATCH($B628,$B$5:$B$67,0))</f>
        <v>43.28</v>
      </c>
      <c r="J628" s="25">
        <f t="array" ref="J628">INDEX(I$5:I$67,MATCH($B628,$B$5:$B$67,0))</f>
        <v>960</v>
      </c>
      <c r="K628" s="25">
        <f t="array" ref="K628">INDEX(J$5:J$67,MATCH($B628,$B$5:$B$67,0))</f>
        <v>76.8</v>
      </c>
      <c r="L628" s="25">
        <f t="shared" si="575"/>
        <v>9504</v>
      </c>
      <c r="M628" s="25">
        <f t="shared" si="576"/>
        <v>1219</v>
      </c>
      <c r="N628" s="25">
        <f t="shared" si="577"/>
        <v>974</v>
      </c>
      <c r="O628" s="25">
        <f t="shared" si="578"/>
        <v>1728</v>
      </c>
      <c r="R628" s="50">
        <f t="array" ref="R628">INDEX($B$46:$B$68,MATCH(S628,$C$46:$C$68,0))*1000+T628</f>
        <v>1026010</v>
      </c>
      <c r="S628" s="51" t="s">
        <v>356</v>
      </c>
      <c r="T628" s="29">
        <f t="shared" si="583"/>
        <v>10</v>
      </c>
      <c r="U628" s="25">
        <f t="array" ref="U628">INDEX(K$5:K$67,MATCH($S628,$B$5:$B$67,0))</f>
        <v>261.73</v>
      </c>
      <c r="V628" s="25">
        <f t="array" ref="V628">INDEX(L$5:L$67,MATCH($S628,$B$5:$B$67,0))</f>
        <v>126.57</v>
      </c>
      <c r="W628" s="25">
        <f t="array" ref="W628">INDEX(M$5:M$67,MATCH($S628,$B$5:$B$67,0))</f>
        <v>98.3</v>
      </c>
      <c r="X628" s="25">
        <f t="array" ref="X628">INDEX(N$5:N$67,MATCH($S628,$B$5:$B$67,0))</f>
        <v>66.64</v>
      </c>
      <c r="Y628" s="25">
        <f t="shared" si="579"/>
        <v>2617</v>
      </c>
      <c r="Z628" s="25">
        <f t="shared" si="580"/>
        <v>1266</v>
      </c>
      <c r="AA628" s="25">
        <f t="shared" si="581"/>
        <v>983</v>
      </c>
      <c r="AB628" s="25">
        <f t="shared" si="582"/>
        <v>666</v>
      </c>
    </row>
    <row r="629" spans="1:28">
      <c r="A629" s="48">
        <v>1010011</v>
      </c>
      <c r="B629" s="49" t="s">
        <v>915</v>
      </c>
      <c r="C629" s="25">
        <f t="shared" si="574"/>
        <v>11</v>
      </c>
      <c r="D629" s="25">
        <f t="array" ref="D629">INDEX(C$5:C$67,MATCH($B629,$B$5:$B$67,0))</f>
        <v>5280</v>
      </c>
      <c r="E629" s="25">
        <f t="array" ref="E629">INDEX(D$5:D$67,MATCH($B629,$B$5:$B$67,0))</f>
        <v>422.4</v>
      </c>
      <c r="F629" s="25">
        <f t="array" ref="F629">INDEX(E$5:E$67,MATCH($B629,$B$5:$B$67,0))</f>
        <v>677</v>
      </c>
      <c r="G629" s="25">
        <f t="array" ref="G629">INDEX(F$5:F$67,MATCH($B629,$B$5:$B$67,0))</f>
        <v>54.16</v>
      </c>
      <c r="H629" s="25">
        <f t="array" ref="H629">INDEX(G$5:G$66,MATCH($B629,$B$5:$B$67,0))</f>
        <v>541</v>
      </c>
      <c r="I629" s="25">
        <f t="array" ref="I629">INDEX(H$5:H$67,MATCH($B629,$B$5:$B$67,0))</f>
        <v>43.28</v>
      </c>
      <c r="J629" s="25">
        <f t="array" ref="J629">INDEX(I$5:I$67,MATCH($B629,$B$5:$B$67,0))</f>
        <v>960</v>
      </c>
      <c r="K629" s="25">
        <f t="array" ref="K629">INDEX(J$5:J$67,MATCH($B629,$B$5:$B$67,0))</f>
        <v>76.8</v>
      </c>
      <c r="L629" s="25">
        <f t="shared" si="575"/>
        <v>9926</v>
      </c>
      <c r="M629" s="25">
        <f t="shared" si="576"/>
        <v>1273</v>
      </c>
      <c r="N629" s="25">
        <f t="shared" si="577"/>
        <v>1017</v>
      </c>
      <c r="O629" s="25">
        <f t="shared" si="578"/>
        <v>1805</v>
      </c>
      <c r="R629" s="50">
        <f t="array" ref="R629">INDEX($B$46:$B$68,MATCH(S629,$C$46:$C$68,0))*1000+T629</f>
        <v>1026011</v>
      </c>
      <c r="S629" s="51" t="s">
        <v>356</v>
      </c>
      <c r="T629" s="29">
        <f t="shared" si="583"/>
        <v>11</v>
      </c>
      <c r="U629" s="25">
        <f t="array" ref="U629">INDEX(K$5:K$67,MATCH($S629,$B$5:$B$67,0))</f>
        <v>261.73</v>
      </c>
      <c r="V629" s="25">
        <f t="array" ref="V629">INDEX(L$5:L$67,MATCH($S629,$B$5:$B$67,0))</f>
        <v>126.57</v>
      </c>
      <c r="W629" s="25">
        <f t="array" ref="W629">INDEX(M$5:M$67,MATCH($S629,$B$5:$B$67,0))</f>
        <v>98.3</v>
      </c>
      <c r="X629" s="25">
        <f t="array" ref="X629">INDEX(N$5:N$67,MATCH($S629,$B$5:$B$67,0))</f>
        <v>66.64</v>
      </c>
      <c r="Y629" s="25">
        <f t="shared" si="579"/>
        <v>2879</v>
      </c>
      <c r="Z629" s="25">
        <f t="shared" si="580"/>
        <v>1392</v>
      </c>
      <c r="AA629" s="25">
        <f t="shared" si="581"/>
        <v>1081</v>
      </c>
      <c r="AB629" s="25">
        <f t="shared" si="582"/>
        <v>733</v>
      </c>
    </row>
    <row r="630" spans="1:28">
      <c r="A630" s="48">
        <v>1010012</v>
      </c>
      <c r="B630" s="49" t="s">
        <v>915</v>
      </c>
      <c r="C630" s="25">
        <f t="shared" si="574"/>
        <v>12</v>
      </c>
      <c r="D630" s="25">
        <f t="array" ref="D630">INDEX(C$5:C$67,MATCH($B630,$B$5:$B$67,0))</f>
        <v>5280</v>
      </c>
      <c r="E630" s="25">
        <f t="array" ref="E630">INDEX(D$5:D$67,MATCH($B630,$B$5:$B$67,0))</f>
        <v>422.4</v>
      </c>
      <c r="F630" s="25">
        <f t="array" ref="F630">INDEX(E$5:E$67,MATCH($B630,$B$5:$B$67,0))</f>
        <v>677</v>
      </c>
      <c r="G630" s="25">
        <f t="array" ref="G630">INDEX(F$5:F$67,MATCH($B630,$B$5:$B$67,0))</f>
        <v>54.16</v>
      </c>
      <c r="H630" s="25">
        <f t="array" ref="H630">INDEX(G$5:G$66,MATCH($B630,$B$5:$B$67,0))</f>
        <v>541</v>
      </c>
      <c r="I630" s="25">
        <f t="array" ref="I630">INDEX(H$5:H$67,MATCH($B630,$B$5:$B$67,0))</f>
        <v>43.28</v>
      </c>
      <c r="J630" s="25">
        <f t="array" ref="J630">INDEX(I$5:I$67,MATCH($B630,$B$5:$B$67,0))</f>
        <v>960</v>
      </c>
      <c r="K630" s="25">
        <f t="array" ref="K630">INDEX(J$5:J$67,MATCH($B630,$B$5:$B$67,0))</f>
        <v>76.8</v>
      </c>
      <c r="L630" s="25">
        <f t="shared" si="575"/>
        <v>10349</v>
      </c>
      <c r="M630" s="25">
        <f t="shared" si="576"/>
        <v>1327</v>
      </c>
      <c r="N630" s="25">
        <f t="shared" si="577"/>
        <v>1060</v>
      </c>
      <c r="O630" s="25">
        <f t="shared" si="578"/>
        <v>1882</v>
      </c>
      <c r="R630" s="50">
        <f t="array" ref="R630">INDEX($B$46:$B$68,MATCH(S630,$C$46:$C$68,0))*1000+T630</f>
        <v>1026012</v>
      </c>
      <c r="S630" s="51" t="s">
        <v>356</v>
      </c>
      <c r="T630" s="29">
        <f t="shared" si="583"/>
        <v>12</v>
      </c>
      <c r="U630" s="25">
        <f t="array" ref="U630">INDEX(K$5:K$67,MATCH($S630,$B$5:$B$67,0))</f>
        <v>261.73</v>
      </c>
      <c r="V630" s="25">
        <f t="array" ref="V630">INDEX(L$5:L$67,MATCH($S630,$B$5:$B$67,0))</f>
        <v>126.57</v>
      </c>
      <c r="W630" s="25">
        <f t="array" ref="W630">INDEX(M$5:M$67,MATCH($S630,$B$5:$B$67,0))</f>
        <v>98.3</v>
      </c>
      <c r="X630" s="25">
        <f t="array" ref="X630">INDEX(N$5:N$67,MATCH($S630,$B$5:$B$67,0))</f>
        <v>66.64</v>
      </c>
      <c r="Y630" s="25">
        <f t="shared" si="579"/>
        <v>3141</v>
      </c>
      <c r="Z630" s="25">
        <f t="shared" si="580"/>
        <v>1519</v>
      </c>
      <c r="AA630" s="25">
        <f t="shared" si="581"/>
        <v>1180</v>
      </c>
      <c r="AB630" s="25">
        <f t="shared" si="582"/>
        <v>800</v>
      </c>
    </row>
    <row r="631" spans="1:28">
      <c r="A631" s="48">
        <v>1010013</v>
      </c>
      <c r="B631" s="49" t="s">
        <v>915</v>
      </c>
      <c r="C631" s="25">
        <f t="shared" si="574"/>
        <v>13</v>
      </c>
      <c r="D631" s="25">
        <f t="array" ref="D631">INDEX(C$5:C$67,MATCH($B631,$B$5:$B$67,0))</f>
        <v>5280</v>
      </c>
      <c r="E631" s="25">
        <f t="array" ref="E631">INDEX(D$5:D$67,MATCH($B631,$B$5:$B$67,0))</f>
        <v>422.4</v>
      </c>
      <c r="F631" s="25">
        <f t="array" ref="F631">INDEX(E$5:E$67,MATCH($B631,$B$5:$B$67,0))</f>
        <v>677</v>
      </c>
      <c r="G631" s="25">
        <f t="array" ref="G631">INDEX(F$5:F$67,MATCH($B631,$B$5:$B$67,0))</f>
        <v>54.16</v>
      </c>
      <c r="H631" s="25">
        <f t="array" ref="H631">INDEX(G$5:G$66,MATCH($B631,$B$5:$B$67,0))</f>
        <v>541</v>
      </c>
      <c r="I631" s="25">
        <f t="array" ref="I631">INDEX(H$5:H$67,MATCH($B631,$B$5:$B$67,0))</f>
        <v>43.28</v>
      </c>
      <c r="J631" s="25">
        <f t="array" ref="J631">INDEX(I$5:I$67,MATCH($B631,$B$5:$B$67,0))</f>
        <v>960</v>
      </c>
      <c r="K631" s="25">
        <f t="array" ref="K631">INDEX(J$5:J$67,MATCH($B631,$B$5:$B$67,0))</f>
        <v>76.8</v>
      </c>
      <c r="L631" s="25">
        <f t="shared" si="575"/>
        <v>10771</v>
      </c>
      <c r="M631" s="25">
        <f t="shared" si="576"/>
        <v>1381</v>
      </c>
      <c r="N631" s="25">
        <f t="shared" si="577"/>
        <v>1104</v>
      </c>
      <c r="O631" s="25">
        <f t="shared" si="578"/>
        <v>1958</v>
      </c>
      <c r="R631" s="50">
        <f t="array" ref="R631">INDEX($B$46:$B$68,MATCH(S631,$C$46:$C$68,0))*1000+T631</f>
        <v>1026013</v>
      </c>
      <c r="S631" s="51" t="s">
        <v>356</v>
      </c>
      <c r="T631" s="29">
        <f t="shared" si="583"/>
        <v>13</v>
      </c>
      <c r="U631" s="25">
        <f t="array" ref="U631">INDEX(K$5:K$67,MATCH($S631,$B$5:$B$67,0))</f>
        <v>261.73</v>
      </c>
      <c r="V631" s="25">
        <f t="array" ref="V631">INDEX(L$5:L$67,MATCH($S631,$B$5:$B$67,0))</f>
        <v>126.57</v>
      </c>
      <c r="W631" s="25">
        <f t="array" ref="W631">INDEX(M$5:M$67,MATCH($S631,$B$5:$B$67,0))</f>
        <v>98.3</v>
      </c>
      <c r="X631" s="25">
        <f t="array" ref="X631">INDEX(N$5:N$67,MATCH($S631,$B$5:$B$67,0))</f>
        <v>66.64</v>
      </c>
      <c r="Y631" s="25">
        <f t="shared" si="579"/>
        <v>3402</v>
      </c>
      <c r="Z631" s="25">
        <f t="shared" si="580"/>
        <v>1645</v>
      </c>
      <c r="AA631" s="25">
        <f t="shared" si="581"/>
        <v>1278</v>
      </c>
      <c r="AB631" s="25">
        <f t="shared" si="582"/>
        <v>866</v>
      </c>
    </row>
    <row r="632" spans="1:28">
      <c r="A632" s="48">
        <v>1010014</v>
      </c>
      <c r="B632" s="49" t="s">
        <v>915</v>
      </c>
      <c r="C632" s="25">
        <f t="shared" si="574"/>
        <v>14</v>
      </c>
      <c r="D632" s="25">
        <f t="array" ref="D632">INDEX(C$5:C$67,MATCH($B632,$B$5:$B$67,0))</f>
        <v>5280</v>
      </c>
      <c r="E632" s="25">
        <f t="array" ref="E632">INDEX(D$5:D$67,MATCH($B632,$B$5:$B$67,0))</f>
        <v>422.4</v>
      </c>
      <c r="F632" s="25">
        <f t="array" ref="F632">INDEX(E$5:E$67,MATCH($B632,$B$5:$B$67,0))</f>
        <v>677</v>
      </c>
      <c r="G632" s="25">
        <f t="array" ref="G632">INDEX(F$5:F$67,MATCH($B632,$B$5:$B$67,0))</f>
        <v>54.16</v>
      </c>
      <c r="H632" s="25">
        <f t="array" ref="H632">INDEX(G$5:G$66,MATCH($B632,$B$5:$B$67,0))</f>
        <v>541</v>
      </c>
      <c r="I632" s="25">
        <f t="array" ref="I632">INDEX(H$5:H$67,MATCH($B632,$B$5:$B$67,0))</f>
        <v>43.28</v>
      </c>
      <c r="J632" s="25">
        <f t="array" ref="J632">INDEX(I$5:I$67,MATCH($B632,$B$5:$B$67,0))</f>
        <v>960</v>
      </c>
      <c r="K632" s="25">
        <f t="array" ref="K632">INDEX(J$5:J$67,MATCH($B632,$B$5:$B$67,0))</f>
        <v>76.8</v>
      </c>
      <c r="L632" s="25">
        <f t="shared" si="575"/>
        <v>11194</v>
      </c>
      <c r="M632" s="25">
        <f t="shared" si="576"/>
        <v>1435</v>
      </c>
      <c r="N632" s="25">
        <f t="shared" si="577"/>
        <v>1147</v>
      </c>
      <c r="O632" s="25">
        <f t="shared" si="578"/>
        <v>2035</v>
      </c>
      <c r="R632" s="50">
        <f t="array" ref="R632">INDEX($B$46:$B$68,MATCH(S632,$C$46:$C$68,0))*1000+T632</f>
        <v>1026014</v>
      </c>
      <c r="S632" s="51" t="s">
        <v>356</v>
      </c>
      <c r="T632" s="29">
        <f t="shared" si="583"/>
        <v>14</v>
      </c>
      <c r="U632" s="25">
        <f t="array" ref="U632">INDEX(K$5:K$67,MATCH($S632,$B$5:$B$67,0))</f>
        <v>261.73</v>
      </c>
      <c r="V632" s="25">
        <f t="array" ref="V632">INDEX(L$5:L$67,MATCH($S632,$B$5:$B$67,0))</f>
        <v>126.57</v>
      </c>
      <c r="W632" s="25">
        <f t="array" ref="W632">INDEX(M$5:M$67,MATCH($S632,$B$5:$B$67,0))</f>
        <v>98.3</v>
      </c>
      <c r="X632" s="25">
        <f t="array" ref="X632">INDEX(N$5:N$67,MATCH($S632,$B$5:$B$67,0))</f>
        <v>66.64</v>
      </c>
      <c r="Y632" s="25">
        <f t="shared" si="579"/>
        <v>3664</v>
      </c>
      <c r="Z632" s="25">
        <f t="shared" si="580"/>
        <v>1772</v>
      </c>
      <c r="AA632" s="25">
        <f t="shared" si="581"/>
        <v>1376</v>
      </c>
      <c r="AB632" s="25">
        <f t="shared" si="582"/>
        <v>933</v>
      </c>
    </row>
    <row r="633" spans="1:28">
      <c r="A633" s="48">
        <v>1010015</v>
      </c>
      <c r="B633" s="49" t="s">
        <v>915</v>
      </c>
      <c r="C633" s="25">
        <f t="shared" si="574"/>
        <v>15</v>
      </c>
      <c r="D633" s="25">
        <f t="array" ref="D633">INDEX(C$5:C$67,MATCH($B633,$B$5:$B$67,0))</f>
        <v>5280</v>
      </c>
      <c r="E633" s="25">
        <f t="array" ref="E633">INDEX(D$5:D$67,MATCH($B633,$B$5:$B$67,0))</f>
        <v>422.4</v>
      </c>
      <c r="F633" s="25">
        <f t="array" ref="F633">INDEX(E$5:E$67,MATCH($B633,$B$5:$B$67,0))</f>
        <v>677</v>
      </c>
      <c r="G633" s="25">
        <f t="array" ref="G633">INDEX(F$5:F$67,MATCH($B633,$B$5:$B$67,0))</f>
        <v>54.16</v>
      </c>
      <c r="H633" s="25">
        <f t="array" ref="H633">INDEX(G$5:G$66,MATCH($B633,$B$5:$B$67,0))</f>
        <v>541</v>
      </c>
      <c r="I633" s="25">
        <f t="array" ref="I633">INDEX(H$5:H$67,MATCH($B633,$B$5:$B$67,0))</f>
        <v>43.28</v>
      </c>
      <c r="J633" s="25">
        <f t="array" ref="J633">INDEX(I$5:I$67,MATCH($B633,$B$5:$B$67,0))</f>
        <v>960</v>
      </c>
      <c r="K633" s="25">
        <f t="array" ref="K633">INDEX(J$5:J$67,MATCH($B633,$B$5:$B$67,0))</f>
        <v>76.8</v>
      </c>
      <c r="L633" s="25">
        <f t="shared" si="575"/>
        <v>11616</v>
      </c>
      <c r="M633" s="25">
        <f t="shared" si="576"/>
        <v>1489</v>
      </c>
      <c r="N633" s="25">
        <f t="shared" si="577"/>
        <v>1190</v>
      </c>
      <c r="O633" s="25">
        <f t="shared" si="578"/>
        <v>2112</v>
      </c>
      <c r="R633" s="50">
        <f t="array" ref="R633">INDEX($B$46:$B$68,MATCH(S633,$C$46:$C$68,0))*1000+T633</f>
        <v>1026015</v>
      </c>
      <c r="S633" s="51" t="s">
        <v>356</v>
      </c>
      <c r="T633" s="29">
        <f t="shared" si="583"/>
        <v>15</v>
      </c>
      <c r="U633" s="25">
        <f t="array" ref="U633">INDEX(K$5:K$67,MATCH($S633,$B$5:$B$67,0))</f>
        <v>261.73</v>
      </c>
      <c r="V633" s="25">
        <f t="array" ref="V633">INDEX(L$5:L$67,MATCH($S633,$B$5:$B$67,0))</f>
        <v>126.57</v>
      </c>
      <c r="W633" s="25">
        <f t="array" ref="W633">INDEX(M$5:M$67,MATCH($S633,$B$5:$B$67,0))</f>
        <v>98.3</v>
      </c>
      <c r="X633" s="25">
        <f t="array" ref="X633">INDEX(N$5:N$67,MATCH($S633,$B$5:$B$67,0))</f>
        <v>66.64</v>
      </c>
      <c r="Y633" s="25">
        <f t="shared" si="579"/>
        <v>3926</v>
      </c>
      <c r="Z633" s="25">
        <f t="shared" si="580"/>
        <v>1899</v>
      </c>
      <c r="AA633" s="25">
        <f t="shared" si="581"/>
        <v>1475</v>
      </c>
      <c r="AB633" s="25">
        <f t="shared" si="582"/>
        <v>1000</v>
      </c>
    </row>
    <row r="634" spans="1:28">
      <c r="A634" s="48">
        <v>1010016</v>
      </c>
      <c r="B634" s="49" t="s">
        <v>915</v>
      </c>
      <c r="C634" s="25">
        <f t="shared" si="574"/>
        <v>16</v>
      </c>
      <c r="D634" s="25">
        <f t="array" ref="D634">INDEX(C$5:C$67,MATCH($B634,$B$5:$B$67,0))</f>
        <v>5280</v>
      </c>
      <c r="E634" s="25">
        <f t="array" ref="E634">INDEX(D$5:D$67,MATCH($B634,$B$5:$B$67,0))</f>
        <v>422.4</v>
      </c>
      <c r="F634" s="25">
        <f t="array" ref="F634">INDEX(E$5:E$67,MATCH($B634,$B$5:$B$67,0))</f>
        <v>677</v>
      </c>
      <c r="G634" s="25">
        <f t="array" ref="G634">INDEX(F$5:F$67,MATCH($B634,$B$5:$B$67,0))</f>
        <v>54.16</v>
      </c>
      <c r="H634" s="25">
        <f t="array" ref="H634">INDEX(G$5:G$66,MATCH($B634,$B$5:$B$67,0))</f>
        <v>541</v>
      </c>
      <c r="I634" s="25">
        <f t="array" ref="I634">INDEX(H$5:H$67,MATCH($B634,$B$5:$B$67,0))</f>
        <v>43.28</v>
      </c>
      <c r="J634" s="25">
        <f t="array" ref="J634">INDEX(I$5:I$67,MATCH($B634,$B$5:$B$67,0))</f>
        <v>960</v>
      </c>
      <c r="K634" s="25">
        <f t="array" ref="K634">INDEX(J$5:J$67,MATCH($B634,$B$5:$B$67,0))</f>
        <v>76.8</v>
      </c>
      <c r="L634" s="25">
        <f t="shared" si="575"/>
        <v>12038</v>
      </c>
      <c r="M634" s="25">
        <f t="shared" si="576"/>
        <v>1544</v>
      </c>
      <c r="N634" s="25">
        <f t="shared" si="577"/>
        <v>1233</v>
      </c>
      <c r="O634" s="25">
        <f t="shared" si="578"/>
        <v>2189</v>
      </c>
      <c r="R634" s="50">
        <f t="array" ref="R634">INDEX($B$46:$B$68,MATCH(S634,$C$46:$C$68,0))*1000+T634</f>
        <v>1026016</v>
      </c>
      <c r="S634" s="51" t="s">
        <v>356</v>
      </c>
      <c r="T634" s="29">
        <f t="shared" si="583"/>
        <v>16</v>
      </c>
      <c r="U634" s="25">
        <f t="array" ref="U634">INDEX(K$5:K$67,MATCH($S634,$B$5:$B$67,0))</f>
        <v>261.73</v>
      </c>
      <c r="V634" s="25">
        <f t="array" ref="V634">INDEX(L$5:L$67,MATCH($S634,$B$5:$B$67,0))</f>
        <v>126.57</v>
      </c>
      <c r="W634" s="25">
        <f t="array" ref="W634">INDEX(M$5:M$67,MATCH($S634,$B$5:$B$67,0))</f>
        <v>98.3</v>
      </c>
      <c r="X634" s="25">
        <f t="array" ref="X634">INDEX(N$5:N$67,MATCH($S634,$B$5:$B$67,0))</f>
        <v>66.64</v>
      </c>
      <c r="Y634" s="25">
        <f t="shared" si="579"/>
        <v>4188</v>
      </c>
      <c r="Z634" s="25">
        <f t="shared" si="580"/>
        <v>2025</v>
      </c>
      <c r="AA634" s="25">
        <f t="shared" si="581"/>
        <v>1573</v>
      </c>
      <c r="AB634" s="25">
        <f t="shared" si="582"/>
        <v>1066</v>
      </c>
    </row>
    <row r="635" spans="1:28">
      <c r="A635" s="48">
        <v>1010017</v>
      </c>
      <c r="B635" s="49" t="s">
        <v>915</v>
      </c>
      <c r="C635" s="25">
        <f t="shared" si="574"/>
        <v>17</v>
      </c>
      <c r="D635" s="25">
        <f t="array" ref="D635">INDEX(C$5:C$67,MATCH($B635,$B$5:$B$67,0))</f>
        <v>5280</v>
      </c>
      <c r="E635" s="25">
        <f t="array" ref="E635">INDEX(D$5:D$67,MATCH($B635,$B$5:$B$67,0))</f>
        <v>422.4</v>
      </c>
      <c r="F635" s="25">
        <f t="array" ref="F635">INDEX(E$5:E$67,MATCH($B635,$B$5:$B$67,0))</f>
        <v>677</v>
      </c>
      <c r="G635" s="25">
        <f t="array" ref="G635">INDEX(F$5:F$67,MATCH($B635,$B$5:$B$67,0))</f>
        <v>54.16</v>
      </c>
      <c r="H635" s="25">
        <f t="array" ref="H635">INDEX(G$5:G$66,MATCH($B635,$B$5:$B$67,0))</f>
        <v>541</v>
      </c>
      <c r="I635" s="25">
        <f t="array" ref="I635">INDEX(H$5:H$67,MATCH($B635,$B$5:$B$67,0))</f>
        <v>43.28</v>
      </c>
      <c r="J635" s="25">
        <f t="array" ref="J635">INDEX(I$5:I$67,MATCH($B635,$B$5:$B$67,0))</f>
        <v>960</v>
      </c>
      <c r="K635" s="25">
        <f t="array" ref="K635">INDEX(J$5:J$67,MATCH($B635,$B$5:$B$67,0))</f>
        <v>76.8</v>
      </c>
      <c r="L635" s="25">
        <f t="shared" si="575"/>
        <v>12461</v>
      </c>
      <c r="M635" s="25">
        <f t="shared" si="576"/>
        <v>1598</v>
      </c>
      <c r="N635" s="25">
        <f t="shared" si="577"/>
        <v>1277</v>
      </c>
      <c r="O635" s="25">
        <f t="shared" si="578"/>
        <v>2266</v>
      </c>
      <c r="R635" s="50">
        <f t="array" ref="R635">INDEX($B$46:$B$68,MATCH(S635,$C$46:$C$68,0))*1000+T635</f>
        <v>1026017</v>
      </c>
      <c r="S635" s="51" t="s">
        <v>356</v>
      </c>
      <c r="T635" s="29">
        <f t="shared" si="583"/>
        <v>17</v>
      </c>
      <c r="U635" s="25">
        <f t="array" ref="U635">INDEX(K$5:K$67,MATCH($S635,$B$5:$B$67,0))</f>
        <v>261.73</v>
      </c>
      <c r="V635" s="25">
        <f t="array" ref="V635">INDEX(L$5:L$67,MATCH($S635,$B$5:$B$67,0))</f>
        <v>126.57</v>
      </c>
      <c r="W635" s="25">
        <f t="array" ref="W635">INDEX(M$5:M$67,MATCH($S635,$B$5:$B$67,0))</f>
        <v>98.3</v>
      </c>
      <c r="X635" s="25">
        <f t="array" ref="X635">INDEX(N$5:N$67,MATCH($S635,$B$5:$B$67,0))</f>
        <v>66.64</v>
      </c>
      <c r="Y635" s="25">
        <f t="shared" si="579"/>
        <v>4449</v>
      </c>
      <c r="Z635" s="25">
        <f t="shared" si="580"/>
        <v>2152</v>
      </c>
      <c r="AA635" s="25">
        <f t="shared" si="581"/>
        <v>1671</v>
      </c>
      <c r="AB635" s="25">
        <f t="shared" si="582"/>
        <v>1133</v>
      </c>
    </row>
    <row r="636" spans="1:28">
      <c r="A636" s="48">
        <v>1010018</v>
      </c>
      <c r="B636" s="49" t="s">
        <v>915</v>
      </c>
      <c r="C636" s="25">
        <f t="shared" si="574"/>
        <v>18</v>
      </c>
      <c r="D636" s="25">
        <f t="array" ref="D636">INDEX(C$5:C$67,MATCH($B636,$B$5:$B$67,0))</f>
        <v>5280</v>
      </c>
      <c r="E636" s="25">
        <f t="array" ref="E636">INDEX(D$5:D$67,MATCH($B636,$B$5:$B$67,0))</f>
        <v>422.4</v>
      </c>
      <c r="F636" s="25">
        <f t="array" ref="F636">INDEX(E$5:E$67,MATCH($B636,$B$5:$B$67,0))</f>
        <v>677</v>
      </c>
      <c r="G636" s="25">
        <f t="array" ref="G636">INDEX(F$5:F$67,MATCH($B636,$B$5:$B$67,0))</f>
        <v>54.16</v>
      </c>
      <c r="H636" s="25">
        <f t="array" ref="H636">INDEX(G$5:G$66,MATCH($B636,$B$5:$B$67,0))</f>
        <v>541</v>
      </c>
      <c r="I636" s="25">
        <f t="array" ref="I636">INDEX(H$5:H$67,MATCH($B636,$B$5:$B$67,0))</f>
        <v>43.28</v>
      </c>
      <c r="J636" s="25">
        <f t="array" ref="J636">INDEX(I$5:I$67,MATCH($B636,$B$5:$B$67,0))</f>
        <v>960</v>
      </c>
      <c r="K636" s="25">
        <f t="array" ref="K636">INDEX(J$5:J$67,MATCH($B636,$B$5:$B$67,0))</f>
        <v>76.8</v>
      </c>
      <c r="L636" s="25">
        <f t="shared" si="575"/>
        <v>12883</v>
      </c>
      <c r="M636" s="25">
        <f t="shared" si="576"/>
        <v>1652</v>
      </c>
      <c r="N636" s="25">
        <f t="shared" si="577"/>
        <v>1320</v>
      </c>
      <c r="O636" s="25">
        <f t="shared" si="578"/>
        <v>2342</v>
      </c>
      <c r="R636" s="50">
        <f t="array" ref="R636">INDEX($B$46:$B$68,MATCH(S636,$C$46:$C$68,0))*1000+T636</f>
        <v>1026018</v>
      </c>
      <c r="S636" s="51" t="s">
        <v>356</v>
      </c>
      <c r="T636" s="29">
        <f t="shared" si="583"/>
        <v>18</v>
      </c>
      <c r="U636" s="25">
        <f t="array" ref="U636">INDEX(K$5:K$67,MATCH($S636,$B$5:$B$67,0))</f>
        <v>261.73</v>
      </c>
      <c r="V636" s="25">
        <f t="array" ref="V636">INDEX(L$5:L$67,MATCH($S636,$B$5:$B$67,0))</f>
        <v>126.57</v>
      </c>
      <c r="W636" s="25">
        <f t="array" ref="W636">INDEX(M$5:M$67,MATCH($S636,$B$5:$B$67,0))</f>
        <v>98.3</v>
      </c>
      <c r="X636" s="25">
        <f t="array" ref="X636">INDEX(N$5:N$67,MATCH($S636,$B$5:$B$67,0))</f>
        <v>66.64</v>
      </c>
      <c r="Y636" s="25">
        <f t="shared" si="579"/>
        <v>4711</v>
      </c>
      <c r="Z636" s="25">
        <f t="shared" si="580"/>
        <v>2278</v>
      </c>
      <c r="AA636" s="25">
        <f t="shared" si="581"/>
        <v>1769</v>
      </c>
      <c r="AB636" s="25">
        <f t="shared" si="582"/>
        <v>1200</v>
      </c>
    </row>
    <row r="637" spans="1:28">
      <c r="A637" s="48">
        <v>1010019</v>
      </c>
      <c r="B637" s="49" t="s">
        <v>915</v>
      </c>
      <c r="C637" s="25">
        <f t="shared" si="574"/>
        <v>19</v>
      </c>
      <c r="D637" s="25">
        <f t="array" ref="D637">INDEX(C$5:C$67,MATCH($B637,$B$5:$B$67,0))</f>
        <v>5280</v>
      </c>
      <c r="E637" s="25">
        <f t="array" ref="E637">INDEX(D$5:D$67,MATCH($B637,$B$5:$B$67,0))</f>
        <v>422.4</v>
      </c>
      <c r="F637" s="25">
        <f t="array" ref="F637">INDEX(E$5:E$67,MATCH($B637,$B$5:$B$67,0))</f>
        <v>677</v>
      </c>
      <c r="G637" s="25">
        <f t="array" ref="G637">INDEX(F$5:F$67,MATCH($B637,$B$5:$B$67,0))</f>
        <v>54.16</v>
      </c>
      <c r="H637" s="25">
        <f t="array" ref="H637">INDEX(G$5:G$66,MATCH($B637,$B$5:$B$67,0))</f>
        <v>541</v>
      </c>
      <c r="I637" s="25">
        <f t="array" ref="I637">INDEX(H$5:H$67,MATCH($B637,$B$5:$B$67,0))</f>
        <v>43.28</v>
      </c>
      <c r="J637" s="25">
        <f t="array" ref="J637">INDEX(I$5:I$67,MATCH($B637,$B$5:$B$67,0))</f>
        <v>960</v>
      </c>
      <c r="K637" s="25">
        <f t="array" ref="K637">INDEX(J$5:J$67,MATCH($B637,$B$5:$B$67,0))</f>
        <v>76.8</v>
      </c>
      <c r="L637" s="25">
        <f t="shared" si="575"/>
        <v>13306</v>
      </c>
      <c r="M637" s="25">
        <f t="shared" si="576"/>
        <v>1706</v>
      </c>
      <c r="N637" s="25">
        <f t="shared" si="577"/>
        <v>1363</v>
      </c>
      <c r="O637" s="25">
        <f t="shared" si="578"/>
        <v>2419</v>
      </c>
      <c r="R637" s="50">
        <f t="array" ref="R637">INDEX($B$46:$B$68,MATCH(S637,$C$46:$C$68,0))*1000+T637</f>
        <v>1026019</v>
      </c>
      <c r="S637" s="51" t="s">
        <v>356</v>
      </c>
      <c r="T637" s="29">
        <f t="shared" si="583"/>
        <v>19</v>
      </c>
      <c r="U637" s="25">
        <f t="array" ref="U637">INDEX(K$5:K$67,MATCH($S637,$B$5:$B$67,0))</f>
        <v>261.73</v>
      </c>
      <c r="V637" s="25">
        <f t="array" ref="V637">INDEX(L$5:L$67,MATCH($S637,$B$5:$B$67,0))</f>
        <v>126.57</v>
      </c>
      <c r="W637" s="25">
        <f t="array" ref="W637">INDEX(M$5:M$67,MATCH($S637,$B$5:$B$67,0))</f>
        <v>98.3</v>
      </c>
      <c r="X637" s="25">
        <f t="array" ref="X637">INDEX(N$5:N$67,MATCH($S637,$B$5:$B$67,0))</f>
        <v>66.64</v>
      </c>
      <c r="Y637" s="25">
        <f t="shared" si="579"/>
        <v>4973</v>
      </c>
      <c r="Z637" s="25">
        <f t="shared" si="580"/>
        <v>2405</v>
      </c>
      <c r="AA637" s="25">
        <f t="shared" si="581"/>
        <v>1868</v>
      </c>
      <c r="AB637" s="25">
        <f t="shared" si="582"/>
        <v>1266</v>
      </c>
    </row>
    <row r="638" spans="1:28">
      <c r="A638" s="48">
        <v>1010020</v>
      </c>
      <c r="B638" s="49" t="s">
        <v>915</v>
      </c>
      <c r="C638" s="25">
        <f t="shared" si="574"/>
        <v>20</v>
      </c>
      <c r="D638" s="25">
        <f t="array" ref="D638">INDEX(C$5:C$67,MATCH($B638,$B$5:$B$67,0))</f>
        <v>5280</v>
      </c>
      <c r="E638" s="25">
        <f t="array" ref="E638">INDEX(D$5:D$67,MATCH($B638,$B$5:$B$67,0))</f>
        <v>422.4</v>
      </c>
      <c r="F638" s="25">
        <f t="array" ref="F638">INDEX(E$5:E$67,MATCH($B638,$B$5:$B$67,0))</f>
        <v>677</v>
      </c>
      <c r="G638" s="25">
        <f t="array" ref="G638">INDEX(F$5:F$67,MATCH($B638,$B$5:$B$67,0))</f>
        <v>54.16</v>
      </c>
      <c r="H638" s="25">
        <f t="array" ref="H638">INDEX(G$5:G$66,MATCH($B638,$B$5:$B$67,0))</f>
        <v>541</v>
      </c>
      <c r="I638" s="25">
        <f t="array" ref="I638">INDEX(H$5:H$67,MATCH($B638,$B$5:$B$67,0))</f>
        <v>43.28</v>
      </c>
      <c r="J638" s="25">
        <f t="array" ref="J638">INDEX(I$5:I$67,MATCH($B638,$B$5:$B$67,0))</f>
        <v>960</v>
      </c>
      <c r="K638" s="25">
        <f t="array" ref="K638">INDEX(J$5:J$67,MATCH($B638,$B$5:$B$67,0))</f>
        <v>76.8</v>
      </c>
      <c r="L638" s="25">
        <f t="shared" si="575"/>
        <v>13728</v>
      </c>
      <c r="M638" s="25">
        <f t="shared" si="576"/>
        <v>1760</v>
      </c>
      <c r="N638" s="25">
        <f t="shared" si="577"/>
        <v>1407</v>
      </c>
      <c r="O638" s="25">
        <f t="shared" si="578"/>
        <v>2496</v>
      </c>
      <c r="R638" s="50">
        <f t="array" ref="R638">INDEX($B$46:$B$68,MATCH(S638,$C$46:$C$68,0))*1000+T638</f>
        <v>1026020</v>
      </c>
      <c r="S638" s="51" t="s">
        <v>356</v>
      </c>
      <c r="T638" s="29">
        <f t="shared" si="583"/>
        <v>20</v>
      </c>
      <c r="U638" s="25">
        <f t="array" ref="U638">INDEX(K$5:K$67,MATCH($S638,$B$5:$B$67,0))</f>
        <v>261.73</v>
      </c>
      <c r="V638" s="25">
        <f t="array" ref="V638">INDEX(L$5:L$67,MATCH($S638,$B$5:$B$67,0))</f>
        <v>126.57</v>
      </c>
      <c r="W638" s="25">
        <f t="array" ref="W638">INDEX(M$5:M$67,MATCH($S638,$B$5:$B$67,0))</f>
        <v>98.3</v>
      </c>
      <c r="X638" s="25">
        <f t="array" ref="X638">INDEX(N$5:N$67,MATCH($S638,$B$5:$B$67,0))</f>
        <v>66.64</v>
      </c>
      <c r="Y638" s="25">
        <f t="shared" si="579"/>
        <v>5235</v>
      </c>
      <c r="Z638" s="25">
        <f t="shared" si="580"/>
        <v>2531</v>
      </c>
      <c r="AA638" s="25">
        <f t="shared" si="581"/>
        <v>1966</v>
      </c>
      <c r="AB638" s="25">
        <f t="shared" si="582"/>
        <v>1333</v>
      </c>
    </row>
    <row r="639" spans="1:28">
      <c r="A639" s="48">
        <v>1010021</v>
      </c>
      <c r="B639" s="49" t="s">
        <v>915</v>
      </c>
      <c r="C639" s="25">
        <f t="shared" si="574"/>
        <v>21</v>
      </c>
      <c r="D639" s="25">
        <f t="array" ref="D639">INDEX(C$5:C$67,MATCH($B639,$B$5:$B$67,0))</f>
        <v>5280</v>
      </c>
      <c r="E639" s="25">
        <f t="array" ref="E639">INDEX(D$5:D$67,MATCH($B639,$B$5:$B$67,0))</f>
        <v>422.4</v>
      </c>
      <c r="F639" s="25">
        <f t="array" ref="F639">INDEX(E$5:E$67,MATCH($B639,$B$5:$B$67,0))</f>
        <v>677</v>
      </c>
      <c r="G639" s="25">
        <f t="array" ref="G639">INDEX(F$5:F$67,MATCH($B639,$B$5:$B$67,0))</f>
        <v>54.16</v>
      </c>
      <c r="H639" s="25">
        <f t="array" ref="H639">INDEX(G$5:G$66,MATCH($B639,$B$5:$B$67,0))</f>
        <v>541</v>
      </c>
      <c r="I639" s="25">
        <f t="array" ref="I639">INDEX(H$5:H$67,MATCH($B639,$B$5:$B$67,0))</f>
        <v>43.28</v>
      </c>
      <c r="J639" s="25">
        <f t="array" ref="J639">INDEX(I$5:I$67,MATCH($B639,$B$5:$B$67,0))</f>
        <v>960</v>
      </c>
      <c r="K639" s="25">
        <f t="array" ref="K639">INDEX(J$5:J$67,MATCH($B639,$B$5:$B$67,0))</f>
        <v>76.8</v>
      </c>
      <c r="L639" s="25">
        <f t="shared" si="575"/>
        <v>14150</v>
      </c>
      <c r="M639" s="25">
        <f t="shared" si="576"/>
        <v>1814</v>
      </c>
      <c r="N639" s="25">
        <f t="shared" si="577"/>
        <v>1450</v>
      </c>
      <c r="O639" s="25">
        <f t="shared" si="578"/>
        <v>2573</v>
      </c>
      <c r="R639" s="50">
        <f t="array" ref="R639">INDEX($B$46:$B$68,MATCH(S639,$C$46:$C$68,0))*1000+T639</f>
        <v>1026021</v>
      </c>
      <c r="S639" s="51" t="s">
        <v>356</v>
      </c>
      <c r="T639" s="29">
        <f t="shared" si="583"/>
        <v>21</v>
      </c>
      <c r="U639" s="25">
        <f t="array" ref="U639">INDEX(K$5:K$67,MATCH($S639,$B$5:$B$67,0))</f>
        <v>261.73</v>
      </c>
      <c r="V639" s="25">
        <f t="array" ref="V639">INDEX(L$5:L$67,MATCH($S639,$B$5:$B$67,0))</f>
        <v>126.57</v>
      </c>
      <c r="W639" s="25">
        <f t="array" ref="W639">INDEX(M$5:M$67,MATCH($S639,$B$5:$B$67,0))</f>
        <v>98.3</v>
      </c>
      <c r="X639" s="25">
        <f t="array" ref="X639">INDEX(N$5:N$67,MATCH($S639,$B$5:$B$67,0))</f>
        <v>66.64</v>
      </c>
      <c r="Y639" s="25">
        <f t="shared" si="579"/>
        <v>5496</v>
      </c>
      <c r="Z639" s="25">
        <f t="shared" si="580"/>
        <v>2658</v>
      </c>
      <c r="AA639" s="25">
        <f t="shared" si="581"/>
        <v>2064</v>
      </c>
      <c r="AB639" s="25">
        <f t="shared" si="582"/>
        <v>1399</v>
      </c>
    </row>
    <row r="640" spans="1:28">
      <c r="A640" s="48">
        <v>1010022</v>
      </c>
      <c r="B640" s="49" t="s">
        <v>915</v>
      </c>
      <c r="C640" s="25">
        <f t="shared" si="574"/>
        <v>22</v>
      </c>
      <c r="D640" s="25">
        <f t="array" ref="D640">INDEX(C$5:C$67,MATCH($B640,$B$5:$B$67,0))</f>
        <v>5280</v>
      </c>
      <c r="E640" s="25">
        <f t="array" ref="E640">INDEX(D$5:D$67,MATCH($B640,$B$5:$B$67,0))</f>
        <v>422.4</v>
      </c>
      <c r="F640" s="25">
        <f t="array" ref="F640">INDEX(E$5:E$67,MATCH($B640,$B$5:$B$67,0))</f>
        <v>677</v>
      </c>
      <c r="G640" s="25">
        <f t="array" ref="G640">INDEX(F$5:F$67,MATCH($B640,$B$5:$B$67,0))</f>
        <v>54.16</v>
      </c>
      <c r="H640" s="25">
        <f t="array" ref="H640">INDEX(G$5:G$66,MATCH($B640,$B$5:$B$67,0))</f>
        <v>541</v>
      </c>
      <c r="I640" s="25">
        <f t="array" ref="I640">INDEX(H$5:H$67,MATCH($B640,$B$5:$B$67,0))</f>
        <v>43.28</v>
      </c>
      <c r="J640" s="25">
        <f t="array" ref="J640">INDEX(I$5:I$67,MATCH($B640,$B$5:$B$67,0))</f>
        <v>960</v>
      </c>
      <c r="K640" s="25">
        <f t="array" ref="K640">INDEX(J$5:J$67,MATCH($B640,$B$5:$B$67,0))</f>
        <v>76.8</v>
      </c>
      <c r="L640" s="25">
        <f t="shared" si="575"/>
        <v>14573</v>
      </c>
      <c r="M640" s="25">
        <f t="shared" si="576"/>
        <v>1869</v>
      </c>
      <c r="N640" s="25">
        <f t="shared" si="577"/>
        <v>1493</v>
      </c>
      <c r="O640" s="25">
        <f t="shared" si="578"/>
        <v>2650</v>
      </c>
      <c r="R640" s="50">
        <f t="array" ref="R640">INDEX($B$46:$B$68,MATCH(S640,$C$46:$C$68,0))*1000+T640</f>
        <v>1026022</v>
      </c>
      <c r="S640" s="51" t="s">
        <v>356</v>
      </c>
      <c r="T640" s="29">
        <f t="shared" si="583"/>
        <v>22</v>
      </c>
      <c r="U640" s="25">
        <f t="array" ref="U640">INDEX(K$5:K$67,MATCH($S640,$B$5:$B$67,0))</f>
        <v>261.73</v>
      </c>
      <c r="V640" s="25">
        <f t="array" ref="V640">INDEX(L$5:L$67,MATCH($S640,$B$5:$B$67,0))</f>
        <v>126.57</v>
      </c>
      <c r="W640" s="25">
        <f t="array" ref="W640">INDEX(M$5:M$67,MATCH($S640,$B$5:$B$67,0))</f>
        <v>98.3</v>
      </c>
      <c r="X640" s="25">
        <f t="array" ref="X640">INDEX(N$5:N$67,MATCH($S640,$B$5:$B$67,0))</f>
        <v>66.64</v>
      </c>
      <c r="Y640" s="25">
        <f t="shared" si="579"/>
        <v>5758</v>
      </c>
      <c r="Z640" s="25">
        <f t="shared" si="580"/>
        <v>2785</v>
      </c>
      <c r="AA640" s="25">
        <f t="shared" si="581"/>
        <v>2163</v>
      </c>
      <c r="AB640" s="25">
        <f t="shared" si="582"/>
        <v>1466</v>
      </c>
    </row>
    <row r="641" spans="1:28">
      <c r="A641" s="48">
        <v>1010023</v>
      </c>
      <c r="B641" s="49" t="s">
        <v>915</v>
      </c>
      <c r="C641" s="25">
        <f t="shared" si="574"/>
        <v>23</v>
      </c>
      <c r="D641" s="25">
        <f t="array" ref="D641">INDEX(C$5:C$67,MATCH($B641,$B$5:$B$67,0))</f>
        <v>5280</v>
      </c>
      <c r="E641" s="25">
        <f t="array" ref="E641">INDEX(D$5:D$67,MATCH($B641,$B$5:$B$67,0))</f>
        <v>422.4</v>
      </c>
      <c r="F641" s="25">
        <f t="array" ref="F641">INDEX(E$5:E$67,MATCH($B641,$B$5:$B$67,0))</f>
        <v>677</v>
      </c>
      <c r="G641" s="25">
        <f t="array" ref="G641">INDEX(F$5:F$67,MATCH($B641,$B$5:$B$67,0))</f>
        <v>54.16</v>
      </c>
      <c r="H641" s="25">
        <f t="array" ref="H641">INDEX(G$5:G$66,MATCH($B641,$B$5:$B$67,0))</f>
        <v>541</v>
      </c>
      <c r="I641" s="25">
        <f t="array" ref="I641">INDEX(H$5:H$67,MATCH($B641,$B$5:$B$67,0))</f>
        <v>43.28</v>
      </c>
      <c r="J641" s="25">
        <f t="array" ref="J641">INDEX(I$5:I$67,MATCH($B641,$B$5:$B$67,0))</f>
        <v>960</v>
      </c>
      <c r="K641" s="25">
        <f t="array" ref="K641">INDEX(J$5:J$67,MATCH($B641,$B$5:$B$67,0))</f>
        <v>76.8</v>
      </c>
      <c r="L641" s="25">
        <f t="shared" si="575"/>
        <v>14995</v>
      </c>
      <c r="M641" s="25">
        <f t="shared" si="576"/>
        <v>1923</v>
      </c>
      <c r="N641" s="25">
        <f t="shared" si="577"/>
        <v>1536</v>
      </c>
      <c r="O641" s="25">
        <f t="shared" si="578"/>
        <v>2726</v>
      </c>
      <c r="R641" s="50">
        <f t="array" ref="R641">INDEX($B$46:$B$68,MATCH(S641,$C$46:$C$68,0))*1000+T641</f>
        <v>1026023</v>
      </c>
      <c r="S641" s="51" t="s">
        <v>356</v>
      </c>
      <c r="T641" s="29">
        <f t="shared" si="583"/>
        <v>23</v>
      </c>
      <c r="U641" s="25">
        <f t="array" ref="U641">INDEX(K$5:K$67,MATCH($S641,$B$5:$B$67,0))</f>
        <v>261.73</v>
      </c>
      <c r="V641" s="25">
        <f t="array" ref="V641">INDEX(L$5:L$67,MATCH($S641,$B$5:$B$67,0))</f>
        <v>126.57</v>
      </c>
      <c r="W641" s="25">
        <f t="array" ref="W641">INDEX(M$5:M$67,MATCH($S641,$B$5:$B$67,0))</f>
        <v>98.3</v>
      </c>
      <c r="X641" s="25">
        <f t="array" ref="X641">INDEX(N$5:N$67,MATCH($S641,$B$5:$B$67,0))</f>
        <v>66.64</v>
      </c>
      <c r="Y641" s="25">
        <f t="shared" si="579"/>
        <v>6020</v>
      </c>
      <c r="Z641" s="25">
        <f t="shared" si="580"/>
        <v>2911</v>
      </c>
      <c r="AA641" s="25">
        <f t="shared" si="581"/>
        <v>2261</v>
      </c>
      <c r="AB641" s="25">
        <f t="shared" si="582"/>
        <v>1533</v>
      </c>
    </row>
    <row r="642" spans="1:28">
      <c r="A642" s="48">
        <v>1010024</v>
      </c>
      <c r="B642" s="49" t="s">
        <v>915</v>
      </c>
      <c r="C642" s="25">
        <f t="shared" si="574"/>
        <v>24</v>
      </c>
      <c r="D642" s="25">
        <f t="array" ref="D642">INDEX(C$5:C$67,MATCH($B642,$B$5:$B$67,0))</f>
        <v>5280</v>
      </c>
      <c r="E642" s="25">
        <f t="array" ref="E642">INDEX(D$5:D$67,MATCH($B642,$B$5:$B$67,0))</f>
        <v>422.4</v>
      </c>
      <c r="F642" s="25">
        <f t="array" ref="F642">INDEX(E$5:E$67,MATCH($B642,$B$5:$B$67,0))</f>
        <v>677</v>
      </c>
      <c r="G642" s="25">
        <f t="array" ref="G642">INDEX(F$5:F$67,MATCH($B642,$B$5:$B$67,0))</f>
        <v>54.16</v>
      </c>
      <c r="H642" s="25">
        <f t="array" ref="H642">INDEX(G$5:G$66,MATCH($B642,$B$5:$B$67,0))</f>
        <v>541</v>
      </c>
      <c r="I642" s="25">
        <f t="array" ref="I642">INDEX(H$5:H$67,MATCH($B642,$B$5:$B$67,0))</f>
        <v>43.28</v>
      </c>
      <c r="J642" s="25">
        <f t="array" ref="J642">INDEX(I$5:I$67,MATCH($B642,$B$5:$B$67,0))</f>
        <v>960</v>
      </c>
      <c r="K642" s="25">
        <f t="array" ref="K642">INDEX(J$5:J$67,MATCH($B642,$B$5:$B$67,0))</f>
        <v>76.8</v>
      </c>
      <c r="L642" s="25">
        <f t="shared" si="575"/>
        <v>15418</v>
      </c>
      <c r="M642" s="25">
        <f t="shared" si="576"/>
        <v>1977</v>
      </c>
      <c r="N642" s="25">
        <f t="shared" si="577"/>
        <v>1580</v>
      </c>
      <c r="O642" s="25">
        <f t="shared" si="578"/>
        <v>2803</v>
      </c>
      <c r="R642" s="50">
        <f t="array" ref="R642">INDEX($B$46:$B$68,MATCH(S642,$C$46:$C$68,0))*1000+T642</f>
        <v>1026024</v>
      </c>
      <c r="S642" s="51" t="s">
        <v>356</v>
      </c>
      <c r="T642" s="29">
        <f t="shared" si="583"/>
        <v>24</v>
      </c>
      <c r="U642" s="25">
        <f t="array" ref="U642">INDEX(K$5:K$67,MATCH($S642,$B$5:$B$67,0))</f>
        <v>261.73</v>
      </c>
      <c r="V642" s="25">
        <f t="array" ref="V642">INDEX(L$5:L$67,MATCH($S642,$B$5:$B$67,0))</f>
        <v>126.57</v>
      </c>
      <c r="W642" s="25">
        <f t="array" ref="W642">INDEX(M$5:M$67,MATCH($S642,$B$5:$B$67,0))</f>
        <v>98.3</v>
      </c>
      <c r="X642" s="25">
        <f t="array" ref="X642">INDEX(N$5:N$67,MATCH($S642,$B$5:$B$67,0))</f>
        <v>66.64</v>
      </c>
      <c r="Y642" s="25">
        <f t="shared" si="579"/>
        <v>6282</v>
      </c>
      <c r="Z642" s="25">
        <f t="shared" si="580"/>
        <v>3038</v>
      </c>
      <c r="AA642" s="25">
        <f t="shared" si="581"/>
        <v>2359</v>
      </c>
      <c r="AB642" s="25">
        <f t="shared" si="582"/>
        <v>1599</v>
      </c>
    </row>
    <row r="643" spans="1:28">
      <c r="A643" s="48">
        <v>1010025</v>
      </c>
      <c r="B643" s="49" t="s">
        <v>915</v>
      </c>
      <c r="C643" s="25">
        <f t="shared" si="574"/>
        <v>25</v>
      </c>
      <c r="D643" s="25">
        <f t="array" ref="D643">INDEX(C$5:C$67,MATCH($B643,$B$5:$B$67,0))</f>
        <v>5280</v>
      </c>
      <c r="E643" s="25">
        <f t="array" ref="E643">INDEX(D$5:D$67,MATCH($B643,$B$5:$B$67,0))</f>
        <v>422.4</v>
      </c>
      <c r="F643" s="25">
        <f t="array" ref="F643">INDEX(E$5:E$67,MATCH($B643,$B$5:$B$67,0))</f>
        <v>677</v>
      </c>
      <c r="G643" s="25">
        <f t="array" ref="G643">INDEX(F$5:F$67,MATCH($B643,$B$5:$B$67,0))</f>
        <v>54.16</v>
      </c>
      <c r="H643" s="25">
        <f t="array" ref="H643">INDEX(G$5:G$66,MATCH($B643,$B$5:$B$67,0))</f>
        <v>541</v>
      </c>
      <c r="I643" s="25">
        <f t="array" ref="I643">INDEX(H$5:H$67,MATCH($B643,$B$5:$B$67,0))</f>
        <v>43.28</v>
      </c>
      <c r="J643" s="25">
        <f t="array" ref="J643">INDEX(I$5:I$67,MATCH($B643,$B$5:$B$67,0))</f>
        <v>960</v>
      </c>
      <c r="K643" s="25">
        <f t="array" ref="K643">INDEX(J$5:J$67,MATCH($B643,$B$5:$B$67,0))</f>
        <v>76.8</v>
      </c>
      <c r="L643" s="25">
        <f t="shared" si="575"/>
        <v>15840</v>
      </c>
      <c r="M643" s="25">
        <f t="shared" si="576"/>
        <v>2031</v>
      </c>
      <c r="N643" s="25">
        <f t="shared" si="577"/>
        <v>1623</v>
      </c>
      <c r="O643" s="25">
        <f t="shared" si="578"/>
        <v>2880</v>
      </c>
      <c r="R643" s="50">
        <f t="array" ref="R643">INDEX($B$46:$B$68,MATCH(S643,$C$46:$C$68,0))*1000+T643</f>
        <v>1026025</v>
      </c>
      <c r="S643" s="51" t="s">
        <v>356</v>
      </c>
      <c r="T643" s="29">
        <f t="shared" si="583"/>
        <v>25</v>
      </c>
      <c r="U643" s="25">
        <f t="array" ref="U643">INDEX(K$5:K$67,MATCH($S643,$B$5:$B$67,0))</f>
        <v>261.73</v>
      </c>
      <c r="V643" s="25">
        <f t="array" ref="V643">INDEX(L$5:L$67,MATCH($S643,$B$5:$B$67,0))</f>
        <v>126.57</v>
      </c>
      <c r="W643" s="25">
        <f t="array" ref="W643">INDEX(M$5:M$67,MATCH($S643,$B$5:$B$67,0))</f>
        <v>98.3</v>
      </c>
      <c r="X643" s="25">
        <f t="array" ref="X643">INDEX(N$5:N$67,MATCH($S643,$B$5:$B$67,0))</f>
        <v>66.64</v>
      </c>
      <c r="Y643" s="25">
        <f t="shared" si="579"/>
        <v>6543</v>
      </c>
      <c r="Z643" s="25">
        <f t="shared" si="580"/>
        <v>3164</v>
      </c>
      <c r="AA643" s="25">
        <f t="shared" si="581"/>
        <v>2458</v>
      </c>
      <c r="AB643" s="25">
        <f t="shared" si="582"/>
        <v>1666</v>
      </c>
    </row>
    <row r="644" spans="1:28">
      <c r="A644" s="48">
        <v>1010026</v>
      </c>
      <c r="B644" s="49" t="s">
        <v>915</v>
      </c>
      <c r="C644" s="25">
        <f t="shared" si="574"/>
        <v>26</v>
      </c>
      <c r="D644" s="25">
        <f t="array" ref="D644">INDEX(C$5:C$67,MATCH($B644,$B$5:$B$67,0))</f>
        <v>5280</v>
      </c>
      <c r="E644" s="25">
        <f t="array" ref="E644">INDEX(D$5:D$67,MATCH($B644,$B$5:$B$67,0))</f>
        <v>422.4</v>
      </c>
      <c r="F644" s="25">
        <f t="array" ref="F644">INDEX(E$5:E$67,MATCH($B644,$B$5:$B$67,0))</f>
        <v>677</v>
      </c>
      <c r="G644" s="25">
        <f t="array" ref="G644">INDEX(F$5:F$67,MATCH($B644,$B$5:$B$67,0))</f>
        <v>54.16</v>
      </c>
      <c r="H644" s="25">
        <f t="array" ref="H644">INDEX(G$5:G$66,MATCH($B644,$B$5:$B$67,0))</f>
        <v>541</v>
      </c>
      <c r="I644" s="25">
        <f t="array" ref="I644">INDEX(H$5:H$67,MATCH($B644,$B$5:$B$67,0))</f>
        <v>43.28</v>
      </c>
      <c r="J644" s="25">
        <f t="array" ref="J644">INDEX(I$5:I$67,MATCH($B644,$B$5:$B$67,0))</f>
        <v>960</v>
      </c>
      <c r="K644" s="25">
        <f t="array" ref="K644">INDEX(J$5:J$67,MATCH($B644,$B$5:$B$67,0))</f>
        <v>76.8</v>
      </c>
      <c r="L644" s="25">
        <f t="shared" si="575"/>
        <v>16262</v>
      </c>
      <c r="M644" s="25">
        <f t="shared" si="576"/>
        <v>2085</v>
      </c>
      <c r="N644" s="25">
        <f t="shared" si="577"/>
        <v>1666</v>
      </c>
      <c r="O644" s="25">
        <f t="shared" si="578"/>
        <v>2957</v>
      </c>
      <c r="R644" s="50">
        <f t="array" ref="R644">INDEX($B$46:$B$68,MATCH(S644,$C$46:$C$68,0))*1000+T644</f>
        <v>1026026</v>
      </c>
      <c r="S644" s="51" t="s">
        <v>356</v>
      </c>
      <c r="T644" s="29">
        <f t="shared" si="583"/>
        <v>26</v>
      </c>
      <c r="U644" s="25">
        <f t="array" ref="U644">INDEX(K$5:K$67,MATCH($S644,$B$5:$B$67,0))</f>
        <v>261.73</v>
      </c>
      <c r="V644" s="25">
        <f t="array" ref="V644">INDEX(L$5:L$67,MATCH($S644,$B$5:$B$67,0))</f>
        <v>126.57</v>
      </c>
      <c r="W644" s="25">
        <f t="array" ref="W644">INDEX(M$5:M$67,MATCH($S644,$B$5:$B$67,0))</f>
        <v>98.3</v>
      </c>
      <c r="X644" s="25">
        <f t="array" ref="X644">INDEX(N$5:N$67,MATCH($S644,$B$5:$B$67,0))</f>
        <v>66.64</v>
      </c>
      <c r="Y644" s="25">
        <f t="shared" si="579"/>
        <v>6805</v>
      </c>
      <c r="Z644" s="25">
        <f t="shared" si="580"/>
        <v>3291</v>
      </c>
      <c r="AA644" s="25">
        <f t="shared" si="581"/>
        <v>2556</v>
      </c>
      <c r="AB644" s="25">
        <f t="shared" si="582"/>
        <v>1733</v>
      </c>
    </row>
    <row r="645" spans="1:28">
      <c r="A645" s="48">
        <v>1010027</v>
      </c>
      <c r="B645" s="49" t="s">
        <v>915</v>
      </c>
      <c r="C645" s="25">
        <f t="shared" si="574"/>
        <v>27</v>
      </c>
      <c r="D645" s="25">
        <f t="array" ref="D645">INDEX(C$5:C$67,MATCH($B645,$B$5:$B$67,0))</f>
        <v>5280</v>
      </c>
      <c r="E645" s="25">
        <f t="array" ref="E645">INDEX(D$5:D$67,MATCH($B645,$B$5:$B$67,0))</f>
        <v>422.4</v>
      </c>
      <c r="F645" s="25">
        <f t="array" ref="F645">INDEX(E$5:E$67,MATCH($B645,$B$5:$B$67,0))</f>
        <v>677</v>
      </c>
      <c r="G645" s="25">
        <f t="array" ref="G645">INDEX(F$5:F$67,MATCH($B645,$B$5:$B$67,0))</f>
        <v>54.16</v>
      </c>
      <c r="H645" s="25">
        <f t="array" ref="H645">INDEX(G$5:G$66,MATCH($B645,$B$5:$B$67,0))</f>
        <v>541</v>
      </c>
      <c r="I645" s="25">
        <f t="array" ref="I645">INDEX(H$5:H$67,MATCH($B645,$B$5:$B$67,0))</f>
        <v>43.28</v>
      </c>
      <c r="J645" s="25">
        <f t="array" ref="J645">INDEX(I$5:I$67,MATCH($B645,$B$5:$B$67,0))</f>
        <v>960</v>
      </c>
      <c r="K645" s="25">
        <f t="array" ref="K645">INDEX(J$5:J$67,MATCH($B645,$B$5:$B$67,0))</f>
        <v>76.8</v>
      </c>
      <c r="L645" s="25">
        <f t="shared" si="575"/>
        <v>16685</v>
      </c>
      <c r="M645" s="25">
        <f t="shared" si="576"/>
        <v>2139</v>
      </c>
      <c r="N645" s="25">
        <f t="shared" si="577"/>
        <v>1710</v>
      </c>
      <c r="O645" s="25">
        <f t="shared" si="578"/>
        <v>3034</v>
      </c>
      <c r="R645" s="50">
        <f t="array" ref="R645">INDEX($B$46:$B$68,MATCH(S645,$C$46:$C$68,0))*1000+T645</f>
        <v>1026027</v>
      </c>
      <c r="S645" s="51" t="s">
        <v>356</v>
      </c>
      <c r="T645" s="29">
        <f t="shared" si="583"/>
        <v>27</v>
      </c>
      <c r="U645" s="25">
        <f t="array" ref="U645">INDEX(K$5:K$67,MATCH($S645,$B$5:$B$67,0))</f>
        <v>261.73</v>
      </c>
      <c r="V645" s="25">
        <f t="array" ref="V645">INDEX(L$5:L$67,MATCH($S645,$B$5:$B$67,0))</f>
        <v>126.57</v>
      </c>
      <c r="W645" s="25">
        <f t="array" ref="W645">INDEX(M$5:M$67,MATCH($S645,$B$5:$B$67,0))</f>
        <v>98.3</v>
      </c>
      <c r="X645" s="25">
        <f t="array" ref="X645">INDEX(N$5:N$67,MATCH($S645,$B$5:$B$67,0))</f>
        <v>66.64</v>
      </c>
      <c r="Y645" s="25">
        <f t="shared" si="579"/>
        <v>7067</v>
      </c>
      <c r="Z645" s="25">
        <f t="shared" si="580"/>
        <v>3417</v>
      </c>
      <c r="AA645" s="25">
        <f t="shared" si="581"/>
        <v>2654</v>
      </c>
      <c r="AB645" s="25">
        <f t="shared" si="582"/>
        <v>1799</v>
      </c>
    </row>
    <row r="646" spans="1:28">
      <c r="A646" s="48">
        <v>1010028</v>
      </c>
      <c r="B646" s="49" t="s">
        <v>915</v>
      </c>
      <c r="C646" s="25">
        <f t="shared" si="574"/>
        <v>28</v>
      </c>
      <c r="D646" s="25">
        <f t="array" ref="D646">INDEX(C$5:C$67,MATCH($B646,$B$5:$B$67,0))</f>
        <v>5280</v>
      </c>
      <c r="E646" s="25">
        <f t="array" ref="E646">INDEX(D$5:D$67,MATCH($B646,$B$5:$B$67,0))</f>
        <v>422.4</v>
      </c>
      <c r="F646" s="25">
        <f t="array" ref="F646">INDEX(E$5:E$67,MATCH($B646,$B$5:$B$67,0))</f>
        <v>677</v>
      </c>
      <c r="G646" s="25">
        <f t="array" ref="G646">INDEX(F$5:F$67,MATCH($B646,$B$5:$B$67,0))</f>
        <v>54.16</v>
      </c>
      <c r="H646" s="25">
        <f t="array" ref="H646">INDEX(G$5:G$66,MATCH($B646,$B$5:$B$67,0))</f>
        <v>541</v>
      </c>
      <c r="I646" s="25">
        <f t="array" ref="I646">INDEX(H$5:H$67,MATCH($B646,$B$5:$B$67,0))</f>
        <v>43.28</v>
      </c>
      <c r="J646" s="25">
        <f t="array" ref="J646">INDEX(I$5:I$67,MATCH($B646,$B$5:$B$67,0))</f>
        <v>960</v>
      </c>
      <c r="K646" s="25">
        <f t="array" ref="K646">INDEX(J$5:J$67,MATCH($B646,$B$5:$B$67,0))</f>
        <v>76.8</v>
      </c>
      <c r="L646" s="25">
        <f t="shared" si="575"/>
        <v>17107</v>
      </c>
      <c r="M646" s="25">
        <f t="shared" si="576"/>
        <v>2193</v>
      </c>
      <c r="N646" s="25">
        <f t="shared" si="577"/>
        <v>1753</v>
      </c>
      <c r="O646" s="25">
        <f t="shared" si="578"/>
        <v>3110</v>
      </c>
      <c r="R646" s="50">
        <f t="array" ref="R646">INDEX($B$46:$B$68,MATCH(S646,$C$46:$C$68,0))*1000+T646</f>
        <v>1029001</v>
      </c>
      <c r="S646" s="51" t="s">
        <v>357</v>
      </c>
      <c r="T646" s="29">
        <f t="shared" si="583"/>
        <v>1</v>
      </c>
      <c r="U646" s="25">
        <f t="array" ref="U646">INDEX(K$5:K$67,MATCH($S646,$B$5:$B$67,0))</f>
        <v>393.62</v>
      </c>
      <c r="V646" s="25">
        <f t="array" ref="V646">INDEX(L$5:L$67,MATCH($S646,$B$5:$B$67,0))</f>
        <v>66.15</v>
      </c>
      <c r="W646" s="25">
        <f t="array" ref="W646">INDEX(M$5:M$67,MATCH($S646,$B$5:$B$67,0))</f>
        <v>82.69</v>
      </c>
      <c r="X646" s="25">
        <f t="array" ref="X646">INDEX(N$5:N$67,MATCH($S646,$B$5:$B$67,0))</f>
        <v>67.83</v>
      </c>
      <c r="Y646" s="25">
        <f t="shared" si="579"/>
        <v>394</v>
      </c>
      <c r="Z646" s="25">
        <f t="shared" si="580"/>
        <v>66</v>
      </c>
      <c r="AA646" s="25">
        <f t="shared" si="581"/>
        <v>83</v>
      </c>
      <c r="AB646" s="25">
        <f t="shared" si="582"/>
        <v>68</v>
      </c>
    </row>
    <row r="647" spans="1:28">
      <c r="A647" s="48">
        <v>1010029</v>
      </c>
      <c r="B647" s="49" t="s">
        <v>915</v>
      </c>
      <c r="C647" s="25">
        <f t="shared" si="574"/>
        <v>29</v>
      </c>
      <c r="D647" s="25">
        <f t="array" ref="D647">INDEX(C$5:C$67,MATCH($B647,$B$5:$B$67,0))</f>
        <v>5280</v>
      </c>
      <c r="E647" s="25">
        <f t="array" ref="E647">INDEX(D$5:D$67,MATCH($B647,$B$5:$B$67,0))</f>
        <v>422.4</v>
      </c>
      <c r="F647" s="25">
        <f t="array" ref="F647">INDEX(E$5:E$67,MATCH($B647,$B$5:$B$67,0))</f>
        <v>677</v>
      </c>
      <c r="G647" s="25">
        <f t="array" ref="G647">INDEX(F$5:F$67,MATCH($B647,$B$5:$B$67,0))</f>
        <v>54.16</v>
      </c>
      <c r="H647" s="25">
        <f t="array" ref="H647">INDEX(G$5:G$66,MATCH($B647,$B$5:$B$67,0))</f>
        <v>541</v>
      </c>
      <c r="I647" s="25">
        <f t="array" ref="I647">INDEX(H$5:H$67,MATCH($B647,$B$5:$B$67,0))</f>
        <v>43.28</v>
      </c>
      <c r="J647" s="25">
        <f t="array" ref="J647">INDEX(I$5:I$67,MATCH($B647,$B$5:$B$67,0))</f>
        <v>960</v>
      </c>
      <c r="K647" s="25">
        <f t="array" ref="K647">INDEX(J$5:J$67,MATCH($B647,$B$5:$B$67,0))</f>
        <v>76.8</v>
      </c>
      <c r="L647" s="25">
        <f t="shared" si="575"/>
        <v>17530</v>
      </c>
      <c r="M647" s="25">
        <f t="shared" si="576"/>
        <v>2248</v>
      </c>
      <c r="N647" s="25">
        <f t="shared" si="577"/>
        <v>1796</v>
      </c>
      <c r="O647" s="25">
        <f t="shared" si="578"/>
        <v>3187</v>
      </c>
      <c r="R647" s="50">
        <f t="array" ref="R647">INDEX($B$46:$B$68,MATCH(S647,$C$46:$C$68,0))*1000+T647</f>
        <v>1029002</v>
      </c>
      <c r="S647" s="51" t="s">
        <v>357</v>
      </c>
      <c r="T647" s="29">
        <f t="shared" si="583"/>
        <v>2</v>
      </c>
      <c r="U647" s="25">
        <f t="array" ref="U647">INDEX(K$5:K$67,MATCH($S647,$B$5:$B$67,0))</f>
        <v>393.62</v>
      </c>
      <c r="V647" s="25">
        <f t="array" ref="V647">INDEX(L$5:L$67,MATCH($S647,$B$5:$B$67,0))</f>
        <v>66.15</v>
      </c>
      <c r="W647" s="25">
        <f t="array" ref="W647">INDEX(M$5:M$67,MATCH($S647,$B$5:$B$67,0))</f>
        <v>82.69</v>
      </c>
      <c r="X647" s="25">
        <f t="array" ref="X647">INDEX(N$5:N$67,MATCH($S647,$B$5:$B$67,0))</f>
        <v>67.83</v>
      </c>
      <c r="Y647" s="25">
        <f t="shared" si="579"/>
        <v>787</v>
      </c>
      <c r="Z647" s="25">
        <f t="shared" si="580"/>
        <v>132</v>
      </c>
      <c r="AA647" s="25">
        <f t="shared" si="581"/>
        <v>165</v>
      </c>
      <c r="AB647" s="25">
        <f t="shared" si="582"/>
        <v>136</v>
      </c>
    </row>
    <row r="648" spans="1:28">
      <c r="A648" s="48">
        <v>1010030</v>
      </c>
      <c r="B648" s="49" t="s">
        <v>915</v>
      </c>
      <c r="C648" s="25">
        <f t="shared" si="574"/>
        <v>30</v>
      </c>
      <c r="D648" s="25">
        <f t="array" ref="D648">INDEX(C$5:C$67,MATCH($B648,$B$5:$B$67,0))</f>
        <v>5280</v>
      </c>
      <c r="E648" s="25">
        <f t="array" ref="E648">INDEX(D$5:D$67,MATCH($B648,$B$5:$B$67,0))</f>
        <v>422.4</v>
      </c>
      <c r="F648" s="25">
        <f t="array" ref="F648">INDEX(E$5:E$67,MATCH($B648,$B$5:$B$67,0))</f>
        <v>677</v>
      </c>
      <c r="G648" s="25">
        <f t="array" ref="G648">INDEX(F$5:F$67,MATCH($B648,$B$5:$B$67,0))</f>
        <v>54.16</v>
      </c>
      <c r="H648" s="25">
        <f t="array" ref="H648">INDEX(G$5:G$66,MATCH($B648,$B$5:$B$67,0))</f>
        <v>541</v>
      </c>
      <c r="I648" s="25">
        <f t="array" ref="I648">INDEX(H$5:H$67,MATCH($B648,$B$5:$B$67,0))</f>
        <v>43.28</v>
      </c>
      <c r="J648" s="25">
        <f t="array" ref="J648">INDEX(I$5:I$67,MATCH($B648,$B$5:$B$67,0))</f>
        <v>960</v>
      </c>
      <c r="K648" s="25">
        <f t="array" ref="K648">INDEX(J$5:J$67,MATCH($B648,$B$5:$B$67,0))</f>
        <v>76.8</v>
      </c>
      <c r="L648" s="25">
        <f t="shared" si="575"/>
        <v>17952</v>
      </c>
      <c r="M648" s="25">
        <f t="shared" si="576"/>
        <v>2302</v>
      </c>
      <c r="N648" s="25">
        <f t="shared" si="577"/>
        <v>1839</v>
      </c>
      <c r="O648" s="25">
        <f t="shared" si="578"/>
        <v>3264</v>
      </c>
      <c r="R648" s="50">
        <f t="array" ref="R648">INDEX($B$46:$B$68,MATCH(S648,$C$46:$C$68,0))*1000+T648</f>
        <v>1029003</v>
      </c>
      <c r="S648" s="51" t="s">
        <v>357</v>
      </c>
      <c r="T648" s="29">
        <f t="shared" si="583"/>
        <v>3</v>
      </c>
      <c r="U648" s="25">
        <f t="array" ref="U648">INDEX(K$5:K$67,MATCH($S648,$B$5:$B$67,0))</f>
        <v>393.62</v>
      </c>
      <c r="V648" s="25">
        <f t="array" ref="V648">INDEX(L$5:L$67,MATCH($S648,$B$5:$B$67,0))</f>
        <v>66.15</v>
      </c>
      <c r="W648" s="25">
        <f t="array" ref="W648">INDEX(M$5:M$67,MATCH($S648,$B$5:$B$67,0))</f>
        <v>82.69</v>
      </c>
      <c r="X648" s="25">
        <f t="array" ref="X648">INDEX(N$5:N$67,MATCH($S648,$B$5:$B$67,0))</f>
        <v>67.83</v>
      </c>
      <c r="Y648" s="25">
        <f t="shared" si="579"/>
        <v>1181</v>
      </c>
      <c r="Z648" s="25">
        <f t="shared" si="580"/>
        <v>198</v>
      </c>
      <c r="AA648" s="25">
        <f t="shared" si="581"/>
        <v>248</v>
      </c>
      <c r="AB648" s="25">
        <f t="shared" si="582"/>
        <v>203</v>
      </c>
    </row>
    <row r="649" spans="1:28">
      <c r="A649" s="48">
        <v>1010031</v>
      </c>
      <c r="B649" s="49" t="s">
        <v>915</v>
      </c>
      <c r="C649" s="25">
        <f t="shared" si="574"/>
        <v>31</v>
      </c>
      <c r="D649" s="25">
        <f t="array" ref="D649">INDEX(C$5:C$67,MATCH($B649,$B$5:$B$67,0))</f>
        <v>5280</v>
      </c>
      <c r="E649" s="25">
        <f t="array" ref="E649">INDEX(D$5:D$67,MATCH($B649,$B$5:$B$67,0))</f>
        <v>422.4</v>
      </c>
      <c r="F649" s="25">
        <f t="array" ref="F649">INDEX(E$5:E$67,MATCH($B649,$B$5:$B$67,0))</f>
        <v>677</v>
      </c>
      <c r="G649" s="25">
        <f t="array" ref="G649">INDEX(F$5:F$67,MATCH($B649,$B$5:$B$67,0))</f>
        <v>54.16</v>
      </c>
      <c r="H649" s="25">
        <f t="array" ref="H649">INDEX(G$5:G$66,MATCH($B649,$B$5:$B$67,0))</f>
        <v>541</v>
      </c>
      <c r="I649" s="25">
        <f t="array" ref="I649">INDEX(H$5:H$67,MATCH($B649,$B$5:$B$67,0))</f>
        <v>43.28</v>
      </c>
      <c r="J649" s="25">
        <f t="array" ref="J649">INDEX(I$5:I$67,MATCH($B649,$B$5:$B$67,0))</f>
        <v>960</v>
      </c>
      <c r="K649" s="25">
        <f t="array" ref="K649">INDEX(J$5:J$67,MATCH($B649,$B$5:$B$67,0))</f>
        <v>76.8</v>
      </c>
      <c r="L649" s="25">
        <f t="shared" si="575"/>
        <v>18374</v>
      </c>
      <c r="M649" s="25">
        <f t="shared" si="576"/>
        <v>2356</v>
      </c>
      <c r="N649" s="25">
        <f t="shared" si="577"/>
        <v>1883</v>
      </c>
      <c r="O649" s="25">
        <f t="shared" si="578"/>
        <v>3341</v>
      </c>
      <c r="R649" s="50">
        <f t="array" ref="R649">INDEX($B$46:$B$68,MATCH(S649,$C$46:$C$68,0))*1000+T649</f>
        <v>1029004</v>
      </c>
      <c r="S649" s="51" t="s">
        <v>357</v>
      </c>
      <c r="T649" s="29">
        <f t="shared" si="583"/>
        <v>4</v>
      </c>
      <c r="U649" s="25">
        <f t="array" ref="U649">INDEX(K$5:K$67,MATCH($S649,$B$5:$B$67,0))</f>
        <v>393.62</v>
      </c>
      <c r="V649" s="25">
        <f t="array" ref="V649">INDEX(L$5:L$67,MATCH($S649,$B$5:$B$67,0))</f>
        <v>66.15</v>
      </c>
      <c r="W649" s="25">
        <f t="array" ref="W649">INDEX(M$5:M$67,MATCH($S649,$B$5:$B$67,0))</f>
        <v>82.69</v>
      </c>
      <c r="X649" s="25">
        <f t="array" ref="X649">INDEX(N$5:N$67,MATCH($S649,$B$5:$B$67,0))</f>
        <v>67.83</v>
      </c>
      <c r="Y649" s="25">
        <f t="shared" si="579"/>
        <v>1574</v>
      </c>
      <c r="Z649" s="25">
        <f t="shared" si="580"/>
        <v>265</v>
      </c>
      <c r="AA649" s="25">
        <f t="shared" si="581"/>
        <v>331</v>
      </c>
      <c r="AB649" s="25">
        <f t="shared" si="582"/>
        <v>271</v>
      </c>
    </row>
    <row r="650" spans="1:28">
      <c r="A650" s="48">
        <v>1010032</v>
      </c>
      <c r="B650" s="49" t="s">
        <v>915</v>
      </c>
      <c r="C650" s="25">
        <f t="shared" si="574"/>
        <v>32</v>
      </c>
      <c r="D650" s="25">
        <f t="array" ref="D650">INDEX(C$5:C$67,MATCH($B650,$B$5:$B$67,0))</f>
        <v>5280</v>
      </c>
      <c r="E650" s="25">
        <f t="array" ref="E650">INDEX(D$5:D$67,MATCH($B650,$B$5:$B$67,0))</f>
        <v>422.4</v>
      </c>
      <c r="F650" s="25">
        <f t="array" ref="F650">INDEX(E$5:E$67,MATCH($B650,$B$5:$B$67,0))</f>
        <v>677</v>
      </c>
      <c r="G650" s="25">
        <f t="array" ref="G650">INDEX(F$5:F$67,MATCH($B650,$B$5:$B$67,0))</f>
        <v>54.16</v>
      </c>
      <c r="H650" s="25">
        <f t="array" ref="H650">INDEX(G$5:G$66,MATCH($B650,$B$5:$B$67,0))</f>
        <v>541</v>
      </c>
      <c r="I650" s="25">
        <f t="array" ref="I650">INDEX(H$5:H$67,MATCH($B650,$B$5:$B$67,0))</f>
        <v>43.28</v>
      </c>
      <c r="J650" s="25">
        <f t="array" ref="J650">INDEX(I$5:I$67,MATCH($B650,$B$5:$B$67,0))</f>
        <v>960</v>
      </c>
      <c r="K650" s="25">
        <f t="array" ref="K650">INDEX(J$5:J$67,MATCH($B650,$B$5:$B$67,0))</f>
        <v>76.8</v>
      </c>
      <c r="L650" s="25">
        <f t="shared" si="575"/>
        <v>18797</v>
      </c>
      <c r="M650" s="25">
        <f t="shared" si="576"/>
        <v>2410</v>
      </c>
      <c r="N650" s="25">
        <f t="shared" si="577"/>
        <v>1926</v>
      </c>
      <c r="O650" s="25">
        <f t="shared" si="578"/>
        <v>3418</v>
      </c>
      <c r="R650" s="50">
        <f t="array" ref="R650">INDEX($B$46:$B$68,MATCH(S650,$C$46:$C$68,0))*1000+T650</f>
        <v>1029005</v>
      </c>
      <c r="S650" s="51" t="s">
        <v>357</v>
      </c>
      <c r="T650" s="29">
        <f t="shared" si="583"/>
        <v>5</v>
      </c>
      <c r="U650" s="25">
        <f t="array" ref="U650">INDEX(K$5:K$67,MATCH($S650,$B$5:$B$67,0))</f>
        <v>393.62</v>
      </c>
      <c r="V650" s="25">
        <f t="array" ref="V650">INDEX(L$5:L$67,MATCH($S650,$B$5:$B$67,0))</f>
        <v>66.15</v>
      </c>
      <c r="W650" s="25">
        <f t="array" ref="W650">INDEX(M$5:M$67,MATCH($S650,$B$5:$B$67,0))</f>
        <v>82.69</v>
      </c>
      <c r="X650" s="25">
        <f t="array" ref="X650">INDEX(N$5:N$67,MATCH($S650,$B$5:$B$67,0))</f>
        <v>67.83</v>
      </c>
      <c r="Y650" s="25">
        <f t="shared" si="579"/>
        <v>1968</v>
      </c>
      <c r="Z650" s="25">
        <f t="shared" si="580"/>
        <v>331</v>
      </c>
      <c r="AA650" s="25">
        <f t="shared" si="581"/>
        <v>413</v>
      </c>
      <c r="AB650" s="25">
        <f t="shared" si="582"/>
        <v>339</v>
      </c>
    </row>
    <row r="651" spans="1:28">
      <c r="A651" s="48">
        <v>1010033</v>
      </c>
      <c r="B651" s="49" t="s">
        <v>915</v>
      </c>
      <c r="C651" s="25">
        <f t="shared" ref="C651:C714" si="584">C591</f>
        <v>33</v>
      </c>
      <c r="D651" s="25">
        <f t="array" ref="D651">INDEX(C$5:C$67,MATCH($B651,$B$5:$B$67,0))</f>
        <v>5280</v>
      </c>
      <c r="E651" s="25">
        <f t="array" ref="E651">INDEX(D$5:D$67,MATCH($B651,$B$5:$B$67,0))</f>
        <v>422.4</v>
      </c>
      <c r="F651" s="25">
        <f t="array" ref="F651">INDEX(E$5:E$67,MATCH($B651,$B$5:$B$67,0))</f>
        <v>677</v>
      </c>
      <c r="G651" s="25">
        <f t="array" ref="G651">INDEX(F$5:F$67,MATCH($B651,$B$5:$B$67,0))</f>
        <v>54.16</v>
      </c>
      <c r="H651" s="25">
        <f t="array" ref="H651">INDEX(G$5:G$66,MATCH($B651,$B$5:$B$67,0))</f>
        <v>541</v>
      </c>
      <c r="I651" s="25">
        <f t="array" ref="I651">INDEX(H$5:H$67,MATCH($B651,$B$5:$B$67,0))</f>
        <v>43.28</v>
      </c>
      <c r="J651" s="25">
        <f t="array" ref="J651">INDEX(I$5:I$67,MATCH($B651,$B$5:$B$67,0))</f>
        <v>960</v>
      </c>
      <c r="K651" s="25">
        <f t="array" ref="K651">INDEX(J$5:J$67,MATCH($B651,$B$5:$B$67,0))</f>
        <v>76.8</v>
      </c>
      <c r="L651" s="25">
        <f t="shared" si="575"/>
        <v>19219</v>
      </c>
      <c r="M651" s="25">
        <f t="shared" si="576"/>
        <v>2464</v>
      </c>
      <c r="N651" s="25">
        <f t="shared" si="577"/>
        <v>1969</v>
      </c>
      <c r="O651" s="25">
        <f t="shared" si="578"/>
        <v>3494</v>
      </c>
      <c r="R651" s="50">
        <f t="array" ref="R651">INDEX($B$46:$B$68,MATCH(S651,$C$46:$C$68,0))*1000+T651</f>
        <v>1029006</v>
      </c>
      <c r="S651" s="51" t="s">
        <v>357</v>
      </c>
      <c r="T651" s="29">
        <f t="shared" si="583"/>
        <v>6</v>
      </c>
      <c r="U651" s="25">
        <f t="array" ref="U651">INDEX(K$5:K$67,MATCH($S651,$B$5:$B$67,0))</f>
        <v>393.62</v>
      </c>
      <c r="V651" s="25">
        <f t="array" ref="V651">INDEX(L$5:L$67,MATCH($S651,$B$5:$B$67,0))</f>
        <v>66.15</v>
      </c>
      <c r="W651" s="25">
        <f t="array" ref="W651">INDEX(M$5:M$67,MATCH($S651,$B$5:$B$67,0))</f>
        <v>82.69</v>
      </c>
      <c r="X651" s="25">
        <f t="array" ref="X651">INDEX(N$5:N$67,MATCH($S651,$B$5:$B$67,0))</f>
        <v>67.83</v>
      </c>
      <c r="Y651" s="25">
        <f t="shared" si="579"/>
        <v>2362</v>
      </c>
      <c r="Z651" s="25">
        <f t="shared" si="580"/>
        <v>397</v>
      </c>
      <c r="AA651" s="25">
        <f t="shared" si="581"/>
        <v>496</v>
      </c>
      <c r="AB651" s="25">
        <f t="shared" si="582"/>
        <v>407</v>
      </c>
    </row>
    <row r="652" spans="1:28">
      <c r="A652" s="48">
        <v>1010034</v>
      </c>
      <c r="B652" s="49" t="s">
        <v>915</v>
      </c>
      <c r="C652" s="25">
        <f t="shared" si="584"/>
        <v>34</v>
      </c>
      <c r="D652" s="25">
        <f t="array" ref="D652">INDEX(C$5:C$67,MATCH($B652,$B$5:$B$67,0))</f>
        <v>5280</v>
      </c>
      <c r="E652" s="25">
        <f t="array" ref="E652">INDEX(D$5:D$67,MATCH($B652,$B$5:$B$67,0))</f>
        <v>422.4</v>
      </c>
      <c r="F652" s="25">
        <f t="array" ref="F652">INDEX(E$5:E$67,MATCH($B652,$B$5:$B$67,0))</f>
        <v>677</v>
      </c>
      <c r="G652" s="25">
        <f t="array" ref="G652">INDEX(F$5:F$67,MATCH($B652,$B$5:$B$67,0))</f>
        <v>54.16</v>
      </c>
      <c r="H652" s="25">
        <f t="array" ref="H652">INDEX(G$5:G$66,MATCH($B652,$B$5:$B$67,0))</f>
        <v>541</v>
      </c>
      <c r="I652" s="25">
        <f t="array" ref="I652">INDEX(H$5:H$67,MATCH($B652,$B$5:$B$67,0))</f>
        <v>43.28</v>
      </c>
      <c r="J652" s="25">
        <f t="array" ref="J652">INDEX(I$5:I$67,MATCH($B652,$B$5:$B$67,0))</f>
        <v>960</v>
      </c>
      <c r="K652" s="25">
        <f t="array" ref="K652">INDEX(J$5:J$67,MATCH($B652,$B$5:$B$67,0))</f>
        <v>76.8</v>
      </c>
      <c r="L652" s="25">
        <f t="shared" si="575"/>
        <v>19642</v>
      </c>
      <c r="M652" s="25">
        <f t="shared" si="576"/>
        <v>2518</v>
      </c>
      <c r="N652" s="25">
        <f t="shared" si="577"/>
        <v>2013</v>
      </c>
      <c r="O652" s="25">
        <f t="shared" si="578"/>
        <v>3571</v>
      </c>
      <c r="R652" s="50">
        <f t="array" ref="R652">INDEX($B$46:$B$68,MATCH(S652,$C$46:$C$68,0))*1000+T652</f>
        <v>1029007</v>
      </c>
      <c r="S652" s="51" t="s">
        <v>357</v>
      </c>
      <c r="T652" s="29">
        <f t="shared" si="583"/>
        <v>7</v>
      </c>
      <c r="U652" s="25">
        <f t="array" ref="U652">INDEX(K$5:K$67,MATCH($S652,$B$5:$B$67,0))</f>
        <v>393.62</v>
      </c>
      <c r="V652" s="25">
        <f t="array" ref="V652">INDEX(L$5:L$67,MATCH($S652,$B$5:$B$67,0))</f>
        <v>66.15</v>
      </c>
      <c r="W652" s="25">
        <f t="array" ref="W652">INDEX(M$5:M$67,MATCH($S652,$B$5:$B$67,0))</f>
        <v>82.69</v>
      </c>
      <c r="X652" s="25">
        <f t="array" ref="X652">INDEX(N$5:N$67,MATCH($S652,$B$5:$B$67,0))</f>
        <v>67.83</v>
      </c>
      <c r="Y652" s="25">
        <f t="shared" si="579"/>
        <v>2755</v>
      </c>
      <c r="Z652" s="25">
        <f t="shared" si="580"/>
        <v>463</v>
      </c>
      <c r="AA652" s="25">
        <f t="shared" si="581"/>
        <v>579</v>
      </c>
      <c r="AB652" s="25">
        <f t="shared" si="582"/>
        <v>475</v>
      </c>
    </row>
    <row r="653" spans="1:28">
      <c r="A653" s="48">
        <v>1010035</v>
      </c>
      <c r="B653" s="49" t="s">
        <v>915</v>
      </c>
      <c r="C653" s="25">
        <f t="shared" si="584"/>
        <v>35</v>
      </c>
      <c r="D653" s="25">
        <f t="array" ref="D653">INDEX(C$5:C$67,MATCH($B653,$B$5:$B$67,0))</f>
        <v>5280</v>
      </c>
      <c r="E653" s="25">
        <f t="array" ref="E653">INDEX(D$5:D$67,MATCH($B653,$B$5:$B$67,0))</f>
        <v>422.4</v>
      </c>
      <c r="F653" s="25">
        <f t="array" ref="F653">INDEX(E$5:E$67,MATCH($B653,$B$5:$B$67,0))</f>
        <v>677</v>
      </c>
      <c r="G653" s="25">
        <f t="array" ref="G653">INDEX(F$5:F$67,MATCH($B653,$B$5:$B$67,0))</f>
        <v>54.16</v>
      </c>
      <c r="H653" s="25">
        <f t="array" ref="H653">INDEX(G$5:G$66,MATCH($B653,$B$5:$B$67,0))</f>
        <v>541</v>
      </c>
      <c r="I653" s="25">
        <f t="array" ref="I653">INDEX(H$5:H$67,MATCH($B653,$B$5:$B$67,0))</f>
        <v>43.28</v>
      </c>
      <c r="J653" s="25">
        <f t="array" ref="J653">INDEX(I$5:I$67,MATCH($B653,$B$5:$B$67,0))</f>
        <v>960</v>
      </c>
      <c r="K653" s="25">
        <f t="array" ref="K653">INDEX(J$5:J$67,MATCH($B653,$B$5:$B$67,0))</f>
        <v>76.8</v>
      </c>
      <c r="L653" s="25">
        <f t="shared" si="575"/>
        <v>20064</v>
      </c>
      <c r="M653" s="25">
        <f t="shared" si="576"/>
        <v>2573</v>
      </c>
      <c r="N653" s="25">
        <f t="shared" si="577"/>
        <v>2056</v>
      </c>
      <c r="O653" s="25">
        <f t="shared" si="578"/>
        <v>3648</v>
      </c>
      <c r="R653" s="50">
        <f t="array" ref="R653">INDEX($B$46:$B$68,MATCH(S653,$C$46:$C$68,0))*1000+T653</f>
        <v>1029008</v>
      </c>
      <c r="S653" s="51" t="s">
        <v>357</v>
      </c>
      <c r="T653" s="29">
        <f t="shared" si="583"/>
        <v>8</v>
      </c>
      <c r="U653" s="25">
        <f t="array" ref="U653">INDEX(K$5:K$67,MATCH($S653,$B$5:$B$67,0))</f>
        <v>393.62</v>
      </c>
      <c r="V653" s="25">
        <f t="array" ref="V653">INDEX(L$5:L$67,MATCH($S653,$B$5:$B$67,0))</f>
        <v>66.15</v>
      </c>
      <c r="W653" s="25">
        <f t="array" ref="W653">INDEX(M$5:M$67,MATCH($S653,$B$5:$B$67,0))</f>
        <v>82.69</v>
      </c>
      <c r="X653" s="25">
        <f t="array" ref="X653">INDEX(N$5:N$67,MATCH($S653,$B$5:$B$67,0))</f>
        <v>67.83</v>
      </c>
      <c r="Y653" s="25">
        <f t="shared" si="579"/>
        <v>3149</v>
      </c>
      <c r="Z653" s="25">
        <f t="shared" si="580"/>
        <v>529</v>
      </c>
      <c r="AA653" s="25">
        <f t="shared" si="581"/>
        <v>662</v>
      </c>
      <c r="AB653" s="25">
        <f t="shared" si="582"/>
        <v>543</v>
      </c>
    </row>
    <row r="654" spans="1:28">
      <c r="A654" s="48">
        <v>1010036</v>
      </c>
      <c r="B654" s="49" t="s">
        <v>915</v>
      </c>
      <c r="C654" s="25">
        <f t="shared" si="584"/>
        <v>36</v>
      </c>
      <c r="D654" s="25">
        <f t="array" ref="D654">INDEX(C$5:C$67,MATCH($B654,$B$5:$B$67,0))</f>
        <v>5280</v>
      </c>
      <c r="E654" s="25">
        <f t="array" ref="E654">INDEX(D$5:D$67,MATCH($B654,$B$5:$B$67,0))</f>
        <v>422.4</v>
      </c>
      <c r="F654" s="25">
        <f t="array" ref="F654">INDEX(E$5:E$67,MATCH($B654,$B$5:$B$67,0))</f>
        <v>677</v>
      </c>
      <c r="G654" s="25">
        <f t="array" ref="G654">INDEX(F$5:F$67,MATCH($B654,$B$5:$B$67,0))</f>
        <v>54.16</v>
      </c>
      <c r="H654" s="25">
        <f t="array" ref="H654">INDEX(G$5:G$66,MATCH($B654,$B$5:$B$67,0))</f>
        <v>541</v>
      </c>
      <c r="I654" s="25">
        <f t="array" ref="I654">INDEX(H$5:H$67,MATCH($B654,$B$5:$B$67,0))</f>
        <v>43.28</v>
      </c>
      <c r="J654" s="25">
        <f t="array" ref="J654">INDEX(I$5:I$67,MATCH($B654,$B$5:$B$67,0))</f>
        <v>960</v>
      </c>
      <c r="K654" s="25">
        <f t="array" ref="K654">INDEX(J$5:J$67,MATCH($B654,$B$5:$B$67,0))</f>
        <v>76.8</v>
      </c>
      <c r="L654" s="25">
        <f t="shared" si="575"/>
        <v>20486</v>
      </c>
      <c r="M654" s="25">
        <f t="shared" si="576"/>
        <v>2627</v>
      </c>
      <c r="N654" s="25">
        <f t="shared" si="577"/>
        <v>2099</v>
      </c>
      <c r="O654" s="25">
        <f t="shared" si="578"/>
        <v>3725</v>
      </c>
      <c r="R654" s="50">
        <f t="array" ref="R654">INDEX($B$46:$B$68,MATCH(S654,$C$46:$C$68,0))*1000+T654</f>
        <v>1029009</v>
      </c>
      <c r="S654" s="51" t="s">
        <v>357</v>
      </c>
      <c r="T654" s="29">
        <f t="shared" si="583"/>
        <v>9</v>
      </c>
      <c r="U654" s="25">
        <f t="array" ref="U654">INDEX(K$5:K$67,MATCH($S654,$B$5:$B$67,0))</f>
        <v>393.62</v>
      </c>
      <c r="V654" s="25">
        <f t="array" ref="V654">INDEX(L$5:L$67,MATCH($S654,$B$5:$B$67,0))</f>
        <v>66.15</v>
      </c>
      <c r="W654" s="25">
        <f t="array" ref="W654">INDEX(M$5:M$67,MATCH($S654,$B$5:$B$67,0))</f>
        <v>82.69</v>
      </c>
      <c r="X654" s="25">
        <f t="array" ref="X654">INDEX(N$5:N$67,MATCH($S654,$B$5:$B$67,0))</f>
        <v>67.83</v>
      </c>
      <c r="Y654" s="25">
        <f t="shared" si="579"/>
        <v>3543</v>
      </c>
      <c r="Z654" s="25">
        <f t="shared" si="580"/>
        <v>595</v>
      </c>
      <c r="AA654" s="25">
        <f t="shared" si="581"/>
        <v>744</v>
      </c>
      <c r="AB654" s="25">
        <f t="shared" si="582"/>
        <v>610</v>
      </c>
    </row>
    <row r="655" spans="1:28">
      <c r="A655" s="48">
        <v>1010037</v>
      </c>
      <c r="B655" s="49" t="s">
        <v>915</v>
      </c>
      <c r="C655" s="25">
        <f t="shared" si="584"/>
        <v>37</v>
      </c>
      <c r="D655" s="25">
        <f t="array" ref="D655">INDEX(C$5:C$67,MATCH($B655,$B$5:$B$67,0))</f>
        <v>5280</v>
      </c>
      <c r="E655" s="25">
        <f t="array" ref="E655">INDEX(D$5:D$67,MATCH($B655,$B$5:$B$67,0))</f>
        <v>422.4</v>
      </c>
      <c r="F655" s="25">
        <f t="array" ref="F655">INDEX(E$5:E$67,MATCH($B655,$B$5:$B$67,0))</f>
        <v>677</v>
      </c>
      <c r="G655" s="25">
        <f t="array" ref="G655">INDEX(F$5:F$67,MATCH($B655,$B$5:$B$67,0))</f>
        <v>54.16</v>
      </c>
      <c r="H655" s="25">
        <f t="array" ref="H655">INDEX(G$5:G$66,MATCH($B655,$B$5:$B$67,0))</f>
        <v>541</v>
      </c>
      <c r="I655" s="25">
        <f t="array" ref="I655">INDEX(H$5:H$67,MATCH($B655,$B$5:$B$67,0))</f>
        <v>43.28</v>
      </c>
      <c r="J655" s="25">
        <f t="array" ref="J655">INDEX(I$5:I$67,MATCH($B655,$B$5:$B$67,0))</f>
        <v>960</v>
      </c>
      <c r="K655" s="25">
        <f t="array" ref="K655">INDEX(J$5:J$67,MATCH($B655,$B$5:$B$67,0))</f>
        <v>76.8</v>
      </c>
      <c r="L655" s="25">
        <f t="shared" ref="L655:L718" si="585">ROUND(D655+E655*$C655,0)</f>
        <v>20909</v>
      </c>
      <c r="M655" s="25">
        <f t="shared" ref="M655:M718" si="586">ROUND(F655+G655*$C655,0)</f>
        <v>2681</v>
      </c>
      <c r="N655" s="25">
        <f t="shared" ref="N655:N718" si="587">ROUND(H655+I655*$C655,0)</f>
        <v>2142</v>
      </c>
      <c r="O655" s="25">
        <f t="shared" ref="O655:O718" si="588">ROUND(J655+K655*$C655,0)</f>
        <v>3802</v>
      </c>
      <c r="R655" s="50">
        <f t="array" ref="R655">INDEX($B$46:$B$68,MATCH(S655,$C$46:$C$68,0))*1000+T655</f>
        <v>1029010</v>
      </c>
      <c r="S655" s="51" t="s">
        <v>357</v>
      </c>
      <c r="T655" s="29">
        <f t="shared" si="583"/>
        <v>10</v>
      </c>
      <c r="U655" s="25">
        <f t="array" ref="U655">INDEX(K$5:K$67,MATCH($S655,$B$5:$B$67,0))</f>
        <v>393.62</v>
      </c>
      <c r="V655" s="25">
        <f t="array" ref="V655">INDEX(L$5:L$67,MATCH($S655,$B$5:$B$67,0))</f>
        <v>66.15</v>
      </c>
      <c r="W655" s="25">
        <f t="array" ref="W655">INDEX(M$5:M$67,MATCH($S655,$B$5:$B$67,0))</f>
        <v>82.69</v>
      </c>
      <c r="X655" s="25">
        <f t="array" ref="X655">INDEX(N$5:N$67,MATCH($S655,$B$5:$B$67,0))</f>
        <v>67.83</v>
      </c>
      <c r="Y655" s="25">
        <f t="shared" ref="Y655:Y718" si="589">ROUND($T655*U655,0)</f>
        <v>3936</v>
      </c>
      <c r="Z655" s="25">
        <f t="shared" ref="Z655:Z718" si="590">ROUND($T655*V655,0)</f>
        <v>662</v>
      </c>
      <c r="AA655" s="25">
        <f t="shared" ref="AA655:AA718" si="591">ROUND($T655*W655,0)</f>
        <v>827</v>
      </c>
      <c r="AB655" s="25">
        <f t="shared" ref="AB655:AB718" si="592">ROUND($T655*X655,0)</f>
        <v>678</v>
      </c>
    </row>
    <row r="656" spans="1:28">
      <c r="A656" s="48">
        <v>1010038</v>
      </c>
      <c r="B656" s="49" t="s">
        <v>915</v>
      </c>
      <c r="C656" s="25">
        <f t="shared" si="584"/>
        <v>38</v>
      </c>
      <c r="D656" s="25">
        <f t="array" ref="D656">INDEX(C$5:C$67,MATCH($B656,$B$5:$B$67,0))</f>
        <v>5280</v>
      </c>
      <c r="E656" s="25">
        <f t="array" ref="E656">INDEX(D$5:D$67,MATCH($B656,$B$5:$B$67,0))</f>
        <v>422.4</v>
      </c>
      <c r="F656" s="25">
        <f t="array" ref="F656">INDEX(E$5:E$67,MATCH($B656,$B$5:$B$67,0))</f>
        <v>677</v>
      </c>
      <c r="G656" s="25">
        <f t="array" ref="G656">INDEX(F$5:F$67,MATCH($B656,$B$5:$B$67,0))</f>
        <v>54.16</v>
      </c>
      <c r="H656" s="25">
        <f t="array" ref="H656">INDEX(G$5:G$66,MATCH($B656,$B$5:$B$67,0))</f>
        <v>541</v>
      </c>
      <c r="I656" s="25">
        <f t="array" ref="I656">INDEX(H$5:H$67,MATCH($B656,$B$5:$B$67,0))</f>
        <v>43.28</v>
      </c>
      <c r="J656" s="25">
        <f t="array" ref="J656">INDEX(I$5:I$67,MATCH($B656,$B$5:$B$67,0))</f>
        <v>960</v>
      </c>
      <c r="K656" s="25">
        <f t="array" ref="K656">INDEX(J$5:J$67,MATCH($B656,$B$5:$B$67,0))</f>
        <v>76.8</v>
      </c>
      <c r="L656" s="25">
        <f t="shared" si="585"/>
        <v>21331</v>
      </c>
      <c r="M656" s="25">
        <f t="shared" si="586"/>
        <v>2735</v>
      </c>
      <c r="N656" s="25">
        <f t="shared" si="587"/>
        <v>2186</v>
      </c>
      <c r="O656" s="25">
        <f t="shared" si="588"/>
        <v>3878</v>
      </c>
      <c r="R656" s="50">
        <f t="array" ref="R656">INDEX($B$46:$B$68,MATCH(S656,$C$46:$C$68,0))*1000+T656</f>
        <v>1029011</v>
      </c>
      <c r="S656" s="51" t="s">
        <v>357</v>
      </c>
      <c r="T656" s="29">
        <f t="shared" si="583"/>
        <v>11</v>
      </c>
      <c r="U656" s="25">
        <f t="array" ref="U656">INDEX(K$5:K$67,MATCH($S656,$B$5:$B$67,0))</f>
        <v>393.62</v>
      </c>
      <c r="V656" s="25">
        <f t="array" ref="V656">INDEX(L$5:L$67,MATCH($S656,$B$5:$B$67,0))</f>
        <v>66.15</v>
      </c>
      <c r="W656" s="25">
        <f t="array" ref="W656">INDEX(M$5:M$67,MATCH($S656,$B$5:$B$67,0))</f>
        <v>82.69</v>
      </c>
      <c r="X656" s="25">
        <f t="array" ref="X656">INDEX(N$5:N$67,MATCH($S656,$B$5:$B$67,0))</f>
        <v>67.83</v>
      </c>
      <c r="Y656" s="25">
        <f t="shared" si="589"/>
        <v>4330</v>
      </c>
      <c r="Z656" s="25">
        <f t="shared" si="590"/>
        <v>728</v>
      </c>
      <c r="AA656" s="25">
        <f t="shared" si="591"/>
        <v>910</v>
      </c>
      <c r="AB656" s="25">
        <f t="shared" si="592"/>
        <v>746</v>
      </c>
    </row>
    <row r="657" spans="1:28">
      <c r="A657" s="48">
        <v>1010039</v>
      </c>
      <c r="B657" s="49" t="s">
        <v>915</v>
      </c>
      <c r="C657" s="25">
        <f t="shared" si="584"/>
        <v>39</v>
      </c>
      <c r="D657" s="25">
        <f t="array" ref="D657">INDEX(C$5:C$67,MATCH($B657,$B$5:$B$67,0))</f>
        <v>5280</v>
      </c>
      <c r="E657" s="25">
        <f t="array" ref="E657">INDEX(D$5:D$67,MATCH($B657,$B$5:$B$67,0))</f>
        <v>422.4</v>
      </c>
      <c r="F657" s="25">
        <f t="array" ref="F657">INDEX(E$5:E$67,MATCH($B657,$B$5:$B$67,0))</f>
        <v>677</v>
      </c>
      <c r="G657" s="25">
        <f t="array" ref="G657">INDEX(F$5:F$67,MATCH($B657,$B$5:$B$67,0))</f>
        <v>54.16</v>
      </c>
      <c r="H657" s="25">
        <f t="array" ref="H657">INDEX(G$5:G$66,MATCH($B657,$B$5:$B$67,0))</f>
        <v>541</v>
      </c>
      <c r="I657" s="25">
        <f t="array" ref="I657">INDEX(H$5:H$67,MATCH($B657,$B$5:$B$67,0))</f>
        <v>43.28</v>
      </c>
      <c r="J657" s="25">
        <f t="array" ref="J657">INDEX(I$5:I$67,MATCH($B657,$B$5:$B$67,0))</f>
        <v>960</v>
      </c>
      <c r="K657" s="25">
        <f t="array" ref="K657">INDEX(J$5:J$67,MATCH($B657,$B$5:$B$67,0))</f>
        <v>76.8</v>
      </c>
      <c r="L657" s="25">
        <f t="shared" si="585"/>
        <v>21754</v>
      </c>
      <c r="M657" s="25">
        <f t="shared" si="586"/>
        <v>2789</v>
      </c>
      <c r="N657" s="25">
        <f t="shared" si="587"/>
        <v>2229</v>
      </c>
      <c r="O657" s="25">
        <f t="shared" si="588"/>
        <v>3955</v>
      </c>
      <c r="R657" s="50">
        <f t="array" ref="R657">INDEX($B$46:$B$68,MATCH(S657,$C$46:$C$68,0))*1000+T657</f>
        <v>1029012</v>
      </c>
      <c r="S657" s="51" t="s">
        <v>357</v>
      </c>
      <c r="T657" s="29">
        <f t="shared" si="583"/>
        <v>12</v>
      </c>
      <c r="U657" s="25">
        <f t="array" ref="U657">INDEX(K$5:K$67,MATCH($S657,$B$5:$B$67,0))</f>
        <v>393.62</v>
      </c>
      <c r="V657" s="25">
        <f t="array" ref="V657">INDEX(L$5:L$67,MATCH($S657,$B$5:$B$67,0))</f>
        <v>66.15</v>
      </c>
      <c r="W657" s="25">
        <f t="array" ref="W657">INDEX(M$5:M$67,MATCH($S657,$B$5:$B$67,0))</f>
        <v>82.69</v>
      </c>
      <c r="X657" s="25">
        <f t="array" ref="X657">INDEX(N$5:N$67,MATCH($S657,$B$5:$B$67,0))</f>
        <v>67.83</v>
      </c>
      <c r="Y657" s="25">
        <f t="shared" si="589"/>
        <v>4723</v>
      </c>
      <c r="Z657" s="25">
        <f t="shared" si="590"/>
        <v>794</v>
      </c>
      <c r="AA657" s="25">
        <f t="shared" si="591"/>
        <v>992</v>
      </c>
      <c r="AB657" s="25">
        <f t="shared" si="592"/>
        <v>814</v>
      </c>
    </row>
    <row r="658" spans="1:28">
      <c r="A658" s="48">
        <v>1010040</v>
      </c>
      <c r="B658" s="49" t="s">
        <v>915</v>
      </c>
      <c r="C658" s="25">
        <f t="shared" si="584"/>
        <v>40</v>
      </c>
      <c r="D658" s="25">
        <f t="array" ref="D658">INDEX(C$5:C$67,MATCH($B658,$B$5:$B$67,0))</f>
        <v>5280</v>
      </c>
      <c r="E658" s="25">
        <f t="array" ref="E658">INDEX(D$5:D$67,MATCH($B658,$B$5:$B$67,0))</f>
        <v>422.4</v>
      </c>
      <c r="F658" s="25">
        <f t="array" ref="F658">INDEX(E$5:E$67,MATCH($B658,$B$5:$B$67,0))</f>
        <v>677</v>
      </c>
      <c r="G658" s="25">
        <f t="array" ref="G658">INDEX(F$5:F$67,MATCH($B658,$B$5:$B$67,0))</f>
        <v>54.16</v>
      </c>
      <c r="H658" s="25">
        <f t="array" ref="H658">INDEX(G$5:G$66,MATCH($B658,$B$5:$B$67,0))</f>
        <v>541</v>
      </c>
      <c r="I658" s="25">
        <f t="array" ref="I658">INDEX(H$5:H$67,MATCH($B658,$B$5:$B$67,0))</f>
        <v>43.28</v>
      </c>
      <c r="J658" s="25">
        <f t="array" ref="J658">INDEX(I$5:I$67,MATCH($B658,$B$5:$B$67,0))</f>
        <v>960</v>
      </c>
      <c r="K658" s="25">
        <f t="array" ref="K658">INDEX(J$5:J$67,MATCH($B658,$B$5:$B$67,0))</f>
        <v>76.8</v>
      </c>
      <c r="L658" s="25">
        <f t="shared" si="585"/>
        <v>22176</v>
      </c>
      <c r="M658" s="25">
        <f t="shared" si="586"/>
        <v>2843</v>
      </c>
      <c r="N658" s="25">
        <f t="shared" si="587"/>
        <v>2272</v>
      </c>
      <c r="O658" s="25">
        <f t="shared" si="588"/>
        <v>4032</v>
      </c>
      <c r="R658" s="50">
        <f t="array" ref="R658">INDEX($B$46:$B$68,MATCH(S658,$C$46:$C$68,0))*1000+T658</f>
        <v>1029013</v>
      </c>
      <c r="S658" s="51" t="s">
        <v>357</v>
      </c>
      <c r="T658" s="29">
        <f t="shared" si="583"/>
        <v>13</v>
      </c>
      <c r="U658" s="25">
        <f t="array" ref="U658">INDEX(K$5:K$67,MATCH($S658,$B$5:$B$67,0))</f>
        <v>393.62</v>
      </c>
      <c r="V658" s="25">
        <f t="array" ref="V658">INDEX(L$5:L$67,MATCH($S658,$B$5:$B$67,0))</f>
        <v>66.15</v>
      </c>
      <c r="W658" s="25">
        <f t="array" ref="W658">INDEX(M$5:M$67,MATCH($S658,$B$5:$B$67,0))</f>
        <v>82.69</v>
      </c>
      <c r="X658" s="25">
        <f t="array" ref="X658">INDEX(N$5:N$67,MATCH($S658,$B$5:$B$67,0))</f>
        <v>67.83</v>
      </c>
      <c r="Y658" s="25">
        <f t="shared" si="589"/>
        <v>5117</v>
      </c>
      <c r="Z658" s="25">
        <f t="shared" si="590"/>
        <v>860</v>
      </c>
      <c r="AA658" s="25">
        <f t="shared" si="591"/>
        <v>1075</v>
      </c>
      <c r="AB658" s="25">
        <f t="shared" si="592"/>
        <v>882</v>
      </c>
    </row>
    <row r="659" spans="1:28">
      <c r="A659" s="48">
        <v>1010041</v>
      </c>
      <c r="B659" s="49" t="s">
        <v>915</v>
      </c>
      <c r="C659" s="25">
        <f t="shared" si="584"/>
        <v>41</v>
      </c>
      <c r="D659" s="25">
        <f t="array" ref="D659">INDEX(C$5:C$67,MATCH($B659,$B$5:$B$67,0))</f>
        <v>5280</v>
      </c>
      <c r="E659" s="25">
        <f t="array" ref="E659">INDEX(D$5:D$67,MATCH($B659,$B$5:$B$67,0))</f>
        <v>422.4</v>
      </c>
      <c r="F659" s="25">
        <f t="array" ref="F659">INDEX(E$5:E$67,MATCH($B659,$B$5:$B$67,0))</f>
        <v>677</v>
      </c>
      <c r="G659" s="25">
        <f t="array" ref="G659">INDEX(F$5:F$67,MATCH($B659,$B$5:$B$67,0))</f>
        <v>54.16</v>
      </c>
      <c r="H659" s="25">
        <f t="array" ref="H659">INDEX(G$5:G$66,MATCH($B659,$B$5:$B$67,0))</f>
        <v>541</v>
      </c>
      <c r="I659" s="25">
        <f t="array" ref="I659">INDEX(H$5:H$67,MATCH($B659,$B$5:$B$67,0))</f>
        <v>43.28</v>
      </c>
      <c r="J659" s="25">
        <f t="array" ref="J659">INDEX(I$5:I$67,MATCH($B659,$B$5:$B$67,0))</f>
        <v>960</v>
      </c>
      <c r="K659" s="25">
        <f t="array" ref="K659">INDEX(J$5:J$67,MATCH($B659,$B$5:$B$67,0))</f>
        <v>76.8</v>
      </c>
      <c r="L659" s="25">
        <f t="shared" si="585"/>
        <v>22598</v>
      </c>
      <c r="M659" s="25">
        <f t="shared" si="586"/>
        <v>2898</v>
      </c>
      <c r="N659" s="25">
        <f t="shared" si="587"/>
        <v>2315</v>
      </c>
      <c r="O659" s="25">
        <f t="shared" si="588"/>
        <v>4109</v>
      </c>
      <c r="R659" s="50">
        <f t="array" ref="R659">INDEX($B$46:$B$68,MATCH(S659,$C$46:$C$68,0))*1000+T659</f>
        <v>1029014</v>
      </c>
      <c r="S659" s="51" t="s">
        <v>357</v>
      </c>
      <c r="T659" s="29">
        <f t="shared" si="583"/>
        <v>14</v>
      </c>
      <c r="U659" s="25">
        <f t="array" ref="U659">INDEX(K$5:K$67,MATCH($S659,$B$5:$B$67,0))</f>
        <v>393.62</v>
      </c>
      <c r="V659" s="25">
        <f t="array" ref="V659">INDEX(L$5:L$67,MATCH($S659,$B$5:$B$67,0))</f>
        <v>66.15</v>
      </c>
      <c r="W659" s="25">
        <f t="array" ref="W659">INDEX(M$5:M$67,MATCH($S659,$B$5:$B$67,0))</f>
        <v>82.69</v>
      </c>
      <c r="X659" s="25">
        <f t="array" ref="X659">INDEX(N$5:N$67,MATCH($S659,$B$5:$B$67,0))</f>
        <v>67.83</v>
      </c>
      <c r="Y659" s="25">
        <f t="shared" si="589"/>
        <v>5511</v>
      </c>
      <c r="Z659" s="25">
        <f t="shared" si="590"/>
        <v>926</v>
      </c>
      <c r="AA659" s="25">
        <f t="shared" si="591"/>
        <v>1158</v>
      </c>
      <c r="AB659" s="25">
        <f t="shared" si="592"/>
        <v>950</v>
      </c>
    </row>
    <row r="660" spans="1:28">
      <c r="A660" s="48">
        <v>1010042</v>
      </c>
      <c r="B660" s="49" t="s">
        <v>915</v>
      </c>
      <c r="C660" s="25">
        <f t="shared" si="584"/>
        <v>42</v>
      </c>
      <c r="D660" s="25">
        <f t="array" ref="D660">INDEX(C$5:C$67,MATCH($B660,$B$5:$B$67,0))</f>
        <v>5280</v>
      </c>
      <c r="E660" s="25">
        <f t="array" ref="E660">INDEX(D$5:D$67,MATCH($B660,$B$5:$B$67,0))</f>
        <v>422.4</v>
      </c>
      <c r="F660" s="25">
        <f t="array" ref="F660">INDEX(E$5:E$67,MATCH($B660,$B$5:$B$67,0))</f>
        <v>677</v>
      </c>
      <c r="G660" s="25">
        <f t="array" ref="G660">INDEX(F$5:F$67,MATCH($B660,$B$5:$B$67,0))</f>
        <v>54.16</v>
      </c>
      <c r="H660" s="25">
        <f t="array" ref="H660">INDEX(G$5:G$66,MATCH($B660,$B$5:$B$67,0))</f>
        <v>541</v>
      </c>
      <c r="I660" s="25">
        <f t="array" ref="I660">INDEX(H$5:H$67,MATCH($B660,$B$5:$B$67,0))</f>
        <v>43.28</v>
      </c>
      <c r="J660" s="25">
        <f t="array" ref="J660">INDEX(I$5:I$67,MATCH($B660,$B$5:$B$67,0))</f>
        <v>960</v>
      </c>
      <c r="K660" s="25">
        <f t="array" ref="K660">INDEX(J$5:J$67,MATCH($B660,$B$5:$B$67,0))</f>
        <v>76.8</v>
      </c>
      <c r="L660" s="25">
        <f t="shared" si="585"/>
        <v>23021</v>
      </c>
      <c r="M660" s="25">
        <f t="shared" si="586"/>
        <v>2952</v>
      </c>
      <c r="N660" s="25">
        <f t="shared" si="587"/>
        <v>2359</v>
      </c>
      <c r="O660" s="25">
        <f t="shared" si="588"/>
        <v>4186</v>
      </c>
      <c r="R660" s="50">
        <f t="array" ref="R660">INDEX($B$46:$B$68,MATCH(S660,$C$46:$C$68,0))*1000+T660</f>
        <v>1029015</v>
      </c>
      <c r="S660" s="51" t="s">
        <v>357</v>
      </c>
      <c r="T660" s="29">
        <f t="shared" si="583"/>
        <v>15</v>
      </c>
      <c r="U660" s="25">
        <f t="array" ref="U660">INDEX(K$5:K$67,MATCH($S660,$B$5:$B$67,0))</f>
        <v>393.62</v>
      </c>
      <c r="V660" s="25">
        <f t="array" ref="V660">INDEX(L$5:L$67,MATCH($S660,$B$5:$B$67,0))</f>
        <v>66.15</v>
      </c>
      <c r="W660" s="25">
        <f t="array" ref="W660">INDEX(M$5:M$67,MATCH($S660,$B$5:$B$67,0))</f>
        <v>82.69</v>
      </c>
      <c r="X660" s="25">
        <f t="array" ref="X660">INDEX(N$5:N$67,MATCH($S660,$B$5:$B$67,0))</f>
        <v>67.83</v>
      </c>
      <c r="Y660" s="25">
        <f t="shared" si="589"/>
        <v>5904</v>
      </c>
      <c r="Z660" s="25">
        <f t="shared" si="590"/>
        <v>992</v>
      </c>
      <c r="AA660" s="25">
        <f t="shared" si="591"/>
        <v>1240</v>
      </c>
      <c r="AB660" s="25">
        <f t="shared" si="592"/>
        <v>1017</v>
      </c>
    </row>
    <row r="661" spans="1:28">
      <c r="A661" s="48">
        <v>1010043</v>
      </c>
      <c r="B661" s="49" t="s">
        <v>915</v>
      </c>
      <c r="C661" s="25">
        <f t="shared" si="584"/>
        <v>43</v>
      </c>
      <c r="D661" s="25">
        <f t="array" ref="D661">INDEX(C$5:C$67,MATCH($B661,$B$5:$B$67,0))</f>
        <v>5280</v>
      </c>
      <c r="E661" s="25">
        <f t="array" ref="E661">INDEX(D$5:D$67,MATCH($B661,$B$5:$B$67,0))</f>
        <v>422.4</v>
      </c>
      <c r="F661" s="25">
        <f t="array" ref="F661">INDEX(E$5:E$67,MATCH($B661,$B$5:$B$67,0))</f>
        <v>677</v>
      </c>
      <c r="G661" s="25">
        <f t="array" ref="G661">INDEX(F$5:F$67,MATCH($B661,$B$5:$B$67,0))</f>
        <v>54.16</v>
      </c>
      <c r="H661" s="25">
        <f t="array" ref="H661">INDEX(G$5:G$66,MATCH($B661,$B$5:$B$67,0))</f>
        <v>541</v>
      </c>
      <c r="I661" s="25">
        <f t="array" ref="I661">INDEX(H$5:H$67,MATCH($B661,$B$5:$B$67,0))</f>
        <v>43.28</v>
      </c>
      <c r="J661" s="25">
        <f t="array" ref="J661">INDEX(I$5:I$67,MATCH($B661,$B$5:$B$67,0))</f>
        <v>960</v>
      </c>
      <c r="K661" s="25">
        <f t="array" ref="K661">INDEX(J$5:J$67,MATCH($B661,$B$5:$B$67,0))</f>
        <v>76.8</v>
      </c>
      <c r="L661" s="25">
        <f t="shared" si="585"/>
        <v>23443</v>
      </c>
      <c r="M661" s="25">
        <f t="shared" si="586"/>
        <v>3006</v>
      </c>
      <c r="N661" s="25">
        <f t="shared" si="587"/>
        <v>2402</v>
      </c>
      <c r="O661" s="25">
        <f t="shared" si="588"/>
        <v>4262</v>
      </c>
      <c r="R661" s="50">
        <f t="array" ref="R661">INDEX($B$46:$B$68,MATCH(S661,$C$46:$C$68,0))*1000+T661</f>
        <v>1029016</v>
      </c>
      <c r="S661" s="51" t="s">
        <v>357</v>
      </c>
      <c r="T661" s="29">
        <f t="shared" si="583"/>
        <v>16</v>
      </c>
      <c r="U661" s="25">
        <f t="array" ref="U661">INDEX(K$5:K$67,MATCH($S661,$B$5:$B$67,0))</f>
        <v>393.62</v>
      </c>
      <c r="V661" s="25">
        <f t="array" ref="V661">INDEX(L$5:L$67,MATCH($S661,$B$5:$B$67,0))</f>
        <v>66.15</v>
      </c>
      <c r="W661" s="25">
        <f t="array" ref="W661">INDEX(M$5:M$67,MATCH($S661,$B$5:$B$67,0))</f>
        <v>82.69</v>
      </c>
      <c r="X661" s="25">
        <f t="array" ref="X661">INDEX(N$5:N$67,MATCH($S661,$B$5:$B$67,0))</f>
        <v>67.83</v>
      </c>
      <c r="Y661" s="25">
        <f t="shared" si="589"/>
        <v>6298</v>
      </c>
      <c r="Z661" s="25">
        <f t="shared" si="590"/>
        <v>1058</v>
      </c>
      <c r="AA661" s="25">
        <f t="shared" si="591"/>
        <v>1323</v>
      </c>
      <c r="AB661" s="25">
        <f t="shared" si="592"/>
        <v>1085</v>
      </c>
    </row>
    <row r="662" spans="1:28">
      <c r="A662" s="48">
        <v>1010044</v>
      </c>
      <c r="B662" s="49" t="s">
        <v>915</v>
      </c>
      <c r="C662" s="25">
        <f t="shared" si="584"/>
        <v>44</v>
      </c>
      <c r="D662" s="25">
        <f t="array" ref="D662">INDEX(C$5:C$67,MATCH($B662,$B$5:$B$67,0))</f>
        <v>5280</v>
      </c>
      <c r="E662" s="25">
        <f t="array" ref="E662">INDEX(D$5:D$67,MATCH($B662,$B$5:$B$67,0))</f>
        <v>422.4</v>
      </c>
      <c r="F662" s="25">
        <f t="array" ref="F662">INDEX(E$5:E$67,MATCH($B662,$B$5:$B$67,0))</f>
        <v>677</v>
      </c>
      <c r="G662" s="25">
        <f t="array" ref="G662">INDEX(F$5:F$67,MATCH($B662,$B$5:$B$67,0))</f>
        <v>54.16</v>
      </c>
      <c r="H662" s="25">
        <f t="array" ref="H662">INDEX(G$5:G$66,MATCH($B662,$B$5:$B$67,0))</f>
        <v>541</v>
      </c>
      <c r="I662" s="25">
        <f t="array" ref="I662">INDEX(H$5:H$67,MATCH($B662,$B$5:$B$67,0))</f>
        <v>43.28</v>
      </c>
      <c r="J662" s="25">
        <f t="array" ref="J662">INDEX(I$5:I$67,MATCH($B662,$B$5:$B$67,0))</f>
        <v>960</v>
      </c>
      <c r="K662" s="25">
        <f t="array" ref="K662">INDEX(J$5:J$67,MATCH($B662,$B$5:$B$67,0))</f>
        <v>76.8</v>
      </c>
      <c r="L662" s="25">
        <f t="shared" si="585"/>
        <v>23866</v>
      </c>
      <c r="M662" s="25">
        <f t="shared" si="586"/>
        <v>3060</v>
      </c>
      <c r="N662" s="25">
        <f t="shared" si="587"/>
        <v>2445</v>
      </c>
      <c r="O662" s="25">
        <f t="shared" si="588"/>
        <v>4339</v>
      </c>
      <c r="R662" s="50">
        <f t="array" ref="R662">INDEX($B$46:$B$68,MATCH(S662,$C$46:$C$68,0))*1000+T662</f>
        <v>1029017</v>
      </c>
      <c r="S662" s="51" t="s">
        <v>357</v>
      </c>
      <c r="T662" s="29">
        <f t="shared" si="583"/>
        <v>17</v>
      </c>
      <c r="U662" s="25">
        <f t="array" ref="U662">INDEX(K$5:K$67,MATCH($S662,$B$5:$B$67,0))</f>
        <v>393.62</v>
      </c>
      <c r="V662" s="25">
        <f t="array" ref="V662">INDEX(L$5:L$67,MATCH($S662,$B$5:$B$67,0))</f>
        <v>66.15</v>
      </c>
      <c r="W662" s="25">
        <f t="array" ref="W662">INDEX(M$5:M$67,MATCH($S662,$B$5:$B$67,0))</f>
        <v>82.69</v>
      </c>
      <c r="X662" s="25">
        <f t="array" ref="X662">INDEX(N$5:N$67,MATCH($S662,$B$5:$B$67,0))</f>
        <v>67.83</v>
      </c>
      <c r="Y662" s="25">
        <f t="shared" si="589"/>
        <v>6692</v>
      </c>
      <c r="Z662" s="25">
        <f t="shared" si="590"/>
        <v>1125</v>
      </c>
      <c r="AA662" s="25">
        <f t="shared" si="591"/>
        <v>1406</v>
      </c>
      <c r="AB662" s="25">
        <f t="shared" si="592"/>
        <v>1153</v>
      </c>
    </row>
    <row r="663" spans="1:28">
      <c r="A663" s="48">
        <v>1010045</v>
      </c>
      <c r="B663" s="49" t="s">
        <v>915</v>
      </c>
      <c r="C663" s="25">
        <f t="shared" si="584"/>
        <v>45</v>
      </c>
      <c r="D663" s="25">
        <f t="array" ref="D663">INDEX(C$5:C$67,MATCH($B663,$B$5:$B$67,0))</f>
        <v>5280</v>
      </c>
      <c r="E663" s="25">
        <f t="array" ref="E663">INDEX(D$5:D$67,MATCH($B663,$B$5:$B$67,0))</f>
        <v>422.4</v>
      </c>
      <c r="F663" s="25">
        <f t="array" ref="F663">INDEX(E$5:E$67,MATCH($B663,$B$5:$B$67,0))</f>
        <v>677</v>
      </c>
      <c r="G663" s="25">
        <f t="array" ref="G663">INDEX(F$5:F$67,MATCH($B663,$B$5:$B$67,0))</f>
        <v>54.16</v>
      </c>
      <c r="H663" s="25">
        <f t="array" ref="H663">INDEX(G$5:G$66,MATCH($B663,$B$5:$B$67,0))</f>
        <v>541</v>
      </c>
      <c r="I663" s="25">
        <f t="array" ref="I663">INDEX(H$5:H$67,MATCH($B663,$B$5:$B$67,0))</f>
        <v>43.28</v>
      </c>
      <c r="J663" s="25">
        <f t="array" ref="J663">INDEX(I$5:I$67,MATCH($B663,$B$5:$B$67,0))</f>
        <v>960</v>
      </c>
      <c r="K663" s="25">
        <f t="array" ref="K663">INDEX(J$5:J$67,MATCH($B663,$B$5:$B$67,0))</f>
        <v>76.8</v>
      </c>
      <c r="L663" s="25">
        <f t="shared" si="585"/>
        <v>24288</v>
      </c>
      <c r="M663" s="25">
        <f t="shared" si="586"/>
        <v>3114</v>
      </c>
      <c r="N663" s="25">
        <f t="shared" si="587"/>
        <v>2489</v>
      </c>
      <c r="O663" s="25">
        <f t="shared" si="588"/>
        <v>4416</v>
      </c>
      <c r="R663" s="50">
        <f t="array" ref="R663">INDEX($B$46:$B$68,MATCH(S663,$C$46:$C$68,0))*1000+T663</f>
        <v>1029018</v>
      </c>
      <c r="S663" s="51" t="s">
        <v>357</v>
      </c>
      <c r="T663" s="29">
        <f t="shared" si="583"/>
        <v>18</v>
      </c>
      <c r="U663" s="25">
        <f t="array" ref="U663">INDEX(K$5:K$67,MATCH($S663,$B$5:$B$67,0))</f>
        <v>393.62</v>
      </c>
      <c r="V663" s="25">
        <f t="array" ref="V663">INDEX(L$5:L$67,MATCH($S663,$B$5:$B$67,0))</f>
        <v>66.15</v>
      </c>
      <c r="W663" s="25">
        <f t="array" ref="W663">INDEX(M$5:M$67,MATCH($S663,$B$5:$B$67,0))</f>
        <v>82.69</v>
      </c>
      <c r="X663" s="25">
        <f t="array" ref="X663">INDEX(N$5:N$67,MATCH($S663,$B$5:$B$67,0))</f>
        <v>67.83</v>
      </c>
      <c r="Y663" s="25">
        <f t="shared" si="589"/>
        <v>7085</v>
      </c>
      <c r="Z663" s="25">
        <f t="shared" si="590"/>
        <v>1191</v>
      </c>
      <c r="AA663" s="25">
        <f t="shared" si="591"/>
        <v>1488</v>
      </c>
      <c r="AB663" s="25">
        <f t="shared" si="592"/>
        <v>1221</v>
      </c>
    </row>
    <row r="664" spans="1:28">
      <c r="A664" s="48">
        <v>1010046</v>
      </c>
      <c r="B664" s="49" t="s">
        <v>915</v>
      </c>
      <c r="C664" s="25">
        <f t="shared" si="584"/>
        <v>46</v>
      </c>
      <c r="D664" s="25">
        <f t="array" ref="D664">INDEX(C$5:C$67,MATCH($B664,$B$5:$B$67,0))</f>
        <v>5280</v>
      </c>
      <c r="E664" s="25">
        <f t="array" ref="E664">INDEX(D$5:D$67,MATCH($B664,$B$5:$B$67,0))</f>
        <v>422.4</v>
      </c>
      <c r="F664" s="25">
        <f t="array" ref="F664">INDEX(E$5:E$67,MATCH($B664,$B$5:$B$67,0))</f>
        <v>677</v>
      </c>
      <c r="G664" s="25">
        <f t="array" ref="G664">INDEX(F$5:F$67,MATCH($B664,$B$5:$B$67,0))</f>
        <v>54.16</v>
      </c>
      <c r="H664" s="25">
        <f t="array" ref="H664">INDEX(G$5:G$66,MATCH($B664,$B$5:$B$67,0))</f>
        <v>541</v>
      </c>
      <c r="I664" s="25">
        <f t="array" ref="I664">INDEX(H$5:H$67,MATCH($B664,$B$5:$B$67,0))</f>
        <v>43.28</v>
      </c>
      <c r="J664" s="25">
        <f t="array" ref="J664">INDEX(I$5:I$67,MATCH($B664,$B$5:$B$67,0))</f>
        <v>960</v>
      </c>
      <c r="K664" s="25">
        <f t="array" ref="K664">INDEX(J$5:J$67,MATCH($B664,$B$5:$B$67,0))</f>
        <v>76.8</v>
      </c>
      <c r="L664" s="25">
        <f t="shared" si="585"/>
        <v>24710</v>
      </c>
      <c r="M664" s="25">
        <f t="shared" si="586"/>
        <v>3168</v>
      </c>
      <c r="N664" s="25">
        <f t="shared" si="587"/>
        <v>2532</v>
      </c>
      <c r="O664" s="25">
        <f t="shared" si="588"/>
        <v>4493</v>
      </c>
      <c r="R664" s="50">
        <f t="array" ref="R664">INDEX($B$46:$B$68,MATCH(S664,$C$46:$C$68,0))*1000+T664</f>
        <v>1029019</v>
      </c>
      <c r="S664" s="51" t="s">
        <v>357</v>
      </c>
      <c r="T664" s="29">
        <f t="shared" si="583"/>
        <v>19</v>
      </c>
      <c r="U664" s="25">
        <f t="array" ref="U664">INDEX(K$5:K$67,MATCH($S664,$B$5:$B$67,0))</f>
        <v>393.62</v>
      </c>
      <c r="V664" s="25">
        <f t="array" ref="V664">INDEX(L$5:L$67,MATCH($S664,$B$5:$B$67,0))</f>
        <v>66.15</v>
      </c>
      <c r="W664" s="25">
        <f t="array" ref="W664">INDEX(M$5:M$67,MATCH($S664,$B$5:$B$67,0))</f>
        <v>82.69</v>
      </c>
      <c r="X664" s="25">
        <f t="array" ref="X664">INDEX(N$5:N$67,MATCH($S664,$B$5:$B$67,0))</f>
        <v>67.83</v>
      </c>
      <c r="Y664" s="25">
        <f t="shared" si="589"/>
        <v>7479</v>
      </c>
      <c r="Z664" s="25">
        <f t="shared" si="590"/>
        <v>1257</v>
      </c>
      <c r="AA664" s="25">
        <f t="shared" si="591"/>
        <v>1571</v>
      </c>
      <c r="AB664" s="25">
        <f t="shared" si="592"/>
        <v>1289</v>
      </c>
    </row>
    <row r="665" spans="1:28">
      <c r="A665" s="48">
        <v>1010047</v>
      </c>
      <c r="B665" s="49" t="s">
        <v>915</v>
      </c>
      <c r="C665" s="25">
        <f t="shared" si="584"/>
        <v>47</v>
      </c>
      <c r="D665" s="25">
        <f t="array" ref="D665">INDEX(C$5:C$67,MATCH($B665,$B$5:$B$67,0))</f>
        <v>5280</v>
      </c>
      <c r="E665" s="25">
        <f t="array" ref="E665">INDEX(D$5:D$67,MATCH($B665,$B$5:$B$67,0))</f>
        <v>422.4</v>
      </c>
      <c r="F665" s="25">
        <f t="array" ref="F665">INDEX(E$5:E$67,MATCH($B665,$B$5:$B$67,0))</f>
        <v>677</v>
      </c>
      <c r="G665" s="25">
        <f t="array" ref="G665">INDEX(F$5:F$67,MATCH($B665,$B$5:$B$67,0))</f>
        <v>54.16</v>
      </c>
      <c r="H665" s="25">
        <f t="array" ref="H665">INDEX(G$5:G$66,MATCH($B665,$B$5:$B$67,0))</f>
        <v>541</v>
      </c>
      <c r="I665" s="25">
        <f t="array" ref="I665">INDEX(H$5:H$67,MATCH($B665,$B$5:$B$67,0))</f>
        <v>43.28</v>
      </c>
      <c r="J665" s="25">
        <f t="array" ref="J665">INDEX(I$5:I$67,MATCH($B665,$B$5:$B$67,0))</f>
        <v>960</v>
      </c>
      <c r="K665" s="25">
        <f t="array" ref="K665">INDEX(J$5:J$67,MATCH($B665,$B$5:$B$67,0))</f>
        <v>76.8</v>
      </c>
      <c r="L665" s="25">
        <f t="shared" si="585"/>
        <v>25133</v>
      </c>
      <c r="M665" s="25">
        <f t="shared" si="586"/>
        <v>3223</v>
      </c>
      <c r="N665" s="25">
        <f t="shared" si="587"/>
        <v>2575</v>
      </c>
      <c r="O665" s="25">
        <f t="shared" si="588"/>
        <v>4570</v>
      </c>
      <c r="R665" s="50">
        <f t="array" ref="R665">INDEX($B$46:$B$68,MATCH(S665,$C$46:$C$68,0))*1000+T665</f>
        <v>1029020</v>
      </c>
      <c r="S665" s="51" t="s">
        <v>357</v>
      </c>
      <c r="T665" s="29">
        <f t="shared" si="583"/>
        <v>20</v>
      </c>
      <c r="U665" s="25">
        <f t="array" ref="U665">INDEX(K$5:K$67,MATCH($S665,$B$5:$B$67,0))</f>
        <v>393.62</v>
      </c>
      <c r="V665" s="25">
        <f t="array" ref="V665">INDEX(L$5:L$67,MATCH($S665,$B$5:$B$67,0))</f>
        <v>66.15</v>
      </c>
      <c r="W665" s="25">
        <f t="array" ref="W665">INDEX(M$5:M$67,MATCH($S665,$B$5:$B$67,0))</f>
        <v>82.69</v>
      </c>
      <c r="X665" s="25">
        <f t="array" ref="X665">INDEX(N$5:N$67,MATCH($S665,$B$5:$B$67,0))</f>
        <v>67.83</v>
      </c>
      <c r="Y665" s="25">
        <f t="shared" si="589"/>
        <v>7872</v>
      </c>
      <c r="Z665" s="25">
        <f t="shared" si="590"/>
        <v>1323</v>
      </c>
      <c r="AA665" s="25">
        <f t="shared" si="591"/>
        <v>1654</v>
      </c>
      <c r="AB665" s="25">
        <f t="shared" si="592"/>
        <v>1357</v>
      </c>
    </row>
    <row r="666" spans="1:28">
      <c r="A666" s="48">
        <v>1010048</v>
      </c>
      <c r="B666" s="49" t="s">
        <v>915</v>
      </c>
      <c r="C666" s="25">
        <f t="shared" si="584"/>
        <v>48</v>
      </c>
      <c r="D666" s="25">
        <f t="array" ref="D666">INDEX(C$5:C$67,MATCH($B666,$B$5:$B$67,0))</f>
        <v>5280</v>
      </c>
      <c r="E666" s="25">
        <f t="array" ref="E666">INDEX(D$5:D$67,MATCH($B666,$B$5:$B$67,0))</f>
        <v>422.4</v>
      </c>
      <c r="F666" s="25">
        <f t="array" ref="F666">INDEX(E$5:E$67,MATCH($B666,$B$5:$B$67,0))</f>
        <v>677</v>
      </c>
      <c r="G666" s="25">
        <f t="array" ref="G666">INDEX(F$5:F$67,MATCH($B666,$B$5:$B$67,0))</f>
        <v>54.16</v>
      </c>
      <c r="H666" s="25">
        <f t="array" ref="H666">INDEX(G$5:G$66,MATCH($B666,$B$5:$B$67,0))</f>
        <v>541</v>
      </c>
      <c r="I666" s="25">
        <f t="array" ref="I666">INDEX(H$5:H$67,MATCH($B666,$B$5:$B$67,0))</f>
        <v>43.28</v>
      </c>
      <c r="J666" s="25">
        <f t="array" ref="J666">INDEX(I$5:I$67,MATCH($B666,$B$5:$B$67,0))</f>
        <v>960</v>
      </c>
      <c r="K666" s="25">
        <f t="array" ref="K666">INDEX(J$5:J$67,MATCH($B666,$B$5:$B$67,0))</f>
        <v>76.8</v>
      </c>
      <c r="L666" s="25">
        <f t="shared" si="585"/>
        <v>25555</v>
      </c>
      <c r="M666" s="25">
        <f t="shared" si="586"/>
        <v>3277</v>
      </c>
      <c r="N666" s="25">
        <f t="shared" si="587"/>
        <v>2618</v>
      </c>
      <c r="O666" s="25">
        <f t="shared" si="588"/>
        <v>4646</v>
      </c>
      <c r="R666" s="50">
        <f t="array" ref="R666">INDEX($B$46:$B$68,MATCH(S666,$C$46:$C$68,0))*1000+T666</f>
        <v>1029021</v>
      </c>
      <c r="S666" s="51" t="s">
        <v>357</v>
      </c>
      <c r="T666" s="29">
        <f t="shared" si="583"/>
        <v>21</v>
      </c>
      <c r="U666" s="25">
        <f t="array" ref="U666">INDEX(K$5:K$67,MATCH($S666,$B$5:$B$67,0))</f>
        <v>393.62</v>
      </c>
      <c r="V666" s="25">
        <f t="array" ref="V666">INDEX(L$5:L$67,MATCH($S666,$B$5:$B$67,0))</f>
        <v>66.15</v>
      </c>
      <c r="W666" s="25">
        <f t="array" ref="W666">INDEX(M$5:M$67,MATCH($S666,$B$5:$B$67,0))</f>
        <v>82.69</v>
      </c>
      <c r="X666" s="25">
        <f t="array" ref="X666">INDEX(N$5:N$67,MATCH($S666,$B$5:$B$67,0))</f>
        <v>67.83</v>
      </c>
      <c r="Y666" s="25">
        <f t="shared" si="589"/>
        <v>8266</v>
      </c>
      <c r="Z666" s="25">
        <f t="shared" si="590"/>
        <v>1389</v>
      </c>
      <c r="AA666" s="25">
        <f t="shared" si="591"/>
        <v>1736</v>
      </c>
      <c r="AB666" s="25">
        <f t="shared" si="592"/>
        <v>1424</v>
      </c>
    </row>
    <row r="667" spans="1:28">
      <c r="A667" s="48">
        <v>1010049</v>
      </c>
      <c r="B667" s="49" t="s">
        <v>915</v>
      </c>
      <c r="C667" s="25">
        <f t="shared" si="584"/>
        <v>49</v>
      </c>
      <c r="D667" s="25">
        <f t="array" ref="D667">INDEX(C$5:C$67,MATCH($B667,$B$5:$B$67,0))</f>
        <v>5280</v>
      </c>
      <c r="E667" s="25">
        <f t="array" ref="E667">INDEX(D$5:D$67,MATCH($B667,$B$5:$B$67,0))</f>
        <v>422.4</v>
      </c>
      <c r="F667" s="25">
        <f t="array" ref="F667">INDEX(E$5:E$67,MATCH($B667,$B$5:$B$67,0))</f>
        <v>677</v>
      </c>
      <c r="G667" s="25">
        <f t="array" ref="G667">INDEX(F$5:F$67,MATCH($B667,$B$5:$B$67,0))</f>
        <v>54.16</v>
      </c>
      <c r="H667" s="25">
        <f t="array" ref="H667">INDEX(G$5:G$66,MATCH($B667,$B$5:$B$67,0))</f>
        <v>541</v>
      </c>
      <c r="I667" s="25">
        <f t="array" ref="I667">INDEX(H$5:H$67,MATCH($B667,$B$5:$B$67,0))</f>
        <v>43.28</v>
      </c>
      <c r="J667" s="25">
        <f t="array" ref="J667">INDEX(I$5:I$67,MATCH($B667,$B$5:$B$67,0))</f>
        <v>960</v>
      </c>
      <c r="K667" s="25">
        <f t="array" ref="K667">INDEX(J$5:J$67,MATCH($B667,$B$5:$B$67,0))</f>
        <v>76.8</v>
      </c>
      <c r="L667" s="25">
        <f t="shared" si="585"/>
        <v>25978</v>
      </c>
      <c r="M667" s="25">
        <f t="shared" si="586"/>
        <v>3331</v>
      </c>
      <c r="N667" s="25">
        <f t="shared" si="587"/>
        <v>2662</v>
      </c>
      <c r="O667" s="25">
        <f t="shared" si="588"/>
        <v>4723</v>
      </c>
      <c r="R667" s="50">
        <f t="array" ref="R667">INDEX($B$46:$B$68,MATCH(S667,$C$46:$C$68,0))*1000+T667</f>
        <v>1029022</v>
      </c>
      <c r="S667" s="51" t="s">
        <v>357</v>
      </c>
      <c r="T667" s="29">
        <f t="shared" si="583"/>
        <v>22</v>
      </c>
      <c r="U667" s="25">
        <f t="array" ref="U667">INDEX(K$5:K$67,MATCH($S667,$B$5:$B$67,0))</f>
        <v>393.62</v>
      </c>
      <c r="V667" s="25">
        <f t="array" ref="V667">INDEX(L$5:L$67,MATCH($S667,$B$5:$B$67,0))</f>
        <v>66.15</v>
      </c>
      <c r="W667" s="25">
        <f t="array" ref="W667">INDEX(M$5:M$67,MATCH($S667,$B$5:$B$67,0))</f>
        <v>82.69</v>
      </c>
      <c r="X667" s="25">
        <f t="array" ref="X667">INDEX(N$5:N$67,MATCH($S667,$B$5:$B$67,0))</f>
        <v>67.83</v>
      </c>
      <c r="Y667" s="25">
        <f t="shared" si="589"/>
        <v>8660</v>
      </c>
      <c r="Z667" s="25">
        <f t="shared" si="590"/>
        <v>1455</v>
      </c>
      <c r="AA667" s="25">
        <f t="shared" si="591"/>
        <v>1819</v>
      </c>
      <c r="AB667" s="25">
        <f t="shared" si="592"/>
        <v>1492</v>
      </c>
    </row>
    <row r="668" spans="1:28">
      <c r="A668" s="48">
        <v>1010050</v>
      </c>
      <c r="B668" s="49" t="s">
        <v>915</v>
      </c>
      <c r="C668" s="25">
        <f t="shared" si="584"/>
        <v>50</v>
      </c>
      <c r="D668" s="25">
        <f t="array" ref="D668">INDEX(C$5:C$67,MATCH($B668,$B$5:$B$67,0))</f>
        <v>5280</v>
      </c>
      <c r="E668" s="25">
        <f t="array" ref="E668">INDEX(D$5:D$67,MATCH($B668,$B$5:$B$67,0))</f>
        <v>422.4</v>
      </c>
      <c r="F668" s="25">
        <f t="array" ref="F668">INDEX(E$5:E$67,MATCH($B668,$B$5:$B$67,0))</f>
        <v>677</v>
      </c>
      <c r="G668" s="25">
        <f t="array" ref="G668">INDEX(F$5:F$67,MATCH($B668,$B$5:$B$67,0))</f>
        <v>54.16</v>
      </c>
      <c r="H668" s="25">
        <f t="array" ref="H668">INDEX(G$5:G$66,MATCH($B668,$B$5:$B$67,0))</f>
        <v>541</v>
      </c>
      <c r="I668" s="25">
        <f t="array" ref="I668">INDEX(H$5:H$67,MATCH($B668,$B$5:$B$67,0))</f>
        <v>43.28</v>
      </c>
      <c r="J668" s="25">
        <f t="array" ref="J668">INDEX(I$5:I$67,MATCH($B668,$B$5:$B$67,0))</f>
        <v>960</v>
      </c>
      <c r="K668" s="25">
        <f t="array" ref="K668">INDEX(J$5:J$67,MATCH($B668,$B$5:$B$67,0))</f>
        <v>76.8</v>
      </c>
      <c r="L668" s="25">
        <f t="shared" si="585"/>
        <v>26400</v>
      </c>
      <c r="M668" s="25">
        <f t="shared" si="586"/>
        <v>3385</v>
      </c>
      <c r="N668" s="25">
        <f t="shared" si="587"/>
        <v>2705</v>
      </c>
      <c r="O668" s="25">
        <f t="shared" si="588"/>
        <v>4800</v>
      </c>
      <c r="R668" s="50">
        <f t="array" ref="R668">INDEX($B$46:$B$68,MATCH(S668,$C$46:$C$68,0))*1000+T668</f>
        <v>1029023</v>
      </c>
      <c r="S668" s="51" t="s">
        <v>357</v>
      </c>
      <c r="T668" s="29">
        <f t="shared" si="583"/>
        <v>23</v>
      </c>
      <c r="U668" s="25">
        <f t="array" ref="U668">INDEX(K$5:K$67,MATCH($S668,$B$5:$B$67,0))</f>
        <v>393.62</v>
      </c>
      <c r="V668" s="25">
        <f t="array" ref="V668">INDEX(L$5:L$67,MATCH($S668,$B$5:$B$67,0))</f>
        <v>66.15</v>
      </c>
      <c r="W668" s="25">
        <f t="array" ref="W668">INDEX(M$5:M$67,MATCH($S668,$B$5:$B$67,0))</f>
        <v>82.69</v>
      </c>
      <c r="X668" s="25">
        <f t="array" ref="X668">INDEX(N$5:N$67,MATCH($S668,$B$5:$B$67,0))</f>
        <v>67.83</v>
      </c>
      <c r="Y668" s="25">
        <f t="shared" si="589"/>
        <v>9053</v>
      </c>
      <c r="Z668" s="25">
        <f t="shared" si="590"/>
        <v>1521</v>
      </c>
      <c r="AA668" s="25">
        <f t="shared" si="591"/>
        <v>1902</v>
      </c>
      <c r="AB668" s="25">
        <f t="shared" si="592"/>
        <v>1560</v>
      </c>
    </row>
    <row r="669" spans="1:28">
      <c r="A669" s="48">
        <v>1010051</v>
      </c>
      <c r="B669" s="49" t="s">
        <v>915</v>
      </c>
      <c r="C669" s="25">
        <f t="shared" si="584"/>
        <v>51</v>
      </c>
      <c r="D669" s="25">
        <f t="array" ref="D669">INDEX(C$5:C$67,MATCH($B669,$B$5:$B$67,0))</f>
        <v>5280</v>
      </c>
      <c r="E669" s="25">
        <f t="array" ref="E669">INDEX(D$5:D$67,MATCH($B669,$B$5:$B$67,0))</f>
        <v>422.4</v>
      </c>
      <c r="F669" s="25">
        <f t="array" ref="F669">INDEX(E$5:E$67,MATCH($B669,$B$5:$B$67,0))</f>
        <v>677</v>
      </c>
      <c r="G669" s="25">
        <f t="array" ref="G669">INDEX(F$5:F$67,MATCH($B669,$B$5:$B$67,0))</f>
        <v>54.16</v>
      </c>
      <c r="H669" s="25">
        <f t="array" ref="H669">INDEX(G$5:G$66,MATCH($B669,$B$5:$B$67,0))</f>
        <v>541</v>
      </c>
      <c r="I669" s="25">
        <f t="array" ref="I669">INDEX(H$5:H$67,MATCH($B669,$B$5:$B$67,0))</f>
        <v>43.28</v>
      </c>
      <c r="J669" s="25">
        <f t="array" ref="J669">INDEX(I$5:I$67,MATCH($B669,$B$5:$B$67,0))</f>
        <v>960</v>
      </c>
      <c r="K669" s="25">
        <f t="array" ref="K669">INDEX(J$5:J$67,MATCH($B669,$B$5:$B$67,0))</f>
        <v>76.8</v>
      </c>
      <c r="L669" s="25">
        <f t="shared" si="585"/>
        <v>26822</v>
      </c>
      <c r="M669" s="25">
        <f t="shared" si="586"/>
        <v>3439</v>
      </c>
      <c r="N669" s="25">
        <f t="shared" si="587"/>
        <v>2748</v>
      </c>
      <c r="O669" s="25">
        <f t="shared" si="588"/>
        <v>4877</v>
      </c>
      <c r="R669" s="50">
        <f t="array" ref="R669">INDEX($B$46:$B$68,MATCH(S669,$C$46:$C$68,0))*1000+T669</f>
        <v>1029024</v>
      </c>
      <c r="S669" s="51" t="s">
        <v>357</v>
      </c>
      <c r="T669" s="29">
        <f t="shared" si="583"/>
        <v>24</v>
      </c>
      <c r="U669" s="25">
        <f t="array" ref="U669">INDEX(K$5:K$67,MATCH($S669,$B$5:$B$67,0))</f>
        <v>393.62</v>
      </c>
      <c r="V669" s="25">
        <f t="array" ref="V669">INDEX(L$5:L$67,MATCH($S669,$B$5:$B$67,0))</f>
        <v>66.15</v>
      </c>
      <c r="W669" s="25">
        <f t="array" ref="W669">INDEX(M$5:M$67,MATCH($S669,$B$5:$B$67,0))</f>
        <v>82.69</v>
      </c>
      <c r="X669" s="25">
        <f t="array" ref="X669">INDEX(N$5:N$67,MATCH($S669,$B$5:$B$67,0))</f>
        <v>67.83</v>
      </c>
      <c r="Y669" s="25">
        <f t="shared" si="589"/>
        <v>9447</v>
      </c>
      <c r="Z669" s="25">
        <f t="shared" si="590"/>
        <v>1588</v>
      </c>
      <c r="AA669" s="25">
        <f t="shared" si="591"/>
        <v>1985</v>
      </c>
      <c r="AB669" s="25">
        <f t="shared" si="592"/>
        <v>1628</v>
      </c>
    </row>
    <row r="670" spans="1:28">
      <c r="A670" s="48">
        <v>1010052</v>
      </c>
      <c r="B670" s="49" t="s">
        <v>915</v>
      </c>
      <c r="C670" s="25">
        <f t="shared" si="584"/>
        <v>52</v>
      </c>
      <c r="D670" s="25">
        <f t="array" ref="D670">INDEX(C$5:C$67,MATCH($B670,$B$5:$B$67,0))</f>
        <v>5280</v>
      </c>
      <c r="E670" s="25">
        <f t="array" ref="E670">INDEX(D$5:D$67,MATCH($B670,$B$5:$B$67,0))</f>
        <v>422.4</v>
      </c>
      <c r="F670" s="25">
        <f t="array" ref="F670">INDEX(E$5:E$67,MATCH($B670,$B$5:$B$67,0))</f>
        <v>677</v>
      </c>
      <c r="G670" s="25">
        <f t="array" ref="G670">INDEX(F$5:F$67,MATCH($B670,$B$5:$B$67,0))</f>
        <v>54.16</v>
      </c>
      <c r="H670" s="25">
        <f t="array" ref="H670">INDEX(G$5:G$66,MATCH($B670,$B$5:$B$67,0))</f>
        <v>541</v>
      </c>
      <c r="I670" s="25">
        <f t="array" ref="I670">INDEX(H$5:H$67,MATCH($B670,$B$5:$B$67,0))</f>
        <v>43.28</v>
      </c>
      <c r="J670" s="25">
        <f t="array" ref="J670">INDEX(I$5:I$67,MATCH($B670,$B$5:$B$67,0))</f>
        <v>960</v>
      </c>
      <c r="K670" s="25">
        <f t="array" ref="K670">INDEX(J$5:J$67,MATCH($B670,$B$5:$B$67,0))</f>
        <v>76.8</v>
      </c>
      <c r="L670" s="25">
        <f t="shared" si="585"/>
        <v>27245</v>
      </c>
      <c r="M670" s="25">
        <f t="shared" si="586"/>
        <v>3493</v>
      </c>
      <c r="N670" s="25">
        <f t="shared" si="587"/>
        <v>2792</v>
      </c>
      <c r="O670" s="25">
        <f t="shared" si="588"/>
        <v>4954</v>
      </c>
      <c r="R670" s="50">
        <f t="array" ref="R670">INDEX($B$46:$B$68,MATCH(S670,$C$46:$C$68,0))*1000+T670</f>
        <v>1029025</v>
      </c>
      <c r="S670" s="51" t="s">
        <v>357</v>
      </c>
      <c r="T670" s="29">
        <f t="shared" si="583"/>
        <v>25</v>
      </c>
      <c r="U670" s="25">
        <f t="array" ref="U670">INDEX(K$5:K$67,MATCH($S670,$B$5:$B$67,0))</f>
        <v>393.62</v>
      </c>
      <c r="V670" s="25">
        <f t="array" ref="V670">INDEX(L$5:L$67,MATCH($S670,$B$5:$B$67,0))</f>
        <v>66.15</v>
      </c>
      <c r="W670" s="25">
        <f t="array" ref="W670">INDEX(M$5:M$67,MATCH($S670,$B$5:$B$67,0))</f>
        <v>82.69</v>
      </c>
      <c r="X670" s="25">
        <f t="array" ref="X670">INDEX(N$5:N$67,MATCH($S670,$B$5:$B$67,0))</f>
        <v>67.83</v>
      </c>
      <c r="Y670" s="25">
        <f t="shared" si="589"/>
        <v>9841</v>
      </c>
      <c r="Z670" s="25">
        <f t="shared" si="590"/>
        <v>1654</v>
      </c>
      <c r="AA670" s="25">
        <f t="shared" si="591"/>
        <v>2067</v>
      </c>
      <c r="AB670" s="25">
        <f t="shared" si="592"/>
        <v>1696</v>
      </c>
    </row>
    <row r="671" spans="1:28">
      <c r="A671" s="48">
        <v>1010053</v>
      </c>
      <c r="B671" s="49" t="s">
        <v>915</v>
      </c>
      <c r="C671" s="25">
        <f t="shared" si="584"/>
        <v>53</v>
      </c>
      <c r="D671" s="25">
        <f t="array" ref="D671">INDEX(C$5:C$67,MATCH($B671,$B$5:$B$67,0))</f>
        <v>5280</v>
      </c>
      <c r="E671" s="25">
        <f t="array" ref="E671">INDEX(D$5:D$67,MATCH($B671,$B$5:$B$67,0))</f>
        <v>422.4</v>
      </c>
      <c r="F671" s="25">
        <f t="array" ref="F671">INDEX(E$5:E$67,MATCH($B671,$B$5:$B$67,0))</f>
        <v>677</v>
      </c>
      <c r="G671" s="25">
        <f t="array" ref="G671">INDEX(F$5:F$67,MATCH($B671,$B$5:$B$67,0))</f>
        <v>54.16</v>
      </c>
      <c r="H671" s="25">
        <f t="array" ref="H671">INDEX(G$5:G$66,MATCH($B671,$B$5:$B$67,0))</f>
        <v>541</v>
      </c>
      <c r="I671" s="25">
        <f t="array" ref="I671">INDEX(H$5:H$67,MATCH($B671,$B$5:$B$67,0))</f>
        <v>43.28</v>
      </c>
      <c r="J671" s="25">
        <f t="array" ref="J671">INDEX(I$5:I$67,MATCH($B671,$B$5:$B$67,0))</f>
        <v>960</v>
      </c>
      <c r="K671" s="25">
        <f t="array" ref="K671">INDEX(J$5:J$67,MATCH($B671,$B$5:$B$67,0))</f>
        <v>76.8</v>
      </c>
      <c r="L671" s="25">
        <f t="shared" si="585"/>
        <v>27667</v>
      </c>
      <c r="M671" s="25">
        <f t="shared" si="586"/>
        <v>3547</v>
      </c>
      <c r="N671" s="25">
        <f t="shared" si="587"/>
        <v>2835</v>
      </c>
      <c r="O671" s="25">
        <f t="shared" si="588"/>
        <v>5030</v>
      </c>
      <c r="R671" s="50">
        <f t="array" ref="R671">INDEX($B$46:$B$68,MATCH(S671,$C$46:$C$68,0))*1000+T671</f>
        <v>1029026</v>
      </c>
      <c r="S671" s="51" t="s">
        <v>357</v>
      </c>
      <c r="T671" s="29">
        <f t="shared" si="583"/>
        <v>26</v>
      </c>
      <c r="U671" s="25">
        <f t="array" ref="U671">INDEX(K$5:K$67,MATCH($S671,$B$5:$B$67,0))</f>
        <v>393.62</v>
      </c>
      <c r="V671" s="25">
        <f t="array" ref="V671">INDEX(L$5:L$67,MATCH($S671,$B$5:$B$67,0))</f>
        <v>66.15</v>
      </c>
      <c r="W671" s="25">
        <f t="array" ref="W671">INDEX(M$5:M$67,MATCH($S671,$B$5:$B$67,0))</f>
        <v>82.69</v>
      </c>
      <c r="X671" s="25">
        <f t="array" ref="X671">INDEX(N$5:N$67,MATCH($S671,$B$5:$B$67,0))</f>
        <v>67.83</v>
      </c>
      <c r="Y671" s="25">
        <f t="shared" si="589"/>
        <v>10234</v>
      </c>
      <c r="Z671" s="25">
        <f t="shared" si="590"/>
        <v>1720</v>
      </c>
      <c r="AA671" s="25">
        <f t="shared" si="591"/>
        <v>2150</v>
      </c>
      <c r="AB671" s="25">
        <f t="shared" si="592"/>
        <v>1764</v>
      </c>
    </row>
    <row r="672" spans="1:28">
      <c r="A672" s="48">
        <v>1010054</v>
      </c>
      <c r="B672" s="49" t="s">
        <v>915</v>
      </c>
      <c r="C672" s="25">
        <f t="shared" si="584"/>
        <v>54</v>
      </c>
      <c r="D672" s="25">
        <f t="array" ref="D672">INDEX(C$5:C$67,MATCH($B672,$B$5:$B$67,0))</f>
        <v>5280</v>
      </c>
      <c r="E672" s="25">
        <f t="array" ref="E672">INDEX(D$5:D$67,MATCH($B672,$B$5:$B$67,0))</f>
        <v>422.4</v>
      </c>
      <c r="F672" s="25">
        <f t="array" ref="F672">INDEX(E$5:E$67,MATCH($B672,$B$5:$B$67,0))</f>
        <v>677</v>
      </c>
      <c r="G672" s="25">
        <f t="array" ref="G672">INDEX(F$5:F$67,MATCH($B672,$B$5:$B$67,0))</f>
        <v>54.16</v>
      </c>
      <c r="H672" s="25">
        <f t="array" ref="H672">INDEX(G$5:G$66,MATCH($B672,$B$5:$B$67,0))</f>
        <v>541</v>
      </c>
      <c r="I672" s="25">
        <f t="array" ref="I672">INDEX(H$5:H$67,MATCH($B672,$B$5:$B$67,0))</f>
        <v>43.28</v>
      </c>
      <c r="J672" s="25">
        <f t="array" ref="J672">INDEX(I$5:I$67,MATCH($B672,$B$5:$B$67,0))</f>
        <v>960</v>
      </c>
      <c r="K672" s="25">
        <f t="array" ref="K672">INDEX(J$5:J$67,MATCH($B672,$B$5:$B$67,0))</f>
        <v>76.8</v>
      </c>
      <c r="L672" s="25">
        <f t="shared" si="585"/>
        <v>28090</v>
      </c>
      <c r="M672" s="25">
        <f t="shared" si="586"/>
        <v>3602</v>
      </c>
      <c r="N672" s="25">
        <f t="shared" si="587"/>
        <v>2878</v>
      </c>
      <c r="O672" s="25">
        <f t="shared" si="588"/>
        <v>5107</v>
      </c>
      <c r="R672" s="50">
        <f t="array" ref="R672">INDEX($B$46:$B$68,MATCH(S672,$C$46:$C$68,0))*1000+T672</f>
        <v>1029027</v>
      </c>
      <c r="S672" s="51" t="s">
        <v>357</v>
      </c>
      <c r="T672" s="29">
        <f t="shared" si="583"/>
        <v>27</v>
      </c>
      <c r="U672" s="25">
        <f t="array" ref="U672">INDEX(K$5:K$67,MATCH($S672,$B$5:$B$67,0))</f>
        <v>393.62</v>
      </c>
      <c r="V672" s="25">
        <f t="array" ref="V672">INDEX(L$5:L$67,MATCH($S672,$B$5:$B$67,0))</f>
        <v>66.15</v>
      </c>
      <c r="W672" s="25">
        <f t="array" ref="W672">INDEX(M$5:M$67,MATCH($S672,$B$5:$B$67,0))</f>
        <v>82.69</v>
      </c>
      <c r="X672" s="25">
        <f t="array" ref="X672">INDEX(N$5:N$67,MATCH($S672,$B$5:$B$67,0))</f>
        <v>67.83</v>
      </c>
      <c r="Y672" s="25">
        <f t="shared" si="589"/>
        <v>10628</v>
      </c>
      <c r="Z672" s="25">
        <f t="shared" si="590"/>
        <v>1786</v>
      </c>
      <c r="AA672" s="25">
        <f t="shared" si="591"/>
        <v>2233</v>
      </c>
      <c r="AB672" s="25">
        <f t="shared" si="592"/>
        <v>1831</v>
      </c>
    </row>
    <row r="673" spans="1:28">
      <c r="A673" s="48">
        <v>1010055</v>
      </c>
      <c r="B673" s="49" t="s">
        <v>915</v>
      </c>
      <c r="C673" s="25">
        <f t="shared" si="584"/>
        <v>55</v>
      </c>
      <c r="D673" s="25">
        <f t="array" ref="D673">INDEX(C$5:C$67,MATCH($B673,$B$5:$B$67,0))</f>
        <v>5280</v>
      </c>
      <c r="E673" s="25">
        <f t="array" ref="E673">INDEX(D$5:D$67,MATCH($B673,$B$5:$B$67,0))</f>
        <v>422.4</v>
      </c>
      <c r="F673" s="25">
        <f t="array" ref="F673">INDEX(E$5:E$67,MATCH($B673,$B$5:$B$67,0))</f>
        <v>677</v>
      </c>
      <c r="G673" s="25">
        <f t="array" ref="G673">INDEX(F$5:F$67,MATCH($B673,$B$5:$B$67,0))</f>
        <v>54.16</v>
      </c>
      <c r="H673" s="25">
        <f t="array" ref="H673">INDEX(G$5:G$66,MATCH($B673,$B$5:$B$67,0))</f>
        <v>541</v>
      </c>
      <c r="I673" s="25">
        <f t="array" ref="I673">INDEX(H$5:H$67,MATCH($B673,$B$5:$B$67,0))</f>
        <v>43.28</v>
      </c>
      <c r="J673" s="25">
        <f t="array" ref="J673">INDEX(I$5:I$67,MATCH($B673,$B$5:$B$67,0))</f>
        <v>960</v>
      </c>
      <c r="K673" s="25">
        <f t="array" ref="K673">INDEX(J$5:J$67,MATCH($B673,$B$5:$B$67,0))</f>
        <v>76.8</v>
      </c>
      <c r="L673" s="25">
        <f t="shared" si="585"/>
        <v>28512</v>
      </c>
      <c r="M673" s="25">
        <f t="shared" si="586"/>
        <v>3656</v>
      </c>
      <c r="N673" s="25">
        <f t="shared" si="587"/>
        <v>2921</v>
      </c>
      <c r="O673" s="25">
        <f t="shared" si="588"/>
        <v>5184</v>
      </c>
      <c r="R673" s="50">
        <f t="array" ref="R673">INDEX($B$46:$B$68,MATCH(S673,$C$46:$C$68,0))*1000+T673</f>
        <v>1030001</v>
      </c>
      <c r="S673" s="51" t="s">
        <v>360</v>
      </c>
      <c r="T673" s="29">
        <f t="shared" si="583"/>
        <v>1</v>
      </c>
      <c r="U673" s="25">
        <f t="array" ref="U673">INDEX(K$5:K$67,MATCH($S673,$B$5:$B$67,0))</f>
        <v>477.12</v>
      </c>
      <c r="V673" s="25">
        <f t="array" ref="V673">INDEX(L$5:L$67,MATCH($S673,$B$5:$B$67,0))</f>
        <v>49.15</v>
      </c>
      <c r="W673" s="25">
        <f t="array" ref="W673">INDEX(M$5:M$67,MATCH($S673,$B$5:$B$67,0))</f>
        <v>61.44</v>
      </c>
      <c r="X673" s="25">
        <f t="array" ref="X673">INDEX(N$5:N$67,MATCH($S673,$B$5:$B$67,0))</f>
        <v>74.8</v>
      </c>
      <c r="Y673" s="25">
        <f t="shared" si="589"/>
        <v>477</v>
      </c>
      <c r="Z673" s="25">
        <f t="shared" si="590"/>
        <v>49</v>
      </c>
      <c r="AA673" s="25">
        <f t="shared" si="591"/>
        <v>61</v>
      </c>
      <c r="AB673" s="25">
        <f t="shared" si="592"/>
        <v>75</v>
      </c>
    </row>
    <row r="674" spans="1:28">
      <c r="A674" s="48">
        <v>1010056</v>
      </c>
      <c r="B674" s="49" t="s">
        <v>915</v>
      </c>
      <c r="C674" s="25">
        <f t="shared" si="584"/>
        <v>56</v>
      </c>
      <c r="D674" s="25">
        <f t="array" ref="D674">INDEX(C$5:C$67,MATCH($B674,$B$5:$B$67,0))</f>
        <v>5280</v>
      </c>
      <c r="E674" s="25">
        <f t="array" ref="E674">INDEX(D$5:D$67,MATCH($B674,$B$5:$B$67,0))</f>
        <v>422.4</v>
      </c>
      <c r="F674" s="25">
        <f t="array" ref="F674">INDEX(E$5:E$67,MATCH($B674,$B$5:$B$67,0))</f>
        <v>677</v>
      </c>
      <c r="G674" s="25">
        <f t="array" ref="G674">INDEX(F$5:F$67,MATCH($B674,$B$5:$B$67,0))</f>
        <v>54.16</v>
      </c>
      <c r="H674" s="25">
        <f t="array" ref="H674">INDEX(G$5:G$66,MATCH($B674,$B$5:$B$67,0))</f>
        <v>541</v>
      </c>
      <c r="I674" s="25">
        <f t="array" ref="I674">INDEX(H$5:H$67,MATCH($B674,$B$5:$B$67,0))</f>
        <v>43.28</v>
      </c>
      <c r="J674" s="25">
        <f t="array" ref="J674">INDEX(I$5:I$67,MATCH($B674,$B$5:$B$67,0))</f>
        <v>960</v>
      </c>
      <c r="K674" s="25">
        <f t="array" ref="K674">INDEX(J$5:J$67,MATCH($B674,$B$5:$B$67,0))</f>
        <v>76.8</v>
      </c>
      <c r="L674" s="25">
        <f t="shared" si="585"/>
        <v>28934</v>
      </c>
      <c r="M674" s="25">
        <f t="shared" si="586"/>
        <v>3710</v>
      </c>
      <c r="N674" s="25">
        <f t="shared" si="587"/>
        <v>2965</v>
      </c>
      <c r="O674" s="25">
        <f t="shared" si="588"/>
        <v>5261</v>
      </c>
      <c r="R674" s="50">
        <f t="array" ref="R674">INDEX($B$46:$B$68,MATCH(S674,$C$46:$C$68,0))*1000+T674</f>
        <v>1030002</v>
      </c>
      <c r="S674" s="51" t="s">
        <v>360</v>
      </c>
      <c r="T674" s="29">
        <f t="shared" si="583"/>
        <v>2</v>
      </c>
      <c r="U674" s="25">
        <f t="array" ref="U674">INDEX(K$5:K$67,MATCH($S674,$B$5:$B$67,0))</f>
        <v>477.12</v>
      </c>
      <c r="V674" s="25">
        <f t="array" ref="V674">INDEX(L$5:L$67,MATCH($S674,$B$5:$B$67,0))</f>
        <v>49.15</v>
      </c>
      <c r="W674" s="25">
        <f t="array" ref="W674">INDEX(M$5:M$67,MATCH($S674,$B$5:$B$67,0))</f>
        <v>61.44</v>
      </c>
      <c r="X674" s="25">
        <f t="array" ref="X674">INDEX(N$5:N$67,MATCH($S674,$B$5:$B$67,0))</f>
        <v>74.8</v>
      </c>
      <c r="Y674" s="25">
        <f t="shared" si="589"/>
        <v>954</v>
      </c>
      <c r="Z674" s="25">
        <f t="shared" si="590"/>
        <v>98</v>
      </c>
      <c r="AA674" s="25">
        <f t="shared" si="591"/>
        <v>123</v>
      </c>
      <c r="AB674" s="25">
        <f t="shared" si="592"/>
        <v>150</v>
      </c>
    </row>
    <row r="675" spans="1:28">
      <c r="A675" s="48">
        <v>1010057</v>
      </c>
      <c r="B675" s="49" t="s">
        <v>915</v>
      </c>
      <c r="C675" s="25">
        <f t="shared" si="584"/>
        <v>57</v>
      </c>
      <c r="D675" s="25">
        <f t="array" ref="D675">INDEX(C$5:C$67,MATCH($B675,$B$5:$B$67,0))</f>
        <v>5280</v>
      </c>
      <c r="E675" s="25">
        <f t="array" ref="E675">INDEX(D$5:D$67,MATCH($B675,$B$5:$B$67,0))</f>
        <v>422.4</v>
      </c>
      <c r="F675" s="25">
        <f t="array" ref="F675">INDEX(E$5:E$67,MATCH($B675,$B$5:$B$67,0))</f>
        <v>677</v>
      </c>
      <c r="G675" s="25">
        <f t="array" ref="G675">INDEX(F$5:F$67,MATCH($B675,$B$5:$B$67,0))</f>
        <v>54.16</v>
      </c>
      <c r="H675" s="25">
        <f t="array" ref="H675">INDEX(G$5:G$66,MATCH($B675,$B$5:$B$67,0))</f>
        <v>541</v>
      </c>
      <c r="I675" s="25">
        <f t="array" ref="I675">INDEX(H$5:H$67,MATCH($B675,$B$5:$B$67,0))</f>
        <v>43.28</v>
      </c>
      <c r="J675" s="25">
        <f t="array" ref="J675">INDEX(I$5:I$67,MATCH($B675,$B$5:$B$67,0))</f>
        <v>960</v>
      </c>
      <c r="K675" s="25">
        <f t="array" ref="K675">INDEX(J$5:J$67,MATCH($B675,$B$5:$B$67,0))</f>
        <v>76.8</v>
      </c>
      <c r="L675" s="25">
        <f t="shared" si="585"/>
        <v>29357</v>
      </c>
      <c r="M675" s="25">
        <f t="shared" si="586"/>
        <v>3764</v>
      </c>
      <c r="N675" s="25">
        <f t="shared" si="587"/>
        <v>3008</v>
      </c>
      <c r="O675" s="25">
        <f t="shared" si="588"/>
        <v>5338</v>
      </c>
      <c r="R675" s="50">
        <f t="array" ref="R675">INDEX($B$46:$B$68,MATCH(S675,$C$46:$C$68,0))*1000+T675</f>
        <v>1030003</v>
      </c>
      <c r="S675" s="51" t="s">
        <v>360</v>
      </c>
      <c r="T675" s="29">
        <f t="shared" si="583"/>
        <v>3</v>
      </c>
      <c r="U675" s="25">
        <f t="array" ref="U675">INDEX(K$5:K$67,MATCH($S675,$B$5:$B$67,0))</f>
        <v>477.12</v>
      </c>
      <c r="V675" s="25">
        <f t="array" ref="V675">INDEX(L$5:L$67,MATCH($S675,$B$5:$B$67,0))</f>
        <v>49.15</v>
      </c>
      <c r="W675" s="25">
        <f t="array" ref="W675">INDEX(M$5:M$67,MATCH($S675,$B$5:$B$67,0))</f>
        <v>61.44</v>
      </c>
      <c r="X675" s="25">
        <f t="array" ref="X675">INDEX(N$5:N$67,MATCH($S675,$B$5:$B$67,0))</f>
        <v>74.8</v>
      </c>
      <c r="Y675" s="25">
        <f t="shared" si="589"/>
        <v>1431</v>
      </c>
      <c r="Z675" s="25">
        <f t="shared" si="590"/>
        <v>147</v>
      </c>
      <c r="AA675" s="25">
        <f t="shared" si="591"/>
        <v>184</v>
      </c>
      <c r="AB675" s="25">
        <f t="shared" si="592"/>
        <v>224</v>
      </c>
    </row>
    <row r="676" spans="1:28">
      <c r="A676" s="48">
        <v>1010058</v>
      </c>
      <c r="B676" s="49" t="s">
        <v>915</v>
      </c>
      <c r="C676" s="25">
        <f t="shared" si="584"/>
        <v>58</v>
      </c>
      <c r="D676" s="25">
        <f t="array" ref="D676">INDEX(C$5:C$67,MATCH($B676,$B$5:$B$67,0))</f>
        <v>5280</v>
      </c>
      <c r="E676" s="25">
        <f t="array" ref="E676">INDEX(D$5:D$67,MATCH($B676,$B$5:$B$67,0))</f>
        <v>422.4</v>
      </c>
      <c r="F676" s="25">
        <f t="array" ref="F676">INDEX(E$5:E$67,MATCH($B676,$B$5:$B$67,0))</f>
        <v>677</v>
      </c>
      <c r="G676" s="25">
        <f t="array" ref="G676">INDEX(F$5:F$67,MATCH($B676,$B$5:$B$67,0))</f>
        <v>54.16</v>
      </c>
      <c r="H676" s="25">
        <f t="array" ref="H676">INDEX(G$5:G$66,MATCH($B676,$B$5:$B$67,0))</f>
        <v>541</v>
      </c>
      <c r="I676" s="25">
        <f t="array" ref="I676">INDEX(H$5:H$67,MATCH($B676,$B$5:$B$67,0))</f>
        <v>43.28</v>
      </c>
      <c r="J676" s="25">
        <f t="array" ref="J676">INDEX(I$5:I$67,MATCH($B676,$B$5:$B$67,0))</f>
        <v>960</v>
      </c>
      <c r="K676" s="25">
        <f t="array" ref="K676">INDEX(J$5:J$67,MATCH($B676,$B$5:$B$67,0))</f>
        <v>76.8</v>
      </c>
      <c r="L676" s="25">
        <f t="shared" si="585"/>
        <v>29779</v>
      </c>
      <c r="M676" s="25">
        <f t="shared" si="586"/>
        <v>3818</v>
      </c>
      <c r="N676" s="25">
        <f t="shared" si="587"/>
        <v>3051</v>
      </c>
      <c r="O676" s="25">
        <f t="shared" si="588"/>
        <v>5414</v>
      </c>
      <c r="R676" s="50">
        <f t="array" ref="R676">INDEX($B$46:$B$68,MATCH(S676,$C$46:$C$68,0))*1000+T676</f>
        <v>1030004</v>
      </c>
      <c r="S676" s="51" t="s">
        <v>360</v>
      </c>
      <c r="T676" s="29">
        <f t="shared" si="583"/>
        <v>4</v>
      </c>
      <c r="U676" s="25">
        <f t="array" ref="U676">INDEX(K$5:K$67,MATCH($S676,$B$5:$B$67,0))</f>
        <v>477.12</v>
      </c>
      <c r="V676" s="25">
        <f t="array" ref="V676">INDEX(L$5:L$67,MATCH($S676,$B$5:$B$67,0))</f>
        <v>49.15</v>
      </c>
      <c r="W676" s="25">
        <f t="array" ref="W676">INDEX(M$5:M$67,MATCH($S676,$B$5:$B$67,0))</f>
        <v>61.44</v>
      </c>
      <c r="X676" s="25">
        <f t="array" ref="X676">INDEX(N$5:N$67,MATCH($S676,$B$5:$B$67,0))</f>
        <v>74.8</v>
      </c>
      <c r="Y676" s="25">
        <f t="shared" si="589"/>
        <v>1908</v>
      </c>
      <c r="Z676" s="25">
        <f t="shared" si="590"/>
        <v>197</v>
      </c>
      <c r="AA676" s="25">
        <f t="shared" si="591"/>
        <v>246</v>
      </c>
      <c r="AB676" s="25">
        <f t="shared" si="592"/>
        <v>299</v>
      </c>
    </row>
    <row r="677" spans="1:28">
      <c r="A677" s="48">
        <v>1010059</v>
      </c>
      <c r="B677" s="49" t="s">
        <v>915</v>
      </c>
      <c r="C677" s="25">
        <f t="shared" si="584"/>
        <v>59</v>
      </c>
      <c r="D677" s="25">
        <f t="array" ref="D677">INDEX(C$5:C$67,MATCH($B677,$B$5:$B$67,0))</f>
        <v>5280</v>
      </c>
      <c r="E677" s="25">
        <f t="array" ref="E677">INDEX(D$5:D$67,MATCH($B677,$B$5:$B$67,0))</f>
        <v>422.4</v>
      </c>
      <c r="F677" s="25">
        <f t="array" ref="F677">INDEX(E$5:E$67,MATCH($B677,$B$5:$B$67,0))</f>
        <v>677</v>
      </c>
      <c r="G677" s="25">
        <f t="array" ref="G677">INDEX(F$5:F$67,MATCH($B677,$B$5:$B$67,0))</f>
        <v>54.16</v>
      </c>
      <c r="H677" s="25">
        <f t="array" ref="H677">INDEX(G$5:G$66,MATCH($B677,$B$5:$B$67,0))</f>
        <v>541</v>
      </c>
      <c r="I677" s="25">
        <f t="array" ref="I677">INDEX(H$5:H$67,MATCH($B677,$B$5:$B$67,0))</f>
        <v>43.28</v>
      </c>
      <c r="J677" s="25">
        <f t="array" ref="J677">INDEX(I$5:I$67,MATCH($B677,$B$5:$B$67,0))</f>
        <v>960</v>
      </c>
      <c r="K677" s="25">
        <f t="array" ref="K677">INDEX(J$5:J$67,MATCH($B677,$B$5:$B$67,0))</f>
        <v>76.8</v>
      </c>
      <c r="L677" s="25">
        <f t="shared" si="585"/>
        <v>30202</v>
      </c>
      <c r="M677" s="25">
        <f t="shared" si="586"/>
        <v>3872</v>
      </c>
      <c r="N677" s="25">
        <f t="shared" si="587"/>
        <v>3095</v>
      </c>
      <c r="O677" s="25">
        <f t="shared" si="588"/>
        <v>5491</v>
      </c>
      <c r="R677" s="50">
        <f t="array" ref="R677">INDEX($B$46:$B$68,MATCH(S677,$C$46:$C$68,0))*1000+T677</f>
        <v>1030005</v>
      </c>
      <c r="S677" s="51" t="s">
        <v>360</v>
      </c>
      <c r="T677" s="29">
        <f t="shared" si="583"/>
        <v>5</v>
      </c>
      <c r="U677" s="25">
        <f t="array" ref="U677">INDEX(K$5:K$67,MATCH($S677,$B$5:$B$67,0))</f>
        <v>477.12</v>
      </c>
      <c r="V677" s="25">
        <f t="array" ref="V677">INDEX(L$5:L$67,MATCH($S677,$B$5:$B$67,0))</f>
        <v>49.15</v>
      </c>
      <c r="W677" s="25">
        <f t="array" ref="W677">INDEX(M$5:M$67,MATCH($S677,$B$5:$B$67,0))</f>
        <v>61.44</v>
      </c>
      <c r="X677" s="25">
        <f t="array" ref="X677">INDEX(N$5:N$67,MATCH($S677,$B$5:$B$67,0))</f>
        <v>74.8</v>
      </c>
      <c r="Y677" s="25">
        <f t="shared" si="589"/>
        <v>2386</v>
      </c>
      <c r="Z677" s="25">
        <f t="shared" si="590"/>
        <v>246</v>
      </c>
      <c r="AA677" s="25">
        <f t="shared" si="591"/>
        <v>307</v>
      </c>
      <c r="AB677" s="25">
        <f t="shared" si="592"/>
        <v>374</v>
      </c>
    </row>
    <row r="678" spans="1:28">
      <c r="A678" s="48">
        <v>1010060</v>
      </c>
      <c r="B678" s="49" t="s">
        <v>915</v>
      </c>
      <c r="C678" s="25">
        <f t="shared" si="584"/>
        <v>60</v>
      </c>
      <c r="D678" s="25">
        <f t="array" ref="D678">INDEX(C$5:C$67,MATCH($B678,$B$5:$B$67,0))</f>
        <v>5280</v>
      </c>
      <c r="E678" s="25">
        <f t="array" ref="E678">INDEX(D$5:D$67,MATCH($B678,$B$5:$B$67,0))</f>
        <v>422.4</v>
      </c>
      <c r="F678" s="25">
        <f t="array" ref="F678">INDEX(E$5:E$67,MATCH($B678,$B$5:$B$67,0))</f>
        <v>677</v>
      </c>
      <c r="G678" s="25">
        <f t="array" ref="G678">INDEX(F$5:F$67,MATCH($B678,$B$5:$B$67,0))</f>
        <v>54.16</v>
      </c>
      <c r="H678" s="25">
        <f t="array" ref="H678">INDEX(G$5:G$66,MATCH($B678,$B$5:$B$67,0))</f>
        <v>541</v>
      </c>
      <c r="I678" s="25">
        <f t="array" ref="I678">INDEX(H$5:H$67,MATCH($B678,$B$5:$B$67,0))</f>
        <v>43.28</v>
      </c>
      <c r="J678" s="25">
        <f t="array" ref="J678">INDEX(I$5:I$67,MATCH($B678,$B$5:$B$67,0))</f>
        <v>960</v>
      </c>
      <c r="K678" s="25">
        <f t="array" ref="K678">INDEX(J$5:J$67,MATCH($B678,$B$5:$B$67,0))</f>
        <v>76.8</v>
      </c>
      <c r="L678" s="25">
        <f t="shared" si="585"/>
        <v>30624</v>
      </c>
      <c r="M678" s="25">
        <f t="shared" si="586"/>
        <v>3927</v>
      </c>
      <c r="N678" s="25">
        <f t="shared" si="587"/>
        <v>3138</v>
      </c>
      <c r="O678" s="25">
        <f t="shared" si="588"/>
        <v>5568</v>
      </c>
      <c r="R678" s="50">
        <f t="array" ref="R678">INDEX($B$46:$B$68,MATCH(S678,$C$46:$C$68,0))*1000+T678</f>
        <v>1030006</v>
      </c>
      <c r="S678" s="51" t="s">
        <v>360</v>
      </c>
      <c r="T678" s="29">
        <f t="shared" si="583"/>
        <v>6</v>
      </c>
      <c r="U678" s="25">
        <f t="array" ref="U678">INDEX(K$5:K$67,MATCH($S678,$B$5:$B$67,0))</f>
        <v>477.12</v>
      </c>
      <c r="V678" s="25">
        <f t="array" ref="V678">INDEX(L$5:L$67,MATCH($S678,$B$5:$B$67,0))</f>
        <v>49.15</v>
      </c>
      <c r="W678" s="25">
        <f t="array" ref="W678">INDEX(M$5:M$67,MATCH($S678,$B$5:$B$67,0))</f>
        <v>61.44</v>
      </c>
      <c r="X678" s="25">
        <f t="array" ref="X678">INDEX(N$5:N$67,MATCH($S678,$B$5:$B$67,0))</f>
        <v>74.8</v>
      </c>
      <c r="Y678" s="25">
        <f t="shared" si="589"/>
        <v>2863</v>
      </c>
      <c r="Z678" s="25">
        <f t="shared" si="590"/>
        <v>295</v>
      </c>
      <c r="AA678" s="25">
        <f t="shared" si="591"/>
        <v>369</v>
      </c>
      <c r="AB678" s="25">
        <f t="shared" si="592"/>
        <v>449</v>
      </c>
    </row>
    <row r="679" spans="1:28">
      <c r="A679" s="48">
        <v>1011001</v>
      </c>
      <c r="B679" s="49" t="s">
        <v>915</v>
      </c>
      <c r="C679" s="25">
        <f t="shared" si="584"/>
        <v>1</v>
      </c>
      <c r="D679" s="25">
        <f t="array" ref="D679">INDEX(C$5:C$67,MATCH($B679,$B$5:$B$67,0))</f>
        <v>5280</v>
      </c>
      <c r="E679" s="25">
        <f t="array" ref="E679">INDEX(D$5:D$67,MATCH($B679,$B$5:$B$67,0))</f>
        <v>422.4</v>
      </c>
      <c r="F679" s="25">
        <f t="array" ref="F679">INDEX(E$5:E$67,MATCH($B679,$B$5:$B$67,0))</f>
        <v>677</v>
      </c>
      <c r="G679" s="25">
        <f t="array" ref="G679">INDEX(F$5:F$67,MATCH($B679,$B$5:$B$67,0))</f>
        <v>54.16</v>
      </c>
      <c r="H679" s="25">
        <f t="array" ref="H679">INDEX(G$5:G$66,MATCH($B679,$B$5:$B$67,0))</f>
        <v>541</v>
      </c>
      <c r="I679" s="25">
        <f t="array" ref="I679">INDEX(H$5:H$67,MATCH($B679,$B$5:$B$67,0))</f>
        <v>43.28</v>
      </c>
      <c r="J679" s="25">
        <f t="array" ref="J679">INDEX(I$5:I$67,MATCH($B679,$B$5:$B$67,0))</f>
        <v>960</v>
      </c>
      <c r="K679" s="25">
        <f t="array" ref="K679">INDEX(J$5:J$67,MATCH($B679,$B$5:$B$67,0))</f>
        <v>76.8</v>
      </c>
      <c r="L679" s="25">
        <f t="shared" si="585"/>
        <v>5702</v>
      </c>
      <c r="M679" s="25">
        <f t="shared" si="586"/>
        <v>731</v>
      </c>
      <c r="N679" s="25">
        <f t="shared" si="587"/>
        <v>584</v>
      </c>
      <c r="O679" s="25">
        <f t="shared" si="588"/>
        <v>1037</v>
      </c>
      <c r="R679" s="50">
        <f t="array" ref="R679">INDEX($B$46:$B$68,MATCH(S679,$C$46:$C$68,0))*1000+T679</f>
        <v>1030007</v>
      </c>
      <c r="S679" s="51" t="s">
        <v>360</v>
      </c>
      <c r="T679" s="29">
        <f t="shared" si="583"/>
        <v>7</v>
      </c>
      <c r="U679" s="25">
        <f t="array" ref="U679">INDEX(K$5:K$67,MATCH($S679,$B$5:$B$67,0))</f>
        <v>477.12</v>
      </c>
      <c r="V679" s="25">
        <f t="array" ref="V679">INDEX(L$5:L$67,MATCH($S679,$B$5:$B$67,0))</f>
        <v>49.15</v>
      </c>
      <c r="W679" s="25">
        <f t="array" ref="W679">INDEX(M$5:M$67,MATCH($S679,$B$5:$B$67,0))</f>
        <v>61.44</v>
      </c>
      <c r="X679" s="25">
        <f t="array" ref="X679">INDEX(N$5:N$67,MATCH($S679,$B$5:$B$67,0))</f>
        <v>74.8</v>
      </c>
      <c r="Y679" s="25">
        <f t="shared" si="589"/>
        <v>3340</v>
      </c>
      <c r="Z679" s="25">
        <f t="shared" si="590"/>
        <v>344</v>
      </c>
      <c r="AA679" s="25">
        <f t="shared" si="591"/>
        <v>430</v>
      </c>
      <c r="AB679" s="25">
        <f t="shared" si="592"/>
        <v>524</v>
      </c>
    </row>
    <row r="680" spans="1:28">
      <c r="A680" s="48">
        <v>1011002</v>
      </c>
      <c r="B680" s="49" t="s">
        <v>915</v>
      </c>
      <c r="C680" s="25">
        <f t="shared" si="584"/>
        <v>2</v>
      </c>
      <c r="D680" s="25">
        <f t="array" ref="D680">INDEX(C$5:C$67,MATCH($B680,$B$5:$B$67,0))</f>
        <v>5280</v>
      </c>
      <c r="E680" s="25">
        <f t="array" ref="E680">INDEX(D$5:D$67,MATCH($B680,$B$5:$B$67,0))</f>
        <v>422.4</v>
      </c>
      <c r="F680" s="25">
        <f t="array" ref="F680">INDEX(E$5:E$67,MATCH($B680,$B$5:$B$67,0))</f>
        <v>677</v>
      </c>
      <c r="G680" s="25">
        <f t="array" ref="G680">INDEX(F$5:F$67,MATCH($B680,$B$5:$B$67,0))</f>
        <v>54.16</v>
      </c>
      <c r="H680" s="25">
        <f t="array" ref="H680">INDEX(G$5:G$66,MATCH($B680,$B$5:$B$67,0))</f>
        <v>541</v>
      </c>
      <c r="I680" s="25">
        <f t="array" ref="I680">INDEX(H$5:H$67,MATCH($B680,$B$5:$B$67,0))</f>
        <v>43.28</v>
      </c>
      <c r="J680" s="25">
        <f t="array" ref="J680">INDEX(I$5:I$67,MATCH($B680,$B$5:$B$67,0))</f>
        <v>960</v>
      </c>
      <c r="K680" s="25">
        <f t="array" ref="K680">INDEX(J$5:J$67,MATCH($B680,$B$5:$B$67,0))</f>
        <v>76.8</v>
      </c>
      <c r="L680" s="25">
        <f t="shared" si="585"/>
        <v>6125</v>
      </c>
      <c r="M680" s="25">
        <f t="shared" si="586"/>
        <v>785</v>
      </c>
      <c r="N680" s="25">
        <f t="shared" si="587"/>
        <v>628</v>
      </c>
      <c r="O680" s="25">
        <f t="shared" si="588"/>
        <v>1114</v>
      </c>
      <c r="R680" s="50">
        <f t="array" ref="R680">INDEX($B$46:$B$68,MATCH(S680,$C$46:$C$68,0))*1000+T680</f>
        <v>1030008</v>
      </c>
      <c r="S680" s="51" t="s">
        <v>360</v>
      </c>
      <c r="T680" s="29">
        <f t="shared" si="583"/>
        <v>8</v>
      </c>
      <c r="U680" s="25">
        <f t="array" ref="U680">INDEX(K$5:K$67,MATCH($S680,$B$5:$B$67,0))</f>
        <v>477.12</v>
      </c>
      <c r="V680" s="25">
        <f t="array" ref="V680">INDEX(L$5:L$67,MATCH($S680,$B$5:$B$67,0))</f>
        <v>49.15</v>
      </c>
      <c r="W680" s="25">
        <f t="array" ref="W680">INDEX(M$5:M$67,MATCH($S680,$B$5:$B$67,0))</f>
        <v>61.44</v>
      </c>
      <c r="X680" s="25">
        <f t="array" ref="X680">INDEX(N$5:N$67,MATCH($S680,$B$5:$B$67,0))</f>
        <v>74.8</v>
      </c>
      <c r="Y680" s="25">
        <f t="shared" si="589"/>
        <v>3817</v>
      </c>
      <c r="Z680" s="25">
        <f t="shared" si="590"/>
        <v>393</v>
      </c>
      <c r="AA680" s="25">
        <f t="shared" si="591"/>
        <v>492</v>
      </c>
      <c r="AB680" s="25">
        <f t="shared" si="592"/>
        <v>598</v>
      </c>
    </row>
    <row r="681" spans="1:28">
      <c r="A681" s="48">
        <v>1011003</v>
      </c>
      <c r="B681" s="49" t="s">
        <v>915</v>
      </c>
      <c r="C681" s="25">
        <f t="shared" si="584"/>
        <v>3</v>
      </c>
      <c r="D681" s="25">
        <f t="array" ref="D681">INDEX(C$5:C$67,MATCH($B681,$B$5:$B$67,0))</f>
        <v>5280</v>
      </c>
      <c r="E681" s="25">
        <f t="array" ref="E681">INDEX(D$5:D$67,MATCH($B681,$B$5:$B$67,0))</f>
        <v>422.4</v>
      </c>
      <c r="F681" s="25">
        <f t="array" ref="F681">INDEX(E$5:E$67,MATCH($B681,$B$5:$B$67,0))</f>
        <v>677</v>
      </c>
      <c r="G681" s="25">
        <f t="array" ref="G681">INDEX(F$5:F$67,MATCH($B681,$B$5:$B$67,0))</f>
        <v>54.16</v>
      </c>
      <c r="H681" s="25">
        <f t="array" ref="H681">INDEX(G$5:G$66,MATCH($B681,$B$5:$B$67,0))</f>
        <v>541</v>
      </c>
      <c r="I681" s="25">
        <f t="array" ref="I681">INDEX(H$5:H$67,MATCH($B681,$B$5:$B$67,0))</f>
        <v>43.28</v>
      </c>
      <c r="J681" s="25">
        <f t="array" ref="J681">INDEX(I$5:I$67,MATCH($B681,$B$5:$B$67,0))</f>
        <v>960</v>
      </c>
      <c r="K681" s="25">
        <f t="array" ref="K681">INDEX(J$5:J$67,MATCH($B681,$B$5:$B$67,0))</f>
        <v>76.8</v>
      </c>
      <c r="L681" s="25">
        <f t="shared" si="585"/>
        <v>6547</v>
      </c>
      <c r="M681" s="25">
        <f t="shared" si="586"/>
        <v>839</v>
      </c>
      <c r="N681" s="25">
        <f t="shared" si="587"/>
        <v>671</v>
      </c>
      <c r="O681" s="25">
        <f t="shared" si="588"/>
        <v>1190</v>
      </c>
      <c r="R681" s="50">
        <f t="array" ref="R681">INDEX($B$46:$B$68,MATCH(S681,$C$46:$C$68,0))*1000+T681</f>
        <v>1030009</v>
      </c>
      <c r="S681" s="51" t="s">
        <v>360</v>
      </c>
      <c r="T681" s="29">
        <f t="shared" si="583"/>
        <v>9</v>
      </c>
      <c r="U681" s="25">
        <f t="array" ref="U681">INDEX(K$5:K$67,MATCH($S681,$B$5:$B$67,0))</f>
        <v>477.12</v>
      </c>
      <c r="V681" s="25">
        <f t="array" ref="V681">INDEX(L$5:L$67,MATCH($S681,$B$5:$B$67,0))</f>
        <v>49.15</v>
      </c>
      <c r="W681" s="25">
        <f t="array" ref="W681">INDEX(M$5:M$67,MATCH($S681,$B$5:$B$67,0))</f>
        <v>61.44</v>
      </c>
      <c r="X681" s="25">
        <f t="array" ref="X681">INDEX(N$5:N$67,MATCH($S681,$B$5:$B$67,0))</f>
        <v>74.8</v>
      </c>
      <c r="Y681" s="25">
        <f t="shared" si="589"/>
        <v>4294</v>
      </c>
      <c r="Z681" s="25">
        <f t="shared" si="590"/>
        <v>442</v>
      </c>
      <c r="AA681" s="25">
        <f t="shared" si="591"/>
        <v>553</v>
      </c>
      <c r="AB681" s="25">
        <f t="shared" si="592"/>
        <v>673</v>
      </c>
    </row>
    <row r="682" spans="1:28">
      <c r="A682" s="48">
        <v>1011004</v>
      </c>
      <c r="B682" s="49" t="s">
        <v>915</v>
      </c>
      <c r="C682" s="25">
        <f t="shared" si="584"/>
        <v>4</v>
      </c>
      <c r="D682" s="25">
        <f t="array" ref="D682">INDEX(C$5:C$67,MATCH($B682,$B$5:$B$67,0))</f>
        <v>5280</v>
      </c>
      <c r="E682" s="25">
        <f t="array" ref="E682">INDEX(D$5:D$67,MATCH($B682,$B$5:$B$67,0))</f>
        <v>422.4</v>
      </c>
      <c r="F682" s="25">
        <f t="array" ref="F682">INDEX(E$5:E$67,MATCH($B682,$B$5:$B$67,0))</f>
        <v>677</v>
      </c>
      <c r="G682" s="25">
        <f t="array" ref="G682">INDEX(F$5:F$67,MATCH($B682,$B$5:$B$67,0))</f>
        <v>54.16</v>
      </c>
      <c r="H682" s="25">
        <f t="array" ref="H682">INDEX(G$5:G$66,MATCH($B682,$B$5:$B$67,0))</f>
        <v>541</v>
      </c>
      <c r="I682" s="25">
        <f t="array" ref="I682">INDEX(H$5:H$67,MATCH($B682,$B$5:$B$67,0))</f>
        <v>43.28</v>
      </c>
      <c r="J682" s="25">
        <f t="array" ref="J682">INDEX(I$5:I$67,MATCH($B682,$B$5:$B$67,0))</f>
        <v>960</v>
      </c>
      <c r="K682" s="25">
        <f t="array" ref="K682">INDEX(J$5:J$67,MATCH($B682,$B$5:$B$67,0))</f>
        <v>76.8</v>
      </c>
      <c r="L682" s="25">
        <f t="shared" si="585"/>
        <v>6970</v>
      </c>
      <c r="M682" s="25">
        <f t="shared" si="586"/>
        <v>894</v>
      </c>
      <c r="N682" s="25">
        <f t="shared" si="587"/>
        <v>714</v>
      </c>
      <c r="O682" s="25">
        <f t="shared" si="588"/>
        <v>1267</v>
      </c>
      <c r="R682" s="50">
        <f t="array" ref="R682">INDEX($B$46:$B$68,MATCH(S682,$C$46:$C$68,0))*1000+T682</f>
        <v>1030010</v>
      </c>
      <c r="S682" s="51" t="s">
        <v>360</v>
      </c>
      <c r="T682" s="29">
        <f t="shared" ref="T682:T745" si="593">T655</f>
        <v>10</v>
      </c>
      <c r="U682" s="25">
        <f t="array" ref="U682">INDEX(K$5:K$67,MATCH($S682,$B$5:$B$67,0))</f>
        <v>477.12</v>
      </c>
      <c r="V682" s="25">
        <f t="array" ref="V682">INDEX(L$5:L$67,MATCH($S682,$B$5:$B$67,0))</f>
        <v>49.15</v>
      </c>
      <c r="W682" s="25">
        <f t="array" ref="W682">INDEX(M$5:M$67,MATCH($S682,$B$5:$B$67,0))</f>
        <v>61.44</v>
      </c>
      <c r="X682" s="25">
        <f t="array" ref="X682">INDEX(N$5:N$67,MATCH($S682,$B$5:$B$67,0))</f>
        <v>74.8</v>
      </c>
      <c r="Y682" s="25">
        <f t="shared" si="589"/>
        <v>4771</v>
      </c>
      <c r="Z682" s="25">
        <f t="shared" si="590"/>
        <v>492</v>
      </c>
      <c r="AA682" s="25">
        <f t="shared" si="591"/>
        <v>614</v>
      </c>
      <c r="AB682" s="25">
        <f t="shared" si="592"/>
        <v>748</v>
      </c>
    </row>
    <row r="683" spans="1:28">
      <c r="A683" s="48">
        <v>1011005</v>
      </c>
      <c r="B683" s="49" t="s">
        <v>915</v>
      </c>
      <c r="C683" s="25">
        <f t="shared" si="584"/>
        <v>5</v>
      </c>
      <c r="D683" s="25">
        <f t="array" ref="D683">INDEX(C$5:C$67,MATCH($B683,$B$5:$B$67,0))</f>
        <v>5280</v>
      </c>
      <c r="E683" s="25">
        <f t="array" ref="E683">INDEX(D$5:D$67,MATCH($B683,$B$5:$B$67,0))</f>
        <v>422.4</v>
      </c>
      <c r="F683" s="25">
        <f t="array" ref="F683">INDEX(E$5:E$67,MATCH($B683,$B$5:$B$67,0))</f>
        <v>677</v>
      </c>
      <c r="G683" s="25">
        <f t="array" ref="G683">INDEX(F$5:F$67,MATCH($B683,$B$5:$B$67,0))</f>
        <v>54.16</v>
      </c>
      <c r="H683" s="25">
        <f t="array" ref="H683">INDEX(G$5:G$66,MATCH($B683,$B$5:$B$67,0))</f>
        <v>541</v>
      </c>
      <c r="I683" s="25">
        <f t="array" ref="I683">INDEX(H$5:H$67,MATCH($B683,$B$5:$B$67,0))</f>
        <v>43.28</v>
      </c>
      <c r="J683" s="25">
        <f t="array" ref="J683">INDEX(I$5:I$67,MATCH($B683,$B$5:$B$67,0))</f>
        <v>960</v>
      </c>
      <c r="K683" s="25">
        <f t="array" ref="K683">INDEX(J$5:J$67,MATCH($B683,$B$5:$B$67,0))</f>
        <v>76.8</v>
      </c>
      <c r="L683" s="25">
        <f t="shared" si="585"/>
        <v>7392</v>
      </c>
      <c r="M683" s="25">
        <f t="shared" si="586"/>
        <v>948</v>
      </c>
      <c r="N683" s="25">
        <f t="shared" si="587"/>
        <v>757</v>
      </c>
      <c r="O683" s="25">
        <f t="shared" si="588"/>
        <v>1344</v>
      </c>
      <c r="R683" s="50">
        <f t="array" ref="R683">INDEX($B$46:$B$68,MATCH(S683,$C$46:$C$68,0))*1000+T683</f>
        <v>1030011</v>
      </c>
      <c r="S683" s="51" t="s">
        <v>360</v>
      </c>
      <c r="T683" s="29">
        <f t="shared" si="593"/>
        <v>11</v>
      </c>
      <c r="U683" s="25">
        <f t="array" ref="U683">INDEX(K$5:K$67,MATCH($S683,$B$5:$B$67,0))</f>
        <v>477.12</v>
      </c>
      <c r="V683" s="25">
        <f t="array" ref="V683">INDEX(L$5:L$67,MATCH($S683,$B$5:$B$67,0))</f>
        <v>49.15</v>
      </c>
      <c r="W683" s="25">
        <f t="array" ref="W683">INDEX(M$5:M$67,MATCH($S683,$B$5:$B$67,0))</f>
        <v>61.44</v>
      </c>
      <c r="X683" s="25">
        <f t="array" ref="X683">INDEX(N$5:N$67,MATCH($S683,$B$5:$B$67,0))</f>
        <v>74.8</v>
      </c>
      <c r="Y683" s="25">
        <f t="shared" si="589"/>
        <v>5248</v>
      </c>
      <c r="Z683" s="25">
        <f t="shared" si="590"/>
        <v>541</v>
      </c>
      <c r="AA683" s="25">
        <f t="shared" si="591"/>
        <v>676</v>
      </c>
      <c r="AB683" s="25">
        <f t="shared" si="592"/>
        <v>823</v>
      </c>
    </row>
    <row r="684" spans="1:28">
      <c r="A684" s="48">
        <v>1011006</v>
      </c>
      <c r="B684" s="49" t="s">
        <v>915</v>
      </c>
      <c r="C684" s="25">
        <f t="shared" si="584"/>
        <v>6</v>
      </c>
      <c r="D684" s="25">
        <f t="array" ref="D684">INDEX(C$5:C$67,MATCH($B684,$B$5:$B$67,0))</f>
        <v>5280</v>
      </c>
      <c r="E684" s="25">
        <f t="array" ref="E684">INDEX(D$5:D$67,MATCH($B684,$B$5:$B$67,0))</f>
        <v>422.4</v>
      </c>
      <c r="F684" s="25">
        <f t="array" ref="F684">INDEX(E$5:E$67,MATCH($B684,$B$5:$B$67,0))</f>
        <v>677</v>
      </c>
      <c r="G684" s="25">
        <f t="array" ref="G684">INDEX(F$5:F$67,MATCH($B684,$B$5:$B$67,0))</f>
        <v>54.16</v>
      </c>
      <c r="H684" s="25">
        <f t="array" ref="H684">INDEX(G$5:G$66,MATCH($B684,$B$5:$B$67,0))</f>
        <v>541</v>
      </c>
      <c r="I684" s="25">
        <f t="array" ref="I684">INDEX(H$5:H$67,MATCH($B684,$B$5:$B$67,0))</f>
        <v>43.28</v>
      </c>
      <c r="J684" s="25">
        <f t="array" ref="J684">INDEX(I$5:I$67,MATCH($B684,$B$5:$B$67,0))</f>
        <v>960</v>
      </c>
      <c r="K684" s="25">
        <f t="array" ref="K684">INDEX(J$5:J$67,MATCH($B684,$B$5:$B$67,0))</f>
        <v>76.8</v>
      </c>
      <c r="L684" s="25">
        <f t="shared" si="585"/>
        <v>7814</v>
      </c>
      <c r="M684" s="25">
        <f t="shared" si="586"/>
        <v>1002</v>
      </c>
      <c r="N684" s="25">
        <f t="shared" si="587"/>
        <v>801</v>
      </c>
      <c r="O684" s="25">
        <f t="shared" si="588"/>
        <v>1421</v>
      </c>
      <c r="R684" s="50">
        <f t="array" ref="R684">INDEX($B$46:$B$68,MATCH(S684,$C$46:$C$68,0))*1000+T684</f>
        <v>1030012</v>
      </c>
      <c r="S684" s="51" t="s">
        <v>360</v>
      </c>
      <c r="T684" s="29">
        <f t="shared" si="593"/>
        <v>12</v>
      </c>
      <c r="U684" s="25">
        <f t="array" ref="U684">INDEX(K$5:K$67,MATCH($S684,$B$5:$B$67,0))</f>
        <v>477.12</v>
      </c>
      <c r="V684" s="25">
        <f t="array" ref="V684">INDEX(L$5:L$67,MATCH($S684,$B$5:$B$67,0))</f>
        <v>49.15</v>
      </c>
      <c r="W684" s="25">
        <f t="array" ref="W684">INDEX(M$5:M$67,MATCH($S684,$B$5:$B$67,0))</f>
        <v>61.44</v>
      </c>
      <c r="X684" s="25">
        <f t="array" ref="X684">INDEX(N$5:N$67,MATCH($S684,$B$5:$B$67,0))</f>
        <v>74.8</v>
      </c>
      <c r="Y684" s="25">
        <f t="shared" si="589"/>
        <v>5725</v>
      </c>
      <c r="Z684" s="25">
        <f t="shared" si="590"/>
        <v>590</v>
      </c>
      <c r="AA684" s="25">
        <f t="shared" si="591"/>
        <v>737</v>
      </c>
      <c r="AB684" s="25">
        <f t="shared" si="592"/>
        <v>898</v>
      </c>
    </row>
    <row r="685" spans="1:28">
      <c r="A685" s="48">
        <v>1011007</v>
      </c>
      <c r="B685" s="49" t="s">
        <v>915</v>
      </c>
      <c r="C685" s="25">
        <f t="shared" si="584"/>
        <v>7</v>
      </c>
      <c r="D685" s="25">
        <f t="array" ref="D685">INDEX(C$5:C$67,MATCH($B685,$B$5:$B$67,0))</f>
        <v>5280</v>
      </c>
      <c r="E685" s="25">
        <f t="array" ref="E685">INDEX(D$5:D$67,MATCH($B685,$B$5:$B$67,0))</f>
        <v>422.4</v>
      </c>
      <c r="F685" s="25">
        <f t="array" ref="F685">INDEX(E$5:E$67,MATCH($B685,$B$5:$B$67,0))</f>
        <v>677</v>
      </c>
      <c r="G685" s="25">
        <f t="array" ref="G685">INDEX(F$5:F$67,MATCH($B685,$B$5:$B$67,0))</f>
        <v>54.16</v>
      </c>
      <c r="H685" s="25">
        <f t="array" ref="H685">INDEX(G$5:G$66,MATCH($B685,$B$5:$B$67,0))</f>
        <v>541</v>
      </c>
      <c r="I685" s="25">
        <f t="array" ref="I685">INDEX(H$5:H$67,MATCH($B685,$B$5:$B$67,0))</f>
        <v>43.28</v>
      </c>
      <c r="J685" s="25">
        <f t="array" ref="J685">INDEX(I$5:I$67,MATCH($B685,$B$5:$B$67,0))</f>
        <v>960</v>
      </c>
      <c r="K685" s="25">
        <f t="array" ref="K685">INDEX(J$5:J$67,MATCH($B685,$B$5:$B$67,0))</f>
        <v>76.8</v>
      </c>
      <c r="L685" s="25">
        <f t="shared" si="585"/>
        <v>8237</v>
      </c>
      <c r="M685" s="25">
        <f t="shared" si="586"/>
        <v>1056</v>
      </c>
      <c r="N685" s="25">
        <f t="shared" si="587"/>
        <v>844</v>
      </c>
      <c r="O685" s="25">
        <f t="shared" si="588"/>
        <v>1498</v>
      </c>
      <c r="R685" s="50">
        <f t="array" ref="R685">INDEX($B$46:$B$68,MATCH(S685,$C$46:$C$68,0))*1000+T685</f>
        <v>1030013</v>
      </c>
      <c r="S685" s="51" t="s">
        <v>360</v>
      </c>
      <c r="T685" s="29">
        <f t="shared" si="593"/>
        <v>13</v>
      </c>
      <c r="U685" s="25">
        <f t="array" ref="U685">INDEX(K$5:K$67,MATCH($S685,$B$5:$B$67,0))</f>
        <v>477.12</v>
      </c>
      <c r="V685" s="25">
        <f t="array" ref="V685">INDEX(L$5:L$67,MATCH($S685,$B$5:$B$67,0))</f>
        <v>49.15</v>
      </c>
      <c r="W685" s="25">
        <f t="array" ref="W685">INDEX(M$5:M$67,MATCH($S685,$B$5:$B$67,0))</f>
        <v>61.44</v>
      </c>
      <c r="X685" s="25">
        <f t="array" ref="X685">INDEX(N$5:N$67,MATCH($S685,$B$5:$B$67,0))</f>
        <v>74.8</v>
      </c>
      <c r="Y685" s="25">
        <f t="shared" si="589"/>
        <v>6203</v>
      </c>
      <c r="Z685" s="25">
        <f t="shared" si="590"/>
        <v>639</v>
      </c>
      <c r="AA685" s="25">
        <f t="shared" si="591"/>
        <v>799</v>
      </c>
      <c r="AB685" s="25">
        <f t="shared" si="592"/>
        <v>972</v>
      </c>
    </row>
    <row r="686" spans="1:28">
      <c r="A686" s="48">
        <v>1011008</v>
      </c>
      <c r="B686" s="49" t="s">
        <v>915</v>
      </c>
      <c r="C686" s="25">
        <f t="shared" si="584"/>
        <v>8</v>
      </c>
      <c r="D686" s="25">
        <f t="array" ref="D686">INDEX(C$5:C$67,MATCH($B686,$B$5:$B$67,0))</f>
        <v>5280</v>
      </c>
      <c r="E686" s="25">
        <f t="array" ref="E686">INDEX(D$5:D$67,MATCH($B686,$B$5:$B$67,0))</f>
        <v>422.4</v>
      </c>
      <c r="F686" s="25">
        <f t="array" ref="F686">INDEX(E$5:E$67,MATCH($B686,$B$5:$B$67,0))</f>
        <v>677</v>
      </c>
      <c r="G686" s="25">
        <f t="array" ref="G686">INDEX(F$5:F$67,MATCH($B686,$B$5:$B$67,0))</f>
        <v>54.16</v>
      </c>
      <c r="H686" s="25">
        <f t="array" ref="H686">INDEX(G$5:G$66,MATCH($B686,$B$5:$B$67,0))</f>
        <v>541</v>
      </c>
      <c r="I686" s="25">
        <f t="array" ref="I686">INDEX(H$5:H$67,MATCH($B686,$B$5:$B$67,0))</f>
        <v>43.28</v>
      </c>
      <c r="J686" s="25">
        <f t="array" ref="J686">INDEX(I$5:I$67,MATCH($B686,$B$5:$B$67,0))</f>
        <v>960</v>
      </c>
      <c r="K686" s="25">
        <f t="array" ref="K686">INDEX(J$5:J$67,MATCH($B686,$B$5:$B$67,0))</f>
        <v>76.8</v>
      </c>
      <c r="L686" s="25">
        <f t="shared" si="585"/>
        <v>8659</v>
      </c>
      <c r="M686" s="25">
        <f t="shared" si="586"/>
        <v>1110</v>
      </c>
      <c r="N686" s="25">
        <f t="shared" si="587"/>
        <v>887</v>
      </c>
      <c r="O686" s="25">
        <f t="shared" si="588"/>
        <v>1574</v>
      </c>
      <c r="R686" s="50">
        <f t="array" ref="R686">INDEX($B$46:$B$68,MATCH(S686,$C$46:$C$68,0))*1000+T686</f>
        <v>1030014</v>
      </c>
      <c r="S686" s="51" t="s">
        <v>360</v>
      </c>
      <c r="T686" s="29">
        <f t="shared" si="593"/>
        <v>14</v>
      </c>
      <c r="U686" s="25">
        <f t="array" ref="U686">INDEX(K$5:K$67,MATCH($S686,$B$5:$B$67,0))</f>
        <v>477.12</v>
      </c>
      <c r="V686" s="25">
        <f t="array" ref="V686">INDEX(L$5:L$67,MATCH($S686,$B$5:$B$67,0))</f>
        <v>49.15</v>
      </c>
      <c r="W686" s="25">
        <f t="array" ref="W686">INDEX(M$5:M$67,MATCH($S686,$B$5:$B$67,0))</f>
        <v>61.44</v>
      </c>
      <c r="X686" s="25">
        <f t="array" ref="X686">INDEX(N$5:N$67,MATCH($S686,$B$5:$B$67,0))</f>
        <v>74.8</v>
      </c>
      <c r="Y686" s="25">
        <f t="shared" si="589"/>
        <v>6680</v>
      </c>
      <c r="Z686" s="25">
        <f t="shared" si="590"/>
        <v>688</v>
      </c>
      <c r="AA686" s="25">
        <f t="shared" si="591"/>
        <v>860</v>
      </c>
      <c r="AB686" s="25">
        <f t="shared" si="592"/>
        <v>1047</v>
      </c>
    </row>
    <row r="687" spans="1:28">
      <c r="A687" s="48">
        <v>1011009</v>
      </c>
      <c r="B687" s="49" t="s">
        <v>915</v>
      </c>
      <c r="C687" s="25">
        <f t="shared" si="584"/>
        <v>9</v>
      </c>
      <c r="D687" s="25">
        <f t="array" ref="D687">INDEX(C$5:C$67,MATCH($B687,$B$5:$B$67,0))</f>
        <v>5280</v>
      </c>
      <c r="E687" s="25">
        <f t="array" ref="E687">INDEX(D$5:D$67,MATCH($B687,$B$5:$B$67,0))</f>
        <v>422.4</v>
      </c>
      <c r="F687" s="25">
        <f t="array" ref="F687">INDEX(E$5:E$67,MATCH($B687,$B$5:$B$67,0))</f>
        <v>677</v>
      </c>
      <c r="G687" s="25">
        <f t="array" ref="G687">INDEX(F$5:F$67,MATCH($B687,$B$5:$B$67,0))</f>
        <v>54.16</v>
      </c>
      <c r="H687" s="25">
        <f t="array" ref="H687">INDEX(G$5:G$66,MATCH($B687,$B$5:$B$67,0))</f>
        <v>541</v>
      </c>
      <c r="I687" s="25">
        <f t="array" ref="I687">INDEX(H$5:H$67,MATCH($B687,$B$5:$B$67,0))</f>
        <v>43.28</v>
      </c>
      <c r="J687" s="25">
        <f t="array" ref="J687">INDEX(I$5:I$67,MATCH($B687,$B$5:$B$67,0))</f>
        <v>960</v>
      </c>
      <c r="K687" s="25">
        <f t="array" ref="K687">INDEX(J$5:J$67,MATCH($B687,$B$5:$B$67,0))</f>
        <v>76.8</v>
      </c>
      <c r="L687" s="25">
        <f t="shared" si="585"/>
        <v>9082</v>
      </c>
      <c r="M687" s="25">
        <f t="shared" si="586"/>
        <v>1164</v>
      </c>
      <c r="N687" s="25">
        <f t="shared" si="587"/>
        <v>931</v>
      </c>
      <c r="O687" s="25">
        <f t="shared" si="588"/>
        <v>1651</v>
      </c>
      <c r="R687" s="50">
        <f t="array" ref="R687">INDEX($B$46:$B$68,MATCH(S687,$C$46:$C$68,0))*1000+T687</f>
        <v>1030015</v>
      </c>
      <c r="S687" s="51" t="s">
        <v>360</v>
      </c>
      <c r="T687" s="29">
        <f t="shared" si="593"/>
        <v>15</v>
      </c>
      <c r="U687" s="25">
        <f t="array" ref="U687">INDEX(K$5:K$67,MATCH($S687,$B$5:$B$67,0))</f>
        <v>477.12</v>
      </c>
      <c r="V687" s="25">
        <f t="array" ref="V687">INDEX(L$5:L$67,MATCH($S687,$B$5:$B$67,0))</f>
        <v>49.15</v>
      </c>
      <c r="W687" s="25">
        <f t="array" ref="W687">INDEX(M$5:M$67,MATCH($S687,$B$5:$B$67,0))</f>
        <v>61.44</v>
      </c>
      <c r="X687" s="25">
        <f t="array" ref="X687">INDEX(N$5:N$67,MATCH($S687,$B$5:$B$67,0))</f>
        <v>74.8</v>
      </c>
      <c r="Y687" s="25">
        <f t="shared" si="589"/>
        <v>7157</v>
      </c>
      <c r="Z687" s="25">
        <f t="shared" si="590"/>
        <v>737</v>
      </c>
      <c r="AA687" s="25">
        <f t="shared" si="591"/>
        <v>922</v>
      </c>
      <c r="AB687" s="25">
        <f t="shared" si="592"/>
        <v>1122</v>
      </c>
    </row>
    <row r="688" spans="1:28">
      <c r="A688" s="48">
        <v>1011010</v>
      </c>
      <c r="B688" s="49" t="s">
        <v>915</v>
      </c>
      <c r="C688" s="25">
        <f t="shared" si="584"/>
        <v>10</v>
      </c>
      <c r="D688" s="25">
        <f t="array" ref="D688">INDEX(C$5:C$67,MATCH($B688,$B$5:$B$67,0))</f>
        <v>5280</v>
      </c>
      <c r="E688" s="25">
        <f t="array" ref="E688">INDEX(D$5:D$67,MATCH($B688,$B$5:$B$67,0))</f>
        <v>422.4</v>
      </c>
      <c r="F688" s="25">
        <f t="array" ref="F688">INDEX(E$5:E$67,MATCH($B688,$B$5:$B$67,0))</f>
        <v>677</v>
      </c>
      <c r="G688" s="25">
        <f t="array" ref="G688">INDEX(F$5:F$67,MATCH($B688,$B$5:$B$67,0))</f>
        <v>54.16</v>
      </c>
      <c r="H688" s="25">
        <f t="array" ref="H688">INDEX(G$5:G$66,MATCH($B688,$B$5:$B$67,0))</f>
        <v>541</v>
      </c>
      <c r="I688" s="25">
        <f t="array" ref="I688">INDEX(H$5:H$67,MATCH($B688,$B$5:$B$67,0))</f>
        <v>43.28</v>
      </c>
      <c r="J688" s="25">
        <f t="array" ref="J688">INDEX(I$5:I$67,MATCH($B688,$B$5:$B$67,0))</f>
        <v>960</v>
      </c>
      <c r="K688" s="25">
        <f t="array" ref="K688">INDEX(J$5:J$67,MATCH($B688,$B$5:$B$67,0))</f>
        <v>76.8</v>
      </c>
      <c r="L688" s="25">
        <f t="shared" si="585"/>
        <v>9504</v>
      </c>
      <c r="M688" s="25">
        <f t="shared" si="586"/>
        <v>1219</v>
      </c>
      <c r="N688" s="25">
        <f t="shared" si="587"/>
        <v>974</v>
      </c>
      <c r="O688" s="25">
        <f t="shared" si="588"/>
        <v>1728</v>
      </c>
      <c r="R688" s="50">
        <f t="array" ref="R688">INDEX($B$46:$B$68,MATCH(S688,$C$46:$C$68,0))*1000+T688</f>
        <v>1030016</v>
      </c>
      <c r="S688" s="51" t="s">
        <v>360</v>
      </c>
      <c r="T688" s="29">
        <f t="shared" si="593"/>
        <v>16</v>
      </c>
      <c r="U688" s="25">
        <f t="array" ref="U688">INDEX(K$5:K$67,MATCH($S688,$B$5:$B$67,0))</f>
        <v>477.12</v>
      </c>
      <c r="V688" s="25">
        <f t="array" ref="V688">INDEX(L$5:L$67,MATCH($S688,$B$5:$B$67,0))</f>
        <v>49.15</v>
      </c>
      <c r="W688" s="25">
        <f t="array" ref="W688">INDEX(M$5:M$67,MATCH($S688,$B$5:$B$67,0))</f>
        <v>61.44</v>
      </c>
      <c r="X688" s="25">
        <f t="array" ref="X688">INDEX(N$5:N$67,MATCH($S688,$B$5:$B$67,0))</f>
        <v>74.8</v>
      </c>
      <c r="Y688" s="25">
        <f t="shared" si="589"/>
        <v>7634</v>
      </c>
      <c r="Z688" s="25">
        <f t="shared" si="590"/>
        <v>786</v>
      </c>
      <c r="AA688" s="25">
        <f t="shared" si="591"/>
        <v>983</v>
      </c>
      <c r="AB688" s="25">
        <f t="shared" si="592"/>
        <v>1197</v>
      </c>
    </row>
    <row r="689" spans="1:28">
      <c r="A689" s="48">
        <v>1011011</v>
      </c>
      <c r="B689" s="49" t="s">
        <v>335</v>
      </c>
      <c r="C689" s="25">
        <f t="shared" si="584"/>
        <v>11</v>
      </c>
      <c r="D689" s="25">
        <f t="array" ref="D689">INDEX(C$5:C$67,MATCH($B689,$B$5:$B$67,0))</f>
        <v>4080</v>
      </c>
      <c r="E689" s="25">
        <f t="array" ref="E689">INDEX(D$5:D$67,MATCH($B689,$B$5:$B$67,0))</f>
        <v>326.4</v>
      </c>
      <c r="F689" s="25">
        <f t="array" ref="F689">INDEX(E$5:E$67,MATCH($B689,$B$5:$B$67,0))</f>
        <v>873</v>
      </c>
      <c r="G689" s="25">
        <f t="array" ref="G689">INDEX(F$5:F$67,MATCH($B689,$B$5:$B$67,0))</f>
        <v>69.84</v>
      </c>
      <c r="H689" s="25">
        <f t="array" ref="H689">INDEX(G$5:G$66,MATCH($B689,$B$5:$B$67,0))</f>
        <v>1134</v>
      </c>
      <c r="I689" s="25">
        <f t="array" ref="I689">INDEX(H$5:H$67,MATCH($B689,$B$5:$B$67,0))</f>
        <v>90.72</v>
      </c>
      <c r="J689" s="25">
        <f t="array" ref="J689">INDEX(I$5:I$67,MATCH($B689,$B$5:$B$67,0))</f>
        <v>836</v>
      </c>
      <c r="K689" s="25">
        <f t="array" ref="K689">INDEX(J$5:J$67,MATCH($B689,$B$5:$B$67,0))</f>
        <v>66.88</v>
      </c>
      <c r="L689" s="25">
        <f t="shared" si="585"/>
        <v>7670</v>
      </c>
      <c r="M689" s="25">
        <f t="shared" si="586"/>
        <v>1641</v>
      </c>
      <c r="N689" s="25">
        <f t="shared" si="587"/>
        <v>2132</v>
      </c>
      <c r="O689" s="25">
        <f t="shared" si="588"/>
        <v>1572</v>
      </c>
      <c r="R689" s="50">
        <f t="array" ref="R689">INDEX($B$46:$B$68,MATCH(S689,$C$46:$C$68,0))*1000+T689</f>
        <v>1030017</v>
      </c>
      <c r="S689" s="51" t="s">
        <v>360</v>
      </c>
      <c r="T689" s="29">
        <f t="shared" si="593"/>
        <v>17</v>
      </c>
      <c r="U689" s="25">
        <f t="array" ref="U689">INDEX(K$5:K$67,MATCH($S689,$B$5:$B$67,0))</f>
        <v>477.12</v>
      </c>
      <c r="V689" s="25">
        <f t="array" ref="V689">INDEX(L$5:L$67,MATCH($S689,$B$5:$B$67,0))</f>
        <v>49.15</v>
      </c>
      <c r="W689" s="25">
        <f t="array" ref="W689">INDEX(M$5:M$67,MATCH($S689,$B$5:$B$67,0))</f>
        <v>61.44</v>
      </c>
      <c r="X689" s="25">
        <f t="array" ref="X689">INDEX(N$5:N$67,MATCH($S689,$B$5:$B$67,0))</f>
        <v>74.8</v>
      </c>
      <c r="Y689" s="25">
        <f t="shared" si="589"/>
        <v>8111</v>
      </c>
      <c r="Z689" s="25">
        <f t="shared" si="590"/>
        <v>836</v>
      </c>
      <c r="AA689" s="25">
        <f t="shared" si="591"/>
        <v>1044</v>
      </c>
      <c r="AB689" s="25">
        <f t="shared" si="592"/>
        <v>1272</v>
      </c>
    </row>
    <row r="690" spans="1:28">
      <c r="A690" s="48">
        <v>1011012</v>
      </c>
      <c r="B690" s="49" t="s">
        <v>335</v>
      </c>
      <c r="C690" s="25">
        <f t="shared" si="584"/>
        <v>12</v>
      </c>
      <c r="D690" s="25">
        <f t="array" ref="D690">INDEX(C$5:C$67,MATCH($B690,$B$5:$B$67,0))</f>
        <v>4080</v>
      </c>
      <c r="E690" s="25">
        <f t="array" ref="E690">INDEX(D$5:D$67,MATCH($B690,$B$5:$B$67,0))</f>
        <v>326.4</v>
      </c>
      <c r="F690" s="25">
        <f t="array" ref="F690">INDEX(E$5:E$67,MATCH($B690,$B$5:$B$67,0))</f>
        <v>873</v>
      </c>
      <c r="G690" s="25">
        <f t="array" ref="G690">INDEX(F$5:F$67,MATCH($B690,$B$5:$B$67,0))</f>
        <v>69.84</v>
      </c>
      <c r="H690" s="25">
        <f t="array" ref="H690">INDEX(G$5:G$66,MATCH($B690,$B$5:$B$67,0))</f>
        <v>1134</v>
      </c>
      <c r="I690" s="25">
        <f t="array" ref="I690">INDEX(H$5:H$67,MATCH($B690,$B$5:$B$67,0))</f>
        <v>90.72</v>
      </c>
      <c r="J690" s="25">
        <f t="array" ref="J690">INDEX(I$5:I$67,MATCH($B690,$B$5:$B$67,0))</f>
        <v>836</v>
      </c>
      <c r="K690" s="25">
        <f t="array" ref="K690">INDEX(J$5:J$67,MATCH($B690,$B$5:$B$67,0))</f>
        <v>66.88</v>
      </c>
      <c r="L690" s="25">
        <f t="shared" si="585"/>
        <v>7997</v>
      </c>
      <c r="M690" s="25">
        <f t="shared" si="586"/>
        <v>1711</v>
      </c>
      <c r="N690" s="25">
        <f t="shared" si="587"/>
        <v>2223</v>
      </c>
      <c r="O690" s="25">
        <f t="shared" si="588"/>
        <v>1639</v>
      </c>
      <c r="R690" s="50">
        <f t="array" ref="R690">INDEX($B$46:$B$68,MATCH(S690,$C$46:$C$68,0))*1000+T690</f>
        <v>1030018</v>
      </c>
      <c r="S690" s="51" t="s">
        <v>360</v>
      </c>
      <c r="T690" s="29">
        <f t="shared" si="593"/>
        <v>18</v>
      </c>
      <c r="U690" s="25">
        <f t="array" ref="U690">INDEX(K$5:K$67,MATCH($S690,$B$5:$B$67,0))</f>
        <v>477.12</v>
      </c>
      <c r="V690" s="25">
        <f t="array" ref="V690">INDEX(L$5:L$67,MATCH($S690,$B$5:$B$67,0))</f>
        <v>49.15</v>
      </c>
      <c r="W690" s="25">
        <f t="array" ref="W690">INDEX(M$5:M$67,MATCH($S690,$B$5:$B$67,0))</f>
        <v>61.44</v>
      </c>
      <c r="X690" s="25">
        <f t="array" ref="X690">INDEX(N$5:N$67,MATCH($S690,$B$5:$B$67,0))</f>
        <v>74.8</v>
      </c>
      <c r="Y690" s="25">
        <f t="shared" si="589"/>
        <v>8588</v>
      </c>
      <c r="Z690" s="25">
        <f t="shared" si="590"/>
        <v>885</v>
      </c>
      <c r="AA690" s="25">
        <f t="shared" si="591"/>
        <v>1106</v>
      </c>
      <c r="AB690" s="25">
        <f t="shared" si="592"/>
        <v>1346</v>
      </c>
    </row>
    <row r="691" spans="1:28">
      <c r="A691" s="48">
        <v>1011013</v>
      </c>
      <c r="B691" s="49" t="s">
        <v>335</v>
      </c>
      <c r="C691" s="25">
        <f t="shared" si="584"/>
        <v>13</v>
      </c>
      <c r="D691" s="25">
        <f t="array" ref="D691">INDEX(C$5:C$67,MATCH($B691,$B$5:$B$67,0))</f>
        <v>4080</v>
      </c>
      <c r="E691" s="25">
        <f t="array" ref="E691">INDEX(D$5:D$67,MATCH($B691,$B$5:$B$67,0))</f>
        <v>326.4</v>
      </c>
      <c r="F691" s="25">
        <f t="array" ref="F691">INDEX(E$5:E$67,MATCH($B691,$B$5:$B$67,0))</f>
        <v>873</v>
      </c>
      <c r="G691" s="25">
        <f t="array" ref="G691">INDEX(F$5:F$67,MATCH($B691,$B$5:$B$67,0))</f>
        <v>69.84</v>
      </c>
      <c r="H691" s="25">
        <f t="array" ref="H691">INDEX(G$5:G$66,MATCH($B691,$B$5:$B$67,0))</f>
        <v>1134</v>
      </c>
      <c r="I691" s="25">
        <f t="array" ref="I691">INDEX(H$5:H$67,MATCH($B691,$B$5:$B$67,0))</f>
        <v>90.72</v>
      </c>
      <c r="J691" s="25">
        <f t="array" ref="J691">INDEX(I$5:I$67,MATCH($B691,$B$5:$B$67,0))</f>
        <v>836</v>
      </c>
      <c r="K691" s="25">
        <f t="array" ref="K691">INDEX(J$5:J$67,MATCH($B691,$B$5:$B$67,0))</f>
        <v>66.88</v>
      </c>
      <c r="L691" s="25">
        <f t="shared" si="585"/>
        <v>8323</v>
      </c>
      <c r="M691" s="25">
        <f t="shared" si="586"/>
        <v>1781</v>
      </c>
      <c r="N691" s="25">
        <f t="shared" si="587"/>
        <v>2313</v>
      </c>
      <c r="O691" s="25">
        <f t="shared" si="588"/>
        <v>1705</v>
      </c>
      <c r="R691" s="50">
        <f t="array" ref="R691">INDEX($B$46:$B$68,MATCH(S691,$C$46:$C$68,0))*1000+T691</f>
        <v>1030019</v>
      </c>
      <c r="S691" s="51" t="s">
        <v>360</v>
      </c>
      <c r="T691" s="29">
        <f t="shared" si="593"/>
        <v>19</v>
      </c>
      <c r="U691" s="25">
        <f t="array" ref="U691">INDEX(K$5:K$67,MATCH($S691,$B$5:$B$67,0))</f>
        <v>477.12</v>
      </c>
      <c r="V691" s="25">
        <f t="array" ref="V691">INDEX(L$5:L$67,MATCH($S691,$B$5:$B$67,0))</f>
        <v>49.15</v>
      </c>
      <c r="W691" s="25">
        <f t="array" ref="W691">INDEX(M$5:M$67,MATCH($S691,$B$5:$B$67,0))</f>
        <v>61.44</v>
      </c>
      <c r="X691" s="25">
        <f t="array" ref="X691">INDEX(N$5:N$67,MATCH($S691,$B$5:$B$67,0))</f>
        <v>74.8</v>
      </c>
      <c r="Y691" s="25">
        <f t="shared" si="589"/>
        <v>9065</v>
      </c>
      <c r="Z691" s="25">
        <f t="shared" si="590"/>
        <v>934</v>
      </c>
      <c r="AA691" s="25">
        <f t="shared" si="591"/>
        <v>1167</v>
      </c>
      <c r="AB691" s="25">
        <f t="shared" si="592"/>
        <v>1421</v>
      </c>
    </row>
    <row r="692" spans="1:28">
      <c r="A692" s="48">
        <v>1011014</v>
      </c>
      <c r="B692" s="49" t="s">
        <v>335</v>
      </c>
      <c r="C692" s="25">
        <f t="shared" si="584"/>
        <v>14</v>
      </c>
      <c r="D692" s="25">
        <f t="array" ref="D692">INDEX(C$5:C$67,MATCH($B692,$B$5:$B$67,0))</f>
        <v>4080</v>
      </c>
      <c r="E692" s="25">
        <f t="array" ref="E692">INDEX(D$5:D$67,MATCH($B692,$B$5:$B$67,0))</f>
        <v>326.4</v>
      </c>
      <c r="F692" s="25">
        <f t="array" ref="F692">INDEX(E$5:E$67,MATCH($B692,$B$5:$B$67,0))</f>
        <v>873</v>
      </c>
      <c r="G692" s="25">
        <f t="array" ref="G692">INDEX(F$5:F$67,MATCH($B692,$B$5:$B$67,0))</f>
        <v>69.84</v>
      </c>
      <c r="H692" s="25">
        <f t="array" ref="H692">INDEX(G$5:G$66,MATCH($B692,$B$5:$B$67,0))</f>
        <v>1134</v>
      </c>
      <c r="I692" s="25">
        <f t="array" ref="I692">INDEX(H$5:H$67,MATCH($B692,$B$5:$B$67,0))</f>
        <v>90.72</v>
      </c>
      <c r="J692" s="25">
        <f t="array" ref="J692">INDEX(I$5:I$67,MATCH($B692,$B$5:$B$67,0))</f>
        <v>836</v>
      </c>
      <c r="K692" s="25">
        <f t="array" ref="K692">INDEX(J$5:J$67,MATCH($B692,$B$5:$B$67,0))</f>
        <v>66.88</v>
      </c>
      <c r="L692" s="25">
        <f t="shared" si="585"/>
        <v>8650</v>
      </c>
      <c r="M692" s="25">
        <f t="shared" si="586"/>
        <v>1851</v>
      </c>
      <c r="N692" s="25">
        <f t="shared" si="587"/>
        <v>2404</v>
      </c>
      <c r="O692" s="25">
        <f t="shared" si="588"/>
        <v>1772</v>
      </c>
      <c r="R692" s="50">
        <f t="array" ref="R692">INDEX($B$46:$B$68,MATCH(S692,$C$46:$C$68,0))*1000+T692</f>
        <v>1030020</v>
      </c>
      <c r="S692" s="51" t="s">
        <v>360</v>
      </c>
      <c r="T692" s="29">
        <f t="shared" si="593"/>
        <v>20</v>
      </c>
      <c r="U692" s="25">
        <f t="array" ref="U692">INDEX(K$5:K$67,MATCH($S692,$B$5:$B$67,0))</f>
        <v>477.12</v>
      </c>
      <c r="V692" s="25">
        <f t="array" ref="V692">INDEX(L$5:L$67,MATCH($S692,$B$5:$B$67,0))</f>
        <v>49.15</v>
      </c>
      <c r="W692" s="25">
        <f t="array" ref="W692">INDEX(M$5:M$67,MATCH($S692,$B$5:$B$67,0))</f>
        <v>61.44</v>
      </c>
      <c r="X692" s="25">
        <f t="array" ref="X692">INDEX(N$5:N$67,MATCH($S692,$B$5:$B$67,0))</f>
        <v>74.8</v>
      </c>
      <c r="Y692" s="25">
        <f t="shared" si="589"/>
        <v>9542</v>
      </c>
      <c r="Z692" s="25">
        <f t="shared" si="590"/>
        <v>983</v>
      </c>
      <c r="AA692" s="25">
        <f t="shared" si="591"/>
        <v>1229</v>
      </c>
      <c r="AB692" s="25">
        <f t="shared" si="592"/>
        <v>1496</v>
      </c>
    </row>
    <row r="693" spans="1:28">
      <c r="A693" s="48">
        <v>1011015</v>
      </c>
      <c r="B693" s="49" t="s">
        <v>335</v>
      </c>
      <c r="C693" s="25">
        <f t="shared" si="584"/>
        <v>15</v>
      </c>
      <c r="D693" s="25">
        <f t="array" ref="D693">INDEX(C$5:C$67,MATCH($B693,$B$5:$B$67,0))</f>
        <v>4080</v>
      </c>
      <c r="E693" s="25">
        <f t="array" ref="E693">INDEX(D$5:D$67,MATCH($B693,$B$5:$B$67,0))</f>
        <v>326.4</v>
      </c>
      <c r="F693" s="25">
        <f t="array" ref="F693">INDEX(E$5:E$67,MATCH($B693,$B$5:$B$67,0))</f>
        <v>873</v>
      </c>
      <c r="G693" s="25">
        <f t="array" ref="G693">INDEX(F$5:F$67,MATCH($B693,$B$5:$B$67,0))</f>
        <v>69.84</v>
      </c>
      <c r="H693" s="25">
        <f t="array" ref="H693">INDEX(G$5:G$66,MATCH($B693,$B$5:$B$67,0))</f>
        <v>1134</v>
      </c>
      <c r="I693" s="25">
        <f t="array" ref="I693">INDEX(H$5:H$67,MATCH($B693,$B$5:$B$67,0))</f>
        <v>90.72</v>
      </c>
      <c r="J693" s="25">
        <f t="array" ref="J693">INDEX(I$5:I$67,MATCH($B693,$B$5:$B$67,0))</f>
        <v>836</v>
      </c>
      <c r="K693" s="25">
        <f t="array" ref="K693">INDEX(J$5:J$67,MATCH($B693,$B$5:$B$67,0))</f>
        <v>66.88</v>
      </c>
      <c r="L693" s="25">
        <f t="shared" si="585"/>
        <v>8976</v>
      </c>
      <c r="M693" s="25">
        <f t="shared" si="586"/>
        <v>1921</v>
      </c>
      <c r="N693" s="25">
        <f t="shared" si="587"/>
        <v>2495</v>
      </c>
      <c r="O693" s="25">
        <f t="shared" si="588"/>
        <v>1839</v>
      </c>
      <c r="R693" s="50">
        <f t="array" ref="R693">INDEX($B$46:$B$68,MATCH(S693,$C$46:$C$68,0))*1000+T693</f>
        <v>1030021</v>
      </c>
      <c r="S693" s="51" t="s">
        <v>360</v>
      </c>
      <c r="T693" s="29">
        <f t="shared" si="593"/>
        <v>21</v>
      </c>
      <c r="U693" s="25">
        <f t="array" ref="U693">INDEX(K$5:K$67,MATCH($S693,$B$5:$B$67,0))</f>
        <v>477.12</v>
      </c>
      <c r="V693" s="25">
        <f t="array" ref="V693">INDEX(L$5:L$67,MATCH($S693,$B$5:$B$67,0))</f>
        <v>49.15</v>
      </c>
      <c r="W693" s="25">
        <f t="array" ref="W693">INDEX(M$5:M$67,MATCH($S693,$B$5:$B$67,0))</f>
        <v>61.44</v>
      </c>
      <c r="X693" s="25">
        <f t="array" ref="X693">INDEX(N$5:N$67,MATCH($S693,$B$5:$B$67,0))</f>
        <v>74.8</v>
      </c>
      <c r="Y693" s="25">
        <f t="shared" si="589"/>
        <v>10020</v>
      </c>
      <c r="Z693" s="25">
        <f t="shared" si="590"/>
        <v>1032</v>
      </c>
      <c r="AA693" s="25">
        <f t="shared" si="591"/>
        <v>1290</v>
      </c>
      <c r="AB693" s="25">
        <f t="shared" si="592"/>
        <v>1571</v>
      </c>
    </row>
    <row r="694" spans="1:28">
      <c r="A694" s="48">
        <v>1011016</v>
      </c>
      <c r="B694" s="49" t="s">
        <v>335</v>
      </c>
      <c r="C694" s="25">
        <f t="shared" si="584"/>
        <v>16</v>
      </c>
      <c r="D694" s="25">
        <f t="array" ref="D694">INDEX(C$5:C$67,MATCH($B694,$B$5:$B$67,0))</f>
        <v>4080</v>
      </c>
      <c r="E694" s="25">
        <f t="array" ref="E694">INDEX(D$5:D$67,MATCH($B694,$B$5:$B$67,0))</f>
        <v>326.4</v>
      </c>
      <c r="F694" s="25">
        <f t="array" ref="F694">INDEX(E$5:E$67,MATCH($B694,$B$5:$B$67,0))</f>
        <v>873</v>
      </c>
      <c r="G694" s="25">
        <f t="array" ref="G694">INDEX(F$5:F$67,MATCH($B694,$B$5:$B$67,0))</f>
        <v>69.84</v>
      </c>
      <c r="H694" s="25">
        <f t="array" ref="H694">INDEX(G$5:G$66,MATCH($B694,$B$5:$B$67,0))</f>
        <v>1134</v>
      </c>
      <c r="I694" s="25">
        <f t="array" ref="I694">INDEX(H$5:H$67,MATCH($B694,$B$5:$B$67,0))</f>
        <v>90.72</v>
      </c>
      <c r="J694" s="25">
        <f t="array" ref="J694">INDEX(I$5:I$67,MATCH($B694,$B$5:$B$67,0))</f>
        <v>836</v>
      </c>
      <c r="K694" s="25">
        <f t="array" ref="K694">INDEX(J$5:J$67,MATCH($B694,$B$5:$B$67,0))</f>
        <v>66.88</v>
      </c>
      <c r="L694" s="25">
        <f t="shared" si="585"/>
        <v>9302</v>
      </c>
      <c r="M694" s="25">
        <f t="shared" si="586"/>
        <v>1990</v>
      </c>
      <c r="N694" s="25">
        <f t="shared" si="587"/>
        <v>2586</v>
      </c>
      <c r="O694" s="25">
        <f t="shared" si="588"/>
        <v>1906</v>
      </c>
      <c r="R694" s="50">
        <f t="array" ref="R694">INDEX($B$46:$B$68,MATCH(S694,$C$46:$C$68,0))*1000+T694</f>
        <v>1030022</v>
      </c>
      <c r="S694" s="51" t="s">
        <v>360</v>
      </c>
      <c r="T694" s="29">
        <f t="shared" si="593"/>
        <v>22</v>
      </c>
      <c r="U694" s="25">
        <f t="array" ref="U694">INDEX(K$5:K$67,MATCH($S694,$B$5:$B$67,0))</f>
        <v>477.12</v>
      </c>
      <c r="V694" s="25">
        <f t="array" ref="V694">INDEX(L$5:L$67,MATCH($S694,$B$5:$B$67,0))</f>
        <v>49.15</v>
      </c>
      <c r="W694" s="25">
        <f t="array" ref="W694">INDEX(M$5:M$67,MATCH($S694,$B$5:$B$67,0))</f>
        <v>61.44</v>
      </c>
      <c r="X694" s="25">
        <f t="array" ref="X694">INDEX(N$5:N$67,MATCH($S694,$B$5:$B$67,0))</f>
        <v>74.8</v>
      </c>
      <c r="Y694" s="25">
        <f t="shared" si="589"/>
        <v>10497</v>
      </c>
      <c r="Z694" s="25">
        <f t="shared" si="590"/>
        <v>1081</v>
      </c>
      <c r="AA694" s="25">
        <f t="shared" si="591"/>
        <v>1352</v>
      </c>
      <c r="AB694" s="25">
        <f t="shared" si="592"/>
        <v>1646</v>
      </c>
    </row>
    <row r="695" spans="1:28">
      <c r="A695" s="48">
        <v>1011017</v>
      </c>
      <c r="B695" s="49" t="s">
        <v>335</v>
      </c>
      <c r="C695" s="25">
        <f t="shared" si="584"/>
        <v>17</v>
      </c>
      <c r="D695" s="25">
        <f t="array" ref="D695">INDEX(C$5:C$67,MATCH($B695,$B$5:$B$67,0))</f>
        <v>4080</v>
      </c>
      <c r="E695" s="25">
        <f t="array" ref="E695">INDEX(D$5:D$67,MATCH($B695,$B$5:$B$67,0))</f>
        <v>326.4</v>
      </c>
      <c r="F695" s="25">
        <f t="array" ref="F695">INDEX(E$5:E$67,MATCH($B695,$B$5:$B$67,0))</f>
        <v>873</v>
      </c>
      <c r="G695" s="25">
        <f t="array" ref="G695">INDEX(F$5:F$67,MATCH($B695,$B$5:$B$67,0))</f>
        <v>69.84</v>
      </c>
      <c r="H695" s="25">
        <f t="array" ref="H695">INDEX(G$5:G$66,MATCH($B695,$B$5:$B$67,0))</f>
        <v>1134</v>
      </c>
      <c r="I695" s="25">
        <f t="array" ref="I695">INDEX(H$5:H$67,MATCH($B695,$B$5:$B$67,0))</f>
        <v>90.72</v>
      </c>
      <c r="J695" s="25">
        <f t="array" ref="J695">INDEX(I$5:I$67,MATCH($B695,$B$5:$B$67,0))</f>
        <v>836</v>
      </c>
      <c r="K695" s="25">
        <f t="array" ref="K695">INDEX(J$5:J$67,MATCH($B695,$B$5:$B$67,0))</f>
        <v>66.88</v>
      </c>
      <c r="L695" s="25">
        <f t="shared" si="585"/>
        <v>9629</v>
      </c>
      <c r="M695" s="25">
        <f t="shared" si="586"/>
        <v>2060</v>
      </c>
      <c r="N695" s="25">
        <f t="shared" si="587"/>
        <v>2676</v>
      </c>
      <c r="O695" s="25">
        <f t="shared" si="588"/>
        <v>1973</v>
      </c>
      <c r="R695" s="50">
        <f t="array" ref="R695">INDEX($B$46:$B$68,MATCH(S695,$C$46:$C$68,0))*1000+T695</f>
        <v>1030023</v>
      </c>
      <c r="S695" s="51" t="s">
        <v>360</v>
      </c>
      <c r="T695" s="29">
        <f t="shared" si="593"/>
        <v>23</v>
      </c>
      <c r="U695" s="25">
        <f t="array" ref="U695">INDEX(K$5:K$67,MATCH($S695,$B$5:$B$67,0))</f>
        <v>477.12</v>
      </c>
      <c r="V695" s="25">
        <f t="array" ref="V695">INDEX(L$5:L$67,MATCH($S695,$B$5:$B$67,0))</f>
        <v>49.15</v>
      </c>
      <c r="W695" s="25">
        <f t="array" ref="W695">INDEX(M$5:M$67,MATCH($S695,$B$5:$B$67,0))</f>
        <v>61.44</v>
      </c>
      <c r="X695" s="25">
        <f t="array" ref="X695">INDEX(N$5:N$67,MATCH($S695,$B$5:$B$67,0))</f>
        <v>74.8</v>
      </c>
      <c r="Y695" s="25">
        <f t="shared" si="589"/>
        <v>10974</v>
      </c>
      <c r="Z695" s="25">
        <f t="shared" si="590"/>
        <v>1130</v>
      </c>
      <c r="AA695" s="25">
        <f t="shared" si="591"/>
        <v>1413</v>
      </c>
      <c r="AB695" s="25">
        <f t="shared" si="592"/>
        <v>1720</v>
      </c>
    </row>
    <row r="696" spans="1:28">
      <c r="A696" s="48">
        <v>1011018</v>
      </c>
      <c r="B696" s="49" t="s">
        <v>335</v>
      </c>
      <c r="C696" s="25">
        <f t="shared" si="584"/>
        <v>18</v>
      </c>
      <c r="D696" s="25">
        <f t="array" ref="D696">INDEX(C$5:C$67,MATCH($B696,$B$5:$B$67,0))</f>
        <v>4080</v>
      </c>
      <c r="E696" s="25">
        <f t="array" ref="E696">INDEX(D$5:D$67,MATCH($B696,$B$5:$B$67,0))</f>
        <v>326.4</v>
      </c>
      <c r="F696" s="25">
        <f t="array" ref="F696">INDEX(E$5:E$67,MATCH($B696,$B$5:$B$67,0))</f>
        <v>873</v>
      </c>
      <c r="G696" s="25">
        <f t="array" ref="G696">INDEX(F$5:F$67,MATCH($B696,$B$5:$B$67,0))</f>
        <v>69.84</v>
      </c>
      <c r="H696" s="25">
        <f t="array" ref="H696">INDEX(G$5:G$66,MATCH($B696,$B$5:$B$67,0))</f>
        <v>1134</v>
      </c>
      <c r="I696" s="25">
        <f t="array" ref="I696">INDEX(H$5:H$67,MATCH($B696,$B$5:$B$67,0))</f>
        <v>90.72</v>
      </c>
      <c r="J696" s="25">
        <f t="array" ref="J696">INDEX(I$5:I$67,MATCH($B696,$B$5:$B$67,0))</f>
        <v>836</v>
      </c>
      <c r="K696" s="25">
        <f t="array" ref="K696">INDEX(J$5:J$67,MATCH($B696,$B$5:$B$67,0))</f>
        <v>66.88</v>
      </c>
      <c r="L696" s="25">
        <f t="shared" si="585"/>
        <v>9955</v>
      </c>
      <c r="M696" s="25">
        <f t="shared" si="586"/>
        <v>2130</v>
      </c>
      <c r="N696" s="25">
        <f t="shared" si="587"/>
        <v>2767</v>
      </c>
      <c r="O696" s="25">
        <f t="shared" si="588"/>
        <v>2040</v>
      </c>
      <c r="R696" s="50">
        <f t="array" ref="R696">INDEX($B$46:$B$68,MATCH(S696,$C$46:$C$68,0))*1000+T696</f>
        <v>1030024</v>
      </c>
      <c r="S696" s="51" t="s">
        <v>360</v>
      </c>
      <c r="T696" s="29">
        <f t="shared" si="593"/>
        <v>24</v>
      </c>
      <c r="U696" s="25">
        <f t="array" ref="U696">INDEX(K$5:K$67,MATCH($S696,$B$5:$B$67,0))</f>
        <v>477.12</v>
      </c>
      <c r="V696" s="25">
        <f t="array" ref="V696">INDEX(L$5:L$67,MATCH($S696,$B$5:$B$67,0))</f>
        <v>49.15</v>
      </c>
      <c r="W696" s="25">
        <f t="array" ref="W696">INDEX(M$5:M$67,MATCH($S696,$B$5:$B$67,0))</f>
        <v>61.44</v>
      </c>
      <c r="X696" s="25">
        <f t="array" ref="X696">INDEX(N$5:N$67,MATCH($S696,$B$5:$B$67,0))</f>
        <v>74.8</v>
      </c>
      <c r="Y696" s="25">
        <f t="shared" si="589"/>
        <v>11451</v>
      </c>
      <c r="Z696" s="25">
        <f t="shared" si="590"/>
        <v>1180</v>
      </c>
      <c r="AA696" s="25">
        <f t="shared" si="591"/>
        <v>1475</v>
      </c>
      <c r="AB696" s="25">
        <f t="shared" si="592"/>
        <v>1795</v>
      </c>
    </row>
    <row r="697" spans="1:28">
      <c r="A697" s="48">
        <v>1011019</v>
      </c>
      <c r="B697" s="49" t="s">
        <v>335</v>
      </c>
      <c r="C697" s="25">
        <f t="shared" si="584"/>
        <v>19</v>
      </c>
      <c r="D697" s="25">
        <f t="array" ref="D697">INDEX(C$5:C$67,MATCH($B697,$B$5:$B$67,0))</f>
        <v>4080</v>
      </c>
      <c r="E697" s="25">
        <f t="array" ref="E697">INDEX(D$5:D$67,MATCH($B697,$B$5:$B$67,0))</f>
        <v>326.4</v>
      </c>
      <c r="F697" s="25">
        <f t="array" ref="F697">INDEX(E$5:E$67,MATCH($B697,$B$5:$B$67,0))</f>
        <v>873</v>
      </c>
      <c r="G697" s="25">
        <f t="array" ref="G697">INDEX(F$5:F$67,MATCH($B697,$B$5:$B$67,0))</f>
        <v>69.84</v>
      </c>
      <c r="H697" s="25">
        <f t="array" ref="H697">INDEX(G$5:G$66,MATCH($B697,$B$5:$B$67,0))</f>
        <v>1134</v>
      </c>
      <c r="I697" s="25">
        <f t="array" ref="I697">INDEX(H$5:H$67,MATCH($B697,$B$5:$B$67,0))</f>
        <v>90.72</v>
      </c>
      <c r="J697" s="25">
        <f t="array" ref="J697">INDEX(I$5:I$67,MATCH($B697,$B$5:$B$67,0))</f>
        <v>836</v>
      </c>
      <c r="K697" s="25">
        <f t="array" ref="K697">INDEX(J$5:J$67,MATCH($B697,$B$5:$B$67,0))</f>
        <v>66.88</v>
      </c>
      <c r="L697" s="25">
        <f t="shared" si="585"/>
        <v>10282</v>
      </c>
      <c r="M697" s="25">
        <f t="shared" si="586"/>
        <v>2200</v>
      </c>
      <c r="N697" s="25">
        <f t="shared" si="587"/>
        <v>2858</v>
      </c>
      <c r="O697" s="25">
        <f t="shared" si="588"/>
        <v>2107</v>
      </c>
      <c r="R697" s="50">
        <f t="array" ref="R697">INDEX($B$46:$B$68,MATCH(S697,$C$46:$C$68,0))*1000+T697</f>
        <v>1030025</v>
      </c>
      <c r="S697" s="51" t="s">
        <v>360</v>
      </c>
      <c r="T697" s="29">
        <f t="shared" si="593"/>
        <v>25</v>
      </c>
      <c r="U697" s="25">
        <f t="array" ref="U697">INDEX(K$5:K$67,MATCH($S697,$B$5:$B$67,0))</f>
        <v>477.12</v>
      </c>
      <c r="V697" s="25">
        <f t="array" ref="V697">INDEX(L$5:L$67,MATCH($S697,$B$5:$B$67,0))</f>
        <v>49.15</v>
      </c>
      <c r="W697" s="25">
        <f t="array" ref="W697">INDEX(M$5:M$67,MATCH($S697,$B$5:$B$67,0))</f>
        <v>61.44</v>
      </c>
      <c r="X697" s="25">
        <f t="array" ref="X697">INDEX(N$5:N$67,MATCH($S697,$B$5:$B$67,0))</f>
        <v>74.8</v>
      </c>
      <c r="Y697" s="25">
        <f t="shared" si="589"/>
        <v>11928</v>
      </c>
      <c r="Z697" s="25">
        <f t="shared" si="590"/>
        <v>1229</v>
      </c>
      <c r="AA697" s="25">
        <f t="shared" si="591"/>
        <v>1536</v>
      </c>
      <c r="AB697" s="25">
        <f t="shared" si="592"/>
        <v>1870</v>
      </c>
    </row>
    <row r="698" spans="1:28">
      <c r="A698" s="48">
        <v>1011020</v>
      </c>
      <c r="B698" s="49" t="s">
        <v>335</v>
      </c>
      <c r="C698" s="25">
        <f t="shared" si="584"/>
        <v>20</v>
      </c>
      <c r="D698" s="25">
        <f t="array" ref="D698">INDEX(C$5:C$67,MATCH($B698,$B$5:$B$67,0))</f>
        <v>4080</v>
      </c>
      <c r="E698" s="25">
        <f t="array" ref="E698">INDEX(D$5:D$67,MATCH($B698,$B$5:$B$67,0))</f>
        <v>326.4</v>
      </c>
      <c r="F698" s="25">
        <f t="array" ref="F698">INDEX(E$5:E$67,MATCH($B698,$B$5:$B$67,0))</f>
        <v>873</v>
      </c>
      <c r="G698" s="25">
        <f t="array" ref="G698">INDEX(F$5:F$67,MATCH($B698,$B$5:$B$67,0))</f>
        <v>69.84</v>
      </c>
      <c r="H698" s="25">
        <f t="array" ref="H698">INDEX(G$5:G$66,MATCH($B698,$B$5:$B$67,0))</f>
        <v>1134</v>
      </c>
      <c r="I698" s="25">
        <f t="array" ref="I698">INDEX(H$5:H$67,MATCH($B698,$B$5:$B$67,0))</f>
        <v>90.72</v>
      </c>
      <c r="J698" s="25">
        <f t="array" ref="J698">INDEX(I$5:I$67,MATCH($B698,$B$5:$B$67,0))</f>
        <v>836</v>
      </c>
      <c r="K698" s="25">
        <f t="array" ref="K698">INDEX(J$5:J$67,MATCH($B698,$B$5:$B$67,0))</f>
        <v>66.88</v>
      </c>
      <c r="L698" s="25">
        <f t="shared" si="585"/>
        <v>10608</v>
      </c>
      <c r="M698" s="25">
        <f t="shared" si="586"/>
        <v>2270</v>
      </c>
      <c r="N698" s="25">
        <f t="shared" si="587"/>
        <v>2948</v>
      </c>
      <c r="O698" s="25">
        <f t="shared" si="588"/>
        <v>2174</v>
      </c>
      <c r="R698" s="50">
        <f t="array" ref="R698">INDEX($B$46:$B$68,MATCH(S698,$C$46:$C$68,0))*1000+T698</f>
        <v>1030026</v>
      </c>
      <c r="S698" s="51" t="s">
        <v>360</v>
      </c>
      <c r="T698" s="29">
        <f t="shared" si="593"/>
        <v>26</v>
      </c>
      <c r="U698" s="25">
        <f t="array" ref="U698">INDEX(K$5:K$67,MATCH($S698,$B$5:$B$67,0))</f>
        <v>477.12</v>
      </c>
      <c r="V698" s="25">
        <f t="array" ref="V698">INDEX(L$5:L$67,MATCH($S698,$B$5:$B$67,0))</f>
        <v>49.15</v>
      </c>
      <c r="W698" s="25">
        <f t="array" ref="W698">INDEX(M$5:M$67,MATCH($S698,$B$5:$B$67,0))</f>
        <v>61.44</v>
      </c>
      <c r="X698" s="25">
        <f t="array" ref="X698">INDEX(N$5:N$67,MATCH($S698,$B$5:$B$67,0))</f>
        <v>74.8</v>
      </c>
      <c r="Y698" s="25">
        <f t="shared" si="589"/>
        <v>12405</v>
      </c>
      <c r="Z698" s="25">
        <f t="shared" si="590"/>
        <v>1278</v>
      </c>
      <c r="AA698" s="25">
        <f t="shared" si="591"/>
        <v>1597</v>
      </c>
      <c r="AB698" s="25">
        <f t="shared" si="592"/>
        <v>1945</v>
      </c>
    </row>
    <row r="699" spans="1:28">
      <c r="A699" s="48">
        <v>1011021</v>
      </c>
      <c r="B699" s="49" t="s">
        <v>335</v>
      </c>
      <c r="C699" s="25">
        <f t="shared" si="584"/>
        <v>21</v>
      </c>
      <c r="D699" s="25">
        <f t="array" ref="D699">INDEX(C$5:C$67,MATCH($B699,$B$5:$B$67,0))</f>
        <v>4080</v>
      </c>
      <c r="E699" s="25">
        <f t="array" ref="E699">INDEX(D$5:D$67,MATCH($B699,$B$5:$B$67,0))</f>
        <v>326.4</v>
      </c>
      <c r="F699" s="25">
        <f t="array" ref="F699">INDEX(E$5:E$67,MATCH($B699,$B$5:$B$67,0))</f>
        <v>873</v>
      </c>
      <c r="G699" s="25">
        <f t="array" ref="G699">INDEX(F$5:F$67,MATCH($B699,$B$5:$B$67,0))</f>
        <v>69.84</v>
      </c>
      <c r="H699" s="25">
        <f t="array" ref="H699">INDEX(G$5:G$66,MATCH($B699,$B$5:$B$67,0))</f>
        <v>1134</v>
      </c>
      <c r="I699" s="25">
        <f t="array" ref="I699">INDEX(H$5:H$67,MATCH($B699,$B$5:$B$67,0))</f>
        <v>90.72</v>
      </c>
      <c r="J699" s="25">
        <f t="array" ref="J699">INDEX(I$5:I$67,MATCH($B699,$B$5:$B$67,0))</f>
        <v>836</v>
      </c>
      <c r="K699" s="25">
        <f t="array" ref="K699">INDEX(J$5:J$67,MATCH($B699,$B$5:$B$67,0))</f>
        <v>66.88</v>
      </c>
      <c r="L699" s="25">
        <f t="shared" si="585"/>
        <v>10934</v>
      </c>
      <c r="M699" s="25">
        <f t="shared" si="586"/>
        <v>2340</v>
      </c>
      <c r="N699" s="25">
        <f t="shared" si="587"/>
        <v>3039</v>
      </c>
      <c r="O699" s="25">
        <f t="shared" si="588"/>
        <v>2240</v>
      </c>
      <c r="R699" s="50">
        <f t="array" ref="R699">INDEX($B$46:$B$68,MATCH(S699,$C$46:$C$68,0))*1000+T699</f>
        <v>1030027</v>
      </c>
      <c r="S699" s="51" t="s">
        <v>360</v>
      </c>
      <c r="T699" s="29">
        <f t="shared" si="593"/>
        <v>27</v>
      </c>
      <c r="U699" s="25">
        <f t="array" ref="U699">INDEX(K$5:K$67,MATCH($S699,$B$5:$B$67,0))</f>
        <v>477.12</v>
      </c>
      <c r="V699" s="25">
        <f t="array" ref="V699">INDEX(L$5:L$67,MATCH($S699,$B$5:$B$67,0))</f>
        <v>49.15</v>
      </c>
      <c r="W699" s="25">
        <f t="array" ref="W699">INDEX(M$5:M$67,MATCH($S699,$B$5:$B$67,0))</f>
        <v>61.44</v>
      </c>
      <c r="X699" s="25">
        <f t="array" ref="X699">INDEX(N$5:N$67,MATCH($S699,$B$5:$B$67,0))</f>
        <v>74.8</v>
      </c>
      <c r="Y699" s="25">
        <f t="shared" si="589"/>
        <v>12882</v>
      </c>
      <c r="Z699" s="25">
        <f t="shared" si="590"/>
        <v>1327</v>
      </c>
      <c r="AA699" s="25">
        <f t="shared" si="591"/>
        <v>1659</v>
      </c>
      <c r="AB699" s="25">
        <f t="shared" si="592"/>
        <v>2020</v>
      </c>
    </row>
    <row r="700" spans="1:28">
      <c r="A700" s="48">
        <v>1011022</v>
      </c>
      <c r="B700" s="49" t="s">
        <v>335</v>
      </c>
      <c r="C700" s="25">
        <f t="shared" si="584"/>
        <v>22</v>
      </c>
      <c r="D700" s="25">
        <f t="array" ref="D700">INDEX(C$5:C$67,MATCH($B700,$B$5:$B$67,0))</f>
        <v>4080</v>
      </c>
      <c r="E700" s="25">
        <f t="array" ref="E700">INDEX(D$5:D$67,MATCH($B700,$B$5:$B$67,0))</f>
        <v>326.4</v>
      </c>
      <c r="F700" s="25">
        <f t="array" ref="F700">INDEX(E$5:E$67,MATCH($B700,$B$5:$B$67,0))</f>
        <v>873</v>
      </c>
      <c r="G700" s="25">
        <f t="array" ref="G700">INDEX(F$5:F$67,MATCH($B700,$B$5:$B$67,0))</f>
        <v>69.84</v>
      </c>
      <c r="H700" s="25">
        <f t="array" ref="H700">INDEX(G$5:G$66,MATCH($B700,$B$5:$B$67,0))</f>
        <v>1134</v>
      </c>
      <c r="I700" s="25">
        <f t="array" ref="I700">INDEX(H$5:H$67,MATCH($B700,$B$5:$B$67,0))</f>
        <v>90.72</v>
      </c>
      <c r="J700" s="25">
        <f t="array" ref="J700">INDEX(I$5:I$67,MATCH($B700,$B$5:$B$67,0))</f>
        <v>836</v>
      </c>
      <c r="K700" s="25">
        <f t="array" ref="K700">INDEX(J$5:J$67,MATCH($B700,$B$5:$B$67,0))</f>
        <v>66.88</v>
      </c>
      <c r="L700" s="25">
        <f t="shared" si="585"/>
        <v>11261</v>
      </c>
      <c r="M700" s="25">
        <f t="shared" si="586"/>
        <v>2409</v>
      </c>
      <c r="N700" s="25">
        <f t="shared" si="587"/>
        <v>3130</v>
      </c>
      <c r="O700" s="25">
        <f t="shared" si="588"/>
        <v>2307</v>
      </c>
      <c r="R700" s="54">
        <v>1035001</v>
      </c>
      <c r="S700" s="51" t="s">
        <v>363</v>
      </c>
      <c r="T700" s="29">
        <f t="shared" si="593"/>
        <v>1</v>
      </c>
      <c r="U700" s="25">
        <f t="array" ref="U700">INDEX(K$5:K$67,MATCH($S700,$B$5:$B$67,0))</f>
        <v>313.11</v>
      </c>
      <c r="V700" s="25">
        <f t="array" ref="V700">INDEX(L$5:L$67,MATCH($S700,$B$5:$B$67,0))</f>
        <v>68.1</v>
      </c>
      <c r="W700" s="25">
        <f t="array" ref="W700">INDEX(M$5:M$67,MATCH($S700,$B$5:$B$67,0))</f>
        <v>85.12</v>
      </c>
      <c r="X700" s="25">
        <f t="array" ref="X700">INDEX(N$5:N$67,MATCH($S700,$B$5:$B$67,0))</f>
        <v>59.5</v>
      </c>
      <c r="Y700" s="25">
        <f t="shared" si="589"/>
        <v>313</v>
      </c>
      <c r="Z700" s="25">
        <f t="shared" si="590"/>
        <v>68</v>
      </c>
      <c r="AA700" s="25">
        <f t="shared" si="591"/>
        <v>85</v>
      </c>
      <c r="AB700" s="25">
        <f t="shared" si="592"/>
        <v>60</v>
      </c>
    </row>
    <row r="701" spans="1:28">
      <c r="A701" s="48">
        <v>1011023</v>
      </c>
      <c r="B701" s="49" t="s">
        <v>335</v>
      </c>
      <c r="C701" s="25">
        <f t="shared" si="584"/>
        <v>23</v>
      </c>
      <c r="D701" s="25">
        <f t="array" ref="D701">INDEX(C$5:C$67,MATCH($B701,$B$5:$B$67,0))</f>
        <v>4080</v>
      </c>
      <c r="E701" s="25">
        <f t="array" ref="E701">INDEX(D$5:D$67,MATCH($B701,$B$5:$B$67,0))</f>
        <v>326.4</v>
      </c>
      <c r="F701" s="25">
        <f t="array" ref="F701">INDEX(E$5:E$67,MATCH($B701,$B$5:$B$67,0))</f>
        <v>873</v>
      </c>
      <c r="G701" s="25">
        <f t="array" ref="G701">INDEX(F$5:F$67,MATCH($B701,$B$5:$B$67,0))</f>
        <v>69.84</v>
      </c>
      <c r="H701" s="25">
        <f t="array" ref="H701">INDEX(G$5:G$66,MATCH($B701,$B$5:$B$67,0))</f>
        <v>1134</v>
      </c>
      <c r="I701" s="25">
        <f t="array" ref="I701">INDEX(H$5:H$67,MATCH($B701,$B$5:$B$67,0))</f>
        <v>90.72</v>
      </c>
      <c r="J701" s="25">
        <f t="array" ref="J701">INDEX(I$5:I$67,MATCH($B701,$B$5:$B$67,0))</f>
        <v>836</v>
      </c>
      <c r="K701" s="25">
        <f t="array" ref="K701">INDEX(J$5:J$67,MATCH($B701,$B$5:$B$67,0))</f>
        <v>66.88</v>
      </c>
      <c r="L701" s="25">
        <f t="shared" si="585"/>
        <v>11587</v>
      </c>
      <c r="M701" s="25">
        <f t="shared" si="586"/>
        <v>2479</v>
      </c>
      <c r="N701" s="25">
        <f t="shared" si="587"/>
        <v>3221</v>
      </c>
      <c r="O701" s="25">
        <f t="shared" si="588"/>
        <v>2374</v>
      </c>
      <c r="R701" s="54">
        <v>1035002</v>
      </c>
      <c r="S701" s="51" t="s">
        <v>363</v>
      </c>
      <c r="T701" s="29">
        <f t="shared" si="593"/>
        <v>2</v>
      </c>
      <c r="U701" s="25">
        <f t="array" ref="U701">INDEX(K$5:K$67,MATCH($S701,$B$5:$B$67,0))</f>
        <v>313.11</v>
      </c>
      <c r="V701" s="25">
        <f t="array" ref="V701">INDEX(L$5:L$67,MATCH($S701,$B$5:$B$67,0))</f>
        <v>68.1</v>
      </c>
      <c r="W701" s="25">
        <f t="array" ref="W701">INDEX(M$5:M$67,MATCH($S701,$B$5:$B$67,0))</f>
        <v>85.12</v>
      </c>
      <c r="X701" s="25">
        <f t="array" ref="X701">INDEX(N$5:N$67,MATCH($S701,$B$5:$B$67,0))</f>
        <v>59.5</v>
      </c>
      <c r="Y701" s="25">
        <f t="shared" si="589"/>
        <v>626</v>
      </c>
      <c r="Z701" s="25">
        <f t="shared" si="590"/>
        <v>136</v>
      </c>
      <c r="AA701" s="25">
        <f t="shared" si="591"/>
        <v>170</v>
      </c>
      <c r="AB701" s="25">
        <f t="shared" si="592"/>
        <v>119</v>
      </c>
    </row>
    <row r="702" spans="1:28">
      <c r="A702" s="48">
        <v>1011024</v>
      </c>
      <c r="B702" s="49" t="s">
        <v>335</v>
      </c>
      <c r="C702" s="25">
        <f t="shared" si="584"/>
        <v>24</v>
      </c>
      <c r="D702" s="25">
        <f t="array" ref="D702">INDEX(C$5:C$67,MATCH($B702,$B$5:$B$67,0))</f>
        <v>4080</v>
      </c>
      <c r="E702" s="25">
        <f t="array" ref="E702">INDEX(D$5:D$67,MATCH($B702,$B$5:$B$67,0))</f>
        <v>326.4</v>
      </c>
      <c r="F702" s="25">
        <f t="array" ref="F702">INDEX(E$5:E$67,MATCH($B702,$B$5:$B$67,0))</f>
        <v>873</v>
      </c>
      <c r="G702" s="25">
        <f t="array" ref="G702">INDEX(F$5:F$67,MATCH($B702,$B$5:$B$67,0))</f>
        <v>69.84</v>
      </c>
      <c r="H702" s="25">
        <f t="array" ref="H702">INDEX(G$5:G$66,MATCH($B702,$B$5:$B$67,0))</f>
        <v>1134</v>
      </c>
      <c r="I702" s="25">
        <f t="array" ref="I702">INDEX(H$5:H$67,MATCH($B702,$B$5:$B$67,0))</f>
        <v>90.72</v>
      </c>
      <c r="J702" s="25">
        <f t="array" ref="J702">INDEX(I$5:I$67,MATCH($B702,$B$5:$B$67,0))</f>
        <v>836</v>
      </c>
      <c r="K702" s="25">
        <f t="array" ref="K702">INDEX(J$5:J$67,MATCH($B702,$B$5:$B$67,0))</f>
        <v>66.88</v>
      </c>
      <c r="L702" s="25">
        <f t="shared" si="585"/>
        <v>11914</v>
      </c>
      <c r="M702" s="25">
        <f t="shared" si="586"/>
        <v>2549</v>
      </c>
      <c r="N702" s="25">
        <f t="shared" si="587"/>
        <v>3311</v>
      </c>
      <c r="O702" s="25">
        <f t="shared" si="588"/>
        <v>2441</v>
      </c>
      <c r="R702" s="54">
        <v>1035003</v>
      </c>
      <c r="S702" s="51" t="s">
        <v>363</v>
      </c>
      <c r="T702" s="29">
        <f t="shared" si="593"/>
        <v>3</v>
      </c>
      <c r="U702" s="25">
        <f t="array" ref="U702">INDEX(K$5:K$67,MATCH($S702,$B$5:$B$67,0))</f>
        <v>313.11</v>
      </c>
      <c r="V702" s="25">
        <f t="array" ref="V702">INDEX(L$5:L$67,MATCH($S702,$B$5:$B$67,0))</f>
        <v>68.1</v>
      </c>
      <c r="W702" s="25">
        <f t="array" ref="W702">INDEX(M$5:M$67,MATCH($S702,$B$5:$B$67,0))</f>
        <v>85.12</v>
      </c>
      <c r="X702" s="25">
        <f t="array" ref="X702">INDEX(N$5:N$67,MATCH($S702,$B$5:$B$67,0))</f>
        <v>59.5</v>
      </c>
      <c r="Y702" s="25">
        <f t="shared" si="589"/>
        <v>939</v>
      </c>
      <c r="Z702" s="25">
        <f t="shared" si="590"/>
        <v>204</v>
      </c>
      <c r="AA702" s="25">
        <f t="shared" si="591"/>
        <v>255</v>
      </c>
      <c r="AB702" s="25">
        <f t="shared" si="592"/>
        <v>179</v>
      </c>
    </row>
    <row r="703" spans="1:28">
      <c r="A703" s="48">
        <v>1011025</v>
      </c>
      <c r="B703" s="49" t="s">
        <v>335</v>
      </c>
      <c r="C703" s="25">
        <f t="shared" si="584"/>
        <v>25</v>
      </c>
      <c r="D703" s="25">
        <f t="array" ref="D703">INDEX(C$5:C$67,MATCH($B703,$B$5:$B$67,0))</f>
        <v>4080</v>
      </c>
      <c r="E703" s="25">
        <f t="array" ref="E703">INDEX(D$5:D$67,MATCH($B703,$B$5:$B$67,0))</f>
        <v>326.4</v>
      </c>
      <c r="F703" s="25">
        <f t="array" ref="F703">INDEX(E$5:E$67,MATCH($B703,$B$5:$B$67,0))</f>
        <v>873</v>
      </c>
      <c r="G703" s="25">
        <f t="array" ref="G703">INDEX(F$5:F$67,MATCH($B703,$B$5:$B$67,0))</f>
        <v>69.84</v>
      </c>
      <c r="H703" s="25">
        <f t="array" ref="H703">INDEX(G$5:G$66,MATCH($B703,$B$5:$B$67,0))</f>
        <v>1134</v>
      </c>
      <c r="I703" s="25">
        <f t="array" ref="I703">INDEX(H$5:H$67,MATCH($B703,$B$5:$B$67,0))</f>
        <v>90.72</v>
      </c>
      <c r="J703" s="25">
        <f t="array" ref="J703">INDEX(I$5:I$67,MATCH($B703,$B$5:$B$67,0))</f>
        <v>836</v>
      </c>
      <c r="K703" s="25">
        <f t="array" ref="K703">INDEX(J$5:J$67,MATCH($B703,$B$5:$B$67,0))</f>
        <v>66.88</v>
      </c>
      <c r="L703" s="25">
        <f t="shared" si="585"/>
        <v>12240</v>
      </c>
      <c r="M703" s="25">
        <f t="shared" si="586"/>
        <v>2619</v>
      </c>
      <c r="N703" s="25">
        <f t="shared" si="587"/>
        <v>3402</v>
      </c>
      <c r="O703" s="25">
        <f t="shared" si="588"/>
        <v>2508</v>
      </c>
      <c r="R703" s="54">
        <v>1035004</v>
      </c>
      <c r="S703" s="51" t="s">
        <v>363</v>
      </c>
      <c r="T703" s="29">
        <f t="shared" si="593"/>
        <v>4</v>
      </c>
      <c r="U703" s="25">
        <f t="array" ref="U703">INDEX(K$5:K$67,MATCH($S703,$B$5:$B$67,0))</f>
        <v>313.11</v>
      </c>
      <c r="V703" s="25">
        <f t="array" ref="V703">INDEX(L$5:L$67,MATCH($S703,$B$5:$B$67,0))</f>
        <v>68.1</v>
      </c>
      <c r="W703" s="25">
        <f t="array" ref="W703">INDEX(M$5:M$67,MATCH($S703,$B$5:$B$67,0))</f>
        <v>85.12</v>
      </c>
      <c r="X703" s="25">
        <f t="array" ref="X703">INDEX(N$5:N$67,MATCH($S703,$B$5:$B$67,0))</f>
        <v>59.5</v>
      </c>
      <c r="Y703" s="25">
        <f t="shared" si="589"/>
        <v>1252</v>
      </c>
      <c r="Z703" s="25">
        <f t="shared" si="590"/>
        <v>272</v>
      </c>
      <c r="AA703" s="25">
        <f t="shared" si="591"/>
        <v>340</v>
      </c>
      <c r="AB703" s="25">
        <f t="shared" si="592"/>
        <v>238</v>
      </c>
    </row>
    <row r="704" spans="1:28">
      <c r="A704" s="48">
        <v>1011026</v>
      </c>
      <c r="B704" s="49" t="s">
        <v>335</v>
      </c>
      <c r="C704" s="25">
        <f t="shared" si="584"/>
        <v>26</v>
      </c>
      <c r="D704" s="25">
        <f t="array" ref="D704">INDEX(C$5:C$67,MATCH($B704,$B$5:$B$67,0))</f>
        <v>4080</v>
      </c>
      <c r="E704" s="25">
        <f t="array" ref="E704">INDEX(D$5:D$67,MATCH($B704,$B$5:$B$67,0))</f>
        <v>326.4</v>
      </c>
      <c r="F704" s="25">
        <f t="array" ref="F704">INDEX(E$5:E$67,MATCH($B704,$B$5:$B$67,0))</f>
        <v>873</v>
      </c>
      <c r="G704" s="25">
        <f t="array" ref="G704">INDEX(F$5:F$67,MATCH($B704,$B$5:$B$67,0))</f>
        <v>69.84</v>
      </c>
      <c r="H704" s="25">
        <f t="array" ref="H704">INDEX(G$5:G$66,MATCH($B704,$B$5:$B$67,0))</f>
        <v>1134</v>
      </c>
      <c r="I704" s="25">
        <f t="array" ref="I704">INDEX(H$5:H$67,MATCH($B704,$B$5:$B$67,0))</f>
        <v>90.72</v>
      </c>
      <c r="J704" s="25">
        <f t="array" ref="J704">INDEX(I$5:I$67,MATCH($B704,$B$5:$B$67,0))</f>
        <v>836</v>
      </c>
      <c r="K704" s="25">
        <f t="array" ref="K704">INDEX(J$5:J$67,MATCH($B704,$B$5:$B$67,0))</f>
        <v>66.88</v>
      </c>
      <c r="L704" s="25">
        <f t="shared" si="585"/>
        <v>12566</v>
      </c>
      <c r="M704" s="25">
        <f t="shared" si="586"/>
        <v>2689</v>
      </c>
      <c r="N704" s="25">
        <f t="shared" si="587"/>
        <v>3493</v>
      </c>
      <c r="O704" s="25">
        <f t="shared" si="588"/>
        <v>2575</v>
      </c>
      <c r="R704" s="54">
        <v>1035005</v>
      </c>
      <c r="S704" s="51" t="s">
        <v>363</v>
      </c>
      <c r="T704" s="29">
        <f t="shared" si="593"/>
        <v>5</v>
      </c>
      <c r="U704" s="25">
        <f t="array" ref="U704">INDEX(K$5:K$67,MATCH($S704,$B$5:$B$67,0))</f>
        <v>313.11</v>
      </c>
      <c r="V704" s="25">
        <f t="array" ref="V704">INDEX(L$5:L$67,MATCH($S704,$B$5:$B$67,0))</f>
        <v>68.1</v>
      </c>
      <c r="W704" s="25">
        <f t="array" ref="W704">INDEX(M$5:M$67,MATCH($S704,$B$5:$B$67,0))</f>
        <v>85.12</v>
      </c>
      <c r="X704" s="25">
        <f t="array" ref="X704">INDEX(N$5:N$67,MATCH($S704,$B$5:$B$67,0))</f>
        <v>59.5</v>
      </c>
      <c r="Y704" s="25">
        <f t="shared" si="589"/>
        <v>1566</v>
      </c>
      <c r="Z704" s="25">
        <f t="shared" si="590"/>
        <v>341</v>
      </c>
      <c r="AA704" s="25">
        <f t="shared" si="591"/>
        <v>426</v>
      </c>
      <c r="AB704" s="25">
        <f t="shared" si="592"/>
        <v>298</v>
      </c>
    </row>
    <row r="705" spans="1:28">
      <c r="A705" s="48">
        <v>1011027</v>
      </c>
      <c r="B705" s="49" t="s">
        <v>335</v>
      </c>
      <c r="C705" s="25">
        <f t="shared" si="584"/>
        <v>27</v>
      </c>
      <c r="D705" s="25">
        <f t="array" ref="D705">INDEX(C$5:C$67,MATCH($B705,$B$5:$B$67,0))</f>
        <v>4080</v>
      </c>
      <c r="E705" s="25">
        <f t="array" ref="E705">INDEX(D$5:D$67,MATCH($B705,$B$5:$B$67,0))</f>
        <v>326.4</v>
      </c>
      <c r="F705" s="25">
        <f t="array" ref="F705">INDEX(E$5:E$67,MATCH($B705,$B$5:$B$67,0))</f>
        <v>873</v>
      </c>
      <c r="G705" s="25">
        <f t="array" ref="G705">INDEX(F$5:F$67,MATCH($B705,$B$5:$B$67,0))</f>
        <v>69.84</v>
      </c>
      <c r="H705" s="25">
        <f t="array" ref="H705">INDEX(G$5:G$66,MATCH($B705,$B$5:$B$67,0))</f>
        <v>1134</v>
      </c>
      <c r="I705" s="25">
        <f t="array" ref="I705">INDEX(H$5:H$67,MATCH($B705,$B$5:$B$67,0))</f>
        <v>90.72</v>
      </c>
      <c r="J705" s="25">
        <f t="array" ref="J705">INDEX(I$5:I$67,MATCH($B705,$B$5:$B$67,0))</f>
        <v>836</v>
      </c>
      <c r="K705" s="25">
        <f t="array" ref="K705">INDEX(J$5:J$67,MATCH($B705,$B$5:$B$67,0))</f>
        <v>66.88</v>
      </c>
      <c r="L705" s="25">
        <f t="shared" si="585"/>
        <v>12893</v>
      </c>
      <c r="M705" s="25">
        <f t="shared" si="586"/>
        <v>2759</v>
      </c>
      <c r="N705" s="25">
        <f t="shared" si="587"/>
        <v>3583</v>
      </c>
      <c r="O705" s="25">
        <f t="shared" si="588"/>
        <v>2642</v>
      </c>
      <c r="R705" s="54">
        <v>1035006</v>
      </c>
      <c r="S705" s="51" t="s">
        <v>363</v>
      </c>
      <c r="T705" s="29">
        <f t="shared" si="593"/>
        <v>6</v>
      </c>
      <c r="U705" s="25">
        <f t="array" ref="U705">INDEX(K$5:K$67,MATCH($S705,$B$5:$B$67,0))</f>
        <v>313.11</v>
      </c>
      <c r="V705" s="25">
        <f t="array" ref="V705">INDEX(L$5:L$67,MATCH($S705,$B$5:$B$67,0))</f>
        <v>68.1</v>
      </c>
      <c r="W705" s="25">
        <f t="array" ref="W705">INDEX(M$5:M$67,MATCH($S705,$B$5:$B$67,0))</f>
        <v>85.12</v>
      </c>
      <c r="X705" s="25">
        <f t="array" ref="X705">INDEX(N$5:N$67,MATCH($S705,$B$5:$B$67,0))</f>
        <v>59.5</v>
      </c>
      <c r="Y705" s="25">
        <f t="shared" si="589"/>
        <v>1879</v>
      </c>
      <c r="Z705" s="25">
        <f t="shared" si="590"/>
        <v>409</v>
      </c>
      <c r="AA705" s="25">
        <f t="shared" si="591"/>
        <v>511</v>
      </c>
      <c r="AB705" s="25">
        <f t="shared" si="592"/>
        <v>357</v>
      </c>
    </row>
    <row r="706" spans="1:28">
      <c r="A706" s="48">
        <v>1011028</v>
      </c>
      <c r="B706" s="49" t="s">
        <v>335</v>
      </c>
      <c r="C706" s="25">
        <f t="shared" si="584"/>
        <v>28</v>
      </c>
      <c r="D706" s="25">
        <f t="array" ref="D706">INDEX(C$5:C$67,MATCH($B706,$B$5:$B$67,0))</f>
        <v>4080</v>
      </c>
      <c r="E706" s="25">
        <f t="array" ref="E706">INDEX(D$5:D$67,MATCH($B706,$B$5:$B$67,0))</f>
        <v>326.4</v>
      </c>
      <c r="F706" s="25">
        <f t="array" ref="F706">INDEX(E$5:E$67,MATCH($B706,$B$5:$B$67,0))</f>
        <v>873</v>
      </c>
      <c r="G706" s="25">
        <f t="array" ref="G706">INDEX(F$5:F$67,MATCH($B706,$B$5:$B$67,0))</f>
        <v>69.84</v>
      </c>
      <c r="H706" s="25">
        <f t="array" ref="H706">INDEX(G$5:G$66,MATCH($B706,$B$5:$B$67,0))</f>
        <v>1134</v>
      </c>
      <c r="I706" s="25">
        <f t="array" ref="I706">INDEX(H$5:H$67,MATCH($B706,$B$5:$B$67,0))</f>
        <v>90.72</v>
      </c>
      <c r="J706" s="25">
        <f t="array" ref="J706">INDEX(I$5:I$67,MATCH($B706,$B$5:$B$67,0))</f>
        <v>836</v>
      </c>
      <c r="K706" s="25">
        <f t="array" ref="K706">INDEX(J$5:J$67,MATCH($B706,$B$5:$B$67,0))</f>
        <v>66.88</v>
      </c>
      <c r="L706" s="25">
        <f t="shared" si="585"/>
        <v>13219</v>
      </c>
      <c r="M706" s="25">
        <f t="shared" si="586"/>
        <v>2829</v>
      </c>
      <c r="N706" s="25">
        <f t="shared" si="587"/>
        <v>3674</v>
      </c>
      <c r="O706" s="25">
        <f t="shared" si="588"/>
        <v>2709</v>
      </c>
      <c r="R706" s="50">
        <v>1035007</v>
      </c>
      <c r="S706" s="51" t="s">
        <v>363</v>
      </c>
      <c r="T706" s="29">
        <f t="shared" si="593"/>
        <v>7</v>
      </c>
      <c r="U706" s="25">
        <f t="array" ref="U706">INDEX(K$5:K$67,MATCH($S706,$B$5:$B$67,0))</f>
        <v>313.11</v>
      </c>
      <c r="V706" s="25">
        <f t="array" ref="V706">INDEX(L$5:L$67,MATCH($S706,$B$5:$B$67,0))</f>
        <v>68.1</v>
      </c>
      <c r="W706" s="25">
        <f t="array" ref="W706">INDEX(M$5:M$67,MATCH($S706,$B$5:$B$67,0))</f>
        <v>85.12</v>
      </c>
      <c r="X706" s="25">
        <f t="array" ref="X706">INDEX(N$5:N$67,MATCH($S706,$B$5:$B$67,0))</f>
        <v>59.5</v>
      </c>
      <c r="Y706" s="25">
        <f t="shared" si="589"/>
        <v>2192</v>
      </c>
      <c r="Z706" s="25">
        <f t="shared" si="590"/>
        <v>477</v>
      </c>
      <c r="AA706" s="25">
        <f t="shared" si="591"/>
        <v>596</v>
      </c>
      <c r="AB706" s="25">
        <f t="shared" si="592"/>
        <v>417</v>
      </c>
    </row>
    <row r="707" spans="1:28">
      <c r="A707" s="48">
        <v>1011029</v>
      </c>
      <c r="B707" s="49" t="s">
        <v>335</v>
      </c>
      <c r="C707" s="25">
        <f t="shared" si="584"/>
        <v>29</v>
      </c>
      <c r="D707" s="25">
        <f t="array" ref="D707">INDEX(C$5:C$67,MATCH($B707,$B$5:$B$67,0))</f>
        <v>4080</v>
      </c>
      <c r="E707" s="25">
        <f t="array" ref="E707">INDEX(D$5:D$67,MATCH($B707,$B$5:$B$67,0))</f>
        <v>326.4</v>
      </c>
      <c r="F707" s="25">
        <f t="array" ref="F707">INDEX(E$5:E$67,MATCH($B707,$B$5:$B$67,0))</f>
        <v>873</v>
      </c>
      <c r="G707" s="25">
        <f t="array" ref="G707">INDEX(F$5:F$67,MATCH($B707,$B$5:$B$67,0))</f>
        <v>69.84</v>
      </c>
      <c r="H707" s="25">
        <f t="array" ref="H707">INDEX(G$5:G$66,MATCH($B707,$B$5:$B$67,0))</f>
        <v>1134</v>
      </c>
      <c r="I707" s="25">
        <f t="array" ref="I707">INDEX(H$5:H$67,MATCH($B707,$B$5:$B$67,0))</f>
        <v>90.72</v>
      </c>
      <c r="J707" s="25">
        <f t="array" ref="J707">INDEX(I$5:I$67,MATCH($B707,$B$5:$B$67,0))</f>
        <v>836</v>
      </c>
      <c r="K707" s="25">
        <f t="array" ref="K707">INDEX(J$5:J$67,MATCH($B707,$B$5:$B$67,0))</f>
        <v>66.88</v>
      </c>
      <c r="L707" s="25">
        <f t="shared" si="585"/>
        <v>13546</v>
      </c>
      <c r="M707" s="25">
        <f t="shared" si="586"/>
        <v>2898</v>
      </c>
      <c r="N707" s="25">
        <f t="shared" si="587"/>
        <v>3765</v>
      </c>
      <c r="O707" s="25">
        <f t="shared" si="588"/>
        <v>2776</v>
      </c>
      <c r="R707" s="50">
        <v>1035008</v>
      </c>
      <c r="S707" s="51" t="s">
        <v>363</v>
      </c>
      <c r="T707" s="29">
        <f t="shared" si="593"/>
        <v>8</v>
      </c>
      <c r="U707" s="25">
        <f t="array" ref="U707">INDEX(K$5:K$67,MATCH($S707,$B$5:$B$67,0))</f>
        <v>313.11</v>
      </c>
      <c r="V707" s="25">
        <f t="array" ref="V707">INDEX(L$5:L$67,MATCH($S707,$B$5:$B$67,0))</f>
        <v>68.1</v>
      </c>
      <c r="W707" s="25">
        <f t="array" ref="W707">INDEX(M$5:M$67,MATCH($S707,$B$5:$B$67,0))</f>
        <v>85.12</v>
      </c>
      <c r="X707" s="25">
        <f t="array" ref="X707">INDEX(N$5:N$67,MATCH($S707,$B$5:$B$67,0))</f>
        <v>59.5</v>
      </c>
      <c r="Y707" s="25">
        <f t="shared" si="589"/>
        <v>2505</v>
      </c>
      <c r="Z707" s="25">
        <f t="shared" si="590"/>
        <v>545</v>
      </c>
      <c r="AA707" s="25">
        <f t="shared" si="591"/>
        <v>681</v>
      </c>
      <c r="AB707" s="25">
        <f t="shared" si="592"/>
        <v>476</v>
      </c>
    </row>
    <row r="708" spans="1:28">
      <c r="A708" s="48">
        <v>1011030</v>
      </c>
      <c r="B708" s="49" t="s">
        <v>335</v>
      </c>
      <c r="C708" s="25">
        <f t="shared" si="584"/>
        <v>30</v>
      </c>
      <c r="D708" s="25">
        <f t="array" ref="D708">INDEX(C$5:C$67,MATCH($B708,$B$5:$B$67,0))</f>
        <v>4080</v>
      </c>
      <c r="E708" s="25">
        <f t="array" ref="E708">INDEX(D$5:D$67,MATCH($B708,$B$5:$B$67,0))</f>
        <v>326.4</v>
      </c>
      <c r="F708" s="25">
        <f t="array" ref="F708">INDEX(E$5:E$67,MATCH($B708,$B$5:$B$67,0))</f>
        <v>873</v>
      </c>
      <c r="G708" s="25">
        <f t="array" ref="G708">INDEX(F$5:F$67,MATCH($B708,$B$5:$B$67,0))</f>
        <v>69.84</v>
      </c>
      <c r="H708" s="25">
        <f t="array" ref="H708">INDEX(G$5:G$66,MATCH($B708,$B$5:$B$67,0))</f>
        <v>1134</v>
      </c>
      <c r="I708" s="25">
        <f t="array" ref="I708">INDEX(H$5:H$67,MATCH($B708,$B$5:$B$67,0))</f>
        <v>90.72</v>
      </c>
      <c r="J708" s="25">
        <f t="array" ref="J708">INDEX(I$5:I$67,MATCH($B708,$B$5:$B$67,0))</f>
        <v>836</v>
      </c>
      <c r="K708" s="25">
        <f t="array" ref="K708">INDEX(J$5:J$67,MATCH($B708,$B$5:$B$67,0))</f>
        <v>66.88</v>
      </c>
      <c r="L708" s="25">
        <f t="shared" si="585"/>
        <v>13872</v>
      </c>
      <c r="M708" s="25">
        <f t="shared" si="586"/>
        <v>2968</v>
      </c>
      <c r="N708" s="25">
        <f t="shared" si="587"/>
        <v>3856</v>
      </c>
      <c r="O708" s="25">
        <f t="shared" si="588"/>
        <v>2842</v>
      </c>
      <c r="R708" s="50">
        <v>1035009</v>
      </c>
      <c r="S708" s="51" t="s">
        <v>363</v>
      </c>
      <c r="T708" s="29">
        <f t="shared" si="593"/>
        <v>9</v>
      </c>
      <c r="U708" s="25">
        <f t="array" ref="U708">INDEX(K$5:K$67,MATCH($S708,$B$5:$B$67,0))</f>
        <v>313.11</v>
      </c>
      <c r="V708" s="25">
        <f t="array" ref="V708">INDEX(L$5:L$67,MATCH($S708,$B$5:$B$67,0))</f>
        <v>68.1</v>
      </c>
      <c r="W708" s="25">
        <f t="array" ref="W708">INDEX(M$5:M$67,MATCH($S708,$B$5:$B$67,0))</f>
        <v>85.12</v>
      </c>
      <c r="X708" s="25">
        <f t="array" ref="X708">INDEX(N$5:N$67,MATCH($S708,$B$5:$B$67,0))</f>
        <v>59.5</v>
      </c>
      <c r="Y708" s="25">
        <f t="shared" si="589"/>
        <v>2818</v>
      </c>
      <c r="Z708" s="25">
        <f t="shared" si="590"/>
        <v>613</v>
      </c>
      <c r="AA708" s="25">
        <f t="shared" si="591"/>
        <v>766</v>
      </c>
      <c r="AB708" s="25">
        <f t="shared" si="592"/>
        <v>536</v>
      </c>
    </row>
    <row r="709" spans="1:28">
      <c r="A709" s="48">
        <v>1011031</v>
      </c>
      <c r="B709" s="49" t="s">
        <v>335</v>
      </c>
      <c r="C709" s="25">
        <f t="shared" si="584"/>
        <v>31</v>
      </c>
      <c r="D709" s="25">
        <f t="array" ref="D709">INDEX(C$5:C$67,MATCH($B709,$B$5:$B$67,0))</f>
        <v>4080</v>
      </c>
      <c r="E709" s="25">
        <f t="array" ref="E709">INDEX(D$5:D$67,MATCH($B709,$B$5:$B$67,0))</f>
        <v>326.4</v>
      </c>
      <c r="F709" s="25">
        <f t="array" ref="F709">INDEX(E$5:E$67,MATCH($B709,$B$5:$B$67,0))</f>
        <v>873</v>
      </c>
      <c r="G709" s="25">
        <f t="array" ref="G709">INDEX(F$5:F$67,MATCH($B709,$B$5:$B$67,0))</f>
        <v>69.84</v>
      </c>
      <c r="H709" s="25">
        <f t="array" ref="H709">INDEX(G$5:G$66,MATCH($B709,$B$5:$B$67,0))</f>
        <v>1134</v>
      </c>
      <c r="I709" s="25">
        <f t="array" ref="I709">INDEX(H$5:H$67,MATCH($B709,$B$5:$B$67,0))</f>
        <v>90.72</v>
      </c>
      <c r="J709" s="25">
        <f t="array" ref="J709">INDEX(I$5:I$67,MATCH($B709,$B$5:$B$67,0))</f>
        <v>836</v>
      </c>
      <c r="K709" s="25">
        <f t="array" ref="K709">INDEX(J$5:J$67,MATCH($B709,$B$5:$B$67,0))</f>
        <v>66.88</v>
      </c>
      <c r="L709" s="25">
        <f t="shared" si="585"/>
        <v>14198</v>
      </c>
      <c r="M709" s="25">
        <f t="shared" si="586"/>
        <v>3038</v>
      </c>
      <c r="N709" s="25">
        <f t="shared" si="587"/>
        <v>3946</v>
      </c>
      <c r="O709" s="25">
        <f t="shared" si="588"/>
        <v>2909</v>
      </c>
      <c r="R709" s="50">
        <v>1035010</v>
      </c>
      <c r="S709" s="51" t="s">
        <v>363</v>
      </c>
      <c r="T709" s="29">
        <f t="shared" si="593"/>
        <v>10</v>
      </c>
      <c r="U709" s="25">
        <f t="array" ref="U709">INDEX(K$5:K$67,MATCH($S709,$B$5:$B$67,0))</f>
        <v>313.11</v>
      </c>
      <c r="V709" s="25">
        <f t="array" ref="V709">INDEX(L$5:L$67,MATCH($S709,$B$5:$B$67,0))</f>
        <v>68.1</v>
      </c>
      <c r="W709" s="25">
        <f t="array" ref="W709">INDEX(M$5:M$67,MATCH($S709,$B$5:$B$67,0))</f>
        <v>85.12</v>
      </c>
      <c r="X709" s="25">
        <f t="array" ref="X709">INDEX(N$5:N$67,MATCH($S709,$B$5:$B$67,0))</f>
        <v>59.5</v>
      </c>
      <c r="Y709" s="25">
        <f t="shared" si="589"/>
        <v>3131</v>
      </c>
      <c r="Z709" s="25">
        <f t="shared" si="590"/>
        <v>681</v>
      </c>
      <c r="AA709" s="25">
        <f t="shared" si="591"/>
        <v>851</v>
      </c>
      <c r="AB709" s="25">
        <f t="shared" si="592"/>
        <v>595</v>
      </c>
    </row>
    <row r="710" spans="1:28">
      <c r="A710" s="48">
        <v>1011032</v>
      </c>
      <c r="B710" s="49" t="s">
        <v>335</v>
      </c>
      <c r="C710" s="25">
        <f t="shared" si="584"/>
        <v>32</v>
      </c>
      <c r="D710" s="25">
        <f t="array" ref="D710">INDEX(C$5:C$67,MATCH($B710,$B$5:$B$67,0))</f>
        <v>4080</v>
      </c>
      <c r="E710" s="25">
        <f t="array" ref="E710">INDEX(D$5:D$67,MATCH($B710,$B$5:$B$67,0))</f>
        <v>326.4</v>
      </c>
      <c r="F710" s="25">
        <f t="array" ref="F710">INDEX(E$5:E$67,MATCH($B710,$B$5:$B$67,0))</f>
        <v>873</v>
      </c>
      <c r="G710" s="25">
        <f t="array" ref="G710">INDEX(F$5:F$67,MATCH($B710,$B$5:$B$67,0))</f>
        <v>69.84</v>
      </c>
      <c r="H710" s="25">
        <f t="array" ref="H710">INDEX(G$5:G$66,MATCH($B710,$B$5:$B$67,0))</f>
        <v>1134</v>
      </c>
      <c r="I710" s="25">
        <f t="array" ref="I710">INDEX(H$5:H$67,MATCH($B710,$B$5:$B$67,0))</f>
        <v>90.72</v>
      </c>
      <c r="J710" s="25">
        <f t="array" ref="J710">INDEX(I$5:I$67,MATCH($B710,$B$5:$B$67,0))</f>
        <v>836</v>
      </c>
      <c r="K710" s="25">
        <f t="array" ref="K710">INDEX(J$5:J$67,MATCH($B710,$B$5:$B$67,0))</f>
        <v>66.88</v>
      </c>
      <c r="L710" s="25">
        <f t="shared" si="585"/>
        <v>14525</v>
      </c>
      <c r="M710" s="25">
        <f t="shared" si="586"/>
        <v>3108</v>
      </c>
      <c r="N710" s="25">
        <f t="shared" si="587"/>
        <v>4037</v>
      </c>
      <c r="O710" s="25">
        <f t="shared" si="588"/>
        <v>2976</v>
      </c>
      <c r="R710" s="50">
        <v>1035011</v>
      </c>
      <c r="S710" s="51" t="s">
        <v>363</v>
      </c>
      <c r="T710" s="29">
        <f t="shared" si="593"/>
        <v>11</v>
      </c>
      <c r="U710" s="25">
        <f t="array" ref="U710">INDEX(K$5:K$67,MATCH($S710,$B$5:$B$67,0))</f>
        <v>313.11</v>
      </c>
      <c r="V710" s="25">
        <f t="array" ref="V710">INDEX(L$5:L$67,MATCH($S710,$B$5:$B$67,0))</f>
        <v>68.1</v>
      </c>
      <c r="W710" s="25">
        <f t="array" ref="W710">INDEX(M$5:M$67,MATCH($S710,$B$5:$B$67,0))</f>
        <v>85.12</v>
      </c>
      <c r="X710" s="25">
        <f t="array" ref="X710">INDEX(N$5:N$67,MATCH($S710,$B$5:$B$67,0))</f>
        <v>59.5</v>
      </c>
      <c r="Y710" s="25">
        <f t="shared" si="589"/>
        <v>3444</v>
      </c>
      <c r="Z710" s="25">
        <f t="shared" si="590"/>
        <v>749</v>
      </c>
      <c r="AA710" s="25">
        <f t="shared" si="591"/>
        <v>936</v>
      </c>
      <c r="AB710" s="25">
        <f t="shared" si="592"/>
        <v>655</v>
      </c>
    </row>
    <row r="711" spans="1:28">
      <c r="A711" s="48">
        <v>1011033</v>
      </c>
      <c r="B711" s="49" t="s">
        <v>335</v>
      </c>
      <c r="C711" s="25">
        <f t="shared" si="584"/>
        <v>33</v>
      </c>
      <c r="D711" s="25">
        <f t="array" ref="D711">INDEX(C$5:C$67,MATCH($B711,$B$5:$B$67,0))</f>
        <v>4080</v>
      </c>
      <c r="E711" s="25">
        <f t="array" ref="E711">INDEX(D$5:D$67,MATCH($B711,$B$5:$B$67,0))</f>
        <v>326.4</v>
      </c>
      <c r="F711" s="25">
        <f t="array" ref="F711">INDEX(E$5:E$67,MATCH($B711,$B$5:$B$67,0))</f>
        <v>873</v>
      </c>
      <c r="G711" s="25">
        <f t="array" ref="G711">INDEX(F$5:F$67,MATCH($B711,$B$5:$B$67,0))</f>
        <v>69.84</v>
      </c>
      <c r="H711" s="25">
        <f t="array" ref="H711">INDEX(G$5:G$66,MATCH($B711,$B$5:$B$67,0))</f>
        <v>1134</v>
      </c>
      <c r="I711" s="25">
        <f t="array" ref="I711">INDEX(H$5:H$67,MATCH($B711,$B$5:$B$67,0))</f>
        <v>90.72</v>
      </c>
      <c r="J711" s="25">
        <f t="array" ref="J711">INDEX(I$5:I$67,MATCH($B711,$B$5:$B$67,0))</f>
        <v>836</v>
      </c>
      <c r="K711" s="25">
        <f t="array" ref="K711">INDEX(J$5:J$67,MATCH($B711,$B$5:$B$67,0))</f>
        <v>66.88</v>
      </c>
      <c r="L711" s="25">
        <f t="shared" si="585"/>
        <v>14851</v>
      </c>
      <c r="M711" s="25">
        <f t="shared" si="586"/>
        <v>3178</v>
      </c>
      <c r="N711" s="25">
        <f t="shared" si="587"/>
        <v>4128</v>
      </c>
      <c r="O711" s="25">
        <f t="shared" si="588"/>
        <v>3043</v>
      </c>
      <c r="R711" s="50">
        <v>1035012</v>
      </c>
      <c r="S711" s="51" t="s">
        <v>363</v>
      </c>
      <c r="T711" s="29">
        <f t="shared" si="593"/>
        <v>12</v>
      </c>
      <c r="U711" s="25">
        <f t="array" ref="U711">INDEX(K$5:K$67,MATCH($S711,$B$5:$B$67,0))</f>
        <v>313.11</v>
      </c>
      <c r="V711" s="25">
        <f t="array" ref="V711">INDEX(L$5:L$67,MATCH($S711,$B$5:$B$67,0))</f>
        <v>68.1</v>
      </c>
      <c r="W711" s="25">
        <f t="array" ref="W711">INDEX(M$5:M$67,MATCH($S711,$B$5:$B$67,0))</f>
        <v>85.12</v>
      </c>
      <c r="X711" s="25">
        <f t="array" ref="X711">INDEX(N$5:N$67,MATCH($S711,$B$5:$B$67,0))</f>
        <v>59.5</v>
      </c>
      <c r="Y711" s="25">
        <f t="shared" si="589"/>
        <v>3757</v>
      </c>
      <c r="Z711" s="25">
        <f t="shared" si="590"/>
        <v>817</v>
      </c>
      <c r="AA711" s="25">
        <f t="shared" si="591"/>
        <v>1021</v>
      </c>
      <c r="AB711" s="25">
        <f t="shared" si="592"/>
        <v>714</v>
      </c>
    </row>
    <row r="712" spans="1:28">
      <c r="A712" s="48">
        <v>1011034</v>
      </c>
      <c r="B712" s="49" t="s">
        <v>335</v>
      </c>
      <c r="C712" s="25">
        <f t="shared" si="584"/>
        <v>34</v>
      </c>
      <c r="D712" s="25">
        <f t="array" ref="D712">INDEX(C$5:C$67,MATCH($B712,$B$5:$B$67,0))</f>
        <v>4080</v>
      </c>
      <c r="E712" s="25">
        <f t="array" ref="E712">INDEX(D$5:D$67,MATCH($B712,$B$5:$B$67,0))</f>
        <v>326.4</v>
      </c>
      <c r="F712" s="25">
        <f t="array" ref="F712">INDEX(E$5:E$67,MATCH($B712,$B$5:$B$67,0))</f>
        <v>873</v>
      </c>
      <c r="G712" s="25">
        <f t="array" ref="G712">INDEX(F$5:F$67,MATCH($B712,$B$5:$B$67,0))</f>
        <v>69.84</v>
      </c>
      <c r="H712" s="25">
        <f t="array" ref="H712">INDEX(G$5:G$66,MATCH($B712,$B$5:$B$67,0))</f>
        <v>1134</v>
      </c>
      <c r="I712" s="25">
        <f t="array" ref="I712">INDEX(H$5:H$67,MATCH($B712,$B$5:$B$67,0))</f>
        <v>90.72</v>
      </c>
      <c r="J712" s="25">
        <f t="array" ref="J712">INDEX(I$5:I$67,MATCH($B712,$B$5:$B$67,0))</f>
        <v>836</v>
      </c>
      <c r="K712" s="25">
        <f t="array" ref="K712">INDEX(J$5:J$67,MATCH($B712,$B$5:$B$67,0))</f>
        <v>66.88</v>
      </c>
      <c r="L712" s="25">
        <f t="shared" si="585"/>
        <v>15178</v>
      </c>
      <c r="M712" s="25">
        <f t="shared" si="586"/>
        <v>3248</v>
      </c>
      <c r="N712" s="25">
        <f t="shared" si="587"/>
        <v>4218</v>
      </c>
      <c r="O712" s="25">
        <f t="shared" si="588"/>
        <v>3110</v>
      </c>
      <c r="R712" s="50">
        <v>1035013</v>
      </c>
      <c r="S712" s="51" t="s">
        <v>363</v>
      </c>
      <c r="T712" s="29">
        <f t="shared" si="593"/>
        <v>13</v>
      </c>
      <c r="U712" s="25">
        <f t="array" ref="U712">INDEX(K$5:K$67,MATCH($S712,$B$5:$B$67,0))</f>
        <v>313.11</v>
      </c>
      <c r="V712" s="25">
        <f t="array" ref="V712">INDEX(L$5:L$67,MATCH($S712,$B$5:$B$67,0))</f>
        <v>68.1</v>
      </c>
      <c r="W712" s="25">
        <f t="array" ref="W712">INDEX(M$5:M$67,MATCH($S712,$B$5:$B$67,0))</f>
        <v>85.12</v>
      </c>
      <c r="X712" s="25">
        <f t="array" ref="X712">INDEX(N$5:N$67,MATCH($S712,$B$5:$B$67,0))</f>
        <v>59.5</v>
      </c>
      <c r="Y712" s="25">
        <f t="shared" si="589"/>
        <v>4070</v>
      </c>
      <c r="Z712" s="25">
        <f t="shared" si="590"/>
        <v>885</v>
      </c>
      <c r="AA712" s="25">
        <f t="shared" si="591"/>
        <v>1107</v>
      </c>
      <c r="AB712" s="25">
        <f t="shared" si="592"/>
        <v>774</v>
      </c>
    </row>
    <row r="713" spans="1:28">
      <c r="A713" s="48">
        <v>1011035</v>
      </c>
      <c r="B713" s="49" t="s">
        <v>335</v>
      </c>
      <c r="C713" s="25">
        <f t="shared" si="584"/>
        <v>35</v>
      </c>
      <c r="D713" s="25">
        <f t="array" ref="D713">INDEX(C$5:C$67,MATCH($B713,$B$5:$B$67,0))</f>
        <v>4080</v>
      </c>
      <c r="E713" s="25">
        <f t="array" ref="E713">INDEX(D$5:D$67,MATCH($B713,$B$5:$B$67,0))</f>
        <v>326.4</v>
      </c>
      <c r="F713" s="25">
        <f t="array" ref="F713">INDEX(E$5:E$67,MATCH($B713,$B$5:$B$67,0))</f>
        <v>873</v>
      </c>
      <c r="G713" s="25">
        <f t="array" ref="G713">INDEX(F$5:F$67,MATCH($B713,$B$5:$B$67,0))</f>
        <v>69.84</v>
      </c>
      <c r="H713" s="25">
        <f t="array" ref="H713">INDEX(G$5:G$66,MATCH($B713,$B$5:$B$67,0))</f>
        <v>1134</v>
      </c>
      <c r="I713" s="25">
        <f t="array" ref="I713">INDEX(H$5:H$67,MATCH($B713,$B$5:$B$67,0))</f>
        <v>90.72</v>
      </c>
      <c r="J713" s="25">
        <f t="array" ref="J713">INDEX(I$5:I$67,MATCH($B713,$B$5:$B$67,0))</f>
        <v>836</v>
      </c>
      <c r="K713" s="25">
        <f t="array" ref="K713">INDEX(J$5:J$67,MATCH($B713,$B$5:$B$67,0))</f>
        <v>66.88</v>
      </c>
      <c r="L713" s="25">
        <f t="shared" si="585"/>
        <v>15504</v>
      </c>
      <c r="M713" s="25">
        <f t="shared" si="586"/>
        <v>3317</v>
      </c>
      <c r="N713" s="25">
        <f t="shared" si="587"/>
        <v>4309</v>
      </c>
      <c r="O713" s="25">
        <f t="shared" si="588"/>
        <v>3177</v>
      </c>
      <c r="R713" s="50">
        <v>1035014</v>
      </c>
      <c r="S713" s="51" t="s">
        <v>363</v>
      </c>
      <c r="T713" s="29">
        <f t="shared" si="593"/>
        <v>14</v>
      </c>
      <c r="U713" s="25">
        <f t="array" ref="U713">INDEX(K$5:K$67,MATCH($S713,$B$5:$B$67,0))</f>
        <v>313.11</v>
      </c>
      <c r="V713" s="25">
        <f t="array" ref="V713">INDEX(L$5:L$67,MATCH($S713,$B$5:$B$67,0))</f>
        <v>68.1</v>
      </c>
      <c r="W713" s="25">
        <f t="array" ref="W713">INDEX(M$5:M$67,MATCH($S713,$B$5:$B$67,0))</f>
        <v>85.12</v>
      </c>
      <c r="X713" s="25">
        <f t="array" ref="X713">INDEX(N$5:N$67,MATCH($S713,$B$5:$B$67,0))</f>
        <v>59.5</v>
      </c>
      <c r="Y713" s="25">
        <f t="shared" si="589"/>
        <v>4384</v>
      </c>
      <c r="Z713" s="25">
        <f t="shared" si="590"/>
        <v>953</v>
      </c>
      <c r="AA713" s="25">
        <f t="shared" si="591"/>
        <v>1192</v>
      </c>
      <c r="AB713" s="25">
        <f t="shared" si="592"/>
        <v>833</v>
      </c>
    </row>
    <row r="714" spans="1:28">
      <c r="A714" s="48">
        <v>1011036</v>
      </c>
      <c r="B714" s="49" t="s">
        <v>335</v>
      </c>
      <c r="C714" s="25">
        <f t="shared" si="584"/>
        <v>36</v>
      </c>
      <c r="D714" s="25">
        <f t="array" ref="D714">INDEX(C$5:C$67,MATCH($B714,$B$5:$B$67,0))</f>
        <v>4080</v>
      </c>
      <c r="E714" s="25">
        <f t="array" ref="E714">INDEX(D$5:D$67,MATCH($B714,$B$5:$B$67,0))</f>
        <v>326.4</v>
      </c>
      <c r="F714" s="25">
        <f t="array" ref="F714">INDEX(E$5:E$67,MATCH($B714,$B$5:$B$67,0))</f>
        <v>873</v>
      </c>
      <c r="G714" s="25">
        <f t="array" ref="G714">INDEX(F$5:F$67,MATCH($B714,$B$5:$B$67,0))</f>
        <v>69.84</v>
      </c>
      <c r="H714" s="25">
        <f t="array" ref="H714">INDEX(G$5:G$66,MATCH($B714,$B$5:$B$67,0))</f>
        <v>1134</v>
      </c>
      <c r="I714" s="25">
        <f t="array" ref="I714">INDEX(H$5:H$67,MATCH($B714,$B$5:$B$67,0))</f>
        <v>90.72</v>
      </c>
      <c r="J714" s="25">
        <f t="array" ref="J714">INDEX(I$5:I$67,MATCH($B714,$B$5:$B$67,0))</f>
        <v>836</v>
      </c>
      <c r="K714" s="25">
        <f t="array" ref="K714">INDEX(J$5:J$67,MATCH($B714,$B$5:$B$67,0))</f>
        <v>66.88</v>
      </c>
      <c r="L714" s="25">
        <f t="shared" si="585"/>
        <v>15830</v>
      </c>
      <c r="M714" s="25">
        <f t="shared" si="586"/>
        <v>3387</v>
      </c>
      <c r="N714" s="25">
        <f t="shared" si="587"/>
        <v>4400</v>
      </c>
      <c r="O714" s="25">
        <f t="shared" si="588"/>
        <v>3244</v>
      </c>
      <c r="R714" s="50">
        <v>1035015</v>
      </c>
      <c r="S714" s="51" t="s">
        <v>363</v>
      </c>
      <c r="T714" s="29">
        <f t="shared" si="593"/>
        <v>15</v>
      </c>
      <c r="U714" s="25">
        <f t="array" ref="U714">INDEX(K$5:K$67,MATCH($S714,$B$5:$B$67,0))</f>
        <v>313.11</v>
      </c>
      <c r="V714" s="25">
        <f t="array" ref="V714">INDEX(L$5:L$67,MATCH($S714,$B$5:$B$67,0))</f>
        <v>68.1</v>
      </c>
      <c r="W714" s="25">
        <f t="array" ref="W714">INDEX(M$5:M$67,MATCH($S714,$B$5:$B$67,0))</f>
        <v>85.12</v>
      </c>
      <c r="X714" s="25">
        <f t="array" ref="X714">INDEX(N$5:N$67,MATCH($S714,$B$5:$B$67,0))</f>
        <v>59.5</v>
      </c>
      <c r="Y714" s="25">
        <f t="shared" si="589"/>
        <v>4697</v>
      </c>
      <c r="Z714" s="25">
        <f t="shared" si="590"/>
        <v>1022</v>
      </c>
      <c r="AA714" s="25">
        <f t="shared" si="591"/>
        <v>1277</v>
      </c>
      <c r="AB714" s="25">
        <f t="shared" si="592"/>
        <v>893</v>
      </c>
    </row>
    <row r="715" spans="1:28">
      <c r="A715" s="48">
        <v>1011037</v>
      </c>
      <c r="B715" s="49" t="s">
        <v>335</v>
      </c>
      <c r="C715" s="25">
        <f t="shared" ref="C715:C778" si="594">C655</f>
        <v>37</v>
      </c>
      <c r="D715" s="25">
        <f t="array" ref="D715">INDEX(C$5:C$67,MATCH($B715,$B$5:$B$67,0))</f>
        <v>4080</v>
      </c>
      <c r="E715" s="25">
        <f t="array" ref="E715">INDEX(D$5:D$67,MATCH($B715,$B$5:$B$67,0))</f>
        <v>326.4</v>
      </c>
      <c r="F715" s="25">
        <f t="array" ref="F715">INDEX(E$5:E$67,MATCH($B715,$B$5:$B$67,0))</f>
        <v>873</v>
      </c>
      <c r="G715" s="25">
        <f t="array" ref="G715">INDEX(F$5:F$67,MATCH($B715,$B$5:$B$67,0))</f>
        <v>69.84</v>
      </c>
      <c r="H715" s="25">
        <f t="array" ref="H715">INDEX(G$5:G$66,MATCH($B715,$B$5:$B$67,0))</f>
        <v>1134</v>
      </c>
      <c r="I715" s="25">
        <f t="array" ref="I715">INDEX(H$5:H$67,MATCH($B715,$B$5:$B$67,0))</f>
        <v>90.72</v>
      </c>
      <c r="J715" s="25">
        <f t="array" ref="J715">INDEX(I$5:I$67,MATCH($B715,$B$5:$B$67,0))</f>
        <v>836</v>
      </c>
      <c r="K715" s="25">
        <f t="array" ref="K715">INDEX(J$5:J$67,MATCH($B715,$B$5:$B$67,0))</f>
        <v>66.88</v>
      </c>
      <c r="L715" s="25">
        <f t="shared" si="585"/>
        <v>16157</v>
      </c>
      <c r="M715" s="25">
        <f t="shared" si="586"/>
        <v>3457</v>
      </c>
      <c r="N715" s="25">
        <f t="shared" si="587"/>
        <v>4491</v>
      </c>
      <c r="O715" s="25">
        <f t="shared" si="588"/>
        <v>3311</v>
      </c>
      <c r="R715" s="50">
        <v>1035016</v>
      </c>
      <c r="S715" s="51" t="s">
        <v>363</v>
      </c>
      <c r="T715" s="29">
        <f t="shared" si="593"/>
        <v>16</v>
      </c>
      <c r="U715" s="25">
        <f t="array" ref="U715">INDEX(K$5:K$67,MATCH($S715,$B$5:$B$67,0))</f>
        <v>313.11</v>
      </c>
      <c r="V715" s="25">
        <f t="array" ref="V715">INDEX(L$5:L$67,MATCH($S715,$B$5:$B$67,0))</f>
        <v>68.1</v>
      </c>
      <c r="W715" s="25">
        <f t="array" ref="W715">INDEX(M$5:M$67,MATCH($S715,$B$5:$B$67,0))</f>
        <v>85.12</v>
      </c>
      <c r="X715" s="25">
        <f t="array" ref="X715">INDEX(N$5:N$67,MATCH($S715,$B$5:$B$67,0))</f>
        <v>59.5</v>
      </c>
      <c r="Y715" s="25">
        <f t="shared" si="589"/>
        <v>5010</v>
      </c>
      <c r="Z715" s="25">
        <f t="shared" si="590"/>
        <v>1090</v>
      </c>
      <c r="AA715" s="25">
        <f t="shared" si="591"/>
        <v>1362</v>
      </c>
      <c r="AB715" s="25">
        <f t="shared" si="592"/>
        <v>952</v>
      </c>
    </row>
    <row r="716" spans="1:28">
      <c r="A716" s="48">
        <v>1011038</v>
      </c>
      <c r="B716" s="49" t="s">
        <v>335</v>
      </c>
      <c r="C716" s="25">
        <f t="shared" si="594"/>
        <v>38</v>
      </c>
      <c r="D716" s="25">
        <f t="array" ref="D716">INDEX(C$5:C$67,MATCH($B716,$B$5:$B$67,0))</f>
        <v>4080</v>
      </c>
      <c r="E716" s="25">
        <f t="array" ref="E716">INDEX(D$5:D$67,MATCH($B716,$B$5:$B$67,0))</f>
        <v>326.4</v>
      </c>
      <c r="F716" s="25">
        <f t="array" ref="F716">INDEX(E$5:E$67,MATCH($B716,$B$5:$B$67,0))</f>
        <v>873</v>
      </c>
      <c r="G716" s="25">
        <f t="array" ref="G716">INDEX(F$5:F$67,MATCH($B716,$B$5:$B$67,0))</f>
        <v>69.84</v>
      </c>
      <c r="H716" s="25">
        <f t="array" ref="H716">INDEX(G$5:G$66,MATCH($B716,$B$5:$B$67,0))</f>
        <v>1134</v>
      </c>
      <c r="I716" s="25">
        <f t="array" ref="I716">INDEX(H$5:H$67,MATCH($B716,$B$5:$B$67,0))</f>
        <v>90.72</v>
      </c>
      <c r="J716" s="25">
        <f t="array" ref="J716">INDEX(I$5:I$67,MATCH($B716,$B$5:$B$67,0))</f>
        <v>836</v>
      </c>
      <c r="K716" s="25">
        <f t="array" ref="K716">INDEX(J$5:J$67,MATCH($B716,$B$5:$B$67,0))</f>
        <v>66.88</v>
      </c>
      <c r="L716" s="25">
        <f t="shared" si="585"/>
        <v>16483</v>
      </c>
      <c r="M716" s="25">
        <f t="shared" si="586"/>
        <v>3527</v>
      </c>
      <c r="N716" s="25">
        <f t="shared" si="587"/>
        <v>4581</v>
      </c>
      <c r="O716" s="25">
        <f t="shared" si="588"/>
        <v>3377</v>
      </c>
      <c r="R716" s="50">
        <v>1035017</v>
      </c>
      <c r="S716" s="51" t="s">
        <v>363</v>
      </c>
      <c r="T716" s="29">
        <f t="shared" si="593"/>
        <v>17</v>
      </c>
      <c r="U716" s="25">
        <f t="array" ref="U716">INDEX(K$5:K$67,MATCH($S716,$B$5:$B$67,0))</f>
        <v>313.11</v>
      </c>
      <c r="V716" s="25">
        <f t="array" ref="V716">INDEX(L$5:L$67,MATCH($S716,$B$5:$B$67,0))</f>
        <v>68.1</v>
      </c>
      <c r="W716" s="25">
        <f t="array" ref="W716">INDEX(M$5:M$67,MATCH($S716,$B$5:$B$67,0))</f>
        <v>85.12</v>
      </c>
      <c r="X716" s="25">
        <f t="array" ref="X716">INDEX(N$5:N$67,MATCH($S716,$B$5:$B$67,0))</f>
        <v>59.5</v>
      </c>
      <c r="Y716" s="25">
        <f t="shared" si="589"/>
        <v>5323</v>
      </c>
      <c r="Z716" s="25">
        <f t="shared" si="590"/>
        <v>1158</v>
      </c>
      <c r="AA716" s="25">
        <f t="shared" si="591"/>
        <v>1447</v>
      </c>
      <c r="AB716" s="25">
        <f t="shared" si="592"/>
        <v>1012</v>
      </c>
    </row>
    <row r="717" spans="1:28">
      <c r="A717" s="48">
        <v>1011039</v>
      </c>
      <c r="B717" s="49" t="s">
        <v>335</v>
      </c>
      <c r="C717" s="25">
        <f t="shared" si="594"/>
        <v>39</v>
      </c>
      <c r="D717" s="25">
        <f t="array" ref="D717">INDEX(C$5:C$67,MATCH($B717,$B$5:$B$67,0))</f>
        <v>4080</v>
      </c>
      <c r="E717" s="25">
        <f t="array" ref="E717">INDEX(D$5:D$67,MATCH($B717,$B$5:$B$67,0))</f>
        <v>326.4</v>
      </c>
      <c r="F717" s="25">
        <f t="array" ref="F717">INDEX(E$5:E$67,MATCH($B717,$B$5:$B$67,0))</f>
        <v>873</v>
      </c>
      <c r="G717" s="25">
        <f t="array" ref="G717">INDEX(F$5:F$67,MATCH($B717,$B$5:$B$67,0))</f>
        <v>69.84</v>
      </c>
      <c r="H717" s="25">
        <f t="array" ref="H717">INDEX(G$5:G$66,MATCH($B717,$B$5:$B$67,0))</f>
        <v>1134</v>
      </c>
      <c r="I717" s="25">
        <f t="array" ref="I717">INDEX(H$5:H$67,MATCH($B717,$B$5:$B$67,0))</f>
        <v>90.72</v>
      </c>
      <c r="J717" s="25">
        <f t="array" ref="J717">INDEX(I$5:I$67,MATCH($B717,$B$5:$B$67,0))</f>
        <v>836</v>
      </c>
      <c r="K717" s="25">
        <f t="array" ref="K717">INDEX(J$5:J$67,MATCH($B717,$B$5:$B$67,0))</f>
        <v>66.88</v>
      </c>
      <c r="L717" s="25">
        <f t="shared" si="585"/>
        <v>16810</v>
      </c>
      <c r="M717" s="25">
        <f t="shared" si="586"/>
        <v>3597</v>
      </c>
      <c r="N717" s="25">
        <f t="shared" si="587"/>
        <v>4672</v>
      </c>
      <c r="O717" s="25">
        <f t="shared" si="588"/>
        <v>3444</v>
      </c>
      <c r="R717" s="50">
        <v>1035018</v>
      </c>
      <c r="S717" s="51" t="s">
        <v>363</v>
      </c>
      <c r="T717" s="29">
        <f t="shared" si="593"/>
        <v>18</v>
      </c>
      <c r="U717" s="25">
        <f t="array" ref="U717">INDEX(K$5:K$67,MATCH($S717,$B$5:$B$67,0))</f>
        <v>313.11</v>
      </c>
      <c r="V717" s="25">
        <f t="array" ref="V717">INDEX(L$5:L$67,MATCH($S717,$B$5:$B$67,0))</f>
        <v>68.1</v>
      </c>
      <c r="W717" s="25">
        <f t="array" ref="W717">INDEX(M$5:M$67,MATCH($S717,$B$5:$B$67,0))</f>
        <v>85.12</v>
      </c>
      <c r="X717" s="25">
        <f t="array" ref="X717">INDEX(N$5:N$67,MATCH($S717,$B$5:$B$67,0))</f>
        <v>59.5</v>
      </c>
      <c r="Y717" s="25">
        <f t="shared" si="589"/>
        <v>5636</v>
      </c>
      <c r="Z717" s="25">
        <f t="shared" si="590"/>
        <v>1226</v>
      </c>
      <c r="AA717" s="25">
        <f t="shared" si="591"/>
        <v>1532</v>
      </c>
      <c r="AB717" s="25">
        <f t="shared" si="592"/>
        <v>1071</v>
      </c>
    </row>
    <row r="718" spans="1:28">
      <c r="A718" s="48">
        <v>1011040</v>
      </c>
      <c r="B718" s="49" t="s">
        <v>335</v>
      </c>
      <c r="C718" s="25">
        <f t="shared" si="594"/>
        <v>40</v>
      </c>
      <c r="D718" s="25">
        <f t="array" ref="D718">INDEX(C$5:C$67,MATCH($B718,$B$5:$B$67,0))</f>
        <v>4080</v>
      </c>
      <c r="E718" s="25">
        <f t="array" ref="E718">INDEX(D$5:D$67,MATCH($B718,$B$5:$B$67,0))</f>
        <v>326.4</v>
      </c>
      <c r="F718" s="25">
        <f t="array" ref="F718">INDEX(E$5:E$67,MATCH($B718,$B$5:$B$67,0))</f>
        <v>873</v>
      </c>
      <c r="G718" s="25">
        <f t="array" ref="G718">INDEX(F$5:F$67,MATCH($B718,$B$5:$B$67,0))</f>
        <v>69.84</v>
      </c>
      <c r="H718" s="25">
        <f t="array" ref="H718">INDEX(G$5:G$66,MATCH($B718,$B$5:$B$67,0))</f>
        <v>1134</v>
      </c>
      <c r="I718" s="25">
        <f t="array" ref="I718">INDEX(H$5:H$67,MATCH($B718,$B$5:$B$67,0))</f>
        <v>90.72</v>
      </c>
      <c r="J718" s="25">
        <f t="array" ref="J718">INDEX(I$5:I$67,MATCH($B718,$B$5:$B$67,0))</f>
        <v>836</v>
      </c>
      <c r="K718" s="25">
        <f t="array" ref="K718">INDEX(J$5:J$67,MATCH($B718,$B$5:$B$67,0))</f>
        <v>66.88</v>
      </c>
      <c r="L718" s="25">
        <f t="shared" si="585"/>
        <v>17136</v>
      </c>
      <c r="M718" s="25">
        <f t="shared" si="586"/>
        <v>3667</v>
      </c>
      <c r="N718" s="25">
        <f t="shared" si="587"/>
        <v>4763</v>
      </c>
      <c r="O718" s="25">
        <f t="shared" si="588"/>
        <v>3511</v>
      </c>
      <c r="R718" s="50">
        <v>1035019</v>
      </c>
      <c r="S718" s="51" t="s">
        <v>363</v>
      </c>
      <c r="T718" s="29">
        <f t="shared" si="593"/>
        <v>19</v>
      </c>
      <c r="U718" s="25">
        <f t="array" ref="U718">INDEX(K$5:K$67,MATCH($S718,$B$5:$B$67,0))</f>
        <v>313.11</v>
      </c>
      <c r="V718" s="25">
        <f t="array" ref="V718">INDEX(L$5:L$67,MATCH($S718,$B$5:$B$67,0))</f>
        <v>68.1</v>
      </c>
      <c r="W718" s="25">
        <f t="array" ref="W718">INDEX(M$5:M$67,MATCH($S718,$B$5:$B$67,0))</f>
        <v>85.12</v>
      </c>
      <c r="X718" s="25">
        <f t="array" ref="X718">INDEX(N$5:N$67,MATCH($S718,$B$5:$B$67,0))</f>
        <v>59.5</v>
      </c>
      <c r="Y718" s="25">
        <f t="shared" si="589"/>
        <v>5949</v>
      </c>
      <c r="Z718" s="25">
        <f t="shared" si="590"/>
        <v>1294</v>
      </c>
      <c r="AA718" s="25">
        <f t="shared" si="591"/>
        <v>1617</v>
      </c>
      <c r="AB718" s="25">
        <f t="shared" si="592"/>
        <v>1131</v>
      </c>
    </row>
    <row r="719" spans="1:28">
      <c r="A719" s="48">
        <v>1011041</v>
      </c>
      <c r="B719" s="49" t="s">
        <v>335</v>
      </c>
      <c r="C719" s="25">
        <f t="shared" si="594"/>
        <v>41</v>
      </c>
      <c r="D719" s="25">
        <f t="array" ref="D719">INDEX(C$5:C$67,MATCH($B719,$B$5:$B$67,0))</f>
        <v>4080</v>
      </c>
      <c r="E719" s="25">
        <f t="array" ref="E719">INDEX(D$5:D$67,MATCH($B719,$B$5:$B$67,0))</f>
        <v>326.4</v>
      </c>
      <c r="F719" s="25">
        <f t="array" ref="F719">INDEX(E$5:E$67,MATCH($B719,$B$5:$B$67,0))</f>
        <v>873</v>
      </c>
      <c r="G719" s="25">
        <f t="array" ref="G719">INDEX(F$5:F$67,MATCH($B719,$B$5:$B$67,0))</f>
        <v>69.84</v>
      </c>
      <c r="H719" s="25">
        <f t="array" ref="H719">INDEX(G$5:G$66,MATCH($B719,$B$5:$B$67,0))</f>
        <v>1134</v>
      </c>
      <c r="I719" s="25">
        <f t="array" ref="I719">INDEX(H$5:H$67,MATCH($B719,$B$5:$B$67,0))</f>
        <v>90.72</v>
      </c>
      <c r="J719" s="25">
        <f t="array" ref="J719">INDEX(I$5:I$67,MATCH($B719,$B$5:$B$67,0))</f>
        <v>836</v>
      </c>
      <c r="K719" s="25">
        <f t="array" ref="K719">INDEX(J$5:J$67,MATCH($B719,$B$5:$B$67,0))</f>
        <v>66.88</v>
      </c>
      <c r="L719" s="25">
        <f t="shared" ref="L719:L782" si="595">ROUND(D719+E719*$C719,0)</f>
        <v>17462</v>
      </c>
      <c r="M719" s="25">
        <f t="shared" ref="M719:M782" si="596">ROUND(F719+G719*$C719,0)</f>
        <v>3736</v>
      </c>
      <c r="N719" s="25">
        <f t="shared" ref="N719:N782" si="597">ROUND(H719+I719*$C719,0)</f>
        <v>4854</v>
      </c>
      <c r="O719" s="25">
        <f t="shared" ref="O719:O782" si="598">ROUND(J719+K719*$C719,0)</f>
        <v>3578</v>
      </c>
      <c r="R719" s="50">
        <v>1035020</v>
      </c>
      <c r="S719" s="51" t="s">
        <v>363</v>
      </c>
      <c r="T719" s="29">
        <f t="shared" si="593"/>
        <v>20</v>
      </c>
      <c r="U719" s="25">
        <f t="array" ref="U719">INDEX(K$5:K$67,MATCH($S719,$B$5:$B$67,0))</f>
        <v>313.11</v>
      </c>
      <c r="V719" s="25">
        <f t="array" ref="V719">INDEX(L$5:L$67,MATCH($S719,$B$5:$B$67,0))</f>
        <v>68.1</v>
      </c>
      <c r="W719" s="25">
        <f t="array" ref="W719">INDEX(M$5:M$67,MATCH($S719,$B$5:$B$67,0))</f>
        <v>85.12</v>
      </c>
      <c r="X719" s="25">
        <f t="array" ref="X719">INDEX(N$5:N$67,MATCH($S719,$B$5:$B$67,0))</f>
        <v>59.5</v>
      </c>
      <c r="Y719" s="25">
        <f t="shared" ref="Y719:Y782" si="599">ROUND($T719*U719,0)</f>
        <v>6262</v>
      </c>
      <c r="Z719" s="25">
        <f t="shared" ref="Z719:Z782" si="600">ROUND($T719*V719,0)</f>
        <v>1362</v>
      </c>
      <c r="AA719" s="25">
        <f t="shared" ref="AA719:AA782" si="601">ROUND($T719*W719,0)</f>
        <v>1702</v>
      </c>
      <c r="AB719" s="25">
        <f t="shared" ref="AB719:AB782" si="602">ROUND($T719*X719,0)</f>
        <v>1190</v>
      </c>
    </row>
    <row r="720" spans="1:28">
      <c r="A720" s="48">
        <v>1011042</v>
      </c>
      <c r="B720" s="49" t="s">
        <v>335</v>
      </c>
      <c r="C720" s="25">
        <f t="shared" si="594"/>
        <v>42</v>
      </c>
      <c r="D720" s="25">
        <f t="array" ref="D720">INDEX(C$5:C$67,MATCH($B720,$B$5:$B$67,0))</f>
        <v>4080</v>
      </c>
      <c r="E720" s="25">
        <f t="array" ref="E720">INDEX(D$5:D$67,MATCH($B720,$B$5:$B$67,0))</f>
        <v>326.4</v>
      </c>
      <c r="F720" s="25">
        <f t="array" ref="F720">INDEX(E$5:E$67,MATCH($B720,$B$5:$B$67,0))</f>
        <v>873</v>
      </c>
      <c r="G720" s="25">
        <f t="array" ref="G720">INDEX(F$5:F$67,MATCH($B720,$B$5:$B$67,0))</f>
        <v>69.84</v>
      </c>
      <c r="H720" s="25">
        <f t="array" ref="H720">INDEX(G$5:G$66,MATCH($B720,$B$5:$B$67,0))</f>
        <v>1134</v>
      </c>
      <c r="I720" s="25">
        <f t="array" ref="I720">INDEX(H$5:H$67,MATCH($B720,$B$5:$B$67,0))</f>
        <v>90.72</v>
      </c>
      <c r="J720" s="25">
        <f t="array" ref="J720">INDEX(I$5:I$67,MATCH($B720,$B$5:$B$67,0))</f>
        <v>836</v>
      </c>
      <c r="K720" s="25">
        <f t="array" ref="K720">INDEX(J$5:J$67,MATCH($B720,$B$5:$B$67,0))</f>
        <v>66.88</v>
      </c>
      <c r="L720" s="25">
        <f t="shared" si="595"/>
        <v>17789</v>
      </c>
      <c r="M720" s="25">
        <f t="shared" si="596"/>
        <v>3806</v>
      </c>
      <c r="N720" s="25">
        <f t="shared" si="597"/>
        <v>4944</v>
      </c>
      <c r="O720" s="25">
        <f t="shared" si="598"/>
        <v>3645</v>
      </c>
      <c r="R720" s="50">
        <v>1035021</v>
      </c>
      <c r="S720" s="51" t="s">
        <v>363</v>
      </c>
      <c r="T720" s="29">
        <f t="shared" si="593"/>
        <v>21</v>
      </c>
      <c r="U720" s="25">
        <f t="array" ref="U720">INDEX(K$5:K$67,MATCH($S720,$B$5:$B$67,0))</f>
        <v>313.11</v>
      </c>
      <c r="V720" s="25">
        <f t="array" ref="V720">INDEX(L$5:L$67,MATCH($S720,$B$5:$B$67,0))</f>
        <v>68.1</v>
      </c>
      <c r="W720" s="25">
        <f t="array" ref="W720">INDEX(M$5:M$67,MATCH($S720,$B$5:$B$67,0))</f>
        <v>85.12</v>
      </c>
      <c r="X720" s="25">
        <f t="array" ref="X720">INDEX(N$5:N$67,MATCH($S720,$B$5:$B$67,0))</f>
        <v>59.5</v>
      </c>
      <c r="Y720" s="25">
        <f t="shared" si="599"/>
        <v>6575</v>
      </c>
      <c r="Z720" s="25">
        <f t="shared" si="600"/>
        <v>1430</v>
      </c>
      <c r="AA720" s="25">
        <f t="shared" si="601"/>
        <v>1788</v>
      </c>
      <c r="AB720" s="25">
        <f t="shared" si="602"/>
        <v>1250</v>
      </c>
    </row>
    <row r="721" spans="1:28">
      <c r="A721" s="48">
        <v>1011043</v>
      </c>
      <c r="B721" s="49" t="s">
        <v>335</v>
      </c>
      <c r="C721" s="25">
        <f t="shared" si="594"/>
        <v>43</v>
      </c>
      <c r="D721" s="25">
        <f t="array" ref="D721">INDEX(C$5:C$67,MATCH($B721,$B$5:$B$67,0))</f>
        <v>4080</v>
      </c>
      <c r="E721" s="25">
        <f t="array" ref="E721">INDEX(D$5:D$67,MATCH($B721,$B$5:$B$67,0))</f>
        <v>326.4</v>
      </c>
      <c r="F721" s="25">
        <f t="array" ref="F721">INDEX(E$5:E$67,MATCH($B721,$B$5:$B$67,0))</f>
        <v>873</v>
      </c>
      <c r="G721" s="25">
        <f t="array" ref="G721">INDEX(F$5:F$67,MATCH($B721,$B$5:$B$67,0))</f>
        <v>69.84</v>
      </c>
      <c r="H721" s="25">
        <f t="array" ref="H721">INDEX(G$5:G$66,MATCH($B721,$B$5:$B$67,0))</f>
        <v>1134</v>
      </c>
      <c r="I721" s="25">
        <f t="array" ref="I721">INDEX(H$5:H$67,MATCH($B721,$B$5:$B$67,0))</f>
        <v>90.72</v>
      </c>
      <c r="J721" s="25">
        <f t="array" ref="J721">INDEX(I$5:I$67,MATCH($B721,$B$5:$B$67,0))</f>
        <v>836</v>
      </c>
      <c r="K721" s="25">
        <f t="array" ref="K721">INDEX(J$5:J$67,MATCH($B721,$B$5:$B$67,0))</f>
        <v>66.88</v>
      </c>
      <c r="L721" s="25">
        <f t="shared" si="595"/>
        <v>18115</v>
      </c>
      <c r="M721" s="25">
        <f t="shared" si="596"/>
        <v>3876</v>
      </c>
      <c r="N721" s="25">
        <f t="shared" si="597"/>
        <v>5035</v>
      </c>
      <c r="O721" s="25">
        <f t="shared" si="598"/>
        <v>3712</v>
      </c>
      <c r="R721" s="50">
        <v>1035022</v>
      </c>
      <c r="S721" s="51" t="s">
        <v>363</v>
      </c>
      <c r="T721" s="29">
        <f t="shared" si="593"/>
        <v>22</v>
      </c>
      <c r="U721" s="25">
        <f t="array" ref="U721">INDEX(K$5:K$67,MATCH($S721,$B$5:$B$67,0))</f>
        <v>313.11</v>
      </c>
      <c r="V721" s="25">
        <f t="array" ref="V721">INDEX(L$5:L$67,MATCH($S721,$B$5:$B$67,0))</f>
        <v>68.1</v>
      </c>
      <c r="W721" s="25">
        <f t="array" ref="W721">INDEX(M$5:M$67,MATCH($S721,$B$5:$B$67,0))</f>
        <v>85.12</v>
      </c>
      <c r="X721" s="25">
        <f t="array" ref="X721">INDEX(N$5:N$67,MATCH($S721,$B$5:$B$67,0))</f>
        <v>59.5</v>
      </c>
      <c r="Y721" s="25">
        <f t="shared" si="599"/>
        <v>6888</v>
      </c>
      <c r="Z721" s="25">
        <f t="shared" si="600"/>
        <v>1498</v>
      </c>
      <c r="AA721" s="25">
        <f t="shared" si="601"/>
        <v>1873</v>
      </c>
      <c r="AB721" s="25">
        <f t="shared" si="602"/>
        <v>1309</v>
      </c>
    </row>
    <row r="722" spans="1:28">
      <c r="A722" s="48">
        <v>1011044</v>
      </c>
      <c r="B722" s="49" t="s">
        <v>335</v>
      </c>
      <c r="C722" s="25">
        <f t="shared" si="594"/>
        <v>44</v>
      </c>
      <c r="D722" s="25">
        <f t="array" ref="D722">INDEX(C$5:C$67,MATCH($B722,$B$5:$B$67,0))</f>
        <v>4080</v>
      </c>
      <c r="E722" s="25">
        <f t="array" ref="E722">INDEX(D$5:D$67,MATCH($B722,$B$5:$B$67,0))</f>
        <v>326.4</v>
      </c>
      <c r="F722" s="25">
        <f t="array" ref="F722">INDEX(E$5:E$67,MATCH($B722,$B$5:$B$67,0))</f>
        <v>873</v>
      </c>
      <c r="G722" s="25">
        <f t="array" ref="G722">INDEX(F$5:F$67,MATCH($B722,$B$5:$B$67,0))</f>
        <v>69.84</v>
      </c>
      <c r="H722" s="25">
        <f t="array" ref="H722">INDEX(G$5:G$66,MATCH($B722,$B$5:$B$67,0))</f>
        <v>1134</v>
      </c>
      <c r="I722" s="25">
        <f t="array" ref="I722">INDEX(H$5:H$67,MATCH($B722,$B$5:$B$67,0))</f>
        <v>90.72</v>
      </c>
      <c r="J722" s="25">
        <f t="array" ref="J722">INDEX(I$5:I$67,MATCH($B722,$B$5:$B$67,0))</f>
        <v>836</v>
      </c>
      <c r="K722" s="25">
        <f t="array" ref="K722">INDEX(J$5:J$67,MATCH($B722,$B$5:$B$67,0))</f>
        <v>66.88</v>
      </c>
      <c r="L722" s="25">
        <f t="shared" si="595"/>
        <v>18442</v>
      </c>
      <c r="M722" s="25">
        <f t="shared" si="596"/>
        <v>3946</v>
      </c>
      <c r="N722" s="25">
        <f t="shared" si="597"/>
        <v>5126</v>
      </c>
      <c r="O722" s="25">
        <f t="shared" si="598"/>
        <v>3779</v>
      </c>
      <c r="R722" s="50">
        <v>1035023</v>
      </c>
      <c r="S722" s="51" t="s">
        <v>363</v>
      </c>
      <c r="T722" s="29">
        <f t="shared" si="593"/>
        <v>23</v>
      </c>
      <c r="U722" s="25">
        <f t="array" ref="U722">INDEX(K$5:K$67,MATCH($S722,$B$5:$B$67,0))</f>
        <v>313.11</v>
      </c>
      <c r="V722" s="25">
        <f t="array" ref="V722">INDEX(L$5:L$67,MATCH($S722,$B$5:$B$67,0))</f>
        <v>68.1</v>
      </c>
      <c r="W722" s="25">
        <f t="array" ref="W722">INDEX(M$5:M$67,MATCH($S722,$B$5:$B$67,0))</f>
        <v>85.12</v>
      </c>
      <c r="X722" s="25">
        <f t="array" ref="X722">INDEX(N$5:N$67,MATCH($S722,$B$5:$B$67,0))</f>
        <v>59.5</v>
      </c>
      <c r="Y722" s="25">
        <f t="shared" si="599"/>
        <v>7202</v>
      </c>
      <c r="Z722" s="25">
        <f t="shared" si="600"/>
        <v>1566</v>
      </c>
      <c r="AA722" s="25">
        <f t="shared" si="601"/>
        <v>1958</v>
      </c>
      <c r="AB722" s="25">
        <f t="shared" si="602"/>
        <v>1369</v>
      </c>
    </row>
    <row r="723" spans="1:28">
      <c r="A723" s="48">
        <v>1011045</v>
      </c>
      <c r="B723" s="49" t="s">
        <v>335</v>
      </c>
      <c r="C723" s="25">
        <f t="shared" si="594"/>
        <v>45</v>
      </c>
      <c r="D723" s="25">
        <f t="array" ref="D723">INDEX(C$5:C$67,MATCH($B723,$B$5:$B$67,0))</f>
        <v>4080</v>
      </c>
      <c r="E723" s="25">
        <f t="array" ref="E723">INDEX(D$5:D$67,MATCH($B723,$B$5:$B$67,0))</f>
        <v>326.4</v>
      </c>
      <c r="F723" s="25">
        <f t="array" ref="F723">INDEX(E$5:E$67,MATCH($B723,$B$5:$B$67,0))</f>
        <v>873</v>
      </c>
      <c r="G723" s="25">
        <f t="array" ref="G723">INDEX(F$5:F$67,MATCH($B723,$B$5:$B$67,0))</f>
        <v>69.84</v>
      </c>
      <c r="H723" s="25">
        <f t="array" ref="H723">INDEX(G$5:G$66,MATCH($B723,$B$5:$B$67,0))</f>
        <v>1134</v>
      </c>
      <c r="I723" s="25">
        <f t="array" ref="I723">INDEX(H$5:H$67,MATCH($B723,$B$5:$B$67,0))</f>
        <v>90.72</v>
      </c>
      <c r="J723" s="25">
        <f t="array" ref="J723">INDEX(I$5:I$67,MATCH($B723,$B$5:$B$67,0))</f>
        <v>836</v>
      </c>
      <c r="K723" s="25">
        <f t="array" ref="K723">INDEX(J$5:J$67,MATCH($B723,$B$5:$B$67,0))</f>
        <v>66.88</v>
      </c>
      <c r="L723" s="25">
        <f t="shared" si="595"/>
        <v>18768</v>
      </c>
      <c r="M723" s="25">
        <f t="shared" si="596"/>
        <v>4016</v>
      </c>
      <c r="N723" s="25">
        <f t="shared" si="597"/>
        <v>5216</v>
      </c>
      <c r="O723" s="25">
        <f t="shared" si="598"/>
        <v>3846</v>
      </c>
      <c r="R723" s="50">
        <v>1035024</v>
      </c>
      <c r="S723" s="51" t="s">
        <v>363</v>
      </c>
      <c r="T723" s="29">
        <f t="shared" si="593"/>
        <v>24</v>
      </c>
      <c r="U723" s="25">
        <f t="array" ref="U723">INDEX(K$5:K$67,MATCH($S723,$B$5:$B$67,0))</f>
        <v>313.11</v>
      </c>
      <c r="V723" s="25">
        <f t="array" ref="V723">INDEX(L$5:L$67,MATCH($S723,$B$5:$B$67,0))</f>
        <v>68.1</v>
      </c>
      <c r="W723" s="25">
        <f t="array" ref="W723">INDEX(M$5:M$67,MATCH($S723,$B$5:$B$67,0))</f>
        <v>85.12</v>
      </c>
      <c r="X723" s="25">
        <f t="array" ref="X723">INDEX(N$5:N$67,MATCH($S723,$B$5:$B$67,0))</f>
        <v>59.5</v>
      </c>
      <c r="Y723" s="25">
        <f t="shared" si="599"/>
        <v>7515</v>
      </c>
      <c r="Z723" s="25">
        <f t="shared" si="600"/>
        <v>1634</v>
      </c>
      <c r="AA723" s="25">
        <f t="shared" si="601"/>
        <v>2043</v>
      </c>
      <c r="AB723" s="25">
        <f t="shared" si="602"/>
        <v>1428</v>
      </c>
    </row>
    <row r="724" spans="1:28">
      <c r="A724" s="48">
        <v>1011046</v>
      </c>
      <c r="B724" s="49" t="s">
        <v>335</v>
      </c>
      <c r="C724" s="25">
        <f t="shared" si="594"/>
        <v>46</v>
      </c>
      <c r="D724" s="25">
        <f t="array" ref="D724">INDEX(C$5:C$67,MATCH($B724,$B$5:$B$67,0))</f>
        <v>4080</v>
      </c>
      <c r="E724" s="25">
        <f t="array" ref="E724">INDEX(D$5:D$67,MATCH($B724,$B$5:$B$67,0))</f>
        <v>326.4</v>
      </c>
      <c r="F724" s="25">
        <f t="array" ref="F724">INDEX(E$5:E$67,MATCH($B724,$B$5:$B$67,0))</f>
        <v>873</v>
      </c>
      <c r="G724" s="25">
        <f t="array" ref="G724">INDEX(F$5:F$67,MATCH($B724,$B$5:$B$67,0))</f>
        <v>69.84</v>
      </c>
      <c r="H724" s="25">
        <f t="array" ref="H724">INDEX(G$5:G$66,MATCH($B724,$B$5:$B$67,0))</f>
        <v>1134</v>
      </c>
      <c r="I724" s="25">
        <f t="array" ref="I724">INDEX(H$5:H$67,MATCH($B724,$B$5:$B$67,0))</f>
        <v>90.72</v>
      </c>
      <c r="J724" s="25">
        <f t="array" ref="J724">INDEX(I$5:I$67,MATCH($B724,$B$5:$B$67,0))</f>
        <v>836</v>
      </c>
      <c r="K724" s="25">
        <f t="array" ref="K724">INDEX(J$5:J$67,MATCH($B724,$B$5:$B$67,0))</f>
        <v>66.88</v>
      </c>
      <c r="L724" s="25">
        <f t="shared" si="595"/>
        <v>19094</v>
      </c>
      <c r="M724" s="25">
        <f t="shared" si="596"/>
        <v>4086</v>
      </c>
      <c r="N724" s="25">
        <f t="shared" si="597"/>
        <v>5307</v>
      </c>
      <c r="O724" s="25">
        <f t="shared" si="598"/>
        <v>3912</v>
      </c>
      <c r="R724" s="50">
        <v>1035025</v>
      </c>
      <c r="S724" s="51" t="s">
        <v>363</v>
      </c>
      <c r="T724" s="29">
        <f t="shared" si="593"/>
        <v>25</v>
      </c>
      <c r="U724" s="25">
        <f t="array" ref="U724">INDEX(K$5:K$67,MATCH($S724,$B$5:$B$67,0))</f>
        <v>313.11</v>
      </c>
      <c r="V724" s="25">
        <f t="array" ref="V724">INDEX(L$5:L$67,MATCH($S724,$B$5:$B$67,0))</f>
        <v>68.1</v>
      </c>
      <c r="W724" s="25">
        <f t="array" ref="W724">INDEX(M$5:M$67,MATCH($S724,$B$5:$B$67,0))</f>
        <v>85.12</v>
      </c>
      <c r="X724" s="25">
        <f t="array" ref="X724">INDEX(N$5:N$67,MATCH($S724,$B$5:$B$67,0))</f>
        <v>59.5</v>
      </c>
      <c r="Y724" s="25">
        <f t="shared" si="599"/>
        <v>7828</v>
      </c>
      <c r="Z724" s="25">
        <f t="shared" si="600"/>
        <v>1703</v>
      </c>
      <c r="AA724" s="25">
        <f t="shared" si="601"/>
        <v>2128</v>
      </c>
      <c r="AB724" s="25">
        <f t="shared" si="602"/>
        <v>1488</v>
      </c>
    </row>
    <row r="725" spans="1:28">
      <c r="A725" s="48">
        <v>1011047</v>
      </c>
      <c r="B725" s="49" t="s">
        <v>335</v>
      </c>
      <c r="C725" s="25">
        <f t="shared" si="594"/>
        <v>47</v>
      </c>
      <c r="D725" s="25">
        <f t="array" ref="D725">INDEX(C$5:C$67,MATCH($B725,$B$5:$B$67,0))</f>
        <v>4080</v>
      </c>
      <c r="E725" s="25">
        <f t="array" ref="E725">INDEX(D$5:D$67,MATCH($B725,$B$5:$B$67,0))</f>
        <v>326.4</v>
      </c>
      <c r="F725" s="25">
        <f t="array" ref="F725">INDEX(E$5:E$67,MATCH($B725,$B$5:$B$67,0))</f>
        <v>873</v>
      </c>
      <c r="G725" s="25">
        <f t="array" ref="G725">INDEX(F$5:F$67,MATCH($B725,$B$5:$B$67,0))</f>
        <v>69.84</v>
      </c>
      <c r="H725" s="25">
        <f t="array" ref="H725">INDEX(G$5:G$66,MATCH($B725,$B$5:$B$67,0))</f>
        <v>1134</v>
      </c>
      <c r="I725" s="25">
        <f t="array" ref="I725">INDEX(H$5:H$67,MATCH($B725,$B$5:$B$67,0))</f>
        <v>90.72</v>
      </c>
      <c r="J725" s="25">
        <f t="array" ref="J725">INDEX(I$5:I$67,MATCH($B725,$B$5:$B$67,0))</f>
        <v>836</v>
      </c>
      <c r="K725" s="25">
        <f t="array" ref="K725">INDEX(J$5:J$67,MATCH($B725,$B$5:$B$67,0))</f>
        <v>66.88</v>
      </c>
      <c r="L725" s="25">
        <f t="shared" si="595"/>
        <v>19421</v>
      </c>
      <c r="M725" s="25">
        <f t="shared" si="596"/>
        <v>4155</v>
      </c>
      <c r="N725" s="25">
        <f t="shared" si="597"/>
        <v>5398</v>
      </c>
      <c r="O725" s="25">
        <f t="shared" si="598"/>
        <v>3979</v>
      </c>
      <c r="R725" s="50">
        <v>1035026</v>
      </c>
      <c r="S725" s="51" t="s">
        <v>363</v>
      </c>
      <c r="T725" s="29">
        <f t="shared" si="593"/>
        <v>26</v>
      </c>
      <c r="U725" s="25">
        <f t="array" ref="U725">INDEX(K$5:K$67,MATCH($S725,$B$5:$B$67,0))</f>
        <v>313.11</v>
      </c>
      <c r="V725" s="25">
        <f t="array" ref="V725">INDEX(L$5:L$67,MATCH($S725,$B$5:$B$67,0))</f>
        <v>68.1</v>
      </c>
      <c r="W725" s="25">
        <f t="array" ref="W725">INDEX(M$5:M$67,MATCH($S725,$B$5:$B$67,0))</f>
        <v>85.12</v>
      </c>
      <c r="X725" s="25">
        <f t="array" ref="X725">INDEX(N$5:N$67,MATCH($S725,$B$5:$B$67,0))</f>
        <v>59.5</v>
      </c>
      <c r="Y725" s="25">
        <f t="shared" si="599"/>
        <v>8141</v>
      </c>
      <c r="Z725" s="25">
        <f t="shared" si="600"/>
        <v>1771</v>
      </c>
      <c r="AA725" s="25">
        <f t="shared" si="601"/>
        <v>2213</v>
      </c>
      <c r="AB725" s="25">
        <f t="shared" si="602"/>
        <v>1547</v>
      </c>
    </row>
    <row r="726" spans="1:28">
      <c r="A726" s="48">
        <v>1011048</v>
      </c>
      <c r="B726" s="49" t="s">
        <v>335</v>
      </c>
      <c r="C726" s="25">
        <f t="shared" si="594"/>
        <v>48</v>
      </c>
      <c r="D726" s="25">
        <f t="array" ref="D726">INDEX(C$5:C$67,MATCH($B726,$B$5:$B$67,0))</f>
        <v>4080</v>
      </c>
      <c r="E726" s="25">
        <f t="array" ref="E726">INDEX(D$5:D$67,MATCH($B726,$B$5:$B$67,0))</f>
        <v>326.4</v>
      </c>
      <c r="F726" s="25">
        <f t="array" ref="F726">INDEX(E$5:E$67,MATCH($B726,$B$5:$B$67,0))</f>
        <v>873</v>
      </c>
      <c r="G726" s="25">
        <f t="array" ref="G726">INDEX(F$5:F$67,MATCH($B726,$B$5:$B$67,0))</f>
        <v>69.84</v>
      </c>
      <c r="H726" s="25">
        <f t="array" ref="H726">INDEX(G$5:G$66,MATCH($B726,$B$5:$B$67,0))</f>
        <v>1134</v>
      </c>
      <c r="I726" s="25">
        <f t="array" ref="I726">INDEX(H$5:H$67,MATCH($B726,$B$5:$B$67,0))</f>
        <v>90.72</v>
      </c>
      <c r="J726" s="25">
        <f t="array" ref="J726">INDEX(I$5:I$67,MATCH($B726,$B$5:$B$67,0))</f>
        <v>836</v>
      </c>
      <c r="K726" s="25">
        <f t="array" ref="K726">INDEX(J$5:J$67,MATCH($B726,$B$5:$B$67,0))</f>
        <v>66.88</v>
      </c>
      <c r="L726" s="25">
        <f t="shared" si="595"/>
        <v>19747</v>
      </c>
      <c r="M726" s="25">
        <f t="shared" si="596"/>
        <v>4225</v>
      </c>
      <c r="N726" s="25">
        <f t="shared" si="597"/>
        <v>5489</v>
      </c>
      <c r="O726" s="25">
        <f t="shared" si="598"/>
        <v>4046</v>
      </c>
      <c r="R726" s="50">
        <v>1035027</v>
      </c>
      <c r="S726" s="51" t="s">
        <v>363</v>
      </c>
      <c r="T726" s="29">
        <f t="shared" si="593"/>
        <v>27</v>
      </c>
      <c r="U726" s="25">
        <f t="array" ref="U726">INDEX(K$5:K$67,MATCH($S726,$B$5:$B$67,0))</f>
        <v>313.11</v>
      </c>
      <c r="V726" s="25">
        <f t="array" ref="V726">INDEX(L$5:L$67,MATCH($S726,$B$5:$B$67,0))</f>
        <v>68.1</v>
      </c>
      <c r="W726" s="25">
        <f t="array" ref="W726">INDEX(M$5:M$67,MATCH($S726,$B$5:$B$67,0))</f>
        <v>85.12</v>
      </c>
      <c r="X726" s="25">
        <f t="array" ref="X726">INDEX(N$5:N$67,MATCH($S726,$B$5:$B$67,0))</f>
        <v>59.5</v>
      </c>
      <c r="Y726" s="25">
        <f t="shared" si="599"/>
        <v>8454</v>
      </c>
      <c r="Z726" s="25">
        <f t="shared" si="600"/>
        <v>1839</v>
      </c>
      <c r="AA726" s="25">
        <f t="shared" si="601"/>
        <v>2298</v>
      </c>
      <c r="AB726" s="25">
        <f t="shared" si="602"/>
        <v>1607</v>
      </c>
    </row>
    <row r="727" spans="1:28">
      <c r="A727" s="48">
        <v>1011049</v>
      </c>
      <c r="B727" s="49" t="s">
        <v>335</v>
      </c>
      <c r="C727" s="25">
        <f t="shared" si="594"/>
        <v>49</v>
      </c>
      <c r="D727" s="25">
        <f t="array" ref="D727">INDEX(C$5:C$67,MATCH($B727,$B$5:$B$67,0))</f>
        <v>4080</v>
      </c>
      <c r="E727" s="25">
        <f t="array" ref="E727">INDEX(D$5:D$67,MATCH($B727,$B$5:$B$67,0))</f>
        <v>326.4</v>
      </c>
      <c r="F727" s="25">
        <f t="array" ref="F727">INDEX(E$5:E$67,MATCH($B727,$B$5:$B$67,0))</f>
        <v>873</v>
      </c>
      <c r="G727" s="25">
        <f t="array" ref="G727">INDEX(F$5:F$67,MATCH($B727,$B$5:$B$67,0))</f>
        <v>69.84</v>
      </c>
      <c r="H727" s="25">
        <f t="array" ref="H727">INDEX(G$5:G$66,MATCH($B727,$B$5:$B$67,0))</f>
        <v>1134</v>
      </c>
      <c r="I727" s="25">
        <f t="array" ref="I727">INDEX(H$5:H$67,MATCH($B727,$B$5:$B$67,0))</f>
        <v>90.72</v>
      </c>
      <c r="J727" s="25">
        <f t="array" ref="J727">INDEX(I$5:I$67,MATCH($B727,$B$5:$B$67,0))</f>
        <v>836</v>
      </c>
      <c r="K727" s="25">
        <f t="array" ref="K727">INDEX(J$5:J$67,MATCH($B727,$B$5:$B$67,0))</f>
        <v>66.88</v>
      </c>
      <c r="L727" s="25">
        <f t="shared" si="595"/>
        <v>20074</v>
      </c>
      <c r="M727" s="25">
        <f t="shared" si="596"/>
        <v>4295</v>
      </c>
      <c r="N727" s="25">
        <f t="shared" si="597"/>
        <v>5579</v>
      </c>
      <c r="O727" s="25">
        <f t="shared" si="598"/>
        <v>4113</v>
      </c>
      <c r="R727" s="50">
        <v>1036001</v>
      </c>
      <c r="S727" s="51" t="s">
        <v>364</v>
      </c>
      <c r="T727" s="29">
        <f t="shared" si="593"/>
        <v>1</v>
      </c>
      <c r="U727" s="25">
        <f t="array" ref="U727">INDEX(K$5:K$67,MATCH($S727,$B$5:$B$67,0))</f>
        <v>226.63</v>
      </c>
      <c r="V727" s="25">
        <f t="array" ref="V727">INDEX(L$5:L$67,MATCH($S727,$B$5:$B$67,0))</f>
        <v>86.02</v>
      </c>
      <c r="W727" s="25">
        <f t="array" ref="W727">INDEX(M$5:M$67,MATCH($S727,$B$5:$B$67,0))</f>
        <v>107.52</v>
      </c>
      <c r="X727" s="25">
        <f t="array" ref="X727">INDEX(N$5:N$67,MATCH($S727,$B$5:$B$67,0))</f>
        <v>59.5</v>
      </c>
      <c r="Y727" s="25">
        <f t="shared" si="599"/>
        <v>227</v>
      </c>
      <c r="Z727" s="25">
        <f t="shared" si="600"/>
        <v>86</v>
      </c>
      <c r="AA727" s="25">
        <f t="shared" si="601"/>
        <v>108</v>
      </c>
      <c r="AB727" s="25">
        <f t="shared" si="602"/>
        <v>60</v>
      </c>
    </row>
    <row r="728" spans="1:28">
      <c r="A728" s="48">
        <v>1011050</v>
      </c>
      <c r="B728" s="49" t="s">
        <v>335</v>
      </c>
      <c r="C728" s="25">
        <f t="shared" si="594"/>
        <v>50</v>
      </c>
      <c r="D728" s="25">
        <f t="array" ref="D728">INDEX(C$5:C$67,MATCH($B728,$B$5:$B$67,0))</f>
        <v>4080</v>
      </c>
      <c r="E728" s="25">
        <f t="array" ref="E728">INDEX(D$5:D$67,MATCH($B728,$B$5:$B$67,0))</f>
        <v>326.4</v>
      </c>
      <c r="F728" s="25">
        <f t="array" ref="F728">INDEX(E$5:E$67,MATCH($B728,$B$5:$B$67,0))</f>
        <v>873</v>
      </c>
      <c r="G728" s="25">
        <f t="array" ref="G728">INDEX(F$5:F$67,MATCH($B728,$B$5:$B$67,0))</f>
        <v>69.84</v>
      </c>
      <c r="H728" s="25">
        <f t="array" ref="H728">INDEX(G$5:G$66,MATCH($B728,$B$5:$B$67,0))</f>
        <v>1134</v>
      </c>
      <c r="I728" s="25">
        <f t="array" ref="I728">INDEX(H$5:H$67,MATCH($B728,$B$5:$B$67,0))</f>
        <v>90.72</v>
      </c>
      <c r="J728" s="25">
        <f t="array" ref="J728">INDEX(I$5:I$67,MATCH($B728,$B$5:$B$67,0))</f>
        <v>836</v>
      </c>
      <c r="K728" s="25">
        <f t="array" ref="K728">INDEX(J$5:J$67,MATCH($B728,$B$5:$B$67,0))</f>
        <v>66.88</v>
      </c>
      <c r="L728" s="25">
        <f t="shared" si="595"/>
        <v>20400</v>
      </c>
      <c r="M728" s="25">
        <f t="shared" si="596"/>
        <v>4365</v>
      </c>
      <c r="N728" s="25">
        <f t="shared" si="597"/>
        <v>5670</v>
      </c>
      <c r="O728" s="25">
        <f t="shared" si="598"/>
        <v>4180</v>
      </c>
      <c r="R728" s="50">
        <v>1036002</v>
      </c>
      <c r="S728" s="51" t="s">
        <v>364</v>
      </c>
      <c r="T728" s="29">
        <f t="shared" si="593"/>
        <v>2</v>
      </c>
      <c r="U728" s="25">
        <f t="array" ref="U728">INDEX(K$5:K$67,MATCH($S728,$B$5:$B$67,0))</f>
        <v>226.63</v>
      </c>
      <c r="V728" s="25">
        <f t="array" ref="V728">INDEX(L$5:L$67,MATCH($S728,$B$5:$B$67,0))</f>
        <v>86.02</v>
      </c>
      <c r="W728" s="25">
        <f t="array" ref="W728">INDEX(M$5:M$67,MATCH($S728,$B$5:$B$67,0))</f>
        <v>107.52</v>
      </c>
      <c r="X728" s="25">
        <f t="array" ref="X728">INDEX(N$5:N$67,MATCH($S728,$B$5:$B$67,0))</f>
        <v>59.5</v>
      </c>
      <c r="Y728" s="25">
        <f t="shared" si="599"/>
        <v>453</v>
      </c>
      <c r="Z728" s="25">
        <f t="shared" si="600"/>
        <v>172</v>
      </c>
      <c r="AA728" s="25">
        <f t="shared" si="601"/>
        <v>215</v>
      </c>
      <c r="AB728" s="25">
        <f t="shared" si="602"/>
        <v>119</v>
      </c>
    </row>
    <row r="729" spans="1:28">
      <c r="A729" s="48">
        <v>1011051</v>
      </c>
      <c r="B729" s="49" t="s">
        <v>335</v>
      </c>
      <c r="C729" s="25">
        <f t="shared" si="594"/>
        <v>51</v>
      </c>
      <c r="D729" s="25">
        <f t="array" ref="D729">INDEX(C$5:C$67,MATCH($B729,$B$5:$B$67,0))</f>
        <v>4080</v>
      </c>
      <c r="E729" s="25">
        <f t="array" ref="E729">INDEX(D$5:D$67,MATCH($B729,$B$5:$B$67,0))</f>
        <v>326.4</v>
      </c>
      <c r="F729" s="25">
        <f t="array" ref="F729">INDEX(E$5:E$67,MATCH($B729,$B$5:$B$67,0))</f>
        <v>873</v>
      </c>
      <c r="G729" s="25">
        <f t="array" ref="G729">INDEX(F$5:F$67,MATCH($B729,$B$5:$B$67,0))</f>
        <v>69.84</v>
      </c>
      <c r="H729" s="25">
        <f t="array" ref="H729">INDEX(G$5:G$66,MATCH($B729,$B$5:$B$67,0))</f>
        <v>1134</v>
      </c>
      <c r="I729" s="25">
        <f t="array" ref="I729">INDEX(H$5:H$67,MATCH($B729,$B$5:$B$67,0))</f>
        <v>90.72</v>
      </c>
      <c r="J729" s="25">
        <f t="array" ref="J729">INDEX(I$5:I$67,MATCH($B729,$B$5:$B$67,0))</f>
        <v>836</v>
      </c>
      <c r="K729" s="25">
        <f t="array" ref="K729">INDEX(J$5:J$67,MATCH($B729,$B$5:$B$67,0))</f>
        <v>66.88</v>
      </c>
      <c r="L729" s="25">
        <f t="shared" si="595"/>
        <v>20726</v>
      </c>
      <c r="M729" s="25">
        <f t="shared" si="596"/>
        <v>4435</v>
      </c>
      <c r="N729" s="25">
        <f t="shared" si="597"/>
        <v>5761</v>
      </c>
      <c r="O729" s="25">
        <f t="shared" si="598"/>
        <v>4247</v>
      </c>
      <c r="R729" s="50">
        <v>1036003</v>
      </c>
      <c r="S729" s="51" t="s">
        <v>364</v>
      </c>
      <c r="T729" s="29">
        <f t="shared" si="593"/>
        <v>3</v>
      </c>
      <c r="U729" s="25">
        <f t="array" ref="U729">INDEX(K$5:K$67,MATCH($S729,$B$5:$B$67,0))</f>
        <v>226.63</v>
      </c>
      <c r="V729" s="25">
        <f t="array" ref="V729">INDEX(L$5:L$67,MATCH($S729,$B$5:$B$67,0))</f>
        <v>86.02</v>
      </c>
      <c r="W729" s="25">
        <f t="array" ref="W729">INDEX(M$5:M$67,MATCH($S729,$B$5:$B$67,0))</f>
        <v>107.52</v>
      </c>
      <c r="X729" s="25">
        <f t="array" ref="X729">INDEX(N$5:N$67,MATCH($S729,$B$5:$B$67,0))</f>
        <v>59.5</v>
      </c>
      <c r="Y729" s="25">
        <f t="shared" si="599"/>
        <v>680</v>
      </c>
      <c r="Z729" s="25">
        <f t="shared" si="600"/>
        <v>258</v>
      </c>
      <c r="AA729" s="25">
        <f t="shared" si="601"/>
        <v>323</v>
      </c>
      <c r="AB729" s="25">
        <f t="shared" si="602"/>
        <v>179</v>
      </c>
    </row>
    <row r="730" spans="1:28">
      <c r="A730" s="48">
        <v>1011052</v>
      </c>
      <c r="B730" s="49" t="s">
        <v>335</v>
      </c>
      <c r="C730" s="25">
        <f t="shared" si="594"/>
        <v>52</v>
      </c>
      <c r="D730" s="25">
        <f t="array" ref="D730">INDEX(C$5:C$67,MATCH($B730,$B$5:$B$67,0))</f>
        <v>4080</v>
      </c>
      <c r="E730" s="25">
        <f t="array" ref="E730">INDEX(D$5:D$67,MATCH($B730,$B$5:$B$67,0))</f>
        <v>326.4</v>
      </c>
      <c r="F730" s="25">
        <f t="array" ref="F730">INDEX(E$5:E$67,MATCH($B730,$B$5:$B$67,0))</f>
        <v>873</v>
      </c>
      <c r="G730" s="25">
        <f t="array" ref="G730">INDEX(F$5:F$67,MATCH($B730,$B$5:$B$67,0))</f>
        <v>69.84</v>
      </c>
      <c r="H730" s="25">
        <f t="array" ref="H730">INDEX(G$5:G$66,MATCH($B730,$B$5:$B$67,0))</f>
        <v>1134</v>
      </c>
      <c r="I730" s="25">
        <f t="array" ref="I730">INDEX(H$5:H$67,MATCH($B730,$B$5:$B$67,0))</f>
        <v>90.72</v>
      </c>
      <c r="J730" s="25">
        <f t="array" ref="J730">INDEX(I$5:I$67,MATCH($B730,$B$5:$B$67,0))</f>
        <v>836</v>
      </c>
      <c r="K730" s="25">
        <f t="array" ref="K730">INDEX(J$5:J$67,MATCH($B730,$B$5:$B$67,0))</f>
        <v>66.88</v>
      </c>
      <c r="L730" s="25">
        <f t="shared" si="595"/>
        <v>21053</v>
      </c>
      <c r="M730" s="25">
        <f t="shared" si="596"/>
        <v>4505</v>
      </c>
      <c r="N730" s="25">
        <f t="shared" si="597"/>
        <v>5851</v>
      </c>
      <c r="O730" s="25">
        <f t="shared" si="598"/>
        <v>4314</v>
      </c>
      <c r="R730" s="50">
        <v>1036004</v>
      </c>
      <c r="S730" s="51" t="s">
        <v>364</v>
      </c>
      <c r="T730" s="29">
        <f t="shared" si="593"/>
        <v>4</v>
      </c>
      <c r="U730" s="25">
        <f t="array" ref="U730">INDEX(K$5:K$67,MATCH($S730,$B$5:$B$67,0))</f>
        <v>226.63</v>
      </c>
      <c r="V730" s="25">
        <f t="array" ref="V730">INDEX(L$5:L$67,MATCH($S730,$B$5:$B$67,0))</f>
        <v>86.02</v>
      </c>
      <c r="W730" s="25">
        <f t="array" ref="W730">INDEX(M$5:M$67,MATCH($S730,$B$5:$B$67,0))</f>
        <v>107.52</v>
      </c>
      <c r="X730" s="25">
        <f t="array" ref="X730">INDEX(N$5:N$67,MATCH($S730,$B$5:$B$67,0))</f>
        <v>59.5</v>
      </c>
      <c r="Y730" s="25">
        <f t="shared" si="599"/>
        <v>907</v>
      </c>
      <c r="Z730" s="25">
        <f t="shared" si="600"/>
        <v>344</v>
      </c>
      <c r="AA730" s="25">
        <f t="shared" si="601"/>
        <v>430</v>
      </c>
      <c r="AB730" s="25">
        <f t="shared" si="602"/>
        <v>238</v>
      </c>
    </row>
    <row r="731" spans="1:28">
      <c r="A731" s="48">
        <v>1011053</v>
      </c>
      <c r="B731" s="49" t="s">
        <v>335</v>
      </c>
      <c r="C731" s="25">
        <f t="shared" si="594"/>
        <v>53</v>
      </c>
      <c r="D731" s="25">
        <f t="array" ref="D731">INDEX(C$5:C$67,MATCH($B731,$B$5:$B$67,0))</f>
        <v>4080</v>
      </c>
      <c r="E731" s="25">
        <f t="array" ref="E731">INDEX(D$5:D$67,MATCH($B731,$B$5:$B$67,0))</f>
        <v>326.4</v>
      </c>
      <c r="F731" s="25">
        <f t="array" ref="F731">INDEX(E$5:E$67,MATCH($B731,$B$5:$B$67,0))</f>
        <v>873</v>
      </c>
      <c r="G731" s="25">
        <f t="array" ref="G731">INDEX(F$5:F$67,MATCH($B731,$B$5:$B$67,0))</f>
        <v>69.84</v>
      </c>
      <c r="H731" s="25">
        <f t="array" ref="H731">INDEX(G$5:G$66,MATCH($B731,$B$5:$B$67,0))</f>
        <v>1134</v>
      </c>
      <c r="I731" s="25">
        <f t="array" ref="I731">INDEX(H$5:H$67,MATCH($B731,$B$5:$B$67,0))</f>
        <v>90.72</v>
      </c>
      <c r="J731" s="25">
        <f t="array" ref="J731">INDEX(I$5:I$67,MATCH($B731,$B$5:$B$67,0))</f>
        <v>836</v>
      </c>
      <c r="K731" s="25">
        <f t="array" ref="K731">INDEX(J$5:J$67,MATCH($B731,$B$5:$B$67,0))</f>
        <v>66.88</v>
      </c>
      <c r="L731" s="25">
        <f t="shared" si="595"/>
        <v>21379</v>
      </c>
      <c r="M731" s="25">
        <f t="shared" si="596"/>
        <v>4575</v>
      </c>
      <c r="N731" s="25">
        <f t="shared" si="597"/>
        <v>5942</v>
      </c>
      <c r="O731" s="25">
        <f t="shared" si="598"/>
        <v>4381</v>
      </c>
      <c r="R731" s="50">
        <v>1036005</v>
      </c>
      <c r="S731" s="51" t="s">
        <v>364</v>
      </c>
      <c r="T731" s="29">
        <f t="shared" si="593"/>
        <v>5</v>
      </c>
      <c r="U731" s="25">
        <f t="array" ref="U731">INDEX(K$5:K$67,MATCH($S731,$B$5:$B$67,0))</f>
        <v>226.63</v>
      </c>
      <c r="V731" s="25">
        <f t="array" ref="V731">INDEX(L$5:L$67,MATCH($S731,$B$5:$B$67,0))</f>
        <v>86.02</v>
      </c>
      <c r="W731" s="25">
        <f t="array" ref="W731">INDEX(M$5:M$67,MATCH($S731,$B$5:$B$67,0))</f>
        <v>107.52</v>
      </c>
      <c r="X731" s="25">
        <f t="array" ref="X731">INDEX(N$5:N$67,MATCH($S731,$B$5:$B$67,0))</f>
        <v>59.5</v>
      </c>
      <c r="Y731" s="25">
        <f t="shared" si="599"/>
        <v>1133</v>
      </c>
      <c r="Z731" s="25">
        <f t="shared" si="600"/>
        <v>430</v>
      </c>
      <c r="AA731" s="25">
        <f t="shared" si="601"/>
        <v>538</v>
      </c>
      <c r="AB731" s="25">
        <f t="shared" si="602"/>
        <v>298</v>
      </c>
    </row>
    <row r="732" spans="1:28">
      <c r="A732" s="48">
        <v>1011054</v>
      </c>
      <c r="B732" s="49" t="s">
        <v>335</v>
      </c>
      <c r="C732" s="25">
        <f t="shared" si="594"/>
        <v>54</v>
      </c>
      <c r="D732" s="25">
        <f t="array" ref="D732">INDEX(C$5:C$67,MATCH($B732,$B$5:$B$67,0))</f>
        <v>4080</v>
      </c>
      <c r="E732" s="25">
        <f t="array" ref="E732">INDEX(D$5:D$67,MATCH($B732,$B$5:$B$67,0))</f>
        <v>326.4</v>
      </c>
      <c r="F732" s="25">
        <f t="array" ref="F732">INDEX(E$5:E$67,MATCH($B732,$B$5:$B$67,0))</f>
        <v>873</v>
      </c>
      <c r="G732" s="25">
        <f t="array" ref="G732">INDEX(F$5:F$67,MATCH($B732,$B$5:$B$67,0))</f>
        <v>69.84</v>
      </c>
      <c r="H732" s="25">
        <f t="array" ref="H732">INDEX(G$5:G$66,MATCH($B732,$B$5:$B$67,0))</f>
        <v>1134</v>
      </c>
      <c r="I732" s="25">
        <f t="array" ref="I732">INDEX(H$5:H$67,MATCH($B732,$B$5:$B$67,0))</f>
        <v>90.72</v>
      </c>
      <c r="J732" s="25">
        <f t="array" ref="J732">INDEX(I$5:I$67,MATCH($B732,$B$5:$B$67,0))</f>
        <v>836</v>
      </c>
      <c r="K732" s="25">
        <f t="array" ref="K732">INDEX(J$5:J$67,MATCH($B732,$B$5:$B$67,0))</f>
        <v>66.88</v>
      </c>
      <c r="L732" s="25">
        <f t="shared" si="595"/>
        <v>21706</v>
      </c>
      <c r="M732" s="25">
        <f t="shared" si="596"/>
        <v>4644</v>
      </c>
      <c r="N732" s="25">
        <f t="shared" si="597"/>
        <v>6033</v>
      </c>
      <c r="O732" s="25">
        <f t="shared" si="598"/>
        <v>4448</v>
      </c>
      <c r="R732" s="50">
        <v>1036006</v>
      </c>
      <c r="S732" s="51" t="s">
        <v>364</v>
      </c>
      <c r="T732" s="29">
        <f t="shared" si="593"/>
        <v>6</v>
      </c>
      <c r="U732" s="25">
        <f t="array" ref="U732">INDEX(K$5:K$67,MATCH($S732,$B$5:$B$67,0))</f>
        <v>226.63</v>
      </c>
      <c r="V732" s="25">
        <f t="array" ref="V732">INDEX(L$5:L$67,MATCH($S732,$B$5:$B$67,0))</f>
        <v>86.02</v>
      </c>
      <c r="W732" s="25">
        <f t="array" ref="W732">INDEX(M$5:M$67,MATCH($S732,$B$5:$B$67,0))</f>
        <v>107.52</v>
      </c>
      <c r="X732" s="25">
        <f t="array" ref="X732">INDEX(N$5:N$67,MATCH($S732,$B$5:$B$67,0))</f>
        <v>59.5</v>
      </c>
      <c r="Y732" s="25">
        <f t="shared" si="599"/>
        <v>1360</v>
      </c>
      <c r="Z732" s="25">
        <f t="shared" si="600"/>
        <v>516</v>
      </c>
      <c r="AA732" s="25">
        <f t="shared" si="601"/>
        <v>645</v>
      </c>
      <c r="AB732" s="25">
        <f t="shared" si="602"/>
        <v>357</v>
      </c>
    </row>
    <row r="733" spans="1:28">
      <c r="A733" s="48">
        <v>1011055</v>
      </c>
      <c r="B733" s="49" t="s">
        <v>335</v>
      </c>
      <c r="C733" s="25">
        <f t="shared" si="594"/>
        <v>55</v>
      </c>
      <c r="D733" s="25">
        <f t="array" ref="D733">INDEX(C$5:C$67,MATCH($B733,$B$5:$B$67,0))</f>
        <v>4080</v>
      </c>
      <c r="E733" s="25">
        <f t="array" ref="E733">INDEX(D$5:D$67,MATCH($B733,$B$5:$B$67,0))</f>
        <v>326.4</v>
      </c>
      <c r="F733" s="25">
        <f t="array" ref="F733">INDEX(E$5:E$67,MATCH($B733,$B$5:$B$67,0))</f>
        <v>873</v>
      </c>
      <c r="G733" s="25">
        <f t="array" ref="G733">INDEX(F$5:F$67,MATCH($B733,$B$5:$B$67,0))</f>
        <v>69.84</v>
      </c>
      <c r="H733" s="25">
        <f t="array" ref="H733">INDEX(G$5:G$66,MATCH($B733,$B$5:$B$67,0))</f>
        <v>1134</v>
      </c>
      <c r="I733" s="25">
        <f t="array" ref="I733">INDEX(H$5:H$67,MATCH($B733,$B$5:$B$67,0))</f>
        <v>90.72</v>
      </c>
      <c r="J733" s="25">
        <f t="array" ref="J733">INDEX(I$5:I$67,MATCH($B733,$B$5:$B$67,0))</f>
        <v>836</v>
      </c>
      <c r="K733" s="25">
        <f t="array" ref="K733">INDEX(J$5:J$67,MATCH($B733,$B$5:$B$67,0))</f>
        <v>66.88</v>
      </c>
      <c r="L733" s="25">
        <f t="shared" si="595"/>
        <v>22032</v>
      </c>
      <c r="M733" s="25">
        <f t="shared" si="596"/>
        <v>4714</v>
      </c>
      <c r="N733" s="25">
        <f t="shared" si="597"/>
        <v>6124</v>
      </c>
      <c r="O733" s="25">
        <f t="shared" si="598"/>
        <v>4514</v>
      </c>
      <c r="R733" s="50">
        <v>1036007</v>
      </c>
      <c r="S733" s="51" t="s">
        <v>364</v>
      </c>
      <c r="T733" s="29">
        <f t="shared" si="593"/>
        <v>7</v>
      </c>
      <c r="U733" s="25">
        <f t="array" ref="U733">INDEX(K$5:K$67,MATCH($S733,$B$5:$B$67,0))</f>
        <v>226.63</v>
      </c>
      <c r="V733" s="25">
        <f t="array" ref="V733">INDEX(L$5:L$67,MATCH($S733,$B$5:$B$67,0))</f>
        <v>86.02</v>
      </c>
      <c r="W733" s="25">
        <f t="array" ref="W733">INDEX(M$5:M$67,MATCH($S733,$B$5:$B$67,0))</f>
        <v>107.52</v>
      </c>
      <c r="X733" s="25">
        <f t="array" ref="X733">INDEX(N$5:N$67,MATCH($S733,$B$5:$B$67,0))</f>
        <v>59.5</v>
      </c>
      <c r="Y733" s="25">
        <f t="shared" si="599"/>
        <v>1586</v>
      </c>
      <c r="Z733" s="25">
        <f t="shared" si="600"/>
        <v>602</v>
      </c>
      <c r="AA733" s="25">
        <f t="shared" si="601"/>
        <v>753</v>
      </c>
      <c r="AB733" s="25">
        <f t="shared" si="602"/>
        <v>417</v>
      </c>
    </row>
    <row r="734" spans="1:28">
      <c r="A734" s="48">
        <v>1011056</v>
      </c>
      <c r="B734" s="49" t="s">
        <v>335</v>
      </c>
      <c r="C734" s="25">
        <f t="shared" si="594"/>
        <v>56</v>
      </c>
      <c r="D734" s="25">
        <f t="array" ref="D734">INDEX(C$5:C$67,MATCH($B734,$B$5:$B$67,0))</f>
        <v>4080</v>
      </c>
      <c r="E734" s="25">
        <f t="array" ref="E734">INDEX(D$5:D$67,MATCH($B734,$B$5:$B$67,0))</f>
        <v>326.4</v>
      </c>
      <c r="F734" s="25">
        <f t="array" ref="F734">INDEX(E$5:E$67,MATCH($B734,$B$5:$B$67,0))</f>
        <v>873</v>
      </c>
      <c r="G734" s="25">
        <f t="array" ref="G734">INDEX(F$5:F$67,MATCH($B734,$B$5:$B$67,0))</f>
        <v>69.84</v>
      </c>
      <c r="H734" s="25">
        <f t="array" ref="H734">INDEX(G$5:G$66,MATCH($B734,$B$5:$B$67,0))</f>
        <v>1134</v>
      </c>
      <c r="I734" s="25">
        <f t="array" ref="I734">INDEX(H$5:H$67,MATCH($B734,$B$5:$B$67,0))</f>
        <v>90.72</v>
      </c>
      <c r="J734" s="25">
        <f t="array" ref="J734">INDEX(I$5:I$67,MATCH($B734,$B$5:$B$67,0))</f>
        <v>836</v>
      </c>
      <c r="K734" s="25">
        <f t="array" ref="K734">INDEX(J$5:J$67,MATCH($B734,$B$5:$B$67,0))</f>
        <v>66.88</v>
      </c>
      <c r="L734" s="25">
        <f t="shared" si="595"/>
        <v>22358</v>
      </c>
      <c r="M734" s="25">
        <f t="shared" si="596"/>
        <v>4784</v>
      </c>
      <c r="N734" s="25">
        <f t="shared" si="597"/>
        <v>6214</v>
      </c>
      <c r="O734" s="25">
        <f t="shared" si="598"/>
        <v>4581</v>
      </c>
      <c r="R734" s="50">
        <v>1036008</v>
      </c>
      <c r="S734" s="51" t="s">
        <v>364</v>
      </c>
      <c r="T734" s="29">
        <f t="shared" si="593"/>
        <v>8</v>
      </c>
      <c r="U734" s="25">
        <f t="array" ref="U734">INDEX(K$5:K$67,MATCH($S734,$B$5:$B$67,0))</f>
        <v>226.63</v>
      </c>
      <c r="V734" s="25">
        <f t="array" ref="V734">INDEX(L$5:L$67,MATCH($S734,$B$5:$B$67,0))</f>
        <v>86.02</v>
      </c>
      <c r="W734" s="25">
        <f t="array" ref="W734">INDEX(M$5:M$67,MATCH($S734,$B$5:$B$67,0))</f>
        <v>107.52</v>
      </c>
      <c r="X734" s="25">
        <f t="array" ref="X734">INDEX(N$5:N$67,MATCH($S734,$B$5:$B$67,0))</f>
        <v>59.5</v>
      </c>
      <c r="Y734" s="25">
        <f t="shared" si="599"/>
        <v>1813</v>
      </c>
      <c r="Z734" s="25">
        <f t="shared" si="600"/>
        <v>688</v>
      </c>
      <c r="AA734" s="25">
        <f t="shared" si="601"/>
        <v>860</v>
      </c>
      <c r="AB734" s="25">
        <f t="shared" si="602"/>
        <v>476</v>
      </c>
    </row>
    <row r="735" spans="1:28">
      <c r="A735" s="48">
        <v>1011057</v>
      </c>
      <c r="B735" s="49" t="s">
        <v>335</v>
      </c>
      <c r="C735" s="25">
        <f t="shared" si="594"/>
        <v>57</v>
      </c>
      <c r="D735" s="25">
        <f t="array" ref="D735">INDEX(C$5:C$67,MATCH($B735,$B$5:$B$67,0))</f>
        <v>4080</v>
      </c>
      <c r="E735" s="25">
        <f t="array" ref="E735">INDEX(D$5:D$67,MATCH($B735,$B$5:$B$67,0))</f>
        <v>326.4</v>
      </c>
      <c r="F735" s="25">
        <f t="array" ref="F735">INDEX(E$5:E$67,MATCH($B735,$B$5:$B$67,0))</f>
        <v>873</v>
      </c>
      <c r="G735" s="25">
        <f t="array" ref="G735">INDEX(F$5:F$67,MATCH($B735,$B$5:$B$67,0))</f>
        <v>69.84</v>
      </c>
      <c r="H735" s="25">
        <f t="array" ref="H735">INDEX(G$5:G$66,MATCH($B735,$B$5:$B$67,0))</f>
        <v>1134</v>
      </c>
      <c r="I735" s="25">
        <f t="array" ref="I735">INDEX(H$5:H$67,MATCH($B735,$B$5:$B$67,0))</f>
        <v>90.72</v>
      </c>
      <c r="J735" s="25">
        <f t="array" ref="J735">INDEX(I$5:I$67,MATCH($B735,$B$5:$B$67,0))</f>
        <v>836</v>
      </c>
      <c r="K735" s="25">
        <f t="array" ref="K735">INDEX(J$5:J$67,MATCH($B735,$B$5:$B$67,0))</f>
        <v>66.88</v>
      </c>
      <c r="L735" s="25">
        <f t="shared" si="595"/>
        <v>22685</v>
      </c>
      <c r="M735" s="25">
        <f t="shared" si="596"/>
        <v>4854</v>
      </c>
      <c r="N735" s="25">
        <f t="shared" si="597"/>
        <v>6305</v>
      </c>
      <c r="O735" s="25">
        <f t="shared" si="598"/>
        <v>4648</v>
      </c>
      <c r="R735" s="50">
        <v>1036009</v>
      </c>
      <c r="S735" s="51" t="s">
        <v>364</v>
      </c>
      <c r="T735" s="29">
        <f t="shared" si="593"/>
        <v>9</v>
      </c>
      <c r="U735" s="25">
        <f t="array" ref="U735">INDEX(K$5:K$67,MATCH($S735,$B$5:$B$67,0))</f>
        <v>226.63</v>
      </c>
      <c r="V735" s="25">
        <f t="array" ref="V735">INDEX(L$5:L$67,MATCH($S735,$B$5:$B$67,0))</f>
        <v>86.02</v>
      </c>
      <c r="W735" s="25">
        <f t="array" ref="W735">INDEX(M$5:M$67,MATCH($S735,$B$5:$B$67,0))</f>
        <v>107.52</v>
      </c>
      <c r="X735" s="25">
        <f t="array" ref="X735">INDEX(N$5:N$67,MATCH($S735,$B$5:$B$67,0))</f>
        <v>59.5</v>
      </c>
      <c r="Y735" s="25">
        <f t="shared" si="599"/>
        <v>2040</v>
      </c>
      <c r="Z735" s="25">
        <f t="shared" si="600"/>
        <v>774</v>
      </c>
      <c r="AA735" s="25">
        <f t="shared" si="601"/>
        <v>968</v>
      </c>
      <c r="AB735" s="25">
        <f t="shared" si="602"/>
        <v>536</v>
      </c>
    </row>
    <row r="736" spans="1:28">
      <c r="A736" s="48">
        <v>1011058</v>
      </c>
      <c r="B736" s="49" t="s">
        <v>335</v>
      </c>
      <c r="C736" s="25">
        <f t="shared" si="594"/>
        <v>58</v>
      </c>
      <c r="D736" s="25">
        <f t="array" ref="D736">INDEX(C$5:C$67,MATCH($B736,$B$5:$B$67,0))</f>
        <v>4080</v>
      </c>
      <c r="E736" s="25">
        <f t="array" ref="E736">INDEX(D$5:D$67,MATCH($B736,$B$5:$B$67,0))</f>
        <v>326.4</v>
      </c>
      <c r="F736" s="25">
        <f t="array" ref="F736">INDEX(E$5:E$67,MATCH($B736,$B$5:$B$67,0))</f>
        <v>873</v>
      </c>
      <c r="G736" s="25">
        <f t="array" ref="G736">INDEX(F$5:F$67,MATCH($B736,$B$5:$B$67,0))</f>
        <v>69.84</v>
      </c>
      <c r="H736" s="25">
        <f t="array" ref="H736">INDEX(G$5:G$66,MATCH($B736,$B$5:$B$67,0))</f>
        <v>1134</v>
      </c>
      <c r="I736" s="25">
        <f t="array" ref="I736">INDEX(H$5:H$67,MATCH($B736,$B$5:$B$67,0))</f>
        <v>90.72</v>
      </c>
      <c r="J736" s="25">
        <f t="array" ref="J736">INDEX(I$5:I$67,MATCH($B736,$B$5:$B$67,0))</f>
        <v>836</v>
      </c>
      <c r="K736" s="25">
        <f t="array" ref="K736">INDEX(J$5:J$67,MATCH($B736,$B$5:$B$67,0))</f>
        <v>66.88</v>
      </c>
      <c r="L736" s="25">
        <f t="shared" si="595"/>
        <v>23011</v>
      </c>
      <c r="M736" s="25">
        <f t="shared" si="596"/>
        <v>4924</v>
      </c>
      <c r="N736" s="25">
        <f t="shared" si="597"/>
        <v>6396</v>
      </c>
      <c r="O736" s="25">
        <f t="shared" si="598"/>
        <v>4715</v>
      </c>
      <c r="R736" s="50">
        <v>1036010</v>
      </c>
      <c r="S736" s="51" t="s">
        <v>364</v>
      </c>
      <c r="T736" s="29">
        <f t="shared" si="593"/>
        <v>10</v>
      </c>
      <c r="U736" s="25">
        <f t="array" ref="U736">INDEX(K$5:K$67,MATCH($S736,$B$5:$B$67,0))</f>
        <v>226.63</v>
      </c>
      <c r="V736" s="25">
        <f t="array" ref="V736">INDEX(L$5:L$67,MATCH($S736,$B$5:$B$67,0))</f>
        <v>86.02</v>
      </c>
      <c r="W736" s="25">
        <f t="array" ref="W736">INDEX(M$5:M$67,MATCH($S736,$B$5:$B$67,0))</f>
        <v>107.52</v>
      </c>
      <c r="X736" s="25">
        <f t="array" ref="X736">INDEX(N$5:N$67,MATCH($S736,$B$5:$B$67,0))</f>
        <v>59.5</v>
      </c>
      <c r="Y736" s="25">
        <f t="shared" si="599"/>
        <v>2266</v>
      </c>
      <c r="Z736" s="25">
        <f t="shared" si="600"/>
        <v>860</v>
      </c>
      <c r="AA736" s="25">
        <f t="shared" si="601"/>
        <v>1075</v>
      </c>
      <c r="AB736" s="25">
        <f t="shared" si="602"/>
        <v>595</v>
      </c>
    </row>
    <row r="737" spans="1:28">
      <c r="A737" s="48">
        <v>1011059</v>
      </c>
      <c r="B737" s="49" t="s">
        <v>335</v>
      </c>
      <c r="C737" s="25">
        <f t="shared" si="594"/>
        <v>59</v>
      </c>
      <c r="D737" s="25">
        <f t="array" ref="D737">INDEX(C$5:C$67,MATCH($B737,$B$5:$B$67,0))</f>
        <v>4080</v>
      </c>
      <c r="E737" s="25">
        <f t="array" ref="E737">INDEX(D$5:D$67,MATCH($B737,$B$5:$B$67,0))</f>
        <v>326.4</v>
      </c>
      <c r="F737" s="25">
        <f t="array" ref="F737">INDEX(E$5:E$67,MATCH($B737,$B$5:$B$67,0))</f>
        <v>873</v>
      </c>
      <c r="G737" s="25">
        <f t="array" ref="G737">INDEX(F$5:F$67,MATCH($B737,$B$5:$B$67,0))</f>
        <v>69.84</v>
      </c>
      <c r="H737" s="25">
        <f t="array" ref="H737">INDEX(G$5:G$66,MATCH($B737,$B$5:$B$67,0))</f>
        <v>1134</v>
      </c>
      <c r="I737" s="25">
        <f t="array" ref="I737">INDEX(H$5:H$67,MATCH($B737,$B$5:$B$67,0))</f>
        <v>90.72</v>
      </c>
      <c r="J737" s="25">
        <f t="array" ref="J737">INDEX(I$5:I$67,MATCH($B737,$B$5:$B$67,0))</f>
        <v>836</v>
      </c>
      <c r="K737" s="25">
        <f t="array" ref="K737">INDEX(J$5:J$67,MATCH($B737,$B$5:$B$67,0))</f>
        <v>66.88</v>
      </c>
      <c r="L737" s="25">
        <f t="shared" si="595"/>
        <v>23338</v>
      </c>
      <c r="M737" s="25">
        <f t="shared" si="596"/>
        <v>4994</v>
      </c>
      <c r="N737" s="25">
        <f t="shared" si="597"/>
        <v>6486</v>
      </c>
      <c r="O737" s="25">
        <f t="shared" si="598"/>
        <v>4782</v>
      </c>
      <c r="R737" s="50">
        <v>1036011</v>
      </c>
      <c r="S737" s="51" t="s">
        <v>364</v>
      </c>
      <c r="T737" s="29">
        <f t="shared" si="593"/>
        <v>11</v>
      </c>
      <c r="U737" s="25">
        <f t="array" ref="U737">INDEX(K$5:K$67,MATCH($S737,$B$5:$B$67,0))</f>
        <v>226.63</v>
      </c>
      <c r="V737" s="25">
        <f t="array" ref="V737">INDEX(L$5:L$67,MATCH($S737,$B$5:$B$67,0))</f>
        <v>86.02</v>
      </c>
      <c r="W737" s="25">
        <f t="array" ref="W737">INDEX(M$5:M$67,MATCH($S737,$B$5:$B$67,0))</f>
        <v>107.52</v>
      </c>
      <c r="X737" s="25">
        <f t="array" ref="X737">INDEX(N$5:N$67,MATCH($S737,$B$5:$B$67,0))</f>
        <v>59.5</v>
      </c>
      <c r="Y737" s="25">
        <f t="shared" si="599"/>
        <v>2493</v>
      </c>
      <c r="Z737" s="25">
        <f t="shared" si="600"/>
        <v>946</v>
      </c>
      <c r="AA737" s="25">
        <f t="shared" si="601"/>
        <v>1183</v>
      </c>
      <c r="AB737" s="25">
        <f t="shared" si="602"/>
        <v>655</v>
      </c>
    </row>
    <row r="738" spans="1:28">
      <c r="A738" s="48">
        <v>1011060</v>
      </c>
      <c r="B738" s="49" t="s">
        <v>335</v>
      </c>
      <c r="C738" s="25">
        <f t="shared" si="594"/>
        <v>60</v>
      </c>
      <c r="D738" s="25">
        <f t="array" ref="D738">INDEX(C$5:C$67,MATCH($B738,$B$5:$B$67,0))</f>
        <v>4080</v>
      </c>
      <c r="E738" s="25">
        <f t="array" ref="E738">INDEX(D$5:D$67,MATCH($B738,$B$5:$B$67,0))</f>
        <v>326.4</v>
      </c>
      <c r="F738" s="25">
        <f t="array" ref="F738">INDEX(E$5:E$67,MATCH($B738,$B$5:$B$67,0))</f>
        <v>873</v>
      </c>
      <c r="G738" s="25">
        <f t="array" ref="G738">INDEX(F$5:F$67,MATCH($B738,$B$5:$B$67,0))</f>
        <v>69.84</v>
      </c>
      <c r="H738" s="25">
        <f t="array" ref="H738">INDEX(G$5:G$66,MATCH($B738,$B$5:$B$67,0))</f>
        <v>1134</v>
      </c>
      <c r="I738" s="25">
        <f t="array" ref="I738">INDEX(H$5:H$67,MATCH($B738,$B$5:$B$67,0))</f>
        <v>90.72</v>
      </c>
      <c r="J738" s="25">
        <f t="array" ref="J738">INDEX(I$5:I$67,MATCH($B738,$B$5:$B$67,0))</f>
        <v>836</v>
      </c>
      <c r="K738" s="25">
        <f t="array" ref="K738">INDEX(J$5:J$67,MATCH($B738,$B$5:$B$67,0))</f>
        <v>66.88</v>
      </c>
      <c r="L738" s="25">
        <f t="shared" si="595"/>
        <v>23664</v>
      </c>
      <c r="M738" s="25">
        <f t="shared" si="596"/>
        <v>5063</v>
      </c>
      <c r="N738" s="25">
        <f t="shared" si="597"/>
        <v>6577</v>
      </c>
      <c r="O738" s="25">
        <f t="shared" si="598"/>
        <v>4849</v>
      </c>
      <c r="R738" s="50">
        <v>1036012</v>
      </c>
      <c r="S738" s="51" t="s">
        <v>364</v>
      </c>
      <c r="T738" s="29">
        <f t="shared" si="593"/>
        <v>12</v>
      </c>
      <c r="U738" s="25">
        <f t="array" ref="U738">INDEX(K$5:K$67,MATCH($S738,$B$5:$B$67,0))</f>
        <v>226.63</v>
      </c>
      <c r="V738" s="25">
        <f t="array" ref="V738">INDEX(L$5:L$67,MATCH($S738,$B$5:$B$67,0))</f>
        <v>86.02</v>
      </c>
      <c r="W738" s="25">
        <f t="array" ref="W738">INDEX(M$5:M$67,MATCH($S738,$B$5:$B$67,0))</f>
        <v>107.52</v>
      </c>
      <c r="X738" s="25">
        <f t="array" ref="X738">INDEX(N$5:N$67,MATCH($S738,$B$5:$B$67,0))</f>
        <v>59.5</v>
      </c>
      <c r="Y738" s="25">
        <f t="shared" si="599"/>
        <v>2720</v>
      </c>
      <c r="Z738" s="25">
        <f t="shared" si="600"/>
        <v>1032</v>
      </c>
      <c r="AA738" s="25">
        <f t="shared" si="601"/>
        <v>1290</v>
      </c>
      <c r="AB738" s="25">
        <f t="shared" si="602"/>
        <v>714</v>
      </c>
    </row>
    <row r="739" spans="1:28">
      <c r="A739" s="53">
        <v>1012001</v>
      </c>
      <c r="B739" s="49" t="s">
        <v>338</v>
      </c>
      <c r="C739" s="25">
        <f t="shared" si="594"/>
        <v>1</v>
      </c>
      <c r="D739" s="25">
        <f t="array" ref="D739">INDEX(C$5:C$67,MATCH($B739,$B$5:$B$67,0))</f>
        <v>3960</v>
      </c>
      <c r="E739" s="25">
        <f t="array" ref="E739">INDEX(D$5:D$67,MATCH($B739,$B$5:$B$67,0))</f>
        <v>316.8</v>
      </c>
      <c r="F739" s="25">
        <f t="array" ref="F739">INDEX(E$5:E$67,MATCH($B739,$B$5:$B$67,0))</f>
        <v>734</v>
      </c>
      <c r="G739" s="25">
        <f t="array" ref="G739">INDEX(F$5:F$67,MATCH($B739,$B$5:$B$67,0))</f>
        <v>58.72</v>
      </c>
      <c r="H739" s="25">
        <f t="array" ref="H739">INDEX(G$5:G$66,MATCH($B739,$B$5:$B$67,0))</f>
        <v>918</v>
      </c>
      <c r="I739" s="25">
        <f t="array" ref="I739">INDEX(H$5:H$67,MATCH($B739,$B$5:$B$67,0))</f>
        <v>73.44</v>
      </c>
      <c r="J739" s="25">
        <f t="array" ref="J739">INDEX(I$5:I$67,MATCH($B739,$B$5:$B$67,0))</f>
        <v>924</v>
      </c>
      <c r="K739" s="25">
        <f t="array" ref="K739">INDEX(J$5:J$67,MATCH($B739,$B$5:$B$67,0))</f>
        <v>73.92</v>
      </c>
      <c r="L739" s="25">
        <f t="shared" si="595"/>
        <v>4277</v>
      </c>
      <c r="M739" s="25">
        <f t="shared" si="596"/>
        <v>793</v>
      </c>
      <c r="N739" s="25">
        <f t="shared" si="597"/>
        <v>991</v>
      </c>
      <c r="O739" s="25">
        <f t="shared" si="598"/>
        <v>998</v>
      </c>
      <c r="R739" s="50">
        <v>1036013</v>
      </c>
      <c r="S739" s="51" t="s">
        <v>364</v>
      </c>
      <c r="T739" s="29">
        <f t="shared" si="593"/>
        <v>13</v>
      </c>
      <c r="U739" s="25">
        <f t="array" ref="U739">INDEX(K$5:K$67,MATCH($S739,$B$5:$B$67,0))</f>
        <v>226.63</v>
      </c>
      <c r="V739" s="25">
        <f t="array" ref="V739">INDEX(L$5:L$67,MATCH($S739,$B$5:$B$67,0))</f>
        <v>86.02</v>
      </c>
      <c r="W739" s="25">
        <f t="array" ref="W739">INDEX(M$5:M$67,MATCH($S739,$B$5:$B$67,0))</f>
        <v>107.52</v>
      </c>
      <c r="X739" s="25">
        <f t="array" ref="X739">INDEX(N$5:N$67,MATCH($S739,$B$5:$B$67,0))</f>
        <v>59.5</v>
      </c>
      <c r="Y739" s="25">
        <f t="shared" si="599"/>
        <v>2946</v>
      </c>
      <c r="Z739" s="25">
        <f t="shared" si="600"/>
        <v>1118</v>
      </c>
      <c r="AA739" s="25">
        <f t="shared" si="601"/>
        <v>1398</v>
      </c>
      <c r="AB739" s="25">
        <f t="shared" si="602"/>
        <v>774</v>
      </c>
    </row>
    <row r="740" spans="1:28">
      <c r="A740" s="53">
        <v>1012002</v>
      </c>
      <c r="B740" s="49" t="s">
        <v>338</v>
      </c>
      <c r="C740" s="25">
        <f t="shared" si="594"/>
        <v>2</v>
      </c>
      <c r="D740" s="25">
        <f t="array" ref="D740">INDEX(C$5:C$67,MATCH($B740,$B$5:$B$67,0))</f>
        <v>3960</v>
      </c>
      <c r="E740" s="25">
        <f t="array" ref="E740">INDEX(D$5:D$67,MATCH($B740,$B$5:$B$67,0))</f>
        <v>316.8</v>
      </c>
      <c r="F740" s="25">
        <f t="array" ref="F740">INDEX(E$5:E$67,MATCH($B740,$B$5:$B$67,0))</f>
        <v>734</v>
      </c>
      <c r="G740" s="25">
        <f t="array" ref="G740">INDEX(F$5:F$67,MATCH($B740,$B$5:$B$67,0))</f>
        <v>58.72</v>
      </c>
      <c r="H740" s="25">
        <f t="array" ref="H740">INDEX(G$5:G$66,MATCH($B740,$B$5:$B$67,0))</f>
        <v>918</v>
      </c>
      <c r="I740" s="25">
        <f t="array" ref="I740">INDEX(H$5:H$67,MATCH($B740,$B$5:$B$67,0))</f>
        <v>73.44</v>
      </c>
      <c r="J740" s="25">
        <f t="array" ref="J740">INDEX(I$5:I$67,MATCH($B740,$B$5:$B$67,0))</f>
        <v>924</v>
      </c>
      <c r="K740" s="25">
        <f t="array" ref="K740">INDEX(J$5:J$67,MATCH($B740,$B$5:$B$67,0))</f>
        <v>73.92</v>
      </c>
      <c r="L740" s="25">
        <f t="shared" si="595"/>
        <v>4594</v>
      </c>
      <c r="M740" s="25">
        <f t="shared" si="596"/>
        <v>851</v>
      </c>
      <c r="N740" s="25">
        <f t="shared" si="597"/>
        <v>1065</v>
      </c>
      <c r="O740" s="25">
        <f t="shared" si="598"/>
        <v>1072</v>
      </c>
      <c r="R740" s="50">
        <v>1036014</v>
      </c>
      <c r="S740" s="51" t="s">
        <v>364</v>
      </c>
      <c r="T740" s="29">
        <f t="shared" si="593"/>
        <v>14</v>
      </c>
      <c r="U740" s="25">
        <f t="array" ref="U740">INDEX(K$5:K$67,MATCH($S740,$B$5:$B$67,0))</f>
        <v>226.63</v>
      </c>
      <c r="V740" s="25">
        <f t="array" ref="V740">INDEX(L$5:L$67,MATCH($S740,$B$5:$B$67,0))</f>
        <v>86.02</v>
      </c>
      <c r="W740" s="25">
        <f t="array" ref="W740">INDEX(M$5:M$67,MATCH($S740,$B$5:$B$67,0))</f>
        <v>107.52</v>
      </c>
      <c r="X740" s="25">
        <f t="array" ref="X740">INDEX(N$5:N$67,MATCH($S740,$B$5:$B$67,0))</f>
        <v>59.5</v>
      </c>
      <c r="Y740" s="25">
        <f t="shared" si="599"/>
        <v>3173</v>
      </c>
      <c r="Z740" s="25">
        <f t="shared" si="600"/>
        <v>1204</v>
      </c>
      <c r="AA740" s="25">
        <f t="shared" si="601"/>
        <v>1505</v>
      </c>
      <c r="AB740" s="25">
        <f t="shared" si="602"/>
        <v>833</v>
      </c>
    </row>
    <row r="741" spans="1:28">
      <c r="A741" s="53">
        <v>1012003</v>
      </c>
      <c r="B741" s="49" t="s">
        <v>338</v>
      </c>
      <c r="C741" s="25">
        <f t="shared" si="594"/>
        <v>3</v>
      </c>
      <c r="D741" s="25">
        <f t="array" ref="D741">INDEX(C$5:C$67,MATCH($B741,$B$5:$B$67,0))</f>
        <v>3960</v>
      </c>
      <c r="E741" s="25">
        <f t="array" ref="E741">INDEX(D$5:D$67,MATCH($B741,$B$5:$B$67,0))</f>
        <v>316.8</v>
      </c>
      <c r="F741" s="25">
        <f t="array" ref="F741">INDEX(E$5:E$67,MATCH($B741,$B$5:$B$67,0))</f>
        <v>734</v>
      </c>
      <c r="G741" s="25">
        <f t="array" ref="G741">INDEX(F$5:F$67,MATCH($B741,$B$5:$B$67,0))</f>
        <v>58.72</v>
      </c>
      <c r="H741" s="25">
        <f t="array" ref="H741">INDEX(G$5:G$66,MATCH($B741,$B$5:$B$67,0))</f>
        <v>918</v>
      </c>
      <c r="I741" s="25">
        <f t="array" ref="I741">INDEX(H$5:H$67,MATCH($B741,$B$5:$B$67,0))</f>
        <v>73.44</v>
      </c>
      <c r="J741" s="25">
        <f t="array" ref="J741">INDEX(I$5:I$67,MATCH($B741,$B$5:$B$67,0))</f>
        <v>924</v>
      </c>
      <c r="K741" s="25">
        <f t="array" ref="K741">INDEX(J$5:J$67,MATCH($B741,$B$5:$B$67,0))</f>
        <v>73.92</v>
      </c>
      <c r="L741" s="25">
        <f t="shared" si="595"/>
        <v>4910</v>
      </c>
      <c r="M741" s="25">
        <f t="shared" si="596"/>
        <v>910</v>
      </c>
      <c r="N741" s="25">
        <f t="shared" si="597"/>
        <v>1138</v>
      </c>
      <c r="O741" s="25">
        <f t="shared" si="598"/>
        <v>1146</v>
      </c>
      <c r="R741" s="50">
        <v>1036015</v>
      </c>
      <c r="S741" s="51" t="s">
        <v>364</v>
      </c>
      <c r="T741" s="29">
        <f t="shared" si="593"/>
        <v>15</v>
      </c>
      <c r="U741" s="25">
        <f t="array" ref="U741">INDEX(K$5:K$67,MATCH($S741,$B$5:$B$67,0))</f>
        <v>226.63</v>
      </c>
      <c r="V741" s="25">
        <f t="array" ref="V741">INDEX(L$5:L$67,MATCH($S741,$B$5:$B$67,0))</f>
        <v>86.02</v>
      </c>
      <c r="W741" s="25">
        <f t="array" ref="W741">INDEX(M$5:M$67,MATCH($S741,$B$5:$B$67,0))</f>
        <v>107.52</v>
      </c>
      <c r="X741" s="25">
        <f t="array" ref="X741">INDEX(N$5:N$67,MATCH($S741,$B$5:$B$67,0))</f>
        <v>59.5</v>
      </c>
      <c r="Y741" s="25">
        <f t="shared" si="599"/>
        <v>3399</v>
      </c>
      <c r="Z741" s="25">
        <f t="shared" si="600"/>
        <v>1290</v>
      </c>
      <c r="AA741" s="25">
        <f t="shared" si="601"/>
        <v>1613</v>
      </c>
      <c r="AB741" s="25">
        <f t="shared" si="602"/>
        <v>893</v>
      </c>
    </row>
    <row r="742" spans="1:28">
      <c r="A742" s="53">
        <v>1012004</v>
      </c>
      <c r="B742" s="49" t="s">
        <v>338</v>
      </c>
      <c r="C742" s="25">
        <f t="shared" si="594"/>
        <v>4</v>
      </c>
      <c r="D742" s="25">
        <f t="array" ref="D742">INDEX(C$5:C$67,MATCH($B742,$B$5:$B$67,0))</f>
        <v>3960</v>
      </c>
      <c r="E742" s="25">
        <f t="array" ref="E742">INDEX(D$5:D$67,MATCH($B742,$B$5:$B$67,0))</f>
        <v>316.8</v>
      </c>
      <c r="F742" s="25">
        <f t="array" ref="F742">INDEX(E$5:E$67,MATCH($B742,$B$5:$B$67,0))</f>
        <v>734</v>
      </c>
      <c r="G742" s="25">
        <f t="array" ref="G742">INDEX(F$5:F$67,MATCH($B742,$B$5:$B$67,0))</f>
        <v>58.72</v>
      </c>
      <c r="H742" s="25">
        <f t="array" ref="H742">INDEX(G$5:G$66,MATCH($B742,$B$5:$B$67,0))</f>
        <v>918</v>
      </c>
      <c r="I742" s="25">
        <f t="array" ref="I742">INDEX(H$5:H$67,MATCH($B742,$B$5:$B$67,0))</f>
        <v>73.44</v>
      </c>
      <c r="J742" s="25">
        <f t="array" ref="J742">INDEX(I$5:I$67,MATCH($B742,$B$5:$B$67,0))</f>
        <v>924</v>
      </c>
      <c r="K742" s="25">
        <f t="array" ref="K742">INDEX(J$5:J$67,MATCH($B742,$B$5:$B$67,0))</f>
        <v>73.92</v>
      </c>
      <c r="L742" s="25">
        <f t="shared" si="595"/>
        <v>5227</v>
      </c>
      <c r="M742" s="25">
        <f t="shared" si="596"/>
        <v>969</v>
      </c>
      <c r="N742" s="25">
        <f t="shared" si="597"/>
        <v>1212</v>
      </c>
      <c r="O742" s="25">
        <f t="shared" si="598"/>
        <v>1220</v>
      </c>
      <c r="R742" s="50">
        <v>1036016</v>
      </c>
      <c r="S742" s="51" t="s">
        <v>364</v>
      </c>
      <c r="T742" s="29">
        <f t="shared" si="593"/>
        <v>16</v>
      </c>
      <c r="U742" s="25">
        <f t="array" ref="U742">INDEX(K$5:K$67,MATCH($S742,$B$5:$B$67,0))</f>
        <v>226.63</v>
      </c>
      <c r="V742" s="25">
        <f t="array" ref="V742">INDEX(L$5:L$67,MATCH($S742,$B$5:$B$67,0))</f>
        <v>86.02</v>
      </c>
      <c r="W742" s="25">
        <f t="array" ref="W742">INDEX(M$5:M$67,MATCH($S742,$B$5:$B$67,0))</f>
        <v>107.52</v>
      </c>
      <c r="X742" s="25">
        <f t="array" ref="X742">INDEX(N$5:N$67,MATCH($S742,$B$5:$B$67,0))</f>
        <v>59.5</v>
      </c>
      <c r="Y742" s="25">
        <f t="shared" si="599"/>
        <v>3626</v>
      </c>
      <c r="Z742" s="25">
        <f t="shared" si="600"/>
        <v>1376</v>
      </c>
      <c r="AA742" s="25">
        <f t="shared" si="601"/>
        <v>1720</v>
      </c>
      <c r="AB742" s="25">
        <f t="shared" si="602"/>
        <v>952</v>
      </c>
    </row>
    <row r="743" spans="1:28">
      <c r="A743" s="53">
        <v>1012005</v>
      </c>
      <c r="B743" s="49" t="s">
        <v>338</v>
      </c>
      <c r="C743" s="25">
        <f t="shared" si="594"/>
        <v>5</v>
      </c>
      <c r="D743" s="25">
        <f t="array" ref="D743">INDEX(C$5:C$67,MATCH($B743,$B$5:$B$67,0))</f>
        <v>3960</v>
      </c>
      <c r="E743" s="25">
        <f t="array" ref="E743">INDEX(D$5:D$67,MATCH($B743,$B$5:$B$67,0))</f>
        <v>316.8</v>
      </c>
      <c r="F743" s="25">
        <f t="array" ref="F743">INDEX(E$5:E$67,MATCH($B743,$B$5:$B$67,0))</f>
        <v>734</v>
      </c>
      <c r="G743" s="25">
        <f t="array" ref="G743">INDEX(F$5:F$67,MATCH($B743,$B$5:$B$67,0))</f>
        <v>58.72</v>
      </c>
      <c r="H743" s="25">
        <f t="array" ref="H743">INDEX(G$5:G$66,MATCH($B743,$B$5:$B$67,0))</f>
        <v>918</v>
      </c>
      <c r="I743" s="25">
        <f t="array" ref="I743">INDEX(H$5:H$67,MATCH($B743,$B$5:$B$67,0))</f>
        <v>73.44</v>
      </c>
      <c r="J743" s="25">
        <f t="array" ref="J743">INDEX(I$5:I$67,MATCH($B743,$B$5:$B$67,0))</f>
        <v>924</v>
      </c>
      <c r="K743" s="25">
        <f t="array" ref="K743">INDEX(J$5:J$67,MATCH($B743,$B$5:$B$67,0))</f>
        <v>73.92</v>
      </c>
      <c r="L743" s="25">
        <f t="shared" si="595"/>
        <v>5544</v>
      </c>
      <c r="M743" s="25">
        <f t="shared" si="596"/>
        <v>1028</v>
      </c>
      <c r="N743" s="25">
        <f t="shared" si="597"/>
        <v>1285</v>
      </c>
      <c r="O743" s="25">
        <f t="shared" si="598"/>
        <v>1294</v>
      </c>
      <c r="R743" s="50">
        <v>1036017</v>
      </c>
      <c r="S743" s="51" t="s">
        <v>364</v>
      </c>
      <c r="T743" s="29">
        <f t="shared" si="593"/>
        <v>17</v>
      </c>
      <c r="U743" s="25">
        <f t="array" ref="U743">INDEX(K$5:K$67,MATCH($S743,$B$5:$B$67,0))</f>
        <v>226.63</v>
      </c>
      <c r="V743" s="25">
        <f t="array" ref="V743">INDEX(L$5:L$67,MATCH($S743,$B$5:$B$67,0))</f>
        <v>86.02</v>
      </c>
      <c r="W743" s="25">
        <f t="array" ref="W743">INDEX(M$5:M$67,MATCH($S743,$B$5:$B$67,0))</f>
        <v>107.52</v>
      </c>
      <c r="X743" s="25">
        <f t="array" ref="X743">INDEX(N$5:N$67,MATCH($S743,$B$5:$B$67,0))</f>
        <v>59.5</v>
      </c>
      <c r="Y743" s="25">
        <f t="shared" si="599"/>
        <v>3853</v>
      </c>
      <c r="Z743" s="25">
        <f t="shared" si="600"/>
        <v>1462</v>
      </c>
      <c r="AA743" s="25">
        <f t="shared" si="601"/>
        <v>1828</v>
      </c>
      <c r="AB743" s="25">
        <f t="shared" si="602"/>
        <v>1012</v>
      </c>
    </row>
    <row r="744" spans="1:28">
      <c r="A744" s="53">
        <v>1012006</v>
      </c>
      <c r="B744" s="49" t="s">
        <v>338</v>
      </c>
      <c r="C744" s="25">
        <f t="shared" si="594"/>
        <v>6</v>
      </c>
      <c r="D744" s="25">
        <f t="array" ref="D744">INDEX(C$5:C$67,MATCH($B744,$B$5:$B$67,0))</f>
        <v>3960</v>
      </c>
      <c r="E744" s="25">
        <f t="array" ref="E744">INDEX(D$5:D$67,MATCH($B744,$B$5:$B$67,0))</f>
        <v>316.8</v>
      </c>
      <c r="F744" s="25">
        <f t="array" ref="F744">INDEX(E$5:E$67,MATCH($B744,$B$5:$B$67,0))</f>
        <v>734</v>
      </c>
      <c r="G744" s="25">
        <f t="array" ref="G744">INDEX(F$5:F$67,MATCH($B744,$B$5:$B$67,0))</f>
        <v>58.72</v>
      </c>
      <c r="H744" s="25">
        <f t="array" ref="H744">INDEX(G$5:G$66,MATCH($B744,$B$5:$B$67,0))</f>
        <v>918</v>
      </c>
      <c r="I744" s="25">
        <f t="array" ref="I744">INDEX(H$5:H$67,MATCH($B744,$B$5:$B$67,0))</f>
        <v>73.44</v>
      </c>
      <c r="J744" s="25">
        <f t="array" ref="J744">INDEX(I$5:I$67,MATCH($B744,$B$5:$B$67,0))</f>
        <v>924</v>
      </c>
      <c r="K744" s="25">
        <f t="array" ref="K744">INDEX(J$5:J$67,MATCH($B744,$B$5:$B$67,0))</f>
        <v>73.92</v>
      </c>
      <c r="L744" s="25">
        <f t="shared" si="595"/>
        <v>5861</v>
      </c>
      <c r="M744" s="25">
        <f t="shared" si="596"/>
        <v>1086</v>
      </c>
      <c r="N744" s="25">
        <f t="shared" si="597"/>
        <v>1359</v>
      </c>
      <c r="O744" s="25">
        <f t="shared" si="598"/>
        <v>1368</v>
      </c>
      <c r="R744" s="50">
        <v>1036018</v>
      </c>
      <c r="S744" s="51" t="s">
        <v>364</v>
      </c>
      <c r="T744" s="29">
        <f t="shared" si="593"/>
        <v>18</v>
      </c>
      <c r="U744" s="25">
        <f t="array" ref="U744">INDEX(K$5:K$67,MATCH($S744,$B$5:$B$67,0))</f>
        <v>226.63</v>
      </c>
      <c r="V744" s="25">
        <f t="array" ref="V744">INDEX(L$5:L$67,MATCH($S744,$B$5:$B$67,0))</f>
        <v>86.02</v>
      </c>
      <c r="W744" s="25">
        <f t="array" ref="W744">INDEX(M$5:M$67,MATCH($S744,$B$5:$B$67,0))</f>
        <v>107.52</v>
      </c>
      <c r="X744" s="25">
        <f t="array" ref="X744">INDEX(N$5:N$67,MATCH($S744,$B$5:$B$67,0))</f>
        <v>59.5</v>
      </c>
      <c r="Y744" s="25">
        <f t="shared" si="599"/>
        <v>4079</v>
      </c>
      <c r="Z744" s="25">
        <f t="shared" si="600"/>
        <v>1548</v>
      </c>
      <c r="AA744" s="25">
        <f t="shared" si="601"/>
        <v>1935</v>
      </c>
      <c r="AB744" s="25">
        <f t="shared" si="602"/>
        <v>1071</v>
      </c>
    </row>
    <row r="745" spans="1:28">
      <c r="A745" s="53">
        <v>1012007</v>
      </c>
      <c r="B745" s="49" t="s">
        <v>338</v>
      </c>
      <c r="C745" s="25">
        <f t="shared" si="594"/>
        <v>7</v>
      </c>
      <c r="D745" s="25">
        <f t="array" ref="D745">INDEX(C$5:C$67,MATCH($B745,$B$5:$B$67,0))</f>
        <v>3960</v>
      </c>
      <c r="E745" s="25">
        <f t="array" ref="E745">INDEX(D$5:D$67,MATCH($B745,$B$5:$B$67,0))</f>
        <v>316.8</v>
      </c>
      <c r="F745" s="25">
        <f t="array" ref="F745">INDEX(E$5:E$67,MATCH($B745,$B$5:$B$67,0))</f>
        <v>734</v>
      </c>
      <c r="G745" s="25">
        <f t="array" ref="G745">INDEX(F$5:F$67,MATCH($B745,$B$5:$B$67,0))</f>
        <v>58.72</v>
      </c>
      <c r="H745" s="25">
        <f t="array" ref="H745">INDEX(G$5:G$66,MATCH($B745,$B$5:$B$67,0))</f>
        <v>918</v>
      </c>
      <c r="I745" s="25">
        <f t="array" ref="I745">INDEX(H$5:H$67,MATCH($B745,$B$5:$B$67,0))</f>
        <v>73.44</v>
      </c>
      <c r="J745" s="25">
        <f t="array" ref="J745">INDEX(I$5:I$67,MATCH($B745,$B$5:$B$67,0))</f>
        <v>924</v>
      </c>
      <c r="K745" s="25">
        <f t="array" ref="K745">INDEX(J$5:J$67,MATCH($B745,$B$5:$B$67,0))</f>
        <v>73.92</v>
      </c>
      <c r="L745" s="25">
        <f t="shared" si="595"/>
        <v>6178</v>
      </c>
      <c r="M745" s="25">
        <f t="shared" si="596"/>
        <v>1145</v>
      </c>
      <c r="N745" s="25">
        <f t="shared" si="597"/>
        <v>1432</v>
      </c>
      <c r="O745" s="25">
        <f t="shared" si="598"/>
        <v>1441</v>
      </c>
      <c r="R745" s="50">
        <v>1036019</v>
      </c>
      <c r="S745" s="51" t="s">
        <v>364</v>
      </c>
      <c r="T745" s="29">
        <f t="shared" si="593"/>
        <v>19</v>
      </c>
      <c r="U745" s="25">
        <f t="array" ref="U745">INDEX(K$5:K$67,MATCH($S745,$B$5:$B$67,0))</f>
        <v>226.63</v>
      </c>
      <c r="V745" s="25">
        <f t="array" ref="V745">INDEX(L$5:L$67,MATCH($S745,$B$5:$B$67,0))</f>
        <v>86.02</v>
      </c>
      <c r="W745" s="25">
        <f t="array" ref="W745">INDEX(M$5:M$67,MATCH($S745,$B$5:$B$67,0))</f>
        <v>107.52</v>
      </c>
      <c r="X745" s="25">
        <f t="array" ref="X745">INDEX(N$5:N$67,MATCH($S745,$B$5:$B$67,0))</f>
        <v>59.5</v>
      </c>
      <c r="Y745" s="25">
        <f t="shared" si="599"/>
        <v>4306</v>
      </c>
      <c r="Z745" s="25">
        <f t="shared" si="600"/>
        <v>1634</v>
      </c>
      <c r="AA745" s="25">
        <f t="shared" si="601"/>
        <v>2043</v>
      </c>
      <c r="AB745" s="25">
        <f t="shared" si="602"/>
        <v>1131</v>
      </c>
    </row>
    <row r="746" spans="1:28">
      <c r="A746" s="53">
        <v>1012008</v>
      </c>
      <c r="B746" s="49" t="s">
        <v>338</v>
      </c>
      <c r="C746" s="25">
        <f t="shared" si="594"/>
        <v>8</v>
      </c>
      <c r="D746" s="25">
        <f t="array" ref="D746">INDEX(C$5:C$67,MATCH($B746,$B$5:$B$67,0))</f>
        <v>3960</v>
      </c>
      <c r="E746" s="25">
        <f t="array" ref="E746">INDEX(D$5:D$67,MATCH($B746,$B$5:$B$67,0))</f>
        <v>316.8</v>
      </c>
      <c r="F746" s="25">
        <f t="array" ref="F746">INDEX(E$5:E$67,MATCH($B746,$B$5:$B$67,0))</f>
        <v>734</v>
      </c>
      <c r="G746" s="25">
        <f t="array" ref="G746">INDEX(F$5:F$67,MATCH($B746,$B$5:$B$67,0))</f>
        <v>58.72</v>
      </c>
      <c r="H746" s="25">
        <f t="array" ref="H746">INDEX(G$5:G$66,MATCH($B746,$B$5:$B$67,0))</f>
        <v>918</v>
      </c>
      <c r="I746" s="25">
        <f t="array" ref="I746">INDEX(H$5:H$67,MATCH($B746,$B$5:$B$67,0))</f>
        <v>73.44</v>
      </c>
      <c r="J746" s="25">
        <f t="array" ref="J746">INDEX(I$5:I$67,MATCH($B746,$B$5:$B$67,0))</f>
        <v>924</v>
      </c>
      <c r="K746" s="25">
        <f t="array" ref="K746">INDEX(J$5:J$67,MATCH($B746,$B$5:$B$67,0))</f>
        <v>73.92</v>
      </c>
      <c r="L746" s="25">
        <f t="shared" si="595"/>
        <v>6494</v>
      </c>
      <c r="M746" s="25">
        <f t="shared" si="596"/>
        <v>1204</v>
      </c>
      <c r="N746" s="25">
        <f t="shared" si="597"/>
        <v>1506</v>
      </c>
      <c r="O746" s="25">
        <f t="shared" si="598"/>
        <v>1515</v>
      </c>
      <c r="R746" s="50">
        <v>1036020</v>
      </c>
      <c r="S746" s="51" t="s">
        <v>364</v>
      </c>
      <c r="T746" s="29">
        <f t="shared" ref="T746:T809" si="603">T719</f>
        <v>20</v>
      </c>
      <c r="U746" s="25">
        <f t="array" ref="U746">INDEX(K$5:K$67,MATCH($S746,$B$5:$B$67,0))</f>
        <v>226.63</v>
      </c>
      <c r="V746" s="25">
        <f t="array" ref="V746">INDEX(L$5:L$67,MATCH($S746,$B$5:$B$67,0))</f>
        <v>86.02</v>
      </c>
      <c r="W746" s="25">
        <f t="array" ref="W746">INDEX(M$5:M$67,MATCH($S746,$B$5:$B$67,0))</f>
        <v>107.52</v>
      </c>
      <c r="X746" s="25">
        <f t="array" ref="X746">INDEX(N$5:N$67,MATCH($S746,$B$5:$B$67,0))</f>
        <v>59.5</v>
      </c>
      <c r="Y746" s="25">
        <f t="shared" si="599"/>
        <v>4533</v>
      </c>
      <c r="Z746" s="25">
        <f t="shared" si="600"/>
        <v>1720</v>
      </c>
      <c r="AA746" s="25">
        <f t="shared" si="601"/>
        <v>2150</v>
      </c>
      <c r="AB746" s="25">
        <f t="shared" si="602"/>
        <v>1190</v>
      </c>
    </row>
    <row r="747" spans="1:28">
      <c r="A747" s="53">
        <v>1012009</v>
      </c>
      <c r="B747" s="49" t="s">
        <v>338</v>
      </c>
      <c r="C747" s="25">
        <f t="shared" si="594"/>
        <v>9</v>
      </c>
      <c r="D747" s="25">
        <f t="array" ref="D747">INDEX(C$5:C$67,MATCH($B747,$B$5:$B$67,0))</f>
        <v>3960</v>
      </c>
      <c r="E747" s="25">
        <f t="array" ref="E747">INDEX(D$5:D$67,MATCH($B747,$B$5:$B$67,0))</f>
        <v>316.8</v>
      </c>
      <c r="F747" s="25">
        <f t="array" ref="F747">INDEX(E$5:E$67,MATCH($B747,$B$5:$B$67,0))</f>
        <v>734</v>
      </c>
      <c r="G747" s="25">
        <f t="array" ref="G747">INDEX(F$5:F$67,MATCH($B747,$B$5:$B$67,0))</f>
        <v>58.72</v>
      </c>
      <c r="H747" s="25">
        <f t="array" ref="H747">INDEX(G$5:G$66,MATCH($B747,$B$5:$B$67,0))</f>
        <v>918</v>
      </c>
      <c r="I747" s="25">
        <f t="array" ref="I747">INDEX(H$5:H$67,MATCH($B747,$B$5:$B$67,0))</f>
        <v>73.44</v>
      </c>
      <c r="J747" s="25">
        <f t="array" ref="J747">INDEX(I$5:I$67,MATCH($B747,$B$5:$B$67,0))</f>
        <v>924</v>
      </c>
      <c r="K747" s="25">
        <f t="array" ref="K747">INDEX(J$5:J$67,MATCH($B747,$B$5:$B$67,0))</f>
        <v>73.92</v>
      </c>
      <c r="L747" s="25">
        <f t="shared" si="595"/>
        <v>6811</v>
      </c>
      <c r="M747" s="25">
        <f t="shared" si="596"/>
        <v>1262</v>
      </c>
      <c r="N747" s="25">
        <f t="shared" si="597"/>
        <v>1579</v>
      </c>
      <c r="O747" s="25">
        <f t="shared" si="598"/>
        <v>1589</v>
      </c>
      <c r="R747" s="50">
        <v>1036021</v>
      </c>
      <c r="S747" s="51" t="s">
        <v>364</v>
      </c>
      <c r="T747" s="29">
        <f t="shared" si="603"/>
        <v>21</v>
      </c>
      <c r="U747" s="25">
        <f t="array" ref="U747">INDEX(K$5:K$67,MATCH($S747,$B$5:$B$67,0))</f>
        <v>226.63</v>
      </c>
      <c r="V747" s="25">
        <f t="array" ref="V747">INDEX(L$5:L$67,MATCH($S747,$B$5:$B$67,0))</f>
        <v>86.02</v>
      </c>
      <c r="W747" s="25">
        <f t="array" ref="W747">INDEX(M$5:M$67,MATCH($S747,$B$5:$B$67,0))</f>
        <v>107.52</v>
      </c>
      <c r="X747" s="25">
        <f t="array" ref="X747">INDEX(N$5:N$67,MATCH($S747,$B$5:$B$67,0))</f>
        <v>59.5</v>
      </c>
      <c r="Y747" s="25">
        <f t="shared" si="599"/>
        <v>4759</v>
      </c>
      <c r="Z747" s="25">
        <f t="shared" si="600"/>
        <v>1806</v>
      </c>
      <c r="AA747" s="25">
        <f t="shared" si="601"/>
        <v>2258</v>
      </c>
      <c r="AB747" s="25">
        <f t="shared" si="602"/>
        <v>1250</v>
      </c>
    </row>
    <row r="748" spans="1:28">
      <c r="A748" s="53">
        <v>1012010</v>
      </c>
      <c r="B748" s="49" t="s">
        <v>338</v>
      </c>
      <c r="C748" s="25">
        <f t="shared" si="594"/>
        <v>10</v>
      </c>
      <c r="D748" s="25">
        <f t="array" ref="D748">INDEX(C$5:C$67,MATCH($B748,$B$5:$B$67,0))</f>
        <v>3960</v>
      </c>
      <c r="E748" s="25">
        <f t="array" ref="E748">INDEX(D$5:D$67,MATCH($B748,$B$5:$B$67,0))</f>
        <v>316.8</v>
      </c>
      <c r="F748" s="25">
        <f t="array" ref="F748">INDEX(E$5:E$67,MATCH($B748,$B$5:$B$67,0))</f>
        <v>734</v>
      </c>
      <c r="G748" s="25">
        <f t="array" ref="G748">INDEX(F$5:F$67,MATCH($B748,$B$5:$B$67,0))</f>
        <v>58.72</v>
      </c>
      <c r="H748" s="25">
        <f t="array" ref="H748">INDEX(G$5:G$66,MATCH($B748,$B$5:$B$67,0))</f>
        <v>918</v>
      </c>
      <c r="I748" s="25">
        <f t="array" ref="I748">INDEX(H$5:H$67,MATCH($B748,$B$5:$B$67,0))</f>
        <v>73.44</v>
      </c>
      <c r="J748" s="25">
        <f t="array" ref="J748">INDEX(I$5:I$67,MATCH($B748,$B$5:$B$67,0))</f>
        <v>924</v>
      </c>
      <c r="K748" s="25">
        <f t="array" ref="K748">INDEX(J$5:J$67,MATCH($B748,$B$5:$B$67,0))</f>
        <v>73.92</v>
      </c>
      <c r="L748" s="25">
        <f t="shared" si="595"/>
        <v>7128</v>
      </c>
      <c r="M748" s="25">
        <f t="shared" si="596"/>
        <v>1321</v>
      </c>
      <c r="N748" s="25">
        <f t="shared" si="597"/>
        <v>1652</v>
      </c>
      <c r="O748" s="25">
        <f t="shared" si="598"/>
        <v>1663</v>
      </c>
      <c r="R748" s="50">
        <v>1036022</v>
      </c>
      <c r="S748" s="51" t="s">
        <v>364</v>
      </c>
      <c r="T748" s="29">
        <f t="shared" si="603"/>
        <v>22</v>
      </c>
      <c r="U748" s="25">
        <f t="array" ref="U748">INDEX(K$5:K$67,MATCH($S748,$B$5:$B$67,0))</f>
        <v>226.63</v>
      </c>
      <c r="V748" s="25">
        <f t="array" ref="V748">INDEX(L$5:L$67,MATCH($S748,$B$5:$B$67,0))</f>
        <v>86.02</v>
      </c>
      <c r="W748" s="25">
        <f t="array" ref="W748">INDEX(M$5:M$67,MATCH($S748,$B$5:$B$67,0))</f>
        <v>107.52</v>
      </c>
      <c r="X748" s="25">
        <f t="array" ref="X748">INDEX(N$5:N$67,MATCH($S748,$B$5:$B$67,0))</f>
        <v>59.5</v>
      </c>
      <c r="Y748" s="25">
        <f t="shared" si="599"/>
        <v>4986</v>
      </c>
      <c r="Z748" s="25">
        <f t="shared" si="600"/>
        <v>1892</v>
      </c>
      <c r="AA748" s="25">
        <f t="shared" si="601"/>
        <v>2365</v>
      </c>
      <c r="AB748" s="25">
        <f t="shared" si="602"/>
        <v>1309</v>
      </c>
    </row>
    <row r="749" spans="1:28">
      <c r="A749" s="53">
        <v>1012011</v>
      </c>
      <c r="B749" s="49" t="s">
        <v>338</v>
      </c>
      <c r="C749" s="25">
        <f t="shared" si="594"/>
        <v>11</v>
      </c>
      <c r="D749" s="25">
        <f t="array" ref="D749">INDEX(C$5:C$67,MATCH($B749,$B$5:$B$67,0))</f>
        <v>3960</v>
      </c>
      <c r="E749" s="25">
        <f t="array" ref="E749">INDEX(D$5:D$67,MATCH($B749,$B$5:$B$67,0))</f>
        <v>316.8</v>
      </c>
      <c r="F749" s="25">
        <f t="array" ref="F749">INDEX(E$5:E$67,MATCH($B749,$B$5:$B$67,0))</f>
        <v>734</v>
      </c>
      <c r="G749" s="25">
        <f t="array" ref="G749">INDEX(F$5:F$67,MATCH($B749,$B$5:$B$67,0))</f>
        <v>58.72</v>
      </c>
      <c r="H749" s="25">
        <f t="array" ref="H749">INDEX(G$5:G$66,MATCH($B749,$B$5:$B$67,0))</f>
        <v>918</v>
      </c>
      <c r="I749" s="25">
        <f t="array" ref="I749">INDEX(H$5:H$67,MATCH($B749,$B$5:$B$67,0))</f>
        <v>73.44</v>
      </c>
      <c r="J749" s="25">
        <f t="array" ref="J749">INDEX(I$5:I$67,MATCH($B749,$B$5:$B$67,0))</f>
        <v>924</v>
      </c>
      <c r="K749" s="25">
        <f t="array" ref="K749">INDEX(J$5:J$67,MATCH($B749,$B$5:$B$67,0))</f>
        <v>73.92</v>
      </c>
      <c r="L749" s="25">
        <f t="shared" si="595"/>
        <v>7445</v>
      </c>
      <c r="M749" s="25">
        <f t="shared" si="596"/>
        <v>1380</v>
      </c>
      <c r="N749" s="25">
        <f t="shared" si="597"/>
        <v>1726</v>
      </c>
      <c r="O749" s="25">
        <f t="shared" si="598"/>
        <v>1737</v>
      </c>
      <c r="R749" s="50">
        <v>1036023</v>
      </c>
      <c r="S749" s="51" t="s">
        <v>364</v>
      </c>
      <c r="T749" s="29">
        <f t="shared" si="603"/>
        <v>23</v>
      </c>
      <c r="U749" s="25">
        <f t="array" ref="U749">INDEX(K$5:K$67,MATCH($S749,$B$5:$B$67,0))</f>
        <v>226.63</v>
      </c>
      <c r="V749" s="25">
        <f t="array" ref="V749">INDEX(L$5:L$67,MATCH($S749,$B$5:$B$67,0))</f>
        <v>86.02</v>
      </c>
      <c r="W749" s="25">
        <f t="array" ref="W749">INDEX(M$5:M$67,MATCH($S749,$B$5:$B$67,0))</f>
        <v>107.52</v>
      </c>
      <c r="X749" s="25">
        <f t="array" ref="X749">INDEX(N$5:N$67,MATCH($S749,$B$5:$B$67,0))</f>
        <v>59.5</v>
      </c>
      <c r="Y749" s="25">
        <f t="shared" si="599"/>
        <v>5212</v>
      </c>
      <c r="Z749" s="25">
        <f t="shared" si="600"/>
        <v>1978</v>
      </c>
      <c r="AA749" s="25">
        <f t="shared" si="601"/>
        <v>2473</v>
      </c>
      <c r="AB749" s="25">
        <f t="shared" si="602"/>
        <v>1369</v>
      </c>
    </row>
    <row r="750" spans="1:28">
      <c r="A750" s="53">
        <v>1012012</v>
      </c>
      <c r="B750" s="49" t="s">
        <v>338</v>
      </c>
      <c r="C750" s="25">
        <f t="shared" si="594"/>
        <v>12</v>
      </c>
      <c r="D750" s="25">
        <f t="array" ref="D750">INDEX(C$5:C$67,MATCH($B750,$B$5:$B$67,0))</f>
        <v>3960</v>
      </c>
      <c r="E750" s="25">
        <f t="array" ref="E750">INDEX(D$5:D$67,MATCH($B750,$B$5:$B$67,0))</f>
        <v>316.8</v>
      </c>
      <c r="F750" s="25">
        <f t="array" ref="F750">INDEX(E$5:E$67,MATCH($B750,$B$5:$B$67,0))</f>
        <v>734</v>
      </c>
      <c r="G750" s="25">
        <f t="array" ref="G750">INDEX(F$5:F$67,MATCH($B750,$B$5:$B$67,0))</f>
        <v>58.72</v>
      </c>
      <c r="H750" s="25">
        <f t="array" ref="H750">INDEX(G$5:G$66,MATCH($B750,$B$5:$B$67,0))</f>
        <v>918</v>
      </c>
      <c r="I750" s="25">
        <f t="array" ref="I750">INDEX(H$5:H$67,MATCH($B750,$B$5:$B$67,0))</f>
        <v>73.44</v>
      </c>
      <c r="J750" s="25">
        <f t="array" ref="J750">INDEX(I$5:I$67,MATCH($B750,$B$5:$B$67,0))</f>
        <v>924</v>
      </c>
      <c r="K750" s="25">
        <f t="array" ref="K750">INDEX(J$5:J$67,MATCH($B750,$B$5:$B$67,0))</f>
        <v>73.92</v>
      </c>
      <c r="L750" s="25">
        <f t="shared" si="595"/>
        <v>7762</v>
      </c>
      <c r="M750" s="25">
        <f t="shared" si="596"/>
        <v>1439</v>
      </c>
      <c r="N750" s="25">
        <f t="shared" si="597"/>
        <v>1799</v>
      </c>
      <c r="O750" s="25">
        <f t="shared" si="598"/>
        <v>1811</v>
      </c>
      <c r="R750" s="50">
        <v>1036024</v>
      </c>
      <c r="S750" s="51" t="s">
        <v>364</v>
      </c>
      <c r="T750" s="29">
        <f t="shared" si="603"/>
        <v>24</v>
      </c>
      <c r="U750" s="25">
        <f t="array" ref="U750">INDEX(K$5:K$67,MATCH($S750,$B$5:$B$67,0))</f>
        <v>226.63</v>
      </c>
      <c r="V750" s="25">
        <f t="array" ref="V750">INDEX(L$5:L$67,MATCH($S750,$B$5:$B$67,0))</f>
        <v>86.02</v>
      </c>
      <c r="W750" s="25">
        <f t="array" ref="W750">INDEX(M$5:M$67,MATCH($S750,$B$5:$B$67,0))</f>
        <v>107.52</v>
      </c>
      <c r="X750" s="25">
        <f t="array" ref="X750">INDEX(N$5:N$67,MATCH($S750,$B$5:$B$67,0))</f>
        <v>59.5</v>
      </c>
      <c r="Y750" s="25">
        <f t="shared" si="599"/>
        <v>5439</v>
      </c>
      <c r="Z750" s="25">
        <f t="shared" si="600"/>
        <v>2064</v>
      </c>
      <c r="AA750" s="25">
        <f t="shared" si="601"/>
        <v>2580</v>
      </c>
      <c r="AB750" s="25">
        <f t="shared" si="602"/>
        <v>1428</v>
      </c>
    </row>
    <row r="751" spans="1:28">
      <c r="A751" s="53">
        <v>1012013</v>
      </c>
      <c r="B751" s="49" t="s">
        <v>338</v>
      </c>
      <c r="C751" s="25">
        <f t="shared" si="594"/>
        <v>13</v>
      </c>
      <c r="D751" s="25">
        <f t="array" ref="D751">INDEX(C$5:C$67,MATCH($B751,$B$5:$B$67,0))</f>
        <v>3960</v>
      </c>
      <c r="E751" s="25">
        <f t="array" ref="E751">INDEX(D$5:D$67,MATCH($B751,$B$5:$B$67,0))</f>
        <v>316.8</v>
      </c>
      <c r="F751" s="25">
        <f t="array" ref="F751">INDEX(E$5:E$67,MATCH($B751,$B$5:$B$67,0))</f>
        <v>734</v>
      </c>
      <c r="G751" s="25">
        <f t="array" ref="G751">INDEX(F$5:F$67,MATCH($B751,$B$5:$B$67,0))</f>
        <v>58.72</v>
      </c>
      <c r="H751" s="25">
        <f t="array" ref="H751">INDEX(G$5:G$66,MATCH($B751,$B$5:$B$67,0))</f>
        <v>918</v>
      </c>
      <c r="I751" s="25">
        <f t="array" ref="I751">INDEX(H$5:H$67,MATCH($B751,$B$5:$B$67,0))</f>
        <v>73.44</v>
      </c>
      <c r="J751" s="25">
        <f t="array" ref="J751">INDEX(I$5:I$67,MATCH($B751,$B$5:$B$67,0))</f>
        <v>924</v>
      </c>
      <c r="K751" s="25">
        <f t="array" ref="K751">INDEX(J$5:J$67,MATCH($B751,$B$5:$B$67,0))</f>
        <v>73.92</v>
      </c>
      <c r="L751" s="25">
        <f t="shared" si="595"/>
        <v>8078</v>
      </c>
      <c r="M751" s="25">
        <f t="shared" si="596"/>
        <v>1497</v>
      </c>
      <c r="N751" s="25">
        <f t="shared" si="597"/>
        <v>1873</v>
      </c>
      <c r="O751" s="25">
        <f t="shared" si="598"/>
        <v>1885</v>
      </c>
      <c r="R751" s="50">
        <v>1036025</v>
      </c>
      <c r="S751" s="51" t="s">
        <v>364</v>
      </c>
      <c r="T751" s="29">
        <f t="shared" si="603"/>
        <v>25</v>
      </c>
      <c r="U751" s="25">
        <f t="array" ref="U751">INDEX(K$5:K$67,MATCH($S751,$B$5:$B$67,0))</f>
        <v>226.63</v>
      </c>
      <c r="V751" s="25">
        <f t="array" ref="V751">INDEX(L$5:L$67,MATCH($S751,$B$5:$B$67,0))</f>
        <v>86.02</v>
      </c>
      <c r="W751" s="25">
        <f t="array" ref="W751">INDEX(M$5:M$67,MATCH($S751,$B$5:$B$67,0))</f>
        <v>107.52</v>
      </c>
      <c r="X751" s="25">
        <f t="array" ref="X751">INDEX(N$5:N$67,MATCH($S751,$B$5:$B$67,0))</f>
        <v>59.5</v>
      </c>
      <c r="Y751" s="25">
        <f t="shared" si="599"/>
        <v>5666</v>
      </c>
      <c r="Z751" s="25">
        <f t="shared" si="600"/>
        <v>2151</v>
      </c>
      <c r="AA751" s="25">
        <f t="shared" si="601"/>
        <v>2688</v>
      </c>
      <c r="AB751" s="25">
        <f t="shared" si="602"/>
        <v>1488</v>
      </c>
    </row>
    <row r="752" spans="1:28">
      <c r="A752" s="53">
        <v>1012014</v>
      </c>
      <c r="B752" s="49" t="s">
        <v>338</v>
      </c>
      <c r="C752" s="25">
        <f t="shared" si="594"/>
        <v>14</v>
      </c>
      <c r="D752" s="25">
        <f t="array" ref="D752">INDEX(C$5:C$67,MATCH($B752,$B$5:$B$67,0))</f>
        <v>3960</v>
      </c>
      <c r="E752" s="25">
        <f t="array" ref="E752">INDEX(D$5:D$67,MATCH($B752,$B$5:$B$67,0))</f>
        <v>316.8</v>
      </c>
      <c r="F752" s="25">
        <f t="array" ref="F752">INDEX(E$5:E$67,MATCH($B752,$B$5:$B$67,0))</f>
        <v>734</v>
      </c>
      <c r="G752" s="25">
        <f t="array" ref="G752">INDEX(F$5:F$67,MATCH($B752,$B$5:$B$67,0))</f>
        <v>58.72</v>
      </c>
      <c r="H752" s="25">
        <f t="array" ref="H752">INDEX(G$5:G$66,MATCH($B752,$B$5:$B$67,0))</f>
        <v>918</v>
      </c>
      <c r="I752" s="25">
        <f t="array" ref="I752">INDEX(H$5:H$67,MATCH($B752,$B$5:$B$67,0))</f>
        <v>73.44</v>
      </c>
      <c r="J752" s="25">
        <f t="array" ref="J752">INDEX(I$5:I$67,MATCH($B752,$B$5:$B$67,0))</f>
        <v>924</v>
      </c>
      <c r="K752" s="25">
        <f t="array" ref="K752">INDEX(J$5:J$67,MATCH($B752,$B$5:$B$67,0))</f>
        <v>73.92</v>
      </c>
      <c r="L752" s="25">
        <f t="shared" si="595"/>
        <v>8395</v>
      </c>
      <c r="M752" s="25">
        <f t="shared" si="596"/>
        <v>1556</v>
      </c>
      <c r="N752" s="25">
        <f t="shared" si="597"/>
        <v>1946</v>
      </c>
      <c r="O752" s="25">
        <f t="shared" si="598"/>
        <v>1959</v>
      </c>
      <c r="R752" s="50">
        <v>1036026</v>
      </c>
      <c r="S752" s="51" t="s">
        <v>364</v>
      </c>
      <c r="T752" s="29">
        <f t="shared" si="603"/>
        <v>26</v>
      </c>
      <c r="U752" s="25">
        <f t="array" ref="U752">INDEX(K$5:K$67,MATCH($S752,$B$5:$B$67,0))</f>
        <v>226.63</v>
      </c>
      <c r="V752" s="25">
        <f t="array" ref="V752">INDEX(L$5:L$67,MATCH($S752,$B$5:$B$67,0))</f>
        <v>86.02</v>
      </c>
      <c r="W752" s="25">
        <f t="array" ref="W752">INDEX(M$5:M$67,MATCH($S752,$B$5:$B$67,0))</f>
        <v>107.52</v>
      </c>
      <c r="X752" s="25">
        <f t="array" ref="X752">INDEX(N$5:N$67,MATCH($S752,$B$5:$B$67,0))</f>
        <v>59.5</v>
      </c>
      <c r="Y752" s="25">
        <f t="shared" si="599"/>
        <v>5892</v>
      </c>
      <c r="Z752" s="25">
        <f t="shared" si="600"/>
        <v>2237</v>
      </c>
      <c r="AA752" s="25">
        <f t="shared" si="601"/>
        <v>2796</v>
      </c>
      <c r="AB752" s="25">
        <f t="shared" si="602"/>
        <v>1547</v>
      </c>
    </row>
    <row r="753" spans="1:28">
      <c r="A753" s="53">
        <v>1012015</v>
      </c>
      <c r="B753" s="49" t="s">
        <v>338</v>
      </c>
      <c r="C753" s="25">
        <f t="shared" si="594"/>
        <v>15</v>
      </c>
      <c r="D753" s="25">
        <f t="array" ref="D753">INDEX(C$5:C$67,MATCH($B753,$B$5:$B$67,0))</f>
        <v>3960</v>
      </c>
      <c r="E753" s="25">
        <f t="array" ref="E753">INDEX(D$5:D$67,MATCH($B753,$B$5:$B$67,0))</f>
        <v>316.8</v>
      </c>
      <c r="F753" s="25">
        <f t="array" ref="F753">INDEX(E$5:E$67,MATCH($B753,$B$5:$B$67,0))</f>
        <v>734</v>
      </c>
      <c r="G753" s="25">
        <f t="array" ref="G753">INDEX(F$5:F$67,MATCH($B753,$B$5:$B$67,0))</f>
        <v>58.72</v>
      </c>
      <c r="H753" s="25">
        <f t="array" ref="H753">INDEX(G$5:G$66,MATCH($B753,$B$5:$B$67,0))</f>
        <v>918</v>
      </c>
      <c r="I753" s="25">
        <f t="array" ref="I753">INDEX(H$5:H$67,MATCH($B753,$B$5:$B$67,0))</f>
        <v>73.44</v>
      </c>
      <c r="J753" s="25">
        <f t="array" ref="J753">INDEX(I$5:I$67,MATCH($B753,$B$5:$B$67,0))</f>
        <v>924</v>
      </c>
      <c r="K753" s="25">
        <f t="array" ref="K753">INDEX(J$5:J$67,MATCH($B753,$B$5:$B$67,0))</f>
        <v>73.92</v>
      </c>
      <c r="L753" s="25">
        <f t="shared" si="595"/>
        <v>8712</v>
      </c>
      <c r="M753" s="25">
        <f t="shared" si="596"/>
        <v>1615</v>
      </c>
      <c r="N753" s="25">
        <f t="shared" si="597"/>
        <v>2020</v>
      </c>
      <c r="O753" s="25">
        <f t="shared" si="598"/>
        <v>2033</v>
      </c>
      <c r="R753" s="50">
        <v>1036027</v>
      </c>
      <c r="S753" s="51" t="s">
        <v>364</v>
      </c>
      <c r="T753" s="29">
        <f t="shared" si="603"/>
        <v>27</v>
      </c>
      <c r="U753" s="25">
        <f t="array" ref="U753">INDEX(K$5:K$67,MATCH($S753,$B$5:$B$67,0))</f>
        <v>226.63</v>
      </c>
      <c r="V753" s="25">
        <f t="array" ref="V753">INDEX(L$5:L$67,MATCH($S753,$B$5:$B$67,0))</f>
        <v>86.02</v>
      </c>
      <c r="W753" s="25">
        <f t="array" ref="W753">INDEX(M$5:M$67,MATCH($S753,$B$5:$B$67,0))</f>
        <v>107.52</v>
      </c>
      <c r="X753" s="25">
        <f t="array" ref="X753">INDEX(N$5:N$67,MATCH($S753,$B$5:$B$67,0))</f>
        <v>59.5</v>
      </c>
      <c r="Y753" s="25">
        <f t="shared" si="599"/>
        <v>6119</v>
      </c>
      <c r="Z753" s="25">
        <f t="shared" si="600"/>
        <v>2323</v>
      </c>
      <c r="AA753" s="25">
        <f t="shared" si="601"/>
        <v>2903</v>
      </c>
      <c r="AB753" s="25">
        <f t="shared" si="602"/>
        <v>1607</v>
      </c>
    </row>
    <row r="754" spans="1:28">
      <c r="A754" s="53">
        <v>1012016</v>
      </c>
      <c r="B754" s="49" t="s">
        <v>338</v>
      </c>
      <c r="C754" s="25">
        <f t="shared" si="594"/>
        <v>16</v>
      </c>
      <c r="D754" s="25">
        <f t="array" ref="D754">INDEX(C$5:C$67,MATCH($B754,$B$5:$B$67,0))</f>
        <v>3960</v>
      </c>
      <c r="E754" s="25">
        <f t="array" ref="E754">INDEX(D$5:D$67,MATCH($B754,$B$5:$B$67,0))</f>
        <v>316.8</v>
      </c>
      <c r="F754" s="25">
        <f t="array" ref="F754">INDEX(E$5:E$67,MATCH($B754,$B$5:$B$67,0))</f>
        <v>734</v>
      </c>
      <c r="G754" s="25">
        <f t="array" ref="G754">INDEX(F$5:F$67,MATCH($B754,$B$5:$B$67,0))</f>
        <v>58.72</v>
      </c>
      <c r="H754" s="25">
        <f t="array" ref="H754">INDEX(G$5:G$66,MATCH($B754,$B$5:$B$67,0))</f>
        <v>918</v>
      </c>
      <c r="I754" s="25">
        <f t="array" ref="I754">INDEX(H$5:H$67,MATCH($B754,$B$5:$B$67,0))</f>
        <v>73.44</v>
      </c>
      <c r="J754" s="25">
        <f t="array" ref="J754">INDEX(I$5:I$67,MATCH($B754,$B$5:$B$67,0))</f>
        <v>924</v>
      </c>
      <c r="K754" s="25">
        <f t="array" ref="K754">INDEX(J$5:J$67,MATCH($B754,$B$5:$B$67,0))</f>
        <v>73.92</v>
      </c>
      <c r="L754" s="25">
        <f t="shared" si="595"/>
        <v>9029</v>
      </c>
      <c r="M754" s="25">
        <f t="shared" si="596"/>
        <v>1674</v>
      </c>
      <c r="N754" s="25">
        <f t="shared" si="597"/>
        <v>2093</v>
      </c>
      <c r="O754" s="25">
        <f t="shared" si="598"/>
        <v>2107</v>
      </c>
      <c r="R754" s="50">
        <v>1037001</v>
      </c>
      <c r="S754" s="51" t="s">
        <v>365</v>
      </c>
      <c r="T754" s="29">
        <f t="shared" si="603"/>
        <v>1</v>
      </c>
      <c r="U754" s="25">
        <f t="array" ref="U754">INDEX(K$5:K$67,MATCH($S754,$B$5:$B$67,0))</f>
        <v>328.77</v>
      </c>
      <c r="V754" s="25">
        <f t="array" ref="V754">INDEX(L$5:L$67,MATCH($S754,$B$5:$B$67,0))</f>
        <v>89.38</v>
      </c>
      <c r="W754" s="25">
        <f t="array" ref="W754">INDEX(M$5:M$67,MATCH($S754,$B$5:$B$67,0))</f>
        <v>64.69</v>
      </c>
      <c r="X754" s="25">
        <f t="array" ref="X754">INDEX(N$5:N$67,MATCH($S754,$B$5:$B$67,0))</f>
        <v>56.53</v>
      </c>
      <c r="Y754" s="25">
        <f t="shared" si="599"/>
        <v>329</v>
      </c>
      <c r="Z754" s="25">
        <f t="shared" si="600"/>
        <v>89</v>
      </c>
      <c r="AA754" s="25">
        <f t="shared" si="601"/>
        <v>65</v>
      </c>
      <c r="AB754" s="25">
        <f t="shared" si="602"/>
        <v>57</v>
      </c>
    </row>
    <row r="755" spans="1:28">
      <c r="A755" s="53">
        <v>1012017</v>
      </c>
      <c r="B755" s="49" t="s">
        <v>338</v>
      </c>
      <c r="C755" s="25">
        <f t="shared" si="594"/>
        <v>17</v>
      </c>
      <c r="D755" s="25">
        <f t="array" ref="D755">INDEX(C$5:C$67,MATCH($B755,$B$5:$B$67,0))</f>
        <v>3960</v>
      </c>
      <c r="E755" s="25">
        <f t="array" ref="E755">INDEX(D$5:D$67,MATCH($B755,$B$5:$B$67,0))</f>
        <v>316.8</v>
      </c>
      <c r="F755" s="25">
        <f t="array" ref="F755">INDEX(E$5:E$67,MATCH($B755,$B$5:$B$67,0))</f>
        <v>734</v>
      </c>
      <c r="G755" s="25">
        <f t="array" ref="G755">INDEX(F$5:F$67,MATCH($B755,$B$5:$B$67,0))</f>
        <v>58.72</v>
      </c>
      <c r="H755" s="25">
        <f t="array" ref="H755">INDEX(G$5:G$66,MATCH($B755,$B$5:$B$67,0))</f>
        <v>918</v>
      </c>
      <c r="I755" s="25">
        <f t="array" ref="I755">INDEX(H$5:H$67,MATCH($B755,$B$5:$B$67,0))</f>
        <v>73.44</v>
      </c>
      <c r="J755" s="25">
        <f t="array" ref="J755">INDEX(I$5:I$67,MATCH($B755,$B$5:$B$67,0))</f>
        <v>924</v>
      </c>
      <c r="K755" s="25">
        <f t="array" ref="K755">INDEX(J$5:J$67,MATCH($B755,$B$5:$B$67,0))</f>
        <v>73.92</v>
      </c>
      <c r="L755" s="25">
        <f t="shared" si="595"/>
        <v>9346</v>
      </c>
      <c r="M755" s="25">
        <f t="shared" si="596"/>
        <v>1732</v>
      </c>
      <c r="N755" s="25">
        <f t="shared" si="597"/>
        <v>2166</v>
      </c>
      <c r="O755" s="25">
        <f t="shared" si="598"/>
        <v>2181</v>
      </c>
      <c r="R755" s="50">
        <v>1037002</v>
      </c>
      <c r="S755" s="51" t="s">
        <v>365</v>
      </c>
      <c r="T755" s="29">
        <f t="shared" si="603"/>
        <v>2</v>
      </c>
      <c r="U755" s="25">
        <f t="array" ref="U755">INDEX(K$5:K$67,MATCH($S755,$B$5:$B$67,0))</f>
        <v>328.77</v>
      </c>
      <c r="V755" s="25">
        <f t="array" ref="V755">INDEX(L$5:L$67,MATCH($S755,$B$5:$B$67,0))</f>
        <v>89.38</v>
      </c>
      <c r="W755" s="25">
        <f t="array" ref="W755">INDEX(M$5:M$67,MATCH($S755,$B$5:$B$67,0))</f>
        <v>64.69</v>
      </c>
      <c r="X755" s="25">
        <f t="array" ref="X755">INDEX(N$5:N$67,MATCH($S755,$B$5:$B$67,0))</f>
        <v>56.53</v>
      </c>
      <c r="Y755" s="25">
        <f t="shared" si="599"/>
        <v>658</v>
      </c>
      <c r="Z755" s="25">
        <f t="shared" si="600"/>
        <v>179</v>
      </c>
      <c r="AA755" s="25">
        <f t="shared" si="601"/>
        <v>129</v>
      </c>
      <c r="AB755" s="25">
        <f t="shared" si="602"/>
        <v>113</v>
      </c>
    </row>
    <row r="756" spans="1:28">
      <c r="A756" s="53">
        <v>1012018</v>
      </c>
      <c r="B756" s="49" t="s">
        <v>338</v>
      </c>
      <c r="C756" s="25">
        <f t="shared" si="594"/>
        <v>18</v>
      </c>
      <c r="D756" s="25">
        <f t="array" ref="D756">INDEX(C$5:C$67,MATCH($B756,$B$5:$B$67,0))</f>
        <v>3960</v>
      </c>
      <c r="E756" s="25">
        <f t="array" ref="E756">INDEX(D$5:D$67,MATCH($B756,$B$5:$B$67,0))</f>
        <v>316.8</v>
      </c>
      <c r="F756" s="25">
        <f t="array" ref="F756">INDEX(E$5:E$67,MATCH($B756,$B$5:$B$67,0))</f>
        <v>734</v>
      </c>
      <c r="G756" s="25">
        <f t="array" ref="G756">INDEX(F$5:F$67,MATCH($B756,$B$5:$B$67,0))</f>
        <v>58.72</v>
      </c>
      <c r="H756" s="25">
        <f t="array" ref="H756">INDEX(G$5:G$66,MATCH($B756,$B$5:$B$67,0))</f>
        <v>918</v>
      </c>
      <c r="I756" s="25">
        <f t="array" ref="I756">INDEX(H$5:H$67,MATCH($B756,$B$5:$B$67,0))</f>
        <v>73.44</v>
      </c>
      <c r="J756" s="25">
        <f t="array" ref="J756">INDEX(I$5:I$67,MATCH($B756,$B$5:$B$67,0))</f>
        <v>924</v>
      </c>
      <c r="K756" s="25">
        <f t="array" ref="K756">INDEX(J$5:J$67,MATCH($B756,$B$5:$B$67,0))</f>
        <v>73.92</v>
      </c>
      <c r="L756" s="25">
        <f t="shared" si="595"/>
        <v>9662</v>
      </c>
      <c r="M756" s="25">
        <f t="shared" si="596"/>
        <v>1791</v>
      </c>
      <c r="N756" s="25">
        <f t="shared" si="597"/>
        <v>2240</v>
      </c>
      <c r="O756" s="25">
        <f t="shared" si="598"/>
        <v>2255</v>
      </c>
      <c r="R756" s="50">
        <v>1037003</v>
      </c>
      <c r="S756" s="51" t="s">
        <v>365</v>
      </c>
      <c r="T756" s="29">
        <f t="shared" si="603"/>
        <v>3</v>
      </c>
      <c r="U756" s="25">
        <f t="array" ref="U756">INDEX(K$5:K$67,MATCH($S756,$B$5:$B$67,0))</f>
        <v>328.77</v>
      </c>
      <c r="V756" s="25">
        <f t="array" ref="V756">INDEX(L$5:L$67,MATCH($S756,$B$5:$B$67,0))</f>
        <v>89.38</v>
      </c>
      <c r="W756" s="25">
        <f t="array" ref="W756">INDEX(M$5:M$67,MATCH($S756,$B$5:$B$67,0))</f>
        <v>64.69</v>
      </c>
      <c r="X756" s="25">
        <f t="array" ref="X756">INDEX(N$5:N$67,MATCH($S756,$B$5:$B$67,0))</f>
        <v>56.53</v>
      </c>
      <c r="Y756" s="25">
        <f t="shared" si="599"/>
        <v>986</v>
      </c>
      <c r="Z756" s="25">
        <f t="shared" si="600"/>
        <v>268</v>
      </c>
      <c r="AA756" s="25">
        <f t="shared" si="601"/>
        <v>194</v>
      </c>
      <c r="AB756" s="25">
        <f t="shared" si="602"/>
        <v>170</v>
      </c>
    </row>
    <row r="757" spans="1:28">
      <c r="A757" s="53">
        <v>1012019</v>
      </c>
      <c r="B757" s="49" t="s">
        <v>338</v>
      </c>
      <c r="C757" s="25">
        <f t="shared" si="594"/>
        <v>19</v>
      </c>
      <c r="D757" s="25">
        <f t="array" ref="D757">INDEX(C$5:C$67,MATCH($B757,$B$5:$B$67,0))</f>
        <v>3960</v>
      </c>
      <c r="E757" s="25">
        <f t="array" ref="E757">INDEX(D$5:D$67,MATCH($B757,$B$5:$B$67,0))</f>
        <v>316.8</v>
      </c>
      <c r="F757" s="25">
        <f t="array" ref="F757">INDEX(E$5:E$67,MATCH($B757,$B$5:$B$67,0))</f>
        <v>734</v>
      </c>
      <c r="G757" s="25">
        <f t="array" ref="G757">INDEX(F$5:F$67,MATCH($B757,$B$5:$B$67,0))</f>
        <v>58.72</v>
      </c>
      <c r="H757" s="25">
        <f t="array" ref="H757">INDEX(G$5:G$66,MATCH($B757,$B$5:$B$67,0))</f>
        <v>918</v>
      </c>
      <c r="I757" s="25">
        <f t="array" ref="I757">INDEX(H$5:H$67,MATCH($B757,$B$5:$B$67,0))</f>
        <v>73.44</v>
      </c>
      <c r="J757" s="25">
        <f t="array" ref="J757">INDEX(I$5:I$67,MATCH($B757,$B$5:$B$67,0))</f>
        <v>924</v>
      </c>
      <c r="K757" s="25">
        <f t="array" ref="K757">INDEX(J$5:J$67,MATCH($B757,$B$5:$B$67,0))</f>
        <v>73.92</v>
      </c>
      <c r="L757" s="25">
        <f t="shared" si="595"/>
        <v>9979</v>
      </c>
      <c r="M757" s="25">
        <f t="shared" si="596"/>
        <v>1850</v>
      </c>
      <c r="N757" s="25">
        <f t="shared" si="597"/>
        <v>2313</v>
      </c>
      <c r="O757" s="25">
        <f t="shared" si="598"/>
        <v>2328</v>
      </c>
      <c r="R757" s="50">
        <v>1037004</v>
      </c>
      <c r="S757" s="51" t="s">
        <v>365</v>
      </c>
      <c r="T757" s="29">
        <f t="shared" si="603"/>
        <v>4</v>
      </c>
      <c r="U757" s="25">
        <f t="array" ref="U757">INDEX(K$5:K$67,MATCH($S757,$B$5:$B$67,0))</f>
        <v>328.77</v>
      </c>
      <c r="V757" s="25">
        <f t="array" ref="V757">INDEX(L$5:L$67,MATCH($S757,$B$5:$B$67,0))</f>
        <v>89.38</v>
      </c>
      <c r="W757" s="25">
        <f t="array" ref="W757">INDEX(M$5:M$67,MATCH($S757,$B$5:$B$67,0))</f>
        <v>64.69</v>
      </c>
      <c r="X757" s="25">
        <f t="array" ref="X757">INDEX(N$5:N$67,MATCH($S757,$B$5:$B$67,0))</f>
        <v>56.53</v>
      </c>
      <c r="Y757" s="25">
        <f t="shared" si="599"/>
        <v>1315</v>
      </c>
      <c r="Z757" s="25">
        <f t="shared" si="600"/>
        <v>358</v>
      </c>
      <c r="AA757" s="25">
        <f t="shared" si="601"/>
        <v>259</v>
      </c>
      <c r="AB757" s="25">
        <f t="shared" si="602"/>
        <v>226</v>
      </c>
    </row>
    <row r="758" spans="1:28">
      <c r="A758" s="53">
        <v>1012020</v>
      </c>
      <c r="B758" s="49" t="s">
        <v>338</v>
      </c>
      <c r="C758" s="25">
        <f t="shared" si="594"/>
        <v>20</v>
      </c>
      <c r="D758" s="25">
        <f t="array" ref="D758">INDEX(C$5:C$67,MATCH($B758,$B$5:$B$67,0))</f>
        <v>3960</v>
      </c>
      <c r="E758" s="25">
        <f t="array" ref="E758">INDEX(D$5:D$67,MATCH($B758,$B$5:$B$67,0))</f>
        <v>316.8</v>
      </c>
      <c r="F758" s="25">
        <f t="array" ref="F758">INDEX(E$5:E$67,MATCH($B758,$B$5:$B$67,0))</f>
        <v>734</v>
      </c>
      <c r="G758" s="25">
        <f t="array" ref="G758">INDEX(F$5:F$67,MATCH($B758,$B$5:$B$67,0))</f>
        <v>58.72</v>
      </c>
      <c r="H758" s="25">
        <f t="array" ref="H758">INDEX(G$5:G$66,MATCH($B758,$B$5:$B$67,0))</f>
        <v>918</v>
      </c>
      <c r="I758" s="25">
        <f t="array" ref="I758">INDEX(H$5:H$67,MATCH($B758,$B$5:$B$67,0))</f>
        <v>73.44</v>
      </c>
      <c r="J758" s="25">
        <f t="array" ref="J758">INDEX(I$5:I$67,MATCH($B758,$B$5:$B$67,0))</f>
        <v>924</v>
      </c>
      <c r="K758" s="25">
        <f t="array" ref="K758">INDEX(J$5:J$67,MATCH($B758,$B$5:$B$67,0))</f>
        <v>73.92</v>
      </c>
      <c r="L758" s="25">
        <f t="shared" si="595"/>
        <v>10296</v>
      </c>
      <c r="M758" s="25">
        <f t="shared" si="596"/>
        <v>1908</v>
      </c>
      <c r="N758" s="25">
        <f t="shared" si="597"/>
        <v>2387</v>
      </c>
      <c r="O758" s="25">
        <f t="shared" si="598"/>
        <v>2402</v>
      </c>
      <c r="R758" s="50">
        <v>1037005</v>
      </c>
      <c r="S758" s="51" t="s">
        <v>365</v>
      </c>
      <c r="T758" s="29">
        <f t="shared" si="603"/>
        <v>5</v>
      </c>
      <c r="U758" s="25">
        <f t="array" ref="U758">INDEX(K$5:K$67,MATCH($S758,$B$5:$B$67,0))</f>
        <v>328.77</v>
      </c>
      <c r="V758" s="25">
        <f t="array" ref="V758">INDEX(L$5:L$67,MATCH($S758,$B$5:$B$67,0))</f>
        <v>89.38</v>
      </c>
      <c r="W758" s="25">
        <f t="array" ref="W758">INDEX(M$5:M$67,MATCH($S758,$B$5:$B$67,0))</f>
        <v>64.69</v>
      </c>
      <c r="X758" s="25">
        <f t="array" ref="X758">INDEX(N$5:N$67,MATCH($S758,$B$5:$B$67,0))</f>
        <v>56.53</v>
      </c>
      <c r="Y758" s="25">
        <f t="shared" si="599"/>
        <v>1644</v>
      </c>
      <c r="Z758" s="25">
        <f t="shared" si="600"/>
        <v>447</v>
      </c>
      <c r="AA758" s="25">
        <f t="shared" si="601"/>
        <v>323</v>
      </c>
      <c r="AB758" s="25">
        <f t="shared" si="602"/>
        <v>283</v>
      </c>
    </row>
    <row r="759" spans="1:28">
      <c r="A759" s="53">
        <v>1012021</v>
      </c>
      <c r="B759" s="49" t="s">
        <v>338</v>
      </c>
      <c r="C759" s="25">
        <f t="shared" si="594"/>
        <v>21</v>
      </c>
      <c r="D759" s="25">
        <f t="array" ref="D759">INDEX(C$5:C$67,MATCH($B759,$B$5:$B$67,0))</f>
        <v>3960</v>
      </c>
      <c r="E759" s="25">
        <f t="array" ref="E759">INDEX(D$5:D$67,MATCH($B759,$B$5:$B$67,0))</f>
        <v>316.8</v>
      </c>
      <c r="F759" s="25">
        <f t="array" ref="F759">INDEX(E$5:E$67,MATCH($B759,$B$5:$B$67,0))</f>
        <v>734</v>
      </c>
      <c r="G759" s="25">
        <f t="array" ref="G759">INDEX(F$5:F$67,MATCH($B759,$B$5:$B$67,0))</f>
        <v>58.72</v>
      </c>
      <c r="H759" s="25">
        <f t="array" ref="H759">INDEX(G$5:G$66,MATCH($B759,$B$5:$B$67,0))</f>
        <v>918</v>
      </c>
      <c r="I759" s="25">
        <f t="array" ref="I759">INDEX(H$5:H$67,MATCH($B759,$B$5:$B$67,0))</f>
        <v>73.44</v>
      </c>
      <c r="J759" s="25">
        <f t="array" ref="J759">INDEX(I$5:I$67,MATCH($B759,$B$5:$B$67,0))</f>
        <v>924</v>
      </c>
      <c r="K759" s="25">
        <f t="array" ref="K759">INDEX(J$5:J$67,MATCH($B759,$B$5:$B$67,0))</f>
        <v>73.92</v>
      </c>
      <c r="L759" s="25">
        <f t="shared" si="595"/>
        <v>10613</v>
      </c>
      <c r="M759" s="25">
        <f t="shared" si="596"/>
        <v>1967</v>
      </c>
      <c r="N759" s="25">
        <f t="shared" si="597"/>
        <v>2460</v>
      </c>
      <c r="O759" s="25">
        <f t="shared" si="598"/>
        <v>2476</v>
      </c>
      <c r="R759" s="50">
        <v>1037006</v>
      </c>
      <c r="S759" s="51" t="s">
        <v>365</v>
      </c>
      <c r="T759" s="29">
        <f t="shared" si="603"/>
        <v>6</v>
      </c>
      <c r="U759" s="25">
        <f t="array" ref="U759">INDEX(K$5:K$67,MATCH($S759,$B$5:$B$67,0))</f>
        <v>328.77</v>
      </c>
      <c r="V759" s="25">
        <f t="array" ref="V759">INDEX(L$5:L$67,MATCH($S759,$B$5:$B$67,0))</f>
        <v>89.38</v>
      </c>
      <c r="W759" s="25">
        <f t="array" ref="W759">INDEX(M$5:M$67,MATCH($S759,$B$5:$B$67,0))</f>
        <v>64.69</v>
      </c>
      <c r="X759" s="25">
        <f t="array" ref="X759">INDEX(N$5:N$67,MATCH($S759,$B$5:$B$67,0))</f>
        <v>56.53</v>
      </c>
      <c r="Y759" s="25">
        <f t="shared" si="599"/>
        <v>1973</v>
      </c>
      <c r="Z759" s="25">
        <f t="shared" si="600"/>
        <v>536</v>
      </c>
      <c r="AA759" s="25">
        <f t="shared" si="601"/>
        <v>388</v>
      </c>
      <c r="AB759" s="25">
        <f t="shared" si="602"/>
        <v>339</v>
      </c>
    </row>
    <row r="760" spans="1:28">
      <c r="A760" s="53">
        <v>1012022</v>
      </c>
      <c r="B760" s="49" t="s">
        <v>338</v>
      </c>
      <c r="C760" s="25">
        <f t="shared" si="594"/>
        <v>22</v>
      </c>
      <c r="D760" s="25">
        <f t="array" ref="D760">INDEX(C$5:C$67,MATCH($B760,$B$5:$B$67,0))</f>
        <v>3960</v>
      </c>
      <c r="E760" s="25">
        <f t="array" ref="E760">INDEX(D$5:D$67,MATCH($B760,$B$5:$B$67,0))</f>
        <v>316.8</v>
      </c>
      <c r="F760" s="25">
        <f t="array" ref="F760">INDEX(E$5:E$67,MATCH($B760,$B$5:$B$67,0))</f>
        <v>734</v>
      </c>
      <c r="G760" s="25">
        <f t="array" ref="G760">INDEX(F$5:F$67,MATCH($B760,$B$5:$B$67,0))</f>
        <v>58.72</v>
      </c>
      <c r="H760" s="25">
        <f t="array" ref="H760">INDEX(G$5:G$66,MATCH($B760,$B$5:$B$67,0))</f>
        <v>918</v>
      </c>
      <c r="I760" s="25">
        <f t="array" ref="I760">INDEX(H$5:H$67,MATCH($B760,$B$5:$B$67,0))</f>
        <v>73.44</v>
      </c>
      <c r="J760" s="25">
        <f t="array" ref="J760">INDEX(I$5:I$67,MATCH($B760,$B$5:$B$67,0))</f>
        <v>924</v>
      </c>
      <c r="K760" s="25">
        <f t="array" ref="K760">INDEX(J$5:J$67,MATCH($B760,$B$5:$B$67,0))</f>
        <v>73.92</v>
      </c>
      <c r="L760" s="25">
        <f t="shared" si="595"/>
        <v>10930</v>
      </c>
      <c r="M760" s="25">
        <f t="shared" si="596"/>
        <v>2026</v>
      </c>
      <c r="N760" s="25">
        <f t="shared" si="597"/>
        <v>2534</v>
      </c>
      <c r="O760" s="25">
        <f t="shared" si="598"/>
        <v>2550</v>
      </c>
      <c r="R760" s="50">
        <v>1037007</v>
      </c>
      <c r="S760" s="51" t="s">
        <v>365</v>
      </c>
      <c r="T760" s="29">
        <f t="shared" si="603"/>
        <v>7</v>
      </c>
      <c r="U760" s="25">
        <f t="array" ref="U760">INDEX(K$5:K$67,MATCH($S760,$B$5:$B$67,0))</f>
        <v>328.77</v>
      </c>
      <c r="V760" s="25">
        <f t="array" ref="V760">INDEX(L$5:L$67,MATCH($S760,$B$5:$B$67,0))</f>
        <v>89.38</v>
      </c>
      <c r="W760" s="25">
        <f t="array" ref="W760">INDEX(M$5:M$67,MATCH($S760,$B$5:$B$67,0))</f>
        <v>64.69</v>
      </c>
      <c r="X760" s="25">
        <f t="array" ref="X760">INDEX(N$5:N$67,MATCH($S760,$B$5:$B$67,0))</f>
        <v>56.53</v>
      </c>
      <c r="Y760" s="25">
        <f t="shared" si="599"/>
        <v>2301</v>
      </c>
      <c r="Z760" s="25">
        <f t="shared" si="600"/>
        <v>626</v>
      </c>
      <c r="AA760" s="25">
        <f t="shared" si="601"/>
        <v>453</v>
      </c>
      <c r="AB760" s="25">
        <f t="shared" si="602"/>
        <v>396</v>
      </c>
    </row>
    <row r="761" spans="1:28">
      <c r="A761" s="53">
        <v>1012023</v>
      </c>
      <c r="B761" s="49" t="s">
        <v>338</v>
      </c>
      <c r="C761" s="25">
        <f t="shared" si="594"/>
        <v>23</v>
      </c>
      <c r="D761" s="25">
        <f t="array" ref="D761">INDEX(C$5:C$67,MATCH($B761,$B$5:$B$67,0))</f>
        <v>3960</v>
      </c>
      <c r="E761" s="25">
        <f t="array" ref="E761">INDEX(D$5:D$67,MATCH($B761,$B$5:$B$67,0))</f>
        <v>316.8</v>
      </c>
      <c r="F761" s="25">
        <f t="array" ref="F761">INDEX(E$5:E$67,MATCH($B761,$B$5:$B$67,0))</f>
        <v>734</v>
      </c>
      <c r="G761" s="25">
        <f t="array" ref="G761">INDEX(F$5:F$67,MATCH($B761,$B$5:$B$67,0))</f>
        <v>58.72</v>
      </c>
      <c r="H761" s="25">
        <f t="array" ref="H761">INDEX(G$5:G$66,MATCH($B761,$B$5:$B$67,0))</f>
        <v>918</v>
      </c>
      <c r="I761" s="25">
        <f t="array" ref="I761">INDEX(H$5:H$67,MATCH($B761,$B$5:$B$67,0))</f>
        <v>73.44</v>
      </c>
      <c r="J761" s="25">
        <f t="array" ref="J761">INDEX(I$5:I$67,MATCH($B761,$B$5:$B$67,0))</f>
        <v>924</v>
      </c>
      <c r="K761" s="25">
        <f t="array" ref="K761">INDEX(J$5:J$67,MATCH($B761,$B$5:$B$67,0))</f>
        <v>73.92</v>
      </c>
      <c r="L761" s="25">
        <f t="shared" si="595"/>
        <v>11246</v>
      </c>
      <c r="M761" s="25">
        <f t="shared" si="596"/>
        <v>2085</v>
      </c>
      <c r="N761" s="25">
        <f t="shared" si="597"/>
        <v>2607</v>
      </c>
      <c r="O761" s="25">
        <f t="shared" si="598"/>
        <v>2624</v>
      </c>
      <c r="R761" s="50">
        <v>1037008</v>
      </c>
      <c r="S761" s="51" t="s">
        <v>365</v>
      </c>
      <c r="T761" s="29">
        <f t="shared" si="603"/>
        <v>8</v>
      </c>
      <c r="U761" s="25">
        <f t="array" ref="U761">INDEX(K$5:K$67,MATCH($S761,$B$5:$B$67,0))</f>
        <v>328.77</v>
      </c>
      <c r="V761" s="25">
        <f t="array" ref="V761">INDEX(L$5:L$67,MATCH($S761,$B$5:$B$67,0))</f>
        <v>89.38</v>
      </c>
      <c r="W761" s="25">
        <f t="array" ref="W761">INDEX(M$5:M$67,MATCH($S761,$B$5:$B$67,0))</f>
        <v>64.69</v>
      </c>
      <c r="X761" s="25">
        <f t="array" ref="X761">INDEX(N$5:N$67,MATCH($S761,$B$5:$B$67,0))</f>
        <v>56.53</v>
      </c>
      <c r="Y761" s="25">
        <f t="shared" si="599"/>
        <v>2630</v>
      </c>
      <c r="Z761" s="25">
        <f t="shared" si="600"/>
        <v>715</v>
      </c>
      <c r="AA761" s="25">
        <f t="shared" si="601"/>
        <v>518</v>
      </c>
      <c r="AB761" s="25">
        <f t="shared" si="602"/>
        <v>452</v>
      </c>
    </row>
    <row r="762" spans="1:28">
      <c r="A762" s="53">
        <v>1012024</v>
      </c>
      <c r="B762" s="49" t="s">
        <v>338</v>
      </c>
      <c r="C762" s="25">
        <f t="shared" si="594"/>
        <v>24</v>
      </c>
      <c r="D762" s="25">
        <f t="array" ref="D762">INDEX(C$5:C$67,MATCH($B762,$B$5:$B$67,0))</f>
        <v>3960</v>
      </c>
      <c r="E762" s="25">
        <f t="array" ref="E762">INDEX(D$5:D$67,MATCH($B762,$B$5:$B$67,0))</f>
        <v>316.8</v>
      </c>
      <c r="F762" s="25">
        <f t="array" ref="F762">INDEX(E$5:E$67,MATCH($B762,$B$5:$B$67,0))</f>
        <v>734</v>
      </c>
      <c r="G762" s="25">
        <f t="array" ref="G762">INDEX(F$5:F$67,MATCH($B762,$B$5:$B$67,0))</f>
        <v>58.72</v>
      </c>
      <c r="H762" s="25">
        <f t="array" ref="H762">INDEX(G$5:G$66,MATCH($B762,$B$5:$B$67,0))</f>
        <v>918</v>
      </c>
      <c r="I762" s="25">
        <f t="array" ref="I762">INDEX(H$5:H$67,MATCH($B762,$B$5:$B$67,0))</f>
        <v>73.44</v>
      </c>
      <c r="J762" s="25">
        <f t="array" ref="J762">INDEX(I$5:I$67,MATCH($B762,$B$5:$B$67,0))</f>
        <v>924</v>
      </c>
      <c r="K762" s="25">
        <f t="array" ref="K762">INDEX(J$5:J$67,MATCH($B762,$B$5:$B$67,0))</f>
        <v>73.92</v>
      </c>
      <c r="L762" s="25">
        <f t="shared" si="595"/>
        <v>11563</v>
      </c>
      <c r="M762" s="25">
        <f t="shared" si="596"/>
        <v>2143</v>
      </c>
      <c r="N762" s="25">
        <f t="shared" si="597"/>
        <v>2681</v>
      </c>
      <c r="O762" s="25">
        <f t="shared" si="598"/>
        <v>2698</v>
      </c>
      <c r="R762" s="50">
        <v>1037009</v>
      </c>
      <c r="S762" s="51" t="s">
        <v>365</v>
      </c>
      <c r="T762" s="29">
        <f t="shared" si="603"/>
        <v>9</v>
      </c>
      <c r="U762" s="25">
        <f t="array" ref="U762">INDEX(K$5:K$67,MATCH($S762,$B$5:$B$67,0))</f>
        <v>328.77</v>
      </c>
      <c r="V762" s="25">
        <f t="array" ref="V762">INDEX(L$5:L$67,MATCH($S762,$B$5:$B$67,0))</f>
        <v>89.38</v>
      </c>
      <c r="W762" s="25">
        <f t="array" ref="W762">INDEX(M$5:M$67,MATCH($S762,$B$5:$B$67,0))</f>
        <v>64.69</v>
      </c>
      <c r="X762" s="25">
        <f t="array" ref="X762">INDEX(N$5:N$67,MATCH($S762,$B$5:$B$67,0))</f>
        <v>56.53</v>
      </c>
      <c r="Y762" s="25">
        <f t="shared" si="599"/>
        <v>2959</v>
      </c>
      <c r="Z762" s="25">
        <f t="shared" si="600"/>
        <v>804</v>
      </c>
      <c r="AA762" s="25">
        <f t="shared" si="601"/>
        <v>582</v>
      </c>
      <c r="AB762" s="25">
        <f t="shared" si="602"/>
        <v>509</v>
      </c>
    </row>
    <row r="763" spans="1:28">
      <c r="A763" s="53">
        <v>1012025</v>
      </c>
      <c r="B763" s="49" t="s">
        <v>338</v>
      </c>
      <c r="C763" s="25">
        <f t="shared" si="594"/>
        <v>25</v>
      </c>
      <c r="D763" s="25">
        <f t="array" ref="D763">INDEX(C$5:C$67,MATCH($B763,$B$5:$B$67,0))</f>
        <v>3960</v>
      </c>
      <c r="E763" s="25">
        <f t="array" ref="E763">INDEX(D$5:D$67,MATCH($B763,$B$5:$B$67,0))</f>
        <v>316.8</v>
      </c>
      <c r="F763" s="25">
        <f t="array" ref="F763">INDEX(E$5:E$67,MATCH($B763,$B$5:$B$67,0))</f>
        <v>734</v>
      </c>
      <c r="G763" s="25">
        <f t="array" ref="G763">INDEX(F$5:F$67,MATCH($B763,$B$5:$B$67,0))</f>
        <v>58.72</v>
      </c>
      <c r="H763" s="25">
        <f t="array" ref="H763">INDEX(G$5:G$66,MATCH($B763,$B$5:$B$67,0))</f>
        <v>918</v>
      </c>
      <c r="I763" s="25">
        <f t="array" ref="I763">INDEX(H$5:H$67,MATCH($B763,$B$5:$B$67,0))</f>
        <v>73.44</v>
      </c>
      <c r="J763" s="25">
        <f t="array" ref="J763">INDEX(I$5:I$67,MATCH($B763,$B$5:$B$67,0))</f>
        <v>924</v>
      </c>
      <c r="K763" s="25">
        <f t="array" ref="K763">INDEX(J$5:J$67,MATCH($B763,$B$5:$B$67,0))</f>
        <v>73.92</v>
      </c>
      <c r="L763" s="25">
        <f t="shared" si="595"/>
        <v>11880</v>
      </c>
      <c r="M763" s="25">
        <f t="shared" si="596"/>
        <v>2202</v>
      </c>
      <c r="N763" s="25">
        <f t="shared" si="597"/>
        <v>2754</v>
      </c>
      <c r="O763" s="25">
        <f t="shared" si="598"/>
        <v>2772</v>
      </c>
      <c r="R763" s="50">
        <v>1037010</v>
      </c>
      <c r="S763" s="51" t="s">
        <v>365</v>
      </c>
      <c r="T763" s="29">
        <f t="shared" si="603"/>
        <v>10</v>
      </c>
      <c r="U763" s="25">
        <f t="array" ref="U763">INDEX(K$5:K$67,MATCH($S763,$B$5:$B$67,0))</f>
        <v>328.77</v>
      </c>
      <c r="V763" s="25">
        <f t="array" ref="V763">INDEX(L$5:L$67,MATCH($S763,$B$5:$B$67,0))</f>
        <v>89.38</v>
      </c>
      <c r="W763" s="25">
        <f t="array" ref="W763">INDEX(M$5:M$67,MATCH($S763,$B$5:$B$67,0))</f>
        <v>64.69</v>
      </c>
      <c r="X763" s="25">
        <f t="array" ref="X763">INDEX(N$5:N$67,MATCH($S763,$B$5:$B$67,0))</f>
        <v>56.53</v>
      </c>
      <c r="Y763" s="25">
        <f t="shared" si="599"/>
        <v>3288</v>
      </c>
      <c r="Z763" s="25">
        <f t="shared" si="600"/>
        <v>894</v>
      </c>
      <c r="AA763" s="25">
        <f t="shared" si="601"/>
        <v>647</v>
      </c>
      <c r="AB763" s="25">
        <f t="shared" si="602"/>
        <v>565</v>
      </c>
    </row>
    <row r="764" spans="1:28">
      <c r="A764" s="53">
        <v>1012026</v>
      </c>
      <c r="B764" s="49" t="s">
        <v>338</v>
      </c>
      <c r="C764" s="25">
        <f t="shared" si="594"/>
        <v>26</v>
      </c>
      <c r="D764" s="25">
        <f t="array" ref="D764">INDEX(C$5:C$67,MATCH($B764,$B$5:$B$67,0))</f>
        <v>3960</v>
      </c>
      <c r="E764" s="25">
        <f t="array" ref="E764">INDEX(D$5:D$67,MATCH($B764,$B$5:$B$67,0))</f>
        <v>316.8</v>
      </c>
      <c r="F764" s="25">
        <f t="array" ref="F764">INDEX(E$5:E$67,MATCH($B764,$B$5:$B$67,0))</f>
        <v>734</v>
      </c>
      <c r="G764" s="25">
        <f t="array" ref="G764">INDEX(F$5:F$67,MATCH($B764,$B$5:$B$67,0))</f>
        <v>58.72</v>
      </c>
      <c r="H764" s="25">
        <f t="array" ref="H764">INDEX(G$5:G$66,MATCH($B764,$B$5:$B$67,0))</f>
        <v>918</v>
      </c>
      <c r="I764" s="25">
        <f t="array" ref="I764">INDEX(H$5:H$67,MATCH($B764,$B$5:$B$67,0))</f>
        <v>73.44</v>
      </c>
      <c r="J764" s="25">
        <f t="array" ref="J764">INDEX(I$5:I$67,MATCH($B764,$B$5:$B$67,0))</f>
        <v>924</v>
      </c>
      <c r="K764" s="25">
        <f t="array" ref="K764">INDEX(J$5:J$67,MATCH($B764,$B$5:$B$67,0))</f>
        <v>73.92</v>
      </c>
      <c r="L764" s="25">
        <f t="shared" si="595"/>
        <v>12197</v>
      </c>
      <c r="M764" s="25">
        <f t="shared" si="596"/>
        <v>2261</v>
      </c>
      <c r="N764" s="25">
        <f t="shared" si="597"/>
        <v>2827</v>
      </c>
      <c r="O764" s="25">
        <f t="shared" si="598"/>
        <v>2846</v>
      </c>
      <c r="R764" s="50">
        <v>1037011</v>
      </c>
      <c r="S764" s="51" t="s">
        <v>365</v>
      </c>
      <c r="T764" s="29">
        <f t="shared" si="603"/>
        <v>11</v>
      </c>
      <c r="U764" s="25">
        <f t="array" ref="U764">INDEX(K$5:K$67,MATCH($S764,$B$5:$B$67,0))</f>
        <v>328.77</v>
      </c>
      <c r="V764" s="25">
        <f t="array" ref="V764">INDEX(L$5:L$67,MATCH($S764,$B$5:$B$67,0))</f>
        <v>89.38</v>
      </c>
      <c r="W764" s="25">
        <f t="array" ref="W764">INDEX(M$5:M$67,MATCH($S764,$B$5:$B$67,0))</f>
        <v>64.69</v>
      </c>
      <c r="X764" s="25">
        <f t="array" ref="X764">INDEX(N$5:N$67,MATCH($S764,$B$5:$B$67,0))</f>
        <v>56.53</v>
      </c>
      <c r="Y764" s="25">
        <f t="shared" si="599"/>
        <v>3616</v>
      </c>
      <c r="Z764" s="25">
        <f t="shared" si="600"/>
        <v>983</v>
      </c>
      <c r="AA764" s="25">
        <f t="shared" si="601"/>
        <v>712</v>
      </c>
      <c r="AB764" s="25">
        <f t="shared" si="602"/>
        <v>622</v>
      </c>
    </row>
    <row r="765" spans="1:28">
      <c r="A765" s="53">
        <v>1012027</v>
      </c>
      <c r="B765" s="49" t="s">
        <v>338</v>
      </c>
      <c r="C765" s="25">
        <f t="shared" si="594"/>
        <v>27</v>
      </c>
      <c r="D765" s="25">
        <f t="array" ref="D765">INDEX(C$5:C$67,MATCH($B765,$B$5:$B$67,0))</f>
        <v>3960</v>
      </c>
      <c r="E765" s="25">
        <f t="array" ref="E765">INDEX(D$5:D$67,MATCH($B765,$B$5:$B$67,0))</f>
        <v>316.8</v>
      </c>
      <c r="F765" s="25">
        <f t="array" ref="F765">INDEX(E$5:E$67,MATCH($B765,$B$5:$B$67,0))</f>
        <v>734</v>
      </c>
      <c r="G765" s="25">
        <f t="array" ref="G765">INDEX(F$5:F$67,MATCH($B765,$B$5:$B$67,0))</f>
        <v>58.72</v>
      </c>
      <c r="H765" s="25">
        <f t="array" ref="H765">INDEX(G$5:G$66,MATCH($B765,$B$5:$B$67,0))</f>
        <v>918</v>
      </c>
      <c r="I765" s="25">
        <f t="array" ref="I765">INDEX(H$5:H$67,MATCH($B765,$B$5:$B$67,0))</f>
        <v>73.44</v>
      </c>
      <c r="J765" s="25">
        <f t="array" ref="J765">INDEX(I$5:I$67,MATCH($B765,$B$5:$B$67,0))</f>
        <v>924</v>
      </c>
      <c r="K765" s="25">
        <f t="array" ref="K765">INDEX(J$5:J$67,MATCH($B765,$B$5:$B$67,0))</f>
        <v>73.92</v>
      </c>
      <c r="L765" s="25">
        <f t="shared" si="595"/>
        <v>12514</v>
      </c>
      <c r="M765" s="25">
        <f t="shared" si="596"/>
        <v>2319</v>
      </c>
      <c r="N765" s="25">
        <f t="shared" si="597"/>
        <v>2901</v>
      </c>
      <c r="O765" s="25">
        <f t="shared" si="598"/>
        <v>2920</v>
      </c>
      <c r="R765" s="50">
        <v>1037012</v>
      </c>
      <c r="S765" s="51" t="s">
        <v>365</v>
      </c>
      <c r="T765" s="29">
        <f t="shared" si="603"/>
        <v>12</v>
      </c>
      <c r="U765" s="25">
        <f t="array" ref="U765">INDEX(K$5:K$67,MATCH($S765,$B$5:$B$67,0))</f>
        <v>328.77</v>
      </c>
      <c r="V765" s="25">
        <f t="array" ref="V765">INDEX(L$5:L$67,MATCH($S765,$B$5:$B$67,0))</f>
        <v>89.38</v>
      </c>
      <c r="W765" s="25">
        <f t="array" ref="W765">INDEX(M$5:M$67,MATCH($S765,$B$5:$B$67,0))</f>
        <v>64.69</v>
      </c>
      <c r="X765" s="25">
        <f t="array" ref="X765">INDEX(N$5:N$67,MATCH($S765,$B$5:$B$67,0))</f>
        <v>56.53</v>
      </c>
      <c r="Y765" s="25">
        <f t="shared" si="599"/>
        <v>3945</v>
      </c>
      <c r="Z765" s="25">
        <f t="shared" si="600"/>
        <v>1073</v>
      </c>
      <c r="AA765" s="25">
        <f t="shared" si="601"/>
        <v>776</v>
      </c>
      <c r="AB765" s="25">
        <f t="shared" si="602"/>
        <v>678</v>
      </c>
    </row>
    <row r="766" spans="1:28">
      <c r="A766" s="53">
        <v>1012028</v>
      </c>
      <c r="B766" s="49" t="s">
        <v>338</v>
      </c>
      <c r="C766" s="25">
        <f t="shared" si="594"/>
        <v>28</v>
      </c>
      <c r="D766" s="25">
        <f t="array" ref="D766">INDEX(C$5:C$67,MATCH($B766,$B$5:$B$67,0))</f>
        <v>3960</v>
      </c>
      <c r="E766" s="25">
        <f t="array" ref="E766">INDEX(D$5:D$67,MATCH($B766,$B$5:$B$67,0))</f>
        <v>316.8</v>
      </c>
      <c r="F766" s="25">
        <f t="array" ref="F766">INDEX(E$5:E$67,MATCH($B766,$B$5:$B$67,0))</f>
        <v>734</v>
      </c>
      <c r="G766" s="25">
        <f t="array" ref="G766">INDEX(F$5:F$67,MATCH($B766,$B$5:$B$67,0))</f>
        <v>58.72</v>
      </c>
      <c r="H766" s="25">
        <f t="array" ref="H766">INDEX(G$5:G$66,MATCH($B766,$B$5:$B$67,0))</f>
        <v>918</v>
      </c>
      <c r="I766" s="25">
        <f t="array" ref="I766">INDEX(H$5:H$67,MATCH($B766,$B$5:$B$67,0))</f>
        <v>73.44</v>
      </c>
      <c r="J766" s="25">
        <f t="array" ref="J766">INDEX(I$5:I$67,MATCH($B766,$B$5:$B$67,0))</f>
        <v>924</v>
      </c>
      <c r="K766" s="25">
        <f t="array" ref="K766">INDEX(J$5:J$67,MATCH($B766,$B$5:$B$67,0))</f>
        <v>73.92</v>
      </c>
      <c r="L766" s="25">
        <f t="shared" si="595"/>
        <v>12830</v>
      </c>
      <c r="M766" s="25">
        <f t="shared" si="596"/>
        <v>2378</v>
      </c>
      <c r="N766" s="25">
        <f t="shared" si="597"/>
        <v>2974</v>
      </c>
      <c r="O766" s="25">
        <f t="shared" si="598"/>
        <v>2994</v>
      </c>
      <c r="R766" s="54">
        <v>1037013</v>
      </c>
      <c r="S766" s="51" t="s">
        <v>365</v>
      </c>
      <c r="T766" s="29">
        <f t="shared" si="603"/>
        <v>13</v>
      </c>
      <c r="U766" s="25">
        <f t="array" ref="U766">INDEX(K$5:K$67,MATCH($S766,$B$5:$B$67,0))</f>
        <v>328.77</v>
      </c>
      <c r="V766" s="25">
        <f t="array" ref="V766">INDEX(L$5:L$67,MATCH($S766,$B$5:$B$67,0))</f>
        <v>89.38</v>
      </c>
      <c r="W766" s="25">
        <f t="array" ref="W766">INDEX(M$5:M$67,MATCH($S766,$B$5:$B$67,0))</f>
        <v>64.69</v>
      </c>
      <c r="X766" s="25">
        <f t="array" ref="X766">INDEX(N$5:N$67,MATCH($S766,$B$5:$B$67,0))</f>
        <v>56.53</v>
      </c>
      <c r="Y766" s="25">
        <f t="shared" si="599"/>
        <v>4274</v>
      </c>
      <c r="Z766" s="25">
        <f t="shared" si="600"/>
        <v>1162</v>
      </c>
      <c r="AA766" s="25">
        <f t="shared" si="601"/>
        <v>841</v>
      </c>
      <c r="AB766" s="25">
        <f t="shared" si="602"/>
        <v>735</v>
      </c>
    </row>
    <row r="767" spans="1:28">
      <c r="A767" s="53">
        <v>1012029</v>
      </c>
      <c r="B767" s="49" t="s">
        <v>338</v>
      </c>
      <c r="C767" s="25">
        <f t="shared" si="594"/>
        <v>29</v>
      </c>
      <c r="D767" s="25">
        <f t="array" ref="D767">INDEX(C$5:C$67,MATCH($B767,$B$5:$B$67,0))</f>
        <v>3960</v>
      </c>
      <c r="E767" s="25">
        <f t="array" ref="E767">INDEX(D$5:D$67,MATCH($B767,$B$5:$B$67,0))</f>
        <v>316.8</v>
      </c>
      <c r="F767" s="25">
        <f t="array" ref="F767">INDEX(E$5:E$67,MATCH($B767,$B$5:$B$67,0))</f>
        <v>734</v>
      </c>
      <c r="G767" s="25">
        <f t="array" ref="G767">INDEX(F$5:F$67,MATCH($B767,$B$5:$B$67,0))</f>
        <v>58.72</v>
      </c>
      <c r="H767" s="25">
        <f t="array" ref="H767">INDEX(G$5:G$66,MATCH($B767,$B$5:$B$67,0))</f>
        <v>918</v>
      </c>
      <c r="I767" s="25">
        <f t="array" ref="I767">INDEX(H$5:H$67,MATCH($B767,$B$5:$B$67,0))</f>
        <v>73.44</v>
      </c>
      <c r="J767" s="25">
        <f t="array" ref="J767">INDEX(I$5:I$67,MATCH($B767,$B$5:$B$67,0))</f>
        <v>924</v>
      </c>
      <c r="K767" s="25">
        <f t="array" ref="K767">INDEX(J$5:J$67,MATCH($B767,$B$5:$B$67,0))</f>
        <v>73.92</v>
      </c>
      <c r="L767" s="25">
        <f t="shared" si="595"/>
        <v>13147</v>
      </c>
      <c r="M767" s="25">
        <f t="shared" si="596"/>
        <v>2437</v>
      </c>
      <c r="N767" s="25">
        <f t="shared" si="597"/>
        <v>3048</v>
      </c>
      <c r="O767" s="25">
        <f t="shared" si="598"/>
        <v>3068</v>
      </c>
      <c r="R767" s="54">
        <v>1037014</v>
      </c>
      <c r="S767" s="51" t="s">
        <v>365</v>
      </c>
      <c r="T767" s="29">
        <f t="shared" si="603"/>
        <v>14</v>
      </c>
      <c r="U767" s="25">
        <f t="array" ref="U767">INDEX(K$5:K$67,MATCH($S767,$B$5:$B$67,0))</f>
        <v>328.77</v>
      </c>
      <c r="V767" s="25">
        <f t="array" ref="V767">INDEX(L$5:L$67,MATCH($S767,$B$5:$B$67,0))</f>
        <v>89.38</v>
      </c>
      <c r="W767" s="25">
        <f t="array" ref="W767">INDEX(M$5:M$67,MATCH($S767,$B$5:$B$67,0))</f>
        <v>64.69</v>
      </c>
      <c r="X767" s="25">
        <f t="array" ref="X767">INDEX(N$5:N$67,MATCH($S767,$B$5:$B$67,0))</f>
        <v>56.53</v>
      </c>
      <c r="Y767" s="25">
        <f t="shared" si="599"/>
        <v>4603</v>
      </c>
      <c r="Z767" s="25">
        <f t="shared" si="600"/>
        <v>1251</v>
      </c>
      <c r="AA767" s="25">
        <f t="shared" si="601"/>
        <v>906</v>
      </c>
      <c r="AB767" s="25">
        <f t="shared" si="602"/>
        <v>791</v>
      </c>
    </row>
    <row r="768" spans="1:28">
      <c r="A768" s="53">
        <v>1012030</v>
      </c>
      <c r="B768" s="49" t="s">
        <v>338</v>
      </c>
      <c r="C768" s="25">
        <f t="shared" si="594"/>
        <v>30</v>
      </c>
      <c r="D768" s="25">
        <f t="array" ref="D768">INDEX(C$5:C$67,MATCH($B768,$B$5:$B$67,0))</f>
        <v>3960</v>
      </c>
      <c r="E768" s="25">
        <f t="array" ref="E768">INDEX(D$5:D$67,MATCH($B768,$B$5:$B$67,0))</f>
        <v>316.8</v>
      </c>
      <c r="F768" s="25">
        <f t="array" ref="F768">INDEX(E$5:E$67,MATCH($B768,$B$5:$B$67,0))</f>
        <v>734</v>
      </c>
      <c r="G768" s="25">
        <f t="array" ref="G768">INDEX(F$5:F$67,MATCH($B768,$B$5:$B$67,0))</f>
        <v>58.72</v>
      </c>
      <c r="H768" s="25">
        <f t="array" ref="H768">INDEX(G$5:G$66,MATCH($B768,$B$5:$B$67,0))</f>
        <v>918</v>
      </c>
      <c r="I768" s="25">
        <f t="array" ref="I768">INDEX(H$5:H$67,MATCH($B768,$B$5:$B$67,0))</f>
        <v>73.44</v>
      </c>
      <c r="J768" s="25">
        <f t="array" ref="J768">INDEX(I$5:I$67,MATCH($B768,$B$5:$B$67,0))</f>
        <v>924</v>
      </c>
      <c r="K768" s="25">
        <f t="array" ref="K768">INDEX(J$5:J$67,MATCH($B768,$B$5:$B$67,0))</f>
        <v>73.92</v>
      </c>
      <c r="L768" s="25">
        <f t="shared" si="595"/>
        <v>13464</v>
      </c>
      <c r="M768" s="25">
        <f t="shared" si="596"/>
        <v>2496</v>
      </c>
      <c r="N768" s="25">
        <f t="shared" si="597"/>
        <v>3121</v>
      </c>
      <c r="O768" s="25">
        <f t="shared" si="598"/>
        <v>3142</v>
      </c>
      <c r="R768" s="54">
        <v>1037015</v>
      </c>
      <c r="S768" s="51" t="s">
        <v>365</v>
      </c>
      <c r="T768" s="29">
        <f t="shared" si="603"/>
        <v>15</v>
      </c>
      <c r="U768" s="25">
        <f t="array" ref="U768">INDEX(K$5:K$67,MATCH($S768,$B$5:$B$67,0))</f>
        <v>328.77</v>
      </c>
      <c r="V768" s="25">
        <f t="array" ref="V768">INDEX(L$5:L$67,MATCH($S768,$B$5:$B$67,0))</f>
        <v>89.38</v>
      </c>
      <c r="W768" s="25">
        <f t="array" ref="W768">INDEX(M$5:M$67,MATCH($S768,$B$5:$B$67,0))</f>
        <v>64.69</v>
      </c>
      <c r="X768" s="25">
        <f t="array" ref="X768">INDEX(N$5:N$67,MATCH($S768,$B$5:$B$67,0))</f>
        <v>56.53</v>
      </c>
      <c r="Y768" s="25">
        <f t="shared" si="599"/>
        <v>4932</v>
      </c>
      <c r="Z768" s="25">
        <f t="shared" si="600"/>
        <v>1341</v>
      </c>
      <c r="AA768" s="25">
        <f t="shared" si="601"/>
        <v>970</v>
      </c>
      <c r="AB768" s="25">
        <f t="shared" si="602"/>
        <v>848</v>
      </c>
    </row>
    <row r="769" spans="1:28">
      <c r="A769" s="53">
        <v>1012031</v>
      </c>
      <c r="B769" s="49" t="s">
        <v>338</v>
      </c>
      <c r="C769" s="25">
        <f t="shared" si="594"/>
        <v>31</v>
      </c>
      <c r="D769" s="25">
        <f t="array" ref="D769">INDEX(C$5:C$67,MATCH($B769,$B$5:$B$67,0))</f>
        <v>3960</v>
      </c>
      <c r="E769" s="25">
        <f t="array" ref="E769">INDEX(D$5:D$67,MATCH($B769,$B$5:$B$67,0))</f>
        <v>316.8</v>
      </c>
      <c r="F769" s="25">
        <f t="array" ref="F769">INDEX(E$5:E$67,MATCH($B769,$B$5:$B$67,0))</f>
        <v>734</v>
      </c>
      <c r="G769" s="25">
        <f t="array" ref="G769">INDEX(F$5:F$67,MATCH($B769,$B$5:$B$67,0))</f>
        <v>58.72</v>
      </c>
      <c r="H769" s="25">
        <f t="array" ref="H769">INDEX(G$5:G$66,MATCH($B769,$B$5:$B$67,0))</f>
        <v>918</v>
      </c>
      <c r="I769" s="25">
        <f t="array" ref="I769">INDEX(H$5:H$67,MATCH($B769,$B$5:$B$67,0))</f>
        <v>73.44</v>
      </c>
      <c r="J769" s="25">
        <f t="array" ref="J769">INDEX(I$5:I$67,MATCH($B769,$B$5:$B$67,0))</f>
        <v>924</v>
      </c>
      <c r="K769" s="25">
        <f t="array" ref="K769">INDEX(J$5:J$67,MATCH($B769,$B$5:$B$67,0))</f>
        <v>73.92</v>
      </c>
      <c r="L769" s="25">
        <f t="shared" si="595"/>
        <v>13781</v>
      </c>
      <c r="M769" s="25">
        <f t="shared" si="596"/>
        <v>2554</v>
      </c>
      <c r="N769" s="25">
        <f t="shared" si="597"/>
        <v>3195</v>
      </c>
      <c r="O769" s="25">
        <f t="shared" si="598"/>
        <v>3216</v>
      </c>
      <c r="R769" s="54">
        <v>1037016</v>
      </c>
      <c r="S769" s="51" t="s">
        <v>365</v>
      </c>
      <c r="T769" s="29">
        <f t="shared" si="603"/>
        <v>16</v>
      </c>
      <c r="U769" s="25">
        <f t="array" ref="U769">INDEX(K$5:K$67,MATCH($S769,$B$5:$B$67,0))</f>
        <v>328.77</v>
      </c>
      <c r="V769" s="25">
        <f t="array" ref="V769">INDEX(L$5:L$67,MATCH($S769,$B$5:$B$67,0))</f>
        <v>89.38</v>
      </c>
      <c r="W769" s="25">
        <f t="array" ref="W769">INDEX(M$5:M$67,MATCH($S769,$B$5:$B$67,0))</f>
        <v>64.69</v>
      </c>
      <c r="X769" s="25">
        <f t="array" ref="X769">INDEX(N$5:N$67,MATCH($S769,$B$5:$B$67,0))</f>
        <v>56.53</v>
      </c>
      <c r="Y769" s="25">
        <f t="shared" si="599"/>
        <v>5260</v>
      </c>
      <c r="Z769" s="25">
        <f t="shared" si="600"/>
        <v>1430</v>
      </c>
      <c r="AA769" s="25">
        <f t="shared" si="601"/>
        <v>1035</v>
      </c>
      <c r="AB769" s="25">
        <f t="shared" si="602"/>
        <v>904</v>
      </c>
    </row>
    <row r="770" spans="1:28">
      <c r="A770" s="53">
        <v>1012032</v>
      </c>
      <c r="B770" s="49" t="s">
        <v>338</v>
      </c>
      <c r="C770" s="25">
        <f t="shared" si="594"/>
        <v>32</v>
      </c>
      <c r="D770" s="25">
        <f t="array" ref="D770">INDEX(C$5:C$67,MATCH($B770,$B$5:$B$67,0))</f>
        <v>3960</v>
      </c>
      <c r="E770" s="25">
        <f t="array" ref="E770">INDEX(D$5:D$67,MATCH($B770,$B$5:$B$67,0))</f>
        <v>316.8</v>
      </c>
      <c r="F770" s="25">
        <f t="array" ref="F770">INDEX(E$5:E$67,MATCH($B770,$B$5:$B$67,0))</f>
        <v>734</v>
      </c>
      <c r="G770" s="25">
        <f t="array" ref="G770">INDEX(F$5:F$67,MATCH($B770,$B$5:$B$67,0))</f>
        <v>58.72</v>
      </c>
      <c r="H770" s="25">
        <f t="array" ref="H770">INDEX(G$5:G$66,MATCH($B770,$B$5:$B$67,0))</f>
        <v>918</v>
      </c>
      <c r="I770" s="25">
        <f t="array" ref="I770">INDEX(H$5:H$67,MATCH($B770,$B$5:$B$67,0))</f>
        <v>73.44</v>
      </c>
      <c r="J770" s="25">
        <f t="array" ref="J770">INDEX(I$5:I$67,MATCH($B770,$B$5:$B$67,0))</f>
        <v>924</v>
      </c>
      <c r="K770" s="25">
        <f t="array" ref="K770">INDEX(J$5:J$67,MATCH($B770,$B$5:$B$67,0))</f>
        <v>73.92</v>
      </c>
      <c r="L770" s="25">
        <f t="shared" si="595"/>
        <v>14098</v>
      </c>
      <c r="M770" s="25">
        <f t="shared" si="596"/>
        <v>2613</v>
      </c>
      <c r="N770" s="25">
        <f t="shared" si="597"/>
        <v>3268</v>
      </c>
      <c r="O770" s="25">
        <f t="shared" si="598"/>
        <v>3289</v>
      </c>
      <c r="R770" s="54">
        <v>1037017</v>
      </c>
      <c r="S770" s="51" t="s">
        <v>365</v>
      </c>
      <c r="T770" s="29">
        <f t="shared" si="603"/>
        <v>17</v>
      </c>
      <c r="U770" s="25">
        <f t="array" ref="U770">INDEX(K$5:K$67,MATCH($S770,$B$5:$B$67,0))</f>
        <v>328.77</v>
      </c>
      <c r="V770" s="25">
        <f t="array" ref="V770">INDEX(L$5:L$67,MATCH($S770,$B$5:$B$67,0))</f>
        <v>89.38</v>
      </c>
      <c r="W770" s="25">
        <f t="array" ref="W770">INDEX(M$5:M$67,MATCH($S770,$B$5:$B$67,0))</f>
        <v>64.69</v>
      </c>
      <c r="X770" s="25">
        <f t="array" ref="X770">INDEX(N$5:N$67,MATCH($S770,$B$5:$B$67,0))</f>
        <v>56.53</v>
      </c>
      <c r="Y770" s="25">
        <f t="shared" si="599"/>
        <v>5589</v>
      </c>
      <c r="Z770" s="25">
        <f t="shared" si="600"/>
        <v>1519</v>
      </c>
      <c r="AA770" s="25">
        <f t="shared" si="601"/>
        <v>1100</v>
      </c>
      <c r="AB770" s="25">
        <f t="shared" si="602"/>
        <v>961</v>
      </c>
    </row>
    <row r="771" spans="1:28">
      <c r="A771" s="53">
        <v>1012033</v>
      </c>
      <c r="B771" s="49" t="s">
        <v>338</v>
      </c>
      <c r="C771" s="25">
        <f t="shared" si="594"/>
        <v>33</v>
      </c>
      <c r="D771" s="25">
        <f t="array" ref="D771">INDEX(C$5:C$67,MATCH($B771,$B$5:$B$67,0))</f>
        <v>3960</v>
      </c>
      <c r="E771" s="25">
        <f t="array" ref="E771">INDEX(D$5:D$67,MATCH($B771,$B$5:$B$67,0))</f>
        <v>316.8</v>
      </c>
      <c r="F771" s="25">
        <f t="array" ref="F771">INDEX(E$5:E$67,MATCH($B771,$B$5:$B$67,0))</f>
        <v>734</v>
      </c>
      <c r="G771" s="25">
        <f t="array" ref="G771">INDEX(F$5:F$67,MATCH($B771,$B$5:$B$67,0))</f>
        <v>58.72</v>
      </c>
      <c r="H771" s="25">
        <f t="array" ref="H771">INDEX(G$5:G$66,MATCH($B771,$B$5:$B$67,0))</f>
        <v>918</v>
      </c>
      <c r="I771" s="25">
        <f t="array" ref="I771">INDEX(H$5:H$67,MATCH($B771,$B$5:$B$67,0))</f>
        <v>73.44</v>
      </c>
      <c r="J771" s="25">
        <f t="array" ref="J771">INDEX(I$5:I$67,MATCH($B771,$B$5:$B$67,0))</f>
        <v>924</v>
      </c>
      <c r="K771" s="25">
        <f t="array" ref="K771">INDEX(J$5:J$67,MATCH($B771,$B$5:$B$67,0))</f>
        <v>73.92</v>
      </c>
      <c r="L771" s="25">
        <f t="shared" si="595"/>
        <v>14414</v>
      </c>
      <c r="M771" s="25">
        <f t="shared" si="596"/>
        <v>2672</v>
      </c>
      <c r="N771" s="25">
        <f t="shared" si="597"/>
        <v>3342</v>
      </c>
      <c r="O771" s="25">
        <f t="shared" si="598"/>
        <v>3363</v>
      </c>
      <c r="R771" s="54">
        <v>1037018</v>
      </c>
      <c r="S771" s="51" t="s">
        <v>365</v>
      </c>
      <c r="T771" s="29">
        <f t="shared" si="603"/>
        <v>18</v>
      </c>
      <c r="U771" s="25">
        <f t="array" ref="U771">INDEX(K$5:K$67,MATCH($S771,$B$5:$B$67,0))</f>
        <v>328.77</v>
      </c>
      <c r="V771" s="25">
        <f t="array" ref="V771">INDEX(L$5:L$67,MATCH($S771,$B$5:$B$67,0))</f>
        <v>89.38</v>
      </c>
      <c r="W771" s="25">
        <f t="array" ref="W771">INDEX(M$5:M$67,MATCH($S771,$B$5:$B$67,0))</f>
        <v>64.69</v>
      </c>
      <c r="X771" s="25">
        <f t="array" ref="X771">INDEX(N$5:N$67,MATCH($S771,$B$5:$B$67,0))</f>
        <v>56.53</v>
      </c>
      <c r="Y771" s="25">
        <f t="shared" si="599"/>
        <v>5918</v>
      </c>
      <c r="Z771" s="25">
        <f t="shared" si="600"/>
        <v>1609</v>
      </c>
      <c r="AA771" s="25">
        <f t="shared" si="601"/>
        <v>1164</v>
      </c>
      <c r="AB771" s="25">
        <f t="shared" si="602"/>
        <v>1018</v>
      </c>
    </row>
    <row r="772" spans="1:28">
      <c r="A772" s="53">
        <v>1012034</v>
      </c>
      <c r="B772" s="49" t="s">
        <v>338</v>
      </c>
      <c r="C772" s="25">
        <f t="shared" si="594"/>
        <v>34</v>
      </c>
      <c r="D772" s="25">
        <f t="array" ref="D772">INDEX(C$5:C$67,MATCH($B772,$B$5:$B$67,0))</f>
        <v>3960</v>
      </c>
      <c r="E772" s="25">
        <f t="array" ref="E772">INDEX(D$5:D$67,MATCH($B772,$B$5:$B$67,0))</f>
        <v>316.8</v>
      </c>
      <c r="F772" s="25">
        <f t="array" ref="F772">INDEX(E$5:E$67,MATCH($B772,$B$5:$B$67,0))</f>
        <v>734</v>
      </c>
      <c r="G772" s="25">
        <f t="array" ref="G772">INDEX(F$5:F$67,MATCH($B772,$B$5:$B$67,0))</f>
        <v>58.72</v>
      </c>
      <c r="H772" s="25">
        <f t="array" ref="H772">INDEX(G$5:G$66,MATCH($B772,$B$5:$B$67,0))</f>
        <v>918</v>
      </c>
      <c r="I772" s="25">
        <f t="array" ref="I772">INDEX(H$5:H$67,MATCH($B772,$B$5:$B$67,0))</f>
        <v>73.44</v>
      </c>
      <c r="J772" s="25">
        <f t="array" ref="J772">INDEX(I$5:I$67,MATCH($B772,$B$5:$B$67,0))</f>
        <v>924</v>
      </c>
      <c r="K772" s="25">
        <f t="array" ref="K772">INDEX(J$5:J$67,MATCH($B772,$B$5:$B$67,0))</f>
        <v>73.92</v>
      </c>
      <c r="L772" s="25">
        <f t="shared" si="595"/>
        <v>14731</v>
      </c>
      <c r="M772" s="25">
        <f t="shared" si="596"/>
        <v>2730</v>
      </c>
      <c r="N772" s="25">
        <f t="shared" si="597"/>
        <v>3415</v>
      </c>
      <c r="O772" s="25">
        <f t="shared" si="598"/>
        <v>3437</v>
      </c>
      <c r="R772" s="54">
        <v>1037019</v>
      </c>
      <c r="S772" s="51" t="s">
        <v>365</v>
      </c>
      <c r="T772" s="29">
        <f t="shared" si="603"/>
        <v>19</v>
      </c>
      <c r="U772" s="25">
        <f t="array" ref="U772">INDEX(K$5:K$67,MATCH($S772,$B$5:$B$67,0))</f>
        <v>328.77</v>
      </c>
      <c r="V772" s="25">
        <f t="array" ref="V772">INDEX(L$5:L$67,MATCH($S772,$B$5:$B$67,0))</f>
        <v>89.38</v>
      </c>
      <c r="W772" s="25">
        <f t="array" ref="W772">INDEX(M$5:M$67,MATCH($S772,$B$5:$B$67,0))</f>
        <v>64.69</v>
      </c>
      <c r="X772" s="25">
        <f t="array" ref="X772">INDEX(N$5:N$67,MATCH($S772,$B$5:$B$67,0))</f>
        <v>56.53</v>
      </c>
      <c r="Y772" s="25">
        <f t="shared" si="599"/>
        <v>6247</v>
      </c>
      <c r="Z772" s="25">
        <f t="shared" si="600"/>
        <v>1698</v>
      </c>
      <c r="AA772" s="25">
        <f t="shared" si="601"/>
        <v>1229</v>
      </c>
      <c r="AB772" s="25">
        <f t="shared" si="602"/>
        <v>1074</v>
      </c>
    </row>
    <row r="773" spans="1:28">
      <c r="A773" s="53">
        <v>1012035</v>
      </c>
      <c r="B773" s="49" t="s">
        <v>338</v>
      </c>
      <c r="C773" s="25">
        <f t="shared" si="594"/>
        <v>35</v>
      </c>
      <c r="D773" s="25">
        <f t="array" ref="D773">INDEX(C$5:C$67,MATCH($B773,$B$5:$B$67,0))</f>
        <v>3960</v>
      </c>
      <c r="E773" s="25">
        <f t="array" ref="E773">INDEX(D$5:D$67,MATCH($B773,$B$5:$B$67,0))</f>
        <v>316.8</v>
      </c>
      <c r="F773" s="25">
        <f t="array" ref="F773">INDEX(E$5:E$67,MATCH($B773,$B$5:$B$67,0))</f>
        <v>734</v>
      </c>
      <c r="G773" s="25">
        <f t="array" ref="G773">INDEX(F$5:F$67,MATCH($B773,$B$5:$B$67,0))</f>
        <v>58.72</v>
      </c>
      <c r="H773" s="25">
        <f t="array" ref="H773">INDEX(G$5:G$66,MATCH($B773,$B$5:$B$67,0))</f>
        <v>918</v>
      </c>
      <c r="I773" s="25">
        <f t="array" ref="I773">INDEX(H$5:H$67,MATCH($B773,$B$5:$B$67,0))</f>
        <v>73.44</v>
      </c>
      <c r="J773" s="25">
        <f t="array" ref="J773">INDEX(I$5:I$67,MATCH($B773,$B$5:$B$67,0))</f>
        <v>924</v>
      </c>
      <c r="K773" s="25">
        <f t="array" ref="K773">INDEX(J$5:J$67,MATCH($B773,$B$5:$B$67,0))</f>
        <v>73.92</v>
      </c>
      <c r="L773" s="25">
        <f t="shared" si="595"/>
        <v>15048</v>
      </c>
      <c r="M773" s="25">
        <f t="shared" si="596"/>
        <v>2789</v>
      </c>
      <c r="N773" s="25">
        <f t="shared" si="597"/>
        <v>3488</v>
      </c>
      <c r="O773" s="25">
        <f t="shared" si="598"/>
        <v>3511</v>
      </c>
      <c r="R773" s="54">
        <v>1037020</v>
      </c>
      <c r="S773" s="51" t="s">
        <v>365</v>
      </c>
      <c r="T773" s="29">
        <f t="shared" si="603"/>
        <v>20</v>
      </c>
      <c r="U773" s="25">
        <f t="array" ref="U773">INDEX(K$5:K$67,MATCH($S773,$B$5:$B$67,0))</f>
        <v>328.77</v>
      </c>
      <c r="V773" s="25">
        <f t="array" ref="V773">INDEX(L$5:L$67,MATCH($S773,$B$5:$B$67,0))</f>
        <v>89.38</v>
      </c>
      <c r="W773" s="25">
        <f t="array" ref="W773">INDEX(M$5:M$67,MATCH($S773,$B$5:$B$67,0))</f>
        <v>64.69</v>
      </c>
      <c r="X773" s="25">
        <f t="array" ref="X773">INDEX(N$5:N$67,MATCH($S773,$B$5:$B$67,0))</f>
        <v>56.53</v>
      </c>
      <c r="Y773" s="25">
        <f t="shared" si="599"/>
        <v>6575</v>
      </c>
      <c r="Z773" s="25">
        <f t="shared" si="600"/>
        <v>1788</v>
      </c>
      <c r="AA773" s="25">
        <f t="shared" si="601"/>
        <v>1294</v>
      </c>
      <c r="AB773" s="25">
        <f t="shared" si="602"/>
        <v>1131</v>
      </c>
    </row>
    <row r="774" spans="1:28">
      <c r="A774" s="53">
        <v>1012036</v>
      </c>
      <c r="B774" s="49" t="s">
        <v>338</v>
      </c>
      <c r="C774" s="25">
        <f t="shared" si="594"/>
        <v>36</v>
      </c>
      <c r="D774" s="25">
        <f t="array" ref="D774">INDEX(C$5:C$67,MATCH($B774,$B$5:$B$67,0))</f>
        <v>3960</v>
      </c>
      <c r="E774" s="25">
        <f t="array" ref="E774">INDEX(D$5:D$67,MATCH($B774,$B$5:$B$67,0))</f>
        <v>316.8</v>
      </c>
      <c r="F774" s="25">
        <f t="array" ref="F774">INDEX(E$5:E$67,MATCH($B774,$B$5:$B$67,0))</f>
        <v>734</v>
      </c>
      <c r="G774" s="25">
        <f t="array" ref="G774">INDEX(F$5:F$67,MATCH($B774,$B$5:$B$67,0))</f>
        <v>58.72</v>
      </c>
      <c r="H774" s="25">
        <f t="array" ref="H774">INDEX(G$5:G$66,MATCH($B774,$B$5:$B$67,0))</f>
        <v>918</v>
      </c>
      <c r="I774" s="25">
        <f t="array" ref="I774">INDEX(H$5:H$67,MATCH($B774,$B$5:$B$67,0))</f>
        <v>73.44</v>
      </c>
      <c r="J774" s="25">
        <f t="array" ref="J774">INDEX(I$5:I$67,MATCH($B774,$B$5:$B$67,0))</f>
        <v>924</v>
      </c>
      <c r="K774" s="25">
        <f t="array" ref="K774">INDEX(J$5:J$67,MATCH($B774,$B$5:$B$67,0))</f>
        <v>73.92</v>
      </c>
      <c r="L774" s="25">
        <f t="shared" si="595"/>
        <v>15365</v>
      </c>
      <c r="M774" s="25">
        <f t="shared" si="596"/>
        <v>2848</v>
      </c>
      <c r="N774" s="25">
        <f t="shared" si="597"/>
        <v>3562</v>
      </c>
      <c r="O774" s="25">
        <f t="shared" si="598"/>
        <v>3585</v>
      </c>
      <c r="R774" s="54">
        <v>1037021</v>
      </c>
      <c r="S774" s="51" t="s">
        <v>365</v>
      </c>
      <c r="T774" s="29">
        <f t="shared" si="603"/>
        <v>21</v>
      </c>
      <c r="U774" s="25">
        <f t="array" ref="U774">INDEX(K$5:K$67,MATCH($S774,$B$5:$B$67,0))</f>
        <v>328.77</v>
      </c>
      <c r="V774" s="25">
        <f t="array" ref="V774">INDEX(L$5:L$67,MATCH($S774,$B$5:$B$67,0))</f>
        <v>89.38</v>
      </c>
      <c r="W774" s="25">
        <f t="array" ref="W774">INDEX(M$5:M$67,MATCH($S774,$B$5:$B$67,0))</f>
        <v>64.69</v>
      </c>
      <c r="X774" s="25">
        <f t="array" ref="X774">INDEX(N$5:N$67,MATCH($S774,$B$5:$B$67,0))</f>
        <v>56.53</v>
      </c>
      <c r="Y774" s="25">
        <f t="shared" si="599"/>
        <v>6904</v>
      </c>
      <c r="Z774" s="25">
        <f t="shared" si="600"/>
        <v>1877</v>
      </c>
      <c r="AA774" s="25">
        <f t="shared" si="601"/>
        <v>1358</v>
      </c>
      <c r="AB774" s="25">
        <f t="shared" si="602"/>
        <v>1187</v>
      </c>
    </row>
    <row r="775" spans="1:28">
      <c r="A775" s="53">
        <v>1012037</v>
      </c>
      <c r="B775" s="49" t="s">
        <v>338</v>
      </c>
      <c r="C775" s="25">
        <f t="shared" si="594"/>
        <v>37</v>
      </c>
      <c r="D775" s="25">
        <f t="array" ref="D775">INDEX(C$5:C$67,MATCH($B775,$B$5:$B$67,0))</f>
        <v>3960</v>
      </c>
      <c r="E775" s="25">
        <f t="array" ref="E775">INDEX(D$5:D$67,MATCH($B775,$B$5:$B$67,0))</f>
        <v>316.8</v>
      </c>
      <c r="F775" s="25">
        <f t="array" ref="F775">INDEX(E$5:E$67,MATCH($B775,$B$5:$B$67,0))</f>
        <v>734</v>
      </c>
      <c r="G775" s="25">
        <f t="array" ref="G775">INDEX(F$5:F$67,MATCH($B775,$B$5:$B$67,0))</f>
        <v>58.72</v>
      </c>
      <c r="H775" s="25">
        <f t="array" ref="H775">INDEX(G$5:G$66,MATCH($B775,$B$5:$B$67,0))</f>
        <v>918</v>
      </c>
      <c r="I775" s="25">
        <f t="array" ref="I775">INDEX(H$5:H$67,MATCH($B775,$B$5:$B$67,0))</f>
        <v>73.44</v>
      </c>
      <c r="J775" s="25">
        <f t="array" ref="J775">INDEX(I$5:I$67,MATCH($B775,$B$5:$B$67,0))</f>
        <v>924</v>
      </c>
      <c r="K775" s="25">
        <f t="array" ref="K775">INDEX(J$5:J$67,MATCH($B775,$B$5:$B$67,0))</f>
        <v>73.92</v>
      </c>
      <c r="L775" s="25">
        <f t="shared" si="595"/>
        <v>15682</v>
      </c>
      <c r="M775" s="25">
        <f t="shared" si="596"/>
        <v>2907</v>
      </c>
      <c r="N775" s="25">
        <f t="shared" si="597"/>
        <v>3635</v>
      </c>
      <c r="O775" s="25">
        <f t="shared" si="598"/>
        <v>3659</v>
      </c>
      <c r="R775" s="54">
        <v>1037022</v>
      </c>
      <c r="S775" s="51" t="s">
        <v>365</v>
      </c>
      <c r="T775" s="29">
        <f t="shared" si="603"/>
        <v>22</v>
      </c>
      <c r="U775" s="25">
        <f t="array" ref="U775">INDEX(K$5:K$67,MATCH($S775,$B$5:$B$67,0))</f>
        <v>328.77</v>
      </c>
      <c r="V775" s="25">
        <f t="array" ref="V775">INDEX(L$5:L$67,MATCH($S775,$B$5:$B$67,0))</f>
        <v>89.38</v>
      </c>
      <c r="W775" s="25">
        <f t="array" ref="W775">INDEX(M$5:M$67,MATCH($S775,$B$5:$B$67,0))</f>
        <v>64.69</v>
      </c>
      <c r="X775" s="25">
        <f t="array" ref="X775">INDEX(N$5:N$67,MATCH($S775,$B$5:$B$67,0))</f>
        <v>56.53</v>
      </c>
      <c r="Y775" s="25">
        <f t="shared" si="599"/>
        <v>7233</v>
      </c>
      <c r="Z775" s="25">
        <f t="shared" si="600"/>
        <v>1966</v>
      </c>
      <c r="AA775" s="25">
        <f t="shared" si="601"/>
        <v>1423</v>
      </c>
      <c r="AB775" s="25">
        <f t="shared" si="602"/>
        <v>1244</v>
      </c>
    </row>
    <row r="776" spans="1:28">
      <c r="A776" s="53">
        <v>1012038</v>
      </c>
      <c r="B776" s="49" t="s">
        <v>338</v>
      </c>
      <c r="C776" s="25">
        <f t="shared" si="594"/>
        <v>38</v>
      </c>
      <c r="D776" s="25">
        <f t="array" ref="D776">INDEX(C$5:C$67,MATCH($B776,$B$5:$B$67,0))</f>
        <v>3960</v>
      </c>
      <c r="E776" s="25">
        <f t="array" ref="E776">INDEX(D$5:D$67,MATCH($B776,$B$5:$B$67,0))</f>
        <v>316.8</v>
      </c>
      <c r="F776" s="25">
        <f t="array" ref="F776">INDEX(E$5:E$67,MATCH($B776,$B$5:$B$67,0))</f>
        <v>734</v>
      </c>
      <c r="G776" s="25">
        <f t="array" ref="G776">INDEX(F$5:F$67,MATCH($B776,$B$5:$B$67,0))</f>
        <v>58.72</v>
      </c>
      <c r="H776" s="25">
        <f t="array" ref="H776">INDEX(G$5:G$66,MATCH($B776,$B$5:$B$67,0))</f>
        <v>918</v>
      </c>
      <c r="I776" s="25">
        <f t="array" ref="I776">INDEX(H$5:H$67,MATCH($B776,$B$5:$B$67,0))</f>
        <v>73.44</v>
      </c>
      <c r="J776" s="25">
        <f t="array" ref="J776">INDEX(I$5:I$67,MATCH($B776,$B$5:$B$67,0))</f>
        <v>924</v>
      </c>
      <c r="K776" s="25">
        <f t="array" ref="K776">INDEX(J$5:J$67,MATCH($B776,$B$5:$B$67,0))</f>
        <v>73.92</v>
      </c>
      <c r="L776" s="25">
        <f t="shared" si="595"/>
        <v>15998</v>
      </c>
      <c r="M776" s="25">
        <f t="shared" si="596"/>
        <v>2965</v>
      </c>
      <c r="N776" s="25">
        <f t="shared" si="597"/>
        <v>3709</v>
      </c>
      <c r="O776" s="25">
        <f t="shared" si="598"/>
        <v>3733</v>
      </c>
      <c r="R776" s="54">
        <v>1037023</v>
      </c>
      <c r="S776" s="51" t="s">
        <v>365</v>
      </c>
      <c r="T776" s="29">
        <f t="shared" si="603"/>
        <v>23</v>
      </c>
      <c r="U776" s="25">
        <f t="array" ref="U776">INDEX(K$5:K$67,MATCH($S776,$B$5:$B$67,0))</f>
        <v>328.77</v>
      </c>
      <c r="V776" s="25">
        <f t="array" ref="V776">INDEX(L$5:L$67,MATCH($S776,$B$5:$B$67,0))</f>
        <v>89.38</v>
      </c>
      <c r="W776" s="25">
        <f t="array" ref="W776">INDEX(M$5:M$67,MATCH($S776,$B$5:$B$67,0))</f>
        <v>64.69</v>
      </c>
      <c r="X776" s="25">
        <f t="array" ref="X776">INDEX(N$5:N$67,MATCH($S776,$B$5:$B$67,0))</f>
        <v>56.53</v>
      </c>
      <c r="Y776" s="25">
        <f t="shared" si="599"/>
        <v>7562</v>
      </c>
      <c r="Z776" s="25">
        <f t="shared" si="600"/>
        <v>2056</v>
      </c>
      <c r="AA776" s="25">
        <f t="shared" si="601"/>
        <v>1488</v>
      </c>
      <c r="AB776" s="25">
        <f t="shared" si="602"/>
        <v>1300</v>
      </c>
    </row>
    <row r="777" spans="1:28">
      <c r="A777" s="53">
        <v>1012039</v>
      </c>
      <c r="B777" s="49" t="s">
        <v>338</v>
      </c>
      <c r="C777" s="25">
        <f t="shared" si="594"/>
        <v>39</v>
      </c>
      <c r="D777" s="25">
        <f t="array" ref="D777">INDEX(C$5:C$67,MATCH($B777,$B$5:$B$67,0))</f>
        <v>3960</v>
      </c>
      <c r="E777" s="25">
        <f t="array" ref="E777">INDEX(D$5:D$67,MATCH($B777,$B$5:$B$67,0))</f>
        <v>316.8</v>
      </c>
      <c r="F777" s="25">
        <f t="array" ref="F777">INDEX(E$5:E$67,MATCH($B777,$B$5:$B$67,0))</f>
        <v>734</v>
      </c>
      <c r="G777" s="25">
        <f t="array" ref="G777">INDEX(F$5:F$67,MATCH($B777,$B$5:$B$67,0))</f>
        <v>58.72</v>
      </c>
      <c r="H777" s="25">
        <f t="array" ref="H777">INDEX(G$5:G$66,MATCH($B777,$B$5:$B$67,0))</f>
        <v>918</v>
      </c>
      <c r="I777" s="25">
        <f t="array" ref="I777">INDEX(H$5:H$67,MATCH($B777,$B$5:$B$67,0))</f>
        <v>73.44</v>
      </c>
      <c r="J777" s="25">
        <f t="array" ref="J777">INDEX(I$5:I$67,MATCH($B777,$B$5:$B$67,0))</f>
        <v>924</v>
      </c>
      <c r="K777" s="25">
        <f t="array" ref="K777">INDEX(J$5:J$67,MATCH($B777,$B$5:$B$67,0))</f>
        <v>73.92</v>
      </c>
      <c r="L777" s="25">
        <f t="shared" si="595"/>
        <v>16315</v>
      </c>
      <c r="M777" s="25">
        <f t="shared" si="596"/>
        <v>3024</v>
      </c>
      <c r="N777" s="25">
        <f t="shared" si="597"/>
        <v>3782</v>
      </c>
      <c r="O777" s="25">
        <f t="shared" si="598"/>
        <v>3807</v>
      </c>
      <c r="R777" s="54">
        <v>1037024</v>
      </c>
      <c r="S777" s="51" t="s">
        <v>365</v>
      </c>
      <c r="T777" s="29">
        <f t="shared" si="603"/>
        <v>24</v>
      </c>
      <c r="U777" s="25">
        <f t="array" ref="U777">INDEX(K$5:K$67,MATCH($S777,$B$5:$B$67,0))</f>
        <v>328.77</v>
      </c>
      <c r="V777" s="25">
        <f t="array" ref="V777">INDEX(L$5:L$67,MATCH($S777,$B$5:$B$67,0))</f>
        <v>89.38</v>
      </c>
      <c r="W777" s="25">
        <f t="array" ref="W777">INDEX(M$5:M$67,MATCH($S777,$B$5:$B$67,0))</f>
        <v>64.69</v>
      </c>
      <c r="X777" s="25">
        <f t="array" ref="X777">INDEX(N$5:N$67,MATCH($S777,$B$5:$B$67,0))</f>
        <v>56.53</v>
      </c>
      <c r="Y777" s="25">
        <f t="shared" si="599"/>
        <v>7890</v>
      </c>
      <c r="Z777" s="25">
        <f t="shared" si="600"/>
        <v>2145</v>
      </c>
      <c r="AA777" s="25">
        <f t="shared" si="601"/>
        <v>1553</v>
      </c>
      <c r="AB777" s="25">
        <f t="shared" si="602"/>
        <v>1357</v>
      </c>
    </row>
    <row r="778" spans="1:28">
      <c r="A778" s="53">
        <v>1012040</v>
      </c>
      <c r="B778" s="49" t="s">
        <v>338</v>
      </c>
      <c r="C778" s="25">
        <f t="shared" si="594"/>
        <v>40</v>
      </c>
      <c r="D778" s="25">
        <f t="array" ref="D778">INDEX(C$5:C$67,MATCH($B778,$B$5:$B$67,0))</f>
        <v>3960</v>
      </c>
      <c r="E778" s="25">
        <f t="array" ref="E778">INDEX(D$5:D$67,MATCH($B778,$B$5:$B$67,0))</f>
        <v>316.8</v>
      </c>
      <c r="F778" s="25">
        <f t="array" ref="F778">INDEX(E$5:E$67,MATCH($B778,$B$5:$B$67,0))</f>
        <v>734</v>
      </c>
      <c r="G778" s="25">
        <f t="array" ref="G778">INDEX(F$5:F$67,MATCH($B778,$B$5:$B$67,0))</f>
        <v>58.72</v>
      </c>
      <c r="H778" s="25">
        <f t="array" ref="H778">INDEX(G$5:G$66,MATCH($B778,$B$5:$B$67,0))</f>
        <v>918</v>
      </c>
      <c r="I778" s="25">
        <f t="array" ref="I778">INDEX(H$5:H$67,MATCH($B778,$B$5:$B$67,0))</f>
        <v>73.44</v>
      </c>
      <c r="J778" s="25">
        <f t="array" ref="J778">INDEX(I$5:I$67,MATCH($B778,$B$5:$B$67,0))</f>
        <v>924</v>
      </c>
      <c r="K778" s="25">
        <f t="array" ref="K778">INDEX(J$5:J$67,MATCH($B778,$B$5:$B$67,0))</f>
        <v>73.92</v>
      </c>
      <c r="L778" s="25">
        <f t="shared" si="595"/>
        <v>16632</v>
      </c>
      <c r="M778" s="25">
        <f t="shared" si="596"/>
        <v>3083</v>
      </c>
      <c r="N778" s="25">
        <f t="shared" si="597"/>
        <v>3856</v>
      </c>
      <c r="O778" s="25">
        <f t="shared" si="598"/>
        <v>3881</v>
      </c>
      <c r="R778" s="54">
        <v>1037025</v>
      </c>
      <c r="S778" s="51" t="s">
        <v>365</v>
      </c>
      <c r="T778" s="29">
        <f t="shared" si="603"/>
        <v>25</v>
      </c>
      <c r="U778" s="25">
        <f t="array" ref="U778">INDEX(K$5:K$67,MATCH($S778,$B$5:$B$67,0))</f>
        <v>328.77</v>
      </c>
      <c r="V778" s="25">
        <f t="array" ref="V778">INDEX(L$5:L$67,MATCH($S778,$B$5:$B$67,0))</f>
        <v>89.38</v>
      </c>
      <c r="W778" s="25">
        <f t="array" ref="W778">INDEX(M$5:M$67,MATCH($S778,$B$5:$B$67,0))</f>
        <v>64.69</v>
      </c>
      <c r="X778" s="25">
        <f t="array" ref="X778">INDEX(N$5:N$67,MATCH($S778,$B$5:$B$67,0))</f>
        <v>56.53</v>
      </c>
      <c r="Y778" s="25">
        <f t="shared" si="599"/>
        <v>8219</v>
      </c>
      <c r="Z778" s="25">
        <f t="shared" si="600"/>
        <v>2235</v>
      </c>
      <c r="AA778" s="25">
        <f t="shared" si="601"/>
        <v>1617</v>
      </c>
      <c r="AB778" s="25">
        <f t="shared" si="602"/>
        <v>1413</v>
      </c>
    </row>
    <row r="779" spans="1:28">
      <c r="A779" s="53">
        <v>1012041</v>
      </c>
      <c r="B779" s="49" t="s">
        <v>338</v>
      </c>
      <c r="C779" s="25">
        <f t="shared" ref="C779:C842" si="604">C719</f>
        <v>41</v>
      </c>
      <c r="D779" s="25">
        <f t="array" ref="D779">INDEX(C$5:C$67,MATCH($B779,$B$5:$B$67,0))</f>
        <v>3960</v>
      </c>
      <c r="E779" s="25">
        <f t="array" ref="E779">INDEX(D$5:D$67,MATCH($B779,$B$5:$B$67,0))</f>
        <v>316.8</v>
      </c>
      <c r="F779" s="25">
        <f t="array" ref="F779">INDEX(E$5:E$67,MATCH($B779,$B$5:$B$67,0))</f>
        <v>734</v>
      </c>
      <c r="G779" s="25">
        <f t="array" ref="G779">INDEX(F$5:F$67,MATCH($B779,$B$5:$B$67,0))</f>
        <v>58.72</v>
      </c>
      <c r="H779" s="25">
        <f t="array" ref="H779">INDEX(G$5:G$66,MATCH($B779,$B$5:$B$67,0))</f>
        <v>918</v>
      </c>
      <c r="I779" s="25">
        <f t="array" ref="I779">INDEX(H$5:H$67,MATCH($B779,$B$5:$B$67,0))</f>
        <v>73.44</v>
      </c>
      <c r="J779" s="25">
        <f t="array" ref="J779">INDEX(I$5:I$67,MATCH($B779,$B$5:$B$67,0))</f>
        <v>924</v>
      </c>
      <c r="K779" s="25">
        <f t="array" ref="K779">INDEX(J$5:J$67,MATCH($B779,$B$5:$B$67,0))</f>
        <v>73.92</v>
      </c>
      <c r="L779" s="25">
        <f t="shared" si="595"/>
        <v>16949</v>
      </c>
      <c r="M779" s="25">
        <f t="shared" si="596"/>
        <v>3142</v>
      </c>
      <c r="N779" s="25">
        <f t="shared" si="597"/>
        <v>3929</v>
      </c>
      <c r="O779" s="25">
        <f t="shared" si="598"/>
        <v>3955</v>
      </c>
      <c r="R779" s="54">
        <v>1037026</v>
      </c>
      <c r="S779" s="51" t="s">
        <v>365</v>
      </c>
      <c r="T779" s="29">
        <f t="shared" si="603"/>
        <v>26</v>
      </c>
      <c r="U779" s="25">
        <f t="array" ref="U779">INDEX(K$5:K$67,MATCH($S779,$B$5:$B$67,0))</f>
        <v>328.77</v>
      </c>
      <c r="V779" s="25">
        <f t="array" ref="V779">INDEX(L$5:L$67,MATCH($S779,$B$5:$B$67,0))</f>
        <v>89.38</v>
      </c>
      <c r="W779" s="25">
        <f t="array" ref="W779">INDEX(M$5:M$67,MATCH($S779,$B$5:$B$67,0))</f>
        <v>64.69</v>
      </c>
      <c r="X779" s="25">
        <f t="array" ref="X779">INDEX(N$5:N$67,MATCH($S779,$B$5:$B$67,0))</f>
        <v>56.53</v>
      </c>
      <c r="Y779" s="25">
        <f t="shared" si="599"/>
        <v>8548</v>
      </c>
      <c r="Z779" s="25">
        <f t="shared" si="600"/>
        <v>2324</v>
      </c>
      <c r="AA779" s="25">
        <f t="shared" si="601"/>
        <v>1682</v>
      </c>
      <c r="AB779" s="25">
        <f t="shared" si="602"/>
        <v>1470</v>
      </c>
    </row>
    <row r="780" spans="1:28">
      <c r="A780" s="53">
        <v>1012042</v>
      </c>
      <c r="B780" s="49" t="s">
        <v>338</v>
      </c>
      <c r="C780" s="25">
        <f t="shared" si="604"/>
        <v>42</v>
      </c>
      <c r="D780" s="25">
        <f t="array" ref="D780">INDEX(C$5:C$67,MATCH($B780,$B$5:$B$67,0))</f>
        <v>3960</v>
      </c>
      <c r="E780" s="25">
        <f t="array" ref="E780">INDEX(D$5:D$67,MATCH($B780,$B$5:$B$67,0))</f>
        <v>316.8</v>
      </c>
      <c r="F780" s="25">
        <f t="array" ref="F780">INDEX(E$5:E$67,MATCH($B780,$B$5:$B$67,0))</f>
        <v>734</v>
      </c>
      <c r="G780" s="25">
        <f t="array" ref="G780">INDEX(F$5:F$67,MATCH($B780,$B$5:$B$67,0))</f>
        <v>58.72</v>
      </c>
      <c r="H780" s="25">
        <f t="array" ref="H780">INDEX(G$5:G$66,MATCH($B780,$B$5:$B$67,0))</f>
        <v>918</v>
      </c>
      <c r="I780" s="25">
        <f t="array" ref="I780">INDEX(H$5:H$67,MATCH($B780,$B$5:$B$67,0))</f>
        <v>73.44</v>
      </c>
      <c r="J780" s="25">
        <f t="array" ref="J780">INDEX(I$5:I$67,MATCH($B780,$B$5:$B$67,0))</f>
        <v>924</v>
      </c>
      <c r="K780" s="25">
        <f t="array" ref="K780">INDEX(J$5:J$67,MATCH($B780,$B$5:$B$67,0))</f>
        <v>73.92</v>
      </c>
      <c r="L780" s="25">
        <f t="shared" si="595"/>
        <v>17266</v>
      </c>
      <c r="M780" s="25">
        <f t="shared" si="596"/>
        <v>3200</v>
      </c>
      <c r="N780" s="25">
        <f t="shared" si="597"/>
        <v>4002</v>
      </c>
      <c r="O780" s="25">
        <f t="shared" si="598"/>
        <v>4029</v>
      </c>
      <c r="R780" s="54">
        <v>1037027</v>
      </c>
      <c r="S780" s="51" t="s">
        <v>365</v>
      </c>
      <c r="T780" s="29">
        <f t="shared" si="603"/>
        <v>27</v>
      </c>
      <c r="U780" s="25">
        <f t="array" ref="U780">INDEX(K$5:K$67,MATCH($S780,$B$5:$B$67,0))</f>
        <v>328.77</v>
      </c>
      <c r="V780" s="25">
        <f t="array" ref="V780">INDEX(L$5:L$67,MATCH($S780,$B$5:$B$67,0))</f>
        <v>89.38</v>
      </c>
      <c r="W780" s="25">
        <f t="array" ref="W780">INDEX(M$5:M$67,MATCH($S780,$B$5:$B$67,0))</f>
        <v>64.69</v>
      </c>
      <c r="X780" s="25">
        <f t="array" ref="X780">INDEX(N$5:N$67,MATCH($S780,$B$5:$B$67,0))</f>
        <v>56.53</v>
      </c>
      <c r="Y780" s="25">
        <f t="shared" si="599"/>
        <v>8877</v>
      </c>
      <c r="Z780" s="25">
        <f t="shared" si="600"/>
        <v>2413</v>
      </c>
      <c r="AA780" s="25">
        <f t="shared" si="601"/>
        <v>1747</v>
      </c>
      <c r="AB780" s="25">
        <f t="shared" si="602"/>
        <v>1526</v>
      </c>
    </row>
    <row r="781" spans="1:28">
      <c r="A781" s="53">
        <v>1012043</v>
      </c>
      <c r="B781" s="49" t="s">
        <v>338</v>
      </c>
      <c r="C781" s="25">
        <f t="shared" si="604"/>
        <v>43</v>
      </c>
      <c r="D781" s="25">
        <f t="array" ref="D781">INDEX(C$5:C$67,MATCH($B781,$B$5:$B$67,0))</f>
        <v>3960</v>
      </c>
      <c r="E781" s="25">
        <f t="array" ref="E781">INDEX(D$5:D$67,MATCH($B781,$B$5:$B$67,0))</f>
        <v>316.8</v>
      </c>
      <c r="F781" s="25">
        <f t="array" ref="F781">INDEX(E$5:E$67,MATCH($B781,$B$5:$B$67,0))</f>
        <v>734</v>
      </c>
      <c r="G781" s="25">
        <f t="array" ref="G781">INDEX(F$5:F$67,MATCH($B781,$B$5:$B$67,0))</f>
        <v>58.72</v>
      </c>
      <c r="H781" s="25">
        <f t="array" ref="H781">INDEX(G$5:G$66,MATCH($B781,$B$5:$B$67,0))</f>
        <v>918</v>
      </c>
      <c r="I781" s="25">
        <f t="array" ref="I781">INDEX(H$5:H$67,MATCH($B781,$B$5:$B$67,0))</f>
        <v>73.44</v>
      </c>
      <c r="J781" s="25">
        <f t="array" ref="J781">INDEX(I$5:I$67,MATCH($B781,$B$5:$B$67,0))</f>
        <v>924</v>
      </c>
      <c r="K781" s="25">
        <f t="array" ref="K781">INDEX(J$5:J$67,MATCH($B781,$B$5:$B$67,0))</f>
        <v>73.92</v>
      </c>
      <c r="L781" s="25">
        <f t="shared" si="595"/>
        <v>17582</v>
      </c>
      <c r="M781" s="25">
        <f t="shared" si="596"/>
        <v>3259</v>
      </c>
      <c r="N781" s="25">
        <f t="shared" si="597"/>
        <v>4076</v>
      </c>
      <c r="O781" s="25">
        <f t="shared" si="598"/>
        <v>4103</v>
      </c>
      <c r="R781" s="54">
        <v>1038001</v>
      </c>
      <c r="S781" s="51" t="s">
        <v>366</v>
      </c>
      <c r="T781" s="29">
        <f t="shared" si="603"/>
        <v>1</v>
      </c>
      <c r="U781" s="25">
        <f t="array" ref="U781">INDEX(K$5:K$67,MATCH($S781,$B$5:$B$67,0))</f>
        <v>357.84</v>
      </c>
      <c r="V781" s="25">
        <f t="array" ref="V781">INDEX(L$5:L$67,MATCH($S781,$B$5:$B$67,0))</f>
        <v>53.76</v>
      </c>
      <c r="W781" s="25">
        <f t="array" ref="W781">INDEX(M$5:M$67,MATCH($S781,$B$5:$B$67,0))</f>
        <v>43.01</v>
      </c>
      <c r="X781" s="25">
        <f t="array" ref="X781">INDEX(N$5:N$67,MATCH($S781,$B$5:$B$67,0))</f>
        <v>71.4</v>
      </c>
      <c r="Y781" s="25">
        <f t="shared" si="599"/>
        <v>358</v>
      </c>
      <c r="Z781" s="25">
        <f t="shared" si="600"/>
        <v>54</v>
      </c>
      <c r="AA781" s="25">
        <f t="shared" si="601"/>
        <v>43</v>
      </c>
      <c r="AB781" s="25">
        <f t="shared" si="602"/>
        <v>71</v>
      </c>
    </row>
    <row r="782" spans="1:28">
      <c r="A782" s="53">
        <v>1012044</v>
      </c>
      <c r="B782" s="49" t="s">
        <v>338</v>
      </c>
      <c r="C782" s="25">
        <f t="shared" si="604"/>
        <v>44</v>
      </c>
      <c r="D782" s="25">
        <f t="array" ref="D782">INDEX(C$5:C$67,MATCH($B782,$B$5:$B$67,0))</f>
        <v>3960</v>
      </c>
      <c r="E782" s="25">
        <f t="array" ref="E782">INDEX(D$5:D$67,MATCH($B782,$B$5:$B$67,0))</f>
        <v>316.8</v>
      </c>
      <c r="F782" s="25">
        <f t="array" ref="F782">INDEX(E$5:E$67,MATCH($B782,$B$5:$B$67,0))</f>
        <v>734</v>
      </c>
      <c r="G782" s="25">
        <f t="array" ref="G782">INDEX(F$5:F$67,MATCH($B782,$B$5:$B$67,0))</f>
        <v>58.72</v>
      </c>
      <c r="H782" s="25">
        <f t="array" ref="H782">INDEX(G$5:G$66,MATCH($B782,$B$5:$B$67,0))</f>
        <v>918</v>
      </c>
      <c r="I782" s="25">
        <f t="array" ref="I782">INDEX(H$5:H$67,MATCH($B782,$B$5:$B$67,0))</f>
        <v>73.44</v>
      </c>
      <c r="J782" s="25">
        <f t="array" ref="J782">INDEX(I$5:I$67,MATCH($B782,$B$5:$B$67,0))</f>
        <v>924</v>
      </c>
      <c r="K782" s="25">
        <f t="array" ref="K782">INDEX(J$5:J$67,MATCH($B782,$B$5:$B$67,0))</f>
        <v>73.92</v>
      </c>
      <c r="L782" s="25">
        <f t="shared" si="595"/>
        <v>17899</v>
      </c>
      <c r="M782" s="25">
        <f t="shared" si="596"/>
        <v>3318</v>
      </c>
      <c r="N782" s="25">
        <f t="shared" si="597"/>
        <v>4149</v>
      </c>
      <c r="O782" s="25">
        <f t="shared" si="598"/>
        <v>4176</v>
      </c>
      <c r="R782" s="54">
        <v>1038002</v>
      </c>
      <c r="S782" s="51" t="s">
        <v>366</v>
      </c>
      <c r="T782" s="29">
        <f t="shared" si="603"/>
        <v>2</v>
      </c>
      <c r="U782" s="25">
        <f t="array" ref="U782">INDEX(K$5:K$67,MATCH($S782,$B$5:$B$67,0))</f>
        <v>357.84</v>
      </c>
      <c r="V782" s="25">
        <f t="array" ref="V782">INDEX(L$5:L$67,MATCH($S782,$B$5:$B$67,0))</f>
        <v>53.76</v>
      </c>
      <c r="W782" s="25">
        <f t="array" ref="W782">INDEX(M$5:M$67,MATCH($S782,$B$5:$B$67,0))</f>
        <v>43.01</v>
      </c>
      <c r="X782" s="25">
        <f t="array" ref="X782">INDEX(N$5:N$67,MATCH($S782,$B$5:$B$67,0))</f>
        <v>71.4</v>
      </c>
      <c r="Y782" s="25">
        <f t="shared" si="599"/>
        <v>716</v>
      </c>
      <c r="Z782" s="25">
        <f t="shared" si="600"/>
        <v>108</v>
      </c>
      <c r="AA782" s="25">
        <f t="shared" si="601"/>
        <v>86</v>
      </c>
      <c r="AB782" s="25">
        <f t="shared" si="602"/>
        <v>143</v>
      </c>
    </row>
    <row r="783" spans="1:28">
      <c r="A783" s="53">
        <v>1012045</v>
      </c>
      <c r="B783" s="49" t="s">
        <v>338</v>
      </c>
      <c r="C783" s="25">
        <f t="shared" si="604"/>
        <v>45</v>
      </c>
      <c r="D783" s="25">
        <f t="array" ref="D783">INDEX(C$5:C$67,MATCH($B783,$B$5:$B$67,0))</f>
        <v>3960</v>
      </c>
      <c r="E783" s="25">
        <f t="array" ref="E783">INDEX(D$5:D$67,MATCH($B783,$B$5:$B$67,0))</f>
        <v>316.8</v>
      </c>
      <c r="F783" s="25">
        <f t="array" ref="F783">INDEX(E$5:E$67,MATCH($B783,$B$5:$B$67,0))</f>
        <v>734</v>
      </c>
      <c r="G783" s="25">
        <f t="array" ref="G783">INDEX(F$5:F$67,MATCH($B783,$B$5:$B$67,0))</f>
        <v>58.72</v>
      </c>
      <c r="H783" s="25">
        <f t="array" ref="H783">INDEX(G$5:G$66,MATCH($B783,$B$5:$B$67,0))</f>
        <v>918</v>
      </c>
      <c r="I783" s="25">
        <f t="array" ref="I783">INDEX(H$5:H$67,MATCH($B783,$B$5:$B$67,0))</f>
        <v>73.44</v>
      </c>
      <c r="J783" s="25">
        <f t="array" ref="J783">INDEX(I$5:I$67,MATCH($B783,$B$5:$B$67,0))</f>
        <v>924</v>
      </c>
      <c r="K783" s="25">
        <f t="array" ref="K783">INDEX(J$5:J$67,MATCH($B783,$B$5:$B$67,0))</f>
        <v>73.92</v>
      </c>
      <c r="L783" s="25">
        <f t="shared" ref="L783:L846" si="605">ROUND(D783+E783*$C783,0)</f>
        <v>18216</v>
      </c>
      <c r="M783" s="25">
        <f t="shared" ref="M783:M846" si="606">ROUND(F783+G783*$C783,0)</f>
        <v>3376</v>
      </c>
      <c r="N783" s="25">
        <f t="shared" ref="N783:N846" si="607">ROUND(H783+I783*$C783,0)</f>
        <v>4223</v>
      </c>
      <c r="O783" s="25">
        <f t="shared" ref="O783:O846" si="608">ROUND(J783+K783*$C783,0)</f>
        <v>4250</v>
      </c>
      <c r="R783" s="54">
        <v>1038003</v>
      </c>
      <c r="S783" s="51" t="s">
        <v>366</v>
      </c>
      <c r="T783" s="29">
        <f t="shared" si="603"/>
        <v>3</v>
      </c>
      <c r="U783" s="25">
        <f t="array" ref="U783">INDEX(K$5:K$67,MATCH($S783,$B$5:$B$67,0))</f>
        <v>357.84</v>
      </c>
      <c r="V783" s="25">
        <f t="array" ref="V783">INDEX(L$5:L$67,MATCH($S783,$B$5:$B$67,0))</f>
        <v>53.76</v>
      </c>
      <c r="W783" s="25">
        <f t="array" ref="W783">INDEX(M$5:M$67,MATCH($S783,$B$5:$B$67,0))</f>
        <v>43.01</v>
      </c>
      <c r="X783" s="25">
        <f t="array" ref="X783">INDEX(N$5:N$67,MATCH($S783,$B$5:$B$67,0))</f>
        <v>71.4</v>
      </c>
      <c r="Y783" s="25">
        <f t="shared" ref="Y783:Y846" si="609">ROUND($T783*U783,0)</f>
        <v>1074</v>
      </c>
      <c r="Z783" s="25">
        <f t="shared" ref="Z783:Z846" si="610">ROUND($T783*V783,0)</f>
        <v>161</v>
      </c>
      <c r="AA783" s="25">
        <f t="shared" ref="AA783:AA846" si="611">ROUND($T783*W783,0)</f>
        <v>129</v>
      </c>
      <c r="AB783" s="25">
        <f t="shared" ref="AB783:AB846" si="612">ROUND($T783*X783,0)</f>
        <v>214</v>
      </c>
    </row>
    <row r="784" spans="1:28">
      <c r="A784" s="53">
        <v>1012046</v>
      </c>
      <c r="B784" s="49" t="s">
        <v>338</v>
      </c>
      <c r="C784" s="25">
        <f t="shared" si="604"/>
        <v>46</v>
      </c>
      <c r="D784" s="25">
        <f t="array" ref="D784">INDEX(C$5:C$67,MATCH($B784,$B$5:$B$67,0))</f>
        <v>3960</v>
      </c>
      <c r="E784" s="25">
        <f t="array" ref="E784">INDEX(D$5:D$67,MATCH($B784,$B$5:$B$67,0))</f>
        <v>316.8</v>
      </c>
      <c r="F784" s="25">
        <f t="array" ref="F784">INDEX(E$5:E$67,MATCH($B784,$B$5:$B$67,0))</f>
        <v>734</v>
      </c>
      <c r="G784" s="25">
        <f t="array" ref="G784">INDEX(F$5:F$67,MATCH($B784,$B$5:$B$67,0))</f>
        <v>58.72</v>
      </c>
      <c r="H784" s="25">
        <f t="array" ref="H784">INDEX(G$5:G$66,MATCH($B784,$B$5:$B$67,0))</f>
        <v>918</v>
      </c>
      <c r="I784" s="25">
        <f t="array" ref="I784">INDEX(H$5:H$67,MATCH($B784,$B$5:$B$67,0))</f>
        <v>73.44</v>
      </c>
      <c r="J784" s="25">
        <f t="array" ref="J784">INDEX(I$5:I$67,MATCH($B784,$B$5:$B$67,0))</f>
        <v>924</v>
      </c>
      <c r="K784" s="25">
        <f t="array" ref="K784">INDEX(J$5:J$67,MATCH($B784,$B$5:$B$67,0))</f>
        <v>73.92</v>
      </c>
      <c r="L784" s="25">
        <f t="shared" si="605"/>
        <v>18533</v>
      </c>
      <c r="M784" s="25">
        <f t="shared" si="606"/>
        <v>3435</v>
      </c>
      <c r="N784" s="25">
        <f t="shared" si="607"/>
        <v>4296</v>
      </c>
      <c r="O784" s="25">
        <f t="shared" si="608"/>
        <v>4324</v>
      </c>
      <c r="R784" s="54">
        <v>1038004</v>
      </c>
      <c r="S784" s="51" t="s">
        <v>366</v>
      </c>
      <c r="T784" s="29">
        <f t="shared" si="603"/>
        <v>4</v>
      </c>
      <c r="U784" s="25">
        <f t="array" ref="U784">INDEX(K$5:K$67,MATCH($S784,$B$5:$B$67,0))</f>
        <v>357.84</v>
      </c>
      <c r="V784" s="25">
        <f t="array" ref="V784">INDEX(L$5:L$67,MATCH($S784,$B$5:$B$67,0))</f>
        <v>53.76</v>
      </c>
      <c r="W784" s="25">
        <f t="array" ref="W784">INDEX(M$5:M$67,MATCH($S784,$B$5:$B$67,0))</f>
        <v>43.01</v>
      </c>
      <c r="X784" s="25">
        <f t="array" ref="X784">INDEX(N$5:N$67,MATCH($S784,$B$5:$B$67,0))</f>
        <v>71.4</v>
      </c>
      <c r="Y784" s="25">
        <f t="shared" si="609"/>
        <v>1431</v>
      </c>
      <c r="Z784" s="25">
        <f t="shared" si="610"/>
        <v>215</v>
      </c>
      <c r="AA784" s="25">
        <f t="shared" si="611"/>
        <v>172</v>
      </c>
      <c r="AB784" s="25">
        <f t="shared" si="612"/>
        <v>286</v>
      </c>
    </row>
    <row r="785" spans="1:28">
      <c r="A785" s="53">
        <v>1012047</v>
      </c>
      <c r="B785" s="49" t="s">
        <v>338</v>
      </c>
      <c r="C785" s="25">
        <f t="shared" si="604"/>
        <v>47</v>
      </c>
      <c r="D785" s="25">
        <f t="array" ref="D785">INDEX(C$5:C$67,MATCH($B785,$B$5:$B$67,0))</f>
        <v>3960</v>
      </c>
      <c r="E785" s="25">
        <f t="array" ref="E785">INDEX(D$5:D$67,MATCH($B785,$B$5:$B$67,0))</f>
        <v>316.8</v>
      </c>
      <c r="F785" s="25">
        <f t="array" ref="F785">INDEX(E$5:E$67,MATCH($B785,$B$5:$B$67,0))</f>
        <v>734</v>
      </c>
      <c r="G785" s="25">
        <f t="array" ref="G785">INDEX(F$5:F$67,MATCH($B785,$B$5:$B$67,0))</f>
        <v>58.72</v>
      </c>
      <c r="H785" s="25">
        <f t="array" ref="H785">INDEX(G$5:G$66,MATCH($B785,$B$5:$B$67,0))</f>
        <v>918</v>
      </c>
      <c r="I785" s="25">
        <f t="array" ref="I785">INDEX(H$5:H$67,MATCH($B785,$B$5:$B$67,0))</f>
        <v>73.44</v>
      </c>
      <c r="J785" s="25">
        <f t="array" ref="J785">INDEX(I$5:I$67,MATCH($B785,$B$5:$B$67,0))</f>
        <v>924</v>
      </c>
      <c r="K785" s="25">
        <f t="array" ref="K785">INDEX(J$5:J$67,MATCH($B785,$B$5:$B$67,0))</f>
        <v>73.92</v>
      </c>
      <c r="L785" s="25">
        <f t="shared" si="605"/>
        <v>18850</v>
      </c>
      <c r="M785" s="25">
        <f t="shared" si="606"/>
        <v>3494</v>
      </c>
      <c r="N785" s="25">
        <f t="shared" si="607"/>
        <v>4370</v>
      </c>
      <c r="O785" s="25">
        <f t="shared" si="608"/>
        <v>4398</v>
      </c>
      <c r="R785" s="54">
        <v>1038005</v>
      </c>
      <c r="S785" s="51" t="s">
        <v>366</v>
      </c>
      <c r="T785" s="29">
        <f t="shared" si="603"/>
        <v>5</v>
      </c>
      <c r="U785" s="25">
        <f t="array" ref="U785">INDEX(K$5:K$67,MATCH($S785,$B$5:$B$67,0))</f>
        <v>357.84</v>
      </c>
      <c r="V785" s="25">
        <f t="array" ref="V785">INDEX(L$5:L$67,MATCH($S785,$B$5:$B$67,0))</f>
        <v>53.76</v>
      </c>
      <c r="W785" s="25">
        <f t="array" ref="W785">INDEX(M$5:M$67,MATCH($S785,$B$5:$B$67,0))</f>
        <v>43.01</v>
      </c>
      <c r="X785" s="25">
        <f t="array" ref="X785">INDEX(N$5:N$67,MATCH($S785,$B$5:$B$67,0))</f>
        <v>71.4</v>
      </c>
      <c r="Y785" s="25">
        <f t="shared" si="609"/>
        <v>1789</v>
      </c>
      <c r="Z785" s="25">
        <f t="shared" si="610"/>
        <v>269</v>
      </c>
      <c r="AA785" s="25">
        <f t="shared" si="611"/>
        <v>215</v>
      </c>
      <c r="AB785" s="25">
        <f t="shared" si="612"/>
        <v>357</v>
      </c>
    </row>
    <row r="786" spans="1:28">
      <c r="A786" s="53">
        <v>1012048</v>
      </c>
      <c r="B786" s="49" t="s">
        <v>338</v>
      </c>
      <c r="C786" s="25">
        <f t="shared" si="604"/>
        <v>48</v>
      </c>
      <c r="D786" s="25">
        <f t="array" ref="D786">INDEX(C$5:C$67,MATCH($B786,$B$5:$B$67,0))</f>
        <v>3960</v>
      </c>
      <c r="E786" s="25">
        <f t="array" ref="E786">INDEX(D$5:D$67,MATCH($B786,$B$5:$B$67,0))</f>
        <v>316.8</v>
      </c>
      <c r="F786" s="25">
        <f t="array" ref="F786">INDEX(E$5:E$67,MATCH($B786,$B$5:$B$67,0))</f>
        <v>734</v>
      </c>
      <c r="G786" s="25">
        <f t="array" ref="G786">INDEX(F$5:F$67,MATCH($B786,$B$5:$B$67,0))</f>
        <v>58.72</v>
      </c>
      <c r="H786" s="25">
        <f t="array" ref="H786">INDEX(G$5:G$66,MATCH($B786,$B$5:$B$67,0))</f>
        <v>918</v>
      </c>
      <c r="I786" s="25">
        <f t="array" ref="I786">INDEX(H$5:H$67,MATCH($B786,$B$5:$B$67,0))</f>
        <v>73.44</v>
      </c>
      <c r="J786" s="25">
        <f t="array" ref="J786">INDEX(I$5:I$67,MATCH($B786,$B$5:$B$67,0))</f>
        <v>924</v>
      </c>
      <c r="K786" s="25">
        <f t="array" ref="K786">INDEX(J$5:J$67,MATCH($B786,$B$5:$B$67,0))</f>
        <v>73.92</v>
      </c>
      <c r="L786" s="25">
        <f t="shared" si="605"/>
        <v>19166</v>
      </c>
      <c r="M786" s="25">
        <f t="shared" si="606"/>
        <v>3553</v>
      </c>
      <c r="N786" s="25">
        <f t="shared" si="607"/>
        <v>4443</v>
      </c>
      <c r="O786" s="25">
        <f t="shared" si="608"/>
        <v>4472</v>
      </c>
      <c r="R786" s="54">
        <v>1038006</v>
      </c>
      <c r="S786" s="51" t="s">
        <v>366</v>
      </c>
      <c r="T786" s="29">
        <f t="shared" si="603"/>
        <v>6</v>
      </c>
      <c r="U786" s="25">
        <f t="array" ref="U786">INDEX(K$5:K$67,MATCH($S786,$B$5:$B$67,0))</f>
        <v>357.84</v>
      </c>
      <c r="V786" s="25">
        <f t="array" ref="V786">INDEX(L$5:L$67,MATCH($S786,$B$5:$B$67,0))</f>
        <v>53.76</v>
      </c>
      <c r="W786" s="25">
        <f t="array" ref="W786">INDEX(M$5:M$67,MATCH($S786,$B$5:$B$67,0))</f>
        <v>43.01</v>
      </c>
      <c r="X786" s="25">
        <f t="array" ref="X786">INDEX(N$5:N$67,MATCH($S786,$B$5:$B$67,0))</f>
        <v>71.4</v>
      </c>
      <c r="Y786" s="25">
        <f t="shared" si="609"/>
        <v>2147</v>
      </c>
      <c r="Z786" s="25">
        <f t="shared" si="610"/>
        <v>323</v>
      </c>
      <c r="AA786" s="25">
        <f t="shared" si="611"/>
        <v>258</v>
      </c>
      <c r="AB786" s="25">
        <f t="shared" si="612"/>
        <v>428</v>
      </c>
    </row>
    <row r="787" spans="1:28">
      <c r="A787" s="53">
        <v>1012049</v>
      </c>
      <c r="B787" s="49" t="s">
        <v>338</v>
      </c>
      <c r="C787" s="25">
        <f t="shared" si="604"/>
        <v>49</v>
      </c>
      <c r="D787" s="25">
        <f t="array" ref="D787">INDEX(C$5:C$67,MATCH($B787,$B$5:$B$67,0))</f>
        <v>3960</v>
      </c>
      <c r="E787" s="25">
        <f t="array" ref="E787">INDEX(D$5:D$67,MATCH($B787,$B$5:$B$67,0))</f>
        <v>316.8</v>
      </c>
      <c r="F787" s="25">
        <f t="array" ref="F787">INDEX(E$5:E$67,MATCH($B787,$B$5:$B$67,0))</f>
        <v>734</v>
      </c>
      <c r="G787" s="25">
        <f t="array" ref="G787">INDEX(F$5:F$67,MATCH($B787,$B$5:$B$67,0))</f>
        <v>58.72</v>
      </c>
      <c r="H787" s="25">
        <f t="array" ref="H787">INDEX(G$5:G$66,MATCH($B787,$B$5:$B$67,0))</f>
        <v>918</v>
      </c>
      <c r="I787" s="25">
        <f t="array" ref="I787">INDEX(H$5:H$67,MATCH($B787,$B$5:$B$67,0))</f>
        <v>73.44</v>
      </c>
      <c r="J787" s="25">
        <f t="array" ref="J787">INDEX(I$5:I$67,MATCH($B787,$B$5:$B$67,0))</f>
        <v>924</v>
      </c>
      <c r="K787" s="25">
        <f t="array" ref="K787">INDEX(J$5:J$67,MATCH($B787,$B$5:$B$67,0))</f>
        <v>73.92</v>
      </c>
      <c r="L787" s="25">
        <f t="shared" si="605"/>
        <v>19483</v>
      </c>
      <c r="M787" s="25">
        <f t="shared" si="606"/>
        <v>3611</v>
      </c>
      <c r="N787" s="25">
        <f t="shared" si="607"/>
        <v>4517</v>
      </c>
      <c r="O787" s="25">
        <f t="shared" si="608"/>
        <v>4546</v>
      </c>
      <c r="R787" s="54">
        <v>1038007</v>
      </c>
      <c r="S787" s="51" t="s">
        <v>366</v>
      </c>
      <c r="T787" s="29">
        <f t="shared" si="603"/>
        <v>7</v>
      </c>
      <c r="U787" s="25">
        <f t="array" ref="U787">INDEX(K$5:K$67,MATCH($S787,$B$5:$B$67,0))</f>
        <v>357.84</v>
      </c>
      <c r="V787" s="25">
        <f t="array" ref="V787">INDEX(L$5:L$67,MATCH($S787,$B$5:$B$67,0))</f>
        <v>53.76</v>
      </c>
      <c r="W787" s="25">
        <f t="array" ref="W787">INDEX(M$5:M$67,MATCH($S787,$B$5:$B$67,0))</f>
        <v>43.01</v>
      </c>
      <c r="X787" s="25">
        <f t="array" ref="X787">INDEX(N$5:N$67,MATCH($S787,$B$5:$B$67,0))</f>
        <v>71.4</v>
      </c>
      <c r="Y787" s="25">
        <f t="shared" si="609"/>
        <v>2505</v>
      </c>
      <c r="Z787" s="25">
        <f t="shared" si="610"/>
        <v>376</v>
      </c>
      <c r="AA787" s="25">
        <f t="shared" si="611"/>
        <v>301</v>
      </c>
      <c r="AB787" s="25">
        <f t="shared" si="612"/>
        <v>500</v>
      </c>
    </row>
    <row r="788" spans="1:28">
      <c r="A788" s="53">
        <v>1012050</v>
      </c>
      <c r="B788" s="49" t="s">
        <v>338</v>
      </c>
      <c r="C788" s="25">
        <f t="shared" si="604"/>
        <v>50</v>
      </c>
      <c r="D788" s="25">
        <f t="array" ref="D788">INDEX(C$5:C$67,MATCH($B788,$B$5:$B$67,0))</f>
        <v>3960</v>
      </c>
      <c r="E788" s="25">
        <f t="array" ref="E788">INDEX(D$5:D$67,MATCH($B788,$B$5:$B$67,0))</f>
        <v>316.8</v>
      </c>
      <c r="F788" s="25">
        <f t="array" ref="F788">INDEX(E$5:E$67,MATCH($B788,$B$5:$B$67,0))</f>
        <v>734</v>
      </c>
      <c r="G788" s="25">
        <f t="array" ref="G788">INDEX(F$5:F$67,MATCH($B788,$B$5:$B$67,0))</f>
        <v>58.72</v>
      </c>
      <c r="H788" s="25">
        <f t="array" ref="H788">INDEX(G$5:G$66,MATCH($B788,$B$5:$B$67,0))</f>
        <v>918</v>
      </c>
      <c r="I788" s="25">
        <f t="array" ref="I788">INDEX(H$5:H$67,MATCH($B788,$B$5:$B$67,0))</f>
        <v>73.44</v>
      </c>
      <c r="J788" s="25">
        <f t="array" ref="J788">INDEX(I$5:I$67,MATCH($B788,$B$5:$B$67,0))</f>
        <v>924</v>
      </c>
      <c r="K788" s="25">
        <f t="array" ref="K788">INDEX(J$5:J$67,MATCH($B788,$B$5:$B$67,0))</f>
        <v>73.92</v>
      </c>
      <c r="L788" s="25">
        <f t="shared" si="605"/>
        <v>19800</v>
      </c>
      <c r="M788" s="25">
        <f t="shared" si="606"/>
        <v>3670</v>
      </c>
      <c r="N788" s="25">
        <f t="shared" si="607"/>
        <v>4590</v>
      </c>
      <c r="O788" s="25">
        <f t="shared" si="608"/>
        <v>4620</v>
      </c>
      <c r="R788" s="54">
        <v>1038008</v>
      </c>
      <c r="S788" s="51" t="s">
        <v>366</v>
      </c>
      <c r="T788" s="29">
        <f t="shared" si="603"/>
        <v>8</v>
      </c>
      <c r="U788" s="25">
        <f t="array" ref="U788">INDEX(K$5:K$67,MATCH($S788,$B$5:$B$67,0))</f>
        <v>357.84</v>
      </c>
      <c r="V788" s="25">
        <f t="array" ref="V788">INDEX(L$5:L$67,MATCH($S788,$B$5:$B$67,0))</f>
        <v>53.76</v>
      </c>
      <c r="W788" s="25">
        <f t="array" ref="W788">INDEX(M$5:M$67,MATCH($S788,$B$5:$B$67,0))</f>
        <v>43.01</v>
      </c>
      <c r="X788" s="25">
        <f t="array" ref="X788">INDEX(N$5:N$67,MATCH($S788,$B$5:$B$67,0))</f>
        <v>71.4</v>
      </c>
      <c r="Y788" s="25">
        <f t="shared" si="609"/>
        <v>2863</v>
      </c>
      <c r="Z788" s="25">
        <f t="shared" si="610"/>
        <v>430</v>
      </c>
      <c r="AA788" s="25">
        <f t="shared" si="611"/>
        <v>344</v>
      </c>
      <c r="AB788" s="25">
        <f t="shared" si="612"/>
        <v>571</v>
      </c>
    </row>
    <row r="789" spans="1:28">
      <c r="A789" s="53">
        <v>1012051</v>
      </c>
      <c r="B789" s="49" t="s">
        <v>338</v>
      </c>
      <c r="C789" s="25">
        <f t="shared" si="604"/>
        <v>51</v>
      </c>
      <c r="D789" s="25">
        <f t="array" ref="D789">INDEX(C$5:C$67,MATCH($B789,$B$5:$B$67,0))</f>
        <v>3960</v>
      </c>
      <c r="E789" s="25">
        <f t="array" ref="E789">INDEX(D$5:D$67,MATCH($B789,$B$5:$B$67,0))</f>
        <v>316.8</v>
      </c>
      <c r="F789" s="25">
        <f t="array" ref="F789">INDEX(E$5:E$67,MATCH($B789,$B$5:$B$67,0))</f>
        <v>734</v>
      </c>
      <c r="G789" s="25">
        <f t="array" ref="G789">INDEX(F$5:F$67,MATCH($B789,$B$5:$B$67,0))</f>
        <v>58.72</v>
      </c>
      <c r="H789" s="25">
        <f t="array" ref="H789">INDEX(G$5:G$66,MATCH($B789,$B$5:$B$67,0))</f>
        <v>918</v>
      </c>
      <c r="I789" s="25">
        <f t="array" ref="I789">INDEX(H$5:H$67,MATCH($B789,$B$5:$B$67,0))</f>
        <v>73.44</v>
      </c>
      <c r="J789" s="25">
        <f t="array" ref="J789">INDEX(I$5:I$67,MATCH($B789,$B$5:$B$67,0))</f>
        <v>924</v>
      </c>
      <c r="K789" s="25">
        <f t="array" ref="K789">INDEX(J$5:J$67,MATCH($B789,$B$5:$B$67,0))</f>
        <v>73.92</v>
      </c>
      <c r="L789" s="25">
        <f t="shared" si="605"/>
        <v>20117</v>
      </c>
      <c r="M789" s="25">
        <f t="shared" si="606"/>
        <v>3729</v>
      </c>
      <c r="N789" s="25">
        <f t="shared" si="607"/>
        <v>4663</v>
      </c>
      <c r="O789" s="25">
        <f t="shared" si="608"/>
        <v>4694</v>
      </c>
      <c r="R789" s="54">
        <v>1038009</v>
      </c>
      <c r="S789" s="51" t="s">
        <v>366</v>
      </c>
      <c r="T789" s="29">
        <f t="shared" si="603"/>
        <v>9</v>
      </c>
      <c r="U789" s="25">
        <f t="array" ref="U789">INDEX(K$5:K$67,MATCH($S789,$B$5:$B$67,0))</f>
        <v>357.84</v>
      </c>
      <c r="V789" s="25">
        <f t="array" ref="V789">INDEX(L$5:L$67,MATCH($S789,$B$5:$B$67,0))</f>
        <v>53.76</v>
      </c>
      <c r="W789" s="25">
        <f t="array" ref="W789">INDEX(M$5:M$67,MATCH($S789,$B$5:$B$67,0))</f>
        <v>43.01</v>
      </c>
      <c r="X789" s="25">
        <f t="array" ref="X789">INDEX(N$5:N$67,MATCH($S789,$B$5:$B$67,0))</f>
        <v>71.4</v>
      </c>
      <c r="Y789" s="25">
        <f t="shared" si="609"/>
        <v>3221</v>
      </c>
      <c r="Z789" s="25">
        <f t="shared" si="610"/>
        <v>484</v>
      </c>
      <c r="AA789" s="25">
        <f t="shared" si="611"/>
        <v>387</v>
      </c>
      <c r="AB789" s="25">
        <f t="shared" si="612"/>
        <v>643</v>
      </c>
    </row>
    <row r="790" spans="1:28">
      <c r="A790" s="53">
        <v>1012052</v>
      </c>
      <c r="B790" s="49" t="s">
        <v>338</v>
      </c>
      <c r="C790" s="25">
        <f t="shared" si="604"/>
        <v>52</v>
      </c>
      <c r="D790" s="25">
        <f t="array" ref="D790">INDEX(C$5:C$67,MATCH($B790,$B$5:$B$67,0))</f>
        <v>3960</v>
      </c>
      <c r="E790" s="25">
        <f t="array" ref="E790">INDEX(D$5:D$67,MATCH($B790,$B$5:$B$67,0))</f>
        <v>316.8</v>
      </c>
      <c r="F790" s="25">
        <f t="array" ref="F790">INDEX(E$5:E$67,MATCH($B790,$B$5:$B$67,0))</f>
        <v>734</v>
      </c>
      <c r="G790" s="25">
        <f t="array" ref="G790">INDEX(F$5:F$67,MATCH($B790,$B$5:$B$67,0))</f>
        <v>58.72</v>
      </c>
      <c r="H790" s="25">
        <f t="array" ref="H790">INDEX(G$5:G$66,MATCH($B790,$B$5:$B$67,0))</f>
        <v>918</v>
      </c>
      <c r="I790" s="25">
        <f t="array" ref="I790">INDEX(H$5:H$67,MATCH($B790,$B$5:$B$67,0))</f>
        <v>73.44</v>
      </c>
      <c r="J790" s="25">
        <f t="array" ref="J790">INDEX(I$5:I$67,MATCH($B790,$B$5:$B$67,0))</f>
        <v>924</v>
      </c>
      <c r="K790" s="25">
        <f t="array" ref="K790">INDEX(J$5:J$67,MATCH($B790,$B$5:$B$67,0))</f>
        <v>73.92</v>
      </c>
      <c r="L790" s="25">
        <f t="shared" si="605"/>
        <v>20434</v>
      </c>
      <c r="M790" s="25">
        <f t="shared" si="606"/>
        <v>3787</v>
      </c>
      <c r="N790" s="25">
        <f t="shared" si="607"/>
        <v>4737</v>
      </c>
      <c r="O790" s="25">
        <f t="shared" si="608"/>
        <v>4768</v>
      </c>
      <c r="R790" s="54">
        <v>1038010</v>
      </c>
      <c r="S790" s="51" t="s">
        <v>366</v>
      </c>
      <c r="T790" s="29">
        <f t="shared" si="603"/>
        <v>10</v>
      </c>
      <c r="U790" s="25">
        <f t="array" ref="U790">INDEX(K$5:K$67,MATCH($S790,$B$5:$B$67,0))</f>
        <v>357.84</v>
      </c>
      <c r="V790" s="25">
        <f t="array" ref="V790">INDEX(L$5:L$67,MATCH($S790,$B$5:$B$67,0))</f>
        <v>53.76</v>
      </c>
      <c r="W790" s="25">
        <f t="array" ref="W790">INDEX(M$5:M$67,MATCH($S790,$B$5:$B$67,0))</f>
        <v>43.01</v>
      </c>
      <c r="X790" s="25">
        <f t="array" ref="X790">INDEX(N$5:N$67,MATCH($S790,$B$5:$B$67,0))</f>
        <v>71.4</v>
      </c>
      <c r="Y790" s="25">
        <f t="shared" si="609"/>
        <v>3578</v>
      </c>
      <c r="Z790" s="25">
        <f t="shared" si="610"/>
        <v>538</v>
      </c>
      <c r="AA790" s="25">
        <f t="shared" si="611"/>
        <v>430</v>
      </c>
      <c r="AB790" s="25">
        <f t="shared" si="612"/>
        <v>714</v>
      </c>
    </row>
    <row r="791" spans="1:28">
      <c r="A791" s="53">
        <v>1012053</v>
      </c>
      <c r="B791" s="49" t="s">
        <v>338</v>
      </c>
      <c r="C791" s="25">
        <f t="shared" si="604"/>
        <v>53</v>
      </c>
      <c r="D791" s="25">
        <f t="array" ref="D791">INDEX(C$5:C$67,MATCH($B791,$B$5:$B$67,0))</f>
        <v>3960</v>
      </c>
      <c r="E791" s="25">
        <f t="array" ref="E791">INDEX(D$5:D$67,MATCH($B791,$B$5:$B$67,0))</f>
        <v>316.8</v>
      </c>
      <c r="F791" s="25">
        <f t="array" ref="F791">INDEX(E$5:E$67,MATCH($B791,$B$5:$B$67,0))</f>
        <v>734</v>
      </c>
      <c r="G791" s="25">
        <f t="array" ref="G791">INDEX(F$5:F$67,MATCH($B791,$B$5:$B$67,0))</f>
        <v>58.72</v>
      </c>
      <c r="H791" s="25">
        <f t="array" ref="H791">INDEX(G$5:G$66,MATCH($B791,$B$5:$B$67,0))</f>
        <v>918</v>
      </c>
      <c r="I791" s="25">
        <f t="array" ref="I791">INDEX(H$5:H$67,MATCH($B791,$B$5:$B$67,0))</f>
        <v>73.44</v>
      </c>
      <c r="J791" s="25">
        <f t="array" ref="J791">INDEX(I$5:I$67,MATCH($B791,$B$5:$B$67,0))</f>
        <v>924</v>
      </c>
      <c r="K791" s="25">
        <f t="array" ref="K791">INDEX(J$5:J$67,MATCH($B791,$B$5:$B$67,0))</f>
        <v>73.92</v>
      </c>
      <c r="L791" s="25">
        <f t="shared" si="605"/>
        <v>20750</v>
      </c>
      <c r="M791" s="25">
        <f t="shared" si="606"/>
        <v>3846</v>
      </c>
      <c r="N791" s="25">
        <f t="shared" si="607"/>
        <v>4810</v>
      </c>
      <c r="O791" s="25">
        <f t="shared" si="608"/>
        <v>4842</v>
      </c>
      <c r="R791" s="54">
        <v>1038011</v>
      </c>
      <c r="S791" s="51" t="s">
        <v>366</v>
      </c>
      <c r="T791" s="29">
        <f t="shared" si="603"/>
        <v>11</v>
      </c>
      <c r="U791" s="25">
        <f t="array" ref="U791">INDEX(K$5:K$67,MATCH($S791,$B$5:$B$67,0))</f>
        <v>357.84</v>
      </c>
      <c r="V791" s="25">
        <f t="array" ref="V791">INDEX(L$5:L$67,MATCH($S791,$B$5:$B$67,0))</f>
        <v>53.76</v>
      </c>
      <c r="W791" s="25">
        <f t="array" ref="W791">INDEX(M$5:M$67,MATCH($S791,$B$5:$B$67,0))</f>
        <v>43.01</v>
      </c>
      <c r="X791" s="25">
        <f t="array" ref="X791">INDEX(N$5:N$67,MATCH($S791,$B$5:$B$67,0))</f>
        <v>71.4</v>
      </c>
      <c r="Y791" s="25">
        <f t="shared" si="609"/>
        <v>3936</v>
      </c>
      <c r="Z791" s="25">
        <f t="shared" si="610"/>
        <v>591</v>
      </c>
      <c r="AA791" s="25">
        <f t="shared" si="611"/>
        <v>473</v>
      </c>
      <c r="AB791" s="25">
        <f t="shared" si="612"/>
        <v>785</v>
      </c>
    </row>
    <row r="792" spans="1:28">
      <c r="A792" s="53">
        <v>1012054</v>
      </c>
      <c r="B792" s="49" t="s">
        <v>338</v>
      </c>
      <c r="C792" s="25">
        <f t="shared" si="604"/>
        <v>54</v>
      </c>
      <c r="D792" s="25">
        <f t="array" ref="D792">INDEX(C$5:C$67,MATCH($B792,$B$5:$B$67,0))</f>
        <v>3960</v>
      </c>
      <c r="E792" s="25">
        <f t="array" ref="E792">INDEX(D$5:D$67,MATCH($B792,$B$5:$B$67,0))</f>
        <v>316.8</v>
      </c>
      <c r="F792" s="25">
        <f t="array" ref="F792">INDEX(E$5:E$67,MATCH($B792,$B$5:$B$67,0))</f>
        <v>734</v>
      </c>
      <c r="G792" s="25">
        <f t="array" ref="G792">INDEX(F$5:F$67,MATCH($B792,$B$5:$B$67,0))</f>
        <v>58.72</v>
      </c>
      <c r="H792" s="25">
        <f t="array" ref="H792">INDEX(G$5:G$66,MATCH($B792,$B$5:$B$67,0))</f>
        <v>918</v>
      </c>
      <c r="I792" s="25">
        <f t="array" ref="I792">INDEX(H$5:H$67,MATCH($B792,$B$5:$B$67,0))</f>
        <v>73.44</v>
      </c>
      <c r="J792" s="25">
        <f t="array" ref="J792">INDEX(I$5:I$67,MATCH($B792,$B$5:$B$67,0))</f>
        <v>924</v>
      </c>
      <c r="K792" s="25">
        <f t="array" ref="K792">INDEX(J$5:J$67,MATCH($B792,$B$5:$B$67,0))</f>
        <v>73.92</v>
      </c>
      <c r="L792" s="25">
        <f t="shared" si="605"/>
        <v>21067</v>
      </c>
      <c r="M792" s="25">
        <f t="shared" si="606"/>
        <v>3905</v>
      </c>
      <c r="N792" s="25">
        <f t="shared" si="607"/>
        <v>4884</v>
      </c>
      <c r="O792" s="25">
        <f t="shared" si="608"/>
        <v>4916</v>
      </c>
      <c r="R792" s="54">
        <v>1038012</v>
      </c>
      <c r="S792" s="51" t="s">
        <v>366</v>
      </c>
      <c r="T792" s="29">
        <f t="shared" si="603"/>
        <v>12</v>
      </c>
      <c r="U792" s="25">
        <f t="array" ref="U792">INDEX(K$5:K$67,MATCH($S792,$B$5:$B$67,0))</f>
        <v>357.84</v>
      </c>
      <c r="V792" s="25">
        <f t="array" ref="V792">INDEX(L$5:L$67,MATCH($S792,$B$5:$B$67,0))</f>
        <v>53.76</v>
      </c>
      <c r="W792" s="25">
        <f t="array" ref="W792">INDEX(M$5:M$67,MATCH($S792,$B$5:$B$67,0))</f>
        <v>43.01</v>
      </c>
      <c r="X792" s="25">
        <f t="array" ref="X792">INDEX(N$5:N$67,MATCH($S792,$B$5:$B$67,0))</f>
        <v>71.4</v>
      </c>
      <c r="Y792" s="25">
        <f t="shared" si="609"/>
        <v>4294</v>
      </c>
      <c r="Z792" s="25">
        <f t="shared" si="610"/>
        <v>645</v>
      </c>
      <c r="AA792" s="25">
        <f t="shared" si="611"/>
        <v>516</v>
      </c>
      <c r="AB792" s="25">
        <f t="shared" si="612"/>
        <v>857</v>
      </c>
    </row>
    <row r="793" spans="1:28">
      <c r="A793" s="53">
        <v>1012055</v>
      </c>
      <c r="B793" s="49" t="s">
        <v>338</v>
      </c>
      <c r="C793" s="25">
        <f t="shared" si="604"/>
        <v>55</v>
      </c>
      <c r="D793" s="25">
        <f t="array" ref="D793">INDEX(C$5:C$67,MATCH($B793,$B$5:$B$67,0))</f>
        <v>3960</v>
      </c>
      <c r="E793" s="25">
        <f t="array" ref="E793">INDEX(D$5:D$67,MATCH($B793,$B$5:$B$67,0))</f>
        <v>316.8</v>
      </c>
      <c r="F793" s="25">
        <f t="array" ref="F793">INDEX(E$5:E$67,MATCH($B793,$B$5:$B$67,0))</f>
        <v>734</v>
      </c>
      <c r="G793" s="25">
        <f t="array" ref="G793">INDEX(F$5:F$67,MATCH($B793,$B$5:$B$67,0))</f>
        <v>58.72</v>
      </c>
      <c r="H793" s="25">
        <f t="array" ref="H793">INDEX(G$5:G$66,MATCH($B793,$B$5:$B$67,0))</f>
        <v>918</v>
      </c>
      <c r="I793" s="25">
        <f t="array" ref="I793">INDEX(H$5:H$67,MATCH($B793,$B$5:$B$67,0))</f>
        <v>73.44</v>
      </c>
      <c r="J793" s="25">
        <f t="array" ref="J793">INDEX(I$5:I$67,MATCH($B793,$B$5:$B$67,0))</f>
        <v>924</v>
      </c>
      <c r="K793" s="25">
        <f t="array" ref="K793">INDEX(J$5:J$67,MATCH($B793,$B$5:$B$67,0))</f>
        <v>73.92</v>
      </c>
      <c r="L793" s="25">
        <f t="shared" si="605"/>
        <v>21384</v>
      </c>
      <c r="M793" s="25">
        <f t="shared" si="606"/>
        <v>3964</v>
      </c>
      <c r="N793" s="25">
        <f t="shared" si="607"/>
        <v>4957</v>
      </c>
      <c r="O793" s="25">
        <f t="shared" si="608"/>
        <v>4990</v>
      </c>
      <c r="R793" s="54">
        <v>1038013</v>
      </c>
      <c r="S793" s="51" t="s">
        <v>366</v>
      </c>
      <c r="T793" s="29">
        <f t="shared" si="603"/>
        <v>13</v>
      </c>
      <c r="U793" s="25">
        <f t="array" ref="U793">INDEX(K$5:K$67,MATCH($S793,$B$5:$B$67,0))</f>
        <v>357.84</v>
      </c>
      <c r="V793" s="25">
        <f t="array" ref="V793">INDEX(L$5:L$67,MATCH($S793,$B$5:$B$67,0))</f>
        <v>53.76</v>
      </c>
      <c r="W793" s="25">
        <f t="array" ref="W793">INDEX(M$5:M$67,MATCH($S793,$B$5:$B$67,0))</f>
        <v>43.01</v>
      </c>
      <c r="X793" s="25">
        <f t="array" ref="X793">INDEX(N$5:N$67,MATCH($S793,$B$5:$B$67,0))</f>
        <v>71.4</v>
      </c>
      <c r="Y793" s="25">
        <f t="shared" si="609"/>
        <v>4652</v>
      </c>
      <c r="Z793" s="25">
        <f t="shared" si="610"/>
        <v>699</v>
      </c>
      <c r="AA793" s="25">
        <f t="shared" si="611"/>
        <v>559</v>
      </c>
      <c r="AB793" s="25">
        <f t="shared" si="612"/>
        <v>928</v>
      </c>
    </row>
    <row r="794" spans="1:28">
      <c r="A794" s="53">
        <v>1012056</v>
      </c>
      <c r="B794" s="49" t="s">
        <v>338</v>
      </c>
      <c r="C794" s="25">
        <f t="shared" si="604"/>
        <v>56</v>
      </c>
      <c r="D794" s="25">
        <f t="array" ref="D794">INDEX(C$5:C$67,MATCH($B794,$B$5:$B$67,0))</f>
        <v>3960</v>
      </c>
      <c r="E794" s="25">
        <f t="array" ref="E794">INDEX(D$5:D$67,MATCH($B794,$B$5:$B$67,0))</f>
        <v>316.8</v>
      </c>
      <c r="F794" s="25">
        <f t="array" ref="F794">INDEX(E$5:E$67,MATCH($B794,$B$5:$B$67,0))</f>
        <v>734</v>
      </c>
      <c r="G794" s="25">
        <f t="array" ref="G794">INDEX(F$5:F$67,MATCH($B794,$B$5:$B$67,0))</f>
        <v>58.72</v>
      </c>
      <c r="H794" s="25">
        <f t="array" ref="H794">INDEX(G$5:G$66,MATCH($B794,$B$5:$B$67,0))</f>
        <v>918</v>
      </c>
      <c r="I794" s="25">
        <f t="array" ref="I794">INDEX(H$5:H$67,MATCH($B794,$B$5:$B$67,0))</f>
        <v>73.44</v>
      </c>
      <c r="J794" s="25">
        <f t="array" ref="J794">INDEX(I$5:I$67,MATCH($B794,$B$5:$B$67,0))</f>
        <v>924</v>
      </c>
      <c r="K794" s="25">
        <f t="array" ref="K794">INDEX(J$5:J$67,MATCH($B794,$B$5:$B$67,0))</f>
        <v>73.92</v>
      </c>
      <c r="L794" s="25">
        <f t="shared" si="605"/>
        <v>21701</v>
      </c>
      <c r="M794" s="25">
        <f t="shared" si="606"/>
        <v>4022</v>
      </c>
      <c r="N794" s="25">
        <f t="shared" si="607"/>
        <v>5031</v>
      </c>
      <c r="O794" s="25">
        <f t="shared" si="608"/>
        <v>5064</v>
      </c>
      <c r="R794" s="54">
        <v>1038014</v>
      </c>
      <c r="S794" s="51" t="s">
        <v>366</v>
      </c>
      <c r="T794" s="29">
        <f t="shared" si="603"/>
        <v>14</v>
      </c>
      <c r="U794" s="25">
        <f t="array" ref="U794">INDEX(K$5:K$67,MATCH($S794,$B$5:$B$67,0))</f>
        <v>357.84</v>
      </c>
      <c r="V794" s="25">
        <f t="array" ref="V794">INDEX(L$5:L$67,MATCH($S794,$B$5:$B$67,0))</f>
        <v>53.76</v>
      </c>
      <c r="W794" s="25">
        <f t="array" ref="W794">INDEX(M$5:M$67,MATCH($S794,$B$5:$B$67,0))</f>
        <v>43.01</v>
      </c>
      <c r="X794" s="25">
        <f t="array" ref="X794">INDEX(N$5:N$67,MATCH($S794,$B$5:$B$67,0))</f>
        <v>71.4</v>
      </c>
      <c r="Y794" s="25">
        <f t="shared" si="609"/>
        <v>5010</v>
      </c>
      <c r="Z794" s="25">
        <f t="shared" si="610"/>
        <v>753</v>
      </c>
      <c r="AA794" s="25">
        <f t="shared" si="611"/>
        <v>602</v>
      </c>
      <c r="AB794" s="25">
        <f t="shared" si="612"/>
        <v>1000</v>
      </c>
    </row>
    <row r="795" spans="1:28">
      <c r="A795" s="53">
        <v>1012057</v>
      </c>
      <c r="B795" s="49" t="s">
        <v>338</v>
      </c>
      <c r="C795" s="25">
        <f t="shared" si="604"/>
        <v>57</v>
      </c>
      <c r="D795" s="25">
        <f t="array" ref="D795">INDEX(C$5:C$67,MATCH($B795,$B$5:$B$67,0))</f>
        <v>3960</v>
      </c>
      <c r="E795" s="25">
        <f t="array" ref="E795">INDEX(D$5:D$67,MATCH($B795,$B$5:$B$67,0))</f>
        <v>316.8</v>
      </c>
      <c r="F795" s="25">
        <f t="array" ref="F795">INDEX(E$5:E$67,MATCH($B795,$B$5:$B$67,0))</f>
        <v>734</v>
      </c>
      <c r="G795" s="25">
        <f t="array" ref="G795">INDEX(F$5:F$67,MATCH($B795,$B$5:$B$67,0))</f>
        <v>58.72</v>
      </c>
      <c r="H795" s="25">
        <f t="array" ref="H795">INDEX(G$5:G$66,MATCH($B795,$B$5:$B$67,0))</f>
        <v>918</v>
      </c>
      <c r="I795" s="25">
        <f t="array" ref="I795">INDEX(H$5:H$67,MATCH($B795,$B$5:$B$67,0))</f>
        <v>73.44</v>
      </c>
      <c r="J795" s="25">
        <f t="array" ref="J795">INDEX(I$5:I$67,MATCH($B795,$B$5:$B$67,0))</f>
        <v>924</v>
      </c>
      <c r="K795" s="25">
        <f t="array" ref="K795">INDEX(J$5:J$67,MATCH($B795,$B$5:$B$67,0))</f>
        <v>73.92</v>
      </c>
      <c r="L795" s="25">
        <f t="shared" si="605"/>
        <v>22018</v>
      </c>
      <c r="M795" s="25">
        <f t="shared" si="606"/>
        <v>4081</v>
      </c>
      <c r="N795" s="25">
        <f t="shared" si="607"/>
        <v>5104</v>
      </c>
      <c r="O795" s="25">
        <f t="shared" si="608"/>
        <v>5137</v>
      </c>
      <c r="R795" s="54">
        <v>1038015</v>
      </c>
      <c r="S795" s="51" t="s">
        <v>366</v>
      </c>
      <c r="T795" s="29">
        <f t="shared" si="603"/>
        <v>15</v>
      </c>
      <c r="U795" s="25">
        <f t="array" ref="U795">INDEX(K$5:K$67,MATCH($S795,$B$5:$B$67,0))</f>
        <v>357.84</v>
      </c>
      <c r="V795" s="25">
        <f t="array" ref="V795">INDEX(L$5:L$67,MATCH($S795,$B$5:$B$67,0))</f>
        <v>53.76</v>
      </c>
      <c r="W795" s="25">
        <f t="array" ref="W795">INDEX(M$5:M$67,MATCH($S795,$B$5:$B$67,0))</f>
        <v>43.01</v>
      </c>
      <c r="X795" s="25">
        <f t="array" ref="X795">INDEX(N$5:N$67,MATCH($S795,$B$5:$B$67,0))</f>
        <v>71.4</v>
      </c>
      <c r="Y795" s="25">
        <f t="shared" si="609"/>
        <v>5368</v>
      </c>
      <c r="Z795" s="25">
        <f t="shared" si="610"/>
        <v>806</v>
      </c>
      <c r="AA795" s="25">
        <f t="shared" si="611"/>
        <v>645</v>
      </c>
      <c r="AB795" s="25">
        <f t="shared" si="612"/>
        <v>1071</v>
      </c>
    </row>
    <row r="796" spans="1:28">
      <c r="A796" s="53">
        <v>1012058</v>
      </c>
      <c r="B796" s="49" t="s">
        <v>338</v>
      </c>
      <c r="C796" s="25">
        <f t="shared" si="604"/>
        <v>58</v>
      </c>
      <c r="D796" s="25">
        <f t="array" ref="D796">INDEX(C$5:C$67,MATCH($B796,$B$5:$B$67,0))</f>
        <v>3960</v>
      </c>
      <c r="E796" s="25">
        <f t="array" ref="E796">INDEX(D$5:D$67,MATCH($B796,$B$5:$B$67,0))</f>
        <v>316.8</v>
      </c>
      <c r="F796" s="25">
        <f t="array" ref="F796">INDEX(E$5:E$67,MATCH($B796,$B$5:$B$67,0))</f>
        <v>734</v>
      </c>
      <c r="G796" s="25">
        <f t="array" ref="G796">INDEX(F$5:F$67,MATCH($B796,$B$5:$B$67,0))</f>
        <v>58.72</v>
      </c>
      <c r="H796" s="25">
        <f t="array" ref="H796">INDEX(G$5:G$66,MATCH($B796,$B$5:$B$67,0))</f>
        <v>918</v>
      </c>
      <c r="I796" s="25">
        <f t="array" ref="I796">INDEX(H$5:H$67,MATCH($B796,$B$5:$B$67,0))</f>
        <v>73.44</v>
      </c>
      <c r="J796" s="25">
        <f t="array" ref="J796">INDEX(I$5:I$67,MATCH($B796,$B$5:$B$67,0))</f>
        <v>924</v>
      </c>
      <c r="K796" s="25">
        <f t="array" ref="K796">INDEX(J$5:J$67,MATCH($B796,$B$5:$B$67,0))</f>
        <v>73.92</v>
      </c>
      <c r="L796" s="25">
        <f t="shared" si="605"/>
        <v>22334</v>
      </c>
      <c r="M796" s="25">
        <f t="shared" si="606"/>
        <v>4140</v>
      </c>
      <c r="N796" s="25">
        <f t="shared" si="607"/>
        <v>5178</v>
      </c>
      <c r="O796" s="25">
        <f t="shared" si="608"/>
        <v>5211</v>
      </c>
      <c r="R796" s="54">
        <v>1038016</v>
      </c>
      <c r="S796" s="51" t="s">
        <v>366</v>
      </c>
      <c r="T796" s="29">
        <f t="shared" si="603"/>
        <v>16</v>
      </c>
      <c r="U796" s="25">
        <f t="array" ref="U796">INDEX(K$5:K$67,MATCH($S796,$B$5:$B$67,0))</f>
        <v>357.84</v>
      </c>
      <c r="V796" s="25">
        <f t="array" ref="V796">INDEX(L$5:L$67,MATCH($S796,$B$5:$B$67,0))</f>
        <v>53.76</v>
      </c>
      <c r="W796" s="25">
        <f t="array" ref="W796">INDEX(M$5:M$67,MATCH($S796,$B$5:$B$67,0))</f>
        <v>43.01</v>
      </c>
      <c r="X796" s="25">
        <f t="array" ref="X796">INDEX(N$5:N$67,MATCH($S796,$B$5:$B$67,0))</f>
        <v>71.4</v>
      </c>
      <c r="Y796" s="25">
        <f t="shared" si="609"/>
        <v>5725</v>
      </c>
      <c r="Z796" s="25">
        <f t="shared" si="610"/>
        <v>860</v>
      </c>
      <c r="AA796" s="25">
        <f t="shared" si="611"/>
        <v>688</v>
      </c>
      <c r="AB796" s="25">
        <f t="shared" si="612"/>
        <v>1142</v>
      </c>
    </row>
    <row r="797" spans="1:28">
      <c r="A797" s="53">
        <v>1012059</v>
      </c>
      <c r="B797" s="49" t="s">
        <v>338</v>
      </c>
      <c r="C797" s="25">
        <f t="shared" si="604"/>
        <v>59</v>
      </c>
      <c r="D797" s="25">
        <f t="array" ref="D797">INDEX(C$5:C$67,MATCH($B797,$B$5:$B$67,0))</f>
        <v>3960</v>
      </c>
      <c r="E797" s="25">
        <f t="array" ref="E797">INDEX(D$5:D$67,MATCH($B797,$B$5:$B$67,0))</f>
        <v>316.8</v>
      </c>
      <c r="F797" s="25">
        <f t="array" ref="F797">INDEX(E$5:E$67,MATCH($B797,$B$5:$B$67,0))</f>
        <v>734</v>
      </c>
      <c r="G797" s="25">
        <f t="array" ref="G797">INDEX(F$5:F$67,MATCH($B797,$B$5:$B$67,0))</f>
        <v>58.72</v>
      </c>
      <c r="H797" s="25">
        <f t="array" ref="H797">INDEX(G$5:G$66,MATCH($B797,$B$5:$B$67,0))</f>
        <v>918</v>
      </c>
      <c r="I797" s="25">
        <f t="array" ref="I797">INDEX(H$5:H$67,MATCH($B797,$B$5:$B$67,0))</f>
        <v>73.44</v>
      </c>
      <c r="J797" s="25">
        <f t="array" ref="J797">INDEX(I$5:I$67,MATCH($B797,$B$5:$B$67,0))</f>
        <v>924</v>
      </c>
      <c r="K797" s="25">
        <f t="array" ref="K797">INDEX(J$5:J$67,MATCH($B797,$B$5:$B$67,0))</f>
        <v>73.92</v>
      </c>
      <c r="L797" s="25">
        <f t="shared" si="605"/>
        <v>22651</v>
      </c>
      <c r="M797" s="25">
        <f t="shared" si="606"/>
        <v>4198</v>
      </c>
      <c r="N797" s="25">
        <f t="shared" si="607"/>
        <v>5251</v>
      </c>
      <c r="O797" s="25">
        <f t="shared" si="608"/>
        <v>5285</v>
      </c>
      <c r="R797" s="54">
        <v>1038017</v>
      </c>
      <c r="S797" s="51" t="s">
        <v>366</v>
      </c>
      <c r="T797" s="29">
        <f t="shared" si="603"/>
        <v>17</v>
      </c>
      <c r="U797" s="25">
        <f t="array" ref="U797">INDEX(K$5:K$67,MATCH($S797,$B$5:$B$67,0))</f>
        <v>357.84</v>
      </c>
      <c r="V797" s="25">
        <f t="array" ref="V797">INDEX(L$5:L$67,MATCH($S797,$B$5:$B$67,0))</f>
        <v>53.76</v>
      </c>
      <c r="W797" s="25">
        <f t="array" ref="W797">INDEX(M$5:M$67,MATCH($S797,$B$5:$B$67,0))</f>
        <v>43.01</v>
      </c>
      <c r="X797" s="25">
        <f t="array" ref="X797">INDEX(N$5:N$67,MATCH($S797,$B$5:$B$67,0))</f>
        <v>71.4</v>
      </c>
      <c r="Y797" s="25">
        <f t="shared" si="609"/>
        <v>6083</v>
      </c>
      <c r="Z797" s="25">
        <f t="shared" si="610"/>
        <v>914</v>
      </c>
      <c r="AA797" s="25">
        <f t="shared" si="611"/>
        <v>731</v>
      </c>
      <c r="AB797" s="25">
        <f t="shared" si="612"/>
        <v>1214</v>
      </c>
    </row>
    <row r="798" spans="1:28">
      <c r="A798" s="53">
        <v>1012060</v>
      </c>
      <c r="B798" s="49" t="s">
        <v>338</v>
      </c>
      <c r="C798" s="25">
        <f t="shared" si="604"/>
        <v>60</v>
      </c>
      <c r="D798" s="25">
        <f t="array" ref="D798">INDEX(C$5:C$67,MATCH($B798,$B$5:$B$67,0))</f>
        <v>3960</v>
      </c>
      <c r="E798" s="25">
        <f t="array" ref="E798">INDEX(D$5:D$67,MATCH($B798,$B$5:$B$67,0))</f>
        <v>316.8</v>
      </c>
      <c r="F798" s="25">
        <f t="array" ref="F798">INDEX(E$5:E$67,MATCH($B798,$B$5:$B$67,0))</f>
        <v>734</v>
      </c>
      <c r="G798" s="25">
        <f t="array" ref="G798">INDEX(F$5:F$67,MATCH($B798,$B$5:$B$67,0))</f>
        <v>58.72</v>
      </c>
      <c r="H798" s="25">
        <f t="array" ref="H798">INDEX(G$5:G$66,MATCH($B798,$B$5:$B$67,0))</f>
        <v>918</v>
      </c>
      <c r="I798" s="25">
        <f t="array" ref="I798">INDEX(H$5:H$67,MATCH($B798,$B$5:$B$67,0))</f>
        <v>73.44</v>
      </c>
      <c r="J798" s="25">
        <f t="array" ref="J798">INDEX(I$5:I$67,MATCH($B798,$B$5:$B$67,0))</f>
        <v>924</v>
      </c>
      <c r="K798" s="25">
        <f t="array" ref="K798">INDEX(J$5:J$67,MATCH($B798,$B$5:$B$67,0))</f>
        <v>73.92</v>
      </c>
      <c r="L798" s="25">
        <f t="shared" si="605"/>
        <v>22968</v>
      </c>
      <c r="M798" s="25">
        <f t="shared" si="606"/>
        <v>4257</v>
      </c>
      <c r="N798" s="25">
        <f t="shared" si="607"/>
        <v>5324</v>
      </c>
      <c r="O798" s="25">
        <f t="shared" si="608"/>
        <v>5359</v>
      </c>
      <c r="R798" s="54">
        <v>1038018</v>
      </c>
      <c r="S798" s="51" t="s">
        <v>366</v>
      </c>
      <c r="T798" s="29">
        <f t="shared" si="603"/>
        <v>18</v>
      </c>
      <c r="U798" s="25">
        <f t="array" ref="U798">INDEX(K$5:K$67,MATCH($S798,$B$5:$B$67,0))</f>
        <v>357.84</v>
      </c>
      <c r="V798" s="25">
        <f t="array" ref="V798">INDEX(L$5:L$67,MATCH($S798,$B$5:$B$67,0))</f>
        <v>53.76</v>
      </c>
      <c r="W798" s="25">
        <f t="array" ref="W798">INDEX(M$5:M$67,MATCH($S798,$B$5:$B$67,0))</f>
        <v>43.01</v>
      </c>
      <c r="X798" s="25">
        <f t="array" ref="X798">INDEX(N$5:N$67,MATCH($S798,$B$5:$B$67,0))</f>
        <v>71.4</v>
      </c>
      <c r="Y798" s="25">
        <f t="shared" si="609"/>
        <v>6441</v>
      </c>
      <c r="Z798" s="25">
        <f t="shared" si="610"/>
        <v>968</v>
      </c>
      <c r="AA798" s="25">
        <f t="shared" si="611"/>
        <v>774</v>
      </c>
      <c r="AB798" s="25">
        <f t="shared" si="612"/>
        <v>1285</v>
      </c>
    </row>
    <row r="799" spans="1:28">
      <c r="A799" s="48">
        <v>1013001</v>
      </c>
      <c r="B799" s="49" t="s">
        <v>339</v>
      </c>
      <c r="C799" s="25">
        <f t="shared" si="604"/>
        <v>1</v>
      </c>
      <c r="D799" s="25">
        <f t="array" ref="D799">INDEX(C$5:C$67,MATCH($B799,$B$5:$B$67,0))</f>
        <v>6825</v>
      </c>
      <c r="E799" s="25">
        <f t="array" ref="E799">INDEX(D$5:D$67,MATCH($B799,$B$5:$B$67,0))</f>
        <v>546</v>
      </c>
      <c r="F799" s="25">
        <f t="array" ref="F799">INDEX(E$5:E$67,MATCH($B799,$B$5:$B$67,0))</f>
        <v>1140</v>
      </c>
      <c r="G799" s="25">
        <f t="array" ref="G799">INDEX(F$5:F$67,MATCH($B799,$B$5:$B$67,0))</f>
        <v>91.2</v>
      </c>
      <c r="H799" s="25">
        <f t="array" ref="H799">INDEX(G$5:G$66,MATCH($B799,$B$5:$B$67,0))</f>
        <v>1425</v>
      </c>
      <c r="I799" s="25">
        <f t="array" ref="I799">INDEX(H$5:H$67,MATCH($B799,$B$5:$B$67,0))</f>
        <v>114</v>
      </c>
      <c r="J799" s="25">
        <f t="array" ref="J799">INDEX(I$5:I$67,MATCH($B799,$B$5:$B$67,0))</f>
        <v>800</v>
      </c>
      <c r="K799" s="25">
        <f t="array" ref="K799">INDEX(J$5:J$67,MATCH($B799,$B$5:$B$67,0))</f>
        <v>64</v>
      </c>
      <c r="L799" s="25">
        <f t="shared" si="605"/>
        <v>7371</v>
      </c>
      <c r="M799" s="25">
        <f t="shared" si="606"/>
        <v>1231</v>
      </c>
      <c r="N799" s="25">
        <f t="shared" si="607"/>
        <v>1539</v>
      </c>
      <c r="O799" s="25">
        <f t="shared" si="608"/>
        <v>864</v>
      </c>
      <c r="R799" s="54">
        <v>1038019</v>
      </c>
      <c r="S799" s="51" t="s">
        <v>366</v>
      </c>
      <c r="T799" s="29">
        <f t="shared" si="603"/>
        <v>19</v>
      </c>
      <c r="U799" s="25">
        <f t="array" ref="U799">INDEX(K$5:K$67,MATCH($S799,$B$5:$B$67,0))</f>
        <v>357.84</v>
      </c>
      <c r="V799" s="25">
        <f t="array" ref="V799">INDEX(L$5:L$67,MATCH($S799,$B$5:$B$67,0))</f>
        <v>53.76</v>
      </c>
      <c r="W799" s="25">
        <f t="array" ref="W799">INDEX(M$5:M$67,MATCH($S799,$B$5:$B$67,0))</f>
        <v>43.01</v>
      </c>
      <c r="X799" s="25">
        <f t="array" ref="X799">INDEX(N$5:N$67,MATCH($S799,$B$5:$B$67,0))</f>
        <v>71.4</v>
      </c>
      <c r="Y799" s="25">
        <f t="shared" si="609"/>
        <v>6799</v>
      </c>
      <c r="Z799" s="25">
        <f t="shared" si="610"/>
        <v>1021</v>
      </c>
      <c r="AA799" s="25">
        <f t="shared" si="611"/>
        <v>817</v>
      </c>
      <c r="AB799" s="25">
        <f t="shared" si="612"/>
        <v>1357</v>
      </c>
    </row>
    <row r="800" spans="1:28">
      <c r="A800" s="48">
        <v>1013002</v>
      </c>
      <c r="B800" s="49" t="s">
        <v>339</v>
      </c>
      <c r="C800" s="25">
        <f t="shared" si="604"/>
        <v>2</v>
      </c>
      <c r="D800" s="25">
        <f t="array" ref="D800">INDEX(C$5:C$67,MATCH($B800,$B$5:$B$67,0))</f>
        <v>6825</v>
      </c>
      <c r="E800" s="25">
        <f t="array" ref="E800">INDEX(D$5:D$67,MATCH($B800,$B$5:$B$67,0))</f>
        <v>546</v>
      </c>
      <c r="F800" s="25">
        <f t="array" ref="F800">INDEX(E$5:E$67,MATCH($B800,$B$5:$B$67,0))</f>
        <v>1140</v>
      </c>
      <c r="G800" s="25">
        <f t="array" ref="G800">INDEX(F$5:F$67,MATCH($B800,$B$5:$B$67,0))</f>
        <v>91.2</v>
      </c>
      <c r="H800" s="25">
        <f t="array" ref="H800">INDEX(G$5:G$66,MATCH($B800,$B$5:$B$67,0))</f>
        <v>1425</v>
      </c>
      <c r="I800" s="25">
        <f t="array" ref="I800">INDEX(H$5:H$67,MATCH($B800,$B$5:$B$67,0))</f>
        <v>114</v>
      </c>
      <c r="J800" s="25">
        <f t="array" ref="J800">INDEX(I$5:I$67,MATCH($B800,$B$5:$B$67,0))</f>
        <v>800</v>
      </c>
      <c r="K800" s="25">
        <f t="array" ref="K800">INDEX(J$5:J$67,MATCH($B800,$B$5:$B$67,0))</f>
        <v>64</v>
      </c>
      <c r="L800" s="25">
        <f t="shared" si="605"/>
        <v>7917</v>
      </c>
      <c r="M800" s="25">
        <f t="shared" si="606"/>
        <v>1322</v>
      </c>
      <c r="N800" s="25">
        <f t="shared" si="607"/>
        <v>1653</v>
      </c>
      <c r="O800" s="25">
        <f t="shared" si="608"/>
        <v>928</v>
      </c>
      <c r="R800" s="54">
        <v>1038020</v>
      </c>
      <c r="S800" s="51" t="s">
        <v>366</v>
      </c>
      <c r="T800" s="29">
        <f t="shared" si="603"/>
        <v>20</v>
      </c>
      <c r="U800" s="25">
        <f t="array" ref="U800">INDEX(K$5:K$67,MATCH($S800,$B$5:$B$67,0))</f>
        <v>357.84</v>
      </c>
      <c r="V800" s="25">
        <f t="array" ref="V800">INDEX(L$5:L$67,MATCH($S800,$B$5:$B$67,0))</f>
        <v>53.76</v>
      </c>
      <c r="W800" s="25">
        <f t="array" ref="W800">INDEX(M$5:M$67,MATCH($S800,$B$5:$B$67,0))</f>
        <v>43.01</v>
      </c>
      <c r="X800" s="25">
        <f t="array" ref="X800">INDEX(N$5:N$67,MATCH($S800,$B$5:$B$67,0))</f>
        <v>71.4</v>
      </c>
      <c r="Y800" s="25">
        <f t="shared" si="609"/>
        <v>7157</v>
      </c>
      <c r="Z800" s="25">
        <f t="shared" si="610"/>
        <v>1075</v>
      </c>
      <c r="AA800" s="25">
        <f t="shared" si="611"/>
        <v>860</v>
      </c>
      <c r="AB800" s="25">
        <f t="shared" si="612"/>
        <v>1428</v>
      </c>
    </row>
    <row r="801" spans="1:28">
      <c r="A801" s="48">
        <v>1013003</v>
      </c>
      <c r="B801" s="49" t="s">
        <v>339</v>
      </c>
      <c r="C801" s="25">
        <f t="shared" si="604"/>
        <v>3</v>
      </c>
      <c r="D801" s="25">
        <f t="array" ref="D801">INDEX(C$5:C$67,MATCH($B801,$B$5:$B$67,0))</f>
        <v>6825</v>
      </c>
      <c r="E801" s="25">
        <f t="array" ref="E801">INDEX(D$5:D$67,MATCH($B801,$B$5:$B$67,0))</f>
        <v>546</v>
      </c>
      <c r="F801" s="25">
        <f t="array" ref="F801">INDEX(E$5:E$67,MATCH($B801,$B$5:$B$67,0))</f>
        <v>1140</v>
      </c>
      <c r="G801" s="25">
        <f t="array" ref="G801">INDEX(F$5:F$67,MATCH($B801,$B$5:$B$67,0))</f>
        <v>91.2</v>
      </c>
      <c r="H801" s="25">
        <f t="array" ref="H801">INDEX(G$5:G$66,MATCH($B801,$B$5:$B$67,0))</f>
        <v>1425</v>
      </c>
      <c r="I801" s="25">
        <f t="array" ref="I801">INDEX(H$5:H$67,MATCH($B801,$B$5:$B$67,0))</f>
        <v>114</v>
      </c>
      <c r="J801" s="25">
        <f t="array" ref="J801">INDEX(I$5:I$67,MATCH($B801,$B$5:$B$67,0))</f>
        <v>800</v>
      </c>
      <c r="K801" s="25">
        <f t="array" ref="K801">INDEX(J$5:J$67,MATCH($B801,$B$5:$B$67,0))</f>
        <v>64</v>
      </c>
      <c r="L801" s="25">
        <f t="shared" si="605"/>
        <v>8463</v>
      </c>
      <c r="M801" s="25">
        <f t="shared" si="606"/>
        <v>1414</v>
      </c>
      <c r="N801" s="25">
        <f t="shared" si="607"/>
        <v>1767</v>
      </c>
      <c r="O801" s="25">
        <f t="shared" si="608"/>
        <v>992</v>
      </c>
      <c r="R801" s="54">
        <v>1038021</v>
      </c>
      <c r="S801" s="51" t="s">
        <v>366</v>
      </c>
      <c r="T801" s="29">
        <f t="shared" si="603"/>
        <v>21</v>
      </c>
      <c r="U801" s="25">
        <f t="array" ref="U801">INDEX(K$5:K$67,MATCH($S801,$B$5:$B$67,0))</f>
        <v>357.84</v>
      </c>
      <c r="V801" s="25">
        <f t="array" ref="V801">INDEX(L$5:L$67,MATCH($S801,$B$5:$B$67,0))</f>
        <v>53.76</v>
      </c>
      <c r="W801" s="25">
        <f t="array" ref="W801">INDEX(M$5:M$67,MATCH($S801,$B$5:$B$67,0))</f>
        <v>43.01</v>
      </c>
      <c r="X801" s="25">
        <f t="array" ref="X801">INDEX(N$5:N$67,MATCH($S801,$B$5:$B$67,0))</f>
        <v>71.4</v>
      </c>
      <c r="Y801" s="25">
        <f t="shared" si="609"/>
        <v>7515</v>
      </c>
      <c r="Z801" s="25">
        <f t="shared" si="610"/>
        <v>1129</v>
      </c>
      <c r="AA801" s="25">
        <f t="shared" si="611"/>
        <v>903</v>
      </c>
      <c r="AB801" s="25">
        <f t="shared" si="612"/>
        <v>1499</v>
      </c>
    </row>
    <row r="802" spans="1:28">
      <c r="A802" s="48">
        <v>1013004</v>
      </c>
      <c r="B802" s="49" t="s">
        <v>339</v>
      </c>
      <c r="C802" s="25">
        <f t="shared" si="604"/>
        <v>4</v>
      </c>
      <c r="D802" s="25">
        <f t="array" ref="D802">INDEX(C$5:C$67,MATCH($B802,$B$5:$B$67,0))</f>
        <v>6825</v>
      </c>
      <c r="E802" s="25">
        <f t="array" ref="E802">INDEX(D$5:D$67,MATCH($B802,$B$5:$B$67,0))</f>
        <v>546</v>
      </c>
      <c r="F802" s="25">
        <f t="array" ref="F802">INDEX(E$5:E$67,MATCH($B802,$B$5:$B$67,0))</f>
        <v>1140</v>
      </c>
      <c r="G802" s="25">
        <f t="array" ref="G802">INDEX(F$5:F$67,MATCH($B802,$B$5:$B$67,0))</f>
        <v>91.2</v>
      </c>
      <c r="H802" s="25">
        <f t="array" ref="H802">INDEX(G$5:G$66,MATCH($B802,$B$5:$B$67,0))</f>
        <v>1425</v>
      </c>
      <c r="I802" s="25">
        <f t="array" ref="I802">INDEX(H$5:H$67,MATCH($B802,$B$5:$B$67,0))</f>
        <v>114</v>
      </c>
      <c r="J802" s="25">
        <f t="array" ref="J802">INDEX(I$5:I$67,MATCH($B802,$B$5:$B$67,0))</f>
        <v>800</v>
      </c>
      <c r="K802" s="25">
        <f t="array" ref="K802">INDEX(J$5:J$67,MATCH($B802,$B$5:$B$67,0))</f>
        <v>64</v>
      </c>
      <c r="L802" s="25">
        <f t="shared" si="605"/>
        <v>9009</v>
      </c>
      <c r="M802" s="25">
        <f t="shared" si="606"/>
        <v>1505</v>
      </c>
      <c r="N802" s="25">
        <f t="shared" si="607"/>
        <v>1881</v>
      </c>
      <c r="O802" s="25">
        <f t="shared" si="608"/>
        <v>1056</v>
      </c>
      <c r="R802" s="54">
        <v>1038022</v>
      </c>
      <c r="S802" s="51" t="s">
        <v>366</v>
      </c>
      <c r="T802" s="29">
        <f t="shared" si="603"/>
        <v>22</v>
      </c>
      <c r="U802" s="25">
        <f t="array" ref="U802">INDEX(K$5:K$67,MATCH($S802,$B$5:$B$67,0))</f>
        <v>357.84</v>
      </c>
      <c r="V802" s="25">
        <f t="array" ref="V802">INDEX(L$5:L$67,MATCH($S802,$B$5:$B$67,0))</f>
        <v>53.76</v>
      </c>
      <c r="W802" s="25">
        <f t="array" ref="W802">INDEX(M$5:M$67,MATCH($S802,$B$5:$B$67,0))</f>
        <v>43.01</v>
      </c>
      <c r="X802" s="25">
        <f t="array" ref="X802">INDEX(N$5:N$67,MATCH($S802,$B$5:$B$67,0))</f>
        <v>71.4</v>
      </c>
      <c r="Y802" s="25">
        <f t="shared" si="609"/>
        <v>7872</v>
      </c>
      <c r="Z802" s="25">
        <f t="shared" si="610"/>
        <v>1183</v>
      </c>
      <c r="AA802" s="25">
        <f t="shared" si="611"/>
        <v>946</v>
      </c>
      <c r="AB802" s="25">
        <f t="shared" si="612"/>
        <v>1571</v>
      </c>
    </row>
    <row r="803" spans="1:28">
      <c r="A803" s="48">
        <v>1013005</v>
      </c>
      <c r="B803" s="49" t="s">
        <v>339</v>
      </c>
      <c r="C803" s="25">
        <f t="shared" si="604"/>
        <v>5</v>
      </c>
      <c r="D803" s="25">
        <f t="array" ref="D803">INDEX(C$5:C$67,MATCH($B803,$B$5:$B$67,0))</f>
        <v>6825</v>
      </c>
      <c r="E803" s="25">
        <f t="array" ref="E803">INDEX(D$5:D$67,MATCH($B803,$B$5:$B$67,0))</f>
        <v>546</v>
      </c>
      <c r="F803" s="25">
        <f t="array" ref="F803">INDEX(E$5:E$67,MATCH($B803,$B$5:$B$67,0))</f>
        <v>1140</v>
      </c>
      <c r="G803" s="25">
        <f t="array" ref="G803">INDEX(F$5:F$67,MATCH($B803,$B$5:$B$67,0))</f>
        <v>91.2</v>
      </c>
      <c r="H803" s="25">
        <f t="array" ref="H803">INDEX(G$5:G$66,MATCH($B803,$B$5:$B$67,0))</f>
        <v>1425</v>
      </c>
      <c r="I803" s="25">
        <f t="array" ref="I803">INDEX(H$5:H$67,MATCH($B803,$B$5:$B$67,0))</f>
        <v>114</v>
      </c>
      <c r="J803" s="25">
        <f t="array" ref="J803">INDEX(I$5:I$67,MATCH($B803,$B$5:$B$67,0))</f>
        <v>800</v>
      </c>
      <c r="K803" s="25">
        <f t="array" ref="K803">INDEX(J$5:J$67,MATCH($B803,$B$5:$B$67,0))</f>
        <v>64</v>
      </c>
      <c r="L803" s="25">
        <f t="shared" si="605"/>
        <v>9555</v>
      </c>
      <c r="M803" s="25">
        <f t="shared" si="606"/>
        <v>1596</v>
      </c>
      <c r="N803" s="25">
        <f t="shared" si="607"/>
        <v>1995</v>
      </c>
      <c r="O803" s="25">
        <f t="shared" si="608"/>
        <v>1120</v>
      </c>
      <c r="R803" s="54">
        <v>1038023</v>
      </c>
      <c r="S803" s="51" t="s">
        <v>366</v>
      </c>
      <c r="T803" s="29">
        <f t="shared" si="603"/>
        <v>23</v>
      </c>
      <c r="U803" s="25">
        <f t="array" ref="U803">INDEX(K$5:K$67,MATCH($S803,$B$5:$B$67,0))</f>
        <v>357.84</v>
      </c>
      <c r="V803" s="25">
        <f t="array" ref="V803">INDEX(L$5:L$67,MATCH($S803,$B$5:$B$67,0))</f>
        <v>53.76</v>
      </c>
      <c r="W803" s="25">
        <f t="array" ref="W803">INDEX(M$5:M$67,MATCH($S803,$B$5:$B$67,0))</f>
        <v>43.01</v>
      </c>
      <c r="X803" s="25">
        <f t="array" ref="X803">INDEX(N$5:N$67,MATCH($S803,$B$5:$B$67,0))</f>
        <v>71.4</v>
      </c>
      <c r="Y803" s="25">
        <f t="shared" si="609"/>
        <v>8230</v>
      </c>
      <c r="Z803" s="25">
        <f t="shared" si="610"/>
        <v>1236</v>
      </c>
      <c r="AA803" s="25">
        <f t="shared" si="611"/>
        <v>989</v>
      </c>
      <c r="AB803" s="25">
        <f t="shared" si="612"/>
        <v>1642</v>
      </c>
    </row>
    <row r="804" spans="1:28">
      <c r="A804" s="48">
        <v>1013006</v>
      </c>
      <c r="B804" s="49" t="s">
        <v>339</v>
      </c>
      <c r="C804" s="25">
        <f t="shared" si="604"/>
        <v>6</v>
      </c>
      <c r="D804" s="25">
        <f t="array" ref="D804">INDEX(C$5:C$67,MATCH($B804,$B$5:$B$67,0))</f>
        <v>6825</v>
      </c>
      <c r="E804" s="25">
        <f t="array" ref="E804">INDEX(D$5:D$67,MATCH($B804,$B$5:$B$67,0))</f>
        <v>546</v>
      </c>
      <c r="F804" s="25">
        <f t="array" ref="F804">INDEX(E$5:E$67,MATCH($B804,$B$5:$B$67,0))</f>
        <v>1140</v>
      </c>
      <c r="G804" s="25">
        <f t="array" ref="G804">INDEX(F$5:F$67,MATCH($B804,$B$5:$B$67,0))</f>
        <v>91.2</v>
      </c>
      <c r="H804" s="25">
        <f t="array" ref="H804">INDEX(G$5:G$66,MATCH($B804,$B$5:$B$67,0))</f>
        <v>1425</v>
      </c>
      <c r="I804" s="25">
        <f t="array" ref="I804">INDEX(H$5:H$67,MATCH($B804,$B$5:$B$67,0))</f>
        <v>114</v>
      </c>
      <c r="J804" s="25">
        <f t="array" ref="J804">INDEX(I$5:I$67,MATCH($B804,$B$5:$B$67,0))</f>
        <v>800</v>
      </c>
      <c r="K804" s="25">
        <f t="array" ref="K804">INDEX(J$5:J$67,MATCH($B804,$B$5:$B$67,0))</f>
        <v>64</v>
      </c>
      <c r="L804" s="25">
        <f t="shared" si="605"/>
        <v>10101</v>
      </c>
      <c r="M804" s="25">
        <f t="shared" si="606"/>
        <v>1687</v>
      </c>
      <c r="N804" s="25">
        <f t="shared" si="607"/>
        <v>2109</v>
      </c>
      <c r="O804" s="25">
        <f t="shared" si="608"/>
        <v>1184</v>
      </c>
      <c r="R804" s="54">
        <v>1038024</v>
      </c>
      <c r="S804" s="51" t="s">
        <v>366</v>
      </c>
      <c r="T804" s="29">
        <f t="shared" si="603"/>
        <v>24</v>
      </c>
      <c r="U804" s="25">
        <f t="array" ref="U804">INDEX(K$5:K$67,MATCH($S804,$B$5:$B$67,0))</f>
        <v>357.84</v>
      </c>
      <c r="V804" s="25">
        <f t="array" ref="V804">INDEX(L$5:L$67,MATCH($S804,$B$5:$B$67,0))</f>
        <v>53.76</v>
      </c>
      <c r="W804" s="25">
        <f t="array" ref="W804">INDEX(M$5:M$67,MATCH($S804,$B$5:$B$67,0))</f>
        <v>43.01</v>
      </c>
      <c r="X804" s="25">
        <f t="array" ref="X804">INDEX(N$5:N$67,MATCH($S804,$B$5:$B$67,0))</f>
        <v>71.4</v>
      </c>
      <c r="Y804" s="25">
        <f t="shared" si="609"/>
        <v>8588</v>
      </c>
      <c r="Z804" s="25">
        <f t="shared" si="610"/>
        <v>1290</v>
      </c>
      <c r="AA804" s="25">
        <f t="shared" si="611"/>
        <v>1032</v>
      </c>
      <c r="AB804" s="25">
        <f t="shared" si="612"/>
        <v>1714</v>
      </c>
    </row>
    <row r="805" spans="1:28">
      <c r="A805" s="48">
        <v>1013007</v>
      </c>
      <c r="B805" s="49" t="s">
        <v>339</v>
      </c>
      <c r="C805" s="25">
        <f t="shared" si="604"/>
        <v>7</v>
      </c>
      <c r="D805" s="25">
        <f t="array" ref="D805">INDEX(C$5:C$67,MATCH($B805,$B$5:$B$67,0))</f>
        <v>6825</v>
      </c>
      <c r="E805" s="25">
        <f t="array" ref="E805">INDEX(D$5:D$67,MATCH($B805,$B$5:$B$67,0))</f>
        <v>546</v>
      </c>
      <c r="F805" s="25">
        <f t="array" ref="F805">INDEX(E$5:E$67,MATCH($B805,$B$5:$B$67,0))</f>
        <v>1140</v>
      </c>
      <c r="G805" s="25">
        <f t="array" ref="G805">INDEX(F$5:F$67,MATCH($B805,$B$5:$B$67,0))</f>
        <v>91.2</v>
      </c>
      <c r="H805" s="25">
        <f t="array" ref="H805">INDEX(G$5:G$66,MATCH($B805,$B$5:$B$67,0))</f>
        <v>1425</v>
      </c>
      <c r="I805" s="25">
        <f t="array" ref="I805">INDEX(H$5:H$67,MATCH($B805,$B$5:$B$67,0))</f>
        <v>114</v>
      </c>
      <c r="J805" s="25">
        <f t="array" ref="J805">INDEX(I$5:I$67,MATCH($B805,$B$5:$B$67,0))</f>
        <v>800</v>
      </c>
      <c r="K805" s="25">
        <f t="array" ref="K805">INDEX(J$5:J$67,MATCH($B805,$B$5:$B$67,0))</f>
        <v>64</v>
      </c>
      <c r="L805" s="25">
        <f t="shared" si="605"/>
        <v>10647</v>
      </c>
      <c r="M805" s="25">
        <f t="shared" si="606"/>
        <v>1778</v>
      </c>
      <c r="N805" s="25">
        <f t="shared" si="607"/>
        <v>2223</v>
      </c>
      <c r="O805" s="25">
        <f t="shared" si="608"/>
        <v>1248</v>
      </c>
      <c r="R805" s="54">
        <v>1038025</v>
      </c>
      <c r="S805" s="51" t="s">
        <v>366</v>
      </c>
      <c r="T805" s="29">
        <f t="shared" si="603"/>
        <v>25</v>
      </c>
      <c r="U805" s="25">
        <f t="array" ref="U805">INDEX(K$5:K$67,MATCH($S805,$B$5:$B$67,0))</f>
        <v>357.84</v>
      </c>
      <c r="V805" s="25">
        <f t="array" ref="V805">INDEX(L$5:L$67,MATCH($S805,$B$5:$B$67,0))</f>
        <v>53.76</v>
      </c>
      <c r="W805" s="25">
        <f t="array" ref="W805">INDEX(M$5:M$67,MATCH($S805,$B$5:$B$67,0))</f>
        <v>43.01</v>
      </c>
      <c r="X805" s="25">
        <f t="array" ref="X805">INDEX(N$5:N$67,MATCH($S805,$B$5:$B$67,0))</f>
        <v>71.4</v>
      </c>
      <c r="Y805" s="25">
        <f t="shared" si="609"/>
        <v>8946</v>
      </c>
      <c r="Z805" s="25">
        <f t="shared" si="610"/>
        <v>1344</v>
      </c>
      <c r="AA805" s="25">
        <f t="shared" si="611"/>
        <v>1075</v>
      </c>
      <c r="AB805" s="25">
        <f t="shared" si="612"/>
        <v>1785</v>
      </c>
    </row>
    <row r="806" spans="1:28">
      <c r="A806" s="48">
        <v>1013008</v>
      </c>
      <c r="B806" s="49" t="s">
        <v>339</v>
      </c>
      <c r="C806" s="25">
        <f t="shared" si="604"/>
        <v>8</v>
      </c>
      <c r="D806" s="25">
        <f t="array" ref="D806">INDEX(C$5:C$67,MATCH($B806,$B$5:$B$67,0))</f>
        <v>6825</v>
      </c>
      <c r="E806" s="25">
        <f t="array" ref="E806">INDEX(D$5:D$67,MATCH($B806,$B$5:$B$67,0))</f>
        <v>546</v>
      </c>
      <c r="F806" s="25">
        <f t="array" ref="F806">INDEX(E$5:E$67,MATCH($B806,$B$5:$B$67,0))</f>
        <v>1140</v>
      </c>
      <c r="G806" s="25">
        <f t="array" ref="G806">INDEX(F$5:F$67,MATCH($B806,$B$5:$B$67,0))</f>
        <v>91.2</v>
      </c>
      <c r="H806" s="25">
        <f t="array" ref="H806">INDEX(G$5:G$66,MATCH($B806,$B$5:$B$67,0))</f>
        <v>1425</v>
      </c>
      <c r="I806" s="25">
        <f t="array" ref="I806">INDEX(H$5:H$67,MATCH($B806,$B$5:$B$67,0))</f>
        <v>114</v>
      </c>
      <c r="J806" s="25">
        <f t="array" ref="J806">INDEX(I$5:I$67,MATCH($B806,$B$5:$B$67,0))</f>
        <v>800</v>
      </c>
      <c r="K806" s="25">
        <f t="array" ref="K806">INDEX(J$5:J$67,MATCH($B806,$B$5:$B$67,0))</f>
        <v>64</v>
      </c>
      <c r="L806" s="25">
        <f t="shared" si="605"/>
        <v>11193</v>
      </c>
      <c r="M806" s="25">
        <f t="shared" si="606"/>
        <v>1870</v>
      </c>
      <c r="N806" s="25">
        <f t="shared" si="607"/>
        <v>2337</v>
      </c>
      <c r="O806" s="25">
        <f t="shared" si="608"/>
        <v>1312</v>
      </c>
      <c r="R806" s="54">
        <v>1038026</v>
      </c>
      <c r="S806" s="51" t="s">
        <v>366</v>
      </c>
      <c r="T806" s="29">
        <f t="shared" si="603"/>
        <v>26</v>
      </c>
      <c r="U806" s="25">
        <f t="array" ref="U806">INDEX(K$5:K$67,MATCH($S806,$B$5:$B$67,0))</f>
        <v>357.84</v>
      </c>
      <c r="V806" s="25">
        <f t="array" ref="V806">INDEX(L$5:L$67,MATCH($S806,$B$5:$B$67,0))</f>
        <v>53.76</v>
      </c>
      <c r="W806" s="25">
        <f t="array" ref="W806">INDEX(M$5:M$67,MATCH($S806,$B$5:$B$67,0))</f>
        <v>43.01</v>
      </c>
      <c r="X806" s="25">
        <f t="array" ref="X806">INDEX(N$5:N$67,MATCH($S806,$B$5:$B$67,0))</f>
        <v>71.4</v>
      </c>
      <c r="Y806" s="25">
        <f t="shared" si="609"/>
        <v>9304</v>
      </c>
      <c r="Z806" s="25">
        <f t="shared" si="610"/>
        <v>1398</v>
      </c>
      <c r="AA806" s="25">
        <f t="shared" si="611"/>
        <v>1118</v>
      </c>
      <c r="AB806" s="25">
        <f t="shared" si="612"/>
        <v>1856</v>
      </c>
    </row>
    <row r="807" spans="1:28">
      <c r="A807" s="48">
        <v>1013009</v>
      </c>
      <c r="B807" s="49" t="s">
        <v>339</v>
      </c>
      <c r="C807" s="25">
        <f t="shared" si="604"/>
        <v>9</v>
      </c>
      <c r="D807" s="25">
        <f t="array" ref="D807">INDEX(C$5:C$67,MATCH($B807,$B$5:$B$67,0))</f>
        <v>6825</v>
      </c>
      <c r="E807" s="25">
        <f t="array" ref="E807">INDEX(D$5:D$67,MATCH($B807,$B$5:$B$67,0))</f>
        <v>546</v>
      </c>
      <c r="F807" s="25">
        <f t="array" ref="F807">INDEX(E$5:E$67,MATCH($B807,$B$5:$B$67,0))</f>
        <v>1140</v>
      </c>
      <c r="G807" s="25">
        <f t="array" ref="G807">INDEX(F$5:F$67,MATCH($B807,$B$5:$B$67,0))</f>
        <v>91.2</v>
      </c>
      <c r="H807" s="25">
        <f t="array" ref="H807">INDEX(G$5:G$66,MATCH($B807,$B$5:$B$67,0))</f>
        <v>1425</v>
      </c>
      <c r="I807" s="25">
        <f t="array" ref="I807">INDEX(H$5:H$67,MATCH($B807,$B$5:$B$67,0))</f>
        <v>114</v>
      </c>
      <c r="J807" s="25">
        <f t="array" ref="J807">INDEX(I$5:I$67,MATCH($B807,$B$5:$B$67,0))</f>
        <v>800</v>
      </c>
      <c r="K807" s="25">
        <f t="array" ref="K807">INDEX(J$5:J$67,MATCH($B807,$B$5:$B$67,0))</f>
        <v>64</v>
      </c>
      <c r="L807" s="25">
        <f t="shared" si="605"/>
        <v>11739</v>
      </c>
      <c r="M807" s="25">
        <f t="shared" si="606"/>
        <v>1961</v>
      </c>
      <c r="N807" s="25">
        <f t="shared" si="607"/>
        <v>2451</v>
      </c>
      <c r="O807" s="25">
        <f t="shared" si="608"/>
        <v>1376</v>
      </c>
      <c r="R807" s="54">
        <v>1038027</v>
      </c>
      <c r="S807" s="51" t="s">
        <v>366</v>
      </c>
      <c r="T807" s="29">
        <f t="shared" si="603"/>
        <v>27</v>
      </c>
      <c r="U807" s="25">
        <f t="array" ref="U807">INDEX(K$5:K$67,MATCH($S807,$B$5:$B$67,0))</f>
        <v>357.84</v>
      </c>
      <c r="V807" s="25">
        <f t="array" ref="V807">INDEX(L$5:L$67,MATCH($S807,$B$5:$B$67,0))</f>
        <v>53.76</v>
      </c>
      <c r="W807" s="25">
        <f t="array" ref="W807">INDEX(M$5:M$67,MATCH($S807,$B$5:$B$67,0))</f>
        <v>43.01</v>
      </c>
      <c r="X807" s="25">
        <f t="array" ref="X807">INDEX(N$5:N$67,MATCH($S807,$B$5:$B$67,0))</f>
        <v>71.4</v>
      </c>
      <c r="Y807" s="25">
        <f t="shared" si="609"/>
        <v>9662</v>
      </c>
      <c r="Z807" s="25">
        <f t="shared" si="610"/>
        <v>1452</v>
      </c>
      <c r="AA807" s="25">
        <f t="shared" si="611"/>
        <v>1161</v>
      </c>
      <c r="AB807" s="25">
        <f t="shared" si="612"/>
        <v>1928</v>
      </c>
    </row>
    <row r="808" spans="1:28">
      <c r="A808" s="48">
        <v>1013010</v>
      </c>
      <c r="B808" s="49" t="s">
        <v>339</v>
      </c>
      <c r="C808" s="25">
        <f t="shared" si="604"/>
        <v>10</v>
      </c>
      <c r="D808" s="25">
        <f t="array" ref="D808">INDEX(C$5:C$67,MATCH($B808,$B$5:$B$67,0))</f>
        <v>6825</v>
      </c>
      <c r="E808" s="25">
        <f t="array" ref="E808">INDEX(D$5:D$67,MATCH($B808,$B$5:$B$67,0))</f>
        <v>546</v>
      </c>
      <c r="F808" s="25">
        <f t="array" ref="F808">INDEX(E$5:E$67,MATCH($B808,$B$5:$B$67,0))</f>
        <v>1140</v>
      </c>
      <c r="G808" s="25">
        <f t="array" ref="G808">INDEX(F$5:F$67,MATCH($B808,$B$5:$B$67,0))</f>
        <v>91.2</v>
      </c>
      <c r="H808" s="25">
        <f t="array" ref="H808">INDEX(G$5:G$66,MATCH($B808,$B$5:$B$67,0))</f>
        <v>1425</v>
      </c>
      <c r="I808" s="25">
        <f t="array" ref="I808">INDEX(H$5:H$67,MATCH($B808,$B$5:$B$67,0))</f>
        <v>114</v>
      </c>
      <c r="J808" s="25">
        <f t="array" ref="J808">INDEX(I$5:I$67,MATCH($B808,$B$5:$B$67,0))</f>
        <v>800</v>
      </c>
      <c r="K808" s="25">
        <f t="array" ref="K808">INDEX(J$5:J$67,MATCH($B808,$B$5:$B$67,0))</f>
        <v>64</v>
      </c>
      <c r="L808" s="25">
        <f t="shared" si="605"/>
        <v>12285</v>
      </c>
      <c r="M808" s="25">
        <f t="shared" si="606"/>
        <v>2052</v>
      </c>
      <c r="N808" s="25">
        <f t="shared" si="607"/>
        <v>2565</v>
      </c>
      <c r="O808" s="25">
        <f t="shared" si="608"/>
        <v>1440</v>
      </c>
      <c r="R808" s="54">
        <v>1039001</v>
      </c>
      <c r="S808" s="51" t="s">
        <v>367</v>
      </c>
      <c r="T808" s="29">
        <f t="shared" si="603"/>
        <v>1</v>
      </c>
      <c r="U808" s="25">
        <f t="array" ref="U808">INDEX(K$5:K$67,MATCH($S808,$B$5:$B$67,0))</f>
        <v>268.38</v>
      </c>
      <c r="V808" s="25">
        <f t="array" ref="V808">INDEX(L$5:L$67,MATCH($S808,$B$5:$B$67,0))</f>
        <v>98.56</v>
      </c>
      <c r="W808" s="25">
        <f t="array" ref="W808">INDEX(M$5:M$67,MATCH($S808,$B$5:$B$67,0))</f>
        <v>78.85</v>
      </c>
      <c r="X808" s="25">
        <f t="array" ref="X808">INDEX(N$5:N$67,MATCH($S808,$B$5:$B$67,0))</f>
        <v>59.5</v>
      </c>
      <c r="Y808" s="25">
        <f t="shared" si="609"/>
        <v>268</v>
      </c>
      <c r="Z808" s="25">
        <f t="shared" si="610"/>
        <v>99</v>
      </c>
      <c r="AA808" s="25">
        <f t="shared" si="611"/>
        <v>79</v>
      </c>
      <c r="AB808" s="25">
        <f t="shared" si="612"/>
        <v>60</v>
      </c>
    </row>
    <row r="809" spans="1:28">
      <c r="A809" s="48">
        <v>1013011</v>
      </c>
      <c r="B809" s="49" t="s">
        <v>339</v>
      </c>
      <c r="C809" s="25">
        <f t="shared" si="604"/>
        <v>11</v>
      </c>
      <c r="D809" s="25">
        <f t="array" ref="D809">INDEX(C$5:C$67,MATCH($B809,$B$5:$B$67,0))</f>
        <v>6825</v>
      </c>
      <c r="E809" s="25">
        <f t="array" ref="E809">INDEX(D$5:D$67,MATCH($B809,$B$5:$B$67,0))</f>
        <v>546</v>
      </c>
      <c r="F809" s="25">
        <f t="array" ref="F809">INDEX(E$5:E$67,MATCH($B809,$B$5:$B$67,0))</f>
        <v>1140</v>
      </c>
      <c r="G809" s="25">
        <f t="array" ref="G809">INDEX(F$5:F$67,MATCH($B809,$B$5:$B$67,0))</f>
        <v>91.2</v>
      </c>
      <c r="H809" s="25">
        <f t="array" ref="H809">INDEX(G$5:G$66,MATCH($B809,$B$5:$B$67,0))</f>
        <v>1425</v>
      </c>
      <c r="I809" s="25">
        <f t="array" ref="I809">INDEX(H$5:H$67,MATCH($B809,$B$5:$B$67,0))</f>
        <v>114</v>
      </c>
      <c r="J809" s="25">
        <f t="array" ref="J809">INDEX(I$5:I$67,MATCH($B809,$B$5:$B$67,0))</f>
        <v>800</v>
      </c>
      <c r="K809" s="25">
        <f t="array" ref="K809">INDEX(J$5:J$67,MATCH($B809,$B$5:$B$67,0))</f>
        <v>64</v>
      </c>
      <c r="L809" s="25">
        <f t="shared" si="605"/>
        <v>12831</v>
      </c>
      <c r="M809" s="25">
        <f t="shared" si="606"/>
        <v>2143</v>
      </c>
      <c r="N809" s="25">
        <f t="shared" si="607"/>
        <v>2679</v>
      </c>
      <c r="O809" s="25">
        <f t="shared" si="608"/>
        <v>1504</v>
      </c>
      <c r="R809" s="54">
        <v>1039002</v>
      </c>
      <c r="S809" s="51" t="s">
        <v>367</v>
      </c>
      <c r="T809" s="29">
        <f t="shared" si="603"/>
        <v>2</v>
      </c>
      <c r="U809" s="25">
        <f t="array" ref="U809">INDEX(K$5:K$67,MATCH($S809,$B$5:$B$67,0))</f>
        <v>268.38</v>
      </c>
      <c r="V809" s="25">
        <f t="array" ref="V809">INDEX(L$5:L$67,MATCH($S809,$B$5:$B$67,0))</f>
        <v>98.56</v>
      </c>
      <c r="W809" s="25">
        <f t="array" ref="W809">INDEX(M$5:M$67,MATCH($S809,$B$5:$B$67,0))</f>
        <v>78.85</v>
      </c>
      <c r="X809" s="25">
        <f t="array" ref="X809">INDEX(N$5:N$67,MATCH($S809,$B$5:$B$67,0))</f>
        <v>59.5</v>
      </c>
      <c r="Y809" s="25">
        <f t="shared" si="609"/>
        <v>537</v>
      </c>
      <c r="Z809" s="25">
        <f t="shared" si="610"/>
        <v>197</v>
      </c>
      <c r="AA809" s="25">
        <f t="shared" si="611"/>
        <v>158</v>
      </c>
      <c r="AB809" s="25">
        <f t="shared" si="612"/>
        <v>119</v>
      </c>
    </row>
    <row r="810" spans="1:28">
      <c r="A810" s="48">
        <v>1013012</v>
      </c>
      <c r="B810" s="49" t="s">
        <v>339</v>
      </c>
      <c r="C810" s="25">
        <f t="shared" si="604"/>
        <v>12</v>
      </c>
      <c r="D810" s="25">
        <f t="array" ref="D810">INDEX(C$5:C$67,MATCH($B810,$B$5:$B$67,0))</f>
        <v>6825</v>
      </c>
      <c r="E810" s="25">
        <f t="array" ref="E810">INDEX(D$5:D$67,MATCH($B810,$B$5:$B$67,0))</f>
        <v>546</v>
      </c>
      <c r="F810" s="25">
        <f t="array" ref="F810">INDEX(E$5:E$67,MATCH($B810,$B$5:$B$67,0))</f>
        <v>1140</v>
      </c>
      <c r="G810" s="25">
        <f t="array" ref="G810">INDEX(F$5:F$67,MATCH($B810,$B$5:$B$67,0))</f>
        <v>91.2</v>
      </c>
      <c r="H810" s="25">
        <f t="array" ref="H810">INDEX(G$5:G$66,MATCH($B810,$B$5:$B$67,0))</f>
        <v>1425</v>
      </c>
      <c r="I810" s="25">
        <f t="array" ref="I810">INDEX(H$5:H$67,MATCH($B810,$B$5:$B$67,0))</f>
        <v>114</v>
      </c>
      <c r="J810" s="25">
        <f t="array" ref="J810">INDEX(I$5:I$67,MATCH($B810,$B$5:$B$67,0))</f>
        <v>800</v>
      </c>
      <c r="K810" s="25">
        <f t="array" ref="K810">INDEX(J$5:J$67,MATCH($B810,$B$5:$B$67,0))</f>
        <v>64</v>
      </c>
      <c r="L810" s="25">
        <f t="shared" si="605"/>
        <v>13377</v>
      </c>
      <c r="M810" s="25">
        <f t="shared" si="606"/>
        <v>2234</v>
      </c>
      <c r="N810" s="25">
        <f t="shared" si="607"/>
        <v>2793</v>
      </c>
      <c r="O810" s="25">
        <f t="shared" si="608"/>
        <v>1568</v>
      </c>
      <c r="R810" s="54">
        <v>1039003</v>
      </c>
      <c r="S810" s="51" t="s">
        <v>367</v>
      </c>
      <c r="T810" s="29">
        <f t="shared" ref="T810:T861" si="613">T783</f>
        <v>3</v>
      </c>
      <c r="U810" s="25">
        <f t="array" ref="U810">INDEX(K$5:K$67,MATCH($S810,$B$5:$B$67,0))</f>
        <v>268.38</v>
      </c>
      <c r="V810" s="25">
        <f t="array" ref="V810">INDEX(L$5:L$67,MATCH($S810,$B$5:$B$67,0))</f>
        <v>98.56</v>
      </c>
      <c r="W810" s="25">
        <f t="array" ref="W810">INDEX(M$5:M$67,MATCH($S810,$B$5:$B$67,0))</f>
        <v>78.85</v>
      </c>
      <c r="X810" s="25">
        <f t="array" ref="X810">INDEX(N$5:N$67,MATCH($S810,$B$5:$B$67,0))</f>
        <v>59.5</v>
      </c>
      <c r="Y810" s="25">
        <f t="shared" si="609"/>
        <v>805</v>
      </c>
      <c r="Z810" s="25">
        <f t="shared" si="610"/>
        <v>296</v>
      </c>
      <c r="AA810" s="25">
        <f t="shared" si="611"/>
        <v>237</v>
      </c>
      <c r="AB810" s="25">
        <f t="shared" si="612"/>
        <v>179</v>
      </c>
    </row>
    <row r="811" spans="1:28">
      <c r="A811" s="48">
        <v>1013013</v>
      </c>
      <c r="B811" s="49" t="s">
        <v>339</v>
      </c>
      <c r="C811" s="25">
        <f t="shared" si="604"/>
        <v>13</v>
      </c>
      <c r="D811" s="25">
        <f t="array" ref="D811">INDEX(C$5:C$67,MATCH($B811,$B$5:$B$67,0))</f>
        <v>6825</v>
      </c>
      <c r="E811" s="25">
        <f t="array" ref="E811">INDEX(D$5:D$67,MATCH($B811,$B$5:$B$67,0))</f>
        <v>546</v>
      </c>
      <c r="F811" s="25">
        <f t="array" ref="F811">INDEX(E$5:E$67,MATCH($B811,$B$5:$B$67,0))</f>
        <v>1140</v>
      </c>
      <c r="G811" s="25">
        <f t="array" ref="G811">INDEX(F$5:F$67,MATCH($B811,$B$5:$B$67,0))</f>
        <v>91.2</v>
      </c>
      <c r="H811" s="25">
        <f t="array" ref="H811">INDEX(G$5:G$66,MATCH($B811,$B$5:$B$67,0))</f>
        <v>1425</v>
      </c>
      <c r="I811" s="25">
        <f t="array" ref="I811">INDEX(H$5:H$67,MATCH($B811,$B$5:$B$67,0))</f>
        <v>114</v>
      </c>
      <c r="J811" s="25">
        <f t="array" ref="J811">INDEX(I$5:I$67,MATCH($B811,$B$5:$B$67,0))</f>
        <v>800</v>
      </c>
      <c r="K811" s="25">
        <f t="array" ref="K811">INDEX(J$5:J$67,MATCH($B811,$B$5:$B$67,0))</f>
        <v>64</v>
      </c>
      <c r="L811" s="25">
        <f t="shared" si="605"/>
        <v>13923</v>
      </c>
      <c r="M811" s="25">
        <f t="shared" si="606"/>
        <v>2326</v>
      </c>
      <c r="N811" s="25">
        <f t="shared" si="607"/>
        <v>2907</v>
      </c>
      <c r="O811" s="25">
        <f t="shared" si="608"/>
        <v>1632</v>
      </c>
      <c r="R811" s="54">
        <v>1039004</v>
      </c>
      <c r="S811" s="51" t="s">
        <v>367</v>
      </c>
      <c r="T811" s="29">
        <f t="shared" si="613"/>
        <v>4</v>
      </c>
      <c r="U811" s="25">
        <f t="array" ref="U811">INDEX(K$5:K$67,MATCH($S811,$B$5:$B$67,0))</f>
        <v>268.38</v>
      </c>
      <c r="V811" s="25">
        <f t="array" ref="V811">INDEX(L$5:L$67,MATCH($S811,$B$5:$B$67,0))</f>
        <v>98.56</v>
      </c>
      <c r="W811" s="25">
        <f t="array" ref="W811">INDEX(M$5:M$67,MATCH($S811,$B$5:$B$67,0))</f>
        <v>78.85</v>
      </c>
      <c r="X811" s="25">
        <f t="array" ref="X811">INDEX(N$5:N$67,MATCH($S811,$B$5:$B$67,0))</f>
        <v>59.5</v>
      </c>
      <c r="Y811" s="25">
        <f t="shared" si="609"/>
        <v>1074</v>
      </c>
      <c r="Z811" s="25">
        <f t="shared" si="610"/>
        <v>394</v>
      </c>
      <c r="AA811" s="25">
        <f t="shared" si="611"/>
        <v>315</v>
      </c>
      <c r="AB811" s="25">
        <f t="shared" si="612"/>
        <v>238</v>
      </c>
    </row>
    <row r="812" spans="1:28">
      <c r="A812" s="48">
        <v>1013014</v>
      </c>
      <c r="B812" s="49" t="s">
        <v>339</v>
      </c>
      <c r="C812" s="25">
        <f t="shared" si="604"/>
        <v>14</v>
      </c>
      <c r="D812" s="25">
        <f t="array" ref="D812">INDEX(C$5:C$67,MATCH($B812,$B$5:$B$67,0))</f>
        <v>6825</v>
      </c>
      <c r="E812" s="25">
        <f t="array" ref="E812">INDEX(D$5:D$67,MATCH($B812,$B$5:$B$67,0))</f>
        <v>546</v>
      </c>
      <c r="F812" s="25">
        <f t="array" ref="F812">INDEX(E$5:E$67,MATCH($B812,$B$5:$B$67,0))</f>
        <v>1140</v>
      </c>
      <c r="G812" s="25">
        <f t="array" ref="G812">INDEX(F$5:F$67,MATCH($B812,$B$5:$B$67,0))</f>
        <v>91.2</v>
      </c>
      <c r="H812" s="25">
        <f t="array" ref="H812">INDEX(G$5:G$66,MATCH($B812,$B$5:$B$67,0))</f>
        <v>1425</v>
      </c>
      <c r="I812" s="25">
        <f t="array" ref="I812">INDEX(H$5:H$67,MATCH($B812,$B$5:$B$67,0))</f>
        <v>114</v>
      </c>
      <c r="J812" s="25">
        <f t="array" ref="J812">INDEX(I$5:I$67,MATCH($B812,$B$5:$B$67,0))</f>
        <v>800</v>
      </c>
      <c r="K812" s="25">
        <f t="array" ref="K812">INDEX(J$5:J$67,MATCH($B812,$B$5:$B$67,0))</f>
        <v>64</v>
      </c>
      <c r="L812" s="25">
        <f t="shared" si="605"/>
        <v>14469</v>
      </c>
      <c r="M812" s="25">
        <f t="shared" si="606"/>
        <v>2417</v>
      </c>
      <c r="N812" s="25">
        <f t="shared" si="607"/>
        <v>3021</v>
      </c>
      <c r="O812" s="25">
        <f t="shared" si="608"/>
        <v>1696</v>
      </c>
      <c r="R812" s="54">
        <v>1039005</v>
      </c>
      <c r="S812" s="51" t="s">
        <v>367</v>
      </c>
      <c r="T812" s="29">
        <f t="shared" si="613"/>
        <v>5</v>
      </c>
      <c r="U812" s="25">
        <f t="array" ref="U812">INDEX(K$5:K$67,MATCH($S812,$B$5:$B$67,0))</f>
        <v>268.38</v>
      </c>
      <c r="V812" s="25">
        <f t="array" ref="V812">INDEX(L$5:L$67,MATCH($S812,$B$5:$B$67,0))</f>
        <v>98.56</v>
      </c>
      <c r="W812" s="25">
        <f t="array" ref="W812">INDEX(M$5:M$67,MATCH($S812,$B$5:$B$67,0))</f>
        <v>78.85</v>
      </c>
      <c r="X812" s="25">
        <f t="array" ref="X812">INDEX(N$5:N$67,MATCH($S812,$B$5:$B$67,0))</f>
        <v>59.5</v>
      </c>
      <c r="Y812" s="25">
        <f t="shared" si="609"/>
        <v>1342</v>
      </c>
      <c r="Z812" s="25">
        <f t="shared" si="610"/>
        <v>493</v>
      </c>
      <c r="AA812" s="25">
        <f t="shared" si="611"/>
        <v>394</v>
      </c>
      <c r="AB812" s="25">
        <f t="shared" si="612"/>
        <v>298</v>
      </c>
    </row>
    <row r="813" spans="1:28">
      <c r="A813" s="48">
        <v>1013015</v>
      </c>
      <c r="B813" s="49" t="s">
        <v>339</v>
      </c>
      <c r="C813" s="25">
        <f t="shared" si="604"/>
        <v>15</v>
      </c>
      <c r="D813" s="25">
        <f t="array" ref="D813">INDEX(C$5:C$67,MATCH($B813,$B$5:$B$67,0))</f>
        <v>6825</v>
      </c>
      <c r="E813" s="25">
        <f t="array" ref="E813">INDEX(D$5:D$67,MATCH($B813,$B$5:$B$67,0))</f>
        <v>546</v>
      </c>
      <c r="F813" s="25">
        <f t="array" ref="F813">INDEX(E$5:E$67,MATCH($B813,$B$5:$B$67,0))</f>
        <v>1140</v>
      </c>
      <c r="G813" s="25">
        <f t="array" ref="G813">INDEX(F$5:F$67,MATCH($B813,$B$5:$B$67,0))</f>
        <v>91.2</v>
      </c>
      <c r="H813" s="25">
        <f t="array" ref="H813">INDEX(G$5:G$66,MATCH($B813,$B$5:$B$67,0))</f>
        <v>1425</v>
      </c>
      <c r="I813" s="25">
        <f t="array" ref="I813">INDEX(H$5:H$67,MATCH($B813,$B$5:$B$67,0))</f>
        <v>114</v>
      </c>
      <c r="J813" s="25">
        <f t="array" ref="J813">INDEX(I$5:I$67,MATCH($B813,$B$5:$B$67,0))</f>
        <v>800</v>
      </c>
      <c r="K813" s="25">
        <f t="array" ref="K813">INDEX(J$5:J$67,MATCH($B813,$B$5:$B$67,0))</f>
        <v>64</v>
      </c>
      <c r="L813" s="25">
        <f t="shared" si="605"/>
        <v>15015</v>
      </c>
      <c r="M813" s="25">
        <f t="shared" si="606"/>
        <v>2508</v>
      </c>
      <c r="N813" s="25">
        <f t="shared" si="607"/>
        <v>3135</v>
      </c>
      <c r="O813" s="25">
        <f t="shared" si="608"/>
        <v>1760</v>
      </c>
      <c r="R813" s="54">
        <v>1039006</v>
      </c>
      <c r="S813" s="51" t="s">
        <v>367</v>
      </c>
      <c r="T813" s="29">
        <f t="shared" si="613"/>
        <v>6</v>
      </c>
      <c r="U813" s="25">
        <f t="array" ref="U813">INDEX(K$5:K$67,MATCH($S813,$B$5:$B$67,0))</f>
        <v>268.38</v>
      </c>
      <c r="V813" s="25">
        <f t="array" ref="V813">INDEX(L$5:L$67,MATCH($S813,$B$5:$B$67,0))</f>
        <v>98.56</v>
      </c>
      <c r="W813" s="25">
        <f t="array" ref="W813">INDEX(M$5:M$67,MATCH($S813,$B$5:$B$67,0))</f>
        <v>78.85</v>
      </c>
      <c r="X813" s="25">
        <f t="array" ref="X813">INDEX(N$5:N$67,MATCH($S813,$B$5:$B$67,0))</f>
        <v>59.5</v>
      </c>
      <c r="Y813" s="25">
        <f t="shared" si="609"/>
        <v>1610</v>
      </c>
      <c r="Z813" s="25">
        <f t="shared" si="610"/>
        <v>591</v>
      </c>
      <c r="AA813" s="25">
        <f t="shared" si="611"/>
        <v>473</v>
      </c>
      <c r="AB813" s="25">
        <f t="shared" si="612"/>
        <v>357</v>
      </c>
    </row>
    <row r="814" spans="1:28">
      <c r="A814" s="48">
        <v>1013016</v>
      </c>
      <c r="B814" s="49" t="s">
        <v>339</v>
      </c>
      <c r="C814" s="25">
        <f t="shared" si="604"/>
        <v>16</v>
      </c>
      <c r="D814" s="25">
        <f t="array" ref="D814">INDEX(C$5:C$67,MATCH($B814,$B$5:$B$67,0))</f>
        <v>6825</v>
      </c>
      <c r="E814" s="25">
        <f t="array" ref="E814">INDEX(D$5:D$67,MATCH($B814,$B$5:$B$67,0))</f>
        <v>546</v>
      </c>
      <c r="F814" s="25">
        <f t="array" ref="F814">INDEX(E$5:E$67,MATCH($B814,$B$5:$B$67,0))</f>
        <v>1140</v>
      </c>
      <c r="G814" s="25">
        <f t="array" ref="G814">INDEX(F$5:F$67,MATCH($B814,$B$5:$B$67,0))</f>
        <v>91.2</v>
      </c>
      <c r="H814" s="25">
        <f t="array" ref="H814">INDEX(G$5:G$66,MATCH($B814,$B$5:$B$67,0))</f>
        <v>1425</v>
      </c>
      <c r="I814" s="25">
        <f t="array" ref="I814">INDEX(H$5:H$67,MATCH($B814,$B$5:$B$67,0))</f>
        <v>114</v>
      </c>
      <c r="J814" s="25">
        <f t="array" ref="J814">INDEX(I$5:I$67,MATCH($B814,$B$5:$B$67,0))</f>
        <v>800</v>
      </c>
      <c r="K814" s="25">
        <f t="array" ref="K814">INDEX(J$5:J$67,MATCH($B814,$B$5:$B$67,0))</f>
        <v>64</v>
      </c>
      <c r="L814" s="25">
        <f t="shared" si="605"/>
        <v>15561</v>
      </c>
      <c r="M814" s="25">
        <f t="shared" si="606"/>
        <v>2599</v>
      </c>
      <c r="N814" s="25">
        <f t="shared" si="607"/>
        <v>3249</v>
      </c>
      <c r="O814" s="25">
        <f t="shared" si="608"/>
        <v>1824</v>
      </c>
      <c r="R814" s="54">
        <v>1039007</v>
      </c>
      <c r="S814" s="51" t="s">
        <v>367</v>
      </c>
      <c r="T814" s="29">
        <f t="shared" si="613"/>
        <v>7</v>
      </c>
      <c r="U814" s="25">
        <f t="array" ref="U814">INDEX(K$5:K$67,MATCH($S814,$B$5:$B$67,0))</f>
        <v>268.38</v>
      </c>
      <c r="V814" s="25">
        <f t="array" ref="V814">INDEX(L$5:L$67,MATCH($S814,$B$5:$B$67,0))</f>
        <v>98.56</v>
      </c>
      <c r="W814" s="25">
        <f t="array" ref="W814">INDEX(M$5:M$67,MATCH($S814,$B$5:$B$67,0))</f>
        <v>78.85</v>
      </c>
      <c r="X814" s="25">
        <f t="array" ref="X814">INDEX(N$5:N$67,MATCH($S814,$B$5:$B$67,0))</f>
        <v>59.5</v>
      </c>
      <c r="Y814" s="25">
        <f t="shared" si="609"/>
        <v>1879</v>
      </c>
      <c r="Z814" s="25">
        <f t="shared" si="610"/>
        <v>690</v>
      </c>
      <c r="AA814" s="25">
        <f t="shared" si="611"/>
        <v>552</v>
      </c>
      <c r="AB814" s="25">
        <f t="shared" si="612"/>
        <v>417</v>
      </c>
    </row>
    <row r="815" spans="1:28">
      <c r="A815" s="48">
        <v>1013017</v>
      </c>
      <c r="B815" s="49" t="s">
        <v>339</v>
      </c>
      <c r="C815" s="25">
        <f t="shared" si="604"/>
        <v>17</v>
      </c>
      <c r="D815" s="25">
        <f t="array" ref="D815">INDEX(C$5:C$67,MATCH($B815,$B$5:$B$67,0))</f>
        <v>6825</v>
      </c>
      <c r="E815" s="25">
        <f t="array" ref="E815">INDEX(D$5:D$67,MATCH($B815,$B$5:$B$67,0))</f>
        <v>546</v>
      </c>
      <c r="F815" s="25">
        <f t="array" ref="F815">INDEX(E$5:E$67,MATCH($B815,$B$5:$B$67,0))</f>
        <v>1140</v>
      </c>
      <c r="G815" s="25">
        <f t="array" ref="G815">INDEX(F$5:F$67,MATCH($B815,$B$5:$B$67,0))</f>
        <v>91.2</v>
      </c>
      <c r="H815" s="25">
        <f t="array" ref="H815">INDEX(G$5:G$66,MATCH($B815,$B$5:$B$67,0))</f>
        <v>1425</v>
      </c>
      <c r="I815" s="25">
        <f t="array" ref="I815">INDEX(H$5:H$67,MATCH($B815,$B$5:$B$67,0))</f>
        <v>114</v>
      </c>
      <c r="J815" s="25">
        <f t="array" ref="J815">INDEX(I$5:I$67,MATCH($B815,$B$5:$B$67,0))</f>
        <v>800</v>
      </c>
      <c r="K815" s="25">
        <f t="array" ref="K815">INDEX(J$5:J$67,MATCH($B815,$B$5:$B$67,0))</f>
        <v>64</v>
      </c>
      <c r="L815" s="25">
        <f t="shared" si="605"/>
        <v>16107</v>
      </c>
      <c r="M815" s="25">
        <f t="shared" si="606"/>
        <v>2690</v>
      </c>
      <c r="N815" s="25">
        <f t="shared" si="607"/>
        <v>3363</v>
      </c>
      <c r="O815" s="25">
        <f t="shared" si="608"/>
        <v>1888</v>
      </c>
      <c r="R815" s="54">
        <v>1039008</v>
      </c>
      <c r="S815" s="51" t="s">
        <v>367</v>
      </c>
      <c r="T815" s="29">
        <f t="shared" si="613"/>
        <v>8</v>
      </c>
      <c r="U815" s="25">
        <f t="array" ref="U815">INDEX(K$5:K$67,MATCH($S815,$B$5:$B$67,0))</f>
        <v>268.38</v>
      </c>
      <c r="V815" s="25">
        <f t="array" ref="V815">INDEX(L$5:L$67,MATCH($S815,$B$5:$B$67,0))</f>
        <v>98.56</v>
      </c>
      <c r="W815" s="25">
        <f t="array" ref="W815">INDEX(M$5:M$67,MATCH($S815,$B$5:$B$67,0))</f>
        <v>78.85</v>
      </c>
      <c r="X815" s="25">
        <f t="array" ref="X815">INDEX(N$5:N$67,MATCH($S815,$B$5:$B$67,0))</f>
        <v>59.5</v>
      </c>
      <c r="Y815" s="25">
        <f t="shared" si="609"/>
        <v>2147</v>
      </c>
      <c r="Z815" s="25">
        <f t="shared" si="610"/>
        <v>788</v>
      </c>
      <c r="AA815" s="25">
        <f t="shared" si="611"/>
        <v>631</v>
      </c>
      <c r="AB815" s="25">
        <f t="shared" si="612"/>
        <v>476</v>
      </c>
    </row>
    <row r="816" spans="1:28">
      <c r="A816" s="48">
        <v>1013018</v>
      </c>
      <c r="B816" s="49" t="s">
        <v>339</v>
      </c>
      <c r="C816" s="25">
        <f t="shared" si="604"/>
        <v>18</v>
      </c>
      <c r="D816" s="25">
        <f t="array" ref="D816">INDEX(C$5:C$67,MATCH($B816,$B$5:$B$67,0))</f>
        <v>6825</v>
      </c>
      <c r="E816" s="25">
        <f t="array" ref="E816">INDEX(D$5:D$67,MATCH($B816,$B$5:$B$67,0))</f>
        <v>546</v>
      </c>
      <c r="F816" s="25">
        <f t="array" ref="F816">INDEX(E$5:E$67,MATCH($B816,$B$5:$B$67,0))</f>
        <v>1140</v>
      </c>
      <c r="G816" s="25">
        <f t="array" ref="G816">INDEX(F$5:F$67,MATCH($B816,$B$5:$B$67,0))</f>
        <v>91.2</v>
      </c>
      <c r="H816" s="25">
        <f t="array" ref="H816">INDEX(G$5:G$66,MATCH($B816,$B$5:$B$67,0))</f>
        <v>1425</v>
      </c>
      <c r="I816" s="25">
        <f t="array" ref="I816">INDEX(H$5:H$67,MATCH($B816,$B$5:$B$67,0))</f>
        <v>114</v>
      </c>
      <c r="J816" s="25">
        <f t="array" ref="J816">INDEX(I$5:I$67,MATCH($B816,$B$5:$B$67,0))</f>
        <v>800</v>
      </c>
      <c r="K816" s="25">
        <f t="array" ref="K816">INDEX(J$5:J$67,MATCH($B816,$B$5:$B$67,0))</f>
        <v>64</v>
      </c>
      <c r="L816" s="25">
        <f t="shared" si="605"/>
        <v>16653</v>
      </c>
      <c r="M816" s="25">
        <f t="shared" si="606"/>
        <v>2782</v>
      </c>
      <c r="N816" s="25">
        <f t="shared" si="607"/>
        <v>3477</v>
      </c>
      <c r="O816" s="25">
        <f t="shared" si="608"/>
        <v>1952</v>
      </c>
      <c r="R816" s="54">
        <v>1039009</v>
      </c>
      <c r="S816" s="51" t="s">
        <v>367</v>
      </c>
      <c r="T816" s="29">
        <f t="shared" si="613"/>
        <v>9</v>
      </c>
      <c r="U816" s="25">
        <f t="array" ref="U816">INDEX(K$5:K$67,MATCH($S816,$B$5:$B$67,0))</f>
        <v>268.38</v>
      </c>
      <c r="V816" s="25">
        <f t="array" ref="V816">INDEX(L$5:L$67,MATCH($S816,$B$5:$B$67,0))</f>
        <v>98.56</v>
      </c>
      <c r="W816" s="25">
        <f t="array" ref="W816">INDEX(M$5:M$67,MATCH($S816,$B$5:$B$67,0))</f>
        <v>78.85</v>
      </c>
      <c r="X816" s="25">
        <f t="array" ref="X816">INDEX(N$5:N$67,MATCH($S816,$B$5:$B$67,0))</f>
        <v>59.5</v>
      </c>
      <c r="Y816" s="25">
        <f t="shared" si="609"/>
        <v>2415</v>
      </c>
      <c r="Z816" s="25">
        <f t="shared" si="610"/>
        <v>887</v>
      </c>
      <c r="AA816" s="25">
        <f t="shared" si="611"/>
        <v>710</v>
      </c>
      <c r="AB816" s="25">
        <f t="shared" si="612"/>
        <v>536</v>
      </c>
    </row>
    <row r="817" spans="1:28">
      <c r="A817" s="48">
        <v>1013019</v>
      </c>
      <c r="B817" s="49" t="s">
        <v>339</v>
      </c>
      <c r="C817" s="25">
        <f t="shared" si="604"/>
        <v>19</v>
      </c>
      <c r="D817" s="25">
        <f t="array" ref="D817">INDEX(C$5:C$67,MATCH($B817,$B$5:$B$67,0))</f>
        <v>6825</v>
      </c>
      <c r="E817" s="25">
        <f t="array" ref="E817">INDEX(D$5:D$67,MATCH($B817,$B$5:$B$67,0))</f>
        <v>546</v>
      </c>
      <c r="F817" s="25">
        <f t="array" ref="F817">INDEX(E$5:E$67,MATCH($B817,$B$5:$B$67,0))</f>
        <v>1140</v>
      </c>
      <c r="G817" s="25">
        <f t="array" ref="G817">INDEX(F$5:F$67,MATCH($B817,$B$5:$B$67,0))</f>
        <v>91.2</v>
      </c>
      <c r="H817" s="25">
        <f t="array" ref="H817">INDEX(G$5:G$66,MATCH($B817,$B$5:$B$67,0))</f>
        <v>1425</v>
      </c>
      <c r="I817" s="25">
        <f t="array" ref="I817">INDEX(H$5:H$67,MATCH($B817,$B$5:$B$67,0))</f>
        <v>114</v>
      </c>
      <c r="J817" s="25">
        <f t="array" ref="J817">INDEX(I$5:I$67,MATCH($B817,$B$5:$B$67,0))</f>
        <v>800</v>
      </c>
      <c r="K817" s="25">
        <f t="array" ref="K817">INDEX(J$5:J$67,MATCH($B817,$B$5:$B$67,0))</f>
        <v>64</v>
      </c>
      <c r="L817" s="25">
        <f t="shared" si="605"/>
        <v>17199</v>
      </c>
      <c r="M817" s="25">
        <f t="shared" si="606"/>
        <v>2873</v>
      </c>
      <c r="N817" s="25">
        <f t="shared" si="607"/>
        <v>3591</v>
      </c>
      <c r="O817" s="25">
        <f t="shared" si="608"/>
        <v>2016</v>
      </c>
      <c r="R817" s="54">
        <v>1039010</v>
      </c>
      <c r="S817" s="51" t="s">
        <v>367</v>
      </c>
      <c r="T817" s="29">
        <f t="shared" si="613"/>
        <v>10</v>
      </c>
      <c r="U817" s="25">
        <f t="array" ref="U817">INDEX(K$5:K$67,MATCH($S817,$B$5:$B$67,0))</f>
        <v>268.38</v>
      </c>
      <c r="V817" s="25">
        <f t="array" ref="V817">INDEX(L$5:L$67,MATCH($S817,$B$5:$B$67,0))</f>
        <v>98.56</v>
      </c>
      <c r="W817" s="25">
        <f t="array" ref="W817">INDEX(M$5:M$67,MATCH($S817,$B$5:$B$67,0))</f>
        <v>78.85</v>
      </c>
      <c r="X817" s="25">
        <f t="array" ref="X817">INDEX(N$5:N$67,MATCH($S817,$B$5:$B$67,0))</f>
        <v>59.5</v>
      </c>
      <c r="Y817" s="25">
        <f t="shared" si="609"/>
        <v>2684</v>
      </c>
      <c r="Z817" s="25">
        <f t="shared" si="610"/>
        <v>986</v>
      </c>
      <c r="AA817" s="25">
        <f t="shared" si="611"/>
        <v>789</v>
      </c>
      <c r="AB817" s="25">
        <f t="shared" si="612"/>
        <v>595</v>
      </c>
    </row>
    <row r="818" spans="1:28">
      <c r="A818" s="48">
        <v>1013020</v>
      </c>
      <c r="B818" s="49" t="s">
        <v>339</v>
      </c>
      <c r="C818" s="25">
        <f t="shared" si="604"/>
        <v>20</v>
      </c>
      <c r="D818" s="25">
        <f t="array" ref="D818">INDEX(C$5:C$67,MATCH($B818,$B$5:$B$67,0))</f>
        <v>6825</v>
      </c>
      <c r="E818" s="25">
        <f t="array" ref="E818">INDEX(D$5:D$67,MATCH($B818,$B$5:$B$67,0))</f>
        <v>546</v>
      </c>
      <c r="F818" s="25">
        <f t="array" ref="F818">INDEX(E$5:E$67,MATCH($B818,$B$5:$B$67,0))</f>
        <v>1140</v>
      </c>
      <c r="G818" s="25">
        <f t="array" ref="G818">INDEX(F$5:F$67,MATCH($B818,$B$5:$B$67,0))</f>
        <v>91.2</v>
      </c>
      <c r="H818" s="25">
        <f t="array" ref="H818">INDEX(G$5:G$66,MATCH($B818,$B$5:$B$67,0))</f>
        <v>1425</v>
      </c>
      <c r="I818" s="25">
        <f t="array" ref="I818">INDEX(H$5:H$67,MATCH($B818,$B$5:$B$67,0))</f>
        <v>114</v>
      </c>
      <c r="J818" s="25">
        <f t="array" ref="J818">INDEX(I$5:I$67,MATCH($B818,$B$5:$B$67,0))</f>
        <v>800</v>
      </c>
      <c r="K818" s="25">
        <f t="array" ref="K818">INDEX(J$5:J$67,MATCH($B818,$B$5:$B$67,0))</f>
        <v>64</v>
      </c>
      <c r="L818" s="25">
        <f t="shared" si="605"/>
        <v>17745</v>
      </c>
      <c r="M818" s="25">
        <f t="shared" si="606"/>
        <v>2964</v>
      </c>
      <c r="N818" s="25">
        <f t="shared" si="607"/>
        <v>3705</v>
      </c>
      <c r="O818" s="25">
        <f t="shared" si="608"/>
        <v>2080</v>
      </c>
      <c r="R818" s="54">
        <v>1039011</v>
      </c>
      <c r="S818" s="51" t="s">
        <v>367</v>
      </c>
      <c r="T818" s="29">
        <f t="shared" si="613"/>
        <v>11</v>
      </c>
      <c r="U818" s="25">
        <f t="array" ref="U818">INDEX(K$5:K$67,MATCH($S818,$B$5:$B$67,0))</f>
        <v>268.38</v>
      </c>
      <c r="V818" s="25">
        <f t="array" ref="V818">INDEX(L$5:L$67,MATCH($S818,$B$5:$B$67,0))</f>
        <v>98.56</v>
      </c>
      <c r="W818" s="25">
        <f t="array" ref="W818">INDEX(M$5:M$67,MATCH($S818,$B$5:$B$67,0))</f>
        <v>78.85</v>
      </c>
      <c r="X818" s="25">
        <f t="array" ref="X818">INDEX(N$5:N$67,MATCH($S818,$B$5:$B$67,0))</f>
        <v>59.5</v>
      </c>
      <c r="Y818" s="25">
        <f t="shared" si="609"/>
        <v>2952</v>
      </c>
      <c r="Z818" s="25">
        <f t="shared" si="610"/>
        <v>1084</v>
      </c>
      <c r="AA818" s="25">
        <f t="shared" si="611"/>
        <v>867</v>
      </c>
      <c r="AB818" s="25">
        <f t="shared" si="612"/>
        <v>655</v>
      </c>
    </row>
    <row r="819" spans="1:28">
      <c r="A819" s="48">
        <v>1013021</v>
      </c>
      <c r="B819" s="49" t="s">
        <v>339</v>
      </c>
      <c r="C819" s="25">
        <f t="shared" si="604"/>
        <v>21</v>
      </c>
      <c r="D819" s="25">
        <f t="array" ref="D819">INDEX(C$5:C$67,MATCH($B819,$B$5:$B$67,0))</f>
        <v>6825</v>
      </c>
      <c r="E819" s="25">
        <f t="array" ref="E819">INDEX(D$5:D$67,MATCH($B819,$B$5:$B$67,0))</f>
        <v>546</v>
      </c>
      <c r="F819" s="25">
        <f t="array" ref="F819">INDEX(E$5:E$67,MATCH($B819,$B$5:$B$67,0))</f>
        <v>1140</v>
      </c>
      <c r="G819" s="25">
        <f t="array" ref="G819">INDEX(F$5:F$67,MATCH($B819,$B$5:$B$67,0))</f>
        <v>91.2</v>
      </c>
      <c r="H819" s="25">
        <f t="array" ref="H819">INDEX(G$5:G$66,MATCH($B819,$B$5:$B$67,0))</f>
        <v>1425</v>
      </c>
      <c r="I819" s="25">
        <f t="array" ref="I819">INDEX(H$5:H$67,MATCH($B819,$B$5:$B$67,0))</f>
        <v>114</v>
      </c>
      <c r="J819" s="25">
        <f t="array" ref="J819">INDEX(I$5:I$67,MATCH($B819,$B$5:$B$67,0))</f>
        <v>800</v>
      </c>
      <c r="K819" s="25">
        <f t="array" ref="K819">INDEX(J$5:J$67,MATCH($B819,$B$5:$B$67,0))</f>
        <v>64</v>
      </c>
      <c r="L819" s="25">
        <f t="shared" si="605"/>
        <v>18291</v>
      </c>
      <c r="M819" s="25">
        <f t="shared" si="606"/>
        <v>3055</v>
      </c>
      <c r="N819" s="25">
        <f t="shared" si="607"/>
        <v>3819</v>
      </c>
      <c r="O819" s="25">
        <f t="shared" si="608"/>
        <v>2144</v>
      </c>
      <c r="R819" s="54">
        <v>1039012</v>
      </c>
      <c r="S819" s="51" t="s">
        <v>367</v>
      </c>
      <c r="T819" s="29">
        <f t="shared" si="613"/>
        <v>12</v>
      </c>
      <c r="U819" s="25">
        <f t="array" ref="U819">INDEX(K$5:K$67,MATCH($S819,$B$5:$B$67,0))</f>
        <v>268.38</v>
      </c>
      <c r="V819" s="25">
        <f t="array" ref="V819">INDEX(L$5:L$67,MATCH($S819,$B$5:$B$67,0))</f>
        <v>98.56</v>
      </c>
      <c r="W819" s="25">
        <f t="array" ref="W819">INDEX(M$5:M$67,MATCH($S819,$B$5:$B$67,0))</f>
        <v>78.85</v>
      </c>
      <c r="X819" s="25">
        <f t="array" ref="X819">INDEX(N$5:N$67,MATCH($S819,$B$5:$B$67,0))</f>
        <v>59.5</v>
      </c>
      <c r="Y819" s="25">
        <f t="shared" si="609"/>
        <v>3221</v>
      </c>
      <c r="Z819" s="25">
        <f t="shared" si="610"/>
        <v>1183</v>
      </c>
      <c r="AA819" s="25">
        <f t="shared" si="611"/>
        <v>946</v>
      </c>
      <c r="AB819" s="25">
        <f t="shared" si="612"/>
        <v>714</v>
      </c>
    </row>
    <row r="820" spans="1:28">
      <c r="A820" s="48">
        <v>1013022</v>
      </c>
      <c r="B820" s="49" t="s">
        <v>339</v>
      </c>
      <c r="C820" s="25">
        <f t="shared" si="604"/>
        <v>22</v>
      </c>
      <c r="D820" s="25">
        <f t="array" ref="D820">INDEX(C$5:C$67,MATCH($B820,$B$5:$B$67,0))</f>
        <v>6825</v>
      </c>
      <c r="E820" s="25">
        <f t="array" ref="E820">INDEX(D$5:D$67,MATCH($B820,$B$5:$B$67,0))</f>
        <v>546</v>
      </c>
      <c r="F820" s="25">
        <f t="array" ref="F820">INDEX(E$5:E$67,MATCH($B820,$B$5:$B$67,0))</f>
        <v>1140</v>
      </c>
      <c r="G820" s="25">
        <f t="array" ref="G820">INDEX(F$5:F$67,MATCH($B820,$B$5:$B$67,0))</f>
        <v>91.2</v>
      </c>
      <c r="H820" s="25">
        <f t="array" ref="H820">INDEX(G$5:G$66,MATCH($B820,$B$5:$B$67,0))</f>
        <v>1425</v>
      </c>
      <c r="I820" s="25">
        <f t="array" ref="I820">INDEX(H$5:H$67,MATCH($B820,$B$5:$B$67,0))</f>
        <v>114</v>
      </c>
      <c r="J820" s="25">
        <f t="array" ref="J820">INDEX(I$5:I$67,MATCH($B820,$B$5:$B$67,0))</f>
        <v>800</v>
      </c>
      <c r="K820" s="25">
        <f t="array" ref="K820">INDEX(J$5:J$67,MATCH($B820,$B$5:$B$67,0))</f>
        <v>64</v>
      </c>
      <c r="L820" s="25">
        <f t="shared" si="605"/>
        <v>18837</v>
      </c>
      <c r="M820" s="25">
        <f t="shared" si="606"/>
        <v>3146</v>
      </c>
      <c r="N820" s="25">
        <f t="shared" si="607"/>
        <v>3933</v>
      </c>
      <c r="O820" s="25">
        <f t="shared" si="608"/>
        <v>2208</v>
      </c>
      <c r="R820" s="54">
        <v>1039013</v>
      </c>
      <c r="S820" s="51" t="s">
        <v>367</v>
      </c>
      <c r="T820" s="29">
        <f t="shared" si="613"/>
        <v>13</v>
      </c>
      <c r="U820" s="25">
        <f t="array" ref="U820">INDEX(K$5:K$67,MATCH($S820,$B$5:$B$67,0))</f>
        <v>268.38</v>
      </c>
      <c r="V820" s="25">
        <f t="array" ref="V820">INDEX(L$5:L$67,MATCH($S820,$B$5:$B$67,0))</f>
        <v>98.56</v>
      </c>
      <c r="W820" s="25">
        <f t="array" ref="W820">INDEX(M$5:M$67,MATCH($S820,$B$5:$B$67,0))</f>
        <v>78.85</v>
      </c>
      <c r="X820" s="25">
        <f t="array" ref="X820">INDEX(N$5:N$67,MATCH($S820,$B$5:$B$67,0))</f>
        <v>59.5</v>
      </c>
      <c r="Y820" s="25">
        <f t="shared" si="609"/>
        <v>3489</v>
      </c>
      <c r="Z820" s="25">
        <f t="shared" si="610"/>
        <v>1281</v>
      </c>
      <c r="AA820" s="25">
        <f t="shared" si="611"/>
        <v>1025</v>
      </c>
      <c r="AB820" s="25">
        <f t="shared" si="612"/>
        <v>774</v>
      </c>
    </row>
    <row r="821" spans="1:28">
      <c r="A821" s="48">
        <v>1013023</v>
      </c>
      <c r="B821" s="49" t="s">
        <v>339</v>
      </c>
      <c r="C821" s="25">
        <f t="shared" si="604"/>
        <v>23</v>
      </c>
      <c r="D821" s="25">
        <f t="array" ref="D821">INDEX(C$5:C$67,MATCH($B821,$B$5:$B$67,0))</f>
        <v>6825</v>
      </c>
      <c r="E821" s="25">
        <f t="array" ref="E821">INDEX(D$5:D$67,MATCH($B821,$B$5:$B$67,0))</f>
        <v>546</v>
      </c>
      <c r="F821" s="25">
        <f t="array" ref="F821">INDEX(E$5:E$67,MATCH($B821,$B$5:$B$67,0))</f>
        <v>1140</v>
      </c>
      <c r="G821" s="25">
        <f t="array" ref="G821">INDEX(F$5:F$67,MATCH($B821,$B$5:$B$67,0))</f>
        <v>91.2</v>
      </c>
      <c r="H821" s="25">
        <f t="array" ref="H821">INDEX(G$5:G$66,MATCH($B821,$B$5:$B$67,0))</f>
        <v>1425</v>
      </c>
      <c r="I821" s="25">
        <f t="array" ref="I821">INDEX(H$5:H$67,MATCH($B821,$B$5:$B$67,0))</f>
        <v>114</v>
      </c>
      <c r="J821" s="25">
        <f t="array" ref="J821">INDEX(I$5:I$67,MATCH($B821,$B$5:$B$67,0))</f>
        <v>800</v>
      </c>
      <c r="K821" s="25">
        <f t="array" ref="K821">INDEX(J$5:J$67,MATCH($B821,$B$5:$B$67,0))</f>
        <v>64</v>
      </c>
      <c r="L821" s="25">
        <f t="shared" si="605"/>
        <v>19383</v>
      </c>
      <c r="M821" s="25">
        <f t="shared" si="606"/>
        <v>3238</v>
      </c>
      <c r="N821" s="25">
        <f t="shared" si="607"/>
        <v>4047</v>
      </c>
      <c r="O821" s="25">
        <f t="shared" si="608"/>
        <v>2272</v>
      </c>
      <c r="R821" s="54">
        <v>1039014</v>
      </c>
      <c r="S821" s="51" t="s">
        <v>367</v>
      </c>
      <c r="T821" s="29">
        <f t="shared" si="613"/>
        <v>14</v>
      </c>
      <c r="U821" s="25">
        <f t="array" ref="U821">INDEX(K$5:K$67,MATCH($S821,$B$5:$B$67,0))</f>
        <v>268.38</v>
      </c>
      <c r="V821" s="25">
        <f t="array" ref="V821">INDEX(L$5:L$67,MATCH($S821,$B$5:$B$67,0))</f>
        <v>98.56</v>
      </c>
      <c r="W821" s="25">
        <f t="array" ref="W821">INDEX(M$5:M$67,MATCH($S821,$B$5:$B$67,0))</f>
        <v>78.85</v>
      </c>
      <c r="X821" s="25">
        <f t="array" ref="X821">INDEX(N$5:N$67,MATCH($S821,$B$5:$B$67,0))</f>
        <v>59.5</v>
      </c>
      <c r="Y821" s="25">
        <f t="shared" si="609"/>
        <v>3757</v>
      </c>
      <c r="Z821" s="25">
        <f t="shared" si="610"/>
        <v>1380</v>
      </c>
      <c r="AA821" s="25">
        <f t="shared" si="611"/>
        <v>1104</v>
      </c>
      <c r="AB821" s="25">
        <f t="shared" si="612"/>
        <v>833</v>
      </c>
    </row>
    <row r="822" spans="1:28">
      <c r="A822" s="48">
        <v>1013024</v>
      </c>
      <c r="B822" s="49" t="s">
        <v>339</v>
      </c>
      <c r="C822" s="25">
        <f t="shared" si="604"/>
        <v>24</v>
      </c>
      <c r="D822" s="25">
        <f t="array" ref="D822">INDEX(C$5:C$67,MATCH($B822,$B$5:$B$67,0))</f>
        <v>6825</v>
      </c>
      <c r="E822" s="25">
        <f t="array" ref="E822">INDEX(D$5:D$67,MATCH($B822,$B$5:$B$67,0))</f>
        <v>546</v>
      </c>
      <c r="F822" s="25">
        <f t="array" ref="F822">INDEX(E$5:E$67,MATCH($B822,$B$5:$B$67,0))</f>
        <v>1140</v>
      </c>
      <c r="G822" s="25">
        <f t="array" ref="G822">INDEX(F$5:F$67,MATCH($B822,$B$5:$B$67,0))</f>
        <v>91.2</v>
      </c>
      <c r="H822" s="25">
        <f t="array" ref="H822">INDEX(G$5:G$66,MATCH($B822,$B$5:$B$67,0))</f>
        <v>1425</v>
      </c>
      <c r="I822" s="25">
        <f t="array" ref="I822">INDEX(H$5:H$67,MATCH($B822,$B$5:$B$67,0))</f>
        <v>114</v>
      </c>
      <c r="J822" s="25">
        <f t="array" ref="J822">INDEX(I$5:I$67,MATCH($B822,$B$5:$B$67,0))</f>
        <v>800</v>
      </c>
      <c r="K822" s="25">
        <f t="array" ref="K822">INDEX(J$5:J$67,MATCH($B822,$B$5:$B$67,0))</f>
        <v>64</v>
      </c>
      <c r="L822" s="25">
        <f t="shared" si="605"/>
        <v>19929</v>
      </c>
      <c r="M822" s="25">
        <f t="shared" si="606"/>
        <v>3329</v>
      </c>
      <c r="N822" s="25">
        <f t="shared" si="607"/>
        <v>4161</v>
      </c>
      <c r="O822" s="25">
        <f t="shared" si="608"/>
        <v>2336</v>
      </c>
      <c r="R822" s="54">
        <v>1039015</v>
      </c>
      <c r="S822" s="51" t="s">
        <v>367</v>
      </c>
      <c r="T822" s="29">
        <f t="shared" si="613"/>
        <v>15</v>
      </c>
      <c r="U822" s="25">
        <f t="array" ref="U822">INDEX(K$5:K$67,MATCH($S822,$B$5:$B$67,0))</f>
        <v>268.38</v>
      </c>
      <c r="V822" s="25">
        <f t="array" ref="V822">INDEX(L$5:L$67,MATCH($S822,$B$5:$B$67,0))</f>
        <v>98.56</v>
      </c>
      <c r="W822" s="25">
        <f t="array" ref="W822">INDEX(M$5:M$67,MATCH($S822,$B$5:$B$67,0))</f>
        <v>78.85</v>
      </c>
      <c r="X822" s="25">
        <f t="array" ref="X822">INDEX(N$5:N$67,MATCH($S822,$B$5:$B$67,0))</f>
        <v>59.5</v>
      </c>
      <c r="Y822" s="25">
        <f t="shared" si="609"/>
        <v>4026</v>
      </c>
      <c r="Z822" s="25">
        <f t="shared" si="610"/>
        <v>1478</v>
      </c>
      <c r="AA822" s="25">
        <f t="shared" si="611"/>
        <v>1183</v>
      </c>
      <c r="AB822" s="25">
        <f t="shared" si="612"/>
        <v>893</v>
      </c>
    </row>
    <row r="823" spans="1:28">
      <c r="A823" s="48">
        <v>1013025</v>
      </c>
      <c r="B823" s="49" t="s">
        <v>339</v>
      </c>
      <c r="C823" s="25">
        <f t="shared" si="604"/>
        <v>25</v>
      </c>
      <c r="D823" s="25">
        <f t="array" ref="D823">INDEX(C$5:C$67,MATCH($B823,$B$5:$B$67,0))</f>
        <v>6825</v>
      </c>
      <c r="E823" s="25">
        <f t="array" ref="E823">INDEX(D$5:D$67,MATCH($B823,$B$5:$B$67,0))</f>
        <v>546</v>
      </c>
      <c r="F823" s="25">
        <f t="array" ref="F823">INDEX(E$5:E$67,MATCH($B823,$B$5:$B$67,0))</f>
        <v>1140</v>
      </c>
      <c r="G823" s="25">
        <f t="array" ref="G823">INDEX(F$5:F$67,MATCH($B823,$B$5:$B$67,0))</f>
        <v>91.2</v>
      </c>
      <c r="H823" s="25">
        <f t="array" ref="H823">INDEX(G$5:G$66,MATCH($B823,$B$5:$B$67,0))</f>
        <v>1425</v>
      </c>
      <c r="I823" s="25">
        <f t="array" ref="I823">INDEX(H$5:H$67,MATCH($B823,$B$5:$B$67,0))</f>
        <v>114</v>
      </c>
      <c r="J823" s="25">
        <f t="array" ref="J823">INDEX(I$5:I$67,MATCH($B823,$B$5:$B$67,0))</f>
        <v>800</v>
      </c>
      <c r="K823" s="25">
        <f t="array" ref="K823">INDEX(J$5:J$67,MATCH($B823,$B$5:$B$67,0))</f>
        <v>64</v>
      </c>
      <c r="L823" s="25">
        <f t="shared" si="605"/>
        <v>20475</v>
      </c>
      <c r="M823" s="25">
        <f t="shared" si="606"/>
        <v>3420</v>
      </c>
      <c r="N823" s="25">
        <f t="shared" si="607"/>
        <v>4275</v>
      </c>
      <c r="O823" s="25">
        <f t="shared" si="608"/>
        <v>2400</v>
      </c>
      <c r="R823" s="54">
        <v>1039016</v>
      </c>
      <c r="S823" s="51" t="s">
        <v>367</v>
      </c>
      <c r="T823" s="29">
        <f t="shared" si="613"/>
        <v>16</v>
      </c>
      <c r="U823" s="25">
        <f t="array" ref="U823">INDEX(K$5:K$67,MATCH($S823,$B$5:$B$67,0))</f>
        <v>268.38</v>
      </c>
      <c r="V823" s="25">
        <f t="array" ref="V823">INDEX(L$5:L$67,MATCH($S823,$B$5:$B$67,0))</f>
        <v>98.56</v>
      </c>
      <c r="W823" s="25">
        <f t="array" ref="W823">INDEX(M$5:M$67,MATCH($S823,$B$5:$B$67,0))</f>
        <v>78.85</v>
      </c>
      <c r="X823" s="25">
        <f t="array" ref="X823">INDEX(N$5:N$67,MATCH($S823,$B$5:$B$67,0))</f>
        <v>59.5</v>
      </c>
      <c r="Y823" s="25">
        <f t="shared" si="609"/>
        <v>4294</v>
      </c>
      <c r="Z823" s="25">
        <f t="shared" si="610"/>
        <v>1577</v>
      </c>
      <c r="AA823" s="25">
        <f t="shared" si="611"/>
        <v>1262</v>
      </c>
      <c r="AB823" s="25">
        <f t="shared" si="612"/>
        <v>952</v>
      </c>
    </row>
    <row r="824" spans="1:28">
      <c r="A824" s="48">
        <v>1013026</v>
      </c>
      <c r="B824" s="49" t="s">
        <v>339</v>
      </c>
      <c r="C824" s="25">
        <f t="shared" si="604"/>
        <v>26</v>
      </c>
      <c r="D824" s="25">
        <f t="array" ref="D824">INDEX(C$5:C$67,MATCH($B824,$B$5:$B$67,0))</f>
        <v>6825</v>
      </c>
      <c r="E824" s="25">
        <f t="array" ref="E824">INDEX(D$5:D$67,MATCH($B824,$B$5:$B$67,0))</f>
        <v>546</v>
      </c>
      <c r="F824" s="25">
        <f t="array" ref="F824">INDEX(E$5:E$67,MATCH($B824,$B$5:$B$67,0))</f>
        <v>1140</v>
      </c>
      <c r="G824" s="25">
        <f t="array" ref="G824">INDEX(F$5:F$67,MATCH($B824,$B$5:$B$67,0))</f>
        <v>91.2</v>
      </c>
      <c r="H824" s="25">
        <f t="array" ref="H824">INDEX(G$5:G$66,MATCH($B824,$B$5:$B$67,0))</f>
        <v>1425</v>
      </c>
      <c r="I824" s="25">
        <f t="array" ref="I824">INDEX(H$5:H$67,MATCH($B824,$B$5:$B$67,0))</f>
        <v>114</v>
      </c>
      <c r="J824" s="25">
        <f t="array" ref="J824">INDEX(I$5:I$67,MATCH($B824,$B$5:$B$67,0))</f>
        <v>800</v>
      </c>
      <c r="K824" s="25">
        <f t="array" ref="K824">INDEX(J$5:J$67,MATCH($B824,$B$5:$B$67,0))</f>
        <v>64</v>
      </c>
      <c r="L824" s="25">
        <f t="shared" si="605"/>
        <v>21021</v>
      </c>
      <c r="M824" s="25">
        <f t="shared" si="606"/>
        <v>3511</v>
      </c>
      <c r="N824" s="25">
        <f t="shared" si="607"/>
        <v>4389</v>
      </c>
      <c r="O824" s="25">
        <f t="shared" si="608"/>
        <v>2464</v>
      </c>
      <c r="R824" s="54">
        <v>1039017</v>
      </c>
      <c r="S824" s="51" t="s">
        <v>367</v>
      </c>
      <c r="T824" s="29">
        <f t="shared" si="613"/>
        <v>17</v>
      </c>
      <c r="U824" s="25">
        <f t="array" ref="U824">INDEX(K$5:K$67,MATCH($S824,$B$5:$B$67,0))</f>
        <v>268.38</v>
      </c>
      <c r="V824" s="25">
        <f t="array" ref="V824">INDEX(L$5:L$67,MATCH($S824,$B$5:$B$67,0))</f>
        <v>98.56</v>
      </c>
      <c r="W824" s="25">
        <f t="array" ref="W824">INDEX(M$5:M$67,MATCH($S824,$B$5:$B$67,0))</f>
        <v>78.85</v>
      </c>
      <c r="X824" s="25">
        <f t="array" ref="X824">INDEX(N$5:N$67,MATCH($S824,$B$5:$B$67,0))</f>
        <v>59.5</v>
      </c>
      <c r="Y824" s="25">
        <f t="shared" si="609"/>
        <v>4562</v>
      </c>
      <c r="Z824" s="25">
        <f t="shared" si="610"/>
        <v>1676</v>
      </c>
      <c r="AA824" s="25">
        <f t="shared" si="611"/>
        <v>1340</v>
      </c>
      <c r="AB824" s="25">
        <f t="shared" si="612"/>
        <v>1012</v>
      </c>
    </row>
    <row r="825" spans="1:28">
      <c r="A825" s="48">
        <v>1013027</v>
      </c>
      <c r="B825" s="49" t="s">
        <v>339</v>
      </c>
      <c r="C825" s="25">
        <f t="shared" si="604"/>
        <v>27</v>
      </c>
      <c r="D825" s="25">
        <f t="array" ref="D825">INDEX(C$5:C$67,MATCH($B825,$B$5:$B$67,0))</f>
        <v>6825</v>
      </c>
      <c r="E825" s="25">
        <f t="array" ref="E825">INDEX(D$5:D$67,MATCH($B825,$B$5:$B$67,0))</f>
        <v>546</v>
      </c>
      <c r="F825" s="25">
        <f t="array" ref="F825">INDEX(E$5:E$67,MATCH($B825,$B$5:$B$67,0))</f>
        <v>1140</v>
      </c>
      <c r="G825" s="25">
        <f t="array" ref="G825">INDEX(F$5:F$67,MATCH($B825,$B$5:$B$67,0))</f>
        <v>91.2</v>
      </c>
      <c r="H825" s="25">
        <f t="array" ref="H825">INDEX(G$5:G$66,MATCH($B825,$B$5:$B$67,0))</f>
        <v>1425</v>
      </c>
      <c r="I825" s="25">
        <f t="array" ref="I825">INDEX(H$5:H$67,MATCH($B825,$B$5:$B$67,0))</f>
        <v>114</v>
      </c>
      <c r="J825" s="25">
        <f t="array" ref="J825">INDEX(I$5:I$67,MATCH($B825,$B$5:$B$67,0))</f>
        <v>800</v>
      </c>
      <c r="K825" s="25">
        <f t="array" ref="K825">INDEX(J$5:J$67,MATCH($B825,$B$5:$B$67,0))</f>
        <v>64</v>
      </c>
      <c r="L825" s="25">
        <f t="shared" si="605"/>
        <v>21567</v>
      </c>
      <c r="M825" s="25">
        <f t="shared" si="606"/>
        <v>3602</v>
      </c>
      <c r="N825" s="25">
        <f t="shared" si="607"/>
        <v>4503</v>
      </c>
      <c r="O825" s="25">
        <f t="shared" si="608"/>
        <v>2528</v>
      </c>
      <c r="R825" s="54">
        <v>1039018</v>
      </c>
      <c r="S825" s="51" t="s">
        <v>367</v>
      </c>
      <c r="T825" s="29">
        <f t="shared" si="613"/>
        <v>18</v>
      </c>
      <c r="U825" s="25">
        <f t="array" ref="U825">INDEX(K$5:K$67,MATCH($S825,$B$5:$B$67,0))</f>
        <v>268.38</v>
      </c>
      <c r="V825" s="25">
        <f t="array" ref="V825">INDEX(L$5:L$67,MATCH($S825,$B$5:$B$67,0))</f>
        <v>98.56</v>
      </c>
      <c r="W825" s="25">
        <f t="array" ref="W825">INDEX(M$5:M$67,MATCH($S825,$B$5:$B$67,0))</f>
        <v>78.85</v>
      </c>
      <c r="X825" s="25">
        <f t="array" ref="X825">INDEX(N$5:N$67,MATCH($S825,$B$5:$B$67,0))</f>
        <v>59.5</v>
      </c>
      <c r="Y825" s="25">
        <f t="shared" si="609"/>
        <v>4831</v>
      </c>
      <c r="Z825" s="25">
        <f t="shared" si="610"/>
        <v>1774</v>
      </c>
      <c r="AA825" s="25">
        <f t="shared" si="611"/>
        <v>1419</v>
      </c>
      <c r="AB825" s="25">
        <f t="shared" si="612"/>
        <v>1071</v>
      </c>
    </row>
    <row r="826" spans="1:28">
      <c r="A826" s="48">
        <v>1013028</v>
      </c>
      <c r="B826" s="49" t="s">
        <v>339</v>
      </c>
      <c r="C826" s="25">
        <f t="shared" si="604"/>
        <v>28</v>
      </c>
      <c r="D826" s="25">
        <f t="array" ref="D826">INDEX(C$5:C$67,MATCH($B826,$B$5:$B$67,0))</f>
        <v>6825</v>
      </c>
      <c r="E826" s="25">
        <f t="array" ref="E826">INDEX(D$5:D$67,MATCH($B826,$B$5:$B$67,0))</f>
        <v>546</v>
      </c>
      <c r="F826" s="25">
        <f t="array" ref="F826">INDEX(E$5:E$67,MATCH($B826,$B$5:$B$67,0))</f>
        <v>1140</v>
      </c>
      <c r="G826" s="25">
        <f t="array" ref="G826">INDEX(F$5:F$67,MATCH($B826,$B$5:$B$67,0))</f>
        <v>91.2</v>
      </c>
      <c r="H826" s="25">
        <f t="array" ref="H826">INDEX(G$5:G$66,MATCH($B826,$B$5:$B$67,0))</f>
        <v>1425</v>
      </c>
      <c r="I826" s="25">
        <f t="array" ref="I826">INDEX(H$5:H$67,MATCH($B826,$B$5:$B$67,0))</f>
        <v>114</v>
      </c>
      <c r="J826" s="25">
        <f t="array" ref="J826">INDEX(I$5:I$67,MATCH($B826,$B$5:$B$67,0))</f>
        <v>800</v>
      </c>
      <c r="K826" s="25">
        <f t="array" ref="K826">INDEX(J$5:J$67,MATCH($B826,$B$5:$B$67,0))</f>
        <v>64</v>
      </c>
      <c r="L826" s="25">
        <f t="shared" si="605"/>
        <v>22113</v>
      </c>
      <c r="M826" s="25">
        <f t="shared" si="606"/>
        <v>3694</v>
      </c>
      <c r="N826" s="25">
        <f t="shared" si="607"/>
        <v>4617</v>
      </c>
      <c r="O826" s="25">
        <f t="shared" si="608"/>
        <v>2592</v>
      </c>
      <c r="R826" s="50">
        <v>1039019</v>
      </c>
      <c r="S826" s="51" t="s">
        <v>367</v>
      </c>
      <c r="T826" s="29">
        <f t="shared" si="613"/>
        <v>19</v>
      </c>
      <c r="U826" s="25">
        <f t="array" ref="U826">INDEX(K$5:K$67,MATCH($S826,$B$5:$B$67,0))</f>
        <v>268.38</v>
      </c>
      <c r="V826" s="25">
        <f t="array" ref="V826">INDEX(L$5:L$67,MATCH($S826,$B$5:$B$67,0))</f>
        <v>98.56</v>
      </c>
      <c r="W826" s="25">
        <f t="array" ref="W826">INDEX(M$5:M$67,MATCH($S826,$B$5:$B$67,0))</f>
        <v>78.85</v>
      </c>
      <c r="X826" s="25">
        <f t="array" ref="X826">INDEX(N$5:N$67,MATCH($S826,$B$5:$B$67,0))</f>
        <v>59.5</v>
      </c>
      <c r="Y826" s="25">
        <f t="shared" si="609"/>
        <v>5099</v>
      </c>
      <c r="Z826" s="25">
        <f t="shared" si="610"/>
        <v>1873</v>
      </c>
      <c r="AA826" s="25">
        <f t="shared" si="611"/>
        <v>1498</v>
      </c>
      <c r="AB826" s="25">
        <f t="shared" si="612"/>
        <v>1131</v>
      </c>
    </row>
    <row r="827" spans="1:28">
      <c r="A827" s="48">
        <v>1013029</v>
      </c>
      <c r="B827" s="49" t="s">
        <v>339</v>
      </c>
      <c r="C827" s="25">
        <f t="shared" si="604"/>
        <v>29</v>
      </c>
      <c r="D827" s="25">
        <f t="array" ref="D827">INDEX(C$5:C$67,MATCH($B827,$B$5:$B$67,0))</f>
        <v>6825</v>
      </c>
      <c r="E827" s="25">
        <f t="array" ref="E827">INDEX(D$5:D$67,MATCH($B827,$B$5:$B$67,0))</f>
        <v>546</v>
      </c>
      <c r="F827" s="25">
        <f t="array" ref="F827">INDEX(E$5:E$67,MATCH($B827,$B$5:$B$67,0))</f>
        <v>1140</v>
      </c>
      <c r="G827" s="25">
        <f t="array" ref="G827">INDEX(F$5:F$67,MATCH($B827,$B$5:$B$67,0))</f>
        <v>91.2</v>
      </c>
      <c r="H827" s="25">
        <f t="array" ref="H827">INDEX(G$5:G$66,MATCH($B827,$B$5:$B$67,0))</f>
        <v>1425</v>
      </c>
      <c r="I827" s="25">
        <f t="array" ref="I827">INDEX(H$5:H$67,MATCH($B827,$B$5:$B$67,0))</f>
        <v>114</v>
      </c>
      <c r="J827" s="25">
        <f t="array" ref="J827">INDEX(I$5:I$67,MATCH($B827,$B$5:$B$67,0))</f>
        <v>800</v>
      </c>
      <c r="K827" s="25">
        <f t="array" ref="K827">INDEX(J$5:J$67,MATCH($B827,$B$5:$B$67,0))</f>
        <v>64</v>
      </c>
      <c r="L827" s="25">
        <f t="shared" si="605"/>
        <v>22659</v>
      </c>
      <c r="M827" s="25">
        <f t="shared" si="606"/>
        <v>3785</v>
      </c>
      <c r="N827" s="25">
        <f t="shared" si="607"/>
        <v>4731</v>
      </c>
      <c r="O827" s="25">
        <f t="shared" si="608"/>
        <v>2656</v>
      </c>
      <c r="R827" s="50">
        <v>1039020</v>
      </c>
      <c r="S827" s="51" t="s">
        <v>367</v>
      </c>
      <c r="T827" s="29">
        <f t="shared" si="613"/>
        <v>20</v>
      </c>
      <c r="U827" s="25">
        <f t="array" ref="U827">INDEX(K$5:K$67,MATCH($S827,$B$5:$B$67,0))</f>
        <v>268.38</v>
      </c>
      <c r="V827" s="25">
        <f t="array" ref="V827">INDEX(L$5:L$67,MATCH($S827,$B$5:$B$67,0))</f>
        <v>98.56</v>
      </c>
      <c r="W827" s="25">
        <f t="array" ref="W827">INDEX(M$5:M$67,MATCH($S827,$B$5:$B$67,0))</f>
        <v>78.85</v>
      </c>
      <c r="X827" s="25">
        <f t="array" ref="X827">INDEX(N$5:N$67,MATCH($S827,$B$5:$B$67,0))</f>
        <v>59.5</v>
      </c>
      <c r="Y827" s="25">
        <f t="shared" si="609"/>
        <v>5368</v>
      </c>
      <c r="Z827" s="25">
        <f t="shared" si="610"/>
        <v>1971</v>
      </c>
      <c r="AA827" s="25">
        <f t="shared" si="611"/>
        <v>1577</v>
      </c>
      <c r="AB827" s="25">
        <f t="shared" si="612"/>
        <v>1190</v>
      </c>
    </row>
    <row r="828" spans="1:28">
      <c r="A828" s="48">
        <v>1013030</v>
      </c>
      <c r="B828" s="49" t="s">
        <v>339</v>
      </c>
      <c r="C828" s="25">
        <f t="shared" si="604"/>
        <v>30</v>
      </c>
      <c r="D828" s="25">
        <f t="array" ref="D828">INDEX(C$5:C$67,MATCH($B828,$B$5:$B$67,0))</f>
        <v>6825</v>
      </c>
      <c r="E828" s="25">
        <f t="array" ref="E828">INDEX(D$5:D$67,MATCH($B828,$B$5:$B$67,0))</f>
        <v>546</v>
      </c>
      <c r="F828" s="25">
        <f t="array" ref="F828">INDEX(E$5:E$67,MATCH($B828,$B$5:$B$67,0))</f>
        <v>1140</v>
      </c>
      <c r="G828" s="25">
        <f t="array" ref="G828">INDEX(F$5:F$67,MATCH($B828,$B$5:$B$67,0))</f>
        <v>91.2</v>
      </c>
      <c r="H828" s="25">
        <f t="array" ref="H828">INDEX(G$5:G$66,MATCH($B828,$B$5:$B$67,0))</f>
        <v>1425</v>
      </c>
      <c r="I828" s="25">
        <f t="array" ref="I828">INDEX(H$5:H$67,MATCH($B828,$B$5:$B$67,0))</f>
        <v>114</v>
      </c>
      <c r="J828" s="25">
        <f t="array" ref="J828">INDEX(I$5:I$67,MATCH($B828,$B$5:$B$67,0))</f>
        <v>800</v>
      </c>
      <c r="K828" s="25">
        <f t="array" ref="K828">INDEX(J$5:J$67,MATCH($B828,$B$5:$B$67,0))</f>
        <v>64</v>
      </c>
      <c r="L828" s="25">
        <f t="shared" si="605"/>
        <v>23205</v>
      </c>
      <c r="M828" s="25">
        <f t="shared" si="606"/>
        <v>3876</v>
      </c>
      <c r="N828" s="25">
        <f t="shared" si="607"/>
        <v>4845</v>
      </c>
      <c r="O828" s="25">
        <f t="shared" si="608"/>
        <v>2720</v>
      </c>
      <c r="R828" s="50">
        <v>1039021</v>
      </c>
      <c r="S828" s="51" t="s">
        <v>367</v>
      </c>
      <c r="T828" s="29">
        <f t="shared" si="613"/>
        <v>21</v>
      </c>
      <c r="U828" s="25">
        <f t="array" ref="U828">INDEX(K$5:K$67,MATCH($S828,$B$5:$B$67,0))</f>
        <v>268.38</v>
      </c>
      <c r="V828" s="25">
        <f t="array" ref="V828">INDEX(L$5:L$67,MATCH($S828,$B$5:$B$67,0))</f>
        <v>98.56</v>
      </c>
      <c r="W828" s="25">
        <f t="array" ref="W828">INDEX(M$5:M$67,MATCH($S828,$B$5:$B$67,0))</f>
        <v>78.85</v>
      </c>
      <c r="X828" s="25">
        <f t="array" ref="X828">INDEX(N$5:N$67,MATCH($S828,$B$5:$B$67,0))</f>
        <v>59.5</v>
      </c>
      <c r="Y828" s="25">
        <f t="shared" si="609"/>
        <v>5636</v>
      </c>
      <c r="Z828" s="25">
        <f t="shared" si="610"/>
        <v>2070</v>
      </c>
      <c r="AA828" s="25">
        <f t="shared" si="611"/>
        <v>1656</v>
      </c>
      <c r="AB828" s="25">
        <f t="shared" si="612"/>
        <v>1250</v>
      </c>
    </row>
    <row r="829" spans="1:28">
      <c r="A829" s="48">
        <v>1013031</v>
      </c>
      <c r="B829" s="49" t="s">
        <v>339</v>
      </c>
      <c r="C829" s="25">
        <f t="shared" si="604"/>
        <v>31</v>
      </c>
      <c r="D829" s="25">
        <f t="array" ref="D829">INDEX(C$5:C$67,MATCH($B829,$B$5:$B$67,0))</f>
        <v>6825</v>
      </c>
      <c r="E829" s="25">
        <f t="array" ref="E829">INDEX(D$5:D$67,MATCH($B829,$B$5:$B$67,0))</f>
        <v>546</v>
      </c>
      <c r="F829" s="25">
        <f t="array" ref="F829">INDEX(E$5:E$67,MATCH($B829,$B$5:$B$67,0))</f>
        <v>1140</v>
      </c>
      <c r="G829" s="25">
        <f t="array" ref="G829">INDEX(F$5:F$67,MATCH($B829,$B$5:$B$67,0))</f>
        <v>91.2</v>
      </c>
      <c r="H829" s="25">
        <f t="array" ref="H829">INDEX(G$5:G$66,MATCH($B829,$B$5:$B$67,0))</f>
        <v>1425</v>
      </c>
      <c r="I829" s="25">
        <f t="array" ref="I829">INDEX(H$5:H$67,MATCH($B829,$B$5:$B$67,0))</f>
        <v>114</v>
      </c>
      <c r="J829" s="25">
        <f t="array" ref="J829">INDEX(I$5:I$67,MATCH($B829,$B$5:$B$67,0))</f>
        <v>800</v>
      </c>
      <c r="K829" s="25">
        <f t="array" ref="K829">INDEX(J$5:J$67,MATCH($B829,$B$5:$B$67,0))</f>
        <v>64</v>
      </c>
      <c r="L829" s="25">
        <f t="shared" si="605"/>
        <v>23751</v>
      </c>
      <c r="M829" s="25">
        <f t="shared" si="606"/>
        <v>3967</v>
      </c>
      <c r="N829" s="25">
        <f t="shared" si="607"/>
        <v>4959</v>
      </c>
      <c r="O829" s="25">
        <f t="shared" si="608"/>
        <v>2784</v>
      </c>
      <c r="R829" s="50">
        <v>1039022</v>
      </c>
      <c r="S829" s="51" t="s">
        <v>367</v>
      </c>
      <c r="T829" s="29">
        <f t="shared" si="613"/>
        <v>22</v>
      </c>
      <c r="U829" s="25">
        <f t="array" ref="U829">INDEX(K$5:K$67,MATCH($S829,$B$5:$B$67,0))</f>
        <v>268.38</v>
      </c>
      <c r="V829" s="25">
        <f t="array" ref="V829">INDEX(L$5:L$67,MATCH($S829,$B$5:$B$67,0))</f>
        <v>98.56</v>
      </c>
      <c r="W829" s="25">
        <f t="array" ref="W829">INDEX(M$5:M$67,MATCH($S829,$B$5:$B$67,0))</f>
        <v>78.85</v>
      </c>
      <c r="X829" s="25">
        <f t="array" ref="X829">INDEX(N$5:N$67,MATCH($S829,$B$5:$B$67,0))</f>
        <v>59.5</v>
      </c>
      <c r="Y829" s="25">
        <f t="shared" si="609"/>
        <v>5904</v>
      </c>
      <c r="Z829" s="25">
        <f t="shared" si="610"/>
        <v>2168</v>
      </c>
      <c r="AA829" s="25">
        <f t="shared" si="611"/>
        <v>1735</v>
      </c>
      <c r="AB829" s="25">
        <f t="shared" si="612"/>
        <v>1309</v>
      </c>
    </row>
    <row r="830" spans="1:28">
      <c r="A830" s="48">
        <v>1013032</v>
      </c>
      <c r="B830" s="49" t="s">
        <v>339</v>
      </c>
      <c r="C830" s="25">
        <f t="shared" si="604"/>
        <v>32</v>
      </c>
      <c r="D830" s="25">
        <f t="array" ref="D830">INDEX(C$5:C$67,MATCH($B830,$B$5:$B$67,0))</f>
        <v>6825</v>
      </c>
      <c r="E830" s="25">
        <f t="array" ref="E830">INDEX(D$5:D$67,MATCH($B830,$B$5:$B$67,0))</f>
        <v>546</v>
      </c>
      <c r="F830" s="25">
        <f t="array" ref="F830">INDEX(E$5:E$67,MATCH($B830,$B$5:$B$67,0))</f>
        <v>1140</v>
      </c>
      <c r="G830" s="25">
        <f t="array" ref="G830">INDEX(F$5:F$67,MATCH($B830,$B$5:$B$67,0))</f>
        <v>91.2</v>
      </c>
      <c r="H830" s="25">
        <f t="array" ref="H830">INDEX(G$5:G$66,MATCH($B830,$B$5:$B$67,0))</f>
        <v>1425</v>
      </c>
      <c r="I830" s="25">
        <f t="array" ref="I830">INDEX(H$5:H$67,MATCH($B830,$B$5:$B$67,0))</f>
        <v>114</v>
      </c>
      <c r="J830" s="25">
        <f t="array" ref="J830">INDEX(I$5:I$67,MATCH($B830,$B$5:$B$67,0))</f>
        <v>800</v>
      </c>
      <c r="K830" s="25">
        <f t="array" ref="K830">INDEX(J$5:J$67,MATCH($B830,$B$5:$B$67,0))</f>
        <v>64</v>
      </c>
      <c r="L830" s="25">
        <f t="shared" si="605"/>
        <v>24297</v>
      </c>
      <c r="M830" s="25">
        <f t="shared" si="606"/>
        <v>4058</v>
      </c>
      <c r="N830" s="25">
        <f t="shared" si="607"/>
        <v>5073</v>
      </c>
      <c r="O830" s="25">
        <f t="shared" si="608"/>
        <v>2848</v>
      </c>
      <c r="R830" s="50">
        <v>1039023</v>
      </c>
      <c r="S830" s="51" t="s">
        <v>367</v>
      </c>
      <c r="T830" s="29">
        <f t="shared" si="613"/>
        <v>23</v>
      </c>
      <c r="U830" s="25">
        <f t="array" ref="U830">INDEX(K$5:K$67,MATCH($S830,$B$5:$B$67,0))</f>
        <v>268.38</v>
      </c>
      <c r="V830" s="25">
        <f t="array" ref="V830">INDEX(L$5:L$67,MATCH($S830,$B$5:$B$67,0))</f>
        <v>98.56</v>
      </c>
      <c r="W830" s="25">
        <f t="array" ref="W830">INDEX(M$5:M$67,MATCH($S830,$B$5:$B$67,0))</f>
        <v>78.85</v>
      </c>
      <c r="X830" s="25">
        <f t="array" ref="X830">INDEX(N$5:N$67,MATCH($S830,$B$5:$B$67,0))</f>
        <v>59.5</v>
      </c>
      <c r="Y830" s="25">
        <f t="shared" si="609"/>
        <v>6173</v>
      </c>
      <c r="Z830" s="25">
        <f t="shared" si="610"/>
        <v>2267</v>
      </c>
      <c r="AA830" s="25">
        <f t="shared" si="611"/>
        <v>1814</v>
      </c>
      <c r="AB830" s="25">
        <f t="shared" si="612"/>
        <v>1369</v>
      </c>
    </row>
    <row r="831" spans="1:28">
      <c r="A831" s="48">
        <v>1013033</v>
      </c>
      <c r="B831" s="49" t="s">
        <v>339</v>
      </c>
      <c r="C831" s="25">
        <f t="shared" si="604"/>
        <v>33</v>
      </c>
      <c r="D831" s="25">
        <f t="array" ref="D831">INDEX(C$5:C$67,MATCH($B831,$B$5:$B$67,0))</f>
        <v>6825</v>
      </c>
      <c r="E831" s="25">
        <f t="array" ref="E831">INDEX(D$5:D$67,MATCH($B831,$B$5:$B$67,0))</f>
        <v>546</v>
      </c>
      <c r="F831" s="25">
        <f t="array" ref="F831">INDEX(E$5:E$67,MATCH($B831,$B$5:$B$67,0))</f>
        <v>1140</v>
      </c>
      <c r="G831" s="25">
        <f t="array" ref="G831">INDEX(F$5:F$67,MATCH($B831,$B$5:$B$67,0))</f>
        <v>91.2</v>
      </c>
      <c r="H831" s="25">
        <f t="array" ref="H831">INDEX(G$5:G$66,MATCH($B831,$B$5:$B$67,0))</f>
        <v>1425</v>
      </c>
      <c r="I831" s="25">
        <f t="array" ref="I831">INDEX(H$5:H$67,MATCH($B831,$B$5:$B$67,0))</f>
        <v>114</v>
      </c>
      <c r="J831" s="25">
        <f t="array" ref="J831">INDEX(I$5:I$67,MATCH($B831,$B$5:$B$67,0))</f>
        <v>800</v>
      </c>
      <c r="K831" s="25">
        <f t="array" ref="K831">INDEX(J$5:J$67,MATCH($B831,$B$5:$B$67,0))</f>
        <v>64</v>
      </c>
      <c r="L831" s="25">
        <f t="shared" si="605"/>
        <v>24843</v>
      </c>
      <c r="M831" s="25">
        <f t="shared" si="606"/>
        <v>4150</v>
      </c>
      <c r="N831" s="25">
        <f t="shared" si="607"/>
        <v>5187</v>
      </c>
      <c r="O831" s="25">
        <f t="shared" si="608"/>
        <v>2912</v>
      </c>
      <c r="R831" s="50">
        <v>1039024</v>
      </c>
      <c r="S831" s="51" t="s">
        <v>367</v>
      </c>
      <c r="T831" s="29">
        <f t="shared" si="613"/>
        <v>24</v>
      </c>
      <c r="U831" s="25">
        <f t="array" ref="U831">INDEX(K$5:K$67,MATCH($S831,$B$5:$B$67,0))</f>
        <v>268.38</v>
      </c>
      <c r="V831" s="25">
        <f t="array" ref="V831">INDEX(L$5:L$67,MATCH($S831,$B$5:$B$67,0))</f>
        <v>98.56</v>
      </c>
      <c r="W831" s="25">
        <f t="array" ref="W831">INDEX(M$5:M$67,MATCH($S831,$B$5:$B$67,0))</f>
        <v>78.85</v>
      </c>
      <c r="X831" s="25">
        <f t="array" ref="X831">INDEX(N$5:N$67,MATCH($S831,$B$5:$B$67,0))</f>
        <v>59.5</v>
      </c>
      <c r="Y831" s="25">
        <f t="shared" si="609"/>
        <v>6441</v>
      </c>
      <c r="Z831" s="25">
        <f t="shared" si="610"/>
        <v>2365</v>
      </c>
      <c r="AA831" s="25">
        <f t="shared" si="611"/>
        <v>1892</v>
      </c>
      <c r="AB831" s="25">
        <f t="shared" si="612"/>
        <v>1428</v>
      </c>
    </row>
    <row r="832" spans="1:28">
      <c r="A832" s="48">
        <v>1013034</v>
      </c>
      <c r="B832" s="49" t="s">
        <v>339</v>
      </c>
      <c r="C832" s="25">
        <f t="shared" si="604"/>
        <v>34</v>
      </c>
      <c r="D832" s="25">
        <f t="array" ref="D832">INDEX(C$5:C$67,MATCH($B832,$B$5:$B$67,0))</f>
        <v>6825</v>
      </c>
      <c r="E832" s="25">
        <f t="array" ref="E832">INDEX(D$5:D$67,MATCH($B832,$B$5:$B$67,0))</f>
        <v>546</v>
      </c>
      <c r="F832" s="25">
        <f t="array" ref="F832">INDEX(E$5:E$67,MATCH($B832,$B$5:$B$67,0))</f>
        <v>1140</v>
      </c>
      <c r="G832" s="25">
        <f t="array" ref="G832">INDEX(F$5:F$67,MATCH($B832,$B$5:$B$67,0))</f>
        <v>91.2</v>
      </c>
      <c r="H832" s="25">
        <f t="array" ref="H832">INDEX(G$5:G$66,MATCH($B832,$B$5:$B$67,0))</f>
        <v>1425</v>
      </c>
      <c r="I832" s="25">
        <f t="array" ref="I832">INDEX(H$5:H$67,MATCH($B832,$B$5:$B$67,0))</f>
        <v>114</v>
      </c>
      <c r="J832" s="25">
        <f t="array" ref="J832">INDEX(I$5:I$67,MATCH($B832,$B$5:$B$67,0))</f>
        <v>800</v>
      </c>
      <c r="K832" s="25">
        <f t="array" ref="K832">INDEX(J$5:J$67,MATCH($B832,$B$5:$B$67,0))</f>
        <v>64</v>
      </c>
      <c r="L832" s="25">
        <f t="shared" si="605"/>
        <v>25389</v>
      </c>
      <c r="M832" s="25">
        <f t="shared" si="606"/>
        <v>4241</v>
      </c>
      <c r="N832" s="25">
        <f t="shared" si="607"/>
        <v>5301</v>
      </c>
      <c r="O832" s="25">
        <f t="shared" si="608"/>
        <v>2976</v>
      </c>
      <c r="R832" s="50">
        <v>1039025</v>
      </c>
      <c r="S832" s="51" t="s">
        <v>367</v>
      </c>
      <c r="T832" s="29">
        <f t="shared" si="613"/>
        <v>25</v>
      </c>
      <c r="U832" s="25">
        <f t="array" ref="U832">INDEX(K$5:K$67,MATCH($S832,$B$5:$B$67,0))</f>
        <v>268.38</v>
      </c>
      <c r="V832" s="25">
        <f t="array" ref="V832">INDEX(L$5:L$67,MATCH($S832,$B$5:$B$67,0))</f>
        <v>98.56</v>
      </c>
      <c r="W832" s="25">
        <f t="array" ref="W832">INDEX(M$5:M$67,MATCH($S832,$B$5:$B$67,0))</f>
        <v>78.85</v>
      </c>
      <c r="X832" s="25">
        <f t="array" ref="X832">INDEX(N$5:N$67,MATCH($S832,$B$5:$B$67,0))</f>
        <v>59.5</v>
      </c>
      <c r="Y832" s="25">
        <f t="shared" si="609"/>
        <v>6710</v>
      </c>
      <c r="Z832" s="25">
        <f t="shared" si="610"/>
        <v>2464</v>
      </c>
      <c r="AA832" s="25">
        <f t="shared" si="611"/>
        <v>1971</v>
      </c>
      <c r="AB832" s="25">
        <f t="shared" si="612"/>
        <v>1488</v>
      </c>
    </row>
    <row r="833" spans="1:28">
      <c r="A833" s="48">
        <v>1013035</v>
      </c>
      <c r="B833" s="49" t="s">
        <v>339</v>
      </c>
      <c r="C833" s="25">
        <f t="shared" si="604"/>
        <v>35</v>
      </c>
      <c r="D833" s="25">
        <f t="array" ref="D833">INDEX(C$5:C$67,MATCH($B833,$B$5:$B$67,0))</f>
        <v>6825</v>
      </c>
      <c r="E833" s="25">
        <f t="array" ref="E833">INDEX(D$5:D$67,MATCH($B833,$B$5:$B$67,0))</f>
        <v>546</v>
      </c>
      <c r="F833" s="25">
        <f t="array" ref="F833">INDEX(E$5:E$67,MATCH($B833,$B$5:$B$67,0))</f>
        <v>1140</v>
      </c>
      <c r="G833" s="25">
        <f t="array" ref="G833">INDEX(F$5:F$67,MATCH($B833,$B$5:$B$67,0))</f>
        <v>91.2</v>
      </c>
      <c r="H833" s="25">
        <f t="array" ref="H833">INDEX(G$5:G$66,MATCH($B833,$B$5:$B$67,0))</f>
        <v>1425</v>
      </c>
      <c r="I833" s="25">
        <f t="array" ref="I833">INDEX(H$5:H$67,MATCH($B833,$B$5:$B$67,0))</f>
        <v>114</v>
      </c>
      <c r="J833" s="25">
        <f t="array" ref="J833">INDEX(I$5:I$67,MATCH($B833,$B$5:$B$67,0))</f>
        <v>800</v>
      </c>
      <c r="K833" s="25">
        <f t="array" ref="K833">INDEX(J$5:J$67,MATCH($B833,$B$5:$B$67,0))</f>
        <v>64</v>
      </c>
      <c r="L833" s="25">
        <f t="shared" si="605"/>
        <v>25935</v>
      </c>
      <c r="M833" s="25">
        <f t="shared" si="606"/>
        <v>4332</v>
      </c>
      <c r="N833" s="25">
        <f t="shared" si="607"/>
        <v>5415</v>
      </c>
      <c r="O833" s="25">
        <f t="shared" si="608"/>
        <v>3040</v>
      </c>
      <c r="R833" s="50">
        <v>1039026</v>
      </c>
      <c r="S833" s="51" t="s">
        <v>367</v>
      </c>
      <c r="T833" s="29">
        <f t="shared" si="613"/>
        <v>26</v>
      </c>
      <c r="U833" s="25">
        <f t="array" ref="U833">INDEX(K$5:K$67,MATCH($S833,$B$5:$B$67,0))</f>
        <v>268.38</v>
      </c>
      <c r="V833" s="25">
        <f t="array" ref="V833">INDEX(L$5:L$67,MATCH($S833,$B$5:$B$67,0))</f>
        <v>98.56</v>
      </c>
      <c r="W833" s="25">
        <f t="array" ref="W833">INDEX(M$5:M$67,MATCH($S833,$B$5:$B$67,0))</f>
        <v>78.85</v>
      </c>
      <c r="X833" s="25">
        <f t="array" ref="X833">INDEX(N$5:N$67,MATCH($S833,$B$5:$B$67,0))</f>
        <v>59.5</v>
      </c>
      <c r="Y833" s="25">
        <f t="shared" si="609"/>
        <v>6978</v>
      </c>
      <c r="Z833" s="25">
        <f t="shared" si="610"/>
        <v>2563</v>
      </c>
      <c r="AA833" s="25">
        <f t="shared" si="611"/>
        <v>2050</v>
      </c>
      <c r="AB833" s="25">
        <f t="shared" si="612"/>
        <v>1547</v>
      </c>
    </row>
    <row r="834" spans="1:28">
      <c r="A834" s="48">
        <v>1013036</v>
      </c>
      <c r="B834" s="49" t="s">
        <v>339</v>
      </c>
      <c r="C834" s="25">
        <f t="shared" si="604"/>
        <v>36</v>
      </c>
      <c r="D834" s="25">
        <f t="array" ref="D834">INDEX(C$5:C$67,MATCH($B834,$B$5:$B$67,0))</f>
        <v>6825</v>
      </c>
      <c r="E834" s="25">
        <f t="array" ref="E834">INDEX(D$5:D$67,MATCH($B834,$B$5:$B$67,0))</f>
        <v>546</v>
      </c>
      <c r="F834" s="25">
        <f t="array" ref="F834">INDEX(E$5:E$67,MATCH($B834,$B$5:$B$67,0))</f>
        <v>1140</v>
      </c>
      <c r="G834" s="25">
        <f t="array" ref="G834">INDEX(F$5:F$67,MATCH($B834,$B$5:$B$67,0))</f>
        <v>91.2</v>
      </c>
      <c r="H834" s="25">
        <f t="array" ref="H834">INDEX(G$5:G$66,MATCH($B834,$B$5:$B$67,0))</f>
        <v>1425</v>
      </c>
      <c r="I834" s="25">
        <f t="array" ref="I834">INDEX(H$5:H$67,MATCH($B834,$B$5:$B$67,0))</f>
        <v>114</v>
      </c>
      <c r="J834" s="25">
        <f t="array" ref="J834">INDEX(I$5:I$67,MATCH($B834,$B$5:$B$67,0))</f>
        <v>800</v>
      </c>
      <c r="K834" s="25">
        <f t="array" ref="K834">INDEX(J$5:J$67,MATCH($B834,$B$5:$B$67,0))</f>
        <v>64</v>
      </c>
      <c r="L834" s="25">
        <f t="shared" si="605"/>
        <v>26481</v>
      </c>
      <c r="M834" s="25">
        <f t="shared" si="606"/>
        <v>4423</v>
      </c>
      <c r="N834" s="25">
        <f t="shared" si="607"/>
        <v>5529</v>
      </c>
      <c r="O834" s="25">
        <f t="shared" si="608"/>
        <v>3104</v>
      </c>
      <c r="R834" s="50">
        <v>1039027</v>
      </c>
      <c r="S834" s="51" t="s">
        <v>367</v>
      </c>
      <c r="T834" s="29">
        <f t="shared" si="613"/>
        <v>27</v>
      </c>
      <c r="U834" s="25">
        <f t="array" ref="U834">INDEX(K$5:K$67,MATCH($S834,$B$5:$B$67,0))</f>
        <v>268.38</v>
      </c>
      <c r="V834" s="25">
        <f t="array" ref="V834">INDEX(L$5:L$67,MATCH($S834,$B$5:$B$67,0))</f>
        <v>98.56</v>
      </c>
      <c r="W834" s="25">
        <f t="array" ref="W834">INDEX(M$5:M$67,MATCH($S834,$B$5:$B$67,0))</f>
        <v>78.85</v>
      </c>
      <c r="X834" s="25">
        <f t="array" ref="X834">INDEX(N$5:N$67,MATCH($S834,$B$5:$B$67,0))</f>
        <v>59.5</v>
      </c>
      <c r="Y834" s="25">
        <f t="shared" si="609"/>
        <v>7246</v>
      </c>
      <c r="Z834" s="25">
        <f t="shared" si="610"/>
        <v>2661</v>
      </c>
      <c r="AA834" s="25">
        <f t="shared" si="611"/>
        <v>2129</v>
      </c>
      <c r="AB834" s="25">
        <f t="shared" si="612"/>
        <v>1607</v>
      </c>
    </row>
    <row r="835" spans="1:28">
      <c r="A835" s="48">
        <v>1013037</v>
      </c>
      <c r="B835" s="49" t="s">
        <v>339</v>
      </c>
      <c r="C835" s="25">
        <f t="shared" si="604"/>
        <v>37</v>
      </c>
      <c r="D835" s="25">
        <f t="array" ref="D835">INDEX(C$5:C$67,MATCH($B835,$B$5:$B$67,0))</f>
        <v>6825</v>
      </c>
      <c r="E835" s="25">
        <f t="array" ref="E835">INDEX(D$5:D$67,MATCH($B835,$B$5:$B$67,0))</f>
        <v>546</v>
      </c>
      <c r="F835" s="25">
        <f t="array" ref="F835">INDEX(E$5:E$67,MATCH($B835,$B$5:$B$67,0))</f>
        <v>1140</v>
      </c>
      <c r="G835" s="25">
        <f t="array" ref="G835">INDEX(F$5:F$67,MATCH($B835,$B$5:$B$67,0))</f>
        <v>91.2</v>
      </c>
      <c r="H835" s="25">
        <f t="array" ref="H835">INDEX(G$5:G$66,MATCH($B835,$B$5:$B$67,0))</f>
        <v>1425</v>
      </c>
      <c r="I835" s="25">
        <f t="array" ref="I835">INDEX(H$5:H$67,MATCH($B835,$B$5:$B$67,0))</f>
        <v>114</v>
      </c>
      <c r="J835" s="25">
        <f t="array" ref="J835">INDEX(I$5:I$67,MATCH($B835,$B$5:$B$67,0))</f>
        <v>800</v>
      </c>
      <c r="K835" s="25">
        <f t="array" ref="K835">INDEX(J$5:J$67,MATCH($B835,$B$5:$B$67,0))</f>
        <v>64</v>
      </c>
      <c r="L835" s="25">
        <f t="shared" si="605"/>
        <v>27027</v>
      </c>
      <c r="M835" s="25">
        <f t="shared" si="606"/>
        <v>4514</v>
      </c>
      <c r="N835" s="25">
        <f t="shared" si="607"/>
        <v>5643</v>
      </c>
      <c r="O835" s="25">
        <f t="shared" si="608"/>
        <v>3168</v>
      </c>
      <c r="R835" s="50">
        <v>1040001</v>
      </c>
      <c r="S835" s="51" t="s">
        <v>368</v>
      </c>
      <c r="T835" s="29">
        <f t="shared" si="613"/>
        <v>1</v>
      </c>
      <c r="U835" s="25">
        <f t="array" ref="U835">INDEX(K$5:K$67,MATCH($S835,$B$5:$B$67,0))</f>
        <v>340.8</v>
      </c>
      <c r="V835" s="25">
        <f t="array" ref="V835">INDEX(L$5:L$67,MATCH($S835,$B$5:$B$67,0))</f>
        <v>75.2</v>
      </c>
      <c r="W835" s="25">
        <f t="array" ref="W835">INDEX(M$5:M$67,MATCH($S835,$B$5:$B$67,0))</f>
        <v>90.32</v>
      </c>
      <c r="X835" s="25">
        <f t="array" ref="X835">INDEX(N$5:N$67,MATCH($S835,$B$5:$B$67,0))</f>
        <v>74.8</v>
      </c>
      <c r="Y835" s="25">
        <f t="shared" si="609"/>
        <v>341</v>
      </c>
      <c r="Z835" s="25">
        <f t="shared" si="610"/>
        <v>75</v>
      </c>
      <c r="AA835" s="25">
        <f t="shared" si="611"/>
        <v>90</v>
      </c>
      <c r="AB835" s="25">
        <f t="shared" si="612"/>
        <v>75</v>
      </c>
    </row>
    <row r="836" spans="1:28">
      <c r="A836" s="48">
        <v>1013038</v>
      </c>
      <c r="B836" s="49" t="s">
        <v>339</v>
      </c>
      <c r="C836" s="25">
        <f t="shared" si="604"/>
        <v>38</v>
      </c>
      <c r="D836" s="25">
        <f t="array" ref="D836">INDEX(C$5:C$67,MATCH($B836,$B$5:$B$67,0))</f>
        <v>6825</v>
      </c>
      <c r="E836" s="25">
        <f t="array" ref="E836">INDEX(D$5:D$67,MATCH($B836,$B$5:$B$67,0))</f>
        <v>546</v>
      </c>
      <c r="F836" s="25">
        <f t="array" ref="F836">INDEX(E$5:E$67,MATCH($B836,$B$5:$B$67,0))</f>
        <v>1140</v>
      </c>
      <c r="G836" s="25">
        <f t="array" ref="G836">INDEX(F$5:F$67,MATCH($B836,$B$5:$B$67,0))</f>
        <v>91.2</v>
      </c>
      <c r="H836" s="25">
        <f t="array" ref="H836">INDEX(G$5:G$66,MATCH($B836,$B$5:$B$67,0))</f>
        <v>1425</v>
      </c>
      <c r="I836" s="25">
        <f t="array" ref="I836">INDEX(H$5:H$67,MATCH($B836,$B$5:$B$67,0))</f>
        <v>114</v>
      </c>
      <c r="J836" s="25">
        <f t="array" ref="J836">INDEX(I$5:I$67,MATCH($B836,$B$5:$B$67,0))</f>
        <v>800</v>
      </c>
      <c r="K836" s="25">
        <f t="array" ref="K836">INDEX(J$5:J$67,MATCH($B836,$B$5:$B$67,0))</f>
        <v>64</v>
      </c>
      <c r="L836" s="25">
        <f t="shared" si="605"/>
        <v>27573</v>
      </c>
      <c r="M836" s="25">
        <f t="shared" si="606"/>
        <v>4606</v>
      </c>
      <c r="N836" s="25">
        <f t="shared" si="607"/>
        <v>5757</v>
      </c>
      <c r="O836" s="25">
        <f t="shared" si="608"/>
        <v>3232</v>
      </c>
      <c r="R836" s="50">
        <v>1040002</v>
      </c>
      <c r="S836" s="51" t="s">
        <v>368</v>
      </c>
      <c r="T836" s="29">
        <f t="shared" si="613"/>
        <v>2</v>
      </c>
      <c r="U836" s="25">
        <f t="array" ref="U836">INDEX(K$5:K$67,MATCH($S836,$B$5:$B$67,0))</f>
        <v>340.8</v>
      </c>
      <c r="V836" s="25">
        <f t="array" ref="V836">INDEX(L$5:L$67,MATCH($S836,$B$5:$B$67,0))</f>
        <v>75.2</v>
      </c>
      <c r="W836" s="25">
        <f t="array" ref="W836">INDEX(M$5:M$67,MATCH($S836,$B$5:$B$67,0))</f>
        <v>90.32</v>
      </c>
      <c r="X836" s="25">
        <f t="array" ref="X836">INDEX(N$5:N$67,MATCH($S836,$B$5:$B$67,0))</f>
        <v>74.8</v>
      </c>
      <c r="Y836" s="25">
        <f t="shared" si="609"/>
        <v>682</v>
      </c>
      <c r="Z836" s="25">
        <f t="shared" si="610"/>
        <v>150</v>
      </c>
      <c r="AA836" s="25">
        <f t="shared" si="611"/>
        <v>181</v>
      </c>
      <c r="AB836" s="25">
        <f t="shared" si="612"/>
        <v>150</v>
      </c>
    </row>
    <row r="837" spans="1:28">
      <c r="A837" s="48">
        <v>1013039</v>
      </c>
      <c r="B837" s="49" t="s">
        <v>339</v>
      </c>
      <c r="C837" s="25">
        <f t="shared" si="604"/>
        <v>39</v>
      </c>
      <c r="D837" s="25">
        <f t="array" ref="D837">INDEX(C$5:C$67,MATCH($B837,$B$5:$B$67,0))</f>
        <v>6825</v>
      </c>
      <c r="E837" s="25">
        <f t="array" ref="E837">INDEX(D$5:D$67,MATCH($B837,$B$5:$B$67,0))</f>
        <v>546</v>
      </c>
      <c r="F837" s="25">
        <f t="array" ref="F837">INDEX(E$5:E$67,MATCH($B837,$B$5:$B$67,0))</f>
        <v>1140</v>
      </c>
      <c r="G837" s="25">
        <f t="array" ref="G837">INDEX(F$5:F$67,MATCH($B837,$B$5:$B$67,0))</f>
        <v>91.2</v>
      </c>
      <c r="H837" s="25">
        <f t="array" ref="H837">INDEX(G$5:G$66,MATCH($B837,$B$5:$B$67,0))</f>
        <v>1425</v>
      </c>
      <c r="I837" s="25">
        <f t="array" ref="I837">INDEX(H$5:H$67,MATCH($B837,$B$5:$B$67,0))</f>
        <v>114</v>
      </c>
      <c r="J837" s="25">
        <f t="array" ref="J837">INDEX(I$5:I$67,MATCH($B837,$B$5:$B$67,0))</f>
        <v>800</v>
      </c>
      <c r="K837" s="25">
        <f t="array" ref="K837">INDEX(J$5:J$67,MATCH($B837,$B$5:$B$67,0))</f>
        <v>64</v>
      </c>
      <c r="L837" s="25">
        <f t="shared" si="605"/>
        <v>28119</v>
      </c>
      <c r="M837" s="25">
        <f t="shared" si="606"/>
        <v>4697</v>
      </c>
      <c r="N837" s="25">
        <f t="shared" si="607"/>
        <v>5871</v>
      </c>
      <c r="O837" s="25">
        <f t="shared" si="608"/>
        <v>3296</v>
      </c>
      <c r="R837" s="50">
        <v>1040003</v>
      </c>
      <c r="S837" s="51" t="s">
        <v>368</v>
      </c>
      <c r="T837" s="29">
        <f t="shared" si="613"/>
        <v>3</v>
      </c>
      <c r="U837" s="25">
        <f t="array" ref="U837">INDEX(K$5:K$67,MATCH($S837,$B$5:$B$67,0))</f>
        <v>340.8</v>
      </c>
      <c r="V837" s="25">
        <f t="array" ref="V837">INDEX(L$5:L$67,MATCH($S837,$B$5:$B$67,0))</f>
        <v>75.2</v>
      </c>
      <c r="W837" s="25">
        <f t="array" ref="W837">INDEX(M$5:M$67,MATCH($S837,$B$5:$B$67,0))</f>
        <v>90.32</v>
      </c>
      <c r="X837" s="25">
        <f t="array" ref="X837">INDEX(N$5:N$67,MATCH($S837,$B$5:$B$67,0))</f>
        <v>74.8</v>
      </c>
      <c r="Y837" s="25">
        <f t="shared" si="609"/>
        <v>1022</v>
      </c>
      <c r="Z837" s="25">
        <f t="shared" si="610"/>
        <v>226</v>
      </c>
      <c r="AA837" s="25">
        <f t="shared" si="611"/>
        <v>271</v>
      </c>
      <c r="AB837" s="25">
        <f t="shared" si="612"/>
        <v>224</v>
      </c>
    </row>
    <row r="838" spans="1:28">
      <c r="A838" s="48">
        <v>1013040</v>
      </c>
      <c r="B838" s="49" t="s">
        <v>339</v>
      </c>
      <c r="C838" s="25">
        <f t="shared" si="604"/>
        <v>40</v>
      </c>
      <c r="D838" s="25">
        <f t="array" ref="D838">INDEX(C$5:C$67,MATCH($B838,$B$5:$B$67,0))</f>
        <v>6825</v>
      </c>
      <c r="E838" s="25">
        <f t="array" ref="E838">INDEX(D$5:D$67,MATCH($B838,$B$5:$B$67,0))</f>
        <v>546</v>
      </c>
      <c r="F838" s="25">
        <f t="array" ref="F838">INDEX(E$5:E$67,MATCH($B838,$B$5:$B$67,0))</f>
        <v>1140</v>
      </c>
      <c r="G838" s="25">
        <f t="array" ref="G838">INDEX(F$5:F$67,MATCH($B838,$B$5:$B$67,0))</f>
        <v>91.2</v>
      </c>
      <c r="H838" s="25">
        <f t="array" ref="H838">INDEX(G$5:G$66,MATCH($B838,$B$5:$B$67,0))</f>
        <v>1425</v>
      </c>
      <c r="I838" s="25">
        <f t="array" ref="I838">INDEX(H$5:H$67,MATCH($B838,$B$5:$B$67,0))</f>
        <v>114</v>
      </c>
      <c r="J838" s="25">
        <f t="array" ref="J838">INDEX(I$5:I$67,MATCH($B838,$B$5:$B$67,0))</f>
        <v>800</v>
      </c>
      <c r="K838" s="25">
        <f t="array" ref="K838">INDEX(J$5:J$67,MATCH($B838,$B$5:$B$67,0))</f>
        <v>64</v>
      </c>
      <c r="L838" s="25">
        <f t="shared" si="605"/>
        <v>28665</v>
      </c>
      <c r="M838" s="25">
        <f t="shared" si="606"/>
        <v>4788</v>
      </c>
      <c r="N838" s="25">
        <f t="shared" si="607"/>
        <v>5985</v>
      </c>
      <c r="O838" s="25">
        <f t="shared" si="608"/>
        <v>3360</v>
      </c>
      <c r="R838" s="50">
        <v>1040004</v>
      </c>
      <c r="S838" s="51" t="s">
        <v>368</v>
      </c>
      <c r="T838" s="29">
        <f t="shared" si="613"/>
        <v>4</v>
      </c>
      <c r="U838" s="25">
        <f t="array" ref="U838">INDEX(K$5:K$67,MATCH($S838,$B$5:$B$67,0))</f>
        <v>340.8</v>
      </c>
      <c r="V838" s="25">
        <f t="array" ref="V838">INDEX(L$5:L$67,MATCH($S838,$B$5:$B$67,0))</f>
        <v>75.2</v>
      </c>
      <c r="W838" s="25">
        <f t="array" ref="W838">INDEX(M$5:M$67,MATCH($S838,$B$5:$B$67,0))</f>
        <v>90.32</v>
      </c>
      <c r="X838" s="25">
        <f t="array" ref="X838">INDEX(N$5:N$67,MATCH($S838,$B$5:$B$67,0))</f>
        <v>74.8</v>
      </c>
      <c r="Y838" s="25">
        <f t="shared" si="609"/>
        <v>1363</v>
      </c>
      <c r="Z838" s="25">
        <f t="shared" si="610"/>
        <v>301</v>
      </c>
      <c r="AA838" s="25">
        <f t="shared" si="611"/>
        <v>361</v>
      </c>
      <c r="AB838" s="25">
        <f t="shared" si="612"/>
        <v>299</v>
      </c>
    </row>
    <row r="839" spans="1:28">
      <c r="A839" s="48">
        <v>1013041</v>
      </c>
      <c r="B839" s="49" t="s">
        <v>339</v>
      </c>
      <c r="C839" s="25">
        <f t="shared" si="604"/>
        <v>41</v>
      </c>
      <c r="D839" s="25">
        <f t="array" ref="D839">INDEX(C$5:C$67,MATCH($B839,$B$5:$B$67,0))</f>
        <v>6825</v>
      </c>
      <c r="E839" s="25">
        <f t="array" ref="E839">INDEX(D$5:D$67,MATCH($B839,$B$5:$B$67,0))</f>
        <v>546</v>
      </c>
      <c r="F839" s="25">
        <f t="array" ref="F839">INDEX(E$5:E$67,MATCH($B839,$B$5:$B$67,0))</f>
        <v>1140</v>
      </c>
      <c r="G839" s="25">
        <f t="array" ref="G839">INDEX(F$5:F$67,MATCH($B839,$B$5:$B$67,0))</f>
        <v>91.2</v>
      </c>
      <c r="H839" s="25">
        <f t="array" ref="H839">INDEX(G$5:G$66,MATCH($B839,$B$5:$B$67,0))</f>
        <v>1425</v>
      </c>
      <c r="I839" s="25">
        <f t="array" ref="I839">INDEX(H$5:H$67,MATCH($B839,$B$5:$B$67,0))</f>
        <v>114</v>
      </c>
      <c r="J839" s="25">
        <f t="array" ref="J839">INDEX(I$5:I$67,MATCH($B839,$B$5:$B$67,0))</f>
        <v>800</v>
      </c>
      <c r="K839" s="25">
        <f t="array" ref="K839">INDEX(J$5:J$67,MATCH($B839,$B$5:$B$67,0))</f>
        <v>64</v>
      </c>
      <c r="L839" s="25">
        <f t="shared" si="605"/>
        <v>29211</v>
      </c>
      <c r="M839" s="25">
        <f t="shared" si="606"/>
        <v>4879</v>
      </c>
      <c r="N839" s="25">
        <f t="shared" si="607"/>
        <v>6099</v>
      </c>
      <c r="O839" s="25">
        <f t="shared" si="608"/>
        <v>3424</v>
      </c>
      <c r="R839" s="50">
        <v>1040005</v>
      </c>
      <c r="S839" s="51" t="s">
        <v>368</v>
      </c>
      <c r="T839" s="29">
        <f t="shared" si="613"/>
        <v>5</v>
      </c>
      <c r="U839" s="25">
        <f t="array" ref="U839">INDEX(K$5:K$67,MATCH($S839,$B$5:$B$67,0))</f>
        <v>340.8</v>
      </c>
      <c r="V839" s="25">
        <f t="array" ref="V839">INDEX(L$5:L$67,MATCH($S839,$B$5:$B$67,0))</f>
        <v>75.2</v>
      </c>
      <c r="W839" s="25">
        <f t="array" ref="W839">INDEX(M$5:M$67,MATCH($S839,$B$5:$B$67,0))</f>
        <v>90.32</v>
      </c>
      <c r="X839" s="25">
        <f t="array" ref="X839">INDEX(N$5:N$67,MATCH($S839,$B$5:$B$67,0))</f>
        <v>74.8</v>
      </c>
      <c r="Y839" s="25">
        <f t="shared" si="609"/>
        <v>1704</v>
      </c>
      <c r="Z839" s="25">
        <f t="shared" si="610"/>
        <v>376</v>
      </c>
      <c r="AA839" s="25">
        <f t="shared" si="611"/>
        <v>452</v>
      </c>
      <c r="AB839" s="25">
        <f t="shared" si="612"/>
        <v>374</v>
      </c>
    </row>
    <row r="840" spans="1:28">
      <c r="A840" s="48">
        <v>1013042</v>
      </c>
      <c r="B840" s="49" t="s">
        <v>339</v>
      </c>
      <c r="C840" s="25">
        <f t="shared" si="604"/>
        <v>42</v>
      </c>
      <c r="D840" s="25">
        <f t="array" ref="D840">INDEX(C$5:C$67,MATCH($B840,$B$5:$B$67,0))</f>
        <v>6825</v>
      </c>
      <c r="E840" s="25">
        <f t="array" ref="E840">INDEX(D$5:D$67,MATCH($B840,$B$5:$B$67,0))</f>
        <v>546</v>
      </c>
      <c r="F840" s="25">
        <f t="array" ref="F840">INDEX(E$5:E$67,MATCH($B840,$B$5:$B$67,0))</f>
        <v>1140</v>
      </c>
      <c r="G840" s="25">
        <f t="array" ref="G840">INDEX(F$5:F$67,MATCH($B840,$B$5:$B$67,0))</f>
        <v>91.2</v>
      </c>
      <c r="H840" s="25">
        <f t="array" ref="H840">INDEX(G$5:G$66,MATCH($B840,$B$5:$B$67,0))</f>
        <v>1425</v>
      </c>
      <c r="I840" s="25">
        <f t="array" ref="I840">INDEX(H$5:H$67,MATCH($B840,$B$5:$B$67,0))</f>
        <v>114</v>
      </c>
      <c r="J840" s="25">
        <f t="array" ref="J840">INDEX(I$5:I$67,MATCH($B840,$B$5:$B$67,0))</f>
        <v>800</v>
      </c>
      <c r="K840" s="25">
        <f t="array" ref="K840">INDEX(J$5:J$67,MATCH($B840,$B$5:$B$67,0))</f>
        <v>64</v>
      </c>
      <c r="L840" s="25">
        <f t="shared" si="605"/>
        <v>29757</v>
      </c>
      <c r="M840" s="25">
        <f t="shared" si="606"/>
        <v>4970</v>
      </c>
      <c r="N840" s="25">
        <f t="shared" si="607"/>
        <v>6213</v>
      </c>
      <c r="O840" s="25">
        <f t="shared" si="608"/>
        <v>3488</v>
      </c>
      <c r="R840" s="50">
        <v>1040006</v>
      </c>
      <c r="S840" s="51" t="s">
        <v>368</v>
      </c>
      <c r="T840" s="29">
        <f t="shared" si="613"/>
        <v>6</v>
      </c>
      <c r="U840" s="25">
        <f t="array" ref="U840">INDEX(K$5:K$67,MATCH($S840,$B$5:$B$67,0))</f>
        <v>340.8</v>
      </c>
      <c r="V840" s="25">
        <f t="array" ref="V840">INDEX(L$5:L$67,MATCH($S840,$B$5:$B$67,0))</f>
        <v>75.2</v>
      </c>
      <c r="W840" s="25">
        <f t="array" ref="W840">INDEX(M$5:M$67,MATCH($S840,$B$5:$B$67,0))</f>
        <v>90.32</v>
      </c>
      <c r="X840" s="25">
        <f t="array" ref="X840">INDEX(N$5:N$67,MATCH($S840,$B$5:$B$67,0))</f>
        <v>74.8</v>
      </c>
      <c r="Y840" s="25">
        <f t="shared" si="609"/>
        <v>2045</v>
      </c>
      <c r="Z840" s="25">
        <f t="shared" si="610"/>
        <v>451</v>
      </c>
      <c r="AA840" s="25">
        <f t="shared" si="611"/>
        <v>542</v>
      </c>
      <c r="AB840" s="25">
        <f t="shared" si="612"/>
        <v>449</v>
      </c>
    </row>
    <row r="841" spans="1:28">
      <c r="A841" s="48">
        <v>1013043</v>
      </c>
      <c r="B841" s="49" t="s">
        <v>339</v>
      </c>
      <c r="C841" s="25">
        <f t="shared" si="604"/>
        <v>43</v>
      </c>
      <c r="D841" s="25">
        <f t="array" ref="D841">INDEX(C$5:C$67,MATCH($B841,$B$5:$B$67,0))</f>
        <v>6825</v>
      </c>
      <c r="E841" s="25">
        <f t="array" ref="E841">INDEX(D$5:D$67,MATCH($B841,$B$5:$B$67,0))</f>
        <v>546</v>
      </c>
      <c r="F841" s="25">
        <f t="array" ref="F841">INDEX(E$5:E$67,MATCH($B841,$B$5:$B$67,0))</f>
        <v>1140</v>
      </c>
      <c r="G841" s="25">
        <f t="array" ref="G841">INDEX(F$5:F$67,MATCH($B841,$B$5:$B$67,0))</f>
        <v>91.2</v>
      </c>
      <c r="H841" s="25">
        <f t="array" ref="H841">INDEX(G$5:G$66,MATCH($B841,$B$5:$B$67,0))</f>
        <v>1425</v>
      </c>
      <c r="I841" s="25">
        <f t="array" ref="I841">INDEX(H$5:H$67,MATCH($B841,$B$5:$B$67,0))</f>
        <v>114</v>
      </c>
      <c r="J841" s="25">
        <f t="array" ref="J841">INDEX(I$5:I$67,MATCH($B841,$B$5:$B$67,0))</f>
        <v>800</v>
      </c>
      <c r="K841" s="25">
        <f t="array" ref="K841">INDEX(J$5:J$67,MATCH($B841,$B$5:$B$67,0))</f>
        <v>64</v>
      </c>
      <c r="L841" s="25">
        <f t="shared" si="605"/>
        <v>30303</v>
      </c>
      <c r="M841" s="25">
        <f t="shared" si="606"/>
        <v>5062</v>
      </c>
      <c r="N841" s="25">
        <f t="shared" si="607"/>
        <v>6327</v>
      </c>
      <c r="O841" s="25">
        <f t="shared" si="608"/>
        <v>3552</v>
      </c>
      <c r="R841" s="50">
        <v>1040007</v>
      </c>
      <c r="S841" s="51" t="s">
        <v>368</v>
      </c>
      <c r="T841" s="29">
        <f t="shared" si="613"/>
        <v>7</v>
      </c>
      <c r="U841" s="25">
        <f t="array" ref="U841">INDEX(K$5:K$67,MATCH($S841,$B$5:$B$67,0))</f>
        <v>340.8</v>
      </c>
      <c r="V841" s="25">
        <f t="array" ref="V841">INDEX(L$5:L$67,MATCH($S841,$B$5:$B$67,0))</f>
        <v>75.2</v>
      </c>
      <c r="W841" s="25">
        <f t="array" ref="W841">INDEX(M$5:M$67,MATCH($S841,$B$5:$B$67,0))</f>
        <v>90.32</v>
      </c>
      <c r="X841" s="25">
        <f t="array" ref="X841">INDEX(N$5:N$67,MATCH($S841,$B$5:$B$67,0))</f>
        <v>74.8</v>
      </c>
      <c r="Y841" s="25">
        <f t="shared" si="609"/>
        <v>2386</v>
      </c>
      <c r="Z841" s="25">
        <f t="shared" si="610"/>
        <v>526</v>
      </c>
      <c r="AA841" s="25">
        <f t="shared" si="611"/>
        <v>632</v>
      </c>
      <c r="AB841" s="25">
        <f t="shared" si="612"/>
        <v>524</v>
      </c>
    </row>
    <row r="842" spans="1:28">
      <c r="A842" s="48">
        <v>1013044</v>
      </c>
      <c r="B842" s="49" t="s">
        <v>339</v>
      </c>
      <c r="C842" s="25">
        <f t="shared" si="604"/>
        <v>44</v>
      </c>
      <c r="D842" s="25">
        <f t="array" ref="D842">INDEX(C$5:C$67,MATCH($B842,$B$5:$B$67,0))</f>
        <v>6825</v>
      </c>
      <c r="E842" s="25">
        <f t="array" ref="E842">INDEX(D$5:D$67,MATCH($B842,$B$5:$B$67,0))</f>
        <v>546</v>
      </c>
      <c r="F842" s="25">
        <f t="array" ref="F842">INDEX(E$5:E$67,MATCH($B842,$B$5:$B$67,0))</f>
        <v>1140</v>
      </c>
      <c r="G842" s="25">
        <f t="array" ref="G842">INDEX(F$5:F$67,MATCH($B842,$B$5:$B$67,0))</f>
        <v>91.2</v>
      </c>
      <c r="H842" s="25">
        <f t="array" ref="H842">INDEX(G$5:G$66,MATCH($B842,$B$5:$B$67,0))</f>
        <v>1425</v>
      </c>
      <c r="I842" s="25">
        <f t="array" ref="I842">INDEX(H$5:H$67,MATCH($B842,$B$5:$B$67,0))</f>
        <v>114</v>
      </c>
      <c r="J842" s="25">
        <f t="array" ref="J842">INDEX(I$5:I$67,MATCH($B842,$B$5:$B$67,0))</f>
        <v>800</v>
      </c>
      <c r="K842" s="25">
        <f t="array" ref="K842">INDEX(J$5:J$67,MATCH($B842,$B$5:$B$67,0))</f>
        <v>64</v>
      </c>
      <c r="L842" s="25">
        <f t="shared" si="605"/>
        <v>30849</v>
      </c>
      <c r="M842" s="25">
        <f t="shared" si="606"/>
        <v>5153</v>
      </c>
      <c r="N842" s="25">
        <f t="shared" si="607"/>
        <v>6441</v>
      </c>
      <c r="O842" s="25">
        <f t="shared" si="608"/>
        <v>3616</v>
      </c>
      <c r="R842" s="50">
        <v>1040008</v>
      </c>
      <c r="S842" s="51" t="s">
        <v>368</v>
      </c>
      <c r="T842" s="29">
        <f t="shared" si="613"/>
        <v>8</v>
      </c>
      <c r="U842" s="25">
        <f t="array" ref="U842">INDEX(K$5:K$67,MATCH($S842,$B$5:$B$67,0))</f>
        <v>340.8</v>
      </c>
      <c r="V842" s="25">
        <f t="array" ref="V842">INDEX(L$5:L$67,MATCH($S842,$B$5:$B$67,0))</f>
        <v>75.2</v>
      </c>
      <c r="W842" s="25">
        <f t="array" ref="W842">INDEX(M$5:M$67,MATCH($S842,$B$5:$B$67,0))</f>
        <v>90.32</v>
      </c>
      <c r="X842" s="25">
        <f t="array" ref="X842">INDEX(N$5:N$67,MATCH($S842,$B$5:$B$67,0))</f>
        <v>74.8</v>
      </c>
      <c r="Y842" s="25">
        <f t="shared" si="609"/>
        <v>2726</v>
      </c>
      <c r="Z842" s="25">
        <f t="shared" si="610"/>
        <v>602</v>
      </c>
      <c r="AA842" s="25">
        <f t="shared" si="611"/>
        <v>723</v>
      </c>
      <c r="AB842" s="25">
        <f t="shared" si="612"/>
        <v>598</v>
      </c>
    </row>
    <row r="843" spans="1:28">
      <c r="A843" s="48">
        <v>1013045</v>
      </c>
      <c r="B843" s="49" t="s">
        <v>339</v>
      </c>
      <c r="C843" s="25">
        <f t="shared" ref="C843:C906" si="614">C783</f>
        <v>45</v>
      </c>
      <c r="D843" s="25">
        <f t="array" ref="D843">INDEX(C$5:C$67,MATCH($B843,$B$5:$B$67,0))</f>
        <v>6825</v>
      </c>
      <c r="E843" s="25">
        <f t="array" ref="E843">INDEX(D$5:D$67,MATCH($B843,$B$5:$B$67,0))</f>
        <v>546</v>
      </c>
      <c r="F843" s="25">
        <f t="array" ref="F843">INDEX(E$5:E$67,MATCH($B843,$B$5:$B$67,0))</f>
        <v>1140</v>
      </c>
      <c r="G843" s="25">
        <f t="array" ref="G843">INDEX(F$5:F$67,MATCH($B843,$B$5:$B$67,0))</f>
        <v>91.2</v>
      </c>
      <c r="H843" s="25">
        <f t="array" ref="H843">INDEX(G$5:G$66,MATCH($B843,$B$5:$B$67,0))</f>
        <v>1425</v>
      </c>
      <c r="I843" s="25">
        <f t="array" ref="I843">INDEX(H$5:H$67,MATCH($B843,$B$5:$B$67,0))</f>
        <v>114</v>
      </c>
      <c r="J843" s="25">
        <f t="array" ref="J843">INDEX(I$5:I$67,MATCH($B843,$B$5:$B$67,0))</f>
        <v>800</v>
      </c>
      <c r="K843" s="25">
        <f t="array" ref="K843">INDEX(J$5:J$67,MATCH($B843,$B$5:$B$67,0))</f>
        <v>64</v>
      </c>
      <c r="L843" s="25">
        <f t="shared" si="605"/>
        <v>31395</v>
      </c>
      <c r="M843" s="25">
        <f t="shared" si="606"/>
        <v>5244</v>
      </c>
      <c r="N843" s="25">
        <f t="shared" si="607"/>
        <v>6555</v>
      </c>
      <c r="O843" s="25">
        <f t="shared" si="608"/>
        <v>3680</v>
      </c>
      <c r="R843" s="50">
        <v>1040009</v>
      </c>
      <c r="S843" s="51" t="s">
        <v>368</v>
      </c>
      <c r="T843" s="29">
        <f t="shared" si="613"/>
        <v>9</v>
      </c>
      <c r="U843" s="25">
        <f t="array" ref="U843">INDEX(K$5:K$67,MATCH($S843,$B$5:$B$67,0))</f>
        <v>340.8</v>
      </c>
      <c r="V843" s="25">
        <f t="array" ref="V843">INDEX(L$5:L$67,MATCH($S843,$B$5:$B$67,0))</f>
        <v>75.2</v>
      </c>
      <c r="W843" s="25">
        <f t="array" ref="W843">INDEX(M$5:M$67,MATCH($S843,$B$5:$B$67,0))</f>
        <v>90.32</v>
      </c>
      <c r="X843" s="25">
        <f t="array" ref="X843">INDEX(N$5:N$67,MATCH($S843,$B$5:$B$67,0))</f>
        <v>74.8</v>
      </c>
      <c r="Y843" s="25">
        <f t="shared" si="609"/>
        <v>3067</v>
      </c>
      <c r="Z843" s="25">
        <f t="shared" si="610"/>
        <v>677</v>
      </c>
      <c r="AA843" s="25">
        <f t="shared" si="611"/>
        <v>813</v>
      </c>
      <c r="AB843" s="25">
        <f t="shared" si="612"/>
        <v>673</v>
      </c>
    </row>
    <row r="844" spans="1:28">
      <c r="A844" s="48">
        <v>1013046</v>
      </c>
      <c r="B844" s="49" t="s">
        <v>339</v>
      </c>
      <c r="C844" s="25">
        <f t="shared" si="614"/>
        <v>46</v>
      </c>
      <c r="D844" s="25">
        <f t="array" ref="D844">INDEX(C$5:C$67,MATCH($B844,$B$5:$B$67,0))</f>
        <v>6825</v>
      </c>
      <c r="E844" s="25">
        <f t="array" ref="E844">INDEX(D$5:D$67,MATCH($B844,$B$5:$B$67,0))</f>
        <v>546</v>
      </c>
      <c r="F844" s="25">
        <f t="array" ref="F844">INDEX(E$5:E$67,MATCH($B844,$B$5:$B$67,0))</f>
        <v>1140</v>
      </c>
      <c r="G844" s="25">
        <f t="array" ref="G844">INDEX(F$5:F$67,MATCH($B844,$B$5:$B$67,0))</f>
        <v>91.2</v>
      </c>
      <c r="H844" s="25">
        <f t="array" ref="H844">INDEX(G$5:G$66,MATCH($B844,$B$5:$B$67,0))</f>
        <v>1425</v>
      </c>
      <c r="I844" s="25">
        <f t="array" ref="I844">INDEX(H$5:H$67,MATCH($B844,$B$5:$B$67,0))</f>
        <v>114</v>
      </c>
      <c r="J844" s="25">
        <f t="array" ref="J844">INDEX(I$5:I$67,MATCH($B844,$B$5:$B$67,0))</f>
        <v>800</v>
      </c>
      <c r="K844" s="25">
        <f t="array" ref="K844">INDEX(J$5:J$67,MATCH($B844,$B$5:$B$67,0))</f>
        <v>64</v>
      </c>
      <c r="L844" s="25">
        <f t="shared" si="605"/>
        <v>31941</v>
      </c>
      <c r="M844" s="25">
        <f t="shared" si="606"/>
        <v>5335</v>
      </c>
      <c r="N844" s="25">
        <f t="shared" si="607"/>
        <v>6669</v>
      </c>
      <c r="O844" s="25">
        <f t="shared" si="608"/>
        <v>3744</v>
      </c>
      <c r="R844" s="50">
        <v>1040010</v>
      </c>
      <c r="S844" s="51" t="s">
        <v>368</v>
      </c>
      <c r="T844" s="29">
        <f t="shared" si="613"/>
        <v>10</v>
      </c>
      <c r="U844" s="25">
        <f t="array" ref="U844">INDEX(K$5:K$67,MATCH($S844,$B$5:$B$67,0))</f>
        <v>340.8</v>
      </c>
      <c r="V844" s="25">
        <f t="array" ref="V844">INDEX(L$5:L$67,MATCH($S844,$B$5:$B$67,0))</f>
        <v>75.2</v>
      </c>
      <c r="W844" s="25">
        <f t="array" ref="W844">INDEX(M$5:M$67,MATCH($S844,$B$5:$B$67,0))</f>
        <v>90.32</v>
      </c>
      <c r="X844" s="25">
        <f t="array" ref="X844">INDEX(N$5:N$67,MATCH($S844,$B$5:$B$67,0))</f>
        <v>74.8</v>
      </c>
      <c r="Y844" s="25">
        <f t="shared" si="609"/>
        <v>3408</v>
      </c>
      <c r="Z844" s="25">
        <f t="shared" si="610"/>
        <v>752</v>
      </c>
      <c r="AA844" s="25">
        <f t="shared" si="611"/>
        <v>903</v>
      </c>
      <c r="AB844" s="25">
        <f t="shared" si="612"/>
        <v>748</v>
      </c>
    </row>
    <row r="845" spans="1:28">
      <c r="A845" s="48">
        <v>1013047</v>
      </c>
      <c r="B845" s="49" t="s">
        <v>339</v>
      </c>
      <c r="C845" s="25">
        <f t="shared" si="614"/>
        <v>47</v>
      </c>
      <c r="D845" s="25">
        <f t="array" ref="D845">INDEX(C$5:C$67,MATCH($B845,$B$5:$B$67,0))</f>
        <v>6825</v>
      </c>
      <c r="E845" s="25">
        <f t="array" ref="E845">INDEX(D$5:D$67,MATCH($B845,$B$5:$B$67,0))</f>
        <v>546</v>
      </c>
      <c r="F845" s="25">
        <f t="array" ref="F845">INDEX(E$5:E$67,MATCH($B845,$B$5:$B$67,0))</f>
        <v>1140</v>
      </c>
      <c r="G845" s="25">
        <f t="array" ref="G845">INDEX(F$5:F$67,MATCH($B845,$B$5:$B$67,0))</f>
        <v>91.2</v>
      </c>
      <c r="H845" s="25">
        <f t="array" ref="H845">INDEX(G$5:G$66,MATCH($B845,$B$5:$B$67,0))</f>
        <v>1425</v>
      </c>
      <c r="I845" s="25">
        <f t="array" ref="I845">INDEX(H$5:H$67,MATCH($B845,$B$5:$B$67,0))</f>
        <v>114</v>
      </c>
      <c r="J845" s="25">
        <f t="array" ref="J845">INDEX(I$5:I$67,MATCH($B845,$B$5:$B$67,0))</f>
        <v>800</v>
      </c>
      <c r="K845" s="25">
        <f t="array" ref="K845">INDEX(J$5:J$67,MATCH($B845,$B$5:$B$67,0))</f>
        <v>64</v>
      </c>
      <c r="L845" s="25">
        <f t="shared" si="605"/>
        <v>32487</v>
      </c>
      <c r="M845" s="25">
        <f t="shared" si="606"/>
        <v>5426</v>
      </c>
      <c r="N845" s="25">
        <f t="shared" si="607"/>
        <v>6783</v>
      </c>
      <c r="O845" s="25">
        <f t="shared" si="608"/>
        <v>3808</v>
      </c>
      <c r="R845" s="50">
        <v>1040011</v>
      </c>
      <c r="S845" s="51" t="s">
        <v>368</v>
      </c>
      <c r="T845" s="29">
        <f t="shared" si="613"/>
        <v>11</v>
      </c>
      <c r="U845" s="25">
        <f t="array" ref="U845">INDEX(K$5:K$67,MATCH($S845,$B$5:$B$67,0))</f>
        <v>340.8</v>
      </c>
      <c r="V845" s="25">
        <f t="array" ref="V845">INDEX(L$5:L$67,MATCH($S845,$B$5:$B$67,0))</f>
        <v>75.2</v>
      </c>
      <c r="W845" s="25">
        <f t="array" ref="W845">INDEX(M$5:M$67,MATCH($S845,$B$5:$B$67,0))</f>
        <v>90.32</v>
      </c>
      <c r="X845" s="25">
        <f t="array" ref="X845">INDEX(N$5:N$67,MATCH($S845,$B$5:$B$67,0))</f>
        <v>74.8</v>
      </c>
      <c r="Y845" s="25">
        <f t="shared" si="609"/>
        <v>3749</v>
      </c>
      <c r="Z845" s="25">
        <f t="shared" si="610"/>
        <v>827</v>
      </c>
      <c r="AA845" s="25">
        <f t="shared" si="611"/>
        <v>994</v>
      </c>
      <c r="AB845" s="25">
        <f t="shared" si="612"/>
        <v>823</v>
      </c>
    </row>
    <row r="846" spans="1:28">
      <c r="A846" s="48">
        <v>1013048</v>
      </c>
      <c r="B846" s="49" t="s">
        <v>339</v>
      </c>
      <c r="C846" s="25">
        <f t="shared" si="614"/>
        <v>48</v>
      </c>
      <c r="D846" s="25">
        <f t="array" ref="D846">INDEX(C$5:C$67,MATCH($B846,$B$5:$B$67,0))</f>
        <v>6825</v>
      </c>
      <c r="E846" s="25">
        <f t="array" ref="E846">INDEX(D$5:D$67,MATCH($B846,$B$5:$B$67,0))</f>
        <v>546</v>
      </c>
      <c r="F846" s="25">
        <f t="array" ref="F846">INDEX(E$5:E$67,MATCH($B846,$B$5:$B$67,0))</f>
        <v>1140</v>
      </c>
      <c r="G846" s="25">
        <f t="array" ref="G846">INDEX(F$5:F$67,MATCH($B846,$B$5:$B$67,0))</f>
        <v>91.2</v>
      </c>
      <c r="H846" s="25">
        <f t="array" ref="H846">INDEX(G$5:G$66,MATCH($B846,$B$5:$B$67,0))</f>
        <v>1425</v>
      </c>
      <c r="I846" s="25">
        <f t="array" ref="I846">INDEX(H$5:H$67,MATCH($B846,$B$5:$B$67,0))</f>
        <v>114</v>
      </c>
      <c r="J846" s="25">
        <f t="array" ref="J846">INDEX(I$5:I$67,MATCH($B846,$B$5:$B$67,0))</f>
        <v>800</v>
      </c>
      <c r="K846" s="25">
        <f t="array" ref="K846">INDEX(J$5:J$67,MATCH($B846,$B$5:$B$67,0))</f>
        <v>64</v>
      </c>
      <c r="L846" s="25">
        <f t="shared" si="605"/>
        <v>33033</v>
      </c>
      <c r="M846" s="25">
        <f t="shared" si="606"/>
        <v>5518</v>
      </c>
      <c r="N846" s="25">
        <f t="shared" si="607"/>
        <v>6897</v>
      </c>
      <c r="O846" s="25">
        <f t="shared" si="608"/>
        <v>3872</v>
      </c>
      <c r="R846" s="50">
        <v>1040012</v>
      </c>
      <c r="S846" s="51" t="s">
        <v>368</v>
      </c>
      <c r="T846" s="29">
        <f t="shared" si="613"/>
        <v>12</v>
      </c>
      <c r="U846" s="25">
        <f t="array" ref="U846">INDEX(K$5:K$67,MATCH($S846,$B$5:$B$67,0))</f>
        <v>340.8</v>
      </c>
      <c r="V846" s="25">
        <f t="array" ref="V846">INDEX(L$5:L$67,MATCH($S846,$B$5:$B$67,0))</f>
        <v>75.2</v>
      </c>
      <c r="W846" s="25">
        <f t="array" ref="W846">INDEX(M$5:M$67,MATCH($S846,$B$5:$B$67,0))</f>
        <v>90.32</v>
      </c>
      <c r="X846" s="25">
        <f t="array" ref="X846">INDEX(N$5:N$67,MATCH($S846,$B$5:$B$67,0))</f>
        <v>74.8</v>
      </c>
      <c r="Y846" s="25">
        <f t="shared" si="609"/>
        <v>4090</v>
      </c>
      <c r="Z846" s="25">
        <f t="shared" si="610"/>
        <v>902</v>
      </c>
      <c r="AA846" s="25">
        <f t="shared" si="611"/>
        <v>1084</v>
      </c>
      <c r="AB846" s="25">
        <f t="shared" si="612"/>
        <v>898</v>
      </c>
    </row>
    <row r="847" spans="1:28">
      <c r="A847" s="48">
        <v>1013049</v>
      </c>
      <c r="B847" s="49" t="s">
        <v>339</v>
      </c>
      <c r="C847" s="25">
        <f t="shared" si="614"/>
        <v>49</v>
      </c>
      <c r="D847" s="25">
        <f t="array" ref="D847">INDEX(C$5:C$67,MATCH($B847,$B$5:$B$67,0))</f>
        <v>6825</v>
      </c>
      <c r="E847" s="25">
        <f t="array" ref="E847">INDEX(D$5:D$67,MATCH($B847,$B$5:$B$67,0))</f>
        <v>546</v>
      </c>
      <c r="F847" s="25">
        <f t="array" ref="F847">INDEX(E$5:E$67,MATCH($B847,$B$5:$B$67,0))</f>
        <v>1140</v>
      </c>
      <c r="G847" s="25">
        <f t="array" ref="G847">INDEX(F$5:F$67,MATCH($B847,$B$5:$B$67,0))</f>
        <v>91.2</v>
      </c>
      <c r="H847" s="25">
        <f t="array" ref="H847">INDEX(G$5:G$66,MATCH($B847,$B$5:$B$67,0))</f>
        <v>1425</v>
      </c>
      <c r="I847" s="25">
        <f t="array" ref="I847">INDEX(H$5:H$67,MATCH($B847,$B$5:$B$67,0))</f>
        <v>114</v>
      </c>
      <c r="J847" s="25">
        <f t="array" ref="J847">INDEX(I$5:I$67,MATCH($B847,$B$5:$B$67,0))</f>
        <v>800</v>
      </c>
      <c r="K847" s="25">
        <f t="array" ref="K847">INDEX(J$5:J$67,MATCH($B847,$B$5:$B$67,0))</f>
        <v>64</v>
      </c>
      <c r="L847" s="25">
        <f t="shared" ref="L847:L910" si="615">ROUND(D847+E847*$C847,0)</f>
        <v>33579</v>
      </c>
      <c r="M847" s="25">
        <f t="shared" ref="M847:M910" si="616">ROUND(F847+G847*$C847,0)</f>
        <v>5609</v>
      </c>
      <c r="N847" s="25">
        <f t="shared" ref="N847:N910" si="617">ROUND(H847+I847*$C847,0)</f>
        <v>7011</v>
      </c>
      <c r="O847" s="25">
        <f t="shared" ref="O847:O910" si="618">ROUND(J847+K847*$C847,0)</f>
        <v>3936</v>
      </c>
      <c r="R847" s="50">
        <v>1040013</v>
      </c>
      <c r="S847" s="51" t="s">
        <v>368</v>
      </c>
      <c r="T847" s="29">
        <f t="shared" si="613"/>
        <v>13</v>
      </c>
      <c r="U847" s="25">
        <f t="array" ref="U847">INDEX(K$5:K$67,MATCH($S847,$B$5:$B$67,0))</f>
        <v>340.8</v>
      </c>
      <c r="V847" s="25">
        <f t="array" ref="V847">INDEX(L$5:L$67,MATCH($S847,$B$5:$B$67,0))</f>
        <v>75.2</v>
      </c>
      <c r="W847" s="25">
        <f t="array" ref="W847">INDEX(M$5:M$67,MATCH($S847,$B$5:$B$67,0))</f>
        <v>90.32</v>
      </c>
      <c r="X847" s="25">
        <f t="array" ref="X847">INDEX(N$5:N$67,MATCH($S847,$B$5:$B$67,0))</f>
        <v>74.8</v>
      </c>
      <c r="Y847" s="25">
        <f t="shared" ref="Y847:Y861" si="619">ROUND($T847*U847,0)</f>
        <v>4430</v>
      </c>
      <c r="Z847" s="25">
        <f t="shared" ref="Z847:Z861" si="620">ROUND($T847*V847,0)</f>
        <v>978</v>
      </c>
      <c r="AA847" s="25">
        <f t="shared" ref="AA847:AA861" si="621">ROUND($T847*W847,0)</f>
        <v>1174</v>
      </c>
      <c r="AB847" s="25">
        <f t="shared" ref="AB847:AB861" si="622">ROUND($T847*X847,0)</f>
        <v>972</v>
      </c>
    </row>
    <row r="848" spans="1:28">
      <c r="A848" s="48">
        <v>1013050</v>
      </c>
      <c r="B848" s="49" t="s">
        <v>339</v>
      </c>
      <c r="C848" s="25">
        <f t="shared" si="614"/>
        <v>50</v>
      </c>
      <c r="D848" s="25">
        <f t="array" ref="D848">INDEX(C$5:C$67,MATCH($B848,$B$5:$B$67,0))</f>
        <v>6825</v>
      </c>
      <c r="E848" s="25">
        <f t="array" ref="E848">INDEX(D$5:D$67,MATCH($B848,$B$5:$B$67,0))</f>
        <v>546</v>
      </c>
      <c r="F848" s="25">
        <f t="array" ref="F848">INDEX(E$5:E$67,MATCH($B848,$B$5:$B$67,0))</f>
        <v>1140</v>
      </c>
      <c r="G848" s="25">
        <f t="array" ref="G848">INDEX(F$5:F$67,MATCH($B848,$B$5:$B$67,0))</f>
        <v>91.2</v>
      </c>
      <c r="H848" s="25">
        <f t="array" ref="H848">INDEX(G$5:G$66,MATCH($B848,$B$5:$B$67,0))</f>
        <v>1425</v>
      </c>
      <c r="I848" s="25">
        <f t="array" ref="I848">INDEX(H$5:H$67,MATCH($B848,$B$5:$B$67,0))</f>
        <v>114</v>
      </c>
      <c r="J848" s="25">
        <f t="array" ref="J848">INDEX(I$5:I$67,MATCH($B848,$B$5:$B$67,0))</f>
        <v>800</v>
      </c>
      <c r="K848" s="25">
        <f t="array" ref="K848">INDEX(J$5:J$67,MATCH($B848,$B$5:$B$67,0))</f>
        <v>64</v>
      </c>
      <c r="L848" s="25">
        <f t="shared" si="615"/>
        <v>34125</v>
      </c>
      <c r="M848" s="25">
        <f t="shared" si="616"/>
        <v>5700</v>
      </c>
      <c r="N848" s="25">
        <f t="shared" si="617"/>
        <v>7125</v>
      </c>
      <c r="O848" s="25">
        <f t="shared" si="618"/>
        <v>4000</v>
      </c>
      <c r="R848" s="50">
        <v>1040014</v>
      </c>
      <c r="S848" s="51" t="s">
        <v>368</v>
      </c>
      <c r="T848" s="29">
        <f t="shared" si="613"/>
        <v>14</v>
      </c>
      <c r="U848" s="25">
        <f t="array" ref="U848">INDEX(K$5:K$67,MATCH($S848,$B$5:$B$67,0))</f>
        <v>340.8</v>
      </c>
      <c r="V848" s="25">
        <f t="array" ref="V848">INDEX(L$5:L$67,MATCH($S848,$B$5:$B$67,0))</f>
        <v>75.2</v>
      </c>
      <c r="W848" s="25">
        <f t="array" ref="W848">INDEX(M$5:M$67,MATCH($S848,$B$5:$B$67,0))</f>
        <v>90.32</v>
      </c>
      <c r="X848" s="25">
        <f t="array" ref="X848">INDEX(N$5:N$67,MATCH($S848,$B$5:$B$67,0))</f>
        <v>74.8</v>
      </c>
      <c r="Y848" s="25">
        <f t="shared" si="619"/>
        <v>4771</v>
      </c>
      <c r="Z848" s="25">
        <f t="shared" si="620"/>
        <v>1053</v>
      </c>
      <c r="AA848" s="25">
        <f t="shared" si="621"/>
        <v>1264</v>
      </c>
      <c r="AB848" s="25">
        <f t="shared" si="622"/>
        <v>1047</v>
      </c>
    </row>
    <row r="849" spans="1:28">
      <c r="A849" s="48">
        <v>1013051</v>
      </c>
      <c r="B849" s="49" t="s">
        <v>339</v>
      </c>
      <c r="C849" s="25">
        <f t="shared" si="614"/>
        <v>51</v>
      </c>
      <c r="D849" s="25">
        <f t="array" ref="D849">INDEX(C$5:C$67,MATCH($B849,$B$5:$B$67,0))</f>
        <v>6825</v>
      </c>
      <c r="E849" s="25">
        <f t="array" ref="E849">INDEX(D$5:D$67,MATCH($B849,$B$5:$B$67,0))</f>
        <v>546</v>
      </c>
      <c r="F849" s="25">
        <f t="array" ref="F849">INDEX(E$5:E$67,MATCH($B849,$B$5:$B$67,0))</f>
        <v>1140</v>
      </c>
      <c r="G849" s="25">
        <f t="array" ref="G849">INDEX(F$5:F$67,MATCH($B849,$B$5:$B$67,0))</f>
        <v>91.2</v>
      </c>
      <c r="H849" s="25">
        <f t="array" ref="H849">INDEX(G$5:G$66,MATCH($B849,$B$5:$B$67,0))</f>
        <v>1425</v>
      </c>
      <c r="I849" s="25">
        <f t="array" ref="I849">INDEX(H$5:H$67,MATCH($B849,$B$5:$B$67,0))</f>
        <v>114</v>
      </c>
      <c r="J849" s="25">
        <f t="array" ref="J849">INDEX(I$5:I$67,MATCH($B849,$B$5:$B$67,0))</f>
        <v>800</v>
      </c>
      <c r="K849" s="25">
        <f t="array" ref="K849">INDEX(J$5:J$67,MATCH($B849,$B$5:$B$67,0))</f>
        <v>64</v>
      </c>
      <c r="L849" s="25">
        <f t="shared" si="615"/>
        <v>34671</v>
      </c>
      <c r="M849" s="25">
        <f t="shared" si="616"/>
        <v>5791</v>
      </c>
      <c r="N849" s="25">
        <f t="shared" si="617"/>
        <v>7239</v>
      </c>
      <c r="O849" s="25">
        <f t="shared" si="618"/>
        <v>4064</v>
      </c>
      <c r="R849" s="50">
        <v>1040015</v>
      </c>
      <c r="S849" s="51" t="s">
        <v>368</v>
      </c>
      <c r="T849" s="29">
        <f t="shared" si="613"/>
        <v>15</v>
      </c>
      <c r="U849" s="25">
        <f t="array" ref="U849">INDEX(K$5:K$67,MATCH($S849,$B$5:$B$67,0))</f>
        <v>340.8</v>
      </c>
      <c r="V849" s="25">
        <f t="array" ref="V849">INDEX(L$5:L$67,MATCH($S849,$B$5:$B$67,0))</f>
        <v>75.2</v>
      </c>
      <c r="W849" s="25">
        <f t="array" ref="W849">INDEX(M$5:M$67,MATCH($S849,$B$5:$B$67,0))</f>
        <v>90.32</v>
      </c>
      <c r="X849" s="25">
        <f t="array" ref="X849">INDEX(N$5:N$67,MATCH($S849,$B$5:$B$67,0))</f>
        <v>74.8</v>
      </c>
      <c r="Y849" s="25">
        <f t="shared" si="619"/>
        <v>5112</v>
      </c>
      <c r="Z849" s="25">
        <f t="shared" si="620"/>
        <v>1128</v>
      </c>
      <c r="AA849" s="25">
        <f t="shared" si="621"/>
        <v>1355</v>
      </c>
      <c r="AB849" s="25">
        <f t="shared" si="622"/>
        <v>1122</v>
      </c>
    </row>
    <row r="850" spans="1:28">
      <c r="A850" s="48">
        <v>1013052</v>
      </c>
      <c r="B850" s="49" t="s">
        <v>339</v>
      </c>
      <c r="C850" s="25">
        <f t="shared" si="614"/>
        <v>52</v>
      </c>
      <c r="D850" s="25">
        <f t="array" ref="D850">INDEX(C$5:C$67,MATCH($B850,$B$5:$B$67,0))</f>
        <v>6825</v>
      </c>
      <c r="E850" s="25">
        <f t="array" ref="E850">INDEX(D$5:D$67,MATCH($B850,$B$5:$B$67,0))</f>
        <v>546</v>
      </c>
      <c r="F850" s="25">
        <f t="array" ref="F850">INDEX(E$5:E$67,MATCH($B850,$B$5:$B$67,0))</f>
        <v>1140</v>
      </c>
      <c r="G850" s="25">
        <f t="array" ref="G850">INDEX(F$5:F$67,MATCH($B850,$B$5:$B$67,0))</f>
        <v>91.2</v>
      </c>
      <c r="H850" s="25">
        <f t="array" ref="H850">INDEX(G$5:G$66,MATCH($B850,$B$5:$B$67,0))</f>
        <v>1425</v>
      </c>
      <c r="I850" s="25">
        <f t="array" ref="I850">INDEX(H$5:H$67,MATCH($B850,$B$5:$B$67,0))</f>
        <v>114</v>
      </c>
      <c r="J850" s="25">
        <f t="array" ref="J850">INDEX(I$5:I$67,MATCH($B850,$B$5:$B$67,0))</f>
        <v>800</v>
      </c>
      <c r="K850" s="25">
        <f t="array" ref="K850">INDEX(J$5:J$67,MATCH($B850,$B$5:$B$67,0))</f>
        <v>64</v>
      </c>
      <c r="L850" s="25">
        <f t="shared" si="615"/>
        <v>35217</v>
      </c>
      <c r="M850" s="25">
        <f t="shared" si="616"/>
        <v>5882</v>
      </c>
      <c r="N850" s="25">
        <f t="shared" si="617"/>
        <v>7353</v>
      </c>
      <c r="O850" s="25">
        <f t="shared" si="618"/>
        <v>4128</v>
      </c>
      <c r="R850" s="50">
        <v>1040016</v>
      </c>
      <c r="S850" s="51" t="s">
        <v>368</v>
      </c>
      <c r="T850" s="29">
        <f t="shared" si="613"/>
        <v>16</v>
      </c>
      <c r="U850" s="25">
        <f t="array" ref="U850">INDEX(K$5:K$67,MATCH($S850,$B$5:$B$67,0))</f>
        <v>340.8</v>
      </c>
      <c r="V850" s="25">
        <f t="array" ref="V850">INDEX(L$5:L$67,MATCH($S850,$B$5:$B$67,0))</f>
        <v>75.2</v>
      </c>
      <c r="W850" s="25">
        <f t="array" ref="W850">INDEX(M$5:M$67,MATCH($S850,$B$5:$B$67,0))</f>
        <v>90.32</v>
      </c>
      <c r="X850" s="25">
        <f t="array" ref="X850">INDEX(N$5:N$67,MATCH($S850,$B$5:$B$67,0))</f>
        <v>74.8</v>
      </c>
      <c r="Y850" s="25">
        <f t="shared" si="619"/>
        <v>5453</v>
      </c>
      <c r="Z850" s="25">
        <f t="shared" si="620"/>
        <v>1203</v>
      </c>
      <c r="AA850" s="25">
        <f t="shared" si="621"/>
        <v>1445</v>
      </c>
      <c r="AB850" s="25">
        <f t="shared" si="622"/>
        <v>1197</v>
      </c>
    </row>
    <row r="851" spans="1:28">
      <c r="A851" s="48">
        <v>1013053</v>
      </c>
      <c r="B851" s="49" t="s">
        <v>339</v>
      </c>
      <c r="C851" s="25">
        <f t="shared" si="614"/>
        <v>53</v>
      </c>
      <c r="D851" s="25">
        <f t="array" ref="D851">INDEX(C$5:C$67,MATCH($B851,$B$5:$B$67,0))</f>
        <v>6825</v>
      </c>
      <c r="E851" s="25">
        <f t="array" ref="E851">INDEX(D$5:D$67,MATCH($B851,$B$5:$B$67,0))</f>
        <v>546</v>
      </c>
      <c r="F851" s="25">
        <f t="array" ref="F851">INDEX(E$5:E$67,MATCH($B851,$B$5:$B$67,0))</f>
        <v>1140</v>
      </c>
      <c r="G851" s="25">
        <f t="array" ref="G851">INDEX(F$5:F$67,MATCH($B851,$B$5:$B$67,0))</f>
        <v>91.2</v>
      </c>
      <c r="H851" s="25">
        <f t="array" ref="H851">INDEX(G$5:G$66,MATCH($B851,$B$5:$B$67,0))</f>
        <v>1425</v>
      </c>
      <c r="I851" s="25">
        <f t="array" ref="I851">INDEX(H$5:H$67,MATCH($B851,$B$5:$B$67,0))</f>
        <v>114</v>
      </c>
      <c r="J851" s="25">
        <f t="array" ref="J851">INDEX(I$5:I$67,MATCH($B851,$B$5:$B$67,0))</f>
        <v>800</v>
      </c>
      <c r="K851" s="25">
        <f t="array" ref="K851">INDEX(J$5:J$67,MATCH($B851,$B$5:$B$67,0))</f>
        <v>64</v>
      </c>
      <c r="L851" s="25">
        <f t="shared" si="615"/>
        <v>35763</v>
      </c>
      <c r="M851" s="25">
        <f t="shared" si="616"/>
        <v>5974</v>
      </c>
      <c r="N851" s="25">
        <f t="shared" si="617"/>
        <v>7467</v>
      </c>
      <c r="O851" s="25">
        <f t="shared" si="618"/>
        <v>4192</v>
      </c>
      <c r="R851" s="50">
        <v>1040017</v>
      </c>
      <c r="S851" s="51" t="s">
        <v>368</v>
      </c>
      <c r="T851" s="29">
        <f t="shared" si="613"/>
        <v>17</v>
      </c>
      <c r="U851" s="25">
        <f t="array" ref="U851">INDEX(K$5:K$67,MATCH($S851,$B$5:$B$67,0))</f>
        <v>340.8</v>
      </c>
      <c r="V851" s="25">
        <f t="array" ref="V851">INDEX(L$5:L$67,MATCH($S851,$B$5:$B$67,0))</f>
        <v>75.2</v>
      </c>
      <c r="W851" s="25">
        <f t="array" ref="W851">INDEX(M$5:M$67,MATCH($S851,$B$5:$B$67,0))</f>
        <v>90.32</v>
      </c>
      <c r="X851" s="25">
        <f t="array" ref="X851">INDEX(N$5:N$67,MATCH($S851,$B$5:$B$67,0))</f>
        <v>74.8</v>
      </c>
      <c r="Y851" s="25">
        <f t="shared" si="619"/>
        <v>5794</v>
      </c>
      <c r="Z851" s="25">
        <f t="shared" si="620"/>
        <v>1278</v>
      </c>
      <c r="AA851" s="25">
        <f t="shared" si="621"/>
        <v>1535</v>
      </c>
      <c r="AB851" s="25">
        <f t="shared" si="622"/>
        <v>1272</v>
      </c>
    </row>
    <row r="852" spans="1:28">
      <c r="A852" s="48">
        <v>1013054</v>
      </c>
      <c r="B852" s="49" t="s">
        <v>339</v>
      </c>
      <c r="C852" s="25">
        <f t="shared" si="614"/>
        <v>54</v>
      </c>
      <c r="D852" s="25">
        <f t="array" ref="D852">INDEX(C$5:C$67,MATCH($B852,$B$5:$B$67,0))</f>
        <v>6825</v>
      </c>
      <c r="E852" s="25">
        <f t="array" ref="E852">INDEX(D$5:D$67,MATCH($B852,$B$5:$B$67,0))</f>
        <v>546</v>
      </c>
      <c r="F852" s="25">
        <f t="array" ref="F852">INDEX(E$5:E$67,MATCH($B852,$B$5:$B$67,0))</f>
        <v>1140</v>
      </c>
      <c r="G852" s="25">
        <f t="array" ref="G852">INDEX(F$5:F$67,MATCH($B852,$B$5:$B$67,0))</f>
        <v>91.2</v>
      </c>
      <c r="H852" s="25">
        <f t="array" ref="H852">INDEX(G$5:G$66,MATCH($B852,$B$5:$B$67,0))</f>
        <v>1425</v>
      </c>
      <c r="I852" s="25">
        <f t="array" ref="I852">INDEX(H$5:H$67,MATCH($B852,$B$5:$B$67,0))</f>
        <v>114</v>
      </c>
      <c r="J852" s="25">
        <f t="array" ref="J852">INDEX(I$5:I$67,MATCH($B852,$B$5:$B$67,0))</f>
        <v>800</v>
      </c>
      <c r="K852" s="25">
        <f t="array" ref="K852">INDEX(J$5:J$67,MATCH($B852,$B$5:$B$67,0))</f>
        <v>64</v>
      </c>
      <c r="L852" s="25">
        <f t="shared" si="615"/>
        <v>36309</v>
      </c>
      <c r="M852" s="25">
        <f t="shared" si="616"/>
        <v>6065</v>
      </c>
      <c r="N852" s="25">
        <f t="shared" si="617"/>
        <v>7581</v>
      </c>
      <c r="O852" s="25">
        <f t="shared" si="618"/>
        <v>4256</v>
      </c>
      <c r="R852" s="50">
        <v>1040018</v>
      </c>
      <c r="S852" s="51" t="s">
        <v>368</v>
      </c>
      <c r="T852" s="29">
        <f t="shared" si="613"/>
        <v>18</v>
      </c>
      <c r="U852" s="25">
        <f t="array" ref="U852">INDEX(K$5:K$67,MATCH($S852,$B$5:$B$67,0))</f>
        <v>340.8</v>
      </c>
      <c r="V852" s="25">
        <f t="array" ref="V852">INDEX(L$5:L$67,MATCH($S852,$B$5:$B$67,0))</f>
        <v>75.2</v>
      </c>
      <c r="W852" s="25">
        <f t="array" ref="W852">INDEX(M$5:M$67,MATCH($S852,$B$5:$B$67,0))</f>
        <v>90.32</v>
      </c>
      <c r="X852" s="25">
        <f t="array" ref="X852">INDEX(N$5:N$67,MATCH($S852,$B$5:$B$67,0))</f>
        <v>74.8</v>
      </c>
      <c r="Y852" s="25">
        <f t="shared" si="619"/>
        <v>6134</v>
      </c>
      <c r="Z852" s="25">
        <f t="shared" si="620"/>
        <v>1354</v>
      </c>
      <c r="AA852" s="25">
        <f t="shared" si="621"/>
        <v>1626</v>
      </c>
      <c r="AB852" s="25">
        <f t="shared" si="622"/>
        <v>1346</v>
      </c>
    </row>
    <row r="853" spans="1:28">
      <c r="A853" s="48">
        <v>1013055</v>
      </c>
      <c r="B853" s="49" t="s">
        <v>339</v>
      </c>
      <c r="C853" s="25">
        <f t="shared" si="614"/>
        <v>55</v>
      </c>
      <c r="D853" s="25">
        <f t="array" ref="D853">INDEX(C$5:C$67,MATCH($B853,$B$5:$B$67,0))</f>
        <v>6825</v>
      </c>
      <c r="E853" s="25">
        <f t="array" ref="E853">INDEX(D$5:D$67,MATCH($B853,$B$5:$B$67,0))</f>
        <v>546</v>
      </c>
      <c r="F853" s="25">
        <f t="array" ref="F853">INDEX(E$5:E$67,MATCH($B853,$B$5:$B$67,0))</f>
        <v>1140</v>
      </c>
      <c r="G853" s="25">
        <f t="array" ref="G853">INDEX(F$5:F$67,MATCH($B853,$B$5:$B$67,0))</f>
        <v>91.2</v>
      </c>
      <c r="H853" s="25">
        <f t="array" ref="H853">INDEX(G$5:G$66,MATCH($B853,$B$5:$B$67,0))</f>
        <v>1425</v>
      </c>
      <c r="I853" s="25">
        <f t="array" ref="I853">INDEX(H$5:H$67,MATCH($B853,$B$5:$B$67,0))</f>
        <v>114</v>
      </c>
      <c r="J853" s="25">
        <f t="array" ref="J853">INDEX(I$5:I$67,MATCH($B853,$B$5:$B$67,0))</f>
        <v>800</v>
      </c>
      <c r="K853" s="25">
        <f t="array" ref="K853">INDEX(J$5:J$67,MATCH($B853,$B$5:$B$67,0))</f>
        <v>64</v>
      </c>
      <c r="L853" s="25">
        <f t="shared" si="615"/>
        <v>36855</v>
      </c>
      <c r="M853" s="25">
        <f t="shared" si="616"/>
        <v>6156</v>
      </c>
      <c r="N853" s="25">
        <f t="shared" si="617"/>
        <v>7695</v>
      </c>
      <c r="O853" s="25">
        <f t="shared" si="618"/>
        <v>4320</v>
      </c>
      <c r="R853" s="50">
        <v>1040019</v>
      </c>
      <c r="S853" s="51" t="s">
        <v>368</v>
      </c>
      <c r="T853" s="29">
        <f t="shared" si="613"/>
        <v>19</v>
      </c>
      <c r="U853" s="25">
        <f t="array" ref="U853">INDEX(K$5:K$67,MATCH($S853,$B$5:$B$67,0))</f>
        <v>340.8</v>
      </c>
      <c r="V853" s="25">
        <f t="array" ref="V853">INDEX(L$5:L$67,MATCH($S853,$B$5:$B$67,0))</f>
        <v>75.2</v>
      </c>
      <c r="W853" s="25">
        <f t="array" ref="W853">INDEX(M$5:M$67,MATCH($S853,$B$5:$B$67,0))</f>
        <v>90.32</v>
      </c>
      <c r="X853" s="25">
        <f t="array" ref="X853">INDEX(N$5:N$67,MATCH($S853,$B$5:$B$67,0))</f>
        <v>74.8</v>
      </c>
      <c r="Y853" s="25">
        <f t="shared" si="619"/>
        <v>6475</v>
      </c>
      <c r="Z853" s="25">
        <f t="shared" si="620"/>
        <v>1429</v>
      </c>
      <c r="AA853" s="25">
        <f t="shared" si="621"/>
        <v>1716</v>
      </c>
      <c r="AB853" s="25">
        <f t="shared" si="622"/>
        <v>1421</v>
      </c>
    </row>
    <row r="854" spans="1:28">
      <c r="A854" s="48">
        <v>1013056</v>
      </c>
      <c r="B854" s="49" t="s">
        <v>339</v>
      </c>
      <c r="C854" s="25">
        <f t="shared" si="614"/>
        <v>56</v>
      </c>
      <c r="D854" s="25">
        <f t="array" ref="D854">INDEX(C$5:C$67,MATCH($B854,$B$5:$B$67,0))</f>
        <v>6825</v>
      </c>
      <c r="E854" s="25">
        <f t="array" ref="E854">INDEX(D$5:D$67,MATCH($B854,$B$5:$B$67,0))</f>
        <v>546</v>
      </c>
      <c r="F854" s="25">
        <f t="array" ref="F854">INDEX(E$5:E$67,MATCH($B854,$B$5:$B$67,0))</f>
        <v>1140</v>
      </c>
      <c r="G854" s="25">
        <f t="array" ref="G854">INDEX(F$5:F$67,MATCH($B854,$B$5:$B$67,0))</f>
        <v>91.2</v>
      </c>
      <c r="H854" s="25">
        <f t="array" ref="H854">INDEX(G$5:G$66,MATCH($B854,$B$5:$B$67,0))</f>
        <v>1425</v>
      </c>
      <c r="I854" s="25">
        <f t="array" ref="I854">INDEX(H$5:H$67,MATCH($B854,$B$5:$B$67,0))</f>
        <v>114</v>
      </c>
      <c r="J854" s="25">
        <f t="array" ref="J854">INDEX(I$5:I$67,MATCH($B854,$B$5:$B$67,0))</f>
        <v>800</v>
      </c>
      <c r="K854" s="25">
        <f t="array" ref="K854">INDEX(J$5:J$67,MATCH($B854,$B$5:$B$67,0))</f>
        <v>64</v>
      </c>
      <c r="L854" s="25">
        <f t="shared" si="615"/>
        <v>37401</v>
      </c>
      <c r="M854" s="25">
        <f t="shared" si="616"/>
        <v>6247</v>
      </c>
      <c r="N854" s="25">
        <f t="shared" si="617"/>
        <v>7809</v>
      </c>
      <c r="O854" s="25">
        <f t="shared" si="618"/>
        <v>4384</v>
      </c>
      <c r="R854" s="50">
        <v>1040020</v>
      </c>
      <c r="S854" s="51" t="s">
        <v>368</v>
      </c>
      <c r="T854" s="29">
        <f t="shared" si="613"/>
        <v>20</v>
      </c>
      <c r="U854" s="25">
        <f t="array" ref="U854">INDEX(K$5:K$67,MATCH($S854,$B$5:$B$67,0))</f>
        <v>340.8</v>
      </c>
      <c r="V854" s="25">
        <f t="array" ref="V854">INDEX(L$5:L$67,MATCH($S854,$B$5:$B$67,0))</f>
        <v>75.2</v>
      </c>
      <c r="W854" s="25">
        <f t="array" ref="W854">INDEX(M$5:M$67,MATCH($S854,$B$5:$B$67,0))</f>
        <v>90.32</v>
      </c>
      <c r="X854" s="25">
        <f t="array" ref="X854">INDEX(N$5:N$67,MATCH($S854,$B$5:$B$67,0))</f>
        <v>74.8</v>
      </c>
      <c r="Y854" s="25">
        <f t="shared" si="619"/>
        <v>6816</v>
      </c>
      <c r="Z854" s="25">
        <f t="shared" si="620"/>
        <v>1504</v>
      </c>
      <c r="AA854" s="25">
        <f t="shared" si="621"/>
        <v>1806</v>
      </c>
      <c r="AB854" s="25">
        <f t="shared" si="622"/>
        <v>1496</v>
      </c>
    </row>
    <row r="855" spans="1:28">
      <c r="A855" s="48">
        <v>1013057</v>
      </c>
      <c r="B855" s="49" t="s">
        <v>339</v>
      </c>
      <c r="C855" s="25">
        <f t="shared" si="614"/>
        <v>57</v>
      </c>
      <c r="D855" s="25">
        <f t="array" ref="D855">INDEX(C$5:C$67,MATCH($B855,$B$5:$B$67,0))</f>
        <v>6825</v>
      </c>
      <c r="E855" s="25">
        <f t="array" ref="E855">INDEX(D$5:D$67,MATCH($B855,$B$5:$B$67,0))</f>
        <v>546</v>
      </c>
      <c r="F855" s="25">
        <f t="array" ref="F855">INDEX(E$5:E$67,MATCH($B855,$B$5:$B$67,0))</f>
        <v>1140</v>
      </c>
      <c r="G855" s="25">
        <f t="array" ref="G855">INDEX(F$5:F$67,MATCH($B855,$B$5:$B$67,0))</f>
        <v>91.2</v>
      </c>
      <c r="H855" s="25">
        <f t="array" ref="H855">INDEX(G$5:G$66,MATCH($B855,$B$5:$B$67,0))</f>
        <v>1425</v>
      </c>
      <c r="I855" s="25">
        <f t="array" ref="I855">INDEX(H$5:H$67,MATCH($B855,$B$5:$B$67,0))</f>
        <v>114</v>
      </c>
      <c r="J855" s="25">
        <f t="array" ref="J855">INDEX(I$5:I$67,MATCH($B855,$B$5:$B$67,0))</f>
        <v>800</v>
      </c>
      <c r="K855" s="25">
        <f t="array" ref="K855">INDEX(J$5:J$67,MATCH($B855,$B$5:$B$67,0))</f>
        <v>64</v>
      </c>
      <c r="L855" s="25">
        <f t="shared" si="615"/>
        <v>37947</v>
      </c>
      <c r="M855" s="25">
        <f t="shared" si="616"/>
        <v>6338</v>
      </c>
      <c r="N855" s="25">
        <f t="shared" si="617"/>
        <v>7923</v>
      </c>
      <c r="O855" s="25">
        <f t="shared" si="618"/>
        <v>4448</v>
      </c>
      <c r="R855" s="50">
        <v>1040021</v>
      </c>
      <c r="S855" s="51" t="s">
        <v>368</v>
      </c>
      <c r="T855" s="29">
        <f t="shared" si="613"/>
        <v>21</v>
      </c>
      <c r="U855" s="25">
        <f t="array" ref="U855">INDEX(K$5:K$67,MATCH($S855,$B$5:$B$67,0))</f>
        <v>340.8</v>
      </c>
      <c r="V855" s="25">
        <f t="array" ref="V855">INDEX(L$5:L$67,MATCH($S855,$B$5:$B$67,0))</f>
        <v>75.2</v>
      </c>
      <c r="W855" s="25">
        <f t="array" ref="W855">INDEX(M$5:M$67,MATCH($S855,$B$5:$B$67,0))</f>
        <v>90.32</v>
      </c>
      <c r="X855" s="25">
        <f t="array" ref="X855">INDEX(N$5:N$67,MATCH($S855,$B$5:$B$67,0))</f>
        <v>74.8</v>
      </c>
      <c r="Y855" s="25">
        <f t="shared" si="619"/>
        <v>7157</v>
      </c>
      <c r="Z855" s="25">
        <f t="shared" si="620"/>
        <v>1579</v>
      </c>
      <c r="AA855" s="25">
        <f t="shared" si="621"/>
        <v>1897</v>
      </c>
      <c r="AB855" s="25">
        <f t="shared" si="622"/>
        <v>1571</v>
      </c>
    </row>
    <row r="856" spans="1:28">
      <c r="A856" s="48">
        <v>1013058</v>
      </c>
      <c r="B856" s="49" t="s">
        <v>339</v>
      </c>
      <c r="C856" s="25">
        <f t="shared" si="614"/>
        <v>58</v>
      </c>
      <c r="D856" s="25">
        <f t="array" ref="D856">INDEX(C$5:C$67,MATCH($B856,$B$5:$B$67,0))</f>
        <v>6825</v>
      </c>
      <c r="E856" s="25">
        <f t="array" ref="E856">INDEX(D$5:D$67,MATCH($B856,$B$5:$B$67,0))</f>
        <v>546</v>
      </c>
      <c r="F856" s="25">
        <f t="array" ref="F856">INDEX(E$5:E$67,MATCH($B856,$B$5:$B$67,0))</f>
        <v>1140</v>
      </c>
      <c r="G856" s="25">
        <f t="array" ref="G856">INDEX(F$5:F$67,MATCH($B856,$B$5:$B$67,0))</f>
        <v>91.2</v>
      </c>
      <c r="H856" s="25">
        <f t="array" ref="H856">INDEX(G$5:G$66,MATCH($B856,$B$5:$B$67,0))</f>
        <v>1425</v>
      </c>
      <c r="I856" s="25">
        <f t="array" ref="I856">INDEX(H$5:H$67,MATCH($B856,$B$5:$B$67,0))</f>
        <v>114</v>
      </c>
      <c r="J856" s="25">
        <f t="array" ref="J856">INDEX(I$5:I$67,MATCH($B856,$B$5:$B$67,0))</f>
        <v>800</v>
      </c>
      <c r="K856" s="25">
        <f t="array" ref="K856">INDEX(J$5:J$67,MATCH($B856,$B$5:$B$67,0))</f>
        <v>64</v>
      </c>
      <c r="L856" s="25">
        <f t="shared" si="615"/>
        <v>38493</v>
      </c>
      <c r="M856" s="25">
        <f t="shared" si="616"/>
        <v>6430</v>
      </c>
      <c r="N856" s="25">
        <f t="shared" si="617"/>
        <v>8037</v>
      </c>
      <c r="O856" s="25">
        <f t="shared" si="618"/>
        <v>4512</v>
      </c>
      <c r="R856" s="50">
        <v>1040022</v>
      </c>
      <c r="S856" s="51" t="s">
        <v>368</v>
      </c>
      <c r="T856" s="29">
        <f t="shared" si="613"/>
        <v>22</v>
      </c>
      <c r="U856" s="25">
        <f t="array" ref="U856">INDEX(K$5:K$67,MATCH($S856,$B$5:$B$67,0))</f>
        <v>340.8</v>
      </c>
      <c r="V856" s="25">
        <f t="array" ref="V856">INDEX(L$5:L$67,MATCH($S856,$B$5:$B$67,0))</f>
        <v>75.2</v>
      </c>
      <c r="W856" s="25">
        <f t="array" ref="W856">INDEX(M$5:M$67,MATCH($S856,$B$5:$B$67,0))</f>
        <v>90.32</v>
      </c>
      <c r="X856" s="25">
        <f t="array" ref="X856">INDEX(N$5:N$67,MATCH($S856,$B$5:$B$67,0))</f>
        <v>74.8</v>
      </c>
      <c r="Y856" s="25">
        <f t="shared" si="619"/>
        <v>7498</v>
      </c>
      <c r="Z856" s="25">
        <f t="shared" si="620"/>
        <v>1654</v>
      </c>
      <c r="AA856" s="25">
        <f t="shared" si="621"/>
        <v>1987</v>
      </c>
      <c r="AB856" s="25">
        <f t="shared" si="622"/>
        <v>1646</v>
      </c>
    </row>
    <row r="857" spans="1:28">
      <c r="A857" s="48">
        <v>1013059</v>
      </c>
      <c r="B857" s="49" t="s">
        <v>339</v>
      </c>
      <c r="C857" s="25">
        <f t="shared" si="614"/>
        <v>59</v>
      </c>
      <c r="D857" s="25">
        <f t="array" ref="D857">INDEX(C$5:C$67,MATCH($B857,$B$5:$B$67,0))</f>
        <v>6825</v>
      </c>
      <c r="E857" s="25">
        <f t="array" ref="E857">INDEX(D$5:D$67,MATCH($B857,$B$5:$B$67,0))</f>
        <v>546</v>
      </c>
      <c r="F857" s="25">
        <f t="array" ref="F857">INDEX(E$5:E$67,MATCH($B857,$B$5:$B$67,0))</f>
        <v>1140</v>
      </c>
      <c r="G857" s="25">
        <f t="array" ref="G857">INDEX(F$5:F$67,MATCH($B857,$B$5:$B$67,0))</f>
        <v>91.2</v>
      </c>
      <c r="H857" s="25">
        <f t="array" ref="H857">INDEX(G$5:G$66,MATCH($B857,$B$5:$B$67,0))</f>
        <v>1425</v>
      </c>
      <c r="I857" s="25">
        <f t="array" ref="I857">INDEX(H$5:H$67,MATCH($B857,$B$5:$B$67,0))</f>
        <v>114</v>
      </c>
      <c r="J857" s="25">
        <f t="array" ref="J857">INDEX(I$5:I$67,MATCH($B857,$B$5:$B$67,0))</f>
        <v>800</v>
      </c>
      <c r="K857" s="25">
        <f t="array" ref="K857">INDEX(J$5:J$67,MATCH($B857,$B$5:$B$67,0))</f>
        <v>64</v>
      </c>
      <c r="L857" s="25">
        <f t="shared" si="615"/>
        <v>39039</v>
      </c>
      <c r="M857" s="25">
        <f t="shared" si="616"/>
        <v>6521</v>
      </c>
      <c r="N857" s="25">
        <f t="shared" si="617"/>
        <v>8151</v>
      </c>
      <c r="O857" s="25">
        <f t="shared" si="618"/>
        <v>4576</v>
      </c>
      <c r="R857" s="50">
        <v>1040023</v>
      </c>
      <c r="S857" s="51" t="s">
        <v>368</v>
      </c>
      <c r="T857" s="29">
        <f t="shared" si="613"/>
        <v>23</v>
      </c>
      <c r="U857" s="25">
        <f t="array" ref="U857">INDEX(K$5:K$67,MATCH($S857,$B$5:$B$67,0))</f>
        <v>340.8</v>
      </c>
      <c r="V857" s="25">
        <f t="array" ref="V857">INDEX(L$5:L$67,MATCH($S857,$B$5:$B$67,0))</f>
        <v>75.2</v>
      </c>
      <c r="W857" s="25">
        <f t="array" ref="W857">INDEX(M$5:M$67,MATCH($S857,$B$5:$B$67,0))</f>
        <v>90.32</v>
      </c>
      <c r="X857" s="25">
        <f t="array" ref="X857">INDEX(N$5:N$67,MATCH($S857,$B$5:$B$67,0))</f>
        <v>74.8</v>
      </c>
      <c r="Y857" s="25">
        <f t="shared" si="619"/>
        <v>7838</v>
      </c>
      <c r="Z857" s="25">
        <f t="shared" si="620"/>
        <v>1730</v>
      </c>
      <c r="AA857" s="25">
        <f t="shared" si="621"/>
        <v>2077</v>
      </c>
      <c r="AB857" s="25">
        <f t="shared" si="622"/>
        <v>1720</v>
      </c>
    </row>
    <row r="858" spans="1:28">
      <c r="A858" s="48">
        <v>1013060</v>
      </c>
      <c r="B858" s="49" t="s">
        <v>339</v>
      </c>
      <c r="C858" s="25">
        <f t="shared" si="614"/>
        <v>60</v>
      </c>
      <c r="D858" s="25">
        <f t="array" ref="D858">INDEX(C$5:C$67,MATCH($B858,$B$5:$B$67,0))</f>
        <v>6825</v>
      </c>
      <c r="E858" s="25">
        <f t="array" ref="E858">INDEX(D$5:D$67,MATCH($B858,$B$5:$B$67,0))</f>
        <v>546</v>
      </c>
      <c r="F858" s="25">
        <f t="array" ref="F858">INDEX(E$5:E$67,MATCH($B858,$B$5:$B$67,0))</f>
        <v>1140</v>
      </c>
      <c r="G858" s="25">
        <f t="array" ref="G858">INDEX(F$5:F$67,MATCH($B858,$B$5:$B$67,0))</f>
        <v>91.2</v>
      </c>
      <c r="H858" s="25">
        <f t="array" ref="H858">INDEX(G$5:G$66,MATCH($B858,$B$5:$B$67,0))</f>
        <v>1425</v>
      </c>
      <c r="I858" s="25">
        <f t="array" ref="I858">INDEX(H$5:H$67,MATCH($B858,$B$5:$B$67,0))</f>
        <v>114</v>
      </c>
      <c r="J858" s="25">
        <f t="array" ref="J858">INDEX(I$5:I$67,MATCH($B858,$B$5:$B$67,0))</f>
        <v>800</v>
      </c>
      <c r="K858" s="25">
        <f t="array" ref="K858">INDEX(J$5:J$67,MATCH($B858,$B$5:$B$67,0))</f>
        <v>64</v>
      </c>
      <c r="L858" s="25">
        <f t="shared" si="615"/>
        <v>39585</v>
      </c>
      <c r="M858" s="25">
        <f t="shared" si="616"/>
        <v>6612</v>
      </c>
      <c r="N858" s="25">
        <f t="shared" si="617"/>
        <v>8265</v>
      </c>
      <c r="O858" s="25">
        <f t="shared" si="618"/>
        <v>4640</v>
      </c>
      <c r="R858" s="50">
        <v>1040024</v>
      </c>
      <c r="S858" s="51" t="s">
        <v>368</v>
      </c>
      <c r="T858" s="29">
        <f t="shared" si="613"/>
        <v>24</v>
      </c>
      <c r="U858" s="25">
        <f t="array" ref="U858">INDEX(K$5:K$67,MATCH($S858,$B$5:$B$67,0))</f>
        <v>340.8</v>
      </c>
      <c r="V858" s="25">
        <f t="array" ref="V858">INDEX(L$5:L$67,MATCH($S858,$B$5:$B$67,0))</f>
        <v>75.2</v>
      </c>
      <c r="W858" s="25">
        <f t="array" ref="W858">INDEX(M$5:M$67,MATCH($S858,$B$5:$B$67,0))</f>
        <v>90.32</v>
      </c>
      <c r="X858" s="25">
        <f t="array" ref="X858">INDEX(N$5:N$67,MATCH($S858,$B$5:$B$67,0))</f>
        <v>74.8</v>
      </c>
      <c r="Y858" s="25">
        <f t="shared" si="619"/>
        <v>8179</v>
      </c>
      <c r="Z858" s="25">
        <f t="shared" si="620"/>
        <v>1805</v>
      </c>
      <c r="AA858" s="25">
        <f t="shared" si="621"/>
        <v>2168</v>
      </c>
      <c r="AB858" s="25">
        <f t="shared" si="622"/>
        <v>1795</v>
      </c>
    </row>
    <row r="859" spans="1:28">
      <c r="A859" s="53">
        <v>1014001</v>
      </c>
      <c r="B859" s="49" t="s">
        <v>341</v>
      </c>
      <c r="C859" s="25">
        <f t="shared" si="614"/>
        <v>1</v>
      </c>
      <c r="D859" s="25">
        <f t="array" ref="D859">INDEX(C$5:C$67,MATCH($B859,$B$5:$B$67,0))</f>
        <v>4200</v>
      </c>
      <c r="E859" s="25">
        <f t="array" ref="E859">INDEX(D$5:D$67,MATCH($B859,$B$5:$B$67,0))</f>
        <v>336</v>
      </c>
      <c r="F859" s="25">
        <f t="array" ref="F859">INDEX(E$5:E$67,MATCH($B859,$B$5:$B$67,0))</f>
        <v>1163</v>
      </c>
      <c r="G859" s="25">
        <f t="array" ref="G859">INDEX(F$5:F$67,MATCH($B859,$B$5:$B$67,0))</f>
        <v>93.04</v>
      </c>
      <c r="H859" s="25">
        <f t="array" ref="H859">INDEX(G$5:G$66,MATCH($B859,$B$5:$B$67,0))</f>
        <v>912</v>
      </c>
      <c r="I859" s="25">
        <f t="array" ref="I859">INDEX(H$5:H$67,MATCH($B859,$B$5:$B$67,0))</f>
        <v>72.96</v>
      </c>
      <c r="J859" s="25">
        <f t="array" ref="J859">INDEX(I$5:I$67,MATCH($B859,$B$5:$B$67,0))</f>
        <v>784</v>
      </c>
      <c r="K859" s="25">
        <f t="array" ref="K859">INDEX(J$5:J$67,MATCH($B859,$B$5:$B$67,0))</f>
        <v>62.72</v>
      </c>
      <c r="L859" s="25">
        <f t="shared" si="615"/>
        <v>4536</v>
      </c>
      <c r="M859" s="25">
        <f t="shared" si="616"/>
        <v>1256</v>
      </c>
      <c r="N859" s="25">
        <f t="shared" si="617"/>
        <v>985</v>
      </c>
      <c r="O859" s="25">
        <f t="shared" si="618"/>
        <v>847</v>
      </c>
      <c r="R859" s="50">
        <v>1040025</v>
      </c>
      <c r="S859" s="51" t="s">
        <v>368</v>
      </c>
      <c r="T859" s="29">
        <f t="shared" si="613"/>
        <v>25</v>
      </c>
      <c r="U859" s="25">
        <f t="array" ref="U859">INDEX(K$5:K$67,MATCH($S859,$B$5:$B$67,0))</f>
        <v>340.8</v>
      </c>
      <c r="V859" s="25">
        <f t="array" ref="V859">INDEX(L$5:L$67,MATCH($S859,$B$5:$B$67,0))</f>
        <v>75.2</v>
      </c>
      <c r="W859" s="25">
        <f t="array" ref="W859">INDEX(M$5:M$67,MATCH($S859,$B$5:$B$67,0))</f>
        <v>90.32</v>
      </c>
      <c r="X859" s="25">
        <f t="array" ref="X859">INDEX(N$5:N$67,MATCH($S859,$B$5:$B$67,0))</f>
        <v>74.8</v>
      </c>
      <c r="Y859" s="25">
        <f t="shared" si="619"/>
        <v>8520</v>
      </c>
      <c r="Z859" s="25">
        <f t="shared" si="620"/>
        <v>1880</v>
      </c>
      <c r="AA859" s="25">
        <f t="shared" si="621"/>
        <v>2258</v>
      </c>
      <c r="AB859" s="25">
        <f t="shared" si="622"/>
        <v>1870</v>
      </c>
    </row>
    <row r="860" spans="1:28">
      <c r="A860" s="53">
        <v>1014002</v>
      </c>
      <c r="B860" s="49" t="s">
        <v>341</v>
      </c>
      <c r="C860" s="25">
        <f t="shared" si="614"/>
        <v>2</v>
      </c>
      <c r="D860" s="25">
        <f t="array" ref="D860">INDEX(C$5:C$67,MATCH($B860,$B$5:$B$67,0))</f>
        <v>4200</v>
      </c>
      <c r="E860" s="25">
        <f t="array" ref="E860">INDEX(D$5:D$67,MATCH($B860,$B$5:$B$67,0))</f>
        <v>336</v>
      </c>
      <c r="F860" s="25">
        <f t="array" ref="F860">INDEX(E$5:E$67,MATCH($B860,$B$5:$B$67,0))</f>
        <v>1163</v>
      </c>
      <c r="G860" s="25">
        <f t="array" ref="G860">INDEX(F$5:F$67,MATCH($B860,$B$5:$B$67,0))</f>
        <v>93.04</v>
      </c>
      <c r="H860" s="25">
        <f t="array" ref="H860">INDEX(G$5:G$66,MATCH($B860,$B$5:$B$67,0))</f>
        <v>912</v>
      </c>
      <c r="I860" s="25">
        <f t="array" ref="I860">INDEX(H$5:H$67,MATCH($B860,$B$5:$B$67,0))</f>
        <v>72.96</v>
      </c>
      <c r="J860" s="25">
        <f t="array" ref="J860">INDEX(I$5:I$67,MATCH($B860,$B$5:$B$67,0))</f>
        <v>784</v>
      </c>
      <c r="K860" s="25">
        <f t="array" ref="K860">INDEX(J$5:J$67,MATCH($B860,$B$5:$B$67,0))</f>
        <v>62.72</v>
      </c>
      <c r="L860" s="25">
        <f t="shared" si="615"/>
        <v>4872</v>
      </c>
      <c r="M860" s="25">
        <f t="shared" si="616"/>
        <v>1349</v>
      </c>
      <c r="N860" s="25">
        <f t="shared" si="617"/>
        <v>1058</v>
      </c>
      <c r="O860" s="25">
        <f t="shared" si="618"/>
        <v>909</v>
      </c>
      <c r="R860" s="50">
        <v>1040026</v>
      </c>
      <c r="S860" s="51" t="s">
        <v>368</v>
      </c>
      <c r="T860" s="29">
        <f t="shared" si="613"/>
        <v>26</v>
      </c>
      <c r="U860" s="25">
        <f t="array" ref="U860">INDEX(K$5:K$67,MATCH($S860,$B$5:$B$67,0))</f>
        <v>340.8</v>
      </c>
      <c r="V860" s="25">
        <f t="array" ref="V860">INDEX(L$5:L$67,MATCH($S860,$B$5:$B$67,0))</f>
        <v>75.2</v>
      </c>
      <c r="W860" s="25">
        <f t="array" ref="W860">INDEX(M$5:M$67,MATCH($S860,$B$5:$B$67,0))</f>
        <v>90.32</v>
      </c>
      <c r="X860" s="25">
        <f t="array" ref="X860">INDEX(N$5:N$67,MATCH($S860,$B$5:$B$67,0))</f>
        <v>74.8</v>
      </c>
      <c r="Y860" s="25">
        <f t="shared" si="619"/>
        <v>8861</v>
      </c>
      <c r="Z860" s="25">
        <f t="shared" si="620"/>
        <v>1955</v>
      </c>
      <c r="AA860" s="25">
        <f t="shared" si="621"/>
        <v>2348</v>
      </c>
      <c r="AB860" s="25">
        <f t="shared" si="622"/>
        <v>1945</v>
      </c>
    </row>
    <row r="861" spans="1:28">
      <c r="A861" s="53">
        <v>1014003</v>
      </c>
      <c r="B861" s="49" t="s">
        <v>341</v>
      </c>
      <c r="C861" s="25">
        <f t="shared" si="614"/>
        <v>3</v>
      </c>
      <c r="D861" s="25">
        <f t="array" ref="D861">INDEX(C$5:C$67,MATCH($B861,$B$5:$B$67,0))</f>
        <v>4200</v>
      </c>
      <c r="E861" s="25">
        <f t="array" ref="E861">INDEX(D$5:D$67,MATCH($B861,$B$5:$B$67,0))</f>
        <v>336</v>
      </c>
      <c r="F861" s="25">
        <f t="array" ref="F861">INDEX(E$5:E$67,MATCH($B861,$B$5:$B$67,0))</f>
        <v>1163</v>
      </c>
      <c r="G861" s="25">
        <f t="array" ref="G861">INDEX(F$5:F$67,MATCH($B861,$B$5:$B$67,0))</f>
        <v>93.04</v>
      </c>
      <c r="H861" s="25">
        <f t="array" ref="H861">INDEX(G$5:G$66,MATCH($B861,$B$5:$B$67,0))</f>
        <v>912</v>
      </c>
      <c r="I861" s="25">
        <f t="array" ref="I861">INDEX(H$5:H$67,MATCH($B861,$B$5:$B$67,0))</f>
        <v>72.96</v>
      </c>
      <c r="J861" s="25">
        <f t="array" ref="J861">INDEX(I$5:I$67,MATCH($B861,$B$5:$B$67,0))</f>
        <v>784</v>
      </c>
      <c r="K861" s="25">
        <f t="array" ref="K861">INDEX(J$5:J$67,MATCH($B861,$B$5:$B$67,0))</f>
        <v>62.72</v>
      </c>
      <c r="L861" s="25">
        <f t="shared" si="615"/>
        <v>5208</v>
      </c>
      <c r="M861" s="25">
        <f t="shared" si="616"/>
        <v>1442</v>
      </c>
      <c r="N861" s="25">
        <f t="shared" si="617"/>
        <v>1131</v>
      </c>
      <c r="O861" s="25">
        <f t="shared" si="618"/>
        <v>972</v>
      </c>
      <c r="R861" s="50">
        <v>1040027</v>
      </c>
      <c r="S861" s="51" t="s">
        <v>368</v>
      </c>
      <c r="T861" s="29">
        <f t="shared" si="613"/>
        <v>27</v>
      </c>
      <c r="U861" s="25">
        <f t="array" ref="U861">INDEX(K$5:K$67,MATCH($S861,$B$5:$B$67,0))</f>
        <v>340.8</v>
      </c>
      <c r="V861" s="25">
        <f t="array" ref="V861">INDEX(L$5:L$67,MATCH($S861,$B$5:$B$67,0))</f>
        <v>75.2</v>
      </c>
      <c r="W861" s="25">
        <f t="array" ref="W861">INDEX(M$5:M$67,MATCH($S861,$B$5:$B$67,0))</f>
        <v>90.32</v>
      </c>
      <c r="X861" s="25">
        <f t="array" ref="X861">INDEX(N$5:N$67,MATCH($S861,$B$5:$B$67,0))</f>
        <v>74.8</v>
      </c>
      <c r="Y861" s="25">
        <f t="shared" si="619"/>
        <v>9202</v>
      </c>
      <c r="Z861" s="25">
        <f t="shared" si="620"/>
        <v>2030</v>
      </c>
      <c r="AA861" s="25">
        <f t="shared" si="621"/>
        <v>2439</v>
      </c>
      <c r="AB861" s="25">
        <f t="shared" si="622"/>
        <v>2020</v>
      </c>
    </row>
    <row r="862" spans="1:28">
      <c r="A862" s="53">
        <v>1014004</v>
      </c>
      <c r="B862" s="49" t="s">
        <v>341</v>
      </c>
      <c r="C862" s="25">
        <f t="shared" si="614"/>
        <v>4</v>
      </c>
      <c r="D862" s="25">
        <f t="array" ref="D862">INDEX(C$5:C$67,MATCH($B862,$B$5:$B$67,0))</f>
        <v>4200</v>
      </c>
      <c r="E862" s="25">
        <f t="array" ref="E862">INDEX(D$5:D$67,MATCH($B862,$B$5:$B$67,0))</f>
        <v>336</v>
      </c>
      <c r="F862" s="25">
        <f t="array" ref="F862">INDEX(E$5:E$67,MATCH($B862,$B$5:$B$67,0))</f>
        <v>1163</v>
      </c>
      <c r="G862" s="25">
        <f t="array" ref="G862">INDEX(F$5:F$67,MATCH($B862,$B$5:$B$67,0))</f>
        <v>93.04</v>
      </c>
      <c r="H862" s="25">
        <f t="array" ref="H862">INDEX(G$5:G$66,MATCH($B862,$B$5:$B$67,0))</f>
        <v>912</v>
      </c>
      <c r="I862" s="25">
        <f t="array" ref="I862">INDEX(H$5:H$67,MATCH($B862,$B$5:$B$67,0))</f>
        <v>72.96</v>
      </c>
      <c r="J862" s="25">
        <f t="array" ref="J862">INDEX(I$5:I$67,MATCH($B862,$B$5:$B$67,0))</f>
        <v>784</v>
      </c>
      <c r="K862" s="25">
        <f t="array" ref="K862">INDEX(J$5:J$67,MATCH($B862,$B$5:$B$67,0))</f>
        <v>62.72</v>
      </c>
      <c r="L862" s="25">
        <f t="shared" si="615"/>
        <v>5544</v>
      </c>
      <c r="M862" s="25">
        <f t="shared" si="616"/>
        <v>1535</v>
      </c>
      <c r="N862" s="25">
        <f t="shared" si="617"/>
        <v>1204</v>
      </c>
      <c r="O862" s="25">
        <f t="shared" si="618"/>
        <v>1035</v>
      </c>
      <c r="R862" s="50"/>
      <c r="S862" s="51"/>
      <c r="T862" s="29"/>
    </row>
    <row r="863" spans="1:28">
      <c r="A863" s="53">
        <v>1014005</v>
      </c>
      <c r="B863" s="49" t="s">
        <v>341</v>
      </c>
      <c r="C863" s="25">
        <f t="shared" si="614"/>
        <v>5</v>
      </c>
      <c r="D863" s="25">
        <f t="array" ref="D863">INDEX(C$5:C$67,MATCH($B863,$B$5:$B$67,0))</f>
        <v>4200</v>
      </c>
      <c r="E863" s="25">
        <f t="array" ref="E863">INDEX(D$5:D$67,MATCH($B863,$B$5:$B$67,0))</f>
        <v>336</v>
      </c>
      <c r="F863" s="25">
        <f t="array" ref="F863">INDEX(E$5:E$67,MATCH($B863,$B$5:$B$67,0))</f>
        <v>1163</v>
      </c>
      <c r="G863" s="25">
        <f t="array" ref="G863">INDEX(F$5:F$67,MATCH($B863,$B$5:$B$67,0))</f>
        <v>93.04</v>
      </c>
      <c r="H863" s="25">
        <f t="array" ref="H863">INDEX(G$5:G$66,MATCH($B863,$B$5:$B$67,0))</f>
        <v>912</v>
      </c>
      <c r="I863" s="25">
        <f t="array" ref="I863">INDEX(H$5:H$67,MATCH($B863,$B$5:$B$67,0))</f>
        <v>72.96</v>
      </c>
      <c r="J863" s="25">
        <f t="array" ref="J863">INDEX(I$5:I$67,MATCH($B863,$B$5:$B$67,0))</f>
        <v>784</v>
      </c>
      <c r="K863" s="25">
        <f t="array" ref="K863">INDEX(J$5:J$67,MATCH($B863,$B$5:$B$67,0))</f>
        <v>62.72</v>
      </c>
      <c r="L863" s="25">
        <f t="shared" si="615"/>
        <v>5880</v>
      </c>
      <c r="M863" s="25">
        <f t="shared" si="616"/>
        <v>1628</v>
      </c>
      <c r="N863" s="25">
        <f t="shared" si="617"/>
        <v>1277</v>
      </c>
      <c r="O863" s="25">
        <f t="shared" si="618"/>
        <v>1098</v>
      </c>
      <c r="R863" s="50"/>
      <c r="S863" s="51"/>
      <c r="T863" s="29"/>
    </row>
    <row r="864" spans="1:28">
      <c r="A864" s="53">
        <v>1014006</v>
      </c>
      <c r="B864" s="49" t="s">
        <v>341</v>
      </c>
      <c r="C864" s="25">
        <f t="shared" si="614"/>
        <v>6</v>
      </c>
      <c r="D864" s="25">
        <f t="array" ref="D864">INDEX(C$5:C$67,MATCH($B864,$B$5:$B$67,0))</f>
        <v>4200</v>
      </c>
      <c r="E864" s="25">
        <f t="array" ref="E864">INDEX(D$5:D$67,MATCH($B864,$B$5:$B$67,0))</f>
        <v>336</v>
      </c>
      <c r="F864" s="25">
        <f t="array" ref="F864">INDEX(E$5:E$67,MATCH($B864,$B$5:$B$67,0))</f>
        <v>1163</v>
      </c>
      <c r="G864" s="25">
        <f t="array" ref="G864">INDEX(F$5:F$67,MATCH($B864,$B$5:$B$67,0))</f>
        <v>93.04</v>
      </c>
      <c r="H864" s="25">
        <f t="array" ref="H864">INDEX(G$5:G$66,MATCH($B864,$B$5:$B$67,0))</f>
        <v>912</v>
      </c>
      <c r="I864" s="25">
        <f t="array" ref="I864">INDEX(H$5:H$67,MATCH($B864,$B$5:$B$67,0))</f>
        <v>72.96</v>
      </c>
      <c r="J864" s="25">
        <f t="array" ref="J864">INDEX(I$5:I$67,MATCH($B864,$B$5:$B$67,0))</f>
        <v>784</v>
      </c>
      <c r="K864" s="25">
        <f t="array" ref="K864">INDEX(J$5:J$67,MATCH($B864,$B$5:$B$67,0))</f>
        <v>62.72</v>
      </c>
      <c r="L864" s="25">
        <f t="shared" si="615"/>
        <v>6216</v>
      </c>
      <c r="M864" s="25">
        <f t="shared" si="616"/>
        <v>1721</v>
      </c>
      <c r="N864" s="25">
        <f t="shared" si="617"/>
        <v>1350</v>
      </c>
      <c r="O864" s="25">
        <f t="shared" si="618"/>
        <v>1160</v>
      </c>
      <c r="R864" s="50"/>
      <c r="S864" s="51"/>
      <c r="T864" s="29"/>
    </row>
    <row r="865" spans="1:20">
      <c r="A865" s="53">
        <v>1014007</v>
      </c>
      <c r="B865" s="49" t="s">
        <v>341</v>
      </c>
      <c r="C865" s="25">
        <f t="shared" si="614"/>
        <v>7</v>
      </c>
      <c r="D865" s="25">
        <f t="array" ref="D865">INDEX(C$5:C$67,MATCH($B865,$B$5:$B$67,0))</f>
        <v>4200</v>
      </c>
      <c r="E865" s="25">
        <f t="array" ref="E865">INDEX(D$5:D$67,MATCH($B865,$B$5:$B$67,0))</f>
        <v>336</v>
      </c>
      <c r="F865" s="25">
        <f t="array" ref="F865">INDEX(E$5:E$67,MATCH($B865,$B$5:$B$67,0))</f>
        <v>1163</v>
      </c>
      <c r="G865" s="25">
        <f t="array" ref="G865">INDEX(F$5:F$67,MATCH($B865,$B$5:$B$67,0))</f>
        <v>93.04</v>
      </c>
      <c r="H865" s="25">
        <f t="array" ref="H865">INDEX(G$5:G$66,MATCH($B865,$B$5:$B$67,0))</f>
        <v>912</v>
      </c>
      <c r="I865" s="25">
        <f t="array" ref="I865">INDEX(H$5:H$67,MATCH($B865,$B$5:$B$67,0))</f>
        <v>72.96</v>
      </c>
      <c r="J865" s="25">
        <f t="array" ref="J865">INDEX(I$5:I$67,MATCH($B865,$B$5:$B$67,0))</f>
        <v>784</v>
      </c>
      <c r="K865" s="25">
        <f t="array" ref="K865">INDEX(J$5:J$67,MATCH($B865,$B$5:$B$67,0))</f>
        <v>62.72</v>
      </c>
      <c r="L865" s="25">
        <f t="shared" si="615"/>
        <v>6552</v>
      </c>
      <c r="M865" s="25">
        <f t="shared" si="616"/>
        <v>1814</v>
      </c>
      <c r="N865" s="25">
        <f t="shared" si="617"/>
        <v>1423</v>
      </c>
      <c r="O865" s="25">
        <f t="shared" si="618"/>
        <v>1223</v>
      </c>
      <c r="R865" s="50"/>
      <c r="S865" s="51"/>
      <c r="T865" s="29"/>
    </row>
    <row r="866" spans="1:20">
      <c r="A866" s="53">
        <v>1014008</v>
      </c>
      <c r="B866" s="49" t="s">
        <v>341</v>
      </c>
      <c r="C866" s="25">
        <f t="shared" si="614"/>
        <v>8</v>
      </c>
      <c r="D866" s="25">
        <f t="array" ref="D866">INDEX(C$5:C$67,MATCH($B866,$B$5:$B$67,0))</f>
        <v>4200</v>
      </c>
      <c r="E866" s="25">
        <f t="array" ref="E866">INDEX(D$5:D$67,MATCH($B866,$B$5:$B$67,0))</f>
        <v>336</v>
      </c>
      <c r="F866" s="25">
        <f t="array" ref="F866">INDEX(E$5:E$67,MATCH($B866,$B$5:$B$67,0))</f>
        <v>1163</v>
      </c>
      <c r="G866" s="25">
        <f t="array" ref="G866">INDEX(F$5:F$67,MATCH($B866,$B$5:$B$67,0))</f>
        <v>93.04</v>
      </c>
      <c r="H866" s="25">
        <f t="array" ref="H866">INDEX(G$5:G$66,MATCH($B866,$B$5:$B$67,0))</f>
        <v>912</v>
      </c>
      <c r="I866" s="25">
        <f t="array" ref="I866">INDEX(H$5:H$67,MATCH($B866,$B$5:$B$67,0))</f>
        <v>72.96</v>
      </c>
      <c r="J866" s="25">
        <f t="array" ref="J866">INDEX(I$5:I$67,MATCH($B866,$B$5:$B$67,0))</f>
        <v>784</v>
      </c>
      <c r="K866" s="25">
        <f t="array" ref="K866">INDEX(J$5:J$67,MATCH($B866,$B$5:$B$67,0))</f>
        <v>62.72</v>
      </c>
      <c r="L866" s="25">
        <f t="shared" si="615"/>
        <v>6888</v>
      </c>
      <c r="M866" s="25">
        <f t="shared" si="616"/>
        <v>1907</v>
      </c>
      <c r="N866" s="25">
        <f t="shared" si="617"/>
        <v>1496</v>
      </c>
      <c r="O866" s="25">
        <f t="shared" si="618"/>
        <v>1286</v>
      </c>
      <c r="R866" s="50"/>
      <c r="S866" s="51"/>
      <c r="T866" s="29"/>
    </row>
    <row r="867" spans="1:20">
      <c r="A867" s="53">
        <v>1014009</v>
      </c>
      <c r="B867" s="49" t="s">
        <v>341</v>
      </c>
      <c r="C867" s="25">
        <f t="shared" si="614"/>
        <v>9</v>
      </c>
      <c r="D867" s="25">
        <f t="array" ref="D867">INDEX(C$5:C$67,MATCH($B867,$B$5:$B$67,0))</f>
        <v>4200</v>
      </c>
      <c r="E867" s="25">
        <f t="array" ref="E867">INDEX(D$5:D$67,MATCH($B867,$B$5:$B$67,0))</f>
        <v>336</v>
      </c>
      <c r="F867" s="25">
        <f t="array" ref="F867">INDEX(E$5:E$67,MATCH($B867,$B$5:$B$67,0))</f>
        <v>1163</v>
      </c>
      <c r="G867" s="25">
        <f t="array" ref="G867">INDEX(F$5:F$67,MATCH($B867,$B$5:$B$67,0))</f>
        <v>93.04</v>
      </c>
      <c r="H867" s="25">
        <f t="array" ref="H867">INDEX(G$5:G$66,MATCH($B867,$B$5:$B$67,0))</f>
        <v>912</v>
      </c>
      <c r="I867" s="25">
        <f t="array" ref="I867">INDEX(H$5:H$67,MATCH($B867,$B$5:$B$67,0))</f>
        <v>72.96</v>
      </c>
      <c r="J867" s="25">
        <f t="array" ref="J867">INDEX(I$5:I$67,MATCH($B867,$B$5:$B$67,0))</f>
        <v>784</v>
      </c>
      <c r="K867" s="25">
        <f t="array" ref="K867">INDEX(J$5:J$67,MATCH($B867,$B$5:$B$67,0))</f>
        <v>62.72</v>
      </c>
      <c r="L867" s="25">
        <f t="shared" si="615"/>
        <v>7224</v>
      </c>
      <c r="M867" s="25">
        <f t="shared" si="616"/>
        <v>2000</v>
      </c>
      <c r="N867" s="25">
        <f t="shared" si="617"/>
        <v>1569</v>
      </c>
      <c r="O867" s="25">
        <f t="shared" si="618"/>
        <v>1348</v>
      </c>
      <c r="R867" s="50"/>
      <c r="S867" s="51"/>
      <c r="T867" s="29"/>
    </row>
    <row r="868" spans="1:20">
      <c r="A868" s="53">
        <v>1014010</v>
      </c>
      <c r="B868" s="49" t="s">
        <v>341</v>
      </c>
      <c r="C868" s="25">
        <f t="shared" si="614"/>
        <v>10</v>
      </c>
      <c r="D868" s="25">
        <f t="array" ref="D868">INDEX(C$5:C$67,MATCH($B868,$B$5:$B$67,0))</f>
        <v>4200</v>
      </c>
      <c r="E868" s="25">
        <f t="array" ref="E868">INDEX(D$5:D$67,MATCH($B868,$B$5:$B$67,0))</f>
        <v>336</v>
      </c>
      <c r="F868" s="25">
        <f t="array" ref="F868">INDEX(E$5:E$67,MATCH($B868,$B$5:$B$67,0))</f>
        <v>1163</v>
      </c>
      <c r="G868" s="25">
        <f t="array" ref="G868">INDEX(F$5:F$67,MATCH($B868,$B$5:$B$67,0))</f>
        <v>93.04</v>
      </c>
      <c r="H868" s="25">
        <f t="array" ref="H868">INDEX(G$5:G$66,MATCH($B868,$B$5:$B$67,0))</f>
        <v>912</v>
      </c>
      <c r="I868" s="25">
        <f t="array" ref="I868">INDEX(H$5:H$67,MATCH($B868,$B$5:$B$67,0))</f>
        <v>72.96</v>
      </c>
      <c r="J868" s="25">
        <f t="array" ref="J868">INDEX(I$5:I$67,MATCH($B868,$B$5:$B$67,0))</f>
        <v>784</v>
      </c>
      <c r="K868" s="25">
        <f t="array" ref="K868">INDEX(J$5:J$67,MATCH($B868,$B$5:$B$67,0))</f>
        <v>62.72</v>
      </c>
      <c r="L868" s="25">
        <f t="shared" si="615"/>
        <v>7560</v>
      </c>
      <c r="M868" s="25">
        <f t="shared" si="616"/>
        <v>2093</v>
      </c>
      <c r="N868" s="25">
        <f t="shared" si="617"/>
        <v>1642</v>
      </c>
      <c r="O868" s="25">
        <f t="shared" si="618"/>
        <v>1411</v>
      </c>
      <c r="R868" s="50"/>
      <c r="S868" s="51"/>
      <c r="T868" s="29"/>
    </row>
    <row r="869" spans="1:20">
      <c r="A869" s="53">
        <v>1014011</v>
      </c>
      <c r="B869" s="49" t="s">
        <v>341</v>
      </c>
      <c r="C869" s="25">
        <f t="shared" si="614"/>
        <v>11</v>
      </c>
      <c r="D869" s="25">
        <f t="array" ref="D869">INDEX(C$5:C$67,MATCH($B869,$B$5:$B$67,0))</f>
        <v>4200</v>
      </c>
      <c r="E869" s="25">
        <f t="array" ref="E869">INDEX(D$5:D$67,MATCH($B869,$B$5:$B$67,0))</f>
        <v>336</v>
      </c>
      <c r="F869" s="25">
        <f t="array" ref="F869">INDEX(E$5:E$67,MATCH($B869,$B$5:$B$67,0))</f>
        <v>1163</v>
      </c>
      <c r="G869" s="25">
        <f t="array" ref="G869">INDEX(F$5:F$67,MATCH($B869,$B$5:$B$67,0))</f>
        <v>93.04</v>
      </c>
      <c r="H869" s="25">
        <f t="array" ref="H869">INDEX(G$5:G$66,MATCH($B869,$B$5:$B$67,0))</f>
        <v>912</v>
      </c>
      <c r="I869" s="25">
        <f t="array" ref="I869">INDEX(H$5:H$67,MATCH($B869,$B$5:$B$67,0))</f>
        <v>72.96</v>
      </c>
      <c r="J869" s="25">
        <f t="array" ref="J869">INDEX(I$5:I$67,MATCH($B869,$B$5:$B$67,0))</f>
        <v>784</v>
      </c>
      <c r="K869" s="25">
        <f t="array" ref="K869">INDEX(J$5:J$67,MATCH($B869,$B$5:$B$67,0))</f>
        <v>62.72</v>
      </c>
      <c r="L869" s="25">
        <f t="shared" si="615"/>
        <v>7896</v>
      </c>
      <c r="M869" s="25">
        <f t="shared" si="616"/>
        <v>2186</v>
      </c>
      <c r="N869" s="25">
        <f t="shared" si="617"/>
        <v>1715</v>
      </c>
      <c r="O869" s="25">
        <f t="shared" si="618"/>
        <v>1474</v>
      </c>
      <c r="R869" s="50"/>
      <c r="S869" s="51"/>
      <c r="T869" s="29"/>
    </row>
    <row r="870" spans="1:20">
      <c r="A870" s="53">
        <v>1014012</v>
      </c>
      <c r="B870" s="49" t="s">
        <v>341</v>
      </c>
      <c r="C870" s="25">
        <f t="shared" si="614"/>
        <v>12</v>
      </c>
      <c r="D870" s="25">
        <f t="array" ref="D870">INDEX(C$5:C$67,MATCH($B870,$B$5:$B$67,0))</f>
        <v>4200</v>
      </c>
      <c r="E870" s="25">
        <f t="array" ref="E870">INDEX(D$5:D$67,MATCH($B870,$B$5:$B$67,0))</f>
        <v>336</v>
      </c>
      <c r="F870" s="25">
        <f t="array" ref="F870">INDEX(E$5:E$67,MATCH($B870,$B$5:$B$67,0))</f>
        <v>1163</v>
      </c>
      <c r="G870" s="25">
        <f t="array" ref="G870">INDEX(F$5:F$67,MATCH($B870,$B$5:$B$67,0))</f>
        <v>93.04</v>
      </c>
      <c r="H870" s="25">
        <f t="array" ref="H870">INDEX(G$5:G$66,MATCH($B870,$B$5:$B$67,0))</f>
        <v>912</v>
      </c>
      <c r="I870" s="25">
        <f t="array" ref="I870">INDEX(H$5:H$67,MATCH($B870,$B$5:$B$67,0))</f>
        <v>72.96</v>
      </c>
      <c r="J870" s="25">
        <f t="array" ref="J870">INDEX(I$5:I$67,MATCH($B870,$B$5:$B$67,0))</f>
        <v>784</v>
      </c>
      <c r="K870" s="25">
        <f t="array" ref="K870">INDEX(J$5:J$67,MATCH($B870,$B$5:$B$67,0))</f>
        <v>62.72</v>
      </c>
      <c r="L870" s="25">
        <f t="shared" si="615"/>
        <v>8232</v>
      </c>
      <c r="M870" s="25">
        <f t="shared" si="616"/>
        <v>2279</v>
      </c>
      <c r="N870" s="25">
        <f t="shared" si="617"/>
        <v>1788</v>
      </c>
      <c r="O870" s="25">
        <f t="shared" si="618"/>
        <v>1537</v>
      </c>
      <c r="R870" s="50"/>
      <c r="S870" s="51"/>
      <c r="T870" s="29"/>
    </row>
    <row r="871" spans="1:20">
      <c r="A871" s="53">
        <v>1014013</v>
      </c>
      <c r="B871" s="49" t="s">
        <v>341</v>
      </c>
      <c r="C871" s="25">
        <f t="shared" si="614"/>
        <v>13</v>
      </c>
      <c r="D871" s="25">
        <f t="array" ref="D871">INDEX(C$5:C$67,MATCH($B871,$B$5:$B$67,0))</f>
        <v>4200</v>
      </c>
      <c r="E871" s="25">
        <f t="array" ref="E871">INDEX(D$5:D$67,MATCH($B871,$B$5:$B$67,0))</f>
        <v>336</v>
      </c>
      <c r="F871" s="25">
        <f t="array" ref="F871">INDEX(E$5:E$67,MATCH($B871,$B$5:$B$67,0))</f>
        <v>1163</v>
      </c>
      <c r="G871" s="25">
        <f t="array" ref="G871">INDEX(F$5:F$67,MATCH($B871,$B$5:$B$67,0))</f>
        <v>93.04</v>
      </c>
      <c r="H871" s="25">
        <f t="array" ref="H871">INDEX(G$5:G$66,MATCH($B871,$B$5:$B$67,0))</f>
        <v>912</v>
      </c>
      <c r="I871" s="25">
        <f t="array" ref="I871">INDEX(H$5:H$67,MATCH($B871,$B$5:$B$67,0))</f>
        <v>72.96</v>
      </c>
      <c r="J871" s="25">
        <f t="array" ref="J871">INDEX(I$5:I$67,MATCH($B871,$B$5:$B$67,0))</f>
        <v>784</v>
      </c>
      <c r="K871" s="25">
        <f t="array" ref="K871">INDEX(J$5:J$67,MATCH($B871,$B$5:$B$67,0))</f>
        <v>62.72</v>
      </c>
      <c r="L871" s="25">
        <f t="shared" si="615"/>
        <v>8568</v>
      </c>
      <c r="M871" s="25">
        <f t="shared" si="616"/>
        <v>2373</v>
      </c>
      <c r="N871" s="25">
        <f t="shared" si="617"/>
        <v>1860</v>
      </c>
      <c r="O871" s="25">
        <f t="shared" si="618"/>
        <v>1599</v>
      </c>
      <c r="R871" s="50"/>
      <c r="S871" s="51"/>
      <c r="T871" s="29"/>
    </row>
    <row r="872" spans="1:20">
      <c r="A872" s="53">
        <v>1014014</v>
      </c>
      <c r="B872" s="49" t="s">
        <v>341</v>
      </c>
      <c r="C872" s="25">
        <f t="shared" si="614"/>
        <v>14</v>
      </c>
      <c r="D872" s="25">
        <f t="array" ref="D872">INDEX(C$5:C$67,MATCH($B872,$B$5:$B$67,0))</f>
        <v>4200</v>
      </c>
      <c r="E872" s="25">
        <f t="array" ref="E872">INDEX(D$5:D$67,MATCH($B872,$B$5:$B$67,0))</f>
        <v>336</v>
      </c>
      <c r="F872" s="25">
        <f t="array" ref="F872">INDEX(E$5:E$67,MATCH($B872,$B$5:$B$67,0))</f>
        <v>1163</v>
      </c>
      <c r="G872" s="25">
        <f t="array" ref="G872">INDEX(F$5:F$67,MATCH($B872,$B$5:$B$67,0))</f>
        <v>93.04</v>
      </c>
      <c r="H872" s="25">
        <f t="array" ref="H872">INDEX(G$5:G$66,MATCH($B872,$B$5:$B$67,0))</f>
        <v>912</v>
      </c>
      <c r="I872" s="25">
        <f t="array" ref="I872">INDEX(H$5:H$67,MATCH($B872,$B$5:$B$67,0))</f>
        <v>72.96</v>
      </c>
      <c r="J872" s="25">
        <f t="array" ref="J872">INDEX(I$5:I$67,MATCH($B872,$B$5:$B$67,0))</f>
        <v>784</v>
      </c>
      <c r="K872" s="25">
        <f t="array" ref="K872">INDEX(J$5:J$67,MATCH($B872,$B$5:$B$67,0))</f>
        <v>62.72</v>
      </c>
      <c r="L872" s="25">
        <f t="shared" si="615"/>
        <v>8904</v>
      </c>
      <c r="M872" s="25">
        <f t="shared" si="616"/>
        <v>2466</v>
      </c>
      <c r="N872" s="25">
        <f t="shared" si="617"/>
        <v>1933</v>
      </c>
      <c r="O872" s="25">
        <f t="shared" si="618"/>
        <v>1662</v>
      </c>
      <c r="R872" s="50"/>
      <c r="S872" s="51"/>
      <c r="T872" s="29"/>
    </row>
    <row r="873" spans="1:20">
      <c r="A873" s="53">
        <v>1014015</v>
      </c>
      <c r="B873" s="49" t="s">
        <v>341</v>
      </c>
      <c r="C873" s="25">
        <f t="shared" si="614"/>
        <v>15</v>
      </c>
      <c r="D873" s="25">
        <f t="array" ref="D873">INDEX(C$5:C$67,MATCH($B873,$B$5:$B$67,0))</f>
        <v>4200</v>
      </c>
      <c r="E873" s="25">
        <f t="array" ref="E873">INDEX(D$5:D$67,MATCH($B873,$B$5:$B$67,0))</f>
        <v>336</v>
      </c>
      <c r="F873" s="25">
        <f t="array" ref="F873">INDEX(E$5:E$67,MATCH($B873,$B$5:$B$67,0))</f>
        <v>1163</v>
      </c>
      <c r="G873" s="25">
        <f t="array" ref="G873">INDEX(F$5:F$67,MATCH($B873,$B$5:$B$67,0))</f>
        <v>93.04</v>
      </c>
      <c r="H873" s="25">
        <f t="array" ref="H873">INDEX(G$5:G$66,MATCH($B873,$B$5:$B$67,0))</f>
        <v>912</v>
      </c>
      <c r="I873" s="25">
        <f t="array" ref="I873">INDEX(H$5:H$67,MATCH($B873,$B$5:$B$67,0))</f>
        <v>72.96</v>
      </c>
      <c r="J873" s="25">
        <f t="array" ref="J873">INDEX(I$5:I$67,MATCH($B873,$B$5:$B$67,0))</f>
        <v>784</v>
      </c>
      <c r="K873" s="25">
        <f t="array" ref="K873">INDEX(J$5:J$67,MATCH($B873,$B$5:$B$67,0))</f>
        <v>62.72</v>
      </c>
      <c r="L873" s="25">
        <f t="shared" si="615"/>
        <v>9240</v>
      </c>
      <c r="M873" s="25">
        <f t="shared" si="616"/>
        <v>2559</v>
      </c>
      <c r="N873" s="25">
        <f t="shared" si="617"/>
        <v>2006</v>
      </c>
      <c r="O873" s="25">
        <f t="shared" si="618"/>
        <v>1725</v>
      </c>
      <c r="R873" s="50"/>
      <c r="S873" s="51"/>
      <c r="T873" s="29"/>
    </row>
    <row r="874" spans="1:20">
      <c r="A874" s="53">
        <v>1014016</v>
      </c>
      <c r="B874" s="49" t="s">
        <v>341</v>
      </c>
      <c r="C874" s="25">
        <f t="shared" si="614"/>
        <v>16</v>
      </c>
      <c r="D874" s="25">
        <f t="array" ref="D874">INDEX(C$5:C$67,MATCH($B874,$B$5:$B$67,0))</f>
        <v>4200</v>
      </c>
      <c r="E874" s="25">
        <f t="array" ref="E874">INDEX(D$5:D$67,MATCH($B874,$B$5:$B$67,0))</f>
        <v>336</v>
      </c>
      <c r="F874" s="25">
        <f t="array" ref="F874">INDEX(E$5:E$67,MATCH($B874,$B$5:$B$67,0))</f>
        <v>1163</v>
      </c>
      <c r="G874" s="25">
        <f t="array" ref="G874">INDEX(F$5:F$67,MATCH($B874,$B$5:$B$67,0))</f>
        <v>93.04</v>
      </c>
      <c r="H874" s="25">
        <f t="array" ref="H874">INDEX(G$5:G$66,MATCH($B874,$B$5:$B$67,0))</f>
        <v>912</v>
      </c>
      <c r="I874" s="25">
        <f t="array" ref="I874">INDEX(H$5:H$67,MATCH($B874,$B$5:$B$67,0))</f>
        <v>72.96</v>
      </c>
      <c r="J874" s="25">
        <f t="array" ref="J874">INDEX(I$5:I$67,MATCH($B874,$B$5:$B$67,0))</f>
        <v>784</v>
      </c>
      <c r="K874" s="25">
        <f t="array" ref="K874">INDEX(J$5:J$67,MATCH($B874,$B$5:$B$67,0))</f>
        <v>62.72</v>
      </c>
      <c r="L874" s="25">
        <f t="shared" si="615"/>
        <v>9576</v>
      </c>
      <c r="M874" s="25">
        <f t="shared" si="616"/>
        <v>2652</v>
      </c>
      <c r="N874" s="25">
        <f t="shared" si="617"/>
        <v>2079</v>
      </c>
      <c r="O874" s="25">
        <f t="shared" si="618"/>
        <v>1788</v>
      </c>
      <c r="R874" s="50"/>
      <c r="S874" s="51"/>
      <c r="T874" s="29"/>
    </row>
    <row r="875" spans="1:20">
      <c r="A875" s="53">
        <v>1014017</v>
      </c>
      <c r="B875" s="49" t="s">
        <v>341</v>
      </c>
      <c r="C875" s="25">
        <f t="shared" si="614"/>
        <v>17</v>
      </c>
      <c r="D875" s="25">
        <f t="array" ref="D875">INDEX(C$5:C$67,MATCH($B875,$B$5:$B$67,0))</f>
        <v>4200</v>
      </c>
      <c r="E875" s="25">
        <f t="array" ref="E875">INDEX(D$5:D$67,MATCH($B875,$B$5:$B$67,0))</f>
        <v>336</v>
      </c>
      <c r="F875" s="25">
        <f t="array" ref="F875">INDEX(E$5:E$67,MATCH($B875,$B$5:$B$67,0))</f>
        <v>1163</v>
      </c>
      <c r="G875" s="25">
        <f t="array" ref="G875">INDEX(F$5:F$67,MATCH($B875,$B$5:$B$67,0))</f>
        <v>93.04</v>
      </c>
      <c r="H875" s="25">
        <f t="array" ref="H875">INDEX(G$5:G$66,MATCH($B875,$B$5:$B$67,0))</f>
        <v>912</v>
      </c>
      <c r="I875" s="25">
        <f t="array" ref="I875">INDEX(H$5:H$67,MATCH($B875,$B$5:$B$67,0))</f>
        <v>72.96</v>
      </c>
      <c r="J875" s="25">
        <f t="array" ref="J875">INDEX(I$5:I$67,MATCH($B875,$B$5:$B$67,0))</f>
        <v>784</v>
      </c>
      <c r="K875" s="25">
        <f t="array" ref="K875">INDEX(J$5:J$67,MATCH($B875,$B$5:$B$67,0))</f>
        <v>62.72</v>
      </c>
      <c r="L875" s="25">
        <f t="shared" si="615"/>
        <v>9912</v>
      </c>
      <c r="M875" s="25">
        <f t="shared" si="616"/>
        <v>2745</v>
      </c>
      <c r="N875" s="25">
        <f t="shared" si="617"/>
        <v>2152</v>
      </c>
      <c r="O875" s="25">
        <f t="shared" si="618"/>
        <v>1850</v>
      </c>
      <c r="R875" s="50"/>
      <c r="S875" s="51"/>
      <c r="T875" s="29"/>
    </row>
    <row r="876" spans="1:20">
      <c r="A876" s="53">
        <v>1014018</v>
      </c>
      <c r="B876" s="49" t="s">
        <v>341</v>
      </c>
      <c r="C876" s="25">
        <f t="shared" si="614"/>
        <v>18</v>
      </c>
      <c r="D876" s="25">
        <f t="array" ref="D876">INDEX(C$5:C$67,MATCH($B876,$B$5:$B$67,0))</f>
        <v>4200</v>
      </c>
      <c r="E876" s="25">
        <f t="array" ref="E876">INDEX(D$5:D$67,MATCH($B876,$B$5:$B$67,0))</f>
        <v>336</v>
      </c>
      <c r="F876" s="25">
        <f t="array" ref="F876">INDEX(E$5:E$67,MATCH($B876,$B$5:$B$67,0))</f>
        <v>1163</v>
      </c>
      <c r="G876" s="25">
        <f t="array" ref="G876">INDEX(F$5:F$67,MATCH($B876,$B$5:$B$67,0))</f>
        <v>93.04</v>
      </c>
      <c r="H876" s="25">
        <f t="array" ref="H876">INDEX(G$5:G$66,MATCH($B876,$B$5:$B$67,0))</f>
        <v>912</v>
      </c>
      <c r="I876" s="25">
        <f t="array" ref="I876">INDEX(H$5:H$67,MATCH($B876,$B$5:$B$67,0))</f>
        <v>72.96</v>
      </c>
      <c r="J876" s="25">
        <f t="array" ref="J876">INDEX(I$5:I$67,MATCH($B876,$B$5:$B$67,0))</f>
        <v>784</v>
      </c>
      <c r="K876" s="25">
        <f t="array" ref="K876">INDEX(J$5:J$67,MATCH($B876,$B$5:$B$67,0))</f>
        <v>62.72</v>
      </c>
      <c r="L876" s="25">
        <f t="shared" si="615"/>
        <v>10248</v>
      </c>
      <c r="M876" s="25">
        <f t="shared" si="616"/>
        <v>2838</v>
      </c>
      <c r="N876" s="25">
        <f t="shared" si="617"/>
        <v>2225</v>
      </c>
      <c r="O876" s="25">
        <f t="shared" si="618"/>
        <v>1913</v>
      </c>
      <c r="R876" s="50"/>
      <c r="S876" s="51"/>
      <c r="T876" s="29"/>
    </row>
    <row r="877" spans="1:20">
      <c r="A877" s="53">
        <v>1014019</v>
      </c>
      <c r="B877" s="49" t="s">
        <v>341</v>
      </c>
      <c r="C877" s="25">
        <f t="shared" si="614"/>
        <v>19</v>
      </c>
      <c r="D877" s="25">
        <f t="array" ref="D877">INDEX(C$5:C$67,MATCH($B877,$B$5:$B$67,0))</f>
        <v>4200</v>
      </c>
      <c r="E877" s="25">
        <f t="array" ref="E877">INDEX(D$5:D$67,MATCH($B877,$B$5:$B$67,0))</f>
        <v>336</v>
      </c>
      <c r="F877" s="25">
        <f t="array" ref="F877">INDEX(E$5:E$67,MATCH($B877,$B$5:$B$67,0))</f>
        <v>1163</v>
      </c>
      <c r="G877" s="25">
        <f t="array" ref="G877">INDEX(F$5:F$67,MATCH($B877,$B$5:$B$67,0))</f>
        <v>93.04</v>
      </c>
      <c r="H877" s="25">
        <f t="array" ref="H877">INDEX(G$5:G$66,MATCH($B877,$B$5:$B$67,0))</f>
        <v>912</v>
      </c>
      <c r="I877" s="25">
        <f t="array" ref="I877">INDEX(H$5:H$67,MATCH($B877,$B$5:$B$67,0))</f>
        <v>72.96</v>
      </c>
      <c r="J877" s="25">
        <f t="array" ref="J877">INDEX(I$5:I$67,MATCH($B877,$B$5:$B$67,0))</f>
        <v>784</v>
      </c>
      <c r="K877" s="25">
        <f t="array" ref="K877">INDEX(J$5:J$67,MATCH($B877,$B$5:$B$67,0))</f>
        <v>62.72</v>
      </c>
      <c r="L877" s="25">
        <f t="shared" si="615"/>
        <v>10584</v>
      </c>
      <c r="M877" s="25">
        <f t="shared" si="616"/>
        <v>2931</v>
      </c>
      <c r="N877" s="25">
        <f t="shared" si="617"/>
        <v>2298</v>
      </c>
      <c r="O877" s="25">
        <f t="shared" si="618"/>
        <v>1976</v>
      </c>
      <c r="R877" s="50"/>
      <c r="S877" s="51"/>
      <c r="T877" s="29"/>
    </row>
    <row r="878" spans="1:20">
      <c r="A878" s="53">
        <v>1014020</v>
      </c>
      <c r="B878" s="49" t="s">
        <v>341</v>
      </c>
      <c r="C878" s="25">
        <f t="shared" si="614"/>
        <v>20</v>
      </c>
      <c r="D878" s="25">
        <f t="array" ref="D878">INDEX(C$5:C$67,MATCH($B878,$B$5:$B$67,0))</f>
        <v>4200</v>
      </c>
      <c r="E878" s="25">
        <f t="array" ref="E878">INDEX(D$5:D$67,MATCH($B878,$B$5:$B$67,0))</f>
        <v>336</v>
      </c>
      <c r="F878" s="25">
        <f t="array" ref="F878">INDEX(E$5:E$67,MATCH($B878,$B$5:$B$67,0))</f>
        <v>1163</v>
      </c>
      <c r="G878" s="25">
        <f t="array" ref="G878">INDEX(F$5:F$67,MATCH($B878,$B$5:$B$67,0))</f>
        <v>93.04</v>
      </c>
      <c r="H878" s="25">
        <f t="array" ref="H878">INDEX(G$5:G$66,MATCH($B878,$B$5:$B$67,0))</f>
        <v>912</v>
      </c>
      <c r="I878" s="25">
        <f t="array" ref="I878">INDEX(H$5:H$67,MATCH($B878,$B$5:$B$67,0))</f>
        <v>72.96</v>
      </c>
      <c r="J878" s="25">
        <f t="array" ref="J878">INDEX(I$5:I$67,MATCH($B878,$B$5:$B$67,0))</f>
        <v>784</v>
      </c>
      <c r="K878" s="25">
        <f t="array" ref="K878">INDEX(J$5:J$67,MATCH($B878,$B$5:$B$67,0))</f>
        <v>62.72</v>
      </c>
      <c r="L878" s="25">
        <f t="shared" si="615"/>
        <v>10920</v>
      </c>
      <c r="M878" s="25">
        <f t="shared" si="616"/>
        <v>3024</v>
      </c>
      <c r="N878" s="25">
        <f t="shared" si="617"/>
        <v>2371</v>
      </c>
      <c r="O878" s="25">
        <f t="shared" si="618"/>
        <v>2038</v>
      </c>
      <c r="R878" s="50"/>
      <c r="S878" s="51"/>
      <c r="T878" s="29"/>
    </row>
    <row r="879" spans="1:20">
      <c r="A879" s="53">
        <v>1014021</v>
      </c>
      <c r="B879" s="49" t="s">
        <v>341</v>
      </c>
      <c r="C879" s="25">
        <f t="shared" si="614"/>
        <v>21</v>
      </c>
      <c r="D879" s="25">
        <f t="array" ref="D879">INDEX(C$5:C$67,MATCH($B879,$B$5:$B$67,0))</f>
        <v>4200</v>
      </c>
      <c r="E879" s="25">
        <f t="array" ref="E879">INDEX(D$5:D$67,MATCH($B879,$B$5:$B$67,0))</f>
        <v>336</v>
      </c>
      <c r="F879" s="25">
        <f t="array" ref="F879">INDEX(E$5:E$67,MATCH($B879,$B$5:$B$67,0))</f>
        <v>1163</v>
      </c>
      <c r="G879" s="25">
        <f t="array" ref="G879">INDEX(F$5:F$67,MATCH($B879,$B$5:$B$67,0))</f>
        <v>93.04</v>
      </c>
      <c r="H879" s="25">
        <f t="array" ref="H879">INDEX(G$5:G$66,MATCH($B879,$B$5:$B$67,0))</f>
        <v>912</v>
      </c>
      <c r="I879" s="25">
        <f t="array" ref="I879">INDEX(H$5:H$67,MATCH($B879,$B$5:$B$67,0))</f>
        <v>72.96</v>
      </c>
      <c r="J879" s="25">
        <f t="array" ref="J879">INDEX(I$5:I$67,MATCH($B879,$B$5:$B$67,0))</f>
        <v>784</v>
      </c>
      <c r="K879" s="25">
        <f t="array" ref="K879">INDEX(J$5:J$67,MATCH($B879,$B$5:$B$67,0))</f>
        <v>62.72</v>
      </c>
      <c r="L879" s="25">
        <f t="shared" si="615"/>
        <v>11256</v>
      </c>
      <c r="M879" s="25">
        <f t="shared" si="616"/>
        <v>3117</v>
      </c>
      <c r="N879" s="25">
        <f t="shared" si="617"/>
        <v>2444</v>
      </c>
      <c r="O879" s="25">
        <f t="shared" si="618"/>
        <v>2101</v>
      </c>
      <c r="R879" s="50"/>
      <c r="S879" s="51"/>
      <c r="T879" s="29"/>
    </row>
    <row r="880" spans="1:20">
      <c r="A880" s="53">
        <v>1014022</v>
      </c>
      <c r="B880" s="49" t="s">
        <v>341</v>
      </c>
      <c r="C880" s="25">
        <f t="shared" si="614"/>
        <v>22</v>
      </c>
      <c r="D880" s="25">
        <f t="array" ref="D880">INDEX(C$5:C$67,MATCH($B880,$B$5:$B$67,0))</f>
        <v>4200</v>
      </c>
      <c r="E880" s="25">
        <f t="array" ref="E880">INDEX(D$5:D$67,MATCH($B880,$B$5:$B$67,0))</f>
        <v>336</v>
      </c>
      <c r="F880" s="25">
        <f t="array" ref="F880">INDEX(E$5:E$67,MATCH($B880,$B$5:$B$67,0))</f>
        <v>1163</v>
      </c>
      <c r="G880" s="25">
        <f t="array" ref="G880">INDEX(F$5:F$67,MATCH($B880,$B$5:$B$67,0))</f>
        <v>93.04</v>
      </c>
      <c r="H880" s="25">
        <f t="array" ref="H880">INDEX(G$5:G$66,MATCH($B880,$B$5:$B$67,0))</f>
        <v>912</v>
      </c>
      <c r="I880" s="25">
        <f t="array" ref="I880">INDEX(H$5:H$67,MATCH($B880,$B$5:$B$67,0))</f>
        <v>72.96</v>
      </c>
      <c r="J880" s="25">
        <f t="array" ref="J880">INDEX(I$5:I$67,MATCH($B880,$B$5:$B$67,0))</f>
        <v>784</v>
      </c>
      <c r="K880" s="25">
        <f t="array" ref="K880">INDEX(J$5:J$67,MATCH($B880,$B$5:$B$67,0))</f>
        <v>62.72</v>
      </c>
      <c r="L880" s="25">
        <f t="shared" si="615"/>
        <v>11592</v>
      </c>
      <c r="M880" s="25">
        <f t="shared" si="616"/>
        <v>3210</v>
      </c>
      <c r="N880" s="25">
        <f t="shared" si="617"/>
        <v>2517</v>
      </c>
      <c r="O880" s="25">
        <f t="shared" si="618"/>
        <v>2164</v>
      </c>
      <c r="R880" s="50"/>
      <c r="S880" s="51"/>
      <c r="T880" s="29"/>
    </row>
    <row r="881" spans="1:20">
      <c r="A881" s="53">
        <v>1014023</v>
      </c>
      <c r="B881" s="49" t="s">
        <v>341</v>
      </c>
      <c r="C881" s="25">
        <f t="shared" si="614"/>
        <v>23</v>
      </c>
      <c r="D881" s="25">
        <f t="array" ref="D881">INDEX(C$5:C$67,MATCH($B881,$B$5:$B$67,0))</f>
        <v>4200</v>
      </c>
      <c r="E881" s="25">
        <f t="array" ref="E881">INDEX(D$5:D$67,MATCH($B881,$B$5:$B$67,0))</f>
        <v>336</v>
      </c>
      <c r="F881" s="25">
        <f t="array" ref="F881">INDEX(E$5:E$67,MATCH($B881,$B$5:$B$67,0))</f>
        <v>1163</v>
      </c>
      <c r="G881" s="25">
        <f t="array" ref="G881">INDEX(F$5:F$67,MATCH($B881,$B$5:$B$67,0))</f>
        <v>93.04</v>
      </c>
      <c r="H881" s="25">
        <f t="array" ref="H881">INDEX(G$5:G$66,MATCH($B881,$B$5:$B$67,0))</f>
        <v>912</v>
      </c>
      <c r="I881" s="25">
        <f t="array" ref="I881">INDEX(H$5:H$67,MATCH($B881,$B$5:$B$67,0))</f>
        <v>72.96</v>
      </c>
      <c r="J881" s="25">
        <f t="array" ref="J881">INDEX(I$5:I$67,MATCH($B881,$B$5:$B$67,0))</f>
        <v>784</v>
      </c>
      <c r="K881" s="25">
        <f t="array" ref="K881">INDEX(J$5:J$67,MATCH($B881,$B$5:$B$67,0))</f>
        <v>62.72</v>
      </c>
      <c r="L881" s="25">
        <f t="shared" si="615"/>
        <v>11928</v>
      </c>
      <c r="M881" s="25">
        <f t="shared" si="616"/>
        <v>3303</v>
      </c>
      <c r="N881" s="25">
        <f t="shared" si="617"/>
        <v>2590</v>
      </c>
      <c r="O881" s="25">
        <f t="shared" si="618"/>
        <v>2227</v>
      </c>
      <c r="R881" s="50"/>
      <c r="S881" s="51"/>
      <c r="T881" s="29"/>
    </row>
    <row r="882" spans="1:20">
      <c r="A882" s="53">
        <v>1014024</v>
      </c>
      <c r="B882" s="49" t="s">
        <v>341</v>
      </c>
      <c r="C882" s="25">
        <f t="shared" si="614"/>
        <v>24</v>
      </c>
      <c r="D882" s="25">
        <f t="array" ref="D882">INDEX(C$5:C$67,MATCH($B882,$B$5:$B$67,0))</f>
        <v>4200</v>
      </c>
      <c r="E882" s="25">
        <f t="array" ref="E882">INDEX(D$5:D$67,MATCH($B882,$B$5:$B$67,0))</f>
        <v>336</v>
      </c>
      <c r="F882" s="25">
        <f t="array" ref="F882">INDEX(E$5:E$67,MATCH($B882,$B$5:$B$67,0))</f>
        <v>1163</v>
      </c>
      <c r="G882" s="25">
        <f t="array" ref="G882">INDEX(F$5:F$67,MATCH($B882,$B$5:$B$67,0))</f>
        <v>93.04</v>
      </c>
      <c r="H882" s="25">
        <f t="array" ref="H882">INDEX(G$5:G$66,MATCH($B882,$B$5:$B$67,0))</f>
        <v>912</v>
      </c>
      <c r="I882" s="25">
        <f t="array" ref="I882">INDEX(H$5:H$67,MATCH($B882,$B$5:$B$67,0))</f>
        <v>72.96</v>
      </c>
      <c r="J882" s="25">
        <f t="array" ref="J882">INDEX(I$5:I$67,MATCH($B882,$B$5:$B$67,0))</f>
        <v>784</v>
      </c>
      <c r="K882" s="25">
        <f t="array" ref="K882">INDEX(J$5:J$67,MATCH($B882,$B$5:$B$67,0))</f>
        <v>62.72</v>
      </c>
      <c r="L882" s="25">
        <f t="shared" si="615"/>
        <v>12264</v>
      </c>
      <c r="M882" s="25">
        <f t="shared" si="616"/>
        <v>3396</v>
      </c>
      <c r="N882" s="25">
        <f t="shared" si="617"/>
        <v>2663</v>
      </c>
      <c r="O882" s="25">
        <f t="shared" si="618"/>
        <v>2289</v>
      </c>
      <c r="R882" s="50"/>
      <c r="S882" s="51"/>
      <c r="T882" s="29"/>
    </row>
    <row r="883" spans="1:20">
      <c r="A883" s="53">
        <v>1014025</v>
      </c>
      <c r="B883" s="49" t="s">
        <v>341</v>
      </c>
      <c r="C883" s="25">
        <f t="shared" si="614"/>
        <v>25</v>
      </c>
      <c r="D883" s="25">
        <f t="array" ref="D883">INDEX(C$5:C$67,MATCH($B883,$B$5:$B$67,0))</f>
        <v>4200</v>
      </c>
      <c r="E883" s="25">
        <f t="array" ref="E883">INDEX(D$5:D$67,MATCH($B883,$B$5:$B$67,0))</f>
        <v>336</v>
      </c>
      <c r="F883" s="25">
        <f t="array" ref="F883">INDEX(E$5:E$67,MATCH($B883,$B$5:$B$67,0))</f>
        <v>1163</v>
      </c>
      <c r="G883" s="25">
        <f t="array" ref="G883">INDEX(F$5:F$67,MATCH($B883,$B$5:$B$67,0))</f>
        <v>93.04</v>
      </c>
      <c r="H883" s="25">
        <f t="array" ref="H883">INDEX(G$5:G$66,MATCH($B883,$B$5:$B$67,0))</f>
        <v>912</v>
      </c>
      <c r="I883" s="25">
        <f t="array" ref="I883">INDEX(H$5:H$67,MATCH($B883,$B$5:$B$67,0))</f>
        <v>72.96</v>
      </c>
      <c r="J883" s="25">
        <f t="array" ref="J883">INDEX(I$5:I$67,MATCH($B883,$B$5:$B$67,0))</f>
        <v>784</v>
      </c>
      <c r="K883" s="25">
        <f t="array" ref="K883">INDEX(J$5:J$67,MATCH($B883,$B$5:$B$67,0))</f>
        <v>62.72</v>
      </c>
      <c r="L883" s="25">
        <f t="shared" si="615"/>
        <v>12600</v>
      </c>
      <c r="M883" s="25">
        <f t="shared" si="616"/>
        <v>3489</v>
      </c>
      <c r="N883" s="25">
        <f t="shared" si="617"/>
        <v>2736</v>
      </c>
      <c r="O883" s="25">
        <f t="shared" si="618"/>
        <v>2352</v>
      </c>
      <c r="R883" s="50"/>
      <c r="S883" s="51"/>
      <c r="T883" s="29"/>
    </row>
    <row r="884" spans="1:20">
      <c r="A884" s="53">
        <v>1014026</v>
      </c>
      <c r="B884" s="49" t="s">
        <v>341</v>
      </c>
      <c r="C884" s="25">
        <f t="shared" si="614"/>
        <v>26</v>
      </c>
      <c r="D884" s="25">
        <f t="array" ref="D884">INDEX(C$5:C$67,MATCH($B884,$B$5:$B$67,0))</f>
        <v>4200</v>
      </c>
      <c r="E884" s="25">
        <f t="array" ref="E884">INDEX(D$5:D$67,MATCH($B884,$B$5:$B$67,0))</f>
        <v>336</v>
      </c>
      <c r="F884" s="25">
        <f t="array" ref="F884">INDEX(E$5:E$67,MATCH($B884,$B$5:$B$67,0))</f>
        <v>1163</v>
      </c>
      <c r="G884" s="25">
        <f t="array" ref="G884">INDEX(F$5:F$67,MATCH($B884,$B$5:$B$67,0))</f>
        <v>93.04</v>
      </c>
      <c r="H884" s="25">
        <f t="array" ref="H884">INDEX(G$5:G$66,MATCH($B884,$B$5:$B$67,0))</f>
        <v>912</v>
      </c>
      <c r="I884" s="25">
        <f t="array" ref="I884">INDEX(H$5:H$67,MATCH($B884,$B$5:$B$67,0))</f>
        <v>72.96</v>
      </c>
      <c r="J884" s="25">
        <f t="array" ref="J884">INDEX(I$5:I$67,MATCH($B884,$B$5:$B$67,0))</f>
        <v>784</v>
      </c>
      <c r="K884" s="25">
        <f t="array" ref="K884">INDEX(J$5:J$67,MATCH($B884,$B$5:$B$67,0))</f>
        <v>62.72</v>
      </c>
      <c r="L884" s="25">
        <f t="shared" si="615"/>
        <v>12936</v>
      </c>
      <c r="M884" s="25">
        <f t="shared" si="616"/>
        <v>3582</v>
      </c>
      <c r="N884" s="25">
        <f t="shared" si="617"/>
        <v>2809</v>
      </c>
      <c r="O884" s="25">
        <f t="shared" si="618"/>
        <v>2415</v>
      </c>
      <c r="R884" s="50"/>
      <c r="S884" s="51"/>
      <c r="T884" s="29"/>
    </row>
    <row r="885" spans="1:20">
      <c r="A885" s="53">
        <v>1014027</v>
      </c>
      <c r="B885" s="49" t="s">
        <v>341</v>
      </c>
      <c r="C885" s="25">
        <f t="shared" si="614"/>
        <v>27</v>
      </c>
      <c r="D885" s="25">
        <f t="array" ref="D885">INDEX(C$5:C$67,MATCH($B885,$B$5:$B$67,0))</f>
        <v>4200</v>
      </c>
      <c r="E885" s="25">
        <f t="array" ref="E885">INDEX(D$5:D$67,MATCH($B885,$B$5:$B$67,0))</f>
        <v>336</v>
      </c>
      <c r="F885" s="25">
        <f t="array" ref="F885">INDEX(E$5:E$67,MATCH($B885,$B$5:$B$67,0))</f>
        <v>1163</v>
      </c>
      <c r="G885" s="25">
        <f t="array" ref="G885">INDEX(F$5:F$67,MATCH($B885,$B$5:$B$67,0))</f>
        <v>93.04</v>
      </c>
      <c r="H885" s="25">
        <f t="array" ref="H885">INDEX(G$5:G$66,MATCH($B885,$B$5:$B$67,0))</f>
        <v>912</v>
      </c>
      <c r="I885" s="25">
        <f t="array" ref="I885">INDEX(H$5:H$67,MATCH($B885,$B$5:$B$67,0))</f>
        <v>72.96</v>
      </c>
      <c r="J885" s="25">
        <f t="array" ref="J885">INDEX(I$5:I$67,MATCH($B885,$B$5:$B$67,0))</f>
        <v>784</v>
      </c>
      <c r="K885" s="25">
        <f t="array" ref="K885">INDEX(J$5:J$67,MATCH($B885,$B$5:$B$67,0))</f>
        <v>62.72</v>
      </c>
      <c r="L885" s="25">
        <f t="shared" si="615"/>
        <v>13272</v>
      </c>
      <c r="M885" s="25">
        <f t="shared" si="616"/>
        <v>3675</v>
      </c>
      <c r="N885" s="25">
        <f t="shared" si="617"/>
        <v>2882</v>
      </c>
      <c r="O885" s="25">
        <f t="shared" si="618"/>
        <v>2477</v>
      </c>
      <c r="R885" s="50"/>
      <c r="S885" s="51"/>
      <c r="T885" s="29"/>
    </row>
    <row r="886" spans="1:20">
      <c r="A886" s="53">
        <v>1014028</v>
      </c>
      <c r="B886" s="49" t="s">
        <v>341</v>
      </c>
      <c r="C886" s="25">
        <f t="shared" si="614"/>
        <v>28</v>
      </c>
      <c r="D886" s="25">
        <f t="array" ref="D886">INDEX(C$5:C$67,MATCH($B886,$B$5:$B$67,0))</f>
        <v>4200</v>
      </c>
      <c r="E886" s="25">
        <f t="array" ref="E886">INDEX(D$5:D$67,MATCH($B886,$B$5:$B$67,0))</f>
        <v>336</v>
      </c>
      <c r="F886" s="25">
        <f t="array" ref="F886">INDEX(E$5:E$67,MATCH($B886,$B$5:$B$67,0))</f>
        <v>1163</v>
      </c>
      <c r="G886" s="25">
        <f t="array" ref="G886">INDEX(F$5:F$67,MATCH($B886,$B$5:$B$67,0))</f>
        <v>93.04</v>
      </c>
      <c r="H886" s="25">
        <f t="array" ref="H886">INDEX(G$5:G$66,MATCH($B886,$B$5:$B$67,0))</f>
        <v>912</v>
      </c>
      <c r="I886" s="25">
        <f t="array" ref="I886">INDEX(H$5:H$67,MATCH($B886,$B$5:$B$67,0))</f>
        <v>72.96</v>
      </c>
      <c r="J886" s="25">
        <f t="array" ref="J886">INDEX(I$5:I$67,MATCH($B886,$B$5:$B$67,0))</f>
        <v>784</v>
      </c>
      <c r="K886" s="25">
        <f t="array" ref="K886">INDEX(J$5:J$67,MATCH($B886,$B$5:$B$67,0))</f>
        <v>62.72</v>
      </c>
      <c r="L886" s="25">
        <f t="shared" si="615"/>
        <v>13608</v>
      </c>
      <c r="M886" s="25">
        <f t="shared" si="616"/>
        <v>3768</v>
      </c>
      <c r="N886" s="25">
        <f t="shared" si="617"/>
        <v>2955</v>
      </c>
      <c r="O886" s="25">
        <f t="shared" si="618"/>
        <v>2540</v>
      </c>
      <c r="R886" s="50"/>
      <c r="S886" s="51"/>
      <c r="T886" s="29"/>
    </row>
    <row r="887" spans="1:20">
      <c r="A887" s="53">
        <v>1014029</v>
      </c>
      <c r="B887" s="49" t="s">
        <v>341</v>
      </c>
      <c r="C887" s="25">
        <f t="shared" si="614"/>
        <v>29</v>
      </c>
      <c r="D887" s="25">
        <f t="array" ref="D887">INDEX(C$5:C$67,MATCH($B887,$B$5:$B$67,0))</f>
        <v>4200</v>
      </c>
      <c r="E887" s="25">
        <f t="array" ref="E887">INDEX(D$5:D$67,MATCH($B887,$B$5:$B$67,0))</f>
        <v>336</v>
      </c>
      <c r="F887" s="25">
        <f t="array" ref="F887">INDEX(E$5:E$67,MATCH($B887,$B$5:$B$67,0))</f>
        <v>1163</v>
      </c>
      <c r="G887" s="25">
        <f t="array" ref="G887">INDEX(F$5:F$67,MATCH($B887,$B$5:$B$67,0))</f>
        <v>93.04</v>
      </c>
      <c r="H887" s="25">
        <f t="array" ref="H887">INDEX(G$5:G$66,MATCH($B887,$B$5:$B$67,0))</f>
        <v>912</v>
      </c>
      <c r="I887" s="25">
        <f t="array" ref="I887">INDEX(H$5:H$67,MATCH($B887,$B$5:$B$67,0))</f>
        <v>72.96</v>
      </c>
      <c r="J887" s="25">
        <f t="array" ref="J887">INDEX(I$5:I$67,MATCH($B887,$B$5:$B$67,0))</f>
        <v>784</v>
      </c>
      <c r="K887" s="25">
        <f t="array" ref="K887">INDEX(J$5:J$67,MATCH($B887,$B$5:$B$67,0))</f>
        <v>62.72</v>
      </c>
      <c r="L887" s="25">
        <f t="shared" si="615"/>
        <v>13944</v>
      </c>
      <c r="M887" s="25">
        <f t="shared" si="616"/>
        <v>3861</v>
      </c>
      <c r="N887" s="25">
        <f t="shared" si="617"/>
        <v>3028</v>
      </c>
      <c r="O887" s="25">
        <f t="shared" si="618"/>
        <v>2603</v>
      </c>
      <c r="R887" s="50"/>
      <c r="S887" s="51"/>
      <c r="T887" s="29"/>
    </row>
    <row r="888" spans="1:20">
      <c r="A888" s="53">
        <v>1014030</v>
      </c>
      <c r="B888" s="49" t="s">
        <v>341</v>
      </c>
      <c r="C888" s="25">
        <f t="shared" si="614"/>
        <v>30</v>
      </c>
      <c r="D888" s="25">
        <f t="array" ref="D888">INDEX(C$5:C$67,MATCH($B888,$B$5:$B$67,0))</f>
        <v>4200</v>
      </c>
      <c r="E888" s="25">
        <f t="array" ref="E888">INDEX(D$5:D$67,MATCH($B888,$B$5:$B$67,0))</f>
        <v>336</v>
      </c>
      <c r="F888" s="25">
        <f t="array" ref="F888">INDEX(E$5:E$67,MATCH($B888,$B$5:$B$67,0))</f>
        <v>1163</v>
      </c>
      <c r="G888" s="25">
        <f t="array" ref="G888">INDEX(F$5:F$67,MATCH($B888,$B$5:$B$67,0))</f>
        <v>93.04</v>
      </c>
      <c r="H888" s="25">
        <f t="array" ref="H888">INDEX(G$5:G$66,MATCH($B888,$B$5:$B$67,0))</f>
        <v>912</v>
      </c>
      <c r="I888" s="25">
        <f t="array" ref="I888">INDEX(H$5:H$67,MATCH($B888,$B$5:$B$67,0))</f>
        <v>72.96</v>
      </c>
      <c r="J888" s="25">
        <f t="array" ref="J888">INDEX(I$5:I$67,MATCH($B888,$B$5:$B$67,0))</f>
        <v>784</v>
      </c>
      <c r="K888" s="25">
        <f t="array" ref="K888">INDEX(J$5:J$67,MATCH($B888,$B$5:$B$67,0))</f>
        <v>62.72</v>
      </c>
      <c r="L888" s="25">
        <f t="shared" si="615"/>
        <v>14280</v>
      </c>
      <c r="M888" s="25">
        <f t="shared" si="616"/>
        <v>3954</v>
      </c>
      <c r="N888" s="25">
        <f t="shared" si="617"/>
        <v>3101</v>
      </c>
      <c r="O888" s="25">
        <f t="shared" si="618"/>
        <v>2666</v>
      </c>
      <c r="R888" s="50"/>
      <c r="S888" s="51"/>
      <c r="T888" s="29"/>
    </row>
    <row r="889" spans="1:20">
      <c r="A889" s="53">
        <v>1014031</v>
      </c>
      <c r="B889" s="49" t="s">
        <v>341</v>
      </c>
      <c r="C889" s="25">
        <f t="shared" si="614"/>
        <v>31</v>
      </c>
      <c r="D889" s="25">
        <f t="array" ref="D889">INDEX(C$5:C$67,MATCH($B889,$B$5:$B$67,0))</f>
        <v>4200</v>
      </c>
      <c r="E889" s="25">
        <f t="array" ref="E889">INDEX(D$5:D$67,MATCH($B889,$B$5:$B$67,0))</f>
        <v>336</v>
      </c>
      <c r="F889" s="25">
        <f t="array" ref="F889">INDEX(E$5:E$67,MATCH($B889,$B$5:$B$67,0))</f>
        <v>1163</v>
      </c>
      <c r="G889" s="25">
        <f t="array" ref="G889">INDEX(F$5:F$67,MATCH($B889,$B$5:$B$67,0))</f>
        <v>93.04</v>
      </c>
      <c r="H889" s="25">
        <f t="array" ref="H889">INDEX(G$5:G$66,MATCH($B889,$B$5:$B$67,0))</f>
        <v>912</v>
      </c>
      <c r="I889" s="25">
        <f t="array" ref="I889">INDEX(H$5:H$67,MATCH($B889,$B$5:$B$67,0))</f>
        <v>72.96</v>
      </c>
      <c r="J889" s="25">
        <f t="array" ref="J889">INDEX(I$5:I$67,MATCH($B889,$B$5:$B$67,0))</f>
        <v>784</v>
      </c>
      <c r="K889" s="25">
        <f t="array" ref="K889">INDEX(J$5:J$67,MATCH($B889,$B$5:$B$67,0))</f>
        <v>62.72</v>
      </c>
      <c r="L889" s="25">
        <f t="shared" si="615"/>
        <v>14616</v>
      </c>
      <c r="M889" s="25">
        <f t="shared" si="616"/>
        <v>4047</v>
      </c>
      <c r="N889" s="25">
        <f t="shared" si="617"/>
        <v>3174</v>
      </c>
      <c r="O889" s="25">
        <f t="shared" si="618"/>
        <v>2728</v>
      </c>
      <c r="R889" s="50"/>
      <c r="S889" s="51"/>
      <c r="T889" s="29"/>
    </row>
    <row r="890" spans="1:20">
      <c r="A890" s="53">
        <v>1014032</v>
      </c>
      <c r="B890" s="49" t="s">
        <v>341</v>
      </c>
      <c r="C890" s="25">
        <f t="shared" si="614"/>
        <v>32</v>
      </c>
      <c r="D890" s="25">
        <f t="array" ref="D890">INDEX(C$5:C$67,MATCH($B890,$B$5:$B$67,0))</f>
        <v>4200</v>
      </c>
      <c r="E890" s="25">
        <f t="array" ref="E890">INDEX(D$5:D$67,MATCH($B890,$B$5:$B$67,0))</f>
        <v>336</v>
      </c>
      <c r="F890" s="25">
        <f t="array" ref="F890">INDEX(E$5:E$67,MATCH($B890,$B$5:$B$67,0))</f>
        <v>1163</v>
      </c>
      <c r="G890" s="25">
        <f t="array" ref="G890">INDEX(F$5:F$67,MATCH($B890,$B$5:$B$67,0))</f>
        <v>93.04</v>
      </c>
      <c r="H890" s="25">
        <f t="array" ref="H890">INDEX(G$5:G$66,MATCH($B890,$B$5:$B$67,0))</f>
        <v>912</v>
      </c>
      <c r="I890" s="25">
        <f t="array" ref="I890">INDEX(H$5:H$67,MATCH($B890,$B$5:$B$67,0))</f>
        <v>72.96</v>
      </c>
      <c r="J890" s="25">
        <f t="array" ref="J890">INDEX(I$5:I$67,MATCH($B890,$B$5:$B$67,0))</f>
        <v>784</v>
      </c>
      <c r="K890" s="25">
        <f t="array" ref="K890">INDEX(J$5:J$67,MATCH($B890,$B$5:$B$67,0))</f>
        <v>62.72</v>
      </c>
      <c r="L890" s="25">
        <f t="shared" si="615"/>
        <v>14952</v>
      </c>
      <c r="M890" s="25">
        <f t="shared" si="616"/>
        <v>4140</v>
      </c>
      <c r="N890" s="25">
        <f t="shared" si="617"/>
        <v>3247</v>
      </c>
      <c r="O890" s="25">
        <f t="shared" si="618"/>
        <v>2791</v>
      </c>
      <c r="R890" s="50"/>
      <c r="S890" s="51"/>
      <c r="T890" s="29"/>
    </row>
    <row r="891" spans="1:20">
      <c r="A891" s="53">
        <v>1014033</v>
      </c>
      <c r="B891" s="49" t="s">
        <v>341</v>
      </c>
      <c r="C891" s="25">
        <f t="shared" si="614"/>
        <v>33</v>
      </c>
      <c r="D891" s="25">
        <f t="array" ref="D891">INDEX(C$5:C$67,MATCH($B891,$B$5:$B$67,0))</f>
        <v>4200</v>
      </c>
      <c r="E891" s="25">
        <f t="array" ref="E891">INDEX(D$5:D$67,MATCH($B891,$B$5:$B$67,0))</f>
        <v>336</v>
      </c>
      <c r="F891" s="25">
        <f t="array" ref="F891">INDEX(E$5:E$67,MATCH($B891,$B$5:$B$67,0))</f>
        <v>1163</v>
      </c>
      <c r="G891" s="25">
        <f t="array" ref="G891">INDEX(F$5:F$67,MATCH($B891,$B$5:$B$67,0))</f>
        <v>93.04</v>
      </c>
      <c r="H891" s="25">
        <f t="array" ref="H891">INDEX(G$5:G$66,MATCH($B891,$B$5:$B$67,0))</f>
        <v>912</v>
      </c>
      <c r="I891" s="25">
        <f t="array" ref="I891">INDEX(H$5:H$67,MATCH($B891,$B$5:$B$67,0))</f>
        <v>72.96</v>
      </c>
      <c r="J891" s="25">
        <f t="array" ref="J891">INDEX(I$5:I$67,MATCH($B891,$B$5:$B$67,0))</f>
        <v>784</v>
      </c>
      <c r="K891" s="25">
        <f t="array" ref="K891">INDEX(J$5:J$67,MATCH($B891,$B$5:$B$67,0))</f>
        <v>62.72</v>
      </c>
      <c r="L891" s="25">
        <f t="shared" si="615"/>
        <v>15288</v>
      </c>
      <c r="M891" s="25">
        <f t="shared" si="616"/>
        <v>4233</v>
      </c>
      <c r="N891" s="25">
        <f t="shared" si="617"/>
        <v>3320</v>
      </c>
      <c r="O891" s="25">
        <f t="shared" si="618"/>
        <v>2854</v>
      </c>
      <c r="R891" s="50"/>
      <c r="S891" s="51"/>
      <c r="T891" s="29"/>
    </row>
    <row r="892" spans="1:20">
      <c r="A892" s="53">
        <v>1014034</v>
      </c>
      <c r="B892" s="49" t="s">
        <v>341</v>
      </c>
      <c r="C892" s="25">
        <f t="shared" si="614"/>
        <v>34</v>
      </c>
      <c r="D892" s="25">
        <f t="array" ref="D892">INDEX(C$5:C$67,MATCH($B892,$B$5:$B$67,0))</f>
        <v>4200</v>
      </c>
      <c r="E892" s="25">
        <f t="array" ref="E892">INDEX(D$5:D$67,MATCH($B892,$B$5:$B$67,0))</f>
        <v>336</v>
      </c>
      <c r="F892" s="25">
        <f t="array" ref="F892">INDEX(E$5:E$67,MATCH($B892,$B$5:$B$67,0))</f>
        <v>1163</v>
      </c>
      <c r="G892" s="25">
        <f t="array" ref="G892">INDEX(F$5:F$67,MATCH($B892,$B$5:$B$67,0))</f>
        <v>93.04</v>
      </c>
      <c r="H892" s="25">
        <f t="array" ref="H892">INDEX(G$5:G$66,MATCH($B892,$B$5:$B$67,0))</f>
        <v>912</v>
      </c>
      <c r="I892" s="25">
        <f t="array" ref="I892">INDEX(H$5:H$67,MATCH($B892,$B$5:$B$67,0))</f>
        <v>72.96</v>
      </c>
      <c r="J892" s="25">
        <f t="array" ref="J892">INDEX(I$5:I$67,MATCH($B892,$B$5:$B$67,0))</f>
        <v>784</v>
      </c>
      <c r="K892" s="25">
        <f t="array" ref="K892">INDEX(J$5:J$67,MATCH($B892,$B$5:$B$67,0))</f>
        <v>62.72</v>
      </c>
      <c r="L892" s="25">
        <f t="shared" si="615"/>
        <v>15624</v>
      </c>
      <c r="M892" s="25">
        <f t="shared" si="616"/>
        <v>4326</v>
      </c>
      <c r="N892" s="25">
        <f t="shared" si="617"/>
        <v>3393</v>
      </c>
      <c r="O892" s="25">
        <f t="shared" si="618"/>
        <v>2916</v>
      </c>
      <c r="R892" s="50"/>
      <c r="S892" s="51"/>
      <c r="T892" s="29"/>
    </row>
    <row r="893" spans="1:20">
      <c r="A893" s="53">
        <v>1014035</v>
      </c>
      <c r="B893" s="49" t="s">
        <v>341</v>
      </c>
      <c r="C893" s="25">
        <f t="shared" si="614"/>
        <v>35</v>
      </c>
      <c r="D893" s="25">
        <f t="array" ref="D893">INDEX(C$5:C$67,MATCH($B893,$B$5:$B$67,0))</f>
        <v>4200</v>
      </c>
      <c r="E893" s="25">
        <f t="array" ref="E893">INDEX(D$5:D$67,MATCH($B893,$B$5:$B$67,0))</f>
        <v>336</v>
      </c>
      <c r="F893" s="25">
        <f t="array" ref="F893">INDEX(E$5:E$67,MATCH($B893,$B$5:$B$67,0))</f>
        <v>1163</v>
      </c>
      <c r="G893" s="25">
        <f t="array" ref="G893">INDEX(F$5:F$67,MATCH($B893,$B$5:$B$67,0))</f>
        <v>93.04</v>
      </c>
      <c r="H893" s="25">
        <f t="array" ref="H893">INDEX(G$5:G$66,MATCH($B893,$B$5:$B$67,0))</f>
        <v>912</v>
      </c>
      <c r="I893" s="25">
        <f t="array" ref="I893">INDEX(H$5:H$67,MATCH($B893,$B$5:$B$67,0))</f>
        <v>72.96</v>
      </c>
      <c r="J893" s="25">
        <f t="array" ref="J893">INDEX(I$5:I$67,MATCH($B893,$B$5:$B$67,0))</f>
        <v>784</v>
      </c>
      <c r="K893" s="25">
        <f t="array" ref="K893">INDEX(J$5:J$67,MATCH($B893,$B$5:$B$67,0))</f>
        <v>62.72</v>
      </c>
      <c r="L893" s="25">
        <f t="shared" si="615"/>
        <v>15960</v>
      </c>
      <c r="M893" s="25">
        <f t="shared" si="616"/>
        <v>4419</v>
      </c>
      <c r="N893" s="25">
        <f t="shared" si="617"/>
        <v>3466</v>
      </c>
      <c r="O893" s="25">
        <f t="shared" si="618"/>
        <v>2979</v>
      </c>
      <c r="R893" s="50"/>
      <c r="S893" s="51"/>
      <c r="T893" s="29"/>
    </row>
    <row r="894" spans="1:20">
      <c r="A894" s="53">
        <v>1014036</v>
      </c>
      <c r="B894" s="49" t="s">
        <v>341</v>
      </c>
      <c r="C894" s="25">
        <f t="shared" si="614"/>
        <v>36</v>
      </c>
      <c r="D894" s="25">
        <f t="array" ref="D894">INDEX(C$5:C$67,MATCH($B894,$B$5:$B$67,0))</f>
        <v>4200</v>
      </c>
      <c r="E894" s="25">
        <f t="array" ref="E894">INDEX(D$5:D$67,MATCH($B894,$B$5:$B$67,0))</f>
        <v>336</v>
      </c>
      <c r="F894" s="25">
        <f t="array" ref="F894">INDEX(E$5:E$67,MATCH($B894,$B$5:$B$67,0))</f>
        <v>1163</v>
      </c>
      <c r="G894" s="25">
        <f t="array" ref="G894">INDEX(F$5:F$67,MATCH($B894,$B$5:$B$67,0))</f>
        <v>93.04</v>
      </c>
      <c r="H894" s="25">
        <f t="array" ref="H894">INDEX(G$5:G$66,MATCH($B894,$B$5:$B$67,0))</f>
        <v>912</v>
      </c>
      <c r="I894" s="25">
        <f t="array" ref="I894">INDEX(H$5:H$67,MATCH($B894,$B$5:$B$67,0))</f>
        <v>72.96</v>
      </c>
      <c r="J894" s="25">
        <f t="array" ref="J894">INDEX(I$5:I$67,MATCH($B894,$B$5:$B$67,0))</f>
        <v>784</v>
      </c>
      <c r="K894" s="25">
        <f t="array" ref="K894">INDEX(J$5:J$67,MATCH($B894,$B$5:$B$67,0))</f>
        <v>62.72</v>
      </c>
      <c r="L894" s="25">
        <f t="shared" si="615"/>
        <v>16296</v>
      </c>
      <c r="M894" s="25">
        <f t="shared" si="616"/>
        <v>4512</v>
      </c>
      <c r="N894" s="25">
        <f t="shared" si="617"/>
        <v>3539</v>
      </c>
      <c r="O894" s="25">
        <f t="shared" si="618"/>
        <v>3042</v>
      </c>
      <c r="R894" s="50"/>
      <c r="S894" s="51"/>
      <c r="T894" s="29"/>
    </row>
    <row r="895" spans="1:20">
      <c r="A895" s="53">
        <v>1014037</v>
      </c>
      <c r="B895" s="49" t="s">
        <v>341</v>
      </c>
      <c r="C895" s="25">
        <f t="shared" si="614"/>
        <v>37</v>
      </c>
      <c r="D895" s="25">
        <f t="array" ref="D895">INDEX(C$5:C$67,MATCH($B895,$B$5:$B$67,0))</f>
        <v>4200</v>
      </c>
      <c r="E895" s="25">
        <f t="array" ref="E895">INDEX(D$5:D$67,MATCH($B895,$B$5:$B$67,0))</f>
        <v>336</v>
      </c>
      <c r="F895" s="25">
        <f t="array" ref="F895">INDEX(E$5:E$67,MATCH($B895,$B$5:$B$67,0))</f>
        <v>1163</v>
      </c>
      <c r="G895" s="25">
        <f t="array" ref="G895">INDEX(F$5:F$67,MATCH($B895,$B$5:$B$67,0))</f>
        <v>93.04</v>
      </c>
      <c r="H895" s="25">
        <f t="array" ref="H895">INDEX(G$5:G$66,MATCH($B895,$B$5:$B$67,0))</f>
        <v>912</v>
      </c>
      <c r="I895" s="25">
        <f t="array" ref="I895">INDEX(H$5:H$67,MATCH($B895,$B$5:$B$67,0))</f>
        <v>72.96</v>
      </c>
      <c r="J895" s="25">
        <f t="array" ref="J895">INDEX(I$5:I$67,MATCH($B895,$B$5:$B$67,0))</f>
        <v>784</v>
      </c>
      <c r="K895" s="25">
        <f t="array" ref="K895">INDEX(J$5:J$67,MATCH($B895,$B$5:$B$67,0))</f>
        <v>62.72</v>
      </c>
      <c r="L895" s="25">
        <f t="shared" si="615"/>
        <v>16632</v>
      </c>
      <c r="M895" s="25">
        <f t="shared" si="616"/>
        <v>4605</v>
      </c>
      <c r="N895" s="25">
        <f t="shared" si="617"/>
        <v>3612</v>
      </c>
      <c r="O895" s="25">
        <f t="shared" si="618"/>
        <v>3105</v>
      </c>
      <c r="R895" s="50"/>
      <c r="S895" s="51"/>
      <c r="T895" s="29"/>
    </row>
    <row r="896" spans="1:20">
      <c r="A896" s="53">
        <v>1014038</v>
      </c>
      <c r="B896" s="49" t="s">
        <v>341</v>
      </c>
      <c r="C896" s="25">
        <f t="shared" si="614"/>
        <v>38</v>
      </c>
      <c r="D896" s="25">
        <f t="array" ref="D896">INDEX(C$5:C$67,MATCH($B896,$B$5:$B$67,0))</f>
        <v>4200</v>
      </c>
      <c r="E896" s="25">
        <f t="array" ref="E896">INDEX(D$5:D$67,MATCH($B896,$B$5:$B$67,0))</f>
        <v>336</v>
      </c>
      <c r="F896" s="25">
        <f t="array" ref="F896">INDEX(E$5:E$67,MATCH($B896,$B$5:$B$67,0))</f>
        <v>1163</v>
      </c>
      <c r="G896" s="25">
        <f t="array" ref="G896">INDEX(F$5:F$67,MATCH($B896,$B$5:$B$67,0))</f>
        <v>93.04</v>
      </c>
      <c r="H896" s="25">
        <f t="array" ref="H896">INDEX(G$5:G$66,MATCH($B896,$B$5:$B$67,0))</f>
        <v>912</v>
      </c>
      <c r="I896" s="25">
        <f t="array" ref="I896">INDEX(H$5:H$67,MATCH($B896,$B$5:$B$67,0))</f>
        <v>72.96</v>
      </c>
      <c r="J896" s="25">
        <f t="array" ref="J896">INDEX(I$5:I$67,MATCH($B896,$B$5:$B$67,0))</f>
        <v>784</v>
      </c>
      <c r="K896" s="25">
        <f t="array" ref="K896">INDEX(J$5:J$67,MATCH($B896,$B$5:$B$67,0))</f>
        <v>62.72</v>
      </c>
      <c r="L896" s="25">
        <f t="shared" si="615"/>
        <v>16968</v>
      </c>
      <c r="M896" s="25">
        <f t="shared" si="616"/>
        <v>4699</v>
      </c>
      <c r="N896" s="25">
        <f t="shared" si="617"/>
        <v>3684</v>
      </c>
      <c r="O896" s="25">
        <f t="shared" si="618"/>
        <v>3167</v>
      </c>
      <c r="R896" s="50"/>
      <c r="S896" s="51"/>
      <c r="T896" s="29"/>
    </row>
    <row r="897" spans="1:20">
      <c r="A897" s="53">
        <v>1014039</v>
      </c>
      <c r="B897" s="49" t="s">
        <v>341</v>
      </c>
      <c r="C897" s="25">
        <f t="shared" si="614"/>
        <v>39</v>
      </c>
      <c r="D897" s="25">
        <f t="array" ref="D897">INDEX(C$5:C$67,MATCH($B897,$B$5:$B$67,0))</f>
        <v>4200</v>
      </c>
      <c r="E897" s="25">
        <f t="array" ref="E897">INDEX(D$5:D$67,MATCH($B897,$B$5:$B$67,0))</f>
        <v>336</v>
      </c>
      <c r="F897" s="25">
        <f t="array" ref="F897">INDEX(E$5:E$67,MATCH($B897,$B$5:$B$67,0))</f>
        <v>1163</v>
      </c>
      <c r="G897" s="25">
        <f t="array" ref="G897">INDEX(F$5:F$67,MATCH($B897,$B$5:$B$67,0))</f>
        <v>93.04</v>
      </c>
      <c r="H897" s="25">
        <f t="array" ref="H897">INDEX(G$5:G$66,MATCH($B897,$B$5:$B$67,0))</f>
        <v>912</v>
      </c>
      <c r="I897" s="25">
        <f t="array" ref="I897">INDEX(H$5:H$67,MATCH($B897,$B$5:$B$67,0))</f>
        <v>72.96</v>
      </c>
      <c r="J897" s="25">
        <f t="array" ref="J897">INDEX(I$5:I$67,MATCH($B897,$B$5:$B$67,0))</f>
        <v>784</v>
      </c>
      <c r="K897" s="25">
        <f t="array" ref="K897">INDEX(J$5:J$67,MATCH($B897,$B$5:$B$67,0))</f>
        <v>62.72</v>
      </c>
      <c r="L897" s="25">
        <f t="shared" si="615"/>
        <v>17304</v>
      </c>
      <c r="M897" s="25">
        <f t="shared" si="616"/>
        <v>4792</v>
      </c>
      <c r="N897" s="25">
        <f t="shared" si="617"/>
        <v>3757</v>
      </c>
      <c r="O897" s="25">
        <f t="shared" si="618"/>
        <v>3230</v>
      </c>
      <c r="R897" s="50"/>
      <c r="S897" s="51"/>
      <c r="T897" s="29"/>
    </row>
    <row r="898" spans="1:20">
      <c r="A898" s="53">
        <v>1014040</v>
      </c>
      <c r="B898" s="49" t="s">
        <v>341</v>
      </c>
      <c r="C898" s="25">
        <f t="shared" si="614"/>
        <v>40</v>
      </c>
      <c r="D898" s="25">
        <f t="array" ref="D898">INDEX(C$5:C$67,MATCH($B898,$B$5:$B$67,0))</f>
        <v>4200</v>
      </c>
      <c r="E898" s="25">
        <f t="array" ref="E898">INDEX(D$5:D$67,MATCH($B898,$B$5:$B$67,0))</f>
        <v>336</v>
      </c>
      <c r="F898" s="25">
        <f t="array" ref="F898">INDEX(E$5:E$67,MATCH($B898,$B$5:$B$67,0))</f>
        <v>1163</v>
      </c>
      <c r="G898" s="25">
        <f t="array" ref="G898">INDEX(F$5:F$67,MATCH($B898,$B$5:$B$67,0))</f>
        <v>93.04</v>
      </c>
      <c r="H898" s="25">
        <f t="array" ref="H898">INDEX(G$5:G$66,MATCH($B898,$B$5:$B$67,0))</f>
        <v>912</v>
      </c>
      <c r="I898" s="25">
        <f t="array" ref="I898">INDEX(H$5:H$67,MATCH($B898,$B$5:$B$67,0))</f>
        <v>72.96</v>
      </c>
      <c r="J898" s="25">
        <f t="array" ref="J898">INDEX(I$5:I$67,MATCH($B898,$B$5:$B$67,0))</f>
        <v>784</v>
      </c>
      <c r="K898" s="25">
        <f t="array" ref="K898">INDEX(J$5:J$67,MATCH($B898,$B$5:$B$67,0))</f>
        <v>62.72</v>
      </c>
      <c r="L898" s="25">
        <f t="shared" si="615"/>
        <v>17640</v>
      </c>
      <c r="M898" s="25">
        <f t="shared" si="616"/>
        <v>4885</v>
      </c>
      <c r="N898" s="25">
        <f t="shared" si="617"/>
        <v>3830</v>
      </c>
      <c r="O898" s="25">
        <f t="shared" si="618"/>
        <v>3293</v>
      </c>
      <c r="R898" s="50"/>
      <c r="S898" s="51"/>
      <c r="T898" s="29"/>
    </row>
    <row r="899" spans="1:20">
      <c r="A899" s="53">
        <v>1014041</v>
      </c>
      <c r="B899" s="49" t="s">
        <v>341</v>
      </c>
      <c r="C899" s="25">
        <f t="shared" si="614"/>
        <v>41</v>
      </c>
      <c r="D899" s="25">
        <f t="array" ref="D899">INDEX(C$5:C$67,MATCH($B899,$B$5:$B$67,0))</f>
        <v>4200</v>
      </c>
      <c r="E899" s="25">
        <f t="array" ref="E899">INDEX(D$5:D$67,MATCH($B899,$B$5:$B$67,0))</f>
        <v>336</v>
      </c>
      <c r="F899" s="25">
        <f t="array" ref="F899">INDEX(E$5:E$67,MATCH($B899,$B$5:$B$67,0))</f>
        <v>1163</v>
      </c>
      <c r="G899" s="25">
        <f t="array" ref="G899">INDEX(F$5:F$67,MATCH($B899,$B$5:$B$67,0))</f>
        <v>93.04</v>
      </c>
      <c r="H899" s="25">
        <f t="array" ref="H899">INDEX(G$5:G$66,MATCH($B899,$B$5:$B$67,0))</f>
        <v>912</v>
      </c>
      <c r="I899" s="25">
        <f t="array" ref="I899">INDEX(H$5:H$67,MATCH($B899,$B$5:$B$67,0))</f>
        <v>72.96</v>
      </c>
      <c r="J899" s="25">
        <f t="array" ref="J899">INDEX(I$5:I$67,MATCH($B899,$B$5:$B$67,0))</f>
        <v>784</v>
      </c>
      <c r="K899" s="25">
        <f t="array" ref="K899">INDEX(J$5:J$67,MATCH($B899,$B$5:$B$67,0))</f>
        <v>62.72</v>
      </c>
      <c r="L899" s="25">
        <f t="shared" si="615"/>
        <v>17976</v>
      </c>
      <c r="M899" s="25">
        <f t="shared" si="616"/>
        <v>4978</v>
      </c>
      <c r="N899" s="25">
        <f t="shared" si="617"/>
        <v>3903</v>
      </c>
      <c r="O899" s="25">
        <f t="shared" si="618"/>
        <v>3356</v>
      </c>
      <c r="R899" s="50"/>
      <c r="S899" s="51"/>
      <c r="T899" s="29"/>
    </row>
    <row r="900" spans="1:20">
      <c r="A900" s="53">
        <v>1014042</v>
      </c>
      <c r="B900" s="49" t="s">
        <v>341</v>
      </c>
      <c r="C900" s="25">
        <f t="shared" si="614"/>
        <v>42</v>
      </c>
      <c r="D900" s="25">
        <f t="array" ref="D900">INDEX(C$5:C$67,MATCH($B900,$B$5:$B$67,0))</f>
        <v>4200</v>
      </c>
      <c r="E900" s="25">
        <f t="array" ref="E900">INDEX(D$5:D$67,MATCH($B900,$B$5:$B$67,0))</f>
        <v>336</v>
      </c>
      <c r="F900" s="25">
        <f t="array" ref="F900">INDEX(E$5:E$67,MATCH($B900,$B$5:$B$67,0))</f>
        <v>1163</v>
      </c>
      <c r="G900" s="25">
        <f t="array" ref="G900">INDEX(F$5:F$67,MATCH($B900,$B$5:$B$67,0))</f>
        <v>93.04</v>
      </c>
      <c r="H900" s="25">
        <f t="array" ref="H900">INDEX(G$5:G$66,MATCH($B900,$B$5:$B$67,0))</f>
        <v>912</v>
      </c>
      <c r="I900" s="25">
        <f t="array" ref="I900">INDEX(H$5:H$67,MATCH($B900,$B$5:$B$67,0))</f>
        <v>72.96</v>
      </c>
      <c r="J900" s="25">
        <f t="array" ref="J900">INDEX(I$5:I$67,MATCH($B900,$B$5:$B$67,0))</f>
        <v>784</v>
      </c>
      <c r="K900" s="25">
        <f t="array" ref="K900">INDEX(J$5:J$67,MATCH($B900,$B$5:$B$67,0))</f>
        <v>62.72</v>
      </c>
      <c r="L900" s="25">
        <f t="shared" si="615"/>
        <v>18312</v>
      </c>
      <c r="M900" s="25">
        <f t="shared" si="616"/>
        <v>5071</v>
      </c>
      <c r="N900" s="25">
        <f t="shared" si="617"/>
        <v>3976</v>
      </c>
      <c r="O900" s="25">
        <f t="shared" si="618"/>
        <v>3418</v>
      </c>
      <c r="R900" s="50"/>
      <c r="S900" s="51"/>
      <c r="T900" s="29"/>
    </row>
    <row r="901" spans="1:20">
      <c r="A901" s="53">
        <v>1014043</v>
      </c>
      <c r="B901" s="49" t="s">
        <v>341</v>
      </c>
      <c r="C901" s="25">
        <f t="shared" si="614"/>
        <v>43</v>
      </c>
      <c r="D901" s="25">
        <f t="array" ref="D901">INDEX(C$5:C$67,MATCH($B901,$B$5:$B$67,0))</f>
        <v>4200</v>
      </c>
      <c r="E901" s="25">
        <f t="array" ref="E901">INDEX(D$5:D$67,MATCH($B901,$B$5:$B$67,0))</f>
        <v>336</v>
      </c>
      <c r="F901" s="25">
        <f t="array" ref="F901">INDEX(E$5:E$67,MATCH($B901,$B$5:$B$67,0))</f>
        <v>1163</v>
      </c>
      <c r="G901" s="25">
        <f t="array" ref="G901">INDEX(F$5:F$67,MATCH($B901,$B$5:$B$67,0))</f>
        <v>93.04</v>
      </c>
      <c r="H901" s="25">
        <f t="array" ref="H901">INDEX(G$5:G$66,MATCH($B901,$B$5:$B$67,0))</f>
        <v>912</v>
      </c>
      <c r="I901" s="25">
        <f t="array" ref="I901">INDEX(H$5:H$67,MATCH($B901,$B$5:$B$67,0))</f>
        <v>72.96</v>
      </c>
      <c r="J901" s="25">
        <f t="array" ref="J901">INDEX(I$5:I$67,MATCH($B901,$B$5:$B$67,0))</f>
        <v>784</v>
      </c>
      <c r="K901" s="25">
        <f t="array" ref="K901">INDEX(J$5:J$67,MATCH($B901,$B$5:$B$67,0))</f>
        <v>62.72</v>
      </c>
      <c r="L901" s="25">
        <f t="shared" si="615"/>
        <v>18648</v>
      </c>
      <c r="M901" s="25">
        <f t="shared" si="616"/>
        <v>5164</v>
      </c>
      <c r="N901" s="25">
        <f t="shared" si="617"/>
        <v>4049</v>
      </c>
      <c r="O901" s="25">
        <f t="shared" si="618"/>
        <v>3481</v>
      </c>
      <c r="R901" s="50"/>
      <c r="S901" s="51"/>
      <c r="T901" s="29"/>
    </row>
    <row r="902" spans="1:20">
      <c r="A902" s="53">
        <v>1014044</v>
      </c>
      <c r="B902" s="49" t="s">
        <v>341</v>
      </c>
      <c r="C902" s="25">
        <f t="shared" si="614"/>
        <v>44</v>
      </c>
      <c r="D902" s="25">
        <f t="array" ref="D902">INDEX(C$5:C$67,MATCH($B902,$B$5:$B$67,0))</f>
        <v>4200</v>
      </c>
      <c r="E902" s="25">
        <f t="array" ref="E902">INDEX(D$5:D$67,MATCH($B902,$B$5:$B$67,0))</f>
        <v>336</v>
      </c>
      <c r="F902" s="25">
        <f t="array" ref="F902">INDEX(E$5:E$67,MATCH($B902,$B$5:$B$67,0))</f>
        <v>1163</v>
      </c>
      <c r="G902" s="25">
        <f t="array" ref="G902">INDEX(F$5:F$67,MATCH($B902,$B$5:$B$67,0))</f>
        <v>93.04</v>
      </c>
      <c r="H902" s="25">
        <f t="array" ref="H902">INDEX(G$5:G$66,MATCH($B902,$B$5:$B$67,0))</f>
        <v>912</v>
      </c>
      <c r="I902" s="25">
        <f t="array" ref="I902">INDEX(H$5:H$67,MATCH($B902,$B$5:$B$67,0))</f>
        <v>72.96</v>
      </c>
      <c r="J902" s="25">
        <f t="array" ref="J902">INDEX(I$5:I$67,MATCH($B902,$B$5:$B$67,0))</f>
        <v>784</v>
      </c>
      <c r="K902" s="25">
        <f t="array" ref="K902">INDEX(J$5:J$67,MATCH($B902,$B$5:$B$67,0))</f>
        <v>62.72</v>
      </c>
      <c r="L902" s="25">
        <f t="shared" si="615"/>
        <v>18984</v>
      </c>
      <c r="M902" s="25">
        <f t="shared" si="616"/>
        <v>5257</v>
      </c>
      <c r="N902" s="25">
        <f t="shared" si="617"/>
        <v>4122</v>
      </c>
      <c r="O902" s="25">
        <f t="shared" si="618"/>
        <v>3544</v>
      </c>
      <c r="R902" s="50"/>
      <c r="S902" s="51"/>
      <c r="T902" s="29"/>
    </row>
    <row r="903" spans="1:20">
      <c r="A903" s="53">
        <v>1014045</v>
      </c>
      <c r="B903" s="49" t="s">
        <v>341</v>
      </c>
      <c r="C903" s="25">
        <f t="shared" si="614"/>
        <v>45</v>
      </c>
      <c r="D903" s="25">
        <f t="array" ref="D903">INDEX(C$5:C$67,MATCH($B903,$B$5:$B$67,0))</f>
        <v>4200</v>
      </c>
      <c r="E903" s="25">
        <f t="array" ref="E903">INDEX(D$5:D$67,MATCH($B903,$B$5:$B$67,0))</f>
        <v>336</v>
      </c>
      <c r="F903" s="25">
        <f t="array" ref="F903">INDEX(E$5:E$67,MATCH($B903,$B$5:$B$67,0))</f>
        <v>1163</v>
      </c>
      <c r="G903" s="25">
        <f t="array" ref="G903">INDEX(F$5:F$67,MATCH($B903,$B$5:$B$67,0))</f>
        <v>93.04</v>
      </c>
      <c r="H903" s="25">
        <f t="array" ref="H903">INDEX(G$5:G$66,MATCH($B903,$B$5:$B$67,0))</f>
        <v>912</v>
      </c>
      <c r="I903" s="25">
        <f t="array" ref="I903">INDEX(H$5:H$67,MATCH($B903,$B$5:$B$67,0))</f>
        <v>72.96</v>
      </c>
      <c r="J903" s="25">
        <f t="array" ref="J903">INDEX(I$5:I$67,MATCH($B903,$B$5:$B$67,0))</f>
        <v>784</v>
      </c>
      <c r="K903" s="25">
        <f t="array" ref="K903">INDEX(J$5:J$67,MATCH($B903,$B$5:$B$67,0))</f>
        <v>62.72</v>
      </c>
      <c r="L903" s="25">
        <f t="shared" si="615"/>
        <v>19320</v>
      </c>
      <c r="M903" s="25">
        <f t="shared" si="616"/>
        <v>5350</v>
      </c>
      <c r="N903" s="25">
        <f t="shared" si="617"/>
        <v>4195</v>
      </c>
      <c r="O903" s="25">
        <f t="shared" si="618"/>
        <v>3606</v>
      </c>
      <c r="R903" s="50"/>
      <c r="S903" s="51"/>
      <c r="T903" s="29"/>
    </row>
    <row r="904" spans="1:20">
      <c r="A904" s="53">
        <v>1014046</v>
      </c>
      <c r="B904" s="49" t="s">
        <v>341</v>
      </c>
      <c r="C904" s="25">
        <f t="shared" si="614"/>
        <v>46</v>
      </c>
      <c r="D904" s="25">
        <f t="array" ref="D904">INDEX(C$5:C$67,MATCH($B904,$B$5:$B$67,0))</f>
        <v>4200</v>
      </c>
      <c r="E904" s="25">
        <f t="array" ref="E904">INDEX(D$5:D$67,MATCH($B904,$B$5:$B$67,0))</f>
        <v>336</v>
      </c>
      <c r="F904" s="25">
        <f t="array" ref="F904">INDEX(E$5:E$67,MATCH($B904,$B$5:$B$67,0))</f>
        <v>1163</v>
      </c>
      <c r="G904" s="25">
        <f t="array" ref="G904">INDEX(F$5:F$67,MATCH($B904,$B$5:$B$67,0))</f>
        <v>93.04</v>
      </c>
      <c r="H904" s="25">
        <f t="array" ref="H904">INDEX(G$5:G$66,MATCH($B904,$B$5:$B$67,0))</f>
        <v>912</v>
      </c>
      <c r="I904" s="25">
        <f t="array" ref="I904">INDEX(H$5:H$67,MATCH($B904,$B$5:$B$67,0))</f>
        <v>72.96</v>
      </c>
      <c r="J904" s="25">
        <f t="array" ref="J904">INDEX(I$5:I$67,MATCH($B904,$B$5:$B$67,0))</f>
        <v>784</v>
      </c>
      <c r="K904" s="25">
        <f t="array" ref="K904">INDEX(J$5:J$67,MATCH($B904,$B$5:$B$67,0))</f>
        <v>62.72</v>
      </c>
      <c r="L904" s="25">
        <f t="shared" si="615"/>
        <v>19656</v>
      </c>
      <c r="M904" s="25">
        <f t="shared" si="616"/>
        <v>5443</v>
      </c>
      <c r="N904" s="25">
        <f t="shared" si="617"/>
        <v>4268</v>
      </c>
      <c r="O904" s="25">
        <f t="shared" si="618"/>
        <v>3669</v>
      </c>
      <c r="R904" s="50"/>
      <c r="S904" s="51"/>
      <c r="T904" s="29"/>
    </row>
    <row r="905" spans="1:20">
      <c r="A905" s="53">
        <v>1014047</v>
      </c>
      <c r="B905" s="49" t="s">
        <v>341</v>
      </c>
      <c r="C905" s="25">
        <f t="shared" si="614"/>
        <v>47</v>
      </c>
      <c r="D905" s="25">
        <f t="array" ref="D905">INDEX(C$5:C$67,MATCH($B905,$B$5:$B$67,0))</f>
        <v>4200</v>
      </c>
      <c r="E905" s="25">
        <f t="array" ref="E905">INDEX(D$5:D$67,MATCH($B905,$B$5:$B$67,0))</f>
        <v>336</v>
      </c>
      <c r="F905" s="25">
        <f t="array" ref="F905">INDEX(E$5:E$67,MATCH($B905,$B$5:$B$67,0))</f>
        <v>1163</v>
      </c>
      <c r="G905" s="25">
        <f t="array" ref="G905">INDEX(F$5:F$67,MATCH($B905,$B$5:$B$67,0))</f>
        <v>93.04</v>
      </c>
      <c r="H905" s="25">
        <f t="array" ref="H905">INDEX(G$5:G$66,MATCH($B905,$B$5:$B$67,0))</f>
        <v>912</v>
      </c>
      <c r="I905" s="25">
        <f t="array" ref="I905">INDEX(H$5:H$67,MATCH($B905,$B$5:$B$67,0))</f>
        <v>72.96</v>
      </c>
      <c r="J905" s="25">
        <f t="array" ref="J905">INDEX(I$5:I$67,MATCH($B905,$B$5:$B$67,0))</f>
        <v>784</v>
      </c>
      <c r="K905" s="25">
        <f t="array" ref="K905">INDEX(J$5:J$67,MATCH($B905,$B$5:$B$67,0))</f>
        <v>62.72</v>
      </c>
      <c r="L905" s="25">
        <f t="shared" si="615"/>
        <v>19992</v>
      </c>
      <c r="M905" s="25">
        <f t="shared" si="616"/>
        <v>5536</v>
      </c>
      <c r="N905" s="25">
        <f t="shared" si="617"/>
        <v>4341</v>
      </c>
      <c r="O905" s="25">
        <f t="shared" si="618"/>
        <v>3732</v>
      </c>
      <c r="R905" s="50"/>
      <c r="S905" s="51"/>
      <c r="T905" s="29"/>
    </row>
    <row r="906" spans="1:20">
      <c r="A906" s="53">
        <v>1014048</v>
      </c>
      <c r="B906" s="49" t="s">
        <v>341</v>
      </c>
      <c r="C906" s="25">
        <f t="shared" si="614"/>
        <v>48</v>
      </c>
      <c r="D906" s="25">
        <f t="array" ref="D906">INDEX(C$5:C$67,MATCH($B906,$B$5:$B$67,0))</f>
        <v>4200</v>
      </c>
      <c r="E906" s="25">
        <f t="array" ref="E906">INDEX(D$5:D$67,MATCH($B906,$B$5:$B$67,0))</f>
        <v>336</v>
      </c>
      <c r="F906" s="25">
        <f t="array" ref="F906">INDEX(E$5:E$67,MATCH($B906,$B$5:$B$67,0))</f>
        <v>1163</v>
      </c>
      <c r="G906" s="25">
        <f t="array" ref="G906">INDEX(F$5:F$67,MATCH($B906,$B$5:$B$67,0))</f>
        <v>93.04</v>
      </c>
      <c r="H906" s="25">
        <f t="array" ref="H906">INDEX(G$5:G$66,MATCH($B906,$B$5:$B$67,0))</f>
        <v>912</v>
      </c>
      <c r="I906" s="25">
        <f t="array" ref="I906">INDEX(H$5:H$67,MATCH($B906,$B$5:$B$67,0))</f>
        <v>72.96</v>
      </c>
      <c r="J906" s="25">
        <f t="array" ref="J906">INDEX(I$5:I$67,MATCH($B906,$B$5:$B$67,0))</f>
        <v>784</v>
      </c>
      <c r="K906" s="25">
        <f t="array" ref="K906">INDEX(J$5:J$67,MATCH($B906,$B$5:$B$67,0))</f>
        <v>62.72</v>
      </c>
      <c r="L906" s="25">
        <f t="shared" si="615"/>
        <v>20328</v>
      </c>
      <c r="M906" s="25">
        <f t="shared" si="616"/>
        <v>5629</v>
      </c>
      <c r="N906" s="25">
        <f t="shared" si="617"/>
        <v>4414</v>
      </c>
      <c r="O906" s="25">
        <f t="shared" si="618"/>
        <v>3795</v>
      </c>
      <c r="R906" s="50"/>
      <c r="S906" s="51"/>
      <c r="T906" s="29"/>
    </row>
    <row r="907" spans="1:20">
      <c r="A907" s="53">
        <v>1014049</v>
      </c>
      <c r="B907" s="49" t="s">
        <v>341</v>
      </c>
      <c r="C907" s="25">
        <f t="shared" ref="C907:C970" si="623">C847</f>
        <v>49</v>
      </c>
      <c r="D907" s="25">
        <f t="array" ref="D907">INDEX(C$5:C$67,MATCH($B907,$B$5:$B$67,0))</f>
        <v>4200</v>
      </c>
      <c r="E907" s="25">
        <f t="array" ref="E907">INDEX(D$5:D$67,MATCH($B907,$B$5:$B$67,0))</f>
        <v>336</v>
      </c>
      <c r="F907" s="25">
        <f t="array" ref="F907">INDEX(E$5:E$67,MATCH($B907,$B$5:$B$67,0))</f>
        <v>1163</v>
      </c>
      <c r="G907" s="25">
        <f t="array" ref="G907">INDEX(F$5:F$67,MATCH($B907,$B$5:$B$67,0))</f>
        <v>93.04</v>
      </c>
      <c r="H907" s="25">
        <f t="array" ref="H907">INDEX(G$5:G$66,MATCH($B907,$B$5:$B$67,0))</f>
        <v>912</v>
      </c>
      <c r="I907" s="25">
        <f t="array" ref="I907">INDEX(H$5:H$67,MATCH($B907,$B$5:$B$67,0))</f>
        <v>72.96</v>
      </c>
      <c r="J907" s="25">
        <f t="array" ref="J907">INDEX(I$5:I$67,MATCH($B907,$B$5:$B$67,0))</f>
        <v>784</v>
      </c>
      <c r="K907" s="25">
        <f t="array" ref="K907">INDEX(J$5:J$67,MATCH($B907,$B$5:$B$67,0))</f>
        <v>62.72</v>
      </c>
      <c r="L907" s="25">
        <f t="shared" si="615"/>
        <v>20664</v>
      </c>
      <c r="M907" s="25">
        <f t="shared" si="616"/>
        <v>5722</v>
      </c>
      <c r="N907" s="25">
        <f t="shared" si="617"/>
        <v>4487</v>
      </c>
      <c r="O907" s="25">
        <f t="shared" si="618"/>
        <v>3857</v>
      </c>
      <c r="R907" s="50"/>
      <c r="S907" s="51"/>
      <c r="T907" s="29"/>
    </row>
    <row r="908" spans="1:20">
      <c r="A908" s="53">
        <v>1014050</v>
      </c>
      <c r="B908" s="49" t="s">
        <v>341</v>
      </c>
      <c r="C908" s="25">
        <f t="shared" si="623"/>
        <v>50</v>
      </c>
      <c r="D908" s="25">
        <f t="array" ref="D908">INDEX(C$5:C$67,MATCH($B908,$B$5:$B$67,0))</f>
        <v>4200</v>
      </c>
      <c r="E908" s="25">
        <f t="array" ref="E908">INDEX(D$5:D$67,MATCH($B908,$B$5:$B$67,0))</f>
        <v>336</v>
      </c>
      <c r="F908" s="25">
        <f t="array" ref="F908">INDEX(E$5:E$67,MATCH($B908,$B$5:$B$67,0))</f>
        <v>1163</v>
      </c>
      <c r="G908" s="25">
        <f t="array" ref="G908">INDEX(F$5:F$67,MATCH($B908,$B$5:$B$67,0))</f>
        <v>93.04</v>
      </c>
      <c r="H908" s="25">
        <f t="array" ref="H908">INDEX(G$5:G$66,MATCH($B908,$B$5:$B$67,0))</f>
        <v>912</v>
      </c>
      <c r="I908" s="25">
        <f t="array" ref="I908">INDEX(H$5:H$67,MATCH($B908,$B$5:$B$67,0))</f>
        <v>72.96</v>
      </c>
      <c r="J908" s="25">
        <f t="array" ref="J908">INDEX(I$5:I$67,MATCH($B908,$B$5:$B$67,0))</f>
        <v>784</v>
      </c>
      <c r="K908" s="25">
        <f t="array" ref="K908">INDEX(J$5:J$67,MATCH($B908,$B$5:$B$67,0))</f>
        <v>62.72</v>
      </c>
      <c r="L908" s="25">
        <f t="shared" si="615"/>
        <v>21000</v>
      </c>
      <c r="M908" s="25">
        <f t="shared" si="616"/>
        <v>5815</v>
      </c>
      <c r="N908" s="25">
        <f t="shared" si="617"/>
        <v>4560</v>
      </c>
      <c r="O908" s="25">
        <f t="shared" si="618"/>
        <v>3920</v>
      </c>
      <c r="R908" s="50"/>
      <c r="S908" s="51"/>
      <c r="T908" s="29"/>
    </row>
    <row r="909" spans="1:20">
      <c r="A909" s="53">
        <v>1014051</v>
      </c>
      <c r="B909" s="49" t="s">
        <v>341</v>
      </c>
      <c r="C909" s="25">
        <f t="shared" si="623"/>
        <v>51</v>
      </c>
      <c r="D909" s="25">
        <f t="array" ref="D909">INDEX(C$5:C$67,MATCH($B909,$B$5:$B$67,0))</f>
        <v>4200</v>
      </c>
      <c r="E909" s="25">
        <f t="array" ref="E909">INDEX(D$5:D$67,MATCH($B909,$B$5:$B$67,0))</f>
        <v>336</v>
      </c>
      <c r="F909" s="25">
        <f t="array" ref="F909">INDEX(E$5:E$67,MATCH($B909,$B$5:$B$67,0))</f>
        <v>1163</v>
      </c>
      <c r="G909" s="25">
        <f t="array" ref="G909">INDEX(F$5:F$67,MATCH($B909,$B$5:$B$67,0))</f>
        <v>93.04</v>
      </c>
      <c r="H909" s="25">
        <f t="array" ref="H909">INDEX(G$5:G$66,MATCH($B909,$B$5:$B$67,0))</f>
        <v>912</v>
      </c>
      <c r="I909" s="25">
        <f t="array" ref="I909">INDEX(H$5:H$67,MATCH($B909,$B$5:$B$67,0))</f>
        <v>72.96</v>
      </c>
      <c r="J909" s="25">
        <f t="array" ref="J909">INDEX(I$5:I$67,MATCH($B909,$B$5:$B$67,0))</f>
        <v>784</v>
      </c>
      <c r="K909" s="25">
        <f t="array" ref="K909">INDEX(J$5:J$67,MATCH($B909,$B$5:$B$67,0))</f>
        <v>62.72</v>
      </c>
      <c r="L909" s="25">
        <f t="shared" si="615"/>
        <v>21336</v>
      </c>
      <c r="M909" s="25">
        <f t="shared" si="616"/>
        <v>5908</v>
      </c>
      <c r="N909" s="25">
        <f t="shared" si="617"/>
        <v>4633</v>
      </c>
      <c r="O909" s="25">
        <f t="shared" si="618"/>
        <v>3983</v>
      </c>
      <c r="R909" s="50"/>
      <c r="S909" s="51"/>
      <c r="T909" s="29"/>
    </row>
    <row r="910" spans="1:20">
      <c r="A910" s="53">
        <v>1014052</v>
      </c>
      <c r="B910" s="49" t="s">
        <v>341</v>
      </c>
      <c r="C910" s="25">
        <f t="shared" si="623"/>
        <v>52</v>
      </c>
      <c r="D910" s="25">
        <f t="array" ref="D910">INDEX(C$5:C$67,MATCH($B910,$B$5:$B$67,0))</f>
        <v>4200</v>
      </c>
      <c r="E910" s="25">
        <f t="array" ref="E910">INDEX(D$5:D$67,MATCH($B910,$B$5:$B$67,0))</f>
        <v>336</v>
      </c>
      <c r="F910" s="25">
        <f t="array" ref="F910">INDEX(E$5:E$67,MATCH($B910,$B$5:$B$67,0))</f>
        <v>1163</v>
      </c>
      <c r="G910" s="25">
        <f t="array" ref="G910">INDEX(F$5:F$67,MATCH($B910,$B$5:$B$67,0))</f>
        <v>93.04</v>
      </c>
      <c r="H910" s="25">
        <f t="array" ref="H910">INDEX(G$5:G$66,MATCH($B910,$B$5:$B$67,0))</f>
        <v>912</v>
      </c>
      <c r="I910" s="25">
        <f t="array" ref="I910">INDEX(H$5:H$67,MATCH($B910,$B$5:$B$67,0))</f>
        <v>72.96</v>
      </c>
      <c r="J910" s="25">
        <f t="array" ref="J910">INDEX(I$5:I$67,MATCH($B910,$B$5:$B$67,0))</f>
        <v>784</v>
      </c>
      <c r="K910" s="25">
        <f t="array" ref="K910">INDEX(J$5:J$67,MATCH($B910,$B$5:$B$67,0))</f>
        <v>62.72</v>
      </c>
      <c r="L910" s="25">
        <f t="shared" si="615"/>
        <v>21672</v>
      </c>
      <c r="M910" s="25">
        <f t="shared" si="616"/>
        <v>6001</v>
      </c>
      <c r="N910" s="25">
        <f t="shared" si="617"/>
        <v>4706</v>
      </c>
      <c r="O910" s="25">
        <f t="shared" si="618"/>
        <v>4045</v>
      </c>
      <c r="R910" s="50"/>
      <c r="S910" s="51"/>
      <c r="T910" s="29"/>
    </row>
    <row r="911" spans="1:20">
      <c r="A911" s="53">
        <v>1014053</v>
      </c>
      <c r="B911" s="49" t="s">
        <v>341</v>
      </c>
      <c r="C911" s="25">
        <f t="shared" si="623"/>
        <v>53</v>
      </c>
      <c r="D911" s="25">
        <f t="array" ref="D911">INDEX(C$5:C$67,MATCH($B911,$B$5:$B$67,0))</f>
        <v>4200</v>
      </c>
      <c r="E911" s="25">
        <f t="array" ref="E911">INDEX(D$5:D$67,MATCH($B911,$B$5:$B$67,0))</f>
        <v>336</v>
      </c>
      <c r="F911" s="25">
        <f t="array" ref="F911">INDEX(E$5:E$67,MATCH($B911,$B$5:$B$67,0))</f>
        <v>1163</v>
      </c>
      <c r="G911" s="25">
        <f t="array" ref="G911">INDEX(F$5:F$67,MATCH($B911,$B$5:$B$67,0))</f>
        <v>93.04</v>
      </c>
      <c r="H911" s="25">
        <f t="array" ref="H911">INDEX(G$5:G$66,MATCH($B911,$B$5:$B$67,0))</f>
        <v>912</v>
      </c>
      <c r="I911" s="25">
        <f t="array" ref="I911">INDEX(H$5:H$67,MATCH($B911,$B$5:$B$67,0))</f>
        <v>72.96</v>
      </c>
      <c r="J911" s="25">
        <f t="array" ref="J911">INDEX(I$5:I$67,MATCH($B911,$B$5:$B$67,0))</f>
        <v>784</v>
      </c>
      <c r="K911" s="25">
        <f t="array" ref="K911">INDEX(J$5:J$67,MATCH($B911,$B$5:$B$67,0))</f>
        <v>62.72</v>
      </c>
      <c r="L911" s="25">
        <f t="shared" ref="L911:L974" si="624">ROUND(D911+E911*$C911,0)</f>
        <v>22008</v>
      </c>
      <c r="M911" s="25">
        <f t="shared" ref="M911:M974" si="625">ROUND(F911+G911*$C911,0)</f>
        <v>6094</v>
      </c>
      <c r="N911" s="25">
        <f t="shared" ref="N911:N974" si="626">ROUND(H911+I911*$C911,0)</f>
        <v>4779</v>
      </c>
      <c r="O911" s="25">
        <f t="shared" ref="O911:O974" si="627">ROUND(J911+K911*$C911,0)</f>
        <v>4108</v>
      </c>
      <c r="R911" s="50"/>
      <c r="S911" s="51"/>
      <c r="T911" s="29"/>
    </row>
    <row r="912" spans="1:20">
      <c r="A912" s="53">
        <v>1014054</v>
      </c>
      <c r="B912" s="49" t="s">
        <v>341</v>
      </c>
      <c r="C912" s="25">
        <f t="shared" si="623"/>
        <v>54</v>
      </c>
      <c r="D912" s="25">
        <f t="array" ref="D912">INDEX(C$5:C$67,MATCH($B912,$B$5:$B$67,0))</f>
        <v>4200</v>
      </c>
      <c r="E912" s="25">
        <f t="array" ref="E912">INDEX(D$5:D$67,MATCH($B912,$B$5:$B$67,0))</f>
        <v>336</v>
      </c>
      <c r="F912" s="25">
        <f t="array" ref="F912">INDEX(E$5:E$67,MATCH($B912,$B$5:$B$67,0))</f>
        <v>1163</v>
      </c>
      <c r="G912" s="25">
        <f t="array" ref="G912">INDEX(F$5:F$67,MATCH($B912,$B$5:$B$67,0))</f>
        <v>93.04</v>
      </c>
      <c r="H912" s="25">
        <f t="array" ref="H912">INDEX(G$5:G$66,MATCH($B912,$B$5:$B$67,0))</f>
        <v>912</v>
      </c>
      <c r="I912" s="25">
        <f t="array" ref="I912">INDEX(H$5:H$67,MATCH($B912,$B$5:$B$67,0))</f>
        <v>72.96</v>
      </c>
      <c r="J912" s="25">
        <f t="array" ref="J912">INDEX(I$5:I$67,MATCH($B912,$B$5:$B$67,0))</f>
        <v>784</v>
      </c>
      <c r="K912" s="25">
        <f t="array" ref="K912">INDEX(J$5:J$67,MATCH($B912,$B$5:$B$67,0))</f>
        <v>62.72</v>
      </c>
      <c r="L912" s="25">
        <f t="shared" si="624"/>
        <v>22344</v>
      </c>
      <c r="M912" s="25">
        <f t="shared" si="625"/>
        <v>6187</v>
      </c>
      <c r="N912" s="25">
        <f t="shared" si="626"/>
        <v>4852</v>
      </c>
      <c r="O912" s="25">
        <f t="shared" si="627"/>
        <v>4171</v>
      </c>
      <c r="R912" s="50"/>
      <c r="S912" s="51"/>
      <c r="T912" s="29"/>
    </row>
    <row r="913" spans="1:20">
      <c r="A913" s="53">
        <v>1014055</v>
      </c>
      <c r="B913" s="49" t="s">
        <v>341</v>
      </c>
      <c r="C913" s="25">
        <f t="shared" si="623"/>
        <v>55</v>
      </c>
      <c r="D913" s="25">
        <f t="array" ref="D913">INDEX(C$5:C$67,MATCH($B913,$B$5:$B$67,0))</f>
        <v>4200</v>
      </c>
      <c r="E913" s="25">
        <f t="array" ref="E913">INDEX(D$5:D$67,MATCH($B913,$B$5:$B$67,0))</f>
        <v>336</v>
      </c>
      <c r="F913" s="25">
        <f t="array" ref="F913">INDEX(E$5:E$67,MATCH($B913,$B$5:$B$67,0))</f>
        <v>1163</v>
      </c>
      <c r="G913" s="25">
        <f t="array" ref="G913">INDEX(F$5:F$67,MATCH($B913,$B$5:$B$67,0))</f>
        <v>93.04</v>
      </c>
      <c r="H913" s="25">
        <f t="array" ref="H913">INDEX(G$5:G$66,MATCH($B913,$B$5:$B$67,0))</f>
        <v>912</v>
      </c>
      <c r="I913" s="25">
        <f t="array" ref="I913">INDEX(H$5:H$67,MATCH($B913,$B$5:$B$67,0))</f>
        <v>72.96</v>
      </c>
      <c r="J913" s="25">
        <f t="array" ref="J913">INDEX(I$5:I$67,MATCH($B913,$B$5:$B$67,0))</f>
        <v>784</v>
      </c>
      <c r="K913" s="25">
        <f t="array" ref="K913">INDEX(J$5:J$67,MATCH($B913,$B$5:$B$67,0))</f>
        <v>62.72</v>
      </c>
      <c r="L913" s="25">
        <f t="shared" si="624"/>
        <v>22680</v>
      </c>
      <c r="M913" s="25">
        <f t="shared" si="625"/>
        <v>6280</v>
      </c>
      <c r="N913" s="25">
        <f t="shared" si="626"/>
        <v>4925</v>
      </c>
      <c r="O913" s="25">
        <f t="shared" si="627"/>
        <v>4234</v>
      </c>
      <c r="R913" s="50"/>
      <c r="S913" s="51"/>
      <c r="T913" s="29"/>
    </row>
    <row r="914" spans="1:20">
      <c r="A914" s="53">
        <v>1014056</v>
      </c>
      <c r="B914" s="49" t="s">
        <v>341</v>
      </c>
      <c r="C914" s="25">
        <f t="shared" si="623"/>
        <v>56</v>
      </c>
      <c r="D914" s="25">
        <f t="array" ref="D914">INDEX(C$5:C$67,MATCH($B914,$B$5:$B$67,0))</f>
        <v>4200</v>
      </c>
      <c r="E914" s="25">
        <f t="array" ref="E914">INDEX(D$5:D$67,MATCH($B914,$B$5:$B$67,0))</f>
        <v>336</v>
      </c>
      <c r="F914" s="25">
        <f t="array" ref="F914">INDEX(E$5:E$67,MATCH($B914,$B$5:$B$67,0))</f>
        <v>1163</v>
      </c>
      <c r="G914" s="25">
        <f t="array" ref="G914">INDEX(F$5:F$67,MATCH($B914,$B$5:$B$67,0))</f>
        <v>93.04</v>
      </c>
      <c r="H914" s="25">
        <f t="array" ref="H914">INDEX(G$5:G$66,MATCH($B914,$B$5:$B$67,0))</f>
        <v>912</v>
      </c>
      <c r="I914" s="25">
        <f t="array" ref="I914">INDEX(H$5:H$67,MATCH($B914,$B$5:$B$67,0))</f>
        <v>72.96</v>
      </c>
      <c r="J914" s="25">
        <f t="array" ref="J914">INDEX(I$5:I$67,MATCH($B914,$B$5:$B$67,0))</f>
        <v>784</v>
      </c>
      <c r="K914" s="25">
        <f t="array" ref="K914">INDEX(J$5:J$67,MATCH($B914,$B$5:$B$67,0))</f>
        <v>62.72</v>
      </c>
      <c r="L914" s="25">
        <f t="shared" si="624"/>
        <v>23016</v>
      </c>
      <c r="M914" s="25">
        <f t="shared" si="625"/>
        <v>6373</v>
      </c>
      <c r="N914" s="25">
        <f t="shared" si="626"/>
        <v>4998</v>
      </c>
      <c r="O914" s="25">
        <f t="shared" si="627"/>
        <v>4296</v>
      </c>
      <c r="R914" s="50"/>
      <c r="S914" s="51"/>
      <c r="T914" s="29"/>
    </row>
    <row r="915" spans="1:20">
      <c r="A915" s="53">
        <v>1014057</v>
      </c>
      <c r="B915" s="49" t="s">
        <v>341</v>
      </c>
      <c r="C915" s="25">
        <f t="shared" si="623"/>
        <v>57</v>
      </c>
      <c r="D915" s="25">
        <f t="array" ref="D915">INDEX(C$5:C$67,MATCH($B915,$B$5:$B$67,0))</f>
        <v>4200</v>
      </c>
      <c r="E915" s="25">
        <f t="array" ref="E915">INDEX(D$5:D$67,MATCH($B915,$B$5:$B$67,0))</f>
        <v>336</v>
      </c>
      <c r="F915" s="25">
        <f t="array" ref="F915">INDEX(E$5:E$67,MATCH($B915,$B$5:$B$67,0))</f>
        <v>1163</v>
      </c>
      <c r="G915" s="25">
        <f t="array" ref="G915">INDEX(F$5:F$67,MATCH($B915,$B$5:$B$67,0))</f>
        <v>93.04</v>
      </c>
      <c r="H915" s="25">
        <f t="array" ref="H915">INDEX(G$5:G$66,MATCH($B915,$B$5:$B$67,0))</f>
        <v>912</v>
      </c>
      <c r="I915" s="25">
        <f t="array" ref="I915">INDEX(H$5:H$67,MATCH($B915,$B$5:$B$67,0))</f>
        <v>72.96</v>
      </c>
      <c r="J915" s="25">
        <f t="array" ref="J915">INDEX(I$5:I$67,MATCH($B915,$B$5:$B$67,0))</f>
        <v>784</v>
      </c>
      <c r="K915" s="25">
        <f t="array" ref="K915">INDEX(J$5:J$67,MATCH($B915,$B$5:$B$67,0))</f>
        <v>62.72</v>
      </c>
      <c r="L915" s="25">
        <f t="shared" si="624"/>
        <v>23352</v>
      </c>
      <c r="M915" s="25">
        <f t="shared" si="625"/>
        <v>6466</v>
      </c>
      <c r="N915" s="25">
        <f t="shared" si="626"/>
        <v>5071</v>
      </c>
      <c r="O915" s="25">
        <f t="shared" si="627"/>
        <v>4359</v>
      </c>
      <c r="R915" s="50"/>
      <c r="S915" s="51"/>
      <c r="T915" s="29"/>
    </row>
    <row r="916" spans="1:20">
      <c r="A916" s="53">
        <v>1014058</v>
      </c>
      <c r="B916" s="49" t="s">
        <v>341</v>
      </c>
      <c r="C916" s="25">
        <f t="shared" si="623"/>
        <v>58</v>
      </c>
      <c r="D916" s="25">
        <f t="array" ref="D916">INDEX(C$5:C$67,MATCH($B916,$B$5:$B$67,0))</f>
        <v>4200</v>
      </c>
      <c r="E916" s="25">
        <f t="array" ref="E916">INDEX(D$5:D$67,MATCH($B916,$B$5:$B$67,0))</f>
        <v>336</v>
      </c>
      <c r="F916" s="25">
        <f t="array" ref="F916">INDEX(E$5:E$67,MATCH($B916,$B$5:$B$67,0))</f>
        <v>1163</v>
      </c>
      <c r="G916" s="25">
        <f t="array" ref="G916">INDEX(F$5:F$67,MATCH($B916,$B$5:$B$67,0))</f>
        <v>93.04</v>
      </c>
      <c r="H916" s="25">
        <f t="array" ref="H916">INDEX(G$5:G$66,MATCH($B916,$B$5:$B$67,0))</f>
        <v>912</v>
      </c>
      <c r="I916" s="25">
        <f t="array" ref="I916">INDEX(H$5:H$67,MATCH($B916,$B$5:$B$67,0))</f>
        <v>72.96</v>
      </c>
      <c r="J916" s="25">
        <f t="array" ref="J916">INDEX(I$5:I$67,MATCH($B916,$B$5:$B$67,0))</f>
        <v>784</v>
      </c>
      <c r="K916" s="25">
        <f t="array" ref="K916">INDEX(J$5:J$67,MATCH($B916,$B$5:$B$67,0))</f>
        <v>62.72</v>
      </c>
      <c r="L916" s="25">
        <f t="shared" si="624"/>
        <v>23688</v>
      </c>
      <c r="M916" s="25">
        <f t="shared" si="625"/>
        <v>6559</v>
      </c>
      <c r="N916" s="25">
        <f t="shared" si="626"/>
        <v>5144</v>
      </c>
      <c r="O916" s="25">
        <f t="shared" si="627"/>
        <v>4422</v>
      </c>
      <c r="R916" s="50"/>
      <c r="S916" s="51"/>
      <c r="T916" s="29"/>
    </row>
    <row r="917" spans="1:20">
      <c r="A917" s="53">
        <v>1014059</v>
      </c>
      <c r="B917" s="49" t="s">
        <v>341</v>
      </c>
      <c r="C917" s="25">
        <f t="shared" si="623"/>
        <v>59</v>
      </c>
      <c r="D917" s="25">
        <f t="array" ref="D917">INDEX(C$5:C$67,MATCH($B917,$B$5:$B$67,0))</f>
        <v>4200</v>
      </c>
      <c r="E917" s="25">
        <f t="array" ref="E917">INDEX(D$5:D$67,MATCH($B917,$B$5:$B$67,0))</f>
        <v>336</v>
      </c>
      <c r="F917" s="25">
        <f t="array" ref="F917">INDEX(E$5:E$67,MATCH($B917,$B$5:$B$67,0))</f>
        <v>1163</v>
      </c>
      <c r="G917" s="25">
        <f t="array" ref="G917">INDEX(F$5:F$67,MATCH($B917,$B$5:$B$67,0))</f>
        <v>93.04</v>
      </c>
      <c r="H917" s="25">
        <f t="array" ref="H917">INDEX(G$5:G$66,MATCH($B917,$B$5:$B$67,0))</f>
        <v>912</v>
      </c>
      <c r="I917" s="25">
        <f t="array" ref="I917">INDEX(H$5:H$67,MATCH($B917,$B$5:$B$67,0))</f>
        <v>72.96</v>
      </c>
      <c r="J917" s="25">
        <f t="array" ref="J917">INDEX(I$5:I$67,MATCH($B917,$B$5:$B$67,0))</f>
        <v>784</v>
      </c>
      <c r="K917" s="25">
        <f t="array" ref="K917">INDEX(J$5:J$67,MATCH($B917,$B$5:$B$67,0))</f>
        <v>62.72</v>
      </c>
      <c r="L917" s="25">
        <f t="shared" si="624"/>
        <v>24024</v>
      </c>
      <c r="M917" s="25">
        <f t="shared" si="625"/>
        <v>6652</v>
      </c>
      <c r="N917" s="25">
        <f t="shared" si="626"/>
        <v>5217</v>
      </c>
      <c r="O917" s="25">
        <f t="shared" si="627"/>
        <v>4484</v>
      </c>
      <c r="R917" s="50"/>
      <c r="S917" s="51"/>
      <c r="T917" s="29"/>
    </row>
    <row r="918" spans="1:20">
      <c r="A918" s="53">
        <v>1014060</v>
      </c>
      <c r="B918" s="49" t="s">
        <v>341</v>
      </c>
      <c r="C918" s="25">
        <f t="shared" si="623"/>
        <v>60</v>
      </c>
      <c r="D918" s="25">
        <f t="array" ref="D918">INDEX(C$5:C$67,MATCH($B918,$B$5:$B$67,0))</f>
        <v>4200</v>
      </c>
      <c r="E918" s="25">
        <f t="array" ref="E918">INDEX(D$5:D$67,MATCH($B918,$B$5:$B$67,0))</f>
        <v>336</v>
      </c>
      <c r="F918" s="25">
        <f t="array" ref="F918">INDEX(E$5:E$67,MATCH($B918,$B$5:$B$67,0))</f>
        <v>1163</v>
      </c>
      <c r="G918" s="25">
        <f t="array" ref="G918">INDEX(F$5:F$67,MATCH($B918,$B$5:$B$67,0))</f>
        <v>93.04</v>
      </c>
      <c r="H918" s="25">
        <f t="array" ref="H918">INDEX(G$5:G$66,MATCH($B918,$B$5:$B$67,0))</f>
        <v>912</v>
      </c>
      <c r="I918" s="25">
        <f t="array" ref="I918">INDEX(H$5:H$67,MATCH($B918,$B$5:$B$67,0))</f>
        <v>72.96</v>
      </c>
      <c r="J918" s="25">
        <f t="array" ref="J918">INDEX(I$5:I$67,MATCH($B918,$B$5:$B$67,0))</f>
        <v>784</v>
      </c>
      <c r="K918" s="25">
        <f t="array" ref="K918">INDEX(J$5:J$67,MATCH($B918,$B$5:$B$67,0))</f>
        <v>62.72</v>
      </c>
      <c r="L918" s="25">
        <f t="shared" si="624"/>
        <v>24360</v>
      </c>
      <c r="M918" s="25">
        <f t="shared" si="625"/>
        <v>6745</v>
      </c>
      <c r="N918" s="25">
        <f t="shared" si="626"/>
        <v>5290</v>
      </c>
      <c r="O918" s="25">
        <f t="shared" si="627"/>
        <v>4547</v>
      </c>
      <c r="R918" s="50"/>
      <c r="S918" s="51"/>
      <c r="T918" s="29"/>
    </row>
    <row r="919" spans="1:20">
      <c r="A919" s="48">
        <v>1015001</v>
      </c>
      <c r="B919" s="49" t="s">
        <v>342</v>
      </c>
      <c r="C919" s="25">
        <f t="shared" si="623"/>
        <v>1</v>
      </c>
      <c r="D919" s="25">
        <f t="array" ref="D919">INDEX(C$5:C$67,MATCH($B919,$B$5:$B$67,0))</f>
        <v>5520</v>
      </c>
      <c r="E919" s="25">
        <f t="array" ref="E919">INDEX(D$5:D$67,MATCH($B919,$B$5:$B$67,0))</f>
        <v>441.6</v>
      </c>
      <c r="F919" s="25">
        <f t="array" ref="F919">INDEX(E$5:E$67,MATCH($B919,$B$5:$B$67,0))</f>
        <v>775</v>
      </c>
      <c r="G919" s="25">
        <f t="array" ref="G919">INDEX(F$5:F$67,MATCH($B919,$B$5:$B$67,0))</f>
        <v>62</v>
      </c>
      <c r="H919" s="25">
        <f t="array" ref="H919">INDEX(G$5:G$66,MATCH($B919,$B$5:$B$67,0))</f>
        <v>969</v>
      </c>
      <c r="I919" s="25">
        <f t="array" ref="I919">INDEX(H$5:H$67,MATCH($B919,$B$5:$B$67,0))</f>
        <v>77.52</v>
      </c>
      <c r="J919" s="25">
        <f t="array" ref="J919">INDEX(I$5:I$67,MATCH($B919,$B$5:$B$67,0))</f>
        <v>760</v>
      </c>
      <c r="K919" s="25">
        <f t="array" ref="K919">INDEX(J$5:J$67,MATCH($B919,$B$5:$B$67,0))</f>
        <v>60.8</v>
      </c>
      <c r="L919" s="25">
        <f t="shared" si="624"/>
        <v>5962</v>
      </c>
      <c r="M919" s="25">
        <f t="shared" si="625"/>
        <v>837</v>
      </c>
      <c r="N919" s="25">
        <f t="shared" si="626"/>
        <v>1047</v>
      </c>
      <c r="O919" s="25">
        <f t="shared" si="627"/>
        <v>821</v>
      </c>
      <c r="R919" s="50"/>
      <c r="S919" s="51"/>
      <c r="T919" s="29"/>
    </row>
    <row r="920" spans="1:20">
      <c r="A920" s="48">
        <v>1015002</v>
      </c>
      <c r="B920" s="49" t="s">
        <v>342</v>
      </c>
      <c r="C920" s="25">
        <f t="shared" si="623"/>
        <v>2</v>
      </c>
      <c r="D920" s="25">
        <f t="array" ref="D920">INDEX(C$5:C$67,MATCH($B920,$B$5:$B$67,0))</f>
        <v>5520</v>
      </c>
      <c r="E920" s="25">
        <f t="array" ref="E920">INDEX(D$5:D$67,MATCH($B920,$B$5:$B$67,0))</f>
        <v>441.6</v>
      </c>
      <c r="F920" s="25">
        <f t="array" ref="F920">INDEX(E$5:E$67,MATCH($B920,$B$5:$B$67,0))</f>
        <v>775</v>
      </c>
      <c r="G920" s="25">
        <f t="array" ref="G920">INDEX(F$5:F$67,MATCH($B920,$B$5:$B$67,0))</f>
        <v>62</v>
      </c>
      <c r="H920" s="25">
        <f t="array" ref="H920">INDEX(G$5:G$66,MATCH($B920,$B$5:$B$67,0))</f>
        <v>969</v>
      </c>
      <c r="I920" s="25">
        <f t="array" ref="I920">INDEX(H$5:H$67,MATCH($B920,$B$5:$B$67,0))</f>
        <v>77.52</v>
      </c>
      <c r="J920" s="25">
        <f t="array" ref="J920">INDEX(I$5:I$67,MATCH($B920,$B$5:$B$67,0))</f>
        <v>760</v>
      </c>
      <c r="K920" s="25">
        <f t="array" ref="K920">INDEX(J$5:J$67,MATCH($B920,$B$5:$B$67,0))</f>
        <v>60.8</v>
      </c>
      <c r="L920" s="25">
        <f t="shared" si="624"/>
        <v>6403</v>
      </c>
      <c r="M920" s="25">
        <f t="shared" si="625"/>
        <v>899</v>
      </c>
      <c r="N920" s="25">
        <f t="shared" si="626"/>
        <v>1124</v>
      </c>
      <c r="O920" s="25">
        <f t="shared" si="627"/>
        <v>882</v>
      </c>
      <c r="R920" s="50"/>
      <c r="S920" s="51"/>
      <c r="T920" s="29"/>
    </row>
    <row r="921" spans="1:20">
      <c r="A921" s="48">
        <v>1015003</v>
      </c>
      <c r="B921" s="49" t="s">
        <v>342</v>
      </c>
      <c r="C921" s="25">
        <f t="shared" si="623"/>
        <v>3</v>
      </c>
      <c r="D921" s="25">
        <f t="array" ref="D921">INDEX(C$5:C$67,MATCH($B921,$B$5:$B$67,0))</f>
        <v>5520</v>
      </c>
      <c r="E921" s="25">
        <f t="array" ref="E921">INDEX(D$5:D$67,MATCH($B921,$B$5:$B$67,0))</f>
        <v>441.6</v>
      </c>
      <c r="F921" s="25">
        <f t="array" ref="F921">INDEX(E$5:E$67,MATCH($B921,$B$5:$B$67,0))</f>
        <v>775</v>
      </c>
      <c r="G921" s="25">
        <f t="array" ref="G921">INDEX(F$5:F$67,MATCH($B921,$B$5:$B$67,0))</f>
        <v>62</v>
      </c>
      <c r="H921" s="25">
        <f t="array" ref="H921">INDEX(G$5:G$66,MATCH($B921,$B$5:$B$67,0))</f>
        <v>969</v>
      </c>
      <c r="I921" s="25">
        <f t="array" ref="I921">INDEX(H$5:H$67,MATCH($B921,$B$5:$B$67,0))</f>
        <v>77.52</v>
      </c>
      <c r="J921" s="25">
        <f t="array" ref="J921">INDEX(I$5:I$67,MATCH($B921,$B$5:$B$67,0))</f>
        <v>760</v>
      </c>
      <c r="K921" s="25">
        <f t="array" ref="K921">INDEX(J$5:J$67,MATCH($B921,$B$5:$B$67,0))</f>
        <v>60.8</v>
      </c>
      <c r="L921" s="25">
        <f t="shared" si="624"/>
        <v>6845</v>
      </c>
      <c r="M921" s="25">
        <f t="shared" si="625"/>
        <v>961</v>
      </c>
      <c r="N921" s="25">
        <f t="shared" si="626"/>
        <v>1202</v>
      </c>
      <c r="O921" s="25">
        <f t="shared" si="627"/>
        <v>942</v>
      </c>
      <c r="R921" s="50"/>
      <c r="S921" s="51"/>
      <c r="T921" s="29"/>
    </row>
    <row r="922" spans="1:20">
      <c r="A922" s="48">
        <v>1015004</v>
      </c>
      <c r="B922" s="49" t="s">
        <v>342</v>
      </c>
      <c r="C922" s="25">
        <f t="shared" si="623"/>
        <v>4</v>
      </c>
      <c r="D922" s="25">
        <f t="array" ref="D922">INDEX(C$5:C$67,MATCH($B922,$B$5:$B$67,0))</f>
        <v>5520</v>
      </c>
      <c r="E922" s="25">
        <f t="array" ref="E922">INDEX(D$5:D$67,MATCH($B922,$B$5:$B$67,0))</f>
        <v>441.6</v>
      </c>
      <c r="F922" s="25">
        <f t="array" ref="F922">INDEX(E$5:E$67,MATCH($B922,$B$5:$B$67,0))</f>
        <v>775</v>
      </c>
      <c r="G922" s="25">
        <f t="array" ref="G922">INDEX(F$5:F$67,MATCH($B922,$B$5:$B$67,0))</f>
        <v>62</v>
      </c>
      <c r="H922" s="25">
        <f t="array" ref="H922">INDEX(G$5:G$66,MATCH($B922,$B$5:$B$67,0))</f>
        <v>969</v>
      </c>
      <c r="I922" s="25">
        <f t="array" ref="I922">INDEX(H$5:H$67,MATCH($B922,$B$5:$B$67,0))</f>
        <v>77.52</v>
      </c>
      <c r="J922" s="25">
        <f t="array" ref="J922">INDEX(I$5:I$67,MATCH($B922,$B$5:$B$67,0))</f>
        <v>760</v>
      </c>
      <c r="K922" s="25">
        <f t="array" ref="K922">INDEX(J$5:J$67,MATCH($B922,$B$5:$B$67,0))</f>
        <v>60.8</v>
      </c>
      <c r="L922" s="25">
        <f t="shared" si="624"/>
        <v>7286</v>
      </c>
      <c r="M922" s="25">
        <f t="shared" si="625"/>
        <v>1023</v>
      </c>
      <c r="N922" s="25">
        <f t="shared" si="626"/>
        <v>1279</v>
      </c>
      <c r="O922" s="25">
        <f t="shared" si="627"/>
        <v>1003</v>
      </c>
      <c r="R922" s="50"/>
      <c r="S922" s="51"/>
      <c r="T922" s="29"/>
    </row>
    <row r="923" spans="1:20">
      <c r="A923" s="48">
        <v>1015005</v>
      </c>
      <c r="B923" s="49" t="s">
        <v>342</v>
      </c>
      <c r="C923" s="25">
        <f t="shared" si="623"/>
        <v>5</v>
      </c>
      <c r="D923" s="25">
        <f t="array" ref="D923">INDEX(C$5:C$67,MATCH($B923,$B$5:$B$67,0))</f>
        <v>5520</v>
      </c>
      <c r="E923" s="25">
        <f t="array" ref="E923">INDEX(D$5:D$67,MATCH($B923,$B$5:$B$67,0))</f>
        <v>441.6</v>
      </c>
      <c r="F923" s="25">
        <f t="array" ref="F923">INDEX(E$5:E$67,MATCH($B923,$B$5:$B$67,0))</f>
        <v>775</v>
      </c>
      <c r="G923" s="25">
        <f t="array" ref="G923">INDEX(F$5:F$67,MATCH($B923,$B$5:$B$67,0))</f>
        <v>62</v>
      </c>
      <c r="H923" s="25">
        <f t="array" ref="H923">INDEX(G$5:G$66,MATCH($B923,$B$5:$B$67,0))</f>
        <v>969</v>
      </c>
      <c r="I923" s="25">
        <f t="array" ref="I923">INDEX(H$5:H$67,MATCH($B923,$B$5:$B$67,0))</f>
        <v>77.52</v>
      </c>
      <c r="J923" s="25">
        <f t="array" ref="J923">INDEX(I$5:I$67,MATCH($B923,$B$5:$B$67,0))</f>
        <v>760</v>
      </c>
      <c r="K923" s="25">
        <f t="array" ref="K923">INDEX(J$5:J$67,MATCH($B923,$B$5:$B$67,0))</f>
        <v>60.8</v>
      </c>
      <c r="L923" s="25">
        <f t="shared" si="624"/>
        <v>7728</v>
      </c>
      <c r="M923" s="25">
        <f t="shared" si="625"/>
        <v>1085</v>
      </c>
      <c r="N923" s="25">
        <f t="shared" si="626"/>
        <v>1357</v>
      </c>
      <c r="O923" s="25">
        <f t="shared" si="627"/>
        <v>1064</v>
      </c>
      <c r="R923" s="50"/>
      <c r="S923" s="51"/>
      <c r="T923" s="29"/>
    </row>
    <row r="924" spans="1:20">
      <c r="A924" s="48">
        <v>1015006</v>
      </c>
      <c r="B924" s="49" t="s">
        <v>342</v>
      </c>
      <c r="C924" s="25">
        <f t="shared" si="623"/>
        <v>6</v>
      </c>
      <c r="D924" s="25">
        <f t="array" ref="D924">INDEX(C$5:C$67,MATCH($B924,$B$5:$B$67,0))</f>
        <v>5520</v>
      </c>
      <c r="E924" s="25">
        <f t="array" ref="E924">INDEX(D$5:D$67,MATCH($B924,$B$5:$B$67,0))</f>
        <v>441.6</v>
      </c>
      <c r="F924" s="25">
        <f t="array" ref="F924">INDEX(E$5:E$67,MATCH($B924,$B$5:$B$67,0))</f>
        <v>775</v>
      </c>
      <c r="G924" s="25">
        <f t="array" ref="G924">INDEX(F$5:F$67,MATCH($B924,$B$5:$B$67,0))</f>
        <v>62</v>
      </c>
      <c r="H924" s="25">
        <f t="array" ref="H924">INDEX(G$5:G$66,MATCH($B924,$B$5:$B$67,0))</f>
        <v>969</v>
      </c>
      <c r="I924" s="25">
        <f t="array" ref="I924">INDEX(H$5:H$67,MATCH($B924,$B$5:$B$67,0))</f>
        <v>77.52</v>
      </c>
      <c r="J924" s="25">
        <f t="array" ref="J924">INDEX(I$5:I$67,MATCH($B924,$B$5:$B$67,0))</f>
        <v>760</v>
      </c>
      <c r="K924" s="25">
        <f t="array" ref="K924">INDEX(J$5:J$67,MATCH($B924,$B$5:$B$67,0))</f>
        <v>60.8</v>
      </c>
      <c r="L924" s="25">
        <f t="shared" si="624"/>
        <v>8170</v>
      </c>
      <c r="M924" s="25">
        <f t="shared" si="625"/>
        <v>1147</v>
      </c>
      <c r="N924" s="25">
        <f t="shared" si="626"/>
        <v>1434</v>
      </c>
      <c r="O924" s="25">
        <f t="shared" si="627"/>
        <v>1125</v>
      </c>
      <c r="R924" s="50"/>
      <c r="S924" s="51"/>
      <c r="T924" s="29"/>
    </row>
    <row r="925" spans="1:20">
      <c r="A925" s="48">
        <v>1015007</v>
      </c>
      <c r="B925" s="49" t="s">
        <v>342</v>
      </c>
      <c r="C925" s="25">
        <f t="shared" si="623"/>
        <v>7</v>
      </c>
      <c r="D925" s="25">
        <f t="array" ref="D925">INDEX(C$5:C$67,MATCH($B925,$B$5:$B$67,0))</f>
        <v>5520</v>
      </c>
      <c r="E925" s="25">
        <f t="array" ref="E925">INDEX(D$5:D$67,MATCH($B925,$B$5:$B$67,0))</f>
        <v>441.6</v>
      </c>
      <c r="F925" s="25">
        <f t="array" ref="F925">INDEX(E$5:E$67,MATCH($B925,$B$5:$B$67,0))</f>
        <v>775</v>
      </c>
      <c r="G925" s="25">
        <f t="array" ref="G925">INDEX(F$5:F$67,MATCH($B925,$B$5:$B$67,0))</f>
        <v>62</v>
      </c>
      <c r="H925" s="25">
        <f t="array" ref="H925">INDEX(G$5:G$66,MATCH($B925,$B$5:$B$67,0))</f>
        <v>969</v>
      </c>
      <c r="I925" s="25">
        <f t="array" ref="I925">INDEX(H$5:H$67,MATCH($B925,$B$5:$B$67,0))</f>
        <v>77.52</v>
      </c>
      <c r="J925" s="25">
        <f t="array" ref="J925">INDEX(I$5:I$67,MATCH($B925,$B$5:$B$67,0))</f>
        <v>760</v>
      </c>
      <c r="K925" s="25">
        <f t="array" ref="K925">INDEX(J$5:J$67,MATCH($B925,$B$5:$B$67,0))</f>
        <v>60.8</v>
      </c>
      <c r="L925" s="25">
        <f t="shared" si="624"/>
        <v>8611</v>
      </c>
      <c r="M925" s="25">
        <f t="shared" si="625"/>
        <v>1209</v>
      </c>
      <c r="N925" s="25">
        <f t="shared" si="626"/>
        <v>1512</v>
      </c>
      <c r="O925" s="25">
        <f t="shared" si="627"/>
        <v>1186</v>
      </c>
      <c r="R925" s="50"/>
      <c r="S925" s="51"/>
      <c r="T925" s="29"/>
    </row>
    <row r="926" spans="1:20">
      <c r="A926" s="48">
        <v>1015008</v>
      </c>
      <c r="B926" s="49" t="s">
        <v>342</v>
      </c>
      <c r="C926" s="25">
        <f t="shared" si="623"/>
        <v>8</v>
      </c>
      <c r="D926" s="25">
        <f t="array" ref="D926">INDEX(C$5:C$67,MATCH($B926,$B$5:$B$67,0))</f>
        <v>5520</v>
      </c>
      <c r="E926" s="25">
        <f t="array" ref="E926">INDEX(D$5:D$67,MATCH($B926,$B$5:$B$67,0))</f>
        <v>441.6</v>
      </c>
      <c r="F926" s="25">
        <f t="array" ref="F926">INDEX(E$5:E$67,MATCH($B926,$B$5:$B$67,0))</f>
        <v>775</v>
      </c>
      <c r="G926" s="25">
        <f t="array" ref="G926">INDEX(F$5:F$67,MATCH($B926,$B$5:$B$67,0))</f>
        <v>62</v>
      </c>
      <c r="H926" s="25">
        <f t="array" ref="H926">INDEX(G$5:G$66,MATCH($B926,$B$5:$B$67,0))</f>
        <v>969</v>
      </c>
      <c r="I926" s="25">
        <f t="array" ref="I926">INDEX(H$5:H$67,MATCH($B926,$B$5:$B$67,0))</f>
        <v>77.52</v>
      </c>
      <c r="J926" s="25">
        <f t="array" ref="J926">INDEX(I$5:I$67,MATCH($B926,$B$5:$B$67,0))</f>
        <v>760</v>
      </c>
      <c r="K926" s="25">
        <f t="array" ref="K926">INDEX(J$5:J$67,MATCH($B926,$B$5:$B$67,0))</f>
        <v>60.8</v>
      </c>
      <c r="L926" s="25">
        <f t="shared" si="624"/>
        <v>9053</v>
      </c>
      <c r="M926" s="25">
        <f t="shared" si="625"/>
        <v>1271</v>
      </c>
      <c r="N926" s="25">
        <f t="shared" si="626"/>
        <v>1589</v>
      </c>
      <c r="O926" s="25">
        <f t="shared" si="627"/>
        <v>1246</v>
      </c>
      <c r="R926" s="50"/>
      <c r="S926" s="51"/>
      <c r="T926" s="29"/>
    </row>
    <row r="927" spans="1:20">
      <c r="A927" s="48">
        <v>1015009</v>
      </c>
      <c r="B927" s="49" t="s">
        <v>342</v>
      </c>
      <c r="C927" s="25">
        <f t="shared" si="623"/>
        <v>9</v>
      </c>
      <c r="D927" s="25">
        <f t="array" ref="D927">INDEX(C$5:C$67,MATCH($B927,$B$5:$B$67,0))</f>
        <v>5520</v>
      </c>
      <c r="E927" s="25">
        <f t="array" ref="E927">INDEX(D$5:D$67,MATCH($B927,$B$5:$B$67,0))</f>
        <v>441.6</v>
      </c>
      <c r="F927" s="25">
        <f t="array" ref="F927">INDEX(E$5:E$67,MATCH($B927,$B$5:$B$67,0))</f>
        <v>775</v>
      </c>
      <c r="G927" s="25">
        <f t="array" ref="G927">INDEX(F$5:F$67,MATCH($B927,$B$5:$B$67,0))</f>
        <v>62</v>
      </c>
      <c r="H927" s="25">
        <f t="array" ref="H927">INDEX(G$5:G$66,MATCH($B927,$B$5:$B$67,0))</f>
        <v>969</v>
      </c>
      <c r="I927" s="25">
        <f t="array" ref="I927">INDEX(H$5:H$67,MATCH($B927,$B$5:$B$67,0))</f>
        <v>77.52</v>
      </c>
      <c r="J927" s="25">
        <f t="array" ref="J927">INDEX(I$5:I$67,MATCH($B927,$B$5:$B$67,0))</f>
        <v>760</v>
      </c>
      <c r="K927" s="25">
        <f t="array" ref="K927">INDEX(J$5:J$67,MATCH($B927,$B$5:$B$67,0))</f>
        <v>60.8</v>
      </c>
      <c r="L927" s="25">
        <f t="shared" si="624"/>
        <v>9494</v>
      </c>
      <c r="M927" s="25">
        <f t="shared" si="625"/>
        <v>1333</v>
      </c>
      <c r="N927" s="25">
        <f t="shared" si="626"/>
        <v>1667</v>
      </c>
      <c r="O927" s="25">
        <f t="shared" si="627"/>
        <v>1307</v>
      </c>
      <c r="R927" s="50"/>
      <c r="S927" s="51"/>
      <c r="T927" s="29"/>
    </row>
    <row r="928" spans="1:20">
      <c r="A928" s="48">
        <v>1015010</v>
      </c>
      <c r="B928" s="49" t="s">
        <v>342</v>
      </c>
      <c r="C928" s="25">
        <f t="shared" si="623"/>
        <v>10</v>
      </c>
      <c r="D928" s="25">
        <f t="array" ref="D928">INDEX(C$5:C$67,MATCH($B928,$B$5:$B$67,0))</f>
        <v>5520</v>
      </c>
      <c r="E928" s="25">
        <f t="array" ref="E928">INDEX(D$5:D$67,MATCH($B928,$B$5:$B$67,0))</f>
        <v>441.6</v>
      </c>
      <c r="F928" s="25">
        <f t="array" ref="F928">INDEX(E$5:E$67,MATCH($B928,$B$5:$B$67,0))</f>
        <v>775</v>
      </c>
      <c r="G928" s="25">
        <f t="array" ref="G928">INDEX(F$5:F$67,MATCH($B928,$B$5:$B$67,0))</f>
        <v>62</v>
      </c>
      <c r="H928" s="25">
        <f t="array" ref="H928">INDEX(G$5:G$66,MATCH($B928,$B$5:$B$67,0))</f>
        <v>969</v>
      </c>
      <c r="I928" s="25">
        <f t="array" ref="I928">INDEX(H$5:H$67,MATCH($B928,$B$5:$B$67,0))</f>
        <v>77.52</v>
      </c>
      <c r="J928" s="25">
        <f t="array" ref="J928">INDEX(I$5:I$67,MATCH($B928,$B$5:$B$67,0))</f>
        <v>760</v>
      </c>
      <c r="K928" s="25">
        <f t="array" ref="K928">INDEX(J$5:J$67,MATCH($B928,$B$5:$B$67,0))</f>
        <v>60.8</v>
      </c>
      <c r="L928" s="25">
        <f t="shared" si="624"/>
        <v>9936</v>
      </c>
      <c r="M928" s="25">
        <f t="shared" si="625"/>
        <v>1395</v>
      </c>
      <c r="N928" s="25">
        <f t="shared" si="626"/>
        <v>1744</v>
      </c>
      <c r="O928" s="25">
        <f t="shared" si="627"/>
        <v>1368</v>
      </c>
      <c r="R928" s="50"/>
      <c r="S928" s="51"/>
      <c r="T928" s="29"/>
    </row>
    <row r="929" spans="1:20">
      <c r="A929" s="48">
        <v>1015011</v>
      </c>
      <c r="B929" s="49" t="s">
        <v>342</v>
      </c>
      <c r="C929" s="25">
        <f t="shared" si="623"/>
        <v>11</v>
      </c>
      <c r="D929" s="25">
        <f t="array" ref="D929">INDEX(C$5:C$67,MATCH($B929,$B$5:$B$67,0))</f>
        <v>5520</v>
      </c>
      <c r="E929" s="25">
        <f t="array" ref="E929">INDEX(D$5:D$67,MATCH($B929,$B$5:$B$67,0))</f>
        <v>441.6</v>
      </c>
      <c r="F929" s="25">
        <f t="array" ref="F929">INDEX(E$5:E$67,MATCH($B929,$B$5:$B$67,0))</f>
        <v>775</v>
      </c>
      <c r="G929" s="25">
        <f t="array" ref="G929">INDEX(F$5:F$67,MATCH($B929,$B$5:$B$67,0))</f>
        <v>62</v>
      </c>
      <c r="H929" s="25">
        <f t="array" ref="H929">INDEX(G$5:G$66,MATCH($B929,$B$5:$B$67,0))</f>
        <v>969</v>
      </c>
      <c r="I929" s="25">
        <f t="array" ref="I929">INDEX(H$5:H$67,MATCH($B929,$B$5:$B$67,0))</f>
        <v>77.52</v>
      </c>
      <c r="J929" s="25">
        <f t="array" ref="J929">INDEX(I$5:I$67,MATCH($B929,$B$5:$B$67,0))</f>
        <v>760</v>
      </c>
      <c r="K929" s="25">
        <f t="array" ref="K929">INDEX(J$5:J$67,MATCH($B929,$B$5:$B$67,0))</f>
        <v>60.8</v>
      </c>
      <c r="L929" s="25">
        <f t="shared" si="624"/>
        <v>10378</v>
      </c>
      <c r="M929" s="25">
        <f t="shared" si="625"/>
        <v>1457</v>
      </c>
      <c r="N929" s="25">
        <f t="shared" si="626"/>
        <v>1822</v>
      </c>
      <c r="O929" s="25">
        <f t="shared" si="627"/>
        <v>1429</v>
      </c>
      <c r="R929" s="50"/>
      <c r="S929" s="51"/>
      <c r="T929" s="29"/>
    </row>
    <row r="930" spans="1:20">
      <c r="A930" s="48">
        <v>1015012</v>
      </c>
      <c r="B930" s="49" t="s">
        <v>342</v>
      </c>
      <c r="C930" s="25">
        <f t="shared" si="623"/>
        <v>12</v>
      </c>
      <c r="D930" s="25">
        <f t="array" ref="D930">INDEX(C$5:C$67,MATCH($B930,$B$5:$B$67,0))</f>
        <v>5520</v>
      </c>
      <c r="E930" s="25">
        <f t="array" ref="E930">INDEX(D$5:D$67,MATCH($B930,$B$5:$B$67,0))</f>
        <v>441.6</v>
      </c>
      <c r="F930" s="25">
        <f t="array" ref="F930">INDEX(E$5:E$67,MATCH($B930,$B$5:$B$67,0))</f>
        <v>775</v>
      </c>
      <c r="G930" s="25">
        <f t="array" ref="G930">INDEX(F$5:F$67,MATCH($B930,$B$5:$B$67,0))</f>
        <v>62</v>
      </c>
      <c r="H930" s="25">
        <f t="array" ref="H930">INDEX(G$5:G$66,MATCH($B930,$B$5:$B$67,0))</f>
        <v>969</v>
      </c>
      <c r="I930" s="25">
        <f t="array" ref="I930">INDEX(H$5:H$67,MATCH($B930,$B$5:$B$67,0))</f>
        <v>77.52</v>
      </c>
      <c r="J930" s="25">
        <f t="array" ref="J930">INDEX(I$5:I$67,MATCH($B930,$B$5:$B$67,0))</f>
        <v>760</v>
      </c>
      <c r="K930" s="25">
        <f t="array" ref="K930">INDEX(J$5:J$67,MATCH($B930,$B$5:$B$67,0))</f>
        <v>60.8</v>
      </c>
      <c r="L930" s="25">
        <f t="shared" si="624"/>
        <v>10819</v>
      </c>
      <c r="M930" s="25">
        <f t="shared" si="625"/>
        <v>1519</v>
      </c>
      <c r="N930" s="25">
        <f t="shared" si="626"/>
        <v>1899</v>
      </c>
      <c r="O930" s="25">
        <f t="shared" si="627"/>
        <v>1490</v>
      </c>
      <c r="R930" s="50"/>
      <c r="S930" s="51"/>
      <c r="T930" s="29"/>
    </row>
    <row r="931" spans="1:20">
      <c r="A931" s="48">
        <v>1015013</v>
      </c>
      <c r="B931" s="49" t="s">
        <v>342</v>
      </c>
      <c r="C931" s="25">
        <f t="shared" si="623"/>
        <v>13</v>
      </c>
      <c r="D931" s="25">
        <f t="array" ref="D931">INDEX(C$5:C$67,MATCH($B931,$B$5:$B$67,0))</f>
        <v>5520</v>
      </c>
      <c r="E931" s="25">
        <f t="array" ref="E931">INDEX(D$5:D$67,MATCH($B931,$B$5:$B$67,0))</f>
        <v>441.6</v>
      </c>
      <c r="F931" s="25">
        <f t="array" ref="F931">INDEX(E$5:E$67,MATCH($B931,$B$5:$B$67,0))</f>
        <v>775</v>
      </c>
      <c r="G931" s="25">
        <f t="array" ref="G931">INDEX(F$5:F$67,MATCH($B931,$B$5:$B$67,0))</f>
        <v>62</v>
      </c>
      <c r="H931" s="25">
        <f t="array" ref="H931">INDEX(G$5:G$66,MATCH($B931,$B$5:$B$67,0))</f>
        <v>969</v>
      </c>
      <c r="I931" s="25">
        <f t="array" ref="I931">INDEX(H$5:H$67,MATCH($B931,$B$5:$B$67,0))</f>
        <v>77.52</v>
      </c>
      <c r="J931" s="25">
        <f t="array" ref="J931">INDEX(I$5:I$67,MATCH($B931,$B$5:$B$67,0))</f>
        <v>760</v>
      </c>
      <c r="K931" s="25">
        <f t="array" ref="K931">INDEX(J$5:J$67,MATCH($B931,$B$5:$B$67,0))</f>
        <v>60.8</v>
      </c>
      <c r="L931" s="25">
        <f t="shared" si="624"/>
        <v>11261</v>
      </c>
      <c r="M931" s="25">
        <f t="shared" si="625"/>
        <v>1581</v>
      </c>
      <c r="N931" s="25">
        <f t="shared" si="626"/>
        <v>1977</v>
      </c>
      <c r="O931" s="25">
        <f t="shared" si="627"/>
        <v>1550</v>
      </c>
      <c r="R931" s="50"/>
      <c r="S931" s="51"/>
      <c r="T931" s="29"/>
    </row>
    <row r="932" spans="1:20">
      <c r="A932" s="48">
        <v>1015014</v>
      </c>
      <c r="B932" s="49" t="s">
        <v>342</v>
      </c>
      <c r="C932" s="25">
        <f t="shared" si="623"/>
        <v>14</v>
      </c>
      <c r="D932" s="25">
        <f t="array" ref="D932">INDEX(C$5:C$67,MATCH($B932,$B$5:$B$67,0))</f>
        <v>5520</v>
      </c>
      <c r="E932" s="25">
        <f t="array" ref="E932">INDEX(D$5:D$67,MATCH($B932,$B$5:$B$67,0))</f>
        <v>441.6</v>
      </c>
      <c r="F932" s="25">
        <f t="array" ref="F932">INDEX(E$5:E$67,MATCH($B932,$B$5:$B$67,0))</f>
        <v>775</v>
      </c>
      <c r="G932" s="25">
        <f t="array" ref="G932">INDEX(F$5:F$67,MATCH($B932,$B$5:$B$67,0))</f>
        <v>62</v>
      </c>
      <c r="H932" s="25">
        <f t="array" ref="H932">INDEX(G$5:G$66,MATCH($B932,$B$5:$B$67,0))</f>
        <v>969</v>
      </c>
      <c r="I932" s="25">
        <f t="array" ref="I932">INDEX(H$5:H$67,MATCH($B932,$B$5:$B$67,0))</f>
        <v>77.52</v>
      </c>
      <c r="J932" s="25">
        <f t="array" ref="J932">INDEX(I$5:I$67,MATCH($B932,$B$5:$B$67,0))</f>
        <v>760</v>
      </c>
      <c r="K932" s="25">
        <f t="array" ref="K932">INDEX(J$5:J$67,MATCH($B932,$B$5:$B$67,0))</f>
        <v>60.8</v>
      </c>
      <c r="L932" s="25">
        <f t="shared" si="624"/>
        <v>11702</v>
      </c>
      <c r="M932" s="25">
        <f t="shared" si="625"/>
        <v>1643</v>
      </c>
      <c r="N932" s="25">
        <f t="shared" si="626"/>
        <v>2054</v>
      </c>
      <c r="O932" s="25">
        <f t="shared" si="627"/>
        <v>1611</v>
      </c>
      <c r="R932" s="50"/>
      <c r="S932" s="51"/>
      <c r="T932" s="29"/>
    </row>
    <row r="933" spans="1:20">
      <c r="A933" s="48">
        <v>1015015</v>
      </c>
      <c r="B933" s="49" t="s">
        <v>342</v>
      </c>
      <c r="C933" s="25">
        <f t="shared" si="623"/>
        <v>15</v>
      </c>
      <c r="D933" s="25">
        <f t="array" ref="D933">INDEX(C$5:C$67,MATCH($B933,$B$5:$B$67,0))</f>
        <v>5520</v>
      </c>
      <c r="E933" s="25">
        <f t="array" ref="E933">INDEX(D$5:D$67,MATCH($B933,$B$5:$B$67,0))</f>
        <v>441.6</v>
      </c>
      <c r="F933" s="25">
        <f t="array" ref="F933">INDEX(E$5:E$67,MATCH($B933,$B$5:$B$67,0))</f>
        <v>775</v>
      </c>
      <c r="G933" s="25">
        <f t="array" ref="G933">INDEX(F$5:F$67,MATCH($B933,$B$5:$B$67,0))</f>
        <v>62</v>
      </c>
      <c r="H933" s="25">
        <f t="array" ref="H933">INDEX(G$5:G$66,MATCH($B933,$B$5:$B$67,0))</f>
        <v>969</v>
      </c>
      <c r="I933" s="25">
        <f t="array" ref="I933">INDEX(H$5:H$67,MATCH($B933,$B$5:$B$67,0))</f>
        <v>77.52</v>
      </c>
      <c r="J933" s="25">
        <f t="array" ref="J933">INDEX(I$5:I$67,MATCH($B933,$B$5:$B$67,0))</f>
        <v>760</v>
      </c>
      <c r="K933" s="25">
        <f t="array" ref="K933">INDEX(J$5:J$67,MATCH($B933,$B$5:$B$67,0))</f>
        <v>60.8</v>
      </c>
      <c r="L933" s="25">
        <f t="shared" si="624"/>
        <v>12144</v>
      </c>
      <c r="M933" s="25">
        <f t="shared" si="625"/>
        <v>1705</v>
      </c>
      <c r="N933" s="25">
        <f t="shared" si="626"/>
        <v>2132</v>
      </c>
      <c r="O933" s="25">
        <f t="shared" si="627"/>
        <v>1672</v>
      </c>
      <c r="R933" s="50"/>
      <c r="S933" s="51"/>
      <c r="T933" s="29"/>
    </row>
    <row r="934" spans="1:20">
      <c r="A934" s="48">
        <v>1015016</v>
      </c>
      <c r="B934" s="49" t="s">
        <v>342</v>
      </c>
      <c r="C934" s="25">
        <f t="shared" si="623"/>
        <v>16</v>
      </c>
      <c r="D934" s="25">
        <f t="array" ref="D934">INDEX(C$5:C$67,MATCH($B934,$B$5:$B$67,0))</f>
        <v>5520</v>
      </c>
      <c r="E934" s="25">
        <f t="array" ref="E934">INDEX(D$5:D$67,MATCH($B934,$B$5:$B$67,0))</f>
        <v>441.6</v>
      </c>
      <c r="F934" s="25">
        <f t="array" ref="F934">INDEX(E$5:E$67,MATCH($B934,$B$5:$B$67,0))</f>
        <v>775</v>
      </c>
      <c r="G934" s="25">
        <f t="array" ref="G934">INDEX(F$5:F$67,MATCH($B934,$B$5:$B$67,0))</f>
        <v>62</v>
      </c>
      <c r="H934" s="25">
        <f t="array" ref="H934">INDEX(G$5:G$66,MATCH($B934,$B$5:$B$67,0))</f>
        <v>969</v>
      </c>
      <c r="I934" s="25">
        <f t="array" ref="I934">INDEX(H$5:H$67,MATCH($B934,$B$5:$B$67,0))</f>
        <v>77.52</v>
      </c>
      <c r="J934" s="25">
        <f t="array" ref="J934">INDEX(I$5:I$67,MATCH($B934,$B$5:$B$67,0))</f>
        <v>760</v>
      </c>
      <c r="K934" s="25">
        <f t="array" ref="K934">INDEX(J$5:J$67,MATCH($B934,$B$5:$B$67,0))</f>
        <v>60.8</v>
      </c>
      <c r="L934" s="25">
        <f t="shared" si="624"/>
        <v>12586</v>
      </c>
      <c r="M934" s="25">
        <f t="shared" si="625"/>
        <v>1767</v>
      </c>
      <c r="N934" s="25">
        <f t="shared" si="626"/>
        <v>2209</v>
      </c>
      <c r="O934" s="25">
        <f t="shared" si="627"/>
        <v>1733</v>
      </c>
      <c r="R934" s="50"/>
      <c r="S934" s="51"/>
      <c r="T934" s="29"/>
    </row>
    <row r="935" spans="1:20">
      <c r="A935" s="48">
        <v>1015017</v>
      </c>
      <c r="B935" s="49" t="s">
        <v>342</v>
      </c>
      <c r="C935" s="25">
        <f t="shared" si="623"/>
        <v>17</v>
      </c>
      <c r="D935" s="25">
        <f t="array" ref="D935">INDEX(C$5:C$67,MATCH($B935,$B$5:$B$67,0))</f>
        <v>5520</v>
      </c>
      <c r="E935" s="25">
        <f t="array" ref="E935">INDEX(D$5:D$67,MATCH($B935,$B$5:$B$67,0))</f>
        <v>441.6</v>
      </c>
      <c r="F935" s="25">
        <f t="array" ref="F935">INDEX(E$5:E$67,MATCH($B935,$B$5:$B$67,0))</f>
        <v>775</v>
      </c>
      <c r="G935" s="25">
        <f t="array" ref="G935">INDEX(F$5:F$67,MATCH($B935,$B$5:$B$67,0))</f>
        <v>62</v>
      </c>
      <c r="H935" s="25">
        <f t="array" ref="H935">INDEX(G$5:G$66,MATCH($B935,$B$5:$B$67,0))</f>
        <v>969</v>
      </c>
      <c r="I935" s="25">
        <f t="array" ref="I935">INDEX(H$5:H$67,MATCH($B935,$B$5:$B$67,0))</f>
        <v>77.52</v>
      </c>
      <c r="J935" s="25">
        <f t="array" ref="J935">INDEX(I$5:I$67,MATCH($B935,$B$5:$B$67,0))</f>
        <v>760</v>
      </c>
      <c r="K935" s="25">
        <f t="array" ref="K935">INDEX(J$5:J$67,MATCH($B935,$B$5:$B$67,0))</f>
        <v>60.8</v>
      </c>
      <c r="L935" s="25">
        <f t="shared" si="624"/>
        <v>13027</v>
      </c>
      <c r="M935" s="25">
        <f t="shared" si="625"/>
        <v>1829</v>
      </c>
      <c r="N935" s="25">
        <f t="shared" si="626"/>
        <v>2287</v>
      </c>
      <c r="O935" s="25">
        <f t="shared" si="627"/>
        <v>1794</v>
      </c>
      <c r="R935" s="50"/>
      <c r="S935" s="51"/>
      <c r="T935" s="29"/>
    </row>
    <row r="936" spans="1:20">
      <c r="A936" s="48">
        <v>1015018</v>
      </c>
      <c r="B936" s="49" t="s">
        <v>342</v>
      </c>
      <c r="C936" s="25">
        <f t="shared" si="623"/>
        <v>18</v>
      </c>
      <c r="D936" s="25">
        <f t="array" ref="D936">INDEX(C$5:C$67,MATCH($B936,$B$5:$B$67,0))</f>
        <v>5520</v>
      </c>
      <c r="E936" s="25">
        <f t="array" ref="E936">INDEX(D$5:D$67,MATCH($B936,$B$5:$B$67,0))</f>
        <v>441.6</v>
      </c>
      <c r="F936" s="25">
        <f t="array" ref="F936">INDEX(E$5:E$67,MATCH($B936,$B$5:$B$67,0))</f>
        <v>775</v>
      </c>
      <c r="G936" s="25">
        <f t="array" ref="G936">INDEX(F$5:F$67,MATCH($B936,$B$5:$B$67,0))</f>
        <v>62</v>
      </c>
      <c r="H936" s="25">
        <f t="array" ref="H936">INDEX(G$5:G$66,MATCH($B936,$B$5:$B$67,0))</f>
        <v>969</v>
      </c>
      <c r="I936" s="25">
        <f t="array" ref="I936">INDEX(H$5:H$67,MATCH($B936,$B$5:$B$67,0))</f>
        <v>77.52</v>
      </c>
      <c r="J936" s="25">
        <f t="array" ref="J936">INDEX(I$5:I$67,MATCH($B936,$B$5:$B$67,0))</f>
        <v>760</v>
      </c>
      <c r="K936" s="25">
        <f t="array" ref="K936">INDEX(J$5:J$67,MATCH($B936,$B$5:$B$67,0))</f>
        <v>60.8</v>
      </c>
      <c r="L936" s="25">
        <f t="shared" si="624"/>
        <v>13469</v>
      </c>
      <c r="M936" s="25">
        <f t="shared" si="625"/>
        <v>1891</v>
      </c>
      <c r="N936" s="25">
        <f t="shared" si="626"/>
        <v>2364</v>
      </c>
      <c r="O936" s="25">
        <f t="shared" si="627"/>
        <v>1854</v>
      </c>
      <c r="R936" s="50"/>
      <c r="S936" s="51"/>
      <c r="T936" s="29"/>
    </row>
    <row r="937" spans="1:20">
      <c r="A937" s="48">
        <v>1015019</v>
      </c>
      <c r="B937" s="49" t="s">
        <v>342</v>
      </c>
      <c r="C937" s="25">
        <f t="shared" si="623"/>
        <v>19</v>
      </c>
      <c r="D937" s="25">
        <f t="array" ref="D937">INDEX(C$5:C$67,MATCH($B937,$B$5:$B$67,0))</f>
        <v>5520</v>
      </c>
      <c r="E937" s="25">
        <f t="array" ref="E937">INDEX(D$5:D$67,MATCH($B937,$B$5:$B$67,0))</f>
        <v>441.6</v>
      </c>
      <c r="F937" s="25">
        <f t="array" ref="F937">INDEX(E$5:E$67,MATCH($B937,$B$5:$B$67,0))</f>
        <v>775</v>
      </c>
      <c r="G937" s="25">
        <f t="array" ref="G937">INDEX(F$5:F$67,MATCH($B937,$B$5:$B$67,0))</f>
        <v>62</v>
      </c>
      <c r="H937" s="25">
        <f t="array" ref="H937">INDEX(G$5:G$66,MATCH($B937,$B$5:$B$67,0))</f>
        <v>969</v>
      </c>
      <c r="I937" s="25">
        <f t="array" ref="I937">INDEX(H$5:H$67,MATCH($B937,$B$5:$B$67,0))</f>
        <v>77.52</v>
      </c>
      <c r="J937" s="25">
        <f t="array" ref="J937">INDEX(I$5:I$67,MATCH($B937,$B$5:$B$67,0))</f>
        <v>760</v>
      </c>
      <c r="K937" s="25">
        <f t="array" ref="K937">INDEX(J$5:J$67,MATCH($B937,$B$5:$B$67,0))</f>
        <v>60.8</v>
      </c>
      <c r="L937" s="25">
        <f t="shared" si="624"/>
        <v>13910</v>
      </c>
      <c r="M937" s="25">
        <f t="shared" si="625"/>
        <v>1953</v>
      </c>
      <c r="N937" s="25">
        <f t="shared" si="626"/>
        <v>2442</v>
      </c>
      <c r="O937" s="25">
        <f t="shared" si="627"/>
        <v>1915</v>
      </c>
      <c r="R937" s="50"/>
      <c r="S937" s="51"/>
      <c r="T937" s="29"/>
    </row>
    <row r="938" spans="1:20">
      <c r="A938" s="48">
        <v>1015020</v>
      </c>
      <c r="B938" s="49" t="s">
        <v>342</v>
      </c>
      <c r="C938" s="25">
        <f t="shared" si="623"/>
        <v>20</v>
      </c>
      <c r="D938" s="25">
        <f t="array" ref="D938">INDEX(C$5:C$67,MATCH($B938,$B$5:$B$67,0))</f>
        <v>5520</v>
      </c>
      <c r="E938" s="25">
        <f t="array" ref="E938">INDEX(D$5:D$67,MATCH($B938,$B$5:$B$67,0))</f>
        <v>441.6</v>
      </c>
      <c r="F938" s="25">
        <f t="array" ref="F938">INDEX(E$5:E$67,MATCH($B938,$B$5:$B$67,0))</f>
        <v>775</v>
      </c>
      <c r="G938" s="25">
        <f t="array" ref="G938">INDEX(F$5:F$67,MATCH($B938,$B$5:$B$67,0))</f>
        <v>62</v>
      </c>
      <c r="H938" s="25">
        <f t="array" ref="H938">INDEX(G$5:G$66,MATCH($B938,$B$5:$B$67,0))</f>
        <v>969</v>
      </c>
      <c r="I938" s="25">
        <f t="array" ref="I938">INDEX(H$5:H$67,MATCH($B938,$B$5:$B$67,0))</f>
        <v>77.52</v>
      </c>
      <c r="J938" s="25">
        <f t="array" ref="J938">INDEX(I$5:I$67,MATCH($B938,$B$5:$B$67,0))</f>
        <v>760</v>
      </c>
      <c r="K938" s="25">
        <f t="array" ref="K938">INDEX(J$5:J$67,MATCH($B938,$B$5:$B$67,0))</f>
        <v>60.8</v>
      </c>
      <c r="L938" s="25">
        <f t="shared" si="624"/>
        <v>14352</v>
      </c>
      <c r="M938" s="25">
        <f t="shared" si="625"/>
        <v>2015</v>
      </c>
      <c r="N938" s="25">
        <f t="shared" si="626"/>
        <v>2519</v>
      </c>
      <c r="O938" s="25">
        <f t="shared" si="627"/>
        <v>1976</v>
      </c>
      <c r="R938" s="50"/>
      <c r="S938" s="51"/>
      <c r="T938" s="29"/>
    </row>
    <row r="939" spans="1:20">
      <c r="A939" s="48">
        <v>1015021</v>
      </c>
      <c r="B939" s="49" t="s">
        <v>342</v>
      </c>
      <c r="C939" s="25">
        <f t="shared" si="623"/>
        <v>21</v>
      </c>
      <c r="D939" s="25">
        <f t="array" ref="D939">INDEX(C$5:C$67,MATCH($B939,$B$5:$B$67,0))</f>
        <v>5520</v>
      </c>
      <c r="E939" s="25">
        <f t="array" ref="E939">INDEX(D$5:D$67,MATCH($B939,$B$5:$B$67,0))</f>
        <v>441.6</v>
      </c>
      <c r="F939" s="25">
        <f t="array" ref="F939">INDEX(E$5:E$67,MATCH($B939,$B$5:$B$67,0))</f>
        <v>775</v>
      </c>
      <c r="G939" s="25">
        <f t="array" ref="G939">INDEX(F$5:F$67,MATCH($B939,$B$5:$B$67,0))</f>
        <v>62</v>
      </c>
      <c r="H939" s="25">
        <f t="array" ref="H939">INDEX(G$5:G$66,MATCH($B939,$B$5:$B$67,0))</f>
        <v>969</v>
      </c>
      <c r="I939" s="25">
        <f t="array" ref="I939">INDEX(H$5:H$67,MATCH($B939,$B$5:$B$67,0))</f>
        <v>77.52</v>
      </c>
      <c r="J939" s="25">
        <f t="array" ref="J939">INDEX(I$5:I$67,MATCH($B939,$B$5:$B$67,0))</f>
        <v>760</v>
      </c>
      <c r="K939" s="25">
        <f t="array" ref="K939">INDEX(J$5:J$67,MATCH($B939,$B$5:$B$67,0))</f>
        <v>60.8</v>
      </c>
      <c r="L939" s="25">
        <f t="shared" si="624"/>
        <v>14794</v>
      </c>
      <c r="M939" s="25">
        <f t="shared" si="625"/>
        <v>2077</v>
      </c>
      <c r="N939" s="25">
        <f t="shared" si="626"/>
        <v>2597</v>
      </c>
      <c r="O939" s="25">
        <f t="shared" si="627"/>
        <v>2037</v>
      </c>
      <c r="R939" s="50"/>
      <c r="S939" s="51"/>
      <c r="T939" s="29"/>
    </row>
    <row r="940" spans="1:20">
      <c r="A940" s="48">
        <v>1015022</v>
      </c>
      <c r="B940" s="49" t="s">
        <v>342</v>
      </c>
      <c r="C940" s="25">
        <f t="shared" si="623"/>
        <v>22</v>
      </c>
      <c r="D940" s="25">
        <f t="array" ref="D940">INDEX(C$5:C$67,MATCH($B940,$B$5:$B$67,0))</f>
        <v>5520</v>
      </c>
      <c r="E940" s="25">
        <f t="array" ref="E940">INDEX(D$5:D$67,MATCH($B940,$B$5:$B$67,0))</f>
        <v>441.6</v>
      </c>
      <c r="F940" s="25">
        <f t="array" ref="F940">INDEX(E$5:E$67,MATCH($B940,$B$5:$B$67,0))</f>
        <v>775</v>
      </c>
      <c r="G940" s="25">
        <f t="array" ref="G940">INDEX(F$5:F$67,MATCH($B940,$B$5:$B$67,0))</f>
        <v>62</v>
      </c>
      <c r="H940" s="25">
        <f t="array" ref="H940">INDEX(G$5:G$66,MATCH($B940,$B$5:$B$67,0))</f>
        <v>969</v>
      </c>
      <c r="I940" s="25">
        <f t="array" ref="I940">INDEX(H$5:H$67,MATCH($B940,$B$5:$B$67,0))</f>
        <v>77.52</v>
      </c>
      <c r="J940" s="25">
        <f t="array" ref="J940">INDEX(I$5:I$67,MATCH($B940,$B$5:$B$67,0))</f>
        <v>760</v>
      </c>
      <c r="K940" s="25">
        <f t="array" ref="K940">INDEX(J$5:J$67,MATCH($B940,$B$5:$B$67,0))</f>
        <v>60.8</v>
      </c>
      <c r="L940" s="25">
        <f t="shared" si="624"/>
        <v>15235</v>
      </c>
      <c r="M940" s="25">
        <f t="shared" si="625"/>
        <v>2139</v>
      </c>
      <c r="N940" s="25">
        <f t="shared" si="626"/>
        <v>2674</v>
      </c>
      <c r="O940" s="25">
        <f t="shared" si="627"/>
        <v>2098</v>
      </c>
      <c r="R940" s="50"/>
      <c r="S940" s="51"/>
      <c r="T940" s="29"/>
    </row>
    <row r="941" spans="1:20">
      <c r="A941" s="48">
        <v>1015023</v>
      </c>
      <c r="B941" s="49" t="s">
        <v>342</v>
      </c>
      <c r="C941" s="25">
        <f t="shared" si="623"/>
        <v>23</v>
      </c>
      <c r="D941" s="25">
        <f t="array" ref="D941">INDEX(C$5:C$67,MATCH($B941,$B$5:$B$67,0))</f>
        <v>5520</v>
      </c>
      <c r="E941" s="25">
        <f t="array" ref="E941">INDEX(D$5:D$67,MATCH($B941,$B$5:$B$67,0))</f>
        <v>441.6</v>
      </c>
      <c r="F941" s="25">
        <f t="array" ref="F941">INDEX(E$5:E$67,MATCH($B941,$B$5:$B$67,0))</f>
        <v>775</v>
      </c>
      <c r="G941" s="25">
        <f t="array" ref="G941">INDEX(F$5:F$67,MATCH($B941,$B$5:$B$67,0))</f>
        <v>62</v>
      </c>
      <c r="H941" s="25">
        <f t="array" ref="H941">INDEX(G$5:G$66,MATCH($B941,$B$5:$B$67,0))</f>
        <v>969</v>
      </c>
      <c r="I941" s="25">
        <f t="array" ref="I941">INDEX(H$5:H$67,MATCH($B941,$B$5:$B$67,0))</f>
        <v>77.52</v>
      </c>
      <c r="J941" s="25">
        <f t="array" ref="J941">INDEX(I$5:I$67,MATCH($B941,$B$5:$B$67,0))</f>
        <v>760</v>
      </c>
      <c r="K941" s="25">
        <f t="array" ref="K941">INDEX(J$5:J$67,MATCH($B941,$B$5:$B$67,0))</f>
        <v>60.8</v>
      </c>
      <c r="L941" s="25">
        <f t="shared" si="624"/>
        <v>15677</v>
      </c>
      <c r="M941" s="25">
        <f t="shared" si="625"/>
        <v>2201</v>
      </c>
      <c r="N941" s="25">
        <f t="shared" si="626"/>
        <v>2752</v>
      </c>
      <c r="O941" s="25">
        <f t="shared" si="627"/>
        <v>2158</v>
      </c>
      <c r="R941" s="50"/>
      <c r="S941" s="51"/>
      <c r="T941" s="29"/>
    </row>
    <row r="942" spans="1:20">
      <c r="A942" s="48">
        <v>1015024</v>
      </c>
      <c r="B942" s="49" t="s">
        <v>342</v>
      </c>
      <c r="C942" s="25">
        <f t="shared" si="623"/>
        <v>24</v>
      </c>
      <c r="D942" s="25">
        <f t="array" ref="D942">INDEX(C$5:C$67,MATCH($B942,$B$5:$B$67,0))</f>
        <v>5520</v>
      </c>
      <c r="E942" s="25">
        <f t="array" ref="E942">INDEX(D$5:D$67,MATCH($B942,$B$5:$B$67,0))</f>
        <v>441.6</v>
      </c>
      <c r="F942" s="25">
        <f t="array" ref="F942">INDEX(E$5:E$67,MATCH($B942,$B$5:$B$67,0))</f>
        <v>775</v>
      </c>
      <c r="G942" s="25">
        <f t="array" ref="G942">INDEX(F$5:F$67,MATCH($B942,$B$5:$B$67,0))</f>
        <v>62</v>
      </c>
      <c r="H942" s="25">
        <f t="array" ref="H942">INDEX(G$5:G$66,MATCH($B942,$B$5:$B$67,0))</f>
        <v>969</v>
      </c>
      <c r="I942" s="25">
        <f t="array" ref="I942">INDEX(H$5:H$67,MATCH($B942,$B$5:$B$67,0))</f>
        <v>77.52</v>
      </c>
      <c r="J942" s="25">
        <f t="array" ref="J942">INDEX(I$5:I$67,MATCH($B942,$B$5:$B$67,0))</f>
        <v>760</v>
      </c>
      <c r="K942" s="25">
        <f t="array" ref="K942">INDEX(J$5:J$67,MATCH($B942,$B$5:$B$67,0))</f>
        <v>60.8</v>
      </c>
      <c r="L942" s="25">
        <f t="shared" si="624"/>
        <v>16118</v>
      </c>
      <c r="M942" s="25">
        <f t="shared" si="625"/>
        <v>2263</v>
      </c>
      <c r="N942" s="25">
        <f t="shared" si="626"/>
        <v>2829</v>
      </c>
      <c r="O942" s="25">
        <f t="shared" si="627"/>
        <v>2219</v>
      </c>
      <c r="R942" s="50"/>
      <c r="S942" s="51"/>
      <c r="T942" s="29"/>
    </row>
    <row r="943" spans="1:20">
      <c r="A943" s="48">
        <v>1015025</v>
      </c>
      <c r="B943" s="49" t="s">
        <v>342</v>
      </c>
      <c r="C943" s="25">
        <f t="shared" si="623"/>
        <v>25</v>
      </c>
      <c r="D943" s="25">
        <f t="array" ref="D943">INDEX(C$5:C$67,MATCH($B943,$B$5:$B$67,0))</f>
        <v>5520</v>
      </c>
      <c r="E943" s="25">
        <f t="array" ref="E943">INDEX(D$5:D$67,MATCH($B943,$B$5:$B$67,0))</f>
        <v>441.6</v>
      </c>
      <c r="F943" s="25">
        <f t="array" ref="F943">INDEX(E$5:E$67,MATCH($B943,$B$5:$B$67,0))</f>
        <v>775</v>
      </c>
      <c r="G943" s="25">
        <f t="array" ref="G943">INDEX(F$5:F$67,MATCH($B943,$B$5:$B$67,0))</f>
        <v>62</v>
      </c>
      <c r="H943" s="25">
        <f t="array" ref="H943">INDEX(G$5:G$66,MATCH($B943,$B$5:$B$67,0))</f>
        <v>969</v>
      </c>
      <c r="I943" s="25">
        <f t="array" ref="I943">INDEX(H$5:H$67,MATCH($B943,$B$5:$B$67,0))</f>
        <v>77.52</v>
      </c>
      <c r="J943" s="25">
        <f t="array" ref="J943">INDEX(I$5:I$67,MATCH($B943,$B$5:$B$67,0))</f>
        <v>760</v>
      </c>
      <c r="K943" s="25">
        <f t="array" ref="K943">INDEX(J$5:J$67,MATCH($B943,$B$5:$B$67,0))</f>
        <v>60.8</v>
      </c>
      <c r="L943" s="25">
        <f t="shared" si="624"/>
        <v>16560</v>
      </c>
      <c r="M943" s="25">
        <f t="shared" si="625"/>
        <v>2325</v>
      </c>
      <c r="N943" s="25">
        <f t="shared" si="626"/>
        <v>2907</v>
      </c>
      <c r="O943" s="25">
        <f t="shared" si="627"/>
        <v>2280</v>
      </c>
      <c r="R943" s="50"/>
      <c r="S943" s="51"/>
      <c r="T943" s="29"/>
    </row>
    <row r="944" spans="1:20">
      <c r="A944" s="48">
        <v>1015026</v>
      </c>
      <c r="B944" s="49" t="s">
        <v>342</v>
      </c>
      <c r="C944" s="25">
        <f t="shared" si="623"/>
        <v>26</v>
      </c>
      <c r="D944" s="25">
        <f t="array" ref="D944">INDEX(C$5:C$67,MATCH($B944,$B$5:$B$67,0))</f>
        <v>5520</v>
      </c>
      <c r="E944" s="25">
        <f t="array" ref="E944">INDEX(D$5:D$67,MATCH($B944,$B$5:$B$67,0))</f>
        <v>441.6</v>
      </c>
      <c r="F944" s="25">
        <f t="array" ref="F944">INDEX(E$5:E$67,MATCH($B944,$B$5:$B$67,0))</f>
        <v>775</v>
      </c>
      <c r="G944" s="25">
        <f t="array" ref="G944">INDEX(F$5:F$67,MATCH($B944,$B$5:$B$67,0))</f>
        <v>62</v>
      </c>
      <c r="H944" s="25">
        <f t="array" ref="H944">INDEX(G$5:G$66,MATCH($B944,$B$5:$B$67,0))</f>
        <v>969</v>
      </c>
      <c r="I944" s="25">
        <f t="array" ref="I944">INDEX(H$5:H$67,MATCH($B944,$B$5:$B$67,0))</f>
        <v>77.52</v>
      </c>
      <c r="J944" s="25">
        <f t="array" ref="J944">INDEX(I$5:I$67,MATCH($B944,$B$5:$B$67,0))</f>
        <v>760</v>
      </c>
      <c r="K944" s="25">
        <f t="array" ref="K944">INDEX(J$5:J$67,MATCH($B944,$B$5:$B$67,0))</f>
        <v>60.8</v>
      </c>
      <c r="L944" s="25">
        <f t="shared" si="624"/>
        <v>17002</v>
      </c>
      <c r="M944" s="25">
        <f t="shared" si="625"/>
        <v>2387</v>
      </c>
      <c r="N944" s="25">
        <f t="shared" si="626"/>
        <v>2985</v>
      </c>
      <c r="O944" s="25">
        <f t="shared" si="627"/>
        <v>2341</v>
      </c>
      <c r="R944" s="50"/>
      <c r="S944" s="51"/>
      <c r="T944" s="29"/>
    </row>
    <row r="945" spans="1:20">
      <c r="A945" s="48">
        <v>1015027</v>
      </c>
      <c r="B945" s="49" t="s">
        <v>342</v>
      </c>
      <c r="C945" s="25">
        <f t="shared" si="623"/>
        <v>27</v>
      </c>
      <c r="D945" s="25">
        <f t="array" ref="D945">INDEX(C$5:C$67,MATCH($B945,$B$5:$B$67,0))</f>
        <v>5520</v>
      </c>
      <c r="E945" s="25">
        <f t="array" ref="E945">INDEX(D$5:D$67,MATCH($B945,$B$5:$B$67,0))</f>
        <v>441.6</v>
      </c>
      <c r="F945" s="25">
        <f t="array" ref="F945">INDEX(E$5:E$67,MATCH($B945,$B$5:$B$67,0))</f>
        <v>775</v>
      </c>
      <c r="G945" s="25">
        <f t="array" ref="G945">INDEX(F$5:F$67,MATCH($B945,$B$5:$B$67,0))</f>
        <v>62</v>
      </c>
      <c r="H945" s="25">
        <f t="array" ref="H945">INDEX(G$5:G$66,MATCH($B945,$B$5:$B$67,0))</f>
        <v>969</v>
      </c>
      <c r="I945" s="25">
        <f t="array" ref="I945">INDEX(H$5:H$67,MATCH($B945,$B$5:$B$67,0))</f>
        <v>77.52</v>
      </c>
      <c r="J945" s="25">
        <f t="array" ref="J945">INDEX(I$5:I$67,MATCH($B945,$B$5:$B$67,0))</f>
        <v>760</v>
      </c>
      <c r="K945" s="25">
        <f t="array" ref="K945">INDEX(J$5:J$67,MATCH($B945,$B$5:$B$67,0))</f>
        <v>60.8</v>
      </c>
      <c r="L945" s="25">
        <f t="shared" si="624"/>
        <v>17443</v>
      </c>
      <c r="M945" s="25">
        <f t="shared" si="625"/>
        <v>2449</v>
      </c>
      <c r="N945" s="25">
        <f t="shared" si="626"/>
        <v>3062</v>
      </c>
      <c r="O945" s="25">
        <f t="shared" si="627"/>
        <v>2402</v>
      </c>
      <c r="R945" s="50"/>
      <c r="S945" s="51"/>
      <c r="T945" s="29"/>
    </row>
    <row r="946" spans="1:20">
      <c r="A946" s="48">
        <v>1015028</v>
      </c>
      <c r="B946" s="49" t="s">
        <v>342</v>
      </c>
      <c r="C946" s="25">
        <f t="shared" si="623"/>
        <v>28</v>
      </c>
      <c r="D946" s="25">
        <f t="array" ref="D946">INDEX(C$5:C$67,MATCH($B946,$B$5:$B$67,0))</f>
        <v>5520</v>
      </c>
      <c r="E946" s="25">
        <f t="array" ref="E946">INDEX(D$5:D$67,MATCH($B946,$B$5:$B$67,0))</f>
        <v>441.6</v>
      </c>
      <c r="F946" s="25">
        <f t="array" ref="F946">INDEX(E$5:E$67,MATCH($B946,$B$5:$B$67,0))</f>
        <v>775</v>
      </c>
      <c r="G946" s="25">
        <f t="array" ref="G946">INDEX(F$5:F$67,MATCH($B946,$B$5:$B$67,0))</f>
        <v>62</v>
      </c>
      <c r="H946" s="25">
        <f t="array" ref="H946">INDEX(G$5:G$66,MATCH($B946,$B$5:$B$67,0))</f>
        <v>969</v>
      </c>
      <c r="I946" s="25">
        <f t="array" ref="I946">INDEX(H$5:H$67,MATCH($B946,$B$5:$B$67,0))</f>
        <v>77.52</v>
      </c>
      <c r="J946" s="25">
        <f t="array" ref="J946">INDEX(I$5:I$67,MATCH($B946,$B$5:$B$67,0))</f>
        <v>760</v>
      </c>
      <c r="K946" s="25">
        <f t="array" ref="K946">INDEX(J$5:J$67,MATCH($B946,$B$5:$B$67,0))</f>
        <v>60.8</v>
      </c>
      <c r="L946" s="25">
        <f t="shared" si="624"/>
        <v>17885</v>
      </c>
      <c r="M946" s="25">
        <f t="shared" si="625"/>
        <v>2511</v>
      </c>
      <c r="N946" s="25">
        <f t="shared" si="626"/>
        <v>3140</v>
      </c>
      <c r="O946" s="25">
        <f t="shared" si="627"/>
        <v>2462</v>
      </c>
      <c r="R946" s="50"/>
      <c r="S946" s="51"/>
      <c r="T946" s="29"/>
    </row>
    <row r="947" spans="1:20">
      <c r="A947" s="48">
        <v>1015029</v>
      </c>
      <c r="B947" s="49" t="s">
        <v>342</v>
      </c>
      <c r="C947" s="25">
        <f t="shared" si="623"/>
        <v>29</v>
      </c>
      <c r="D947" s="25">
        <f t="array" ref="D947">INDEX(C$5:C$67,MATCH($B947,$B$5:$B$67,0))</f>
        <v>5520</v>
      </c>
      <c r="E947" s="25">
        <f t="array" ref="E947">INDEX(D$5:D$67,MATCH($B947,$B$5:$B$67,0))</f>
        <v>441.6</v>
      </c>
      <c r="F947" s="25">
        <f t="array" ref="F947">INDEX(E$5:E$67,MATCH($B947,$B$5:$B$67,0))</f>
        <v>775</v>
      </c>
      <c r="G947" s="25">
        <f t="array" ref="G947">INDEX(F$5:F$67,MATCH($B947,$B$5:$B$67,0))</f>
        <v>62</v>
      </c>
      <c r="H947" s="25">
        <f t="array" ref="H947">INDEX(G$5:G$66,MATCH($B947,$B$5:$B$67,0))</f>
        <v>969</v>
      </c>
      <c r="I947" s="25">
        <f t="array" ref="I947">INDEX(H$5:H$67,MATCH($B947,$B$5:$B$67,0))</f>
        <v>77.52</v>
      </c>
      <c r="J947" s="25">
        <f t="array" ref="J947">INDEX(I$5:I$67,MATCH($B947,$B$5:$B$67,0))</f>
        <v>760</v>
      </c>
      <c r="K947" s="25">
        <f t="array" ref="K947">INDEX(J$5:J$67,MATCH($B947,$B$5:$B$67,0))</f>
        <v>60.8</v>
      </c>
      <c r="L947" s="25">
        <f t="shared" si="624"/>
        <v>18326</v>
      </c>
      <c r="M947" s="25">
        <f t="shared" si="625"/>
        <v>2573</v>
      </c>
      <c r="N947" s="25">
        <f t="shared" si="626"/>
        <v>3217</v>
      </c>
      <c r="O947" s="25">
        <f t="shared" si="627"/>
        <v>2523</v>
      </c>
      <c r="R947" s="50"/>
      <c r="S947" s="51"/>
      <c r="T947" s="29"/>
    </row>
    <row r="948" spans="1:20">
      <c r="A948" s="48">
        <v>1015030</v>
      </c>
      <c r="B948" s="49" t="s">
        <v>342</v>
      </c>
      <c r="C948" s="25">
        <f t="shared" si="623"/>
        <v>30</v>
      </c>
      <c r="D948" s="25">
        <f t="array" ref="D948">INDEX(C$5:C$67,MATCH($B948,$B$5:$B$67,0))</f>
        <v>5520</v>
      </c>
      <c r="E948" s="25">
        <f t="array" ref="E948">INDEX(D$5:D$67,MATCH($B948,$B$5:$B$67,0))</f>
        <v>441.6</v>
      </c>
      <c r="F948" s="25">
        <f t="array" ref="F948">INDEX(E$5:E$67,MATCH($B948,$B$5:$B$67,0))</f>
        <v>775</v>
      </c>
      <c r="G948" s="25">
        <f t="array" ref="G948">INDEX(F$5:F$67,MATCH($B948,$B$5:$B$67,0))</f>
        <v>62</v>
      </c>
      <c r="H948" s="25">
        <f t="array" ref="H948">INDEX(G$5:G$66,MATCH($B948,$B$5:$B$67,0))</f>
        <v>969</v>
      </c>
      <c r="I948" s="25">
        <f t="array" ref="I948">INDEX(H$5:H$67,MATCH($B948,$B$5:$B$67,0))</f>
        <v>77.52</v>
      </c>
      <c r="J948" s="25">
        <f t="array" ref="J948">INDEX(I$5:I$67,MATCH($B948,$B$5:$B$67,0))</f>
        <v>760</v>
      </c>
      <c r="K948" s="25">
        <f t="array" ref="K948">INDEX(J$5:J$67,MATCH($B948,$B$5:$B$67,0))</f>
        <v>60.8</v>
      </c>
      <c r="L948" s="25">
        <f t="shared" si="624"/>
        <v>18768</v>
      </c>
      <c r="M948" s="25">
        <f t="shared" si="625"/>
        <v>2635</v>
      </c>
      <c r="N948" s="25">
        <f t="shared" si="626"/>
        <v>3295</v>
      </c>
      <c r="O948" s="25">
        <f t="shared" si="627"/>
        <v>2584</v>
      </c>
      <c r="R948" s="50"/>
      <c r="S948" s="51"/>
      <c r="T948" s="29"/>
    </row>
    <row r="949" spans="1:20">
      <c r="A949" s="48">
        <v>1015031</v>
      </c>
      <c r="B949" s="49" t="s">
        <v>342</v>
      </c>
      <c r="C949" s="25">
        <f t="shared" si="623"/>
        <v>31</v>
      </c>
      <c r="D949" s="25">
        <f t="array" ref="D949">INDEX(C$5:C$67,MATCH($B949,$B$5:$B$67,0))</f>
        <v>5520</v>
      </c>
      <c r="E949" s="25">
        <f t="array" ref="E949">INDEX(D$5:D$67,MATCH($B949,$B$5:$B$67,0))</f>
        <v>441.6</v>
      </c>
      <c r="F949" s="25">
        <f t="array" ref="F949">INDEX(E$5:E$67,MATCH($B949,$B$5:$B$67,0))</f>
        <v>775</v>
      </c>
      <c r="G949" s="25">
        <f t="array" ref="G949">INDEX(F$5:F$67,MATCH($B949,$B$5:$B$67,0))</f>
        <v>62</v>
      </c>
      <c r="H949" s="25">
        <f t="array" ref="H949">INDEX(G$5:G$66,MATCH($B949,$B$5:$B$67,0))</f>
        <v>969</v>
      </c>
      <c r="I949" s="25">
        <f t="array" ref="I949">INDEX(H$5:H$67,MATCH($B949,$B$5:$B$67,0))</f>
        <v>77.52</v>
      </c>
      <c r="J949" s="25">
        <f t="array" ref="J949">INDEX(I$5:I$67,MATCH($B949,$B$5:$B$67,0))</f>
        <v>760</v>
      </c>
      <c r="K949" s="25">
        <f t="array" ref="K949">INDEX(J$5:J$67,MATCH($B949,$B$5:$B$67,0))</f>
        <v>60.8</v>
      </c>
      <c r="L949" s="25">
        <f t="shared" si="624"/>
        <v>19210</v>
      </c>
      <c r="M949" s="25">
        <f t="shared" si="625"/>
        <v>2697</v>
      </c>
      <c r="N949" s="25">
        <f t="shared" si="626"/>
        <v>3372</v>
      </c>
      <c r="O949" s="25">
        <f t="shared" si="627"/>
        <v>2645</v>
      </c>
      <c r="R949" s="50"/>
      <c r="S949" s="51"/>
      <c r="T949" s="29"/>
    </row>
    <row r="950" spans="1:20">
      <c r="A950" s="48">
        <v>1015032</v>
      </c>
      <c r="B950" s="49" t="s">
        <v>342</v>
      </c>
      <c r="C950" s="25">
        <f t="shared" si="623"/>
        <v>32</v>
      </c>
      <c r="D950" s="25">
        <f t="array" ref="D950">INDEX(C$5:C$67,MATCH($B950,$B$5:$B$67,0))</f>
        <v>5520</v>
      </c>
      <c r="E950" s="25">
        <f t="array" ref="E950">INDEX(D$5:D$67,MATCH($B950,$B$5:$B$67,0))</f>
        <v>441.6</v>
      </c>
      <c r="F950" s="25">
        <f t="array" ref="F950">INDEX(E$5:E$67,MATCH($B950,$B$5:$B$67,0))</f>
        <v>775</v>
      </c>
      <c r="G950" s="25">
        <f t="array" ref="G950">INDEX(F$5:F$67,MATCH($B950,$B$5:$B$67,0))</f>
        <v>62</v>
      </c>
      <c r="H950" s="25">
        <f t="array" ref="H950">INDEX(G$5:G$66,MATCH($B950,$B$5:$B$67,0))</f>
        <v>969</v>
      </c>
      <c r="I950" s="25">
        <f t="array" ref="I950">INDEX(H$5:H$67,MATCH($B950,$B$5:$B$67,0))</f>
        <v>77.52</v>
      </c>
      <c r="J950" s="25">
        <f t="array" ref="J950">INDEX(I$5:I$67,MATCH($B950,$B$5:$B$67,0))</f>
        <v>760</v>
      </c>
      <c r="K950" s="25">
        <f t="array" ref="K950">INDEX(J$5:J$67,MATCH($B950,$B$5:$B$67,0))</f>
        <v>60.8</v>
      </c>
      <c r="L950" s="25">
        <f t="shared" si="624"/>
        <v>19651</v>
      </c>
      <c r="M950" s="25">
        <f t="shared" si="625"/>
        <v>2759</v>
      </c>
      <c r="N950" s="25">
        <f t="shared" si="626"/>
        <v>3450</v>
      </c>
      <c r="O950" s="25">
        <f t="shared" si="627"/>
        <v>2706</v>
      </c>
      <c r="R950" s="50"/>
      <c r="S950" s="51"/>
      <c r="T950" s="29"/>
    </row>
    <row r="951" spans="1:20">
      <c r="A951" s="48">
        <v>1015033</v>
      </c>
      <c r="B951" s="49" t="s">
        <v>342</v>
      </c>
      <c r="C951" s="25">
        <f t="shared" si="623"/>
        <v>33</v>
      </c>
      <c r="D951" s="25">
        <f t="array" ref="D951">INDEX(C$5:C$67,MATCH($B951,$B$5:$B$67,0))</f>
        <v>5520</v>
      </c>
      <c r="E951" s="25">
        <f t="array" ref="E951">INDEX(D$5:D$67,MATCH($B951,$B$5:$B$67,0))</f>
        <v>441.6</v>
      </c>
      <c r="F951" s="25">
        <f t="array" ref="F951">INDEX(E$5:E$67,MATCH($B951,$B$5:$B$67,0))</f>
        <v>775</v>
      </c>
      <c r="G951" s="25">
        <f t="array" ref="G951">INDEX(F$5:F$67,MATCH($B951,$B$5:$B$67,0))</f>
        <v>62</v>
      </c>
      <c r="H951" s="25">
        <f t="array" ref="H951">INDEX(G$5:G$66,MATCH($B951,$B$5:$B$67,0))</f>
        <v>969</v>
      </c>
      <c r="I951" s="25">
        <f t="array" ref="I951">INDEX(H$5:H$67,MATCH($B951,$B$5:$B$67,0))</f>
        <v>77.52</v>
      </c>
      <c r="J951" s="25">
        <f t="array" ref="J951">INDEX(I$5:I$67,MATCH($B951,$B$5:$B$67,0))</f>
        <v>760</v>
      </c>
      <c r="K951" s="25">
        <f t="array" ref="K951">INDEX(J$5:J$67,MATCH($B951,$B$5:$B$67,0))</f>
        <v>60.8</v>
      </c>
      <c r="L951" s="25">
        <f t="shared" si="624"/>
        <v>20093</v>
      </c>
      <c r="M951" s="25">
        <f t="shared" si="625"/>
        <v>2821</v>
      </c>
      <c r="N951" s="25">
        <f t="shared" si="626"/>
        <v>3527</v>
      </c>
      <c r="O951" s="25">
        <f t="shared" si="627"/>
        <v>2766</v>
      </c>
      <c r="R951" s="50"/>
      <c r="S951" s="51"/>
      <c r="T951" s="29"/>
    </row>
    <row r="952" spans="1:20">
      <c r="A952" s="48">
        <v>1015034</v>
      </c>
      <c r="B952" s="49" t="s">
        <v>342</v>
      </c>
      <c r="C952" s="25">
        <f t="shared" si="623"/>
        <v>34</v>
      </c>
      <c r="D952" s="25">
        <f t="array" ref="D952">INDEX(C$5:C$67,MATCH($B952,$B$5:$B$67,0))</f>
        <v>5520</v>
      </c>
      <c r="E952" s="25">
        <f t="array" ref="E952">INDEX(D$5:D$67,MATCH($B952,$B$5:$B$67,0))</f>
        <v>441.6</v>
      </c>
      <c r="F952" s="25">
        <f t="array" ref="F952">INDEX(E$5:E$67,MATCH($B952,$B$5:$B$67,0))</f>
        <v>775</v>
      </c>
      <c r="G952" s="25">
        <f t="array" ref="G952">INDEX(F$5:F$67,MATCH($B952,$B$5:$B$67,0))</f>
        <v>62</v>
      </c>
      <c r="H952" s="25">
        <f t="array" ref="H952">INDEX(G$5:G$66,MATCH($B952,$B$5:$B$67,0))</f>
        <v>969</v>
      </c>
      <c r="I952" s="25">
        <f t="array" ref="I952">INDEX(H$5:H$67,MATCH($B952,$B$5:$B$67,0))</f>
        <v>77.52</v>
      </c>
      <c r="J952" s="25">
        <f t="array" ref="J952">INDEX(I$5:I$67,MATCH($B952,$B$5:$B$67,0))</f>
        <v>760</v>
      </c>
      <c r="K952" s="25">
        <f t="array" ref="K952">INDEX(J$5:J$67,MATCH($B952,$B$5:$B$67,0))</f>
        <v>60.8</v>
      </c>
      <c r="L952" s="25">
        <f t="shared" si="624"/>
        <v>20534</v>
      </c>
      <c r="M952" s="25">
        <f t="shared" si="625"/>
        <v>2883</v>
      </c>
      <c r="N952" s="25">
        <f t="shared" si="626"/>
        <v>3605</v>
      </c>
      <c r="O952" s="25">
        <f t="shared" si="627"/>
        <v>2827</v>
      </c>
      <c r="R952" s="50"/>
      <c r="S952" s="51"/>
      <c r="T952" s="29"/>
    </row>
    <row r="953" spans="1:20">
      <c r="A953" s="48">
        <v>1015035</v>
      </c>
      <c r="B953" s="49" t="s">
        <v>342</v>
      </c>
      <c r="C953" s="25">
        <f t="shared" si="623"/>
        <v>35</v>
      </c>
      <c r="D953" s="25">
        <f t="array" ref="D953">INDEX(C$5:C$67,MATCH($B953,$B$5:$B$67,0))</f>
        <v>5520</v>
      </c>
      <c r="E953" s="25">
        <f t="array" ref="E953">INDEX(D$5:D$67,MATCH($B953,$B$5:$B$67,0))</f>
        <v>441.6</v>
      </c>
      <c r="F953" s="25">
        <f t="array" ref="F953">INDEX(E$5:E$67,MATCH($B953,$B$5:$B$67,0))</f>
        <v>775</v>
      </c>
      <c r="G953" s="25">
        <f t="array" ref="G953">INDEX(F$5:F$67,MATCH($B953,$B$5:$B$67,0))</f>
        <v>62</v>
      </c>
      <c r="H953" s="25">
        <f t="array" ref="H953">INDEX(G$5:G$66,MATCH($B953,$B$5:$B$67,0))</f>
        <v>969</v>
      </c>
      <c r="I953" s="25">
        <f t="array" ref="I953">INDEX(H$5:H$67,MATCH($B953,$B$5:$B$67,0))</f>
        <v>77.52</v>
      </c>
      <c r="J953" s="25">
        <f t="array" ref="J953">INDEX(I$5:I$67,MATCH($B953,$B$5:$B$67,0))</f>
        <v>760</v>
      </c>
      <c r="K953" s="25">
        <f t="array" ref="K953">INDEX(J$5:J$67,MATCH($B953,$B$5:$B$67,0))</f>
        <v>60.8</v>
      </c>
      <c r="L953" s="25">
        <f t="shared" si="624"/>
        <v>20976</v>
      </c>
      <c r="M953" s="25">
        <f t="shared" si="625"/>
        <v>2945</v>
      </c>
      <c r="N953" s="25">
        <f t="shared" si="626"/>
        <v>3682</v>
      </c>
      <c r="O953" s="25">
        <f t="shared" si="627"/>
        <v>2888</v>
      </c>
      <c r="R953" s="50"/>
      <c r="S953" s="51"/>
      <c r="T953" s="29"/>
    </row>
    <row r="954" spans="1:20">
      <c r="A954" s="48">
        <v>1015036</v>
      </c>
      <c r="B954" s="49" t="s">
        <v>342</v>
      </c>
      <c r="C954" s="25">
        <f t="shared" si="623"/>
        <v>36</v>
      </c>
      <c r="D954" s="25">
        <f t="array" ref="D954">INDEX(C$5:C$67,MATCH($B954,$B$5:$B$67,0))</f>
        <v>5520</v>
      </c>
      <c r="E954" s="25">
        <f t="array" ref="E954">INDEX(D$5:D$67,MATCH($B954,$B$5:$B$67,0))</f>
        <v>441.6</v>
      </c>
      <c r="F954" s="25">
        <f t="array" ref="F954">INDEX(E$5:E$67,MATCH($B954,$B$5:$B$67,0))</f>
        <v>775</v>
      </c>
      <c r="G954" s="25">
        <f t="array" ref="G954">INDEX(F$5:F$67,MATCH($B954,$B$5:$B$67,0))</f>
        <v>62</v>
      </c>
      <c r="H954" s="25">
        <f t="array" ref="H954">INDEX(G$5:G$66,MATCH($B954,$B$5:$B$67,0))</f>
        <v>969</v>
      </c>
      <c r="I954" s="25">
        <f t="array" ref="I954">INDEX(H$5:H$67,MATCH($B954,$B$5:$B$67,0))</f>
        <v>77.52</v>
      </c>
      <c r="J954" s="25">
        <f t="array" ref="J954">INDEX(I$5:I$67,MATCH($B954,$B$5:$B$67,0))</f>
        <v>760</v>
      </c>
      <c r="K954" s="25">
        <f t="array" ref="K954">INDEX(J$5:J$67,MATCH($B954,$B$5:$B$67,0))</f>
        <v>60.8</v>
      </c>
      <c r="L954" s="25">
        <f t="shared" si="624"/>
        <v>21418</v>
      </c>
      <c r="M954" s="25">
        <f t="shared" si="625"/>
        <v>3007</v>
      </c>
      <c r="N954" s="25">
        <f t="shared" si="626"/>
        <v>3760</v>
      </c>
      <c r="O954" s="25">
        <f t="shared" si="627"/>
        <v>2949</v>
      </c>
      <c r="R954" s="50"/>
      <c r="S954" s="51"/>
      <c r="T954" s="29"/>
    </row>
    <row r="955" spans="1:20">
      <c r="A955" s="48">
        <v>1015037</v>
      </c>
      <c r="B955" s="49" t="s">
        <v>342</v>
      </c>
      <c r="C955" s="25">
        <f t="shared" si="623"/>
        <v>37</v>
      </c>
      <c r="D955" s="25">
        <f t="array" ref="D955">INDEX(C$5:C$67,MATCH($B955,$B$5:$B$67,0))</f>
        <v>5520</v>
      </c>
      <c r="E955" s="25">
        <f t="array" ref="E955">INDEX(D$5:D$67,MATCH($B955,$B$5:$B$67,0))</f>
        <v>441.6</v>
      </c>
      <c r="F955" s="25">
        <f t="array" ref="F955">INDEX(E$5:E$67,MATCH($B955,$B$5:$B$67,0))</f>
        <v>775</v>
      </c>
      <c r="G955" s="25">
        <f t="array" ref="G955">INDEX(F$5:F$67,MATCH($B955,$B$5:$B$67,0))</f>
        <v>62</v>
      </c>
      <c r="H955" s="25">
        <f t="array" ref="H955">INDEX(G$5:G$66,MATCH($B955,$B$5:$B$67,0))</f>
        <v>969</v>
      </c>
      <c r="I955" s="25">
        <f t="array" ref="I955">INDEX(H$5:H$67,MATCH($B955,$B$5:$B$67,0))</f>
        <v>77.52</v>
      </c>
      <c r="J955" s="25">
        <f t="array" ref="J955">INDEX(I$5:I$67,MATCH($B955,$B$5:$B$67,0))</f>
        <v>760</v>
      </c>
      <c r="K955" s="25">
        <f t="array" ref="K955">INDEX(J$5:J$67,MATCH($B955,$B$5:$B$67,0))</f>
        <v>60.8</v>
      </c>
      <c r="L955" s="25">
        <f t="shared" si="624"/>
        <v>21859</v>
      </c>
      <c r="M955" s="25">
        <f t="shared" si="625"/>
        <v>3069</v>
      </c>
      <c r="N955" s="25">
        <f t="shared" si="626"/>
        <v>3837</v>
      </c>
      <c r="O955" s="25">
        <f t="shared" si="627"/>
        <v>3010</v>
      </c>
      <c r="R955" s="50"/>
      <c r="S955" s="51"/>
      <c r="T955" s="29"/>
    </row>
    <row r="956" spans="1:20">
      <c r="A956" s="48">
        <v>1015038</v>
      </c>
      <c r="B956" s="49" t="s">
        <v>342</v>
      </c>
      <c r="C956" s="25">
        <f t="shared" si="623"/>
        <v>38</v>
      </c>
      <c r="D956" s="25">
        <f t="array" ref="D956">INDEX(C$5:C$67,MATCH($B956,$B$5:$B$67,0))</f>
        <v>5520</v>
      </c>
      <c r="E956" s="25">
        <f t="array" ref="E956">INDEX(D$5:D$67,MATCH($B956,$B$5:$B$67,0))</f>
        <v>441.6</v>
      </c>
      <c r="F956" s="25">
        <f t="array" ref="F956">INDEX(E$5:E$67,MATCH($B956,$B$5:$B$67,0))</f>
        <v>775</v>
      </c>
      <c r="G956" s="25">
        <f t="array" ref="G956">INDEX(F$5:F$67,MATCH($B956,$B$5:$B$67,0))</f>
        <v>62</v>
      </c>
      <c r="H956" s="25">
        <f t="array" ref="H956">INDEX(G$5:G$66,MATCH($B956,$B$5:$B$67,0))</f>
        <v>969</v>
      </c>
      <c r="I956" s="25">
        <f t="array" ref="I956">INDEX(H$5:H$67,MATCH($B956,$B$5:$B$67,0))</f>
        <v>77.52</v>
      </c>
      <c r="J956" s="25">
        <f t="array" ref="J956">INDEX(I$5:I$67,MATCH($B956,$B$5:$B$67,0))</f>
        <v>760</v>
      </c>
      <c r="K956" s="25">
        <f t="array" ref="K956">INDEX(J$5:J$67,MATCH($B956,$B$5:$B$67,0))</f>
        <v>60.8</v>
      </c>
      <c r="L956" s="25">
        <f t="shared" si="624"/>
        <v>22301</v>
      </c>
      <c r="M956" s="25">
        <f t="shared" si="625"/>
        <v>3131</v>
      </c>
      <c r="N956" s="25">
        <f t="shared" si="626"/>
        <v>3915</v>
      </c>
      <c r="O956" s="25">
        <f t="shared" si="627"/>
        <v>3070</v>
      </c>
      <c r="R956" s="50"/>
      <c r="S956" s="51"/>
      <c r="T956" s="29"/>
    </row>
    <row r="957" spans="1:20">
      <c r="A957" s="48">
        <v>1015039</v>
      </c>
      <c r="B957" s="49" t="s">
        <v>342</v>
      </c>
      <c r="C957" s="25">
        <f t="shared" si="623"/>
        <v>39</v>
      </c>
      <c r="D957" s="25">
        <f t="array" ref="D957">INDEX(C$5:C$67,MATCH($B957,$B$5:$B$67,0))</f>
        <v>5520</v>
      </c>
      <c r="E957" s="25">
        <f t="array" ref="E957">INDEX(D$5:D$67,MATCH($B957,$B$5:$B$67,0))</f>
        <v>441.6</v>
      </c>
      <c r="F957" s="25">
        <f t="array" ref="F957">INDEX(E$5:E$67,MATCH($B957,$B$5:$B$67,0))</f>
        <v>775</v>
      </c>
      <c r="G957" s="25">
        <f t="array" ref="G957">INDEX(F$5:F$67,MATCH($B957,$B$5:$B$67,0))</f>
        <v>62</v>
      </c>
      <c r="H957" s="25">
        <f t="array" ref="H957">INDEX(G$5:G$66,MATCH($B957,$B$5:$B$67,0))</f>
        <v>969</v>
      </c>
      <c r="I957" s="25">
        <f t="array" ref="I957">INDEX(H$5:H$67,MATCH($B957,$B$5:$B$67,0))</f>
        <v>77.52</v>
      </c>
      <c r="J957" s="25">
        <f t="array" ref="J957">INDEX(I$5:I$67,MATCH($B957,$B$5:$B$67,0))</f>
        <v>760</v>
      </c>
      <c r="K957" s="25">
        <f t="array" ref="K957">INDEX(J$5:J$67,MATCH($B957,$B$5:$B$67,0))</f>
        <v>60.8</v>
      </c>
      <c r="L957" s="25">
        <f t="shared" si="624"/>
        <v>22742</v>
      </c>
      <c r="M957" s="25">
        <f t="shared" si="625"/>
        <v>3193</v>
      </c>
      <c r="N957" s="25">
        <f t="shared" si="626"/>
        <v>3992</v>
      </c>
      <c r="O957" s="25">
        <f t="shared" si="627"/>
        <v>3131</v>
      </c>
      <c r="R957" s="50"/>
      <c r="S957" s="51"/>
      <c r="T957" s="29"/>
    </row>
    <row r="958" spans="1:20">
      <c r="A958" s="48">
        <v>1015040</v>
      </c>
      <c r="B958" s="49" t="s">
        <v>342</v>
      </c>
      <c r="C958" s="25">
        <f t="shared" si="623"/>
        <v>40</v>
      </c>
      <c r="D958" s="25">
        <f t="array" ref="D958">INDEX(C$5:C$67,MATCH($B958,$B$5:$B$67,0))</f>
        <v>5520</v>
      </c>
      <c r="E958" s="25">
        <f t="array" ref="E958">INDEX(D$5:D$67,MATCH($B958,$B$5:$B$67,0))</f>
        <v>441.6</v>
      </c>
      <c r="F958" s="25">
        <f t="array" ref="F958">INDEX(E$5:E$67,MATCH($B958,$B$5:$B$67,0))</f>
        <v>775</v>
      </c>
      <c r="G958" s="25">
        <f t="array" ref="G958">INDEX(F$5:F$67,MATCH($B958,$B$5:$B$67,0))</f>
        <v>62</v>
      </c>
      <c r="H958" s="25">
        <f t="array" ref="H958">INDEX(G$5:G$66,MATCH($B958,$B$5:$B$67,0))</f>
        <v>969</v>
      </c>
      <c r="I958" s="25">
        <f t="array" ref="I958">INDEX(H$5:H$67,MATCH($B958,$B$5:$B$67,0))</f>
        <v>77.52</v>
      </c>
      <c r="J958" s="25">
        <f t="array" ref="J958">INDEX(I$5:I$67,MATCH($B958,$B$5:$B$67,0))</f>
        <v>760</v>
      </c>
      <c r="K958" s="25">
        <f t="array" ref="K958">INDEX(J$5:J$67,MATCH($B958,$B$5:$B$67,0))</f>
        <v>60.8</v>
      </c>
      <c r="L958" s="25">
        <f t="shared" si="624"/>
        <v>23184</v>
      </c>
      <c r="M958" s="25">
        <f t="shared" si="625"/>
        <v>3255</v>
      </c>
      <c r="N958" s="25">
        <f t="shared" si="626"/>
        <v>4070</v>
      </c>
      <c r="O958" s="25">
        <f t="shared" si="627"/>
        <v>3192</v>
      </c>
      <c r="R958" s="50"/>
      <c r="S958" s="51"/>
      <c r="T958" s="29"/>
    </row>
    <row r="959" spans="1:20">
      <c r="A959" s="48">
        <v>1015041</v>
      </c>
      <c r="B959" s="49" t="s">
        <v>342</v>
      </c>
      <c r="C959" s="25">
        <f t="shared" si="623"/>
        <v>41</v>
      </c>
      <c r="D959" s="25">
        <f t="array" ref="D959">INDEX(C$5:C$67,MATCH($B959,$B$5:$B$67,0))</f>
        <v>5520</v>
      </c>
      <c r="E959" s="25">
        <f t="array" ref="E959">INDEX(D$5:D$67,MATCH($B959,$B$5:$B$67,0))</f>
        <v>441.6</v>
      </c>
      <c r="F959" s="25">
        <f t="array" ref="F959">INDEX(E$5:E$67,MATCH($B959,$B$5:$B$67,0))</f>
        <v>775</v>
      </c>
      <c r="G959" s="25">
        <f t="array" ref="G959">INDEX(F$5:F$67,MATCH($B959,$B$5:$B$67,0))</f>
        <v>62</v>
      </c>
      <c r="H959" s="25">
        <f t="array" ref="H959">INDEX(G$5:G$66,MATCH($B959,$B$5:$B$67,0))</f>
        <v>969</v>
      </c>
      <c r="I959" s="25">
        <f t="array" ref="I959">INDEX(H$5:H$67,MATCH($B959,$B$5:$B$67,0))</f>
        <v>77.52</v>
      </c>
      <c r="J959" s="25">
        <f t="array" ref="J959">INDEX(I$5:I$67,MATCH($B959,$B$5:$B$67,0))</f>
        <v>760</v>
      </c>
      <c r="K959" s="25">
        <f t="array" ref="K959">INDEX(J$5:J$67,MATCH($B959,$B$5:$B$67,0))</f>
        <v>60.8</v>
      </c>
      <c r="L959" s="25">
        <f t="shared" si="624"/>
        <v>23626</v>
      </c>
      <c r="M959" s="25">
        <f t="shared" si="625"/>
        <v>3317</v>
      </c>
      <c r="N959" s="25">
        <f t="shared" si="626"/>
        <v>4147</v>
      </c>
      <c r="O959" s="25">
        <f t="shared" si="627"/>
        <v>3253</v>
      </c>
      <c r="R959" s="50"/>
      <c r="S959" s="51"/>
      <c r="T959" s="29"/>
    </row>
    <row r="960" spans="1:20">
      <c r="A960" s="48">
        <v>1015042</v>
      </c>
      <c r="B960" s="49" t="s">
        <v>342</v>
      </c>
      <c r="C960" s="25">
        <f t="shared" si="623"/>
        <v>42</v>
      </c>
      <c r="D960" s="25">
        <f t="array" ref="D960">INDEX(C$5:C$67,MATCH($B960,$B$5:$B$67,0))</f>
        <v>5520</v>
      </c>
      <c r="E960" s="25">
        <f t="array" ref="E960">INDEX(D$5:D$67,MATCH($B960,$B$5:$B$67,0))</f>
        <v>441.6</v>
      </c>
      <c r="F960" s="25">
        <f t="array" ref="F960">INDEX(E$5:E$67,MATCH($B960,$B$5:$B$67,0))</f>
        <v>775</v>
      </c>
      <c r="G960" s="25">
        <f t="array" ref="G960">INDEX(F$5:F$67,MATCH($B960,$B$5:$B$67,0))</f>
        <v>62</v>
      </c>
      <c r="H960" s="25">
        <f t="array" ref="H960">INDEX(G$5:G$66,MATCH($B960,$B$5:$B$67,0))</f>
        <v>969</v>
      </c>
      <c r="I960" s="25">
        <f t="array" ref="I960">INDEX(H$5:H$67,MATCH($B960,$B$5:$B$67,0))</f>
        <v>77.52</v>
      </c>
      <c r="J960" s="25">
        <f t="array" ref="J960">INDEX(I$5:I$67,MATCH($B960,$B$5:$B$67,0))</f>
        <v>760</v>
      </c>
      <c r="K960" s="25">
        <f t="array" ref="K960">INDEX(J$5:J$67,MATCH($B960,$B$5:$B$67,0))</f>
        <v>60.8</v>
      </c>
      <c r="L960" s="25">
        <f t="shared" si="624"/>
        <v>24067</v>
      </c>
      <c r="M960" s="25">
        <f t="shared" si="625"/>
        <v>3379</v>
      </c>
      <c r="N960" s="25">
        <f t="shared" si="626"/>
        <v>4225</v>
      </c>
      <c r="O960" s="25">
        <f t="shared" si="627"/>
        <v>3314</v>
      </c>
      <c r="R960" s="50"/>
      <c r="S960" s="51"/>
      <c r="T960" s="29"/>
    </row>
    <row r="961" spans="1:20">
      <c r="A961" s="48">
        <v>1015043</v>
      </c>
      <c r="B961" s="49" t="s">
        <v>342</v>
      </c>
      <c r="C961" s="25">
        <f t="shared" si="623"/>
        <v>43</v>
      </c>
      <c r="D961" s="25">
        <f t="array" ref="D961">INDEX(C$5:C$67,MATCH($B961,$B$5:$B$67,0))</f>
        <v>5520</v>
      </c>
      <c r="E961" s="25">
        <f t="array" ref="E961">INDEX(D$5:D$67,MATCH($B961,$B$5:$B$67,0))</f>
        <v>441.6</v>
      </c>
      <c r="F961" s="25">
        <f t="array" ref="F961">INDEX(E$5:E$67,MATCH($B961,$B$5:$B$67,0))</f>
        <v>775</v>
      </c>
      <c r="G961" s="25">
        <f t="array" ref="G961">INDEX(F$5:F$67,MATCH($B961,$B$5:$B$67,0))</f>
        <v>62</v>
      </c>
      <c r="H961" s="25">
        <f t="array" ref="H961">INDEX(G$5:G$66,MATCH($B961,$B$5:$B$67,0))</f>
        <v>969</v>
      </c>
      <c r="I961" s="25">
        <f t="array" ref="I961">INDEX(H$5:H$67,MATCH($B961,$B$5:$B$67,0))</f>
        <v>77.52</v>
      </c>
      <c r="J961" s="25">
        <f t="array" ref="J961">INDEX(I$5:I$67,MATCH($B961,$B$5:$B$67,0))</f>
        <v>760</v>
      </c>
      <c r="K961" s="25">
        <f t="array" ref="K961">INDEX(J$5:J$67,MATCH($B961,$B$5:$B$67,0))</f>
        <v>60.8</v>
      </c>
      <c r="L961" s="25">
        <f t="shared" si="624"/>
        <v>24509</v>
      </c>
      <c r="M961" s="25">
        <f t="shared" si="625"/>
        <v>3441</v>
      </c>
      <c r="N961" s="25">
        <f t="shared" si="626"/>
        <v>4302</v>
      </c>
      <c r="O961" s="25">
        <f t="shared" si="627"/>
        <v>3374</v>
      </c>
      <c r="R961" s="50"/>
      <c r="S961" s="51"/>
      <c r="T961" s="29"/>
    </row>
    <row r="962" spans="1:20">
      <c r="A962" s="48">
        <v>1015044</v>
      </c>
      <c r="B962" s="49" t="s">
        <v>342</v>
      </c>
      <c r="C962" s="25">
        <f t="shared" si="623"/>
        <v>44</v>
      </c>
      <c r="D962" s="25">
        <f t="array" ref="D962">INDEX(C$5:C$67,MATCH($B962,$B$5:$B$67,0))</f>
        <v>5520</v>
      </c>
      <c r="E962" s="25">
        <f t="array" ref="E962">INDEX(D$5:D$67,MATCH($B962,$B$5:$B$67,0))</f>
        <v>441.6</v>
      </c>
      <c r="F962" s="25">
        <f t="array" ref="F962">INDEX(E$5:E$67,MATCH($B962,$B$5:$B$67,0))</f>
        <v>775</v>
      </c>
      <c r="G962" s="25">
        <f t="array" ref="G962">INDEX(F$5:F$67,MATCH($B962,$B$5:$B$67,0))</f>
        <v>62</v>
      </c>
      <c r="H962" s="25">
        <f t="array" ref="H962">INDEX(G$5:G$66,MATCH($B962,$B$5:$B$67,0))</f>
        <v>969</v>
      </c>
      <c r="I962" s="25">
        <f t="array" ref="I962">INDEX(H$5:H$67,MATCH($B962,$B$5:$B$67,0))</f>
        <v>77.52</v>
      </c>
      <c r="J962" s="25">
        <f t="array" ref="J962">INDEX(I$5:I$67,MATCH($B962,$B$5:$B$67,0))</f>
        <v>760</v>
      </c>
      <c r="K962" s="25">
        <f t="array" ref="K962">INDEX(J$5:J$67,MATCH($B962,$B$5:$B$67,0))</f>
        <v>60.8</v>
      </c>
      <c r="L962" s="25">
        <f t="shared" si="624"/>
        <v>24950</v>
      </c>
      <c r="M962" s="25">
        <f t="shared" si="625"/>
        <v>3503</v>
      </c>
      <c r="N962" s="25">
        <f t="shared" si="626"/>
        <v>4380</v>
      </c>
      <c r="O962" s="25">
        <f t="shared" si="627"/>
        <v>3435</v>
      </c>
      <c r="R962" s="50"/>
      <c r="S962" s="51"/>
      <c r="T962" s="29"/>
    </row>
    <row r="963" spans="1:20">
      <c r="A963" s="48">
        <v>1015045</v>
      </c>
      <c r="B963" s="49" t="s">
        <v>342</v>
      </c>
      <c r="C963" s="25">
        <f t="shared" si="623"/>
        <v>45</v>
      </c>
      <c r="D963" s="25">
        <f t="array" ref="D963">INDEX(C$5:C$67,MATCH($B963,$B$5:$B$67,0))</f>
        <v>5520</v>
      </c>
      <c r="E963" s="25">
        <f t="array" ref="E963">INDEX(D$5:D$67,MATCH($B963,$B$5:$B$67,0))</f>
        <v>441.6</v>
      </c>
      <c r="F963" s="25">
        <f t="array" ref="F963">INDEX(E$5:E$67,MATCH($B963,$B$5:$B$67,0))</f>
        <v>775</v>
      </c>
      <c r="G963" s="25">
        <f t="array" ref="G963">INDEX(F$5:F$67,MATCH($B963,$B$5:$B$67,0))</f>
        <v>62</v>
      </c>
      <c r="H963" s="25">
        <f t="array" ref="H963">INDEX(G$5:G$66,MATCH($B963,$B$5:$B$67,0))</f>
        <v>969</v>
      </c>
      <c r="I963" s="25">
        <f t="array" ref="I963">INDEX(H$5:H$67,MATCH($B963,$B$5:$B$67,0))</f>
        <v>77.52</v>
      </c>
      <c r="J963" s="25">
        <f t="array" ref="J963">INDEX(I$5:I$67,MATCH($B963,$B$5:$B$67,0))</f>
        <v>760</v>
      </c>
      <c r="K963" s="25">
        <f t="array" ref="K963">INDEX(J$5:J$67,MATCH($B963,$B$5:$B$67,0))</f>
        <v>60.8</v>
      </c>
      <c r="L963" s="25">
        <f t="shared" si="624"/>
        <v>25392</v>
      </c>
      <c r="M963" s="25">
        <f t="shared" si="625"/>
        <v>3565</v>
      </c>
      <c r="N963" s="25">
        <f t="shared" si="626"/>
        <v>4457</v>
      </c>
      <c r="O963" s="25">
        <f t="shared" si="627"/>
        <v>3496</v>
      </c>
      <c r="R963" s="50"/>
      <c r="S963" s="51"/>
      <c r="T963" s="29"/>
    </row>
    <row r="964" spans="1:20">
      <c r="A964" s="48">
        <v>1015046</v>
      </c>
      <c r="B964" s="49" t="s">
        <v>342</v>
      </c>
      <c r="C964" s="25">
        <f t="shared" si="623"/>
        <v>46</v>
      </c>
      <c r="D964" s="25">
        <f t="array" ref="D964">INDEX(C$5:C$67,MATCH($B964,$B$5:$B$67,0))</f>
        <v>5520</v>
      </c>
      <c r="E964" s="25">
        <f t="array" ref="E964">INDEX(D$5:D$67,MATCH($B964,$B$5:$B$67,0))</f>
        <v>441.6</v>
      </c>
      <c r="F964" s="25">
        <f t="array" ref="F964">INDEX(E$5:E$67,MATCH($B964,$B$5:$B$67,0))</f>
        <v>775</v>
      </c>
      <c r="G964" s="25">
        <f t="array" ref="G964">INDEX(F$5:F$67,MATCH($B964,$B$5:$B$67,0))</f>
        <v>62</v>
      </c>
      <c r="H964" s="25">
        <f t="array" ref="H964">INDEX(G$5:G$66,MATCH($B964,$B$5:$B$67,0))</f>
        <v>969</v>
      </c>
      <c r="I964" s="25">
        <f t="array" ref="I964">INDEX(H$5:H$67,MATCH($B964,$B$5:$B$67,0))</f>
        <v>77.52</v>
      </c>
      <c r="J964" s="25">
        <f t="array" ref="J964">INDEX(I$5:I$67,MATCH($B964,$B$5:$B$67,0))</f>
        <v>760</v>
      </c>
      <c r="K964" s="25">
        <f t="array" ref="K964">INDEX(J$5:J$67,MATCH($B964,$B$5:$B$67,0))</f>
        <v>60.8</v>
      </c>
      <c r="L964" s="25">
        <f t="shared" si="624"/>
        <v>25834</v>
      </c>
      <c r="M964" s="25">
        <f t="shared" si="625"/>
        <v>3627</v>
      </c>
      <c r="N964" s="25">
        <f t="shared" si="626"/>
        <v>4535</v>
      </c>
      <c r="O964" s="25">
        <f t="shared" si="627"/>
        <v>3557</v>
      </c>
      <c r="R964" s="50"/>
      <c r="S964" s="51"/>
      <c r="T964" s="29"/>
    </row>
    <row r="965" spans="1:20">
      <c r="A965" s="48">
        <v>1015047</v>
      </c>
      <c r="B965" s="49" t="s">
        <v>342</v>
      </c>
      <c r="C965" s="25">
        <f t="shared" si="623"/>
        <v>47</v>
      </c>
      <c r="D965" s="25">
        <f t="array" ref="D965">INDEX(C$5:C$67,MATCH($B965,$B$5:$B$67,0))</f>
        <v>5520</v>
      </c>
      <c r="E965" s="25">
        <f t="array" ref="E965">INDEX(D$5:D$67,MATCH($B965,$B$5:$B$67,0))</f>
        <v>441.6</v>
      </c>
      <c r="F965" s="25">
        <f t="array" ref="F965">INDEX(E$5:E$67,MATCH($B965,$B$5:$B$67,0))</f>
        <v>775</v>
      </c>
      <c r="G965" s="25">
        <f t="array" ref="G965">INDEX(F$5:F$67,MATCH($B965,$B$5:$B$67,0))</f>
        <v>62</v>
      </c>
      <c r="H965" s="25">
        <f t="array" ref="H965">INDEX(G$5:G$66,MATCH($B965,$B$5:$B$67,0))</f>
        <v>969</v>
      </c>
      <c r="I965" s="25">
        <f t="array" ref="I965">INDEX(H$5:H$67,MATCH($B965,$B$5:$B$67,0))</f>
        <v>77.52</v>
      </c>
      <c r="J965" s="25">
        <f t="array" ref="J965">INDEX(I$5:I$67,MATCH($B965,$B$5:$B$67,0))</f>
        <v>760</v>
      </c>
      <c r="K965" s="25">
        <f t="array" ref="K965">INDEX(J$5:J$67,MATCH($B965,$B$5:$B$67,0))</f>
        <v>60.8</v>
      </c>
      <c r="L965" s="25">
        <f t="shared" si="624"/>
        <v>26275</v>
      </c>
      <c r="M965" s="25">
        <f t="shared" si="625"/>
        <v>3689</v>
      </c>
      <c r="N965" s="25">
        <f t="shared" si="626"/>
        <v>4612</v>
      </c>
      <c r="O965" s="25">
        <f t="shared" si="627"/>
        <v>3618</v>
      </c>
      <c r="R965" s="50"/>
      <c r="S965" s="51"/>
      <c r="T965" s="29"/>
    </row>
    <row r="966" spans="1:20">
      <c r="A966" s="48">
        <v>1015048</v>
      </c>
      <c r="B966" s="49" t="s">
        <v>342</v>
      </c>
      <c r="C966" s="25">
        <f t="shared" si="623"/>
        <v>48</v>
      </c>
      <c r="D966" s="25">
        <f t="array" ref="D966">INDEX(C$5:C$67,MATCH($B966,$B$5:$B$67,0))</f>
        <v>5520</v>
      </c>
      <c r="E966" s="25">
        <f t="array" ref="E966">INDEX(D$5:D$67,MATCH($B966,$B$5:$B$67,0))</f>
        <v>441.6</v>
      </c>
      <c r="F966" s="25">
        <f t="array" ref="F966">INDEX(E$5:E$67,MATCH($B966,$B$5:$B$67,0))</f>
        <v>775</v>
      </c>
      <c r="G966" s="25">
        <f t="array" ref="G966">INDEX(F$5:F$67,MATCH($B966,$B$5:$B$67,0))</f>
        <v>62</v>
      </c>
      <c r="H966" s="25">
        <f t="array" ref="H966">INDEX(G$5:G$66,MATCH($B966,$B$5:$B$67,0))</f>
        <v>969</v>
      </c>
      <c r="I966" s="25">
        <f t="array" ref="I966">INDEX(H$5:H$67,MATCH($B966,$B$5:$B$67,0))</f>
        <v>77.52</v>
      </c>
      <c r="J966" s="25">
        <f t="array" ref="J966">INDEX(I$5:I$67,MATCH($B966,$B$5:$B$67,0))</f>
        <v>760</v>
      </c>
      <c r="K966" s="25">
        <f t="array" ref="K966">INDEX(J$5:J$67,MATCH($B966,$B$5:$B$67,0))</f>
        <v>60.8</v>
      </c>
      <c r="L966" s="25">
        <f t="shared" si="624"/>
        <v>26717</v>
      </c>
      <c r="M966" s="25">
        <f t="shared" si="625"/>
        <v>3751</v>
      </c>
      <c r="N966" s="25">
        <f t="shared" si="626"/>
        <v>4690</v>
      </c>
      <c r="O966" s="25">
        <f t="shared" si="627"/>
        <v>3678</v>
      </c>
      <c r="R966" s="50"/>
      <c r="S966" s="51"/>
      <c r="T966" s="29"/>
    </row>
    <row r="967" spans="1:20">
      <c r="A967" s="48">
        <v>1015049</v>
      </c>
      <c r="B967" s="49" t="s">
        <v>342</v>
      </c>
      <c r="C967" s="25">
        <f t="shared" si="623"/>
        <v>49</v>
      </c>
      <c r="D967" s="25">
        <f t="array" ref="D967">INDEX(C$5:C$67,MATCH($B967,$B$5:$B$67,0))</f>
        <v>5520</v>
      </c>
      <c r="E967" s="25">
        <f t="array" ref="E967">INDEX(D$5:D$67,MATCH($B967,$B$5:$B$67,0))</f>
        <v>441.6</v>
      </c>
      <c r="F967" s="25">
        <f t="array" ref="F967">INDEX(E$5:E$67,MATCH($B967,$B$5:$B$67,0))</f>
        <v>775</v>
      </c>
      <c r="G967" s="25">
        <f t="array" ref="G967">INDEX(F$5:F$67,MATCH($B967,$B$5:$B$67,0))</f>
        <v>62</v>
      </c>
      <c r="H967" s="25">
        <f t="array" ref="H967">INDEX(G$5:G$66,MATCH($B967,$B$5:$B$67,0))</f>
        <v>969</v>
      </c>
      <c r="I967" s="25">
        <f t="array" ref="I967">INDEX(H$5:H$67,MATCH($B967,$B$5:$B$67,0))</f>
        <v>77.52</v>
      </c>
      <c r="J967" s="25">
        <f t="array" ref="J967">INDEX(I$5:I$67,MATCH($B967,$B$5:$B$67,0))</f>
        <v>760</v>
      </c>
      <c r="K967" s="25">
        <f t="array" ref="K967">INDEX(J$5:J$67,MATCH($B967,$B$5:$B$67,0))</f>
        <v>60.8</v>
      </c>
      <c r="L967" s="25">
        <f t="shared" si="624"/>
        <v>27158</v>
      </c>
      <c r="M967" s="25">
        <f t="shared" si="625"/>
        <v>3813</v>
      </c>
      <c r="N967" s="25">
        <f t="shared" si="626"/>
        <v>4767</v>
      </c>
      <c r="O967" s="25">
        <f t="shared" si="627"/>
        <v>3739</v>
      </c>
      <c r="R967" s="50"/>
      <c r="S967" s="51"/>
      <c r="T967" s="29"/>
    </row>
    <row r="968" spans="1:20">
      <c r="A968" s="48">
        <v>1015050</v>
      </c>
      <c r="B968" s="49" t="s">
        <v>342</v>
      </c>
      <c r="C968" s="25">
        <f t="shared" si="623"/>
        <v>50</v>
      </c>
      <c r="D968" s="25">
        <f t="array" ref="D968">INDEX(C$5:C$67,MATCH($B968,$B$5:$B$67,0))</f>
        <v>5520</v>
      </c>
      <c r="E968" s="25">
        <f t="array" ref="E968">INDEX(D$5:D$67,MATCH($B968,$B$5:$B$67,0))</f>
        <v>441.6</v>
      </c>
      <c r="F968" s="25">
        <f t="array" ref="F968">INDEX(E$5:E$67,MATCH($B968,$B$5:$B$67,0))</f>
        <v>775</v>
      </c>
      <c r="G968" s="25">
        <f t="array" ref="G968">INDEX(F$5:F$67,MATCH($B968,$B$5:$B$67,0))</f>
        <v>62</v>
      </c>
      <c r="H968" s="25">
        <f t="array" ref="H968">INDEX(G$5:G$66,MATCH($B968,$B$5:$B$67,0))</f>
        <v>969</v>
      </c>
      <c r="I968" s="25">
        <f t="array" ref="I968">INDEX(H$5:H$67,MATCH($B968,$B$5:$B$67,0))</f>
        <v>77.52</v>
      </c>
      <c r="J968" s="25">
        <f t="array" ref="J968">INDEX(I$5:I$67,MATCH($B968,$B$5:$B$67,0))</f>
        <v>760</v>
      </c>
      <c r="K968" s="25">
        <f t="array" ref="K968">INDEX(J$5:J$67,MATCH($B968,$B$5:$B$67,0))</f>
        <v>60.8</v>
      </c>
      <c r="L968" s="25">
        <f t="shared" si="624"/>
        <v>27600</v>
      </c>
      <c r="M968" s="25">
        <f t="shared" si="625"/>
        <v>3875</v>
      </c>
      <c r="N968" s="25">
        <f t="shared" si="626"/>
        <v>4845</v>
      </c>
      <c r="O968" s="25">
        <f t="shared" si="627"/>
        <v>3800</v>
      </c>
      <c r="R968" s="50"/>
      <c r="S968" s="51"/>
      <c r="T968" s="29"/>
    </row>
    <row r="969" spans="1:20">
      <c r="A969" s="48">
        <v>1015051</v>
      </c>
      <c r="B969" s="49" t="s">
        <v>342</v>
      </c>
      <c r="C969" s="25">
        <f t="shared" si="623"/>
        <v>51</v>
      </c>
      <c r="D969" s="25">
        <f t="array" ref="D969">INDEX(C$5:C$67,MATCH($B969,$B$5:$B$67,0))</f>
        <v>5520</v>
      </c>
      <c r="E969" s="25">
        <f t="array" ref="E969">INDEX(D$5:D$67,MATCH($B969,$B$5:$B$67,0))</f>
        <v>441.6</v>
      </c>
      <c r="F969" s="25">
        <f t="array" ref="F969">INDEX(E$5:E$67,MATCH($B969,$B$5:$B$67,0))</f>
        <v>775</v>
      </c>
      <c r="G969" s="25">
        <f t="array" ref="G969">INDEX(F$5:F$67,MATCH($B969,$B$5:$B$67,0))</f>
        <v>62</v>
      </c>
      <c r="H969" s="25">
        <f t="array" ref="H969">INDEX(G$5:G$66,MATCH($B969,$B$5:$B$67,0))</f>
        <v>969</v>
      </c>
      <c r="I969" s="25">
        <f t="array" ref="I969">INDEX(H$5:H$67,MATCH($B969,$B$5:$B$67,0))</f>
        <v>77.52</v>
      </c>
      <c r="J969" s="25">
        <f t="array" ref="J969">INDEX(I$5:I$67,MATCH($B969,$B$5:$B$67,0))</f>
        <v>760</v>
      </c>
      <c r="K969" s="25">
        <f t="array" ref="K969">INDEX(J$5:J$67,MATCH($B969,$B$5:$B$67,0))</f>
        <v>60.8</v>
      </c>
      <c r="L969" s="25">
        <f t="shared" si="624"/>
        <v>28042</v>
      </c>
      <c r="M969" s="25">
        <f t="shared" si="625"/>
        <v>3937</v>
      </c>
      <c r="N969" s="25">
        <f t="shared" si="626"/>
        <v>4923</v>
      </c>
      <c r="O969" s="25">
        <f t="shared" si="627"/>
        <v>3861</v>
      </c>
      <c r="R969" s="50"/>
      <c r="S969" s="51"/>
      <c r="T969" s="29"/>
    </row>
    <row r="970" spans="1:20">
      <c r="A970" s="48">
        <v>1015052</v>
      </c>
      <c r="B970" s="49" t="s">
        <v>342</v>
      </c>
      <c r="C970" s="25">
        <f t="shared" si="623"/>
        <v>52</v>
      </c>
      <c r="D970" s="25">
        <f t="array" ref="D970">INDEX(C$5:C$67,MATCH($B970,$B$5:$B$67,0))</f>
        <v>5520</v>
      </c>
      <c r="E970" s="25">
        <f t="array" ref="E970">INDEX(D$5:D$67,MATCH($B970,$B$5:$B$67,0))</f>
        <v>441.6</v>
      </c>
      <c r="F970" s="25">
        <f t="array" ref="F970">INDEX(E$5:E$67,MATCH($B970,$B$5:$B$67,0))</f>
        <v>775</v>
      </c>
      <c r="G970" s="25">
        <f t="array" ref="G970">INDEX(F$5:F$67,MATCH($B970,$B$5:$B$67,0))</f>
        <v>62</v>
      </c>
      <c r="H970" s="25">
        <f t="array" ref="H970">INDEX(G$5:G$66,MATCH($B970,$B$5:$B$67,0))</f>
        <v>969</v>
      </c>
      <c r="I970" s="25">
        <f t="array" ref="I970">INDEX(H$5:H$67,MATCH($B970,$B$5:$B$67,0))</f>
        <v>77.52</v>
      </c>
      <c r="J970" s="25">
        <f t="array" ref="J970">INDEX(I$5:I$67,MATCH($B970,$B$5:$B$67,0))</f>
        <v>760</v>
      </c>
      <c r="K970" s="25">
        <f t="array" ref="K970">INDEX(J$5:J$67,MATCH($B970,$B$5:$B$67,0))</f>
        <v>60.8</v>
      </c>
      <c r="L970" s="25">
        <f t="shared" si="624"/>
        <v>28483</v>
      </c>
      <c r="M970" s="25">
        <f t="shared" si="625"/>
        <v>3999</v>
      </c>
      <c r="N970" s="25">
        <f t="shared" si="626"/>
        <v>5000</v>
      </c>
      <c r="O970" s="25">
        <f t="shared" si="627"/>
        <v>3922</v>
      </c>
      <c r="R970" s="50"/>
      <c r="S970" s="51"/>
      <c r="T970" s="29"/>
    </row>
    <row r="971" spans="1:20">
      <c r="A971" s="48">
        <v>1015053</v>
      </c>
      <c r="B971" s="49" t="s">
        <v>342</v>
      </c>
      <c r="C971" s="25">
        <f t="shared" ref="C971:C1034" si="628">C911</f>
        <v>53</v>
      </c>
      <c r="D971" s="25">
        <f t="array" ref="D971">INDEX(C$5:C$67,MATCH($B971,$B$5:$B$67,0))</f>
        <v>5520</v>
      </c>
      <c r="E971" s="25">
        <f t="array" ref="E971">INDEX(D$5:D$67,MATCH($B971,$B$5:$B$67,0))</f>
        <v>441.6</v>
      </c>
      <c r="F971" s="25">
        <f t="array" ref="F971">INDEX(E$5:E$67,MATCH($B971,$B$5:$B$67,0))</f>
        <v>775</v>
      </c>
      <c r="G971" s="25">
        <f t="array" ref="G971">INDEX(F$5:F$67,MATCH($B971,$B$5:$B$67,0))</f>
        <v>62</v>
      </c>
      <c r="H971" s="25">
        <f t="array" ref="H971">INDEX(G$5:G$66,MATCH($B971,$B$5:$B$67,0))</f>
        <v>969</v>
      </c>
      <c r="I971" s="25">
        <f t="array" ref="I971">INDEX(H$5:H$67,MATCH($B971,$B$5:$B$67,0))</f>
        <v>77.52</v>
      </c>
      <c r="J971" s="25">
        <f t="array" ref="J971">INDEX(I$5:I$67,MATCH($B971,$B$5:$B$67,0))</f>
        <v>760</v>
      </c>
      <c r="K971" s="25">
        <f t="array" ref="K971">INDEX(J$5:J$67,MATCH($B971,$B$5:$B$67,0))</f>
        <v>60.8</v>
      </c>
      <c r="L971" s="25">
        <f t="shared" si="624"/>
        <v>28925</v>
      </c>
      <c r="M971" s="25">
        <f t="shared" si="625"/>
        <v>4061</v>
      </c>
      <c r="N971" s="25">
        <f t="shared" si="626"/>
        <v>5078</v>
      </c>
      <c r="O971" s="25">
        <f t="shared" si="627"/>
        <v>3982</v>
      </c>
      <c r="R971" s="50"/>
      <c r="S971" s="51"/>
      <c r="T971" s="29"/>
    </row>
    <row r="972" spans="1:20">
      <c r="A972" s="48">
        <v>1015054</v>
      </c>
      <c r="B972" s="49" t="s">
        <v>342</v>
      </c>
      <c r="C972" s="25">
        <f t="shared" si="628"/>
        <v>54</v>
      </c>
      <c r="D972" s="25">
        <f t="array" ref="D972">INDEX(C$5:C$67,MATCH($B972,$B$5:$B$67,0))</f>
        <v>5520</v>
      </c>
      <c r="E972" s="25">
        <f t="array" ref="E972">INDEX(D$5:D$67,MATCH($B972,$B$5:$B$67,0))</f>
        <v>441.6</v>
      </c>
      <c r="F972" s="25">
        <f t="array" ref="F972">INDEX(E$5:E$67,MATCH($B972,$B$5:$B$67,0))</f>
        <v>775</v>
      </c>
      <c r="G972" s="25">
        <f t="array" ref="G972">INDEX(F$5:F$67,MATCH($B972,$B$5:$B$67,0))</f>
        <v>62</v>
      </c>
      <c r="H972" s="25">
        <f t="array" ref="H972">INDEX(G$5:G$66,MATCH($B972,$B$5:$B$67,0))</f>
        <v>969</v>
      </c>
      <c r="I972" s="25">
        <f t="array" ref="I972">INDEX(H$5:H$67,MATCH($B972,$B$5:$B$67,0))</f>
        <v>77.52</v>
      </c>
      <c r="J972" s="25">
        <f t="array" ref="J972">INDEX(I$5:I$67,MATCH($B972,$B$5:$B$67,0))</f>
        <v>760</v>
      </c>
      <c r="K972" s="25">
        <f t="array" ref="K972">INDEX(J$5:J$67,MATCH($B972,$B$5:$B$67,0))</f>
        <v>60.8</v>
      </c>
      <c r="L972" s="25">
        <f t="shared" si="624"/>
        <v>29366</v>
      </c>
      <c r="M972" s="25">
        <f t="shared" si="625"/>
        <v>4123</v>
      </c>
      <c r="N972" s="25">
        <f t="shared" si="626"/>
        <v>5155</v>
      </c>
      <c r="O972" s="25">
        <f t="shared" si="627"/>
        <v>4043</v>
      </c>
      <c r="R972" s="50"/>
      <c r="S972" s="51"/>
      <c r="T972" s="29"/>
    </row>
    <row r="973" spans="1:20">
      <c r="A973" s="48">
        <v>1015055</v>
      </c>
      <c r="B973" s="49" t="s">
        <v>342</v>
      </c>
      <c r="C973" s="25">
        <f t="shared" si="628"/>
        <v>55</v>
      </c>
      <c r="D973" s="25">
        <f t="array" ref="D973">INDEX(C$5:C$67,MATCH($B973,$B$5:$B$67,0))</f>
        <v>5520</v>
      </c>
      <c r="E973" s="25">
        <f t="array" ref="E973">INDEX(D$5:D$67,MATCH($B973,$B$5:$B$67,0))</f>
        <v>441.6</v>
      </c>
      <c r="F973" s="25">
        <f t="array" ref="F973">INDEX(E$5:E$67,MATCH($B973,$B$5:$B$67,0))</f>
        <v>775</v>
      </c>
      <c r="G973" s="25">
        <f t="array" ref="G973">INDEX(F$5:F$67,MATCH($B973,$B$5:$B$67,0))</f>
        <v>62</v>
      </c>
      <c r="H973" s="25">
        <f t="array" ref="H973">INDEX(G$5:G$66,MATCH($B973,$B$5:$B$67,0))</f>
        <v>969</v>
      </c>
      <c r="I973" s="25">
        <f t="array" ref="I973">INDEX(H$5:H$67,MATCH($B973,$B$5:$B$67,0))</f>
        <v>77.52</v>
      </c>
      <c r="J973" s="25">
        <f t="array" ref="J973">INDEX(I$5:I$67,MATCH($B973,$B$5:$B$67,0))</f>
        <v>760</v>
      </c>
      <c r="K973" s="25">
        <f t="array" ref="K973">INDEX(J$5:J$67,MATCH($B973,$B$5:$B$67,0))</f>
        <v>60.8</v>
      </c>
      <c r="L973" s="25">
        <f t="shared" si="624"/>
        <v>29808</v>
      </c>
      <c r="M973" s="25">
        <f t="shared" si="625"/>
        <v>4185</v>
      </c>
      <c r="N973" s="25">
        <f t="shared" si="626"/>
        <v>5233</v>
      </c>
      <c r="O973" s="25">
        <f t="shared" si="627"/>
        <v>4104</v>
      </c>
      <c r="R973" s="50"/>
      <c r="S973" s="51"/>
      <c r="T973" s="29"/>
    </row>
    <row r="974" spans="1:20">
      <c r="A974" s="48">
        <v>1015056</v>
      </c>
      <c r="B974" s="49" t="s">
        <v>342</v>
      </c>
      <c r="C974" s="25">
        <f t="shared" si="628"/>
        <v>56</v>
      </c>
      <c r="D974" s="25">
        <f t="array" ref="D974">INDEX(C$5:C$67,MATCH($B974,$B$5:$B$67,0))</f>
        <v>5520</v>
      </c>
      <c r="E974" s="25">
        <f t="array" ref="E974">INDEX(D$5:D$67,MATCH($B974,$B$5:$B$67,0))</f>
        <v>441.6</v>
      </c>
      <c r="F974" s="25">
        <f t="array" ref="F974">INDEX(E$5:E$67,MATCH($B974,$B$5:$B$67,0))</f>
        <v>775</v>
      </c>
      <c r="G974" s="25">
        <f t="array" ref="G974">INDEX(F$5:F$67,MATCH($B974,$B$5:$B$67,0))</f>
        <v>62</v>
      </c>
      <c r="H974" s="25">
        <f t="array" ref="H974">INDEX(G$5:G$66,MATCH($B974,$B$5:$B$67,0))</f>
        <v>969</v>
      </c>
      <c r="I974" s="25">
        <f t="array" ref="I974">INDEX(H$5:H$67,MATCH($B974,$B$5:$B$67,0))</f>
        <v>77.52</v>
      </c>
      <c r="J974" s="25">
        <f t="array" ref="J974">INDEX(I$5:I$67,MATCH($B974,$B$5:$B$67,0))</f>
        <v>760</v>
      </c>
      <c r="K974" s="25">
        <f t="array" ref="K974">INDEX(J$5:J$67,MATCH($B974,$B$5:$B$67,0))</f>
        <v>60.8</v>
      </c>
      <c r="L974" s="25">
        <f t="shared" si="624"/>
        <v>30250</v>
      </c>
      <c r="M974" s="25">
        <f t="shared" si="625"/>
        <v>4247</v>
      </c>
      <c r="N974" s="25">
        <f t="shared" si="626"/>
        <v>5310</v>
      </c>
      <c r="O974" s="25">
        <f t="shared" si="627"/>
        <v>4165</v>
      </c>
      <c r="R974" s="50"/>
      <c r="S974" s="51"/>
      <c r="T974" s="29"/>
    </row>
    <row r="975" spans="1:20">
      <c r="A975" s="48">
        <v>1015057</v>
      </c>
      <c r="B975" s="49" t="s">
        <v>342</v>
      </c>
      <c r="C975" s="25">
        <f t="shared" si="628"/>
        <v>57</v>
      </c>
      <c r="D975" s="25">
        <f t="array" ref="D975">INDEX(C$5:C$67,MATCH($B975,$B$5:$B$67,0))</f>
        <v>5520</v>
      </c>
      <c r="E975" s="25">
        <f t="array" ref="E975">INDEX(D$5:D$67,MATCH($B975,$B$5:$B$67,0))</f>
        <v>441.6</v>
      </c>
      <c r="F975" s="25">
        <f t="array" ref="F975">INDEX(E$5:E$67,MATCH($B975,$B$5:$B$67,0))</f>
        <v>775</v>
      </c>
      <c r="G975" s="25">
        <f t="array" ref="G975">INDEX(F$5:F$67,MATCH($B975,$B$5:$B$67,0))</f>
        <v>62</v>
      </c>
      <c r="H975" s="25">
        <f t="array" ref="H975">INDEX(G$5:G$66,MATCH($B975,$B$5:$B$67,0))</f>
        <v>969</v>
      </c>
      <c r="I975" s="25">
        <f t="array" ref="I975">INDEX(H$5:H$67,MATCH($B975,$B$5:$B$67,0))</f>
        <v>77.52</v>
      </c>
      <c r="J975" s="25">
        <f t="array" ref="J975">INDEX(I$5:I$67,MATCH($B975,$B$5:$B$67,0))</f>
        <v>760</v>
      </c>
      <c r="K975" s="25">
        <f t="array" ref="K975">INDEX(J$5:J$67,MATCH($B975,$B$5:$B$67,0))</f>
        <v>60.8</v>
      </c>
      <c r="L975" s="25">
        <f t="shared" ref="L975:L1038" si="629">ROUND(D975+E975*$C975,0)</f>
        <v>30691</v>
      </c>
      <c r="M975" s="25">
        <f t="shared" ref="M975:M1038" si="630">ROUND(F975+G975*$C975,0)</f>
        <v>4309</v>
      </c>
      <c r="N975" s="25">
        <f t="shared" ref="N975:N1038" si="631">ROUND(H975+I975*$C975,0)</f>
        <v>5388</v>
      </c>
      <c r="O975" s="25">
        <f t="shared" ref="O975:O1038" si="632">ROUND(J975+K975*$C975,0)</f>
        <v>4226</v>
      </c>
      <c r="R975" s="50"/>
      <c r="S975" s="51"/>
      <c r="T975" s="29"/>
    </row>
    <row r="976" spans="1:20">
      <c r="A976" s="48">
        <v>1015058</v>
      </c>
      <c r="B976" s="49" t="s">
        <v>342</v>
      </c>
      <c r="C976" s="25">
        <f t="shared" si="628"/>
        <v>58</v>
      </c>
      <c r="D976" s="25">
        <f t="array" ref="D976">INDEX(C$5:C$67,MATCH($B976,$B$5:$B$67,0))</f>
        <v>5520</v>
      </c>
      <c r="E976" s="25">
        <f t="array" ref="E976">INDEX(D$5:D$67,MATCH($B976,$B$5:$B$67,0))</f>
        <v>441.6</v>
      </c>
      <c r="F976" s="25">
        <f t="array" ref="F976">INDEX(E$5:E$67,MATCH($B976,$B$5:$B$67,0))</f>
        <v>775</v>
      </c>
      <c r="G976" s="25">
        <f t="array" ref="G976">INDEX(F$5:F$67,MATCH($B976,$B$5:$B$67,0))</f>
        <v>62</v>
      </c>
      <c r="H976" s="25">
        <f t="array" ref="H976">INDEX(G$5:G$66,MATCH($B976,$B$5:$B$67,0))</f>
        <v>969</v>
      </c>
      <c r="I976" s="25">
        <f t="array" ref="I976">INDEX(H$5:H$67,MATCH($B976,$B$5:$B$67,0))</f>
        <v>77.52</v>
      </c>
      <c r="J976" s="25">
        <f t="array" ref="J976">INDEX(I$5:I$67,MATCH($B976,$B$5:$B$67,0))</f>
        <v>760</v>
      </c>
      <c r="K976" s="25">
        <f t="array" ref="K976">INDEX(J$5:J$67,MATCH($B976,$B$5:$B$67,0))</f>
        <v>60.8</v>
      </c>
      <c r="L976" s="25">
        <f t="shared" si="629"/>
        <v>31133</v>
      </c>
      <c r="M976" s="25">
        <f t="shared" si="630"/>
        <v>4371</v>
      </c>
      <c r="N976" s="25">
        <f t="shared" si="631"/>
        <v>5465</v>
      </c>
      <c r="O976" s="25">
        <f t="shared" si="632"/>
        <v>4286</v>
      </c>
      <c r="R976" s="50"/>
      <c r="S976" s="51"/>
      <c r="T976" s="29"/>
    </row>
    <row r="977" spans="1:20">
      <c r="A977" s="48">
        <v>1015059</v>
      </c>
      <c r="B977" s="49" t="s">
        <v>342</v>
      </c>
      <c r="C977" s="25">
        <f t="shared" si="628"/>
        <v>59</v>
      </c>
      <c r="D977" s="25">
        <f t="array" ref="D977">INDEX(C$5:C$67,MATCH($B977,$B$5:$B$67,0))</f>
        <v>5520</v>
      </c>
      <c r="E977" s="25">
        <f t="array" ref="E977">INDEX(D$5:D$67,MATCH($B977,$B$5:$B$67,0))</f>
        <v>441.6</v>
      </c>
      <c r="F977" s="25">
        <f t="array" ref="F977">INDEX(E$5:E$67,MATCH($B977,$B$5:$B$67,0))</f>
        <v>775</v>
      </c>
      <c r="G977" s="25">
        <f t="array" ref="G977">INDEX(F$5:F$67,MATCH($B977,$B$5:$B$67,0))</f>
        <v>62</v>
      </c>
      <c r="H977" s="25">
        <f t="array" ref="H977">INDEX(G$5:G$66,MATCH($B977,$B$5:$B$67,0))</f>
        <v>969</v>
      </c>
      <c r="I977" s="25">
        <f t="array" ref="I977">INDEX(H$5:H$67,MATCH($B977,$B$5:$B$67,0))</f>
        <v>77.52</v>
      </c>
      <c r="J977" s="25">
        <f t="array" ref="J977">INDEX(I$5:I$67,MATCH($B977,$B$5:$B$67,0))</f>
        <v>760</v>
      </c>
      <c r="K977" s="25">
        <f t="array" ref="K977">INDEX(J$5:J$67,MATCH($B977,$B$5:$B$67,0))</f>
        <v>60.8</v>
      </c>
      <c r="L977" s="25">
        <f t="shared" si="629"/>
        <v>31574</v>
      </c>
      <c r="M977" s="25">
        <f t="shared" si="630"/>
        <v>4433</v>
      </c>
      <c r="N977" s="25">
        <f t="shared" si="631"/>
        <v>5543</v>
      </c>
      <c r="O977" s="25">
        <f t="shared" si="632"/>
        <v>4347</v>
      </c>
      <c r="R977" s="50"/>
      <c r="S977" s="51"/>
      <c r="T977" s="29"/>
    </row>
    <row r="978" spans="1:20">
      <c r="A978" s="48">
        <v>1015060</v>
      </c>
      <c r="B978" s="49" t="s">
        <v>342</v>
      </c>
      <c r="C978" s="25">
        <f t="shared" si="628"/>
        <v>60</v>
      </c>
      <c r="D978" s="25">
        <f t="array" ref="D978">INDEX(C$5:C$67,MATCH($B978,$B$5:$B$67,0))</f>
        <v>5520</v>
      </c>
      <c r="E978" s="25">
        <f t="array" ref="E978">INDEX(D$5:D$67,MATCH($B978,$B$5:$B$67,0))</f>
        <v>441.6</v>
      </c>
      <c r="F978" s="25">
        <f t="array" ref="F978">INDEX(E$5:E$67,MATCH($B978,$B$5:$B$67,0))</f>
        <v>775</v>
      </c>
      <c r="G978" s="25">
        <f t="array" ref="G978">INDEX(F$5:F$67,MATCH($B978,$B$5:$B$67,0))</f>
        <v>62</v>
      </c>
      <c r="H978" s="25">
        <f t="array" ref="H978">INDEX(G$5:G$66,MATCH($B978,$B$5:$B$67,0))</f>
        <v>969</v>
      </c>
      <c r="I978" s="25">
        <f t="array" ref="I978">INDEX(H$5:H$67,MATCH($B978,$B$5:$B$67,0))</f>
        <v>77.52</v>
      </c>
      <c r="J978" s="25">
        <f t="array" ref="J978">INDEX(I$5:I$67,MATCH($B978,$B$5:$B$67,0))</f>
        <v>760</v>
      </c>
      <c r="K978" s="25">
        <f t="array" ref="K978">INDEX(J$5:J$67,MATCH($B978,$B$5:$B$67,0))</f>
        <v>60.8</v>
      </c>
      <c r="L978" s="25">
        <f t="shared" si="629"/>
        <v>32016</v>
      </c>
      <c r="M978" s="25">
        <f t="shared" si="630"/>
        <v>4495</v>
      </c>
      <c r="N978" s="25">
        <f t="shared" si="631"/>
        <v>5620</v>
      </c>
      <c r="O978" s="25">
        <f t="shared" si="632"/>
        <v>4408</v>
      </c>
      <c r="R978" s="50"/>
      <c r="S978" s="51"/>
      <c r="T978" s="29"/>
    </row>
    <row r="979" spans="1:20">
      <c r="A979" s="53">
        <v>1017001</v>
      </c>
      <c r="B979" s="49" t="s">
        <v>345</v>
      </c>
      <c r="C979" s="25">
        <f t="shared" si="628"/>
        <v>1</v>
      </c>
      <c r="D979" s="25">
        <f t="array" ref="D979">INDEX(C$5:C$67,MATCH($B979,$B$5:$B$67,0))</f>
        <v>5175</v>
      </c>
      <c r="E979" s="25">
        <f t="array" ref="E979">INDEX(D$5:D$67,MATCH($B979,$B$5:$B$67,0))</f>
        <v>414</v>
      </c>
      <c r="F979" s="25">
        <f t="array" ref="F979">INDEX(E$5:E$67,MATCH($B979,$B$5:$B$67,0))</f>
        <v>1188</v>
      </c>
      <c r="G979" s="25">
        <f t="array" ref="G979">INDEX(F$5:F$67,MATCH($B979,$B$5:$B$67,0))</f>
        <v>95.04</v>
      </c>
      <c r="H979" s="25">
        <f t="array" ref="H979">INDEX(G$5:G$66,MATCH($B979,$B$5:$B$67,0))</f>
        <v>1650</v>
      </c>
      <c r="I979" s="25">
        <f t="array" ref="I979">INDEX(H$5:H$67,MATCH($B979,$B$5:$B$67,0))</f>
        <v>132</v>
      </c>
      <c r="J979" s="25">
        <f t="array" ref="J979">INDEX(I$5:I$67,MATCH($B979,$B$5:$B$67,0))</f>
        <v>1000</v>
      </c>
      <c r="K979" s="25">
        <f t="array" ref="K979">INDEX(J$5:J$67,MATCH($B979,$B$5:$B$67,0))</f>
        <v>80</v>
      </c>
      <c r="L979" s="25">
        <f t="shared" si="629"/>
        <v>5589</v>
      </c>
      <c r="M979" s="25">
        <f t="shared" si="630"/>
        <v>1283</v>
      </c>
      <c r="N979" s="25">
        <f t="shared" si="631"/>
        <v>1782</v>
      </c>
      <c r="O979" s="25">
        <f t="shared" si="632"/>
        <v>1080</v>
      </c>
      <c r="R979" s="50"/>
      <c r="S979" s="51"/>
      <c r="T979" s="29"/>
    </row>
    <row r="980" spans="1:20">
      <c r="A980" s="53">
        <v>1017002</v>
      </c>
      <c r="B980" s="49" t="s">
        <v>345</v>
      </c>
      <c r="C980" s="25">
        <f t="shared" si="628"/>
        <v>2</v>
      </c>
      <c r="D980" s="25">
        <f t="array" ref="D980">INDEX(C$5:C$67,MATCH($B980,$B$5:$B$67,0))</f>
        <v>5175</v>
      </c>
      <c r="E980" s="25">
        <f t="array" ref="E980">INDEX(D$5:D$67,MATCH($B980,$B$5:$B$67,0))</f>
        <v>414</v>
      </c>
      <c r="F980" s="25">
        <f t="array" ref="F980">INDEX(E$5:E$67,MATCH($B980,$B$5:$B$67,0))</f>
        <v>1188</v>
      </c>
      <c r="G980" s="25">
        <f t="array" ref="G980">INDEX(F$5:F$67,MATCH($B980,$B$5:$B$67,0))</f>
        <v>95.04</v>
      </c>
      <c r="H980" s="25">
        <f t="array" ref="H980">INDEX(G$5:G$66,MATCH($B980,$B$5:$B$67,0))</f>
        <v>1650</v>
      </c>
      <c r="I980" s="25">
        <f t="array" ref="I980">INDEX(H$5:H$67,MATCH($B980,$B$5:$B$67,0))</f>
        <v>132</v>
      </c>
      <c r="J980" s="25">
        <f t="array" ref="J980">INDEX(I$5:I$67,MATCH($B980,$B$5:$B$67,0))</f>
        <v>1000</v>
      </c>
      <c r="K980" s="25">
        <f t="array" ref="K980">INDEX(J$5:J$67,MATCH($B980,$B$5:$B$67,0))</f>
        <v>80</v>
      </c>
      <c r="L980" s="25">
        <f t="shared" si="629"/>
        <v>6003</v>
      </c>
      <c r="M980" s="25">
        <f t="shared" si="630"/>
        <v>1378</v>
      </c>
      <c r="N980" s="25">
        <f t="shared" si="631"/>
        <v>1914</v>
      </c>
      <c r="O980" s="25">
        <f t="shared" si="632"/>
        <v>1160</v>
      </c>
      <c r="R980" s="50"/>
      <c r="S980" s="51"/>
      <c r="T980" s="29"/>
    </row>
    <row r="981" spans="1:20">
      <c r="A981" s="53">
        <v>1017003</v>
      </c>
      <c r="B981" s="49" t="s">
        <v>345</v>
      </c>
      <c r="C981" s="25">
        <f t="shared" si="628"/>
        <v>3</v>
      </c>
      <c r="D981" s="25">
        <f t="array" ref="D981">INDEX(C$5:C$67,MATCH($B981,$B$5:$B$67,0))</f>
        <v>5175</v>
      </c>
      <c r="E981" s="25">
        <f t="array" ref="E981">INDEX(D$5:D$67,MATCH($B981,$B$5:$B$67,0))</f>
        <v>414</v>
      </c>
      <c r="F981" s="25">
        <f t="array" ref="F981">INDEX(E$5:E$67,MATCH($B981,$B$5:$B$67,0))</f>
        <v>1188</v>
      </c>
      <c r="G981" s="25">
        <f t="array" ref="G981">INDEX(F$5:F$67,MATCH($B981,$B$5:$B$67,0))</f>
        <v>95.04</v>
      </c>
      <c r="H981" s="25">
        <f t="array" ref="H981">INDEX(G$5:G$66,MATCH($B981,$B$5:$B$67,0))</f>
        <v>1650</v>
      </c>
      <c r="I981" s="25">
        <f t="array" ref="I981">INDEX(H$5:H$67,MATCH($B981,$B$5:$B$67,0))</f>
        <v>132</v>
      </c>
      <c r="J981" s="25">
        <f t="array" ref="J981">INDEX(I$5:I$67,MATCH($B981,$B$5:$B$67,0))</f>
        <v>1000</v>
      </c>
      <c r="K981" s="25">
        <f t="array" ref="K981">INDEX(J$5:J$67,MATCH($B981,$B$5:$B$67,0))</f>
        <v>80</v>
      </c>
      <c r="L981" s="25">
        <f t="shared" si="629"/>
        <v>6417</v>
      </c>
      <c r="M981" s="25">
        <f t="shared" si="630"/>
        <v>1473</v>
      </c>
      <c r="N981" s="25">
        <f t="shared" si="631"/>
        <v>2046</v>
      </c>
      <c r="O981" s="25">
        <f t="shared" si="632"/>
        <v>1240</v>
      </c>
      <c r="R981" s="50"/>
      <c r="S981" s="51"/>
      <c r="T981" s="29"/>
    </row>
    <row r="982" spans="1:20">
      <c r="A982" s="53">
        <v>1017004</v>
      </c>
      <c r="B982" s="49" t="s">
        <v>345</v>
      </c>
      <c r="C982" s="25">
        <f t="shared" si="628"/>
        <v>4</v>
      </c>
      <c r="D982" s="25">
        <f t="array" ref="D982">INDEX(C$5:C$67,MATCH($B982,$B$5:$B$67,0))</f>
        <v>5175</v>
      </c>
      <c r="E982" s="25">
        <f t="array" ref="E982">INDEX(D$5:D$67,MATCH($B982,$B$5:$B$67,0))</f>
        <v>414</v>
      </c>
      <c r="F982" s="25">
        <f t="array" ref="F982">INDEX(E$5:E$67,MATCH($B982,$B$5:$B$67,0))</f>
        <v>1188</v>
      </c>
      <c r="G982" s="25">
        <f t="array" ref="G982">INDEX(F$5:F$67,MATCH($B982,$B$5:$B$67,0))</f>
        <v>95.04</v>
      </c>
      <c r="H982" s="25">
        <f t="array" ref="H982">INDEX(G$5:G$66,MATCH($B982,$B$5:$B$67,0))</f>
        <v>1650</v>
      </c>
      <c r="I982" s="25">
        <f t="array" ref="I982">INDEX(H$5:H$67,MATCH($B982,$B$5:$B$67,0))</f>
        <v>132</v>
      </c>
      <c r="J982" s="25">
        <f t="array" ref="J982">INDEX(I$5:I$67,MATCH($B982,$B$5:$B$67,0))</f>
        <v>1000</v>
      </c>
      <c r="K982" s="25">
        <f t="array" ref="K982">INDEX(J$5:J$67,MATCH($B982,$B$5:$B$67,0))</f>
        <v>80</v>
      </c>
      <c r="L982" s="25">
        <f t="shared" si="629"/>
        <v>6831</v>
      </c>
      <c r="M982" s="25">
        <f t="shared" si="630"/>
        <v>1568</v>
      </c>
      <c r="N982" s="25">
        <f t="shared" si="631"/>
        <v>2178</v>
      </c>
      <c r="O982" s="25">
        <f t="shared" si="632"/>
        <v>1320</v>
      </c>
      <c r="R982" s="50"/>
      <c r="S982" s="51"/>
      <c r="T982" s="29"/>
    </row>
    <row r="983" spans="1:20">
      <c r="A983" s="53">
        <v>1017005</v>
      </c>
      <c r="B983" s="49" t="s">
        <v>345</v>
      </c>
      <c r="C983" s="25">
        <f t="shared" si="628"/>
        <v>5</v>
      </c>
      <c r="D983" s="25">
        <f t="array" ref="D983">INDEX(C$5:C$67,MATCH($B983,$B$5:$B$67,0))</f>
        <v>5175</v>
      </c>
      <c r="E983" s="25">
        <f t="array" ref="E983">INDEX(D$5:D$67,MATCH($B983,$B$5:$B$67,0))</f>
        <v>414</v>
      </c>
      <c r="F983" s="25">
        <f t="array" ref="F983">INDEX(E$5:E$67,MATCH($B983,$B$5:$B$67,0))</f>
        <v>1188</v>
      </c>
      <c r="G983" s="25">
        <f t="array" ref="G983">INDEX(F$5:F$67,MATCH($B983,$B$5:$B$67,0))</f>
        <v>95.04</v>
      </c>
      <c r="H983" s="25">
        <f t="array" ref="H983">INDEX(G$5:G$66,MATCH($B983,$B$5:$B$67,0))</f>
        <v>1650</v>
      </c>
      <c r="I983" s="25">
        <f t="array" ref="I983">INDEX(H$5:H$67,MATCH($B983,$B$5:$B$67,0))</f>
        <v>132</v>
      </c>
      <c r="J983" s="25">
        <f t="array" ref="J983">INDEX(I$5:I$67,MATCH($B983,$B$5:$B$67,0))</f>
        <v>1000</v>
      </c>
      <c r="K983" s="25">
        <f t="array" ref="K983">INDEX(J$5:J$67,MATCH($B983,$B$5:$B$67,0))</f>
        <v>80</v>
      </c>
      <c r="L983" s="25">
        <f t="shared" si="629"/>
        <v>7245</v>
      </c>
      <c r="M983" s="25">
        <f t="shared" si="630"/>
        <v>1663</v>
      </c>
      <c r="N983" s="25">
        <f t="shared" si="631"/>
        <v>2310</v>
      </c>
      <c r="O983" s="25">
        <f t="shared" si="632"/>
        <v>1400</v>
      </c>
      <c r="R983" s="50"/>
      <c r="S983" s="51"/>
      <c r="T983" s="29"/>
    </row>
    <row r="984" spans="1:20">
      <c r="A984" s="53">
        <v>1017006</v>
      </c>
      <c r="B984" s="49" t="s">
        <v>345</v>
      </c>
      <c r="C984" s="25">
        <f t="shared" si="628"/>
        <v>6</v>
      </c>
      <c r="D984" s="25">
        <f t="array" ref="D984">INDEX(C$5:C$67,MATCH($B984,$B$5:$B$67,0))</f>
        <v>5175</v>
      </c>
      <c r="E984" s="25">
        <f t="array" ref="E984">INDEX(D$5:D$67,MATCH($B984,$B$5:$B$67,0))</f>
        <v>414</v>
      </c>
      <c r="F984" s="25">
        <f t="array" ref="F984">INDEX(E$5:E$67,MATCH($B984,$B$5:$B$67,0))</f>
        <v>1188</v>
      </c>
      <c r="G984" s="25">
        <f t="array" ref="G984">INDEX(F$5:F$67,MATCH($B984,$B$5:$B$67,0))</f>
        <v>95.04</v>
      </c>
      <c r="H984" s="25">
        <f t="array" ref="H984">INDEX(G$5:G$66,MATCH($B984,$B$5:$B$67,0))</f>
        <v>1650</v>
      </c>
      <c r="I984" s="25">
        <f t="array" ref="I984">INDEX(H$5:H$67,MATCH($B984,$B$5:$B$67,0))</f>
        <v>132</v>
      </c>
      <c r="J984" s="25">
        <f t="array" ref="J984">INDEX(I$5:I$67,MATCH($B984,$B$5:$B$67,0))</f>
        <v>1000</v>
      </c>
      <c r="K984" s="25">
        <f t="array" ref="K984">INDEX(J$5:J$67,MATCH($B984,$B$5:$B$67,0))</f>
        <v>80</v>
      </c>
      <c r="L984" s="25">
        <f t="shared" si="629"/>
        <v>7659</v>
      </c>
      <c r="M984" s="25">
        <f t="shared" si="630"/>
        <v>1758</v>
      </c>
      <c r="N984" s="25">
        <f t="shared" si="631"/>
        <v>2442</v>
      </c>
      <c r="O984" s="25">
        <f t="shared" si="632"/>
        <v>1480</v>
      </c>
      <c r="R984" s="50"/>
      <c r="S984" s="51"/>
      <c r="T984" s="29"/>
    </row>
    <row r="985" spans="1:20">
      <c r="A985" s="53">
        <v>1017007</v>
      </c>
      <c r="B985" s="49" t="s">
        <v>345</v>
      </c>
      <c r="C985" s="25">
        <f t="shared" si="628"/>
        <v>7</v>
      </c>
      <c r="D985" s="25">
        <f t="array" ref="D985">INDEX(C$5:C$67,MATCH($B985,$B$5:$B$67,0))</f>
        <v>5175</v>
      </c>
      <c r="E985" s="25">
        <f t="array" ref="E985">INDEX(D$5:D$67,MATCH($B985,$B$5:$B$67,0))</f>
        <v>414</v>
      </c>
      <c r="F985" s="25">
        <f t="array" ref="F985">INDEX(E$5:E$67,MATCH($B985,$B$5:$B$67,0))</f>
        <v>1188</v>
      </c>
      <c r="G985" s="25">
        <f t="array" ref="G985">INDEX(F$5:F$67,MATCH($B985,$B$5:$B$67,0))</f>
        <v>95.04</v>
      </c>
      <c r="H985" s="25">
        <f t="array" ref="H985">INDEX(G$5:G$66,MATCH($B985,$B$5:$B$67,0))</f>
        <v>1650</v>
      </c>
      <c r="I985" s="25">
        <f t="array" ref="I985">INDEX(H$5:H$67,MATCH($B985,$B$5:$B$67,0))</f>
        <v>132</v>
      </c>
      <c r="J985" s="25">
        <f t="array" ref="J985">INDEX(I$5:I$67,MATCH($B985,$B$5:$B$67,0))</f>
        <v>1000</v>
      </c>
      <c r="K985" s="25">
        <f t="array" ref="K985">INDEX(J$5:J$67,MATCH($B985,$B$5:$B$67,0))</f>
        <v>80</v>
      </c>
      <c r="L985" s="25">
        <f t="shared" si="629"/>
        <v>8073</v>
      </c>
      <c r="M985" s="25">
        <f t="shared" si="630"/>
        <v>1853</v>
      </c>
      <c r="N985" s="25">
        <f t="shared" si="631"/>
        <v>2574</v>
      </c>
      <c r="O985" s="25">
        <f t="shared" si="632"/>
        <v>1560</v>
      </c>
      <c r="R985" s="50"/>
      <c r="S985" s="51"/>
      <c r="T985" s="29"/>
    </row>
    <row r="986" spans="1:20">
      <c r="A986" s="53">
        <v>1017008</v>
      </c>
      <c r="B986" s="49" t="s">
        <v>345</v>
      </c>
      <c r="C986" s="25">
        <f t="shared" si="628"/>
        <v>8</v>
      </c>
      <c r="D986" s="25">
        <f t="array" ref="D986">INDEX(C$5:C$67,MATCH($B986,$B$5:$B$67,0))</f>
        <v>5175</v>
      </c>
      <c r="E986" s="25">
        <f t="array" ref="E986">INDEX(D$5:D$67,MATCH($B986,$B$5:$B$67,0))</f>
        <v>414</v>
      </c>
      <c r="F986" s="25">
        <f t="array" ref="F986">INDEX(E$5:E$67,MATCH($B986,$B$5:$B$67,0))</f>
        <v>1188</v>
      </c>
      <c r="G986" s="25">
        <f t="array" ref="G986">INDEX(F$5:F$67,MATCH($B986,$B$5:$B$67,0))</f>
        <v>95.04</v>
      </c>
      <c r="H986" s="25">
        <f t="array" ref="H986">INDEX(G$5:G$66,MATCH($B986,$B$5:$B$67,0))</f>
        <v>1650</v>
      </c>
      <c r="I986" s="25">
        <f t="array" ref="I986">INDEX(H$5:H$67,MATCH($B986,$B$5:$B$67,0))</f>
        <v>132</v>
      </c>
      <c r="J986" s="25">
        <f t="array" ref="J986">INDEX(I$5:I$67,MATCH($B986,$B$5:$B$67,0))</f>
        <v>1000</v>
      </c>
      <c r="K986" s="25">
        <f t="array" ref="K986">INDEX(J$5:J$67,MATCH($B986,$B$5:$B$67,0))</f>
        <v>80</v>
      </c>
      <c r="L986" s="25">
        <f t="shared" si="629"/>
        <v>8487</v>
      </c>
      <c r="M986" s="25">
        <f t="shared" si="630"/>
        <v>1948</v>
      </c>
      <c r="N986" s="25">
        <f t="shared" si="631"/>
        <v>2706</v>
      </c>
      <c r="O986" s="25">
        <f t="shared" si="632"/>
        <v>1640</v>
      </c>
      <c r="R986" s="50"/>
      <c r="S986" s="51"/>
      <c r="T986" s="29"/>
    </row>
    <row r="987" spans="1:20">
      <c r="A987" s="53">
        <v>1017009</v>
      </c>
      <c r="B987" s="49" t="s">
        <v>345</v>
      </c>
      <c r="C987" s="25">
        <f t="shared" si="628"/>
        <v>9</v>
      </c>
      <c r="D987" s="25">
        <f t="array" ref="D987">INDEX(C$5:C$67,MATCH($B987,$B$5:$B$67,0))</f>
        <v>5175</v>
      </c>
      <c r="E987" s="25">
        <f t="array" ref="E987">INDEX(D$5:D$67,MATCH($B987,$B$5:$B$67,0))</f>
        <v>414</v>
      </c>
      <c r="F987" s="25">
        <f t="array" ref="F987">INDEX(E$5:E$67,MATCH($B987,$B$5:$B$67,0))</f>
        <v>1188</v>
      </c>
      <c r="G987" s="25">
        <f t="array" ref="G987">INDEX(F$5:F$67,MATCH($B987,$B$5:$B$67,0))</f>
        <v>95.04</v>
      </c>
      <c r="H987" s="25">
        <f t="array" ref="H987">INDEX(G$5:G$66,MATCH($B987,$B$5:$B$67,0))</f>
        <v>1650</v>
      </c>
      <c r="I987" s="25">
        <f t="array" ref="I987">INDEX(H$5:H$67,MATCH($B987,$B$5:$B$67,0))</f>
        <v>132</v>
      </c>
      <c r="J987" s="25">
        <f t="array" ref="J987">INDEX(I$5:I$67,MATCH($B987,$B$5:$B$67,0))</f>
        <v>1000</v>
      </c>
      <c r="K987" s="25">
        <f t="array" ref="K987">INDEX(J$5:J$67,MATCH($B987,$B$5:$B$67,0))</f>
        <v>80</v>
      </c>
      <c r="L987" s="25">
        <f t="shared" si="629"/>
        <v>8901</v>
      </c>
      <c r="M987" s="25">
        <f t="shared" si="630"/>
        <v>2043</v>
      </c>
      <c r="N987" s="25">
        <f t="shared" si="631"/>
        <v>2838</v>
      </c>
      <c r="O987" s="25">
        <f t="shared" si="632"/>
        <v>1720</v>
      </c>
      <c r="R987" s="50"/>
      <c r="S987" s="51"/>
      <c r="T987" s="29"/>
    </row>
    <row r="988" spans="1:20">
      <c r="A988" s="53">
        <v>1017010</v>
      </c>
      <c r="B988" s="49" t="s">
        <v>345</v>
      </c>
      <c r="C988" s="25">
        <f t="shared" si="628"/>
        <v>10</v>
      </c>
      <c r="D988" s="25">
        <f t="array" ref="D988">INDEX(C$5:C$67,MATCH($B988,$B$5:$B$67,0))</f>
        <v>5175</v>
      </c>
      <c r="E988" s="25">
        <f t="array" ref="E988">INDEX(D$5:D$67,MATCH($B988,$B$5:$B$67,0))</f>
        <v>414</v>
      </c>
      <c r="F988" s="25">
        <f t="array" ref="F988">INDEX(E$5:E$67,MATCH($B988,$B$5:$B$67,0))</f>
        <v>1188</v>
      </c>
      <c r="G988" s="25">
        <f t="array" ref="G988">INDEX(F$5:F$67,MATCH($B988,$B$5:$B$67,0))</f>
        <v>95.04</v>
      </c>
      <c r="H988" s="25">
        <f t="array" ref="H988">INDEX(G$5:G$66,MATCH($B988,$B$5:$B$67,0))</f>
        <v>1650</v>
      </c>
      <c r="I988" s="25">
        <f t="array" ref="I988">INDEX(H$5:H$67,MATCH($B988,$B$5:$B$67,0))</f>
        <v>132</v>
      </c>
      <c r="J988" s="25">
        <f t="array" ref="J988">INDEX(I$5:I$67,MATCH($B988,$B$5:$B$67,0))</f>
        <v>1000</v>
      </c>
      <c r="K988" s="25">
        <f t="array" ref="K988">INDEX(J$5:J$67,MATCH($B988,$B$5:$B$67,0))</f>
        <v>80</v>
      </c>
      <c r="L988" s="25">
        <f t="shared" si="629"/>
        <v>9315</v>
      </c>
      <c r="M988" s="25">
        <f t="shared" si="630"/>
        <v>2138</v>
      </c>
      <c r="N988" s="25">
        <f t="shared" si="631"/>
        <v>2970</v>
      </c>
      <c r="O988" s="25">
        <f t="shared" si="632"/>
        <v>1800</v>
      </c>
      <c r="R988" s="50"/>
      <c r="S988" s="51"/>
      <c r="T988" s="29"/>
    </row>
    <row r="989" spans="1:20">
      <c r="A989" s="53">
        <v>1017011</v>
      </c>
      <c r="B989" s="49" t="s">
        <v>345</v>
      </c>
      <c r="C989" s="25">
        <f t="shared" si="628"/>
        <v>11</v>
      </c>
      <c r="D989" s="25">
        <f t="array" ref="D989">INDEX(C$5:C$67,MATCH($B989,$B$5:$B$67,0))</f>
        <v>5175</v>
      </c>
      <c r="E989" s="25">
        <f t="array" ref="E989">INDEX(D$5:D$67,MATCH($B989,$B$5:$B$67,0))</f>
        <v>414</v>
      </c>
      <c r="F989" s="25">
        <f t="array" ref="F989">INDEX(E$5:E$67,MATCH($B989,$B$5:$B$67,0))</f>
        <v>1188</v>
      </c>
      <c r="G989" s="25">
        <f t="array" ref="G989">INDEX(F$5:F$67,MATCH($B989,$B$5:$B$67,0))</f>
        <v>95.04</v>
      </c>
      <c r="H989" s="25">
        <f t="array" ref="H989">INDEX(G$5:G$66,MATCH($B989,$B$5:$B$67,0))</f>
        <v>1650</v>
      </c>
      <c r="I989" s="25">
        <f t="array" ref="I989">INDEX(H$5:H$67,MATCH($B989,$B$5:$B$67,0))</f>
        <v>132</v>
      </c>
      <c r="J989" s="25">
        <f t="array" ref="J989">INDEX(I$5:I$67,MATCH($B989,$B$5:$B$67,0))</f>
        <v>1000</v>
      </c>
      <c r="K989" s="25">
        <f t="array" ref="K989">INDEX(J$5:J$67,MATCH($B989,$B$5:$B$67,0))</f>
        <v>80</v>
      </c>
      <c r="L989" s="25">
        <f t="shared" si="629"/>
        <v>9729</v>
      </c>
      <c r="M989" s="25">
        <f t="shared" si="630"/>
        <v>2233</v>
      </c>
      <c r="N989" s="25">
        <f t="shared" si="631"/>
        <v>3102</v>
      </c>
      <c r="O989" s="25">
        <f t="shared" si="632"/>
        <v>1880</v>
      </c>
      <c r="R989" s="50"/>
      <c r="S989" s="51"/>
      <c r="T989" s="29"/>
    </row>
    <row r="990" spans="1:20">
      <c r="A990" s="53">
        <v>1017012</v>
      </c>
      <c r="B990" s="49" t="s">
        <v>345</v>
      </c>
      <c r="C990" s="25">
        <f t="shared" si="628"/>
        <v>12</v>
      </c>
      <c r="D990" s="25">
        <f t="array" ref="D990">INDEX(C$5:C$67,MATCH($B990,$B$5:$B$67,0))</f>
        <v>5175</v>
      </c>
      <c r="E990" s="25">
        <f t="array" ref="E990">INDEX(D$5:D$67,MATCH($B990,$B$5:$B$67,0))</f>
        <v>414</v>
      </c>
      <c r="F990" s="25">
        <f t="array" ref="F990">INDEX(E$5:E$67,MATCH($B990,$B$5:$B$67,0))</f>
        <v>1188</v>
      </c>
      <c r="G990" s="25">
        <f t="array" ref="G990">INDEX(F$5:F$67,MATCH($B990,$B$5:$B$67,0))</f>
        <v>95.04</v>
      </c>
      <c r="H990" s="25">
        <f t="array" ref="H990">INDEX(G$5:G$66,MATCH($B990,$B$5:$B$67,0))</f>
        <v>1650</v>
      </c>
      <c r="I990" s="25">
        <f t="array" ref="I990">INDEX(H$5:H$67,MATCH($B990,$B$5:$B$67,0))</f>
        <v>132</v>
      </c>
      <c r="J990" s="25">
        <f t="array" ref="J990">INDEX(I$5:I$67,MATCH($B990,$B$5:$B$67,0))</f>
        <v>1000</v>
      </c>
      <c r="K990" s="25">
        <f t="array" ref="K990">INDEX(J$5:J$67,MATCH($B990,$B$5:$B$67,0))</f>
        <v>80</v>
      </c>
      <c r="L990" s="25">
        <f t="shared" si="629"/>
        <v>10143</v>
      </c>
      <c r="M990" s="25">
        <f t="shared" si="630"/>
        <v>2328</v>
      </c>
      <c r="N990" s="25">
        <f t="shared" si="631"/>
        <v>3234</v>
      </c>
      <c r="O990" s="25">
        <f t="shared" si="632"/>
        <v>1960</v>
      </c>
      <c r="R990" s="50"/>
      <c r="S990" s="51"/>
      <c r="T990" s="29"/>
    </row>
    <row r="991" spans="1:20">
      <c r="A991" s="53">
        <v>1017013</v>
      </c>
      <c r="B991" s="49" t="s">
        <v>345</v>
      </c>
      <c r="C991" s="25">
        <f t="shared" si="628"/>
        <v>13</v>
      </c>
      <c r="D991" s="25">
        <f t="array" ref="D991">INDEX(C$5:C$67,MATCH($B991,$B$5:$B$67,0))</f>
        <v>5175</v>
      </c>
      <c r="E991" s="25">
        <f t="array" ref="E991">INDEX(D$5:D$67,MATCH($B991,$B$5:$B$67,0))</f>
        <v>414</v>
      </c>
      <c r="F991" s="25">
        <f t="array" ref="F991">INDEX(E$5:E$67,MATCH($B991,$B$5:$B$67,0))</f>
        <v>1188</v>
      </c>
      <c r="G991" s="25">
        <f t="array" ref="G991">INDEX(F$5:F$67,MATCH($B991,$B$5:$B$67,0))</f>
        <v>95.04</v>
      </c>
      <c r="H991" s="25">
        <f t="array" ref="H991">INDEX(G$5:G$66,MATCH($B991,$B$5:$B$67,0))</f>
        <v>1650</v>
      </c>
      <c r="I991" s="25">
        <f t="array" ref="I991">INDEX(H$5:H$67,MATCH($B991,$B$5:$B$67,0))</f>
        <v>132</v>
      </c>
      <c r="J991" s="25">
        <f t="array" ref="J991">INDEX(I$5:I$67,MATCH($B991,$B$5:$B$67,0))</f>
        <v>1000</v>
      </c>
      <c r="K991" s="25">
        <f t="array" ref="K991">INDEX(J$5:J$67,MATCH($B991,$B$5:$B$67,0))</f>
        <v>80</v>
      </c>
      <c r="L991" s="25">
        <f t="shared" si="629"/>
        <v>10557</v>
      </c>
      <c r="M991" s="25">
        <f t="shared" si="630"/>
        <v>2424</v>
      </c>
      <c r="N991" s="25">
        <f t="shared" si="631"/>
        <v>3366</v>
      </c>
      <c r="O991" s="25">
        <f t="shared" si="632"/>
        <v>2040</v>
      </c>
      <c r="R991" s="50"/>
      <c r="S991" s="51"/>
      <c r="T991" s="29"/>
    </row>
    <row r="992" spans="1:20">
      <c r="A992" s="53">
        <v>1017014</v>
      </c>
      <c r="B992" s="49" t="s">
        <v>345</v>
      </c>
      <c r="C992" s="25">
        <f t="shared" si="628"/>
        <v>14</v>
      </c>
      <c r="D992" s="25">
        <f t="array" ref="D992">INDEX(C$5:C$67,MATCH($B992,$B$5:$B$67,0))</f>
        <v>5175</v>
      </c>
      <c r="E992" s="25">
        <f t="array" ref="E992">INDEX(D$5:D$67,MATCH($B992,$B$5:$B$67,0))</f>
        <v>414</v>
      </c>
      <c r="F992" s="25">
        <f t="array" ref="F992">INDEX(E$5:E$67,MATCH($B992,$B$5:$B$67,0))</f>
        <v>1188</v>
      </c>
      <c r="G992" s="25">
        <f t="array" ref="G992">INDEX(F$5:F$67,MATCH($B992,$B$5:$B$67,0))</f>
        <v>95.04</v>
      </c>
      <c r="H992" s="25">
        <f t="array" ref="H992">INDEX(G$5:G$66,MATCH($B992,$B$5:$B$67,0))</f>
        <v>1650</v>
      </c>
      <c r="I992" s="25">
        <f t="array" ref="I992">INDEX(H$5:H$67,MATCH($B992,$B$5:$B$67,0))</f>
        <v>132</v>
      </c>
      <c r="J992" s="25">
        <f t="array" ref="J992">INDEX(I$5:I$67,MATCH($B992,$B$5:$B$67,0))</f>
        <v>1000</v>
      </c>
      <c r="K992" s="25">
        <f t="array" ref="K992">INDEX(J$5:J$67,MATCH($B992,$B$5:$B$67,0))</f>
        <v>80</v>
      </c>
      <c r="L992" s="25">
        <f t="shared" si="629"/>
        <v>10971</v>
      </c>
      <c r="M992" s="25">
        <f t="shared" si="630"/>
        <v>2519</v>
      </c>
      <c r="N992" s="25">
        <f t="shared" si="631"/>
        <v>3498</v>
      </c>
      <c r="O992" s="25">
        <f t="shared" si="632"/>
        <v>2120</v>
      </c>
      <c r="R992" s="50"/>
      <c r="S992" s="51"/>
      <c r="T992" s="29"/>
    </row>
    <row r="993" spans="1:20">
      <c r="A993" s="53">
        <v>1017015</v>
      </c>
      <c r="B993" s="49" t="s">
        <v>345</v>
      </c>
      <c r="C993" s="25">
        <f t="shared" si="628"/>
        <v>15</v>
      </c>
      <c r="D993" s="25">
        <f t="array" ref="D993">INDEX(C$5:C$67,MATCH($B993,$B$5:$B$67,0))</f>
        <v>5175</v>
      </c>
      <c r="E993" s="25">
        <f t="array" ref="E993">INDEX(D$5:D$67,MATCH($B993,$B$5:$B$67,0))</f>
        <v>414</v>
      </c>
      <c r="F993" s="25">
        <f t="array" ref="F993">INDEX(E$5:E$67,MATCH($B993,$B$5:$B$67,0))</f>
        <v>1188</v>
      </c>
      <c r="G993" s="25">
        <f t="array" ref="G993">INDEX(F$5:F$67,MATCH($B993,$B$5:$B$67,0))</f>
        <v>95.04</v>
      </c>
      <c r="H993" s="25">
        <f t="array" ref="H993">INDEX(G$5:G$66,MATCH($B993,$B$5:$B$67,0))</f>
        <v>1650</v>
      </c>
      <c r="I993" s="25">
        <f t="array" ref="I993">INDEX(H$5:H$67,MATCH($B993,$B$5:$B$67,0))</f>
        <v>132</v>
      </c>
      <c r="J993" s="25">
        <f t="array" ref="J993">INDEX(I$5:I$67,MATCH($B993,$B$5:$B$67,0))</f>
        <v>1000</v>
      </c>
      <c r="K993" s="25">
        <f t="array" ref="K993">INDEX(J$5:J$67,MATCH($B993,$B$5:$B$67,0))</f>
        <v>80</v>
      </c>
      <c r="L993" s="25">
        <f t="shared" si="629"/>
        <v>11385</v>
      </c>
      <c r="M993" s="25">
        <f t="shared" si="630"/>
        <v>2614</v>
      </c>
      <c r="N993" s="25">
        <f t="shared" si="631"/>
        <v>3630</v>
      </c>
      <c r="O993" s="25">
        <f t="shared" si="632"/>
        <v>2200</v>
      </c>
      <c r="R993" s="50"/>
      <c r="S993" s="51"/>
      <c r="T993" s="29"/>
    </row>
    <row r="994" spans="1:20">
      <c r="A994" s="53">
        <v>1017016</v>
      </c>
      <c r="B994" s="49" t="s">
        <v>345</v>
      </c>
      <c r="C994" s="25">
        <f t="shared" si="628"/>
        <v>16</v>
      </c>
      <c r="D994" s="25">
        <f t="array" ref="D994">INDEX(C$5:C$67,MATCH($B994,$B$5:$B$67,0))</f>
        <v>5175</v>
      </c>
      <c r="E994" s="25">
        <f t="array" ref="E994">INDEX(D$5:D$67,MATCH($B994,$B$5:$B$67,0))</f>
        <v>414</v>
      </c>
      <c r="F994" s="25">
        <f t="array" ref="F994">INDEX(E$5:E$67,MATCH($B994,$B$5:$B$67,0))</f>
        <v>1188</v>
      </c>
      <c r="G994" s="25">
        <f t="array" ref="G994">INDEX(F$5:F$67,MATCH($B994,$B$5:$B$67,0))</f>
        <v>95.04</v>
      </c>
      <c r="H994" s="25">
        <f t="array" ref="H994">INDEX(G$5:G$66,MATCH($B994,$B$5:$B$67,0))</f>
        <v>1650</v>
      </c>
      <c r="I994" s="25">
        <f t="array" ref="I994">INDEX(H$5:H$67,MATCH($B994,$B$5:$B$67,0))</f>
        <v>132</v>
      </c>
      <c r="J994" s="25">
        <f t="array" ref="J994">INDEX(I$5:I$67,MATCH($B994,$B$5:$B$67,0))</f>
        <v>1000</v>
      </c>
      <c r="K994" s="25">
        <f t="array" ref="K994">INDEX(J$5:J$67,MATCH($B994,$B$5:$B$67,0))</f>
        <v>80</v>
      </c>
      <c r="L994" s="25">
        <f t="shared" si="629"/>
        <v>11799</v>
      </c>
      <c r="M994" s="25">
        <f t="shared" si="630"/>
        <v>2709</v>
      </c>
      <c r="N994" s="25">
        <f t="shared" si="631"/>
        <v>3762</v>
      </c>
      <c r="O994" s="25">
        <f t="shared" si="632"/>
        <v>2280</v>
      </c>
      <c r="R994" s="50"/>
      <c r="S994" s="51"/>
      <c r="T994" s="29"/>
    </row>
    <row r="995" spans="1:20">
      <c r="A995" s="53">
        <v>1017017</v>
      </c>
      <c r="B995" s="49" t="s">
        <v>345</v>
      </c>
      <c r="C995" s="25">
        <f t="shared" si="628"/>
        <v>17</v>
      </c>
      <c r="D995" s="25">
        <f t="array" ref="D995">INDEX(C$5:C$67,MATCH($B995,$B$5:$B$67,0))</f>
        <v>5175</v>
      </c>
      <c r="E995" s="25">
        <f t="array" ref="E995">INDEX(D$5:D$67,MATCH($B995,$B$5:$B$67,0))</f>
        <v>414</v>
      </c>
      <c r="F995" s="25">
        <f t="array" ref="F995">INDEX(E$5:E$67,MATCH($B995,$B$5:$B$67,0))</f>
        <v>1188</v>
      </c>
      <c r="G995" s="25">
        <f t="array" ref="G995">INDEX(F$5:F$67,MATCH($B995,$B$5:$B$67,0))</f>
        <v>95.04</v>
      </c>
      <c r="H995" s="25">
        <f t="array" ref="H995">INDEX(G$5:G$66,MATCH($B995,$B$5:$B$67,0))</f>
        <v>1650</v>
      </c>
      <c r="I995" s="25">
        <f t="array" ref="I995">INDEX(H$5:H$67,MATCH($B995,$B$5:$B$67,0))</f>
        <v>132</v>
      </c>
      <c r="J995" s="25">
        <f t="array" ref="J995">INDEX(I$5:I$67,MATCH($B995,$B$5:$B$67,0))</f>
        <v>1000</v>
      </c>
      <c r="K995" s="25">
        <f t="array" ref="K995">INDEX(J$5:J$67,MATCH($B995,$B$5:$B$67,0))</f>
        <v>80</v>
      </c>
      <c r="L995" s="25">
        <f t="shared" si="629"/>
        <v>12213</v>
      </c>
      <c r="M995" s="25">
        <f t="shared" si="630"/>
        <v>2804</v>
      </c>
      <c r="N995" s="25">
        <f t="shared" si="631"/>
        <v>3894</v>
      </c>
      <c r="O995" s="25">
        <f t="shared" si="632"/>
        <v>2360</v>
      </c>
      <c r="R995" s="50"/>
      <c r="S995" s="51"/>
      <c r="T995" s="29"/>
    </row>
    <row r="996" spans="1:20">
      <c r="A996" s="53">
        <v>1017018</v>
      </c>
      <c r="B996" s="49" t="s">
        <v>345</v>
      </c>
      <c r="C996" s="25">
        <f t="shared" si="628"/>
        <v>18</v>
      </c>
      <c r="D996" s="25">
        <f t="array" ref="D996">INDEX(C$5:C$67,MATCH($B996,$B$5:$B$67,0))</f>
        <v>5175</v>
      </c>
      <c r="E996" s="25">
        <f t="array" ref="E996">INDEX(D$5:D$67,MATCH($B996,$B$5:$B$67,0))</f>
        <v>414</v>
      </c>
      <c r="F996" s="25">
        <f t="array" ref="F996">INDEX(E$5:E$67,MATCH($B996,$B$5:$B$67,0))</f>
        <v>1188</v>
      </c>
      <c r="G996" s="25">
        <f t="array" ref="G996">INDEX(F$5:F$67,MATCH($B996,$B$5:$B$67,0))</f>
        <v>95.04</v>
      </c>
      <c r="H996" s="25">
        <f t="array" ref="H996">INDEX(G$5:G$66,MATCH($B996,$B$5:$B$67,0))</f>
        <v>1650</v>
      </c>
      <c r="I996" s="25">
        <f t="array" ref="I996">INDEX(H$5:H$67,MATCH($B996,$B$5:$B$67,0))</f>
        <v>132</v>
      </c>
      <c r="J996" s="25">
        <f t="array" ref="J996">INDEX(I$5:I$67,MATCH($B996,$B$5:$B$67,0))</f>
        <v>1000</v>
      </c>
      <c r="K996" s="25">
        <f t="array" ref="K996">INDEX(J$5:J$67,MATCH($B996,$B$5:$B$67,0))</f>
        <v>80</v>
      </c>
      <c r="L996" s="25">
        <f t="shared" si="629"/>
        <v>12627</v>
      </c>
      <c r="M996" s="25">
        <f t="shared" si="630"/>
        <v>2899</v>
      </c>
      <c r="N996" s="25">
        <f t="shared" si="631"/>
        <v>4026</v>
      </c>
      <c r="O996" s="25">
        <f t="shared" si="632"/>
        <v>2440</v>
      </c>
      <c r="R996" s="50"/>
      <c r="S996" s="51"/>
      <c r="T996" s="29"/>
    </row>
    <row r="997" spans="1:20">
      <c r="A997" s="53">
        <v>1017019</v>
      </c>
      <c r="B997" s="49" t="s">
        <v>345</v>
      </c>
      <c r="C997" s="25">
        <f t="shared" si="628"/>
        <v>19</v>
      </c>
      <c r="D997" s="25">
        <f t="array" ref="D997">INDEX(C$5:C$67,MATCH($B997,$B$5:$B$67,0))</f>
        <v>5175</v>
      </c>
      <c r="E997" s="25">
        <f t="array" ref="E997">INDEX(D$5:D$67,MATCH($B997,$B$5:$B$67,0))</f>
        <v>414</v>
      </c>
      <c r="F997" s="25">
        <f t="array" ref="F997">INDEX(E$5:E$67,MATCH($B997,$B$5:$B$67,0))</f>
        <v>1188</v>
      </c>
      <c r="G997" s="25">
        <f t="array" ref="G997">INDEX(F$5:F$67,MATCH($B997,$B$5:$B$67,0))</f>
        <v>95.04</v>
      </c>
      <c r="H997" s="25">
        <f t="array" ref="H997">INDEX(G$5:G$66,MATCH($B997,$B$5:$B$67,0))</f>
        <v>1650</v>
      </c>
      <c r="I997" s="25">
        <f t="array" ref="I997">INDEX(H$5:H$67,MATCH($B997,$B$5:$B$67,0))</f>
        <v>132</v>
      </c>
      <c r="J997" s="25">
        <f t="array" ref="J997">INDEX(I$5:I$67,MATCH($B997,$B$5:$B$67,0))</f>
        <v>1000</v>
      </c>
      <c r="K997" s="25">
        <f t="array" ref="K997">INDEX(J$5:J$67,MATCH($B997,$B$5:$B$67,0))</f>
        <v>80</v>
      </c>
      <c r="L997" s="25">
        <f t="shared" si="629"/>
        <v>13041</v>
      </c>
      <c r="M997" s="25">
        <f t="shared" si="630"/>
        <v>2994</v>
      </c>
      <c r="N997" s="25">
        <f t="shared" si="631"/>
        <v>4158</v>
      </c>
      <c r="O997" s="25">
        <f t="shared" si="632"/>
        <v>2520</v>
      </c>
      <c r="R997" s="50"/>
      <c r="S997" s="51"/>
      <c r="T997" s="29"/>
    </row>
    <row r="998" spans="1:20">
      <c r="A998" s="53">
        <v>1017020</v>
      </c>
      <c r="B998" s="49" t="s">
        <v>345</v>
      </c>
      <c r="C998" s="25">
        <f t="shared" si="628"/>
        <v>20</v>
      </c>
      <c r="D998" s="25">
        <f t="array" ref="D998">INDEX(C$5:C$67,MATCH($B998,$B$5:$B$67,0))</f>
        <v>5175</v>
      </c>
      <c r="E998" s="25">
        <f t="array" ref="E998">INDEX(D$5:D$67,MATCH($B998,$B$5:$B$67,0))</f>
        <v>414</v>
      </c>
      <c r="F998" s="25">
        <f t="array" ref="F998">INDEX(E$5:E$67,MATCH($B998,$B$5:$B$67,0))</f>
        <v>1188</v>
      </c>
      <c r="G998" s="25">
        <f t="array" ref="G998">INDEX(F$5:F$67,MATCH($B998,$B$5:$B$67,0))</f>
        <v>95.04</v>
      </c>
      <c r="H998" s="25">
        <f t="array" ref="H998">INDEX(G$5:G$66,MATCH($B998,$B$5:$B$67,0))</f>
        <v>1650</v>
      </c>
      <c r="I998" s="25">
        <f t="array" ref="I998">INDEX(H$5:H$67,MATCH($B998,$B$5:$B$67,0))</f>
        <v>132</v>
      </c>
      <c r="J998" s="25">
        <f t="array" ref="J998">INDEX(I$5:I$67,MATCH($B998,$B$5:$B$67,0))</f>
        <v>1000</v>
      </c>
      <c r="K998" s="25">
        <f t="array" ref="K998">INDEX(J$5:J$67,MATCH($B998,$B$5:$B$67,0))</f>
        <v>80</v>
      </c>
      <c r="L998" s="25">
        <f t="shared" si="629"/>
        <v>13455</v>
      </c>
      <c r="M998" s="25">
        <f t="shared" si="630"/>
        <v>3089</v>
      </c>
      <c r="N998" s="25">
        <f t="shared" si="631"/>
        <v>4290</v>
      </c>
      <c r="O998" s="25">
        <f t="shared" si="632"/>
        <v>2600</v>
      </c>
      <c r="R998" s="50"/>
      <c r="S998" s="51"/>
      <c r="T998" s="29"/>
    </row>
    <row r="999" spans="1:20">
      <c r="A999" s="53">
        <v>1017021</v>
      </c>
      <c r="B999" s="49" t="s">
        <v>345</v>
      </c>
      <c r="C999" s="25">
        <f t="shared" si="628"/>
        <v>21</v>
      </c>
      <c r="D999" s="25">
        <f t="array" ref="D999">INDEX(C$5:C$67,MATCH($B999,$B$5:$B$67,0))</f>
        <v>5175</v>
      </c>
      <c r="E999" s="25">
        <f t="array" ref="E999">INDEX(D$5:D$67,MATCH($B999,$B$5:$B$67,0))</f>
        <v>414</v>
      </c>
      <c r="F999" s="25">
        <f t="array" ref="F999">INDEX(E$5:E$67,MATCH($B999,$B$5:$B$67,0))</f>
        <v>1188</v>
      </c>
      <c r="G999" s="25">
        <f t="array" ref="G999">INDEX(F$5:F$67,MATCH($B999,$B$5:$B$67,0))</f>
        <v>95.04</v>
      </c>
      <c r="H999" s="25">
        <f t="array" ref="H999">INDEX(G$5:G$66,MATCH($B999,$B$5:$B$67,0))</f>
        <v>1650</v>
      </c>
      <c r="I999" s="25">
        <f t="array" ref="I999">INDEX(H$5:H$67,MATCH($B999,$B$5:$B$67,0))</f>
        <v>132</v>
      </c>
      <c r="J999" s="25">
        <f t="array" ref="J999">INDEX(I$5:I$67,MATCH($B999,$B$5:$B$67,0))</f>
        <v>1000</v>
      </c>
      <c r="K999" s="25">
        <f t="array" ref="K999">INDEX(J$5:J$67,MATCH($B999,$B$5:$B$67,0))</f>
        <v>80</v>
      </c>
      <c r="L999" s="25">
        <f t="shared" si="629"/>
        <v>13869</v>
      </c>
      <c r="M999" s="25">
        <f t="shared" si="630"/>
        <v>3184</v>
      </c>
      <c r="N999" s="25">
        <f t="shared" si="631"/>
        <v>4422</v>
      </c>
      <c r="O999" s="25">
        <f t="shared" si="632"/>
        <v>2680</v>
      </c>
      <c r="R999" s="50"/>
      <c r="S999" s="51"/>
      <c r="T999" s="29"/>
    </row>
    <row r="1000" spans="1:20">
      <c r="A1000" s="53">
        <v>1017022</v>
      </c>
      <c r="B1000" s="49" t="s">
        <v>345</v>
      </c>
      <c r="C1000" s="25">
        <f t="shared" si="628"/>
        <v>22</v>
      </c>
      <c r="D1000" s="25">
        <f t="array" ref="D1000">INDEX(C$5:C$67,MATCH($B1000,$B$5:$B$67,0))</f>
        <v>5175</v>
      </c>
      <c r="E1000" s="25">
        <f t="array" ref="E1000">INDEX(D$5:D$67,MATCH($B1000,$B$5:$B$67,0))</f>
        <v>414</v>
      </c>
      <c r="F1000" s="25">
        <f t="array" ref="F1000">INDEX(E$5:E$67,MATCH($B1000,$B$5:$B$67,0))</f>
        <v>1188</v>
      </c>
      <c r="G1000" s="25">
        <f t="array" ref="G1000">INDEX(F$5:F$67,MATCH($B1000,$B$5:$B$67,0))</f>
        <v>95.04</v>
      </c>
      <c r="H1000" s="25">
        <f t="array" ref="H1000">INDEX(G$5:G$66,MATCH($B1000,$B$5:$B$67,0))</f>
        <v>1650</v>
      </c>
      <c r="I1000" s="25">
        <f t="array" ref="I1000">INDEX(H$5:H$67,MATCH($B1000,$B$5:$B$67,0))</f>
        <v>132</v>
      </c>
      <c r="J1000" s="25">
        <f t="array" ref="J1000">INDEX(I$5:I$67,MATCH($B1000,$B$5:$B$67,0))</f>
        <v>1000</v>
      </c>
      <c r="K1000" s="25">
        <f t="array" ref="K1000">INDEX(J$5:J$67,MATCH($B1000,$B$5:$B$67,0))</f>
        <v>80</v>
      </c>
      <c r="L1000" s="25">
        <f t="shared" si="629"/>
        <v>14283</v>
      </c>
      <c r="M1000" s="25">
        <f t="shared" si="630"/>
        <v>3279</v>
      </c>
      <c r="N1000" s="25">
        <f t="shared" si="631"/>
        <v>4554</v>
      </c>
      <c r="O1000" s="25">
        <f t="shared" si="632"/>
        <v>2760</v>
      </c>
      <c r="R1000" s="50"/>
      <c r="S1000" s="51"/>
      <c r="T1000" s="29"/>
    </row>
    <row r="1001" spans="1:20">
      <c r="A1001" s="53">
        <v>1017023</v>
      </c>
      <c r="B1001" s="49" t="s">
        <v>345</v>
      </c>
      <c r="C1001" s="25">
        <f t="shared" si="628"/>
        <v>23</v>
      </c>
      <c r="D1001" s="25">
        <f t="array" ref="D1001">INDEX(C$5:C$67,MATCH($B1001,$B$5:$B$67,0))</f>
        <v>5175</v>
      </c>
      <c r="E1001" s="25">
        <f t="array" ref="E1001">INDEX(D$5:D$67,MATCH($B1001,$B$5:$B$67,0))</f>
        <v>414</v>
      </c>
      <c r="F1001" s="25">
        <f t="array" ref="F1001">INDEX(E$5:E$67,MATCH($B1001,$B$5:$B$67,0))</f>
        <v>1188</v>
      </c>
      <c r="G1001" s="25">
        <f t="array" ref="G1001">INDEX(F$5:F$67,MATCH($B1001,$B$5:$B$67,0))</f>
        <v>95.04</v>
      </c>
      <c r="H1001" s="25">
        <f t="array" ref="H1001">INDEX(G$5:G$66,MATCH($B1001,$B$5:$B$67,0))</f>
        <v>1650</v>
      </c>
      <c r="I1001" s="25">
        <f t="array" ref="I1001">INDEX(H$5:H$67,MATCH($B1001,$B$5:$B$67,0))</f>
        <v>132</v>
      </c>
      <c r="J1001" s="25">
        <f t="array" ref="J1001">INDEX(I$5:I$67,MATCH($B1001,$B$5:$B$67,0))</f>
        <v>1000</v>
      </c>
      <c r="K1001" s="25">
        <f t="array" ref="K1001">INDEX(J$5:J$67,MATCH($B1001,$B$5:$B$67,0))</f>
        <v>80</v>
      </c>
      <c r="L1001" s="25">
        <f t="shared" si="629"/>
        <v>14697</v>
      </c>
      <c r="M1001" s="25">
        <f t="shared" si="630"/>
        <v>3374</v>
      </c>
      <c r="N1001" s="25">
        <f t="shared" si="631"/>
        <v>4686</v>
      </c>
      <c r="O1001" s="25">
        <f t="shared" si="632"/>
        <v>2840</v>
      </c>
      <c r="R1001" s="50"/>
      <c r="S1001" s="51"/>
      <c r="T1001" s="29"/>
    </row>
    <row r="1002" spans="1:20">
      <c r="A1002" s="53">
        <v>1017024</v>
      </c>
      <c r="B1002" s="49" t="s">
        <v>345</v>
      </c>
      <c r="C1002" s="25">
        <f t="shared" si="628"/>
        <v>24</v>
      </c>
      <c r="D1002" s="25">
        <f t="array" ref="D1002">INDEX(C$5:C$67,MATCH($B1002,$B$5:$B$67,0))</f>
        <v>5175</v>
      </c>
      <c r="E1002" s="25">
        <f t="array" ref="E1002">INDEX(D$5:D$67,MATCH($B1002,$B$5:$B$67,0))</f>
        <v>414</v>
      </c>
      <c r="F1002" s="25">
        <f t="array" ref="F1002">INDEX(E$5:E$67,MATCH($B1002,$B$5:$B$67,0))</f>
        <v>1188</v>
      </c>
      <c r="G1002" s="25">
        <f t="array" ref="G1002">INDEX(F$5:F$67,MATCH($B1002,$B$5:$B$67,0))</f>
        <v>95.04</v>
      </c>
      <c r="H1002" s="25">
        <f t="array" ref="H1002">INDEX(G$5:G$66,MATCH($B1002,$B$5:$B$67,0))</f>
        <v>1650</v>
      </c>
      <c r="I1002" s="25">
        <f t="array" ref="I1002">INDEX(H$5:H$67,MATCH($B1002,$B$5:$B$67,0))</f>
        <v>132</v>
      </c>
      <c r="J1002" s="25">
        <f t="array" ref="J1002">INDEX(I$5:I$67,MATCH($B1002,$B$5:$B$67,0))</f>
        <v>1000</v>
      </c>
      <c r="K1002" s="25">
        <f t="array" ref="K1002">INDEX(J$5:J$67,MATCH($B1002,$B$5:$B$67,0))</f>
        <v>80</v>
      </c>
      <c r="L1002" s="25">
        <f t="shared" si="629"/>
        <v>15111</v>
      </c>
      <c r="M1002" s="25">
        <f t="shared" si="630"/>
        <v>3469</v>
      </c>
      <c r="N1002" s="25">
        <f t="shared" si="631"/>
        <v>4818</v>
      </c>
      <c r="O1002" s="25">
        <f t="shared" si="632"/>
        <v>2920</v>
      </c>
      <c r="R1002" s="50"/>
      <c r="S1002" s="51"/>
      <c r="T1002" s="29"/>
    </row>
    <row r="1003" spans="1:20">
      <c r="A1003" s="53">
        <v>1017025</v>
      </c>
      <c r="B1003" s="49" t="s">
        <v>345</v>
      </c>
      <c r="C1003" s="25">
        <f t="shared" si="628"/>
        <v>25</v>
      </c>
      <c r="D1003" s="25">
        <f t="array" ref="D1003">INDEX(C$5:C$67,MATCH($B1003,$B$5:$B$67,0))</f>
        <v>5175</v>
      </c>
      <c r="E1003" s="25">
        <f t="array" ref="E1003">INDEX(D$5:D$67,MATCH($B1003,$B$5:$B$67,0))</f>
        <v>414</v>
      </c>
      <c r="F1003" s="25">
        <f t="array" ref="F1003">INDEX(E$5:E$67,MATCH($B1003,$B$5:$B$67,0))</f>
        <v>1188</v>
      </c>
      <c r="G1003" s="25">
        <f t="array" ref="G1003">INDEX(F$5:F$67,MATCH($B1003,$B$5:$B$67,0))</f>
        <v>95.04</v>
      </c>
      <c r="H1003" s="25">
        <f t="array" ref="H1003">INDEX(G$5:G$66,MATCH($B1003,$B$5:$B$67,0))</f>
        <v>1650</v>
      </c>
      <c r="I1003" s="25">
        <f t="array" ref="I1003">INDEX(H$5:H$67,MATCH($B1003,$B$5:$B$67,0))</f>
        <v>132</v>
      </c>
      <c r="J1003" s="25">
        <f t="array" ref="J1003">INDEX(I$5:I$67,MATCH($B1003,$B$5:$B$67,0))</f>
        <v>1000</v>
      </c>
      <c r="K1003" s="25">
        <f t="array" ref="K1003">INDEX(J$5:J$67,MATCH($B1003,$B$5:$B$67,0))</f>
        <v>80</v>
      </c>
      <c r="L1003" s="25">
        <f t="shared" si="629"/>
        <v>15525</v>
      </c>
      <c r="M1003" s="25">
        <f t="shared" si="630"/>
        <v>3564</v>
      </c>
      <c r="N1003" s="25">
        <f t="shared" si="631"/>
        <v>4950</v>
      </c>
      <c r="O1003" s="25">
        <f t="shared" si="632"/>
        <v>3000</v>
      </c>
      <c r="R1003" s="50"/>
      <c r="S1003" s="51"/>
      <c r="T1003" s="29"/>
    </row>
    <row r="1004" spans="1:20">
      <c r="A1004" s="53">
        <v>1017026</v>
      </c>
      <c r="B1004" s="49" t="s">
        <v>345</v>
      </c>
      <c r="C1004" s="25">
        <f t="shared" si="628"/>
        <v>26</v>
      </c>
      <c r="D1004" s="25">
        <f t="array" ref="D1004">INDEX(C$5:C$67,MATCH($B1004,$B$5:$B$67,0))</f>
        <v>5175</v>
      </c>
      <c r="E1004" s="25">
        <f t="array" ref="E1004">INDEX(D$5:D$67,MATCH($B1004,$B$5:$B$67,0))</f>
        <v>414</v>
      </c>
      <c r="F1004" s="25">
        <f t="array" ref="F1004">INDEX(E$5:E$67,MATCH($B1004,$B$5:$B$67,0))</f>
        <v>1188</v>
      </c>
      <c r="G1004" s="25">
        <f t="array" ref="G1004">INDEX(F$5:F$67,MATCH($B1004,$B$5:$B$67,0))</f>
        <v>95.04</v>
      </c>
      <c r="H1004" s="25">
        <f t="array" ref="H1004">INDEX(G$5:G$66,MATCH($B1004,$B$5:$B$67,0))</f>
        <v>1650</v>
      </c>
      <c r="I1004" s="25">
        <f t="array" ref="I1004">INDEX(H$5:H$67,MATCH($B1004,$B$5:$B$67,0))</f>
        <v>132</v>
      </c>
      <c r="J1004" s="25">
        <f t="array" ref="J1004">INDEX(I$5:I$67,MATCH($B1004,$B$5:$B$67,0))</f>
        <v>1000</v>
      </c>
      <c r="K1004" s="25">
        <f t="array" ref="K1004">INDEX(J$5:J$67,MATCH($B1004,$B$5:$B$67,0))</f>
        <v>80</v>
      </c>
      <c r="L1004" s="25">
        <f t="shared" si="629"/>
        <v>15939</v>
      </c>
      <c r="M1004" s="25">
        <f t="shared" si="630"/>
        <v>3659</v>
      </c>
      <c r="N1004" s="25">
        <f t="shared" si="631"/>
        <v>5082</v>
      </c>
      <c r="O1004" s="25">
        <f t="shared" si="632"/>
        <v>3080</v>
      </c>
      <c r="R1004" s="50"/>
      <c r="S1004" s="51"/>
      <c r="T1004" s="29"/>
    </row>
    <row r="1005" spans="1:20">
      <c r="A1005" s="53">
        <v>1017027</v>
      </c>
      <c r="B1005" s="49" t="s">
        <v>345</v>
      </c>
      <c r="C1005" s="25">
        <f t="shared" si="628"/>
        <v>27</v>
      </c>
      <c r="D1005" s="25">
        <f t="array" ref="D1005">INDEX(C$5:C$67,MATCH($B1005,$B$5:$B$67,0))</f>
        <v>5175</v>
      </c>
      <c r="E1005" s="25">
        <f t="array" ref="E1005">INDEX(D$5:D$67,MATCH($B1005,$B$5:$B$67,0))</f>
        <v>414</v>
      </c>
      <c r="F1005" s="25">
        <f t="array" ref="F1005">INDEX(E$5:E$67,MATCH($B1005,$B$5:$B$67,0))</f>
        <v>1188</v>
      </c>
      <c r="G1005" s="25">
        <f t="array" ref="G1005">INDEX(F$5:F$67,MATCH($B1005,$B$5:$B$67,0))</f>
        <v>95.04</v>
      </c>
      <c r="H1005" s="25">
        <f t="array" ref="H1005">INDEX(G$5:G$66,MATCH($B1005,$B$5:$B$67,0))</f>
        <v>1650</v>
      </c>
      <c r="I1005" s="25">
        <f t="array" ref="I1005">INDEX(H$5:H$67,MATCH($B1005,$B$5:$B$67,0))</f>
        <v>132</v>
      </c>
      <c r="J1005" s="25">
        <f t="array" ref="J1005">INDEX(I$5:I$67,MATCH($B1005,$B$5:$B$67,0))</f>
        <v>1000</v>
      </c>
      <c r="K1005" s="25">
        <f t="array" ref="K1005">INDEX(J$5:J$67,MATCH($B1005,$B$5:$B$67,0))</f>
        <v>80</v>
      </c>
      <c r="L1005" s="25">
        <f t="shared" si="629"/>
        <v>16353</v>
      </c>
      <c r="M1005" s="25">
        <f t="shared" si="630"/>
        <v>3754</v>
      </c>
      <c r="N1005" s="25">
        <f t="shared" si="631"/>
        <v>5214</v>
      </c>
      <c r="O1005" s="25">
        <f t="shared" si="632"/>
        <v>3160</v>
      </c>
      <c r="R1005" s="50"/>
      <c r="S1005" s="51"/>
      <c r="T1005" s="29"/>
    </row>
    <row r="1006" spans="1:20">
      <c r="A1006" s="53">
        <v>1017028</v>
      </c>
      <c r="B1006" s="49" t="s">
        <v>345</v>
      </c>
      <c r="C1006" s="25">
        <f t="shared" si="628"/>
        <v>28</v>
      </c>
      <c r="D1006" s="25">
        <f t="array" ref="D1006">INDEX(C$5:C$67,MATCH($B1006,$B$5:$B$67,0))</f>
        <v>5175</v>
      </c>
      <c r="E1006" s="25">
        <f t="array" ref="E1006">INDEX(D$5:D$67,MATCH($B1006,$B$5:$B$67,0))</f>
        <v>414</v>
      </c>
      <c r="F1006" s="25">
        <f t="array" ref="F1006">INDEX(E$5:E$67,MATCH($B1006,$B$5:$B$67,0))</f>
        <v>1188</v>
      </c>
      <c r="G1006" s="25">
        <f t="array" ref="G1006">INDEX(F$5:F$67,MATCH($B1006,$B$5:$B$67,0))</f>
        <v>95.04</v>
      </c>
      <c r="H1006" s="25">
        <f t="array" ref="H1006">INDEX(G$5:G$66,MATCH($B1006,$B$5:$B$67,0))</f>
        <v>1650</v>
      </c>
      <c r="I1006" s="25">
        <f t="array" ref="I1006">INDEX(H$5:H$67,MATCH($B1006,$B$5:$B$67,0))</f>
        <v>132</v>
      </c>
      <c r="J1006" s="25">
        <f t="array" ref="J1006">INDEX(I$5:I$67,MATCH($B1006,$B$5:$B$67,0))</f>
        <v>1000</v>
      </c>
      <c r="K1006" s="25">
        <f t="array" ref="K1006">INDEX(J$5:J$67,MATCH($B1006,$B$5:$B$67,0))</f>
        <v>80</v>
      </c>
      <c r="L1006" s="25">
        <f t="shared" si="629"/>
        <v>16767</v>
      </c>
      <c r="M1006" s="25">
        <f t="shared" si="630"/>
        <v>3849</v>
      </c>
      <c r="N1006" s="25">
        <f t="shared" si="631"/>
        <v>5346</v>
      </c>
      <c r="O1006" s="25">
        <f t="shared" si="632"/>
        <v>3240</v>
      </c>
      <c r="R1006" s="50"/>
      <c r="S1006" s="51"/>
      <c r="T1006" s="29"/>
    </row>
    <row r="1007" spans="1:20">
      <c r="A1007" s="53">
        <v>1017029</v>
      </c>
      <c r="B1007" s="49" t="s">
        <v>345</v>
      </c>
      <c r="C1007" s="25">
        <f t="shared" si="628"/>
        <v>29</v>
      </c>
      <c r="D1007" s="25">
        <f t="array" ref="D1007">INDEX(C$5:C$67,MATCH($B1007,$B$5:$B$67,0))</f>
        <v>5175</v>
      </c>
      <c r="E1007" s="25">
        <f t="array" ref="E1007">INDEX(D$5:D$67,MATCH($B1007,$B$5:$B$67,0))</f>
        <v>414</v>
      </c>
      <c r="F1007" s="25">
        <f t="array" ref="F1007">INDEX(E$5:E$67,MATCH($B1007,$B$5:$B$67,0))</f>
        <v>1188</v>
      </c>
      <c r="G1007" s="25">
        <f t="array" ref="G1007">INDEX(F$5:F$67,MATCH($B1007,$B$5:$B$67,0))</f>
        <v>95.04</v>
      </c>
      <c r="H1007" s="25">
        <f t="array" ref="H1007">INDEX(G$5:G$66,MATCH($B1007,$B$5:$B$67,0))</f>
        <v>1650</v>
      </c>
      <c r="I1007" s="25">
        <f t="array" ref="I1007">INDEX(H$5:H$67,MATCH($B1007,$B$5:$B$67,0))</f>
        <v>132</v>
      </c>
      <c r="J1007" s="25">
        <f t="array" ref="J1007">INDEX(I$5:I$67,MATCH($B1007,$B$5:$B$67,0))</f>
        <v>1000</v>
      </c>
      <c r="K1007" s="25">
        <f t="array" ref="K1007">INDEX(J$5:J$67,MATCH($B1007,$B$5:$B$67,0))</f>
        <v>80</v>
      </c>
      <c r="L1007" s="25">
        <f t="shared" si="629"/>
        <v>17181</v>
      </c>
      <c r="M1007" s="25">
        <f t="shared" si="630"/>
        <v>3944</v>
      </c>
      <c r="N1007" s="25">
        <f t="shared" si="631"/>
        <v>5478</v>
      </c>
      <c r="O1007" s="25">
        <f t="shared" si="632"/>
        <v>3320</v>
      </c>
      <c r="R1007" s="50"/>
      <c r="S1007" s="51"/>
      <c r="T1007" s="29"/>
    </row>
    <row r="1008" spans="1:20">
      <c r="A1008" s="53">
        <v>1017030</v>
      </c>
      <c r="B1008" s="49" t="s">
        <v>345</v>
      </c>
      <c r="C1008" s="25">
        <f t="shared" si="628"/>
        <v>30</v>
      </c>
      <c r="D1008" s="25">
        <f t="array" ref="D1008">INDEX(C$5:C$67,MATCH($B1008,$B$5:$B$67,0))</f>
        <v>5175</v>
      </c>
      <c r="E1008" s="25">
        <f t="array" ref="E1008">INDEX(D$5:D$67,MATCH($B1008,$B$5:$B$67,0))</f>
        <v>414</v>
      </c>
      <c r="F1008" s="25">
        <f t="array" ref="F1008">INDEX(E$5:E$67,MATCH($B1008,$B$5:$B$67,0))</f>
        <v>1188</v>
      </c>
      <c r="G1008" s="25">
        <f t="array" ref="G1008">INDEX(F$5:F$67,MATCH($B1008,$B$5:$B$67,0))</f>
        <v>95.04</v>
      </c>
      <c r="H1008" s="25">
        <f t="array" ref="H1008">INDEX(G$5:G$66,MATCH($B1008,$B$5:$B$67,0))</f>
        <v>1650</v>
      </c>
      <c r="I1008" s="25">
        <f t="array" ref="I1008">INDEX(H$5:H$67,MATCH($B1008,$B$5:$B$67,0))</f>
        <v>132</v>
      </c>
      <c r="J1008" s="25">
        <f t="array" ref="J1008">INDEX(I$5:I$67,MATCH($B1008,$B$5:$B$67,0))</f>
        <v>1000</v>
      </c>
      <c r="K1008" s="25">
        <f t="array" ref="K1008">INDEX(J$5:J$67,MATCH($B1008,$B$5:$B$67,0))</f>
        <v>80</v>
      </c>
      <c r="L1008" s="25">
        <f t="shared" si="629"/>
        <v>17595</v>
      </c>
      <c r="M1008" s="25">
        <f t="shared" si="630"/>
        <v>4039</v>
      </c>
      <c r="N1008" s="25">
        <f t="shared" si="631"/>
        <v>5610</v>
      </c>
      <c r="O1008" s="25">
        <f t="shared" si="632"/>
        <v>3400</v>
      </c>
      <c r="R1008" s="50"/>
      <c r="S1008" s="51"/>
      <c r="T1008" s="29"/>
    </row>
    <row r="1009" spans="1:20">
      <c r="A1009" s="53">
        <v>1017031</v>
      </c>
      <c r="B1009" s="49" t="s">
        <v>345</v>
      </c>
      <c r="C1009" s="25">
        <f t="shared" si="628"/>
        <v>31</v>
      </c>
      <c r="D1009" s="25">
        <f t="array" ref="D1009">INDEX(C$5:C$67,MATCH($B1009,$B$5:$B$67,0))</f>
        <v>5175</v>
      </c>
      <c r="E1009" s="25">
        <f t="array" ref="E1009">INDEX(D$5:D$67,MATCH($B1009,$B$5:$B$67,0))</f>
        <v>414</v>
      </c>
      <c r="F1009" s="25">
        <f t="array" ref="F1009">INDEX(E$5:E$67,MATCH($B1009,$B$5:$B$67,0))</f>
        <v>1188</v>
      </c>
      <c r="G1009" s="25">
        <f t="array" ref="G1009">INDEX(F$5:F$67,MATCH($B1009,$B$5:$B$67,0))</f>
        <v>95.04</v>
      </c>
      <c r="H1009" s="25">
        <f t="array" ref="H1009">INDEX(G$5:G$66,MATCH($B1009,$B$5:$B$67,0))</f>
        <v>1650</v>
      </c>
      <c r="I1009" s="25">
        <f t="array" ref="I1009">INDEX(H$5:H$67,MATCH($B1009,$B$5:$B$67,0))</f>
        <v>132</v>
      </c>
      <c r="J1009" s="25">
        <f t="array" ref="J1009">INDEX(I$5:I$67,MATCH($B1009,$B$5:$B$67,0))</f>
        <v>1000</v>
      </c>
      <c r="K1009" s="25">
        <f t="array" ref="K1009">INDEX(J$5:J$67,MATCH($B1009,$B$5:$B$67,0))</f>
        <v>80</v>
      </c>
      <c r="L1009" s="25">
        <f t="shared" si="629"/>
        <v>18009</v>
      </c>
      <c r="M1009" s="25">
        <f t="shared" si="630"/>
        <v>4134</v>
      </c>
      <c r="N1009" s="25">
        <f t="shared" si="631"/>
        <v>5742</v>
      </c>
      <c r="O1009" s="25">
        <f t="shared" si="632"/>
        <v>3480</v>
      </c>
      <c r="R1009" s="50"/>
      <c r="S1009" s="51"/>
      <c r="T1009" s="29"/>
    </row>
    <row r="1010" spans="1:20">
      <c r="A1010" s="53">
        <v>1017032</v>
      </c>
      <c r="B1010" s="49" t="s">
        <v>345</v>
      </c>
      <c r="C1010" s="25">
        <f t="shared" si="628"/>
        <v>32</v>
      </c>
      <c r="D1010" s="25">
        <f t="array" ref="D1010">INDEX(C$5:C$67,MATCH($B1010,$B$5:$B$67,0))</f>
        <v>5175</v>
      </c>
      <c r="E1010" s="25">
        <f t="array" ref="E1010">INDEX(D$5:D$67,MATCH($B1010,$B$5:$B$67,0))</f>
        <v>414</v>
      </c>
      <c r="F1010" s="25">
        <f t="array" ref="F1010">INDEX(E$5:E$67,MATCH($B1010,$B$5:$B$67,0))</f>
        <v>1188</v>
      </c>
      <c r="G1010" s="25">
        <f t="array" ref="G1010">INDEX(F$5:F$67,MATCH($B1010,$B$5:$B$67,0))</f>
        <v>95.04</v>
      </c>
      <c r="H1010" s="25">
        <f t="array" ref="H1010">INDEX(G$5:G$66,MATCH($B1010,$B$5:$B$67,0))</f>
        <v>1650</v>
      </c>
      <c r="I1010" s="25">
        <f t="array" ref="I1010">INDEX(H$5:H$67,MATCH($B1010,$B$5:$B$67,0))</f>
        <v>132</v>
      </c>
      <c r="J1010" s="25">
        <f t="array" ref="J1010">INDEX(I$5:I$67,MATCH($B1010,$B$5:$B$67,0))</f>
        <v>1000</v>
      </c>
      <c r="K1010" s="25">
        <f t="array" ref="K1010">INDEX(J$5:J$67,MATCH($B1010,$B$5:$B$67,0))</f>
        <v>80</v>
      </c>
      <c r="L1010" s="25">
        <f t="shared" si="629"/>
        <v>18423</v>
      </c>
      <c r="M1010" s="25">
        <f t="shared" si="630"/>
        <v>4229</v>
      </c>
      <c r="N1010" s="25">
        <f t="shared" si="631"/>
        <v>5874</v>
      </c>
      <c r="O1010" s="25">
        <f t="shared" si="632"/>
        <v>3560</v>
      </c>
      <c r="R1010" s="50"/>
      <c r="S1010" s="51"/>
      <c r="T1010" s="29"/>
    </row>
    <row r="1011" spans="1:20">
      <c r="A1011" s="53">
        <v>1017033</v>
      </c>
      <c r="B1011" s="49" t="s">
        <v>345</v>
      </c>
      <c r="C1011" s="25">
        <f t="shared" si="628"/>
        <v>33</v>
      </c>
      <c r="D1011" s="25">
        <f t="array" ref="D1011">INDEX(C$5:C$67,MATCH($B1011,$B$5:$B$67,0))</f>
        <v>5175</v>
      </c>
      <c r="E1011" s="25">
        <f t="array" ref="E1011">INDEX(D$5:D$67,MATCH($B1011,$B$5:$B$67,0))</f>
        <v>414</v>
      </c>
      <c r="F1011" s="25">
        <f t="array" ref="F1011">INDEX(E$5:E$67,MATCH($B1011,$B$5:$B$67,0))</f>
        <v>1188</v>
      </c>
      <c r="G1011" s="25">
        <f t="array" ref="G1011">INDEX(F$5:F$67,MATCH($B1011,$B$5:$B$67,0))</f>
        <v>95.04</v>
      </c>
      <c r="H1011" s="25">
        <f t="array" ref="H1011">INDEX(G$5:G$66,MATCH($B1011,$B$5:$B$67,0))</f>
        <v>1650</v>
      </c>
      <c r="I1011" s="25">
        <f t="array" ref="I1011">INDEX(H$5:H$67,MATCH($B1011,$B$5:$B$67,0))</f>
        <v>132</v>
      </c>
      <c r="J1011" s="25">
        <f t="array" ref="J1011">INDEX(I$5:I$67,MATCH($B1011,$B$5:$B$67,0))</f>
        <v>1000</v>
      </c>
      <c r="K1011" s="25">
        <f t="array" ref="K1011">INDEX(J$5:J$67,MATCH($B1011,$B$5:$B$67,0))</f>
        <v>80</v>
      </c>
      <c r="L1011" s="25">
        <f t="shared" si="629"/>
        <v>18837</v>
      </c>
      <c r="M1011" s="25">
        <f t="shared" si="630"/>
        <v>4324</v>
      </c>
      <c r="N1011" s="25">
        <f t="shared" si="631"/>
        <v>6006</v>
      </c>
      <c r="O1011" s="25">
        <f t="shared" si="632"/>
        <v>3640</v>
      </c>
      <c r="R1011" s="50"/>
      <c r="S1011" s="51"/>
      <c r="T1011" s="29"/>
    </row>
    <row r="1012" spans="1:20">
      <c r="A1012" s="53">
        <v>1017034</v>
      </c>
      <c r="B1012" s="49" t="s">
        <v>345</v>
      </c>
      <c r="C1012" s="25">
        <f t="shared" si="628"/>
        <v>34</v>
      </c>
      <c r="D1012" s="25">
        <f t="array" ref="D1012">INDEX(C$5:C$67,MATCH($B1012,$B$5:$B$67,0))</f>
        <v>5175</v>
      </c>
      <c r="E1012" s="25">
        <f t="array" ref="E1012">INDEX(D$5:D$67,MATCH($B1012,$B$5:$B$67,0))</f>
        <v>414</v>
      </c>
      <c r="F1012" s="25">
        <f t="array" ref="F1012">INDEX(E$5:E$67,MATCH($B1012,$B$5:$B$67,0))</f>
        <v>1188</v>
      </c>
      <c r="G1012" s="25">
        <f t="array" ref="G1012">INDEX(F$5:F$67,MATCH($B1012,$B$5:$B$67,0))</f>
        <v>95.04</v>
      </c>
      <c r="H1012" s="25">
        <f t="array" ref="H1012">INDEX(G$5:G$66,MATCH($B1012,$B$5:$B$67,0))</f>
        <v>1650</v>
      </c>
      <c r="I1012" s="25">
        <f t="array" ref="I1012">INDEX(H$5:H$67,MATCH($B1012,$B$5:$B$67,0))</f>
        <v>132</v>
      </c>
      <c r="J1012" s="25">
        <f t="array" ref="J1012">INDEX(I$5:I$67,MATCH($B1012,$B$5:$B$67,0))</f>
        <v>1000</v>
      </c>
      <c r="K1012" s="25">
        <f t="array" ref="K1012">INDEX(J$5:J$67,MATCH($B1012,$B$5:$B$67,0))</f>
        <v>80</v>
      </c>
      <c r="L1012" s="25">
        <f t="shared" si="629"/>
        <v>19251</v>
      </c>
      <c r="M1012" s="25">
        <f t="shared" si="630"/>
        <v>4419</v>
      </c>
      <c r="N1012" s="25">
        <f t="shared" si="631"/>
        <v>6138</v>
      </c>
      <c r="O1012" s="25">
        <f t="shared" si="632"/>
        <v>3720</v>
      </c>
      <c r="R1012" s="50"/>
      <c r="S1012" s="51"/>
      <c r="T1012" s="29"/>
    </row>
    <row r="1013" spans="1:20">
      <c r="A1013" s="53">
        <v>1017035</v>
      </c>
      <c r="B1013" s="49" t="s">
        <v>345</v>
      </c>
      <c r="C1013" s="25">
        <f t="shared" si="628"/>
        <v>35</v>
      </c>
      <c r="D1013" s="25">
        <f t="array" ref="D1013">INDEX(C$5:C$67,MATCH($B1013,$B$5:$B$67,0))</f>
        <v>5175</v>
      </c>
      <c r="E1013" s="25">
        <f t="array" ref="E1013">INDEX(D$5:D$67,MATCH($B1013,$B$5:$B$67,0))</f>
        <v>414</v>
      </c>
      <c r="F1013" s="25">
        <f t="array" ref="F1013">INDEX(E$5:E$67,MATCH($B1013,$B$5:$B$67,0))</f>
        <v>1188</v>
      </c>
      <c r="G1013" s="25">
        <f t="array" ref="G1013">INDEX(F$5:F$67,MATCH($B1013,$B$5:$B$67,0))</f>
        <v>95.04</v>
      </c>
      <c r="H1013" s="25">
        <f t="array" ref="H1013">INDEX(G$5:G$66,MATCH($B1013,$B$5:$B$67,0))</f>
        <v>1650</v>
      </c>
      <c r="I1013" s="25">
        <f t="array" ref="I1013">INDEX(H$5:H$67,MATCH($B1013,$B$5:$B$67,0))</f>
        <v>132</v>
      </c>
      <c r="J1013" s="25">
        <f t="array" ref="J1013">INDEX(I$5:I$67,MATCH($B1013,$B$5:$B$67,0))</f>
        <v>1000</v>
      </c>
      <c r="K1013" s="25">
        <f t="array" ref="K1013">INDEX(J$5:J$67,MATCH($B1013,$B$5:$B$67,0))</f>
        <v>80</v>
      </c>
      <c r="L1013" s="25">
        <f t="shared" si="629"/>
        <v>19665</v>
      </c>
      <c r="M1013" s="25">
        <f t="shared" si="630"/>
        <v>4514</v>
      </c>
      <c r="N1013" s="25">
        <f t="shared" si="631"/>
        <v>6270</v>
      </c>
      <c r="O1013" s="25">
        <f t="shared" si="632"/>
        <v>3800</v>
      </c>
      <c r="R1013" s="50"/>
      <c r="S1013" s="51"/>
      <c r="T1013" s="29"/>
    </row>
    <row r="1014" spans="1:20">
      <c r="A1014" s="53">
        <v>1017036</v>
      </c>
      <c r="B1014" s="49" t="s">
        <v>345</v>
      </c>
      <c r="C1014" s="25">
        <f t="shared" si="628"/>
        <v>36</v>
      </c>
      <c r="D1014" s="25">
        <f t="array" ref="D1014">INDEX(C$5:C$67,MATCH($B1014,$B$5:$B$67,0))</f>
        <v>5175</v>
      </c>
      <c r="E1014" s="25">
        <f t="array" ref="E1014">INDEX(D$5:D$67,MATCH($B1014,$B$5:$B$67,0))</f>
        <v>414</v>
      </c>
      <c r="F1014" s="25">
        <f t="array" ref="F1014">INDEX(E$5:E$67,MATCH($B1014,$B$5:$B$67,0))</f>
        <v>1188</v>
      </c>
      <c r="G1014" s="25">
        <f t="array" ref="G1014">INDEX(F$5:F$67,MATCH($B1014,$B$5:$B$67,0))</f>
        <v>95.04</v>
      </c>
      <c r="H1014" s="25">
        <f t="array" ref="H1014">INDEX(G$5:G$66,MATCH($B1014,$B$5:$B$67,0))</f>
        <v>1650</v>
      </c>
      <c r="I1014" s="25">
        <f t="array" ref="I1014">INDEX(H$5:H$67,MATCH($B1014,$B$5:$B$67,0))</f>
        <v>132</v>
      </c>
      <c r="J1014" s="25">
        <f t="array" ref="J1014">INDEX(I$5:I$67,MATCH($B1014,$B$5:$B$67,0))</f>
        <v>1000</v>
      </c>
      <c r="K1014" s="25">
        <f t="array" ref="K1014">INDEX(J$5:J$67,MATCH($B1014,$B$5:$B$67,0))</f>
        <v>80</v>
      </c>
      <c r="L1014" s="25">
        <f t="shared" si="629"/>
        <v>20079</v>
      </c>
      <c r="M1014" s="25">
        <f t="shared" si="630"/>
        <v>4609</v>
      </c>
      <c r="N1014" s="25">
        <f t="shared" si="631"/>
        <v>6402</v>
      </c>
      <c r="O1014" s="25">
        <f t="shared" si="632"/>
        <v>3880</v>
      </c>
      <c r="R1014" s="50"/>
      <c r="S1014" s="51"/>
      <c r="T1014" s="29"/>
    </row>
    <row r="1015" spans="1:20">
      <c r="A1015" s="53">
        <v>1017037</v>
      </c>
      <c r="B1015" s="49" t="s">
        <v>345</v>
      </c>
      <c r="C1015" s="25">
        <f t="shared" si="628"/>
        <v>37</v>
      </c>
      <c r="D1015" s="25">
        <f t="array" ref="D1015">INDEX(C$5:C$67,MATCH($B1015,$B$5:$B$67,0))</f>
        <v>5175</v>
      </c>
      <c r="E1015" s="25">
        <f t="array" ref="E1015">INDEX(D$5:D$67,MATCH($B1015,$B$5:$B$67,0))</f>
        <v>414</v>
      </c>
      <c r="F1015" s="25">
        <f t="array" ref="F1015">INDEX(E$5:E$67,MATCH($B1015,$B$5:$B$67,0))</f>
        <v>1188</v>
      </c>
      <c r="G1015" s="25">
        <f t="array" ref="G1015">INDEX(F$5:F$67,MATCH($B1015,$B$5:$B$67,0))</f>
        <v>95.04</v>
      </c>
      <c r="H1015" s="25">
        <f t="array" ref="H1015">INDEX(G$5:G$66,MATCH($B1015,$B$5:$B$67,0))</f>
        <v>1650</v>
      </c>
      <c r="I1015" s="25">
        <f t="array" ref="I1015">INDEX(H$5:H$67,MATCH($B1015,$B$5:$B$67,0))</f>
        <v>132</v>
      </c>
      <c r="J1015" s="25">
        <f t="array" ref="J1015">INDEX(I$5:I$67,MATCH($B1015,$B$5:$B$67,0))</f>
        <v>1000</v>
      </c>
      <c r="K1015" s="25">
        <f t="array" ref="K1015">INDEX(J$5:J$67,MATCH($B1015,$B$5:$B$67,0))</f>
        <v>80</v>
      </c>
      <c r="L1015" s="25">
        <f t="shared" si="629"/>
        <v>20493</v>
      </c>
      <c r="M1015" s="25">
        <f t="shared" si="630"/>
        <v>4704</v>
      </c>
      <c r="N1015" s="25">
        <f t="shared" si="631"/>
        <v>6534</v>
      </c>
      <c r="O1015" s="25">
        <f t="shared" si="632"/>
        <v>3960</v>
      </c>
      <c r="R1015" s="50"/>
      <c r="S1015" s="51"/>
      <c r="T1015" s="29"/>
    </row>
    <row r="1016" spans="1:20">
      <c r="A1016" s="53">
        <v>1017038</v>
      </c>
      <c r="B1016" s="49" t="s">
        <v>345</v>
      </c>
      <c r="C1016" s="25">
        <f t="shared" si="628"/>
        <v>38</v>
      </c>
      <c r="D1016" s="25">
        <f t="array" ref="D1016">INDEX(C$5:C$67,MATCH($B1016,$B$5:$B$67,0))</f>
        <v>5175</v>
      </c>
      <c r="E1016" s="25">
        <f t="array" ref="E1016">INDEX(D$5:D$67,MATCH($B1016,$B$5:$B$67,0))</f>
        <v>414</v>
      </c>
      <c r="F1016" s="25">
        <f t="array" ref="F1016">INDEX(E$5:E$67,MATCH($B1016,$B$5:$B$67,0))</f>
        <v>1188</v>
      </c>
      <c r="G1016" s="25">
        <f t="array" ref="G1016">INDEX(F$5:F$67,MATCH($B1016,$B$5:$B$67,0))</f>
        <v>95.04</v>
      </c>
      <c r="H1016" s="25">
        <f t="array" ref="H1016">INDEX(G$5:G$66,MATCH($B1016,$B$5:$B$67,0))</f>
        <v>1650</v>
      </c>
      <c r="I1016" s="25">
        <f t="array" ref="I1016">INDEX(H$5:H$67,MATCH($B1016,$B$5:$B$67,0))</f>
        <v>132</v>
      </c>
      <c r="J1016" s="25">
        <f t="array" ref="J1016">INDEX(I$5:I$67,MATCH($B1016,$B$5:$B$67,0))</f>
        <v>1000</v>
      </c>
      <c r="K1016" s="25">
        <f t="array" ref="K1016">INDEX(J$5:J$67,MATCH($B1016,$B$5:$B$67,0))</f>
        <v>80</v>
      </c>
      <c r="L1016" s="25">
        <f t="shared" si="629"/>
        <v>20907</v>
      </c>
      <c r="M1016" s="25">
        <f t="shared" si="630"/>
        <v>4800</v>
      </c>
      <c r="N1016" s="25">
        <f t="shared" si="631"/>
        <v>6666</v>
      </c>
      <c r="O1016" s="25">
        <f t="shared" si="632"/>
        <v>4040</v>
      </c>
      <c r="R1016" s="50"/>
      <c r="S1016" s="51"/>
      <c r="T1016" s="29"/>
    </row>
    <row r="1017" spans="1:20">
      <c r="A1017" s="53">
        <v>1017039</v>
      </c>
      <c r="B1017" s="49" t="s">
        <v>345</v>
      </c>
      <c r="C1017" s="25">
        <f t="shared" si="628"/>
        <v>39</v>
      </c>
      <c r="D1017" s="25">
        <f t="array" ref="D1017">INDEX(C$5:C$67,MATCH($B1017,$B$5:$B$67,0))</f>
        <v>5175</v>
      </c>
      <c r="E1017" s="25">
        <f t="array" ref="E1017">INDEX(D$5:D$67,MATCH($B1017,$B$5:$B$67,0))</f>
        <v>414</v>
      </c>
      <c r="F1017" s="25">
        <f t="array" ref="F1017">INDEX(E$5:E$67,MATCH($B1017,$B$5:$B$67,0))</f>
        <v>1188</v>
      </c>
      <c r="G1017" s="25">
        <f t="array" ref="G1017">INDEX(F$5:F$67,MATCH($B1017,$B$5:$B$67,0))</f>
        <v>95.04</v>
      </c>
      <c r="H1017" s="25">
        <f t="array" ref="H1017">INDEX(G$5:G$66,MATCH($B1017,$B$5:$B$67,0))</f>
        <v>1650</v>
      </c>
      <c r="I1017" s="25">
        <f t="array" ref="I1017">INDEX(H$5:H$67,MATCH($B1017,$B$5:$B$67,0))</f>
        <v>132</v>
      </c>
      <c r="J1017" s="25">
        <f t="array" ref="J1017">INDEX(I$5:I$67,MATCH($B1017,$B$5:$B$67,0))</f>
        <v>1000</v>
      </c>
      <c r="K1017" s="25">
        <f t="array" ref="K1017">INDEX(J$5:J$67,MATCH($B1017,$B$5:$B$67,0))</f>
        <v>80</v>
      </c>
      <c r="L1017" s="25">
        <f t="shared" si="629"/>
        <v>21321</v>
      </c>
      <c r="M1017" s="25">
        <f t="shared" si="630"/>
        <v>4895</v>
      </c>
      <c r="N1017" s="25">
        <f t="shared" si="631"/>
        <v>6798</v>
      </c>
      <c r="O1017" s="25">
        <f t="shared" si="632"/>
        <v>4120</v>
      </c>
      <c r="R1017" s="50"/>
      <c r="S1017" s="51"/>
      <c r="T1017" s="29"/>
    </row>
    <row r="1018" spans="1:20">
      <c r="A1018" s="53">
        <v>1017040</v>
      </c>
      <c r="B1018" s="49" t="s">
        <v>345</v>
      </c>
      <c r="C1018" s="25">
        <f t="shared" si="628"/>
        <v>40</v>
      </c>
      <c r="D1018" s="25">
        <f t="array" ref="D1018">INDEX(C$5:C$67,MATCH($B1018,$B$5:$B$67,0))</f>
        <v>5175</v>
      </c>
      <c r="E1018" s="25">
        <f t="array" ref="E1018">INDEX(D$5:D$67,MATCH($B1018,$B$5:$B$67,0))</f>
        <v>414</v>
      </c>
      <c r="F1018" s="25">
        <f t="array" ref="F1018">INDEX(E$5:E$67,MATCH($B1018,$B$5:$B$67,0))</f>
        <v>1188</v>
      </c>
      <c r="G1018" s="25">
        <f t="array" ref="G1018">INDEX(F$5:F$67,MATCH($B1018,$B$5:$B$67,0))</f>
        <v>95.04</v>
      </c>
      <c r="H1018" s="25">
        <f t="array" ref="H1018">INDEX(G$5:G$66,MATCH($B1018,$B$5:$B$67,0))</f>
        <v>1650</v>
      </c>
      <c r="I1018" s="25">
        <f t="array" ref="I1018">INDEX(H$5:H$67,MATCH($B1018,$B$5:$B$67,0))</f>
        <v>132</v>
      </c>
      <c r="J1018" s="25">
        <f t="array" ref="J1018">INDEX(I$5:I$67,MATCH($B1018,$B$5:$B$67,0))</f>
        <v>1000</v>
      </c>
      <c r="K1018" s="25">
        <f t="array" ref="K1018">INDEX(J$5:J$67,MATCH($B1018,$B$5:$B$67,0))</f>
        <v>80</v>
      </c>
      <c r="L1018" s="25">
        <f t="shared" si="629"/>
        <v>21735</v>
      </c>
      <c r="M1018" s="25">
        <f t="shared" si="630"/>
        <v>4990</v>
      </c>
      <c r="N1018" s="25">
        <f t="shared" si="631"/>
        <v>6930</v>
      </c>
      <c r="O1018" s="25">
        <f t="shared" si="632"/>
        <v>4200</v>
      </c>
      <c r="R1018" s="50"/>
      <c r="S1018" s="51"/>
      <c r="T1018" s="29"/>
    </row>
    <row r="1019" spans="1:20">
      <c r="A1019" s="53">
        <v>1017041</v>
      </c>
      <c r="B1019" s="49" t="s">
        <v>345</v>
      </c>
      <c r="C1019" s="25">
        <f t="shared" si="628"/>
        <v>41</v>
      </c>
      <c r="D1019" s="25">
        <f t="array" ref="D1019">INDEX(C$5:C$67,MATCH($B1019,$B$5:$B$67,0))</f>
        <v>5175</v>
      </c>
      <c r="E1019" s="25">
        <f t="array" ref="E1019">INDEX(D$5:D$67,MATCH($B1019,$B$5:$B$67,0))</f>
        <v>414</v>
      </c>
      <c r="F1019" s="25">
        <f t="array" ref="F1019">INDEX(E$5:E$67,MATCH($B1019,$B$5:$B$67,0))</f>
        <v>1188</v>
      </c>
      <c r="G1019" s="25">
        <f t="array" ref="G1019">INDEX(F$5:F$67,MATCH($B1019,$B$5:$B$67,0))</f>
        <v>95.04</v>
      </c>
      <c r="H1019" s="25">
        <f t="array" ref="H1019">INDEX(G$5:G$66,MATCH($B1019,$B$5:$B$67,0))</f>
        <v>1650</v>
      </c>
      <c r="I1019" s="25">
        <f t="array" ref="I1019">INDEX(H$5:H$67,MATCH($B1019,$B$5:$B$67,0))</f>
        <v>132</v>
      </c>
      <c r="J1019" s="25">
        <f t="array" ref="J1019">INDEX(I$5:I$67,MATCH($B1019,$B$5:$B$67,0))</f>
        <v>1000</v>
      </c>
      <c r="K1019" s="25">
        <f t="array" ref="K1019">INDEX(J$5:J$67,MATCH($B1019,$B$5:$B$67,0))</f>
        <v>80</v>
      </c>
      <c r="L1019" s="25">
        <f t="shared" si="629"/>
        <v>22149</v>
      </c>
      <c r="M1019" s="25">
        <f t="shared" si="630"/>
        <v>5085</v>
      </c>
      <c r="N1019" s="25">
        <f t="shared" si="631"/>
        <v>7062</v>
      </c>
      <c r="O1019" s="25">
        <f t="shared" si="632"/>
        <v>4280</v>
      </c>
      <c r="R1019" s="50"/>
      <c r="S1019" s="51"/>
      <c r="T1019" s="29"/>
    </row>
    <row r="1020" spans="1:20">
      <c r="A1020" s="53">
        <v>1017042</v>
      </c>
      <c r="B1020" s="49" t="s">
        <v>345</v>
      </c>
      <c r="C1020" s="25">
        <f t="shared" si="628"/>
        <v>42</v>
      </c>
      <c r="D1020" s="25">
        <f t="array" ref="D1020">INDEX(C$5:C$67,MATCH($B1020,$B$5:$B$67,0))</f>
        <v>5175</v>
      </c>
      <c r="E1020" s="25">
        <f t="array" ref="E1020">INDEX(D$5:D$67,MATCH($B1020,$B$5:$B$67,0))</f>
        <v>414</v>
      </c>
      <c r="F1020" s="25">
        <f t="array" ref="F1020">INDEX(E$5:E$67,MATCH($B1020,$B$5:$B$67,0))</f>
        <v>1188</v>
      </c>
      <c r="G1020" s="25">
        <f t="array" ref="G1020">INDEX(F$5:F$67,MATCH($B1020,$B$5:$B$67,0))</f>
        <v>95.04</v>
      </c>
      <c r="H1020" s="25">
        <f t="array" ref="H1020">INDEX(G$5:G$66,MATCH($B1020,$B$5:$B$67,0))</f>
        <v>1650</v>
      </c>
      <c r="I1020" s="25">
        <f t="array" ref="I1020">INDEX(H$5:H$67,MATCH($B1020,$B$5:$B$67,0))</f>
        <v>132</v>
      </c>
      <c r="J1020" s="25">
        <f t="array" ref="J1020">INDEX(I$5:I$67,MATCH($B1020,$B$5:$B$67,0))</f>
        <v>1000</v>
      </c>
      <c r="K1020" s="25">
        <f t="array" ref="K1020">INDEX(J$5:J$67,MATCH($B1020,$B$5:$B$67,0))</f>
        <v>80</v>
      </c>
      <c r="L1020" s="25">
        <f t="shared" si="629"/>
        <v>22563</v>
      </c>
      <c r="M1020" s="25">
        <f t="shared" si="630"/>
        <v>5180</v>
      </c>
      <c r="N1020" s="25">
        <f t="shared" si="631"/>
        <v>7194</v>
      </c>
      <c r="O1020" s="25">
        <f t="shared" si="632"/>
        <v>4360</v>
      </c>
      <c r="R1020" s="50"/>
      <c r="S1020" s="51"/>
      <c r="T1020" s="29"/>
    </row>
    <row r="1021" spans="1:20">
      <c r="A1021" s="53">
        <v>1017043</v>
      </c>
      <c r="B1021" s="49" t="s">
        <v>345</v>
      </c>
      <c r="C1021" s="25">
        <f t="shared" si="628"/>
        <v>43</v>
      </c>
      <c r="D1021" s="25">
        <f t="array" ref="D1021">INDEX(C$5:C$67,MATCH($B1021,$B$5:$B$67,0))</f>
        <v>5175</v>
      </c>
      <c r="E1021" s="25">
        <f t="array" ref="E1021">INDEX(D$5:D$67,MATCH($B1021,$B$5:$B$67,0))</f>
        <v>414</v>
      </c>
      <c r="F1021" s="25">
        <f t="array" ref="F1021">INDEX(E$5:E$67,MATCH($B1021,$B$5:$B$67,0))</f>
        <v>1188</v>
      </c>
      <c r="G1021" s="25">
        <f t="array" ref="G1021">INDEX(F$5:F$67,MATCH($B1021,$B$5:$B$67,0))</f>
        <v>95.04</v>
      </c>
      <c r="H1021" s="25">
        <f t="array" ref="H1021">INDEX(G$5:G$66,MATCH($B1021,$B$5:$B$67,0))</f>
        <v>1650</v>
      </c>
      <c r="I1021" s="25">
        <f t="array" ref="I1021">INDEX(H$5:H$67,MATCH($B1021,$B$5:$B$67,0))</f>
        <v>132</v>
      </c>
      <c r="J1021" s="25">
        <f t="array" ref="J1021">INDEX(I$5:I$67,MATCH($B1021,$B$5:$B$67,0))</f>
        <v>1000</v>
      </c>
      <c r="K1021" s="25">
        <f t="array" ref="K1021">INDEX(J$5:J$67,MATCH($B1021,$B$5:$B$67,0))</f>
        <v>80</v>
      </c>
      <c r="L1021" s="25">
        <f t="shared" si="629"/>
        <v>22977</v>
      </c>
      <c r="M1021" s="25">
        <f t="shared" si="630"/>
        <v>5275</v>
      </c>
      <c r="N1021" s="25">
        <f t="shared" si="631"/>
        <v>7326</v>
      </c>
      <c r="O1021" s="25">
        <f t="shared" si="632"/>
        <v>4440</v>
      </c>
      <c r="R1021" s="50"/>
      <c r="S1021" s="51"/>
      <c r="T1021" s="29"/>
    </row>
    <row r="1022" spans="1:20">
      <c r="A1022" s="53">
        <v>1017044</v>
      </c>
      <c r="B1022" s="49" t="s">
        <v>345</v>
      </c>
      <c r="C1022" s="25">
        <f t="shared" si="628"/>
        <v>44</v>
      </c>
      <c r="D1022" s="25">
        <f t="array" ref="D1022">INDEX(C$5:C$67,MATCH($B1022,$B$5:$B$67,0))</f>
        <v>5175</v>
      </c>
      <c r="E1022" s="25">
        <f t="array" ref="E1022">INDEX(D$5:D$67,MATCH($B1022,$B$5:$B$67,0))</f>
        <v>414</v>
      </c>
      <c r="F1022" s="25">
        <f t="array" ref="F1022">INDEX(E$5:E$67,MATCH($B1022,$B$5:$B$67,0))</f>
        <v>1188</v>
      </c>
      <c r="G1022" s="25">
        <f t="array" ref="G1022">INDEX(F$5:F$67,MATCH($B1022,$B$5:$B$67,0))</f>
        <v>95.04</v>
      </c>
      <c r="H1022" s="25">
        <f t="array" ref="H1022">INDEX(G$5:G$66,MATCH($B1022,$B$5:$B$67,0))</f>
        <v>1650</v>
      </c>
      <c r="I1022" s="25">
        <f t="array" ref="I1022">INDEX(H$5:H$67,MATCH($B1022,$B$5:$B$67,0))</f>
        <v>132</v>
      </c>
      <c r="J1022" s="25">
        <f t="array" ref="J1022">INDEX(I$5:I$67,MATCH($B1022,$B$5:$B$67,0))</f>
        <v>1000</v>
      </c>
      <c r="K1022" s="25">
        <f t="array" ref="K1022">INDEX(J$5:J$67,MATCH($B1022,$B$5:$B$67,0))</f>
        <v>80</v>
      </c>
      <c r="L1022" s="25">
        <f t="shared" si="629"/>
        <v>23391</v>
      </c>
      <c r="M1022" s="25">
        <f t="shared" si="630"/>
        <v>5370</v>
      </c>
      <c r="N1022" s="25">
        <f t="shared" si="631"/>
        <v>7458</v>
      </c>
      <c r="O1022" s="25">
        <f t="shared" si="632"/>
        <v>4520</v>
      </c>
      <c r="R1022" s="50"/>
      <c r="S1022" s="51"/>
      <c r="T1022" s="29"/>
    </row>
    <row r="1023" spans="1:20">
      <c r="A1023" s="53">
        <v>1017045</v>
      </c>
      <c r="B1023" s="49" t="s">
        <v>345</v>
      </c>
      <c r="C1023" s="25">
        <f t="shared" si="628"/>
        <v>45</v>
      </c>
      <c r="D1023" s="25">
        <f t="array" ref="D1023">INDEX(C$5:C$67,MATCH($B1023,$B$5:$B$67,0))</f>
        <v>5175</v>
      </c>
      <c r="E1023" s="25">
        <f t="array" ref="E1023">INDEX(D$5:D$67,MATCH($B1023,$B$5:$B$67,0))</f>
        <v>414</v>
      </c>
      <c r="F1023" s="25">
        <f t="array" ref="F1023">INDEX(E$5:E$67,MATCH($B1023,$B$5:$B$67,0))</f>
        <v>1188</v>
      </c>
      <c r="G1023" s="25">
        <f t="array" ref="G1023">INDEX(F$5:F$67,MATCH($B1023,$B$5:$B$67,0))</f>
        <v>95.04</v>
      </c>
      <c r="H1023" s="25">
        <f t="array" ref="H1023">INDEX(G$5:G$66,MATCH($B1023,$B$5:$B$67,0))</f>
        <v>1650</v>
      </c>
      <c r="I1023" s="25">
        <f t="array" ref="I1023">INDEX(H$5:H$67,MATCH($B1023,$B$5:$B$67,0))</f>
        <v>132</v>
      </c>
      <c r="J1023" s="25">
        <f t="array" ref="J1023">INDEX(I$5:I$67,MATCH($B1023,$B$5:$B$67,0))</f>
        <v>1000</v>
      </c>
      <c r="K1023" s="25">
        <f t="array" ref="K1023">INDEX(J$5:J$67,MATCH($B1023,$B$5:$B$67,0))</f>
        <v>80</v>
      </c>
      <c r="L1023" s="25">
        <f t="shared" si="629"/>
        <v>23805</v>
      </c>
      <c r="M1023" s="25">
        <f t="shared" si="630"/>
        <v>5465</v>
      </c>
      <c r="N1023" s="25">
        <f t="shared" si="631"/>
        <v>7590</v>
      </c>
      <c r="O1023" s="25">
        <f t="shared" si="632"/>
        <v>4600</v>
      </c>
      <c r="R1023" s="50"/>
      <c r="S1023" s="51"/>
      <c r="T1023" s="29"/>
    </row>
    <row r="1024" spans="1:20">
      <c r="A1024" s="53">
        <v>1017046</v>
      </c>
      <c r="B1024" s="49" t="s">
        <v>345</v>
      </c>
      <c r="C1024" s="25">
        <f t="shared" si="628"/>
        <v>46</v>
      </c>
      <c r="D1024" s="25">
        <f t="array" ref="D1024">INDEX(C$5:C$67,MATCH($B1024,$B$5:$B$67,0))</f>
        <v>5175</v>
      </c>
      <c r="E1024" s="25">
        <f t="array" ref="E1024">INDEX(D$5:D$67,MATCH($B1024,$B$5:$B$67,0))</f>
        <v>414</v>
      </c>
      <c r="F1024" s="25">
        <f t="array" ref="F1024">INDEX(E$5:E$67,MATCH($B1024,$B$5:$B$67,0))</f>
        <v>1188</v>
      </c>
      <c r="G1024" s="25">
        <f t="array" ref="G1024">INDEX(F$5:F$67,MATCH($B1024,$B$5:$B$67,0))</f>
        <v>95.04</v>
      </c>
      <c r="H1024" s="25">
        <f t="array" ref="H1024">INDEX(G$5:G$66,MATCH($B1024,$B$5:$B$67,0))</f>
        <v>1650</v>
      </c>
      <c r="I1024" s="25">
        <f t="array" ref="I1024">INDEX(H$5:H$67,MATCH($B1024,$B$5:$B$67,0))</f>
        <v>132</v>
      </c>
      <c r="J1024" s="25">
        <f t="array" ref="J1024">INDEX(I$5:I$67,MATCH($B1024,$B$5:$B$67,0))</f>
        <v>1000</v>
      </c>
      <c r="K1024" s="25">
        <f t="array" ref="K1024">INDEX(J$5:J$67,MATCH($B1024,$B$5:$B$67,0))</f>
        <v>80</v>
      </c>
      <c r="L1024" s="25">
        <f t="shared" si="629"/>
        <v>24219</v>
      </c>
      <c r="M1024" s="25">
        <f t="shared" si="630"/>
        <v>5560</v>
      </c>
      <c r="N1024" s="25">
        <f t="shared" si="631"/>
        <v>7722</v>
      </c>
      <c r="O1024" s="25">
        <f t="shared" si="632"/>
        <v>4680</v>
      </c>
      <c r="R1024" s="50"/>
      <c r="S1024" s="51"/>
      <c r="T1024" s="29"/>
    </row>
    <row r="1025" spans="1:20">
      <c r="A1025" s="53">
        <v>1017047</v>
      </c>
      <c r="B1025" s="49" t="s">
        <v>345</v>
      </c>
      <c r="C1025" s="25">
        <f t="shared" si="628"/>
        <v>47</v>
      </c>
      <c r="D1025" s="25">
        <f t="array" ref="D1025">INDEX(C$5:C$67,MATCH($B1025,$B$5:$B$67,0))</f>
        <v>5175</v>
      </c>
      <c r="E1025" s="25">
        <f t="array" ref="E1025">INDEX(D$5:D$67,MATCH($B1025,$B$5:$B$67,0))</f>
        <v>414</v>
      </c>
      <c r="F1025" s="25">
        <f t="array" ref="F1025">INDEX(E$5:E$67,MATCH($B1025,$B$5:$B$67,0))</f>
        <v>1188</v>
      </c>
      <c r="G1025" s="25">
        <f t="array" ref="G1025">INDEX(F$5:F$67,MATCH($B1025,$B$5:$B$67,0))</f>
        <v>95.04</v>
      </c>
      <c r="H1025" s="25">
        <f t="array" ref="H1025">INDEX(G$5:G$66,MATCH($B1025,$B$5:$B$67,0))</f>
        <v>1650</v>
      </c>
      <c r="I1025" s="25">
        <f t="array" ref="I1025">INDEX(H$5:H$67,MATCH($B1025,$B$5:$B$67,0))</f>
        <v>132</v>
      </c>
      <c r="J1025" s="25">
        <f t="array" ref="J1025">INDEX(I$5:I$67,MATCH($B1025,$B$5:$B$67,0))</f>
        <v>1000</v>
      </c>
      <c r="K1025" s="25">
        <f t="array" ref="K1025">INDEX(J$5:J$67,MATCH($B1025,$B$5:$B$67,0))</f>
        <v>80</v>
      </c>
      <c r="L1025" s="25">
        <f t="shared" si="629"/>
        <v>24633</v>
      </c>
      <c r="M1025" s="25">
        <f t="shared" si="630"/>
        <v>5655</v>
      </c>
      <c r="N1025" s="25">
        <f t="shared" si="631"/>
        <v>7854</v>
      </c>
      <c r="O1025" s="25">
        <f t="shared" si="632"/>
        <v>4760</v>
      </c>
      <c r="R1025" s="50"/>
      <c r="S1025" s="51"/>
      <c r="T1025" s="29"/>
    </row>
    <row r="1026" spans="1:20">
      <c r="A1026" s="53">
        <v>1017048</v>
      </c>
      <c r="B1026" s="49" t="s">
        <v>345</v>
      </c>
      <c r="C1026" s="25">
        <f t="shared" si="628"/>
        <v>48</v>
      </c>
      <c r="D1026" s="25">
        <f t="array" ref="D1026">INDEX(C$5:C$67,MATCH($B1026,$B$5:$B$67,0))</f>
        <v>5175</v>
      </c>
      <c r="E1026" s="25">
        <f t="array" ref="E1026">INDEX(D$5:D$67,MATCH($B1026,$B$5:$B$67,0))</f>
        <v>414</v>
      </c>
      <c r="F1026" s="25">
        <f t="array" ref="F1026">INDEX(E$5:E$67,MATCH($B1026,$B$5:$B$67,0))</f>
        <v>1188</v>
      </c>
      <c r="G1026" s="25">
        <f t="array" ref="G1026">INDEX(F$5:F$67,MATCH($B1026,$B$5:$B$67,0))</f>
        <v>95.04</v>
      </c>
      <c r="H1026" s="25">
        <f t="array" ref="H1026">INDEX(G$5:G$66,MATCH($B1026,$B$5:$B$67,0))</f>
        <v>1650</v>
      </c>
      <c r="I1026" s="25">
        <f t="array" ref="I1026">INDEX(H$5:H$67,MATCH($B1026,$B$5:$B$67,0))</f>
        <v>132</v>
      </c>
      <c r="J1026" s="25">
        <f t="array" ref="J1026">INDEX(I$5:I$67,MATCH($B1026,$B$5:$B$67,0))</f>
        <v>1000</v>
      </c>
      <c r="K1026" s="25">
        <f t="array" ref="K1026">INDEX(J$5:J$67,MATCH($B1026,$B$5:$B$67,0))</f>
        <v>80</v>
      </c>
      <c r="L1026" s="25">
        <f t="shared" si="629"/>
        <v>25047</v>
      </c>
      <c r="M1026" s="25">
        <f t="shared" si="630"/>
        <v>5750</v>
      </c>
      <c r="N1026" s="25">
        <f t="shared" si="631"/>
        <v>7986</v>
      </c>
      <c r="O1026" s="25">
        <f t="shared" si="632"/>
        <v>4840</v>
      </c>
      <c r="R1026" s="50"/>
      <c r="S1026" s="51"/>
      <c r="T1026" s="29"/>
    </row>
    <row r="1027" spans="1:20">
      <c r="A1027" s="53">
        <v>1017049</v>
      </c>
      <c r="B1027" s="49" t="s">
        <v>345</v>
      </c>
      <c r="C1027" s="25">
        <f t="shared" si="628"/>
        <v>49</v>
      </c>
      <c r="D1027" s="25">
        <f t="array" ref="D1027">INDEX(C$5:C$67,MATCH($B1027,$B$5:$B$67,0))</f>
        <v>5175</v>
      </c>
      <c r="E1027" s="25">
        <f t="array" ref="E1027">INDEX(D$5:D$67,MATCH($B1027,$B$5:$B$67,0))</f>
        <v>414</v>
      </c>
      <c r="F1027" s="25">
        <f t="array" ref="F1027">INDEX(E$5:E$67,MATCH($B1027,$B$5:$B$67,0))</f>
        <v>1188</v>
      </c>
      <c r="G1027" s="25">
        <f t="array" ref="G1027">INDEX(F$5:F$67,MATCH($B1027,$B$5:$B$67,0))</f>
        <v>95.04</v>
      </c>
      <c r="H1027" s="25">
        <f t="array" ref="H1027">INDEX(G$5:G$66,MATCH($B1027,$B$5:$B$67,0))</f>
        <v>1650</v>
      </c>
      <c r="I1027" s="25">
        <f t="array" ref="I1027">INDEX(H$5:H$67,MATCH($B1027,$B$5:$B$67,0))</f>
        <v>132</v>
      </c>
      <c r="J1027" s="25">
        <f t="array" ref="J1027">INDEX(I$5:I$67,MATCH($B1027,$B$5:$B$67,0))</f>
        <v>1000</v>
      </c>
      <c r="K1027" s="25">
        <f t="array" ref="K1027">INDEX(J$5:J$67,MATCH($B1027,$B$5:$B$67,0))</f>
        <v>80</v>
      </c>
      <c r="L1027" s="25">
        <f t="shared" si="629"/>
        <v>25461</v>
      </c>
      <c r="M1027" s="25">
        <f t="shared" si="630"/>
        <v>5845</v>
      </c>
      <c r="N1027" s="25">
        <f t="shared" si="631"/>
        <v>8118</v>
      </c>
      <c r="O1027" s="25">
        <f t="shared" si="632"/>
        <v>4920</v>
      </c>
      <c r="R1027" s="50"/>
      <c r="S1027" s="51"/>
      <c r="T1027" s="29"/>
    </row>
    <row r="1028" spans="1:20">
      <c r="A1028" s="53">
        <v>1017050</v>
      </c>
      <c r="B1028" s="49" t="s">
        <v>345</v>
      </c>
      <c r="C1028" s="25">
        <f t="shared" si="628"/>
        <v>50</v>
      </c>
      <c r="D1028" s="25">
        <f t="array" ref="D1028">INDEX(C$5:C$67,MATCH($B1028,$B$5:$B$67,0))</f>
        <v>5175</v>
      </c>
      <c r="E1028" s="25">
        <f t="array" ref="E1028">INDEX(D$5:D$67,MATCH($B1028,$B$5:$B$67,0))</f>
        <v>414</v>
      </c>
      <c r="F1028" s="25">
        <f t="array" ref="F1028">INDEX(E$5:E$67,MATCH($B1028,$B$5:$B$67,0))</f>
        <v>1188</v>
      </c>
      <c r="G1028" s="25">
        <f t="array" ref="G1028">INDEX(F$5:F$67,MATCH($B1028,$B$5:$B$67,0))</f>
        <v>95.04</v>
      </c>
      <c r="H1028" s="25">
        <f t="array" ref="H1028">INDEX(G$5:G$66,MATCH($B1028,$B$5:$B$67,0))</f>
        <v>1650</v>
      </c>
      <c r="I1028" s="25">
        <f t="array" ref="I1028">INDEX(H$5:H$67,MATCH($B1028,$B$5:$B$67,0))</f>
        <v>132</v>
      </c>
      <c r="J1028" s="25">
        <f t="array" ref="J1028">INDEX(I$5:I$67,MATCH($B1028,$B$5:$B$67,0))</f>
        <v>1000</v>
      </c>
      <c r="K1028" s="25">
        <f t="array" ref="K1028">INDEX(J$5:J$67,MATCH($B1028,$B$5:$B$67,0))</f>
        <v>80</v>
      </c>
      <c r="L1028" s="25">
        <f t="shared" si="629"/>
        <v>25875</v>
      </c>
      <c r="M1028" s="25">
        <f t="shared" si="630"/>
        <v>5940</v>
      </c>
      <c r="N1028" s="25">
        <f t="shared" si="631"/>
        <v>8250</v>
      </c>
      <c r="O1028" s="25">
        <f t="shared" si="632"/>
        <v>5000</v>
      </c>
      <c r="R1028" s="50"/>
      <c r="S1028" s="51"/>
      <c r="T1028" s="29"/>
    </row>
    <row r="1029" spans="1:20">
      <c r="A1029" s="53">
        <v>1017051</v>
      </c>
      <c r="B1029" s="49" t="s">
        <v>345</v>
      </c>
      <c r="C1029" s="25">
        <f t="shared" si="628"/>
        <v>51</v>
      </c>
      <c r="D1029" s="25">
        <f t="array" ref="D1029">INDEX(C$5:C$67,MATCH($B1029,$B$5:$B$67,0))</f>
        <v>5175</v>
      </c>
      <c r="E1029" s="25">
        <f t="array" ref="E1029">INDEX(D$5:D$67,MATCH($B1029,$B$5:$B$67,0))</f>
        <v>414</v>
      </c>
      <c r="F1029" s="25">
        <f t="array" ref="F1029">INDEX(E$5:E$67,MATCH($B1029,$B$5:$B$67,0))</f>
        <v>1188</v>
      </c>
      <c r="G1029" s="25">
        <f t="array" ref="G1029">INDEX(F$5:F$67,MATCH($B1029,$B$5:$B$67,0))</f>
        <v>95.04</v>
      </c>
      <c r="H1029" s="25">
        <f t="array" ref="H1029">INDEX(G$5:G$66,MATCH($B1029,$B$5:$B$67,0))</f>
        <v>1650</v>
      </c>
      <c r="I1029" s="25">
        <f t="array" ref="I1029">INDEX(H$5:H$67,MATCH($B1029,$B$5:$B$67,0))</f>
        <v>132</v>
      </c>
      <c r="J1029" s="25">
        <f t="array" ref="J1029">INDEX(I$5:I$67,MATCH($B1029,$B$5:$B$67,0))</f>
        <v>1000</v>
      </c>
      <c r="K1029" s="25">
        <f t="array" ref="K1029">INDEX(J$5:J$67,MATCH($B1029,$B$5:$B$67,0))</f>
        <v>80</v>
      </c>
      <c r="L1029" s="25">
        <f t="shared" si="629"/>
        <v>26289</v>
      </c>
      <c r="M1029" s="25">
        <f t="shared" si="630"/>
        <v>6035</v>
      </c>
      <c r="N1029" s="25">
        <f t="shared" si="631"/>
        <v>8382</v>
      </c>
      <c r="O1029" s="25">
        <f t="shared" si="632"/>
        <v>5080</v>
      </c>
      <c r="R1029" s="50"/>
      <c r="S1029" s="51"/>
      <c r="T1029" s="29"/>
    </row>
    <row r="1030" spans="1:20">
      <c r="A1030" s="53">
        <v>1017052</v>
      </c>
      <c r="B1030" s="49" t="s">
        <v>345</v>
      </c>
      <c r="C1030" s="25">
        <f t="shared" si="628"/>
        <v>52</v>
      </c>
      <c r="D1030" s="25">
        <f t="array" ref="D1030">INDEX(C$5:C$67,MATCH($B1030,$B$5:$B$67,0))</f>
        <v>5175</v>
      </c>
      <c r="E1030" s="25">
        <f t="array" ref="E1030">INDEX(D$5:D$67,MATCH($B1030,$B$5:$B$67,0))</f>
        <v>414</v>
      </c>
      <c r="F1030" s="25">
        <f t="array" ref="F1030">INDEX(E$5:E$67,MATCH($B1030,$B$5:$B$67,0))</f>
        <v>1188</v>
      </c>
      <c r="G1030" s="25">
        <f t="array" ref="G1030">INDEX(F$5:F$67,MATCH($B1030,$B$5:$B$67,0))</f>
        <v>95.04</v>
      </c>
      <c r="H1030" s="25">
        <f t="array" ref="H1030">INDEX(G$5:G$66,MATCH($B1030,$B$5:$B$67,0))</f>
        <v>1650</v>
      </c>
      <c r="I1030" s="25">
        <f t="array" ref="I1030">INDEX(H$5:H$67,MATCH($B1030,$B$5:$B$67,0))</f>
        <v>132</v>
      </c>
      <c r="J1030" s="25">
        <f t="array" ref="J1030">INDEX(I$5:I$67,MATCH($B1030,$B$5:$B$67,0))</f>
        <v>1000</v>
      </c>
      <c r="K1030" s="25">
        <f t="array" ref="K1030">INDEX(J$5:J$67,MATCH($B1030,$B$5:$B$67,0))</f>
        <v>80</v>
      </c>
      <c r="L1030" s="25">
        <f t="shared" si="629"/>
        <v>26703</v>
      </c>
      <c r="M1030" s="25">
        <f t="shared" si="630"/>
        <v>6130</v>
      </c>
      <c r="N1030" s="25">
        <f t="shared" si="631"/>
        <v>8514</v>
      </c>
      <c r="O1030" s="25">
        <f t="shared" si="632"/>
        <v>5160</v>
      </c>
      <c r="R1030" s="50"/>
      <c r="S1030" s="51"/>
      <c r="T1030" s="29"/>
    </row>
    <row r="1031" spans="1:20">
      <c r="A1031" s="53">
        <v>1017053</v>
      </c>
      <c r="B1031" s="49" t="s">
        <v>345</v>
      </c>
      <c r="C1031" s="25">
        <f t="shared" si="628"/>
        <v>53</v>
      </c>
      <c r="D1031" s="25">
        <f t="array" ref="D1031">INDEX(C$5:C$67,MATCH($B1031,$B$5:$B$67,0))</f>
        <v>5175</v>
      </c>
      <c r="E1031" s="25">
        <f t="array" ref="E1031">INDEX(D$5:D$67,MATCH($B1031,$B$5:$B$67,0))</f>
        <v>414</v>
      </c>
      <c r="F1031" s="25">
        <f t="array" ref="F1031">INDEX(E$5:E$67,MATCH($B1031,$B$5:$B$67,0))</f>
        <v>1188</v>
      </c>
      <c r="G1031" s="25">
        <f t="array" ref="G1031">INDEX(F$5:F$67,MATCH($B1031,$B$5:$B$67,0))</f>
        <v>95.04</v>
      </c>
      <c r="H1031" s="25">
        <f t="array" ref="H1031">INDEX(G$5:G$66,MATCH($B1031,$B$5:$B$67,0))</f>
        <v>1650</v>
      </c>
      <c r="I1031" s="25">
        <f t="array" ref="I1031">INDEX(H$5:H$67,MATCH($B1031,$B$5:$B$67,0))</f>
        <v>132</v>
      </c>
      <c r="J1031" s="25">
        <f t="array" ref="J1031">INDEX(I$5:I$67,MATCH($B1031,$B$5:$B$67,0))</f>
        <v>1000</v>
      </c>
      <c r="K1031" s="25">
        <f t="array" ref="K1031">INDEX(J$5:J$67,MATCH($B1031,$B$5:$B$67,0))</f>
        <v>80</v>
      </c>
      <c r="L1031" s="25">
        <f t="shared" si="629"/>
        <v>27117</v>
      </c>
      <c r="M1031" s="25">
        <f t="shared" si="630"/>
        <v>6225</v>
      </c>
      <c r="N1031" s="25">
        <f t="shared" si="631"/>
        <v>8646</v>
      </c>
      <c r="O1031" s="25">
        <f t="shared" si="632"/>
        <v>5240</v>
      </c>
      <c r="R1031" s="50"/>
      <c r="S1031" s="51"/>
      <c r="T1031" s="29"/>
    </row>
    <row r="1032" spans="1:20">
      <c r="A1032" s="53">
        <v>1017054</v>
      </c>
      <c r="B1032" s="49" t="s">
        <v>345</v>
      </c>
      <c r="C1032" s="25">
        <f t="shared" si="628"/>
        <v>54</v>
      </c>
      <c r="D1032" s="25">
        <f t="array" ref="D1032">INDEX(C$5:C$67,MATCH($B1032,$B$5:$B$67,0))</f>
        <v>5175</v>
      </c>
      <c r="E1032" s="25">
        <f t="array" ref="E1032">INDEX(D$5:D$67,MATCH($B1032,$B$5:$B$67,0))</f>
        <v>414</v>
      </c>
      <c r="F1032" s="25">
        <f t="array" ref="F1032">INDEX(E$5:E$67,MATCH($B1032,$B$5:$B$67,0))</f>
        <v>1188</v>
      </c>
      <c r="G1032" s="25">
        <f t="array" ref="G1032">INDEX(F$5:F$67,MATCH($B1032,$B$5:$B$67,0))</f>
        <v>95.04</v>
      </c>
      <c r="H1032" s="25">
        <f t="array" ref="H1032">INDEX(G$5:G$66,MATCH($B1032,$B$5:$B$67,0))</f>
        <v>1650</v>
      </c>
      <c r="I1032" s="25">
        <f t="array" ref="I1032">INDEX(H$5:H$67,MATCH($B1032,$B$5:$B$67,0))</f>
        <v>132</v>
      </c>
      <c r="J1032" s="25">
        <f t="array" ref="J1032">INDEX(I$5:I$67,MATCH($B1032,$B$5:$B$67,0))</f>
        <v>1000</v>
      </c>
      <c r="K1032" s="25">
        <f t="array" ref="K1032">INDEX(J$5:J$67,MATCH($B1032,$B$5:$B$67,0))</f>
        <v>80</v>
      </c>
      <c r="L1032" s="25">
        <f t="shared" si="629"/>
        <v>27531</v>
      </c>
      <c r="M1032" s="25">
        <f t="shared" si="630"/>
        <v>6320</v>
      </c>
      <c r="N1032" s="25">
        <f t="shared" si="631"/>
        <v>8778</v>
      </c>
      <c r="O1032" s="25">
        <f t="shared" si="632"/>
        <v>5320</v>
      </c>
      <c r="R1032" s="50"/>
      <c r="S1032" s="51"/>
      <c r="T1032" s="29"/>
    </row>
    <row r="1033" spans="1:20">
      <c r="A1033" s="53">
        <v>1017055</v>
      </c>
      <c r="B1033" s="49" t="s">
        <v>345</v>
      </c>
      <c r="C1033" s="25">
        <f t="shared" si="628"/>
        <v>55</v>
      </c>
      <c r="D1033" s="25">
        <f t="array" ref="D1033">INDEX(C$5:C$67,MATCH($B1033,$B$5:$B$67,0))</f>
        <v>5175</v>
      </c>
      <c r="E1033" s="25">
        <f t="array" ref="E1033">INDEX(D$5:D$67,MATCH($B1033,$B$5:$B$67,0))</f>
        <v>414</v>
      </c>
      <c r="F1033" s="25">
        <f t="array" ref="F1033">INDEX(E$5:E$67,MATCH($B1033,$B$5:$B$67,0))</f>
        <v>1188</v>
      </c>
      <c r="G1033" s="25">
        <f t="array" ref="G1033">INDEX(F$5:F$67,MATCH($B1033,$B$5:$B$67,0))</f>
        <v>95.04</v>
      </c>
      <c r="H1033" s="25">
        <f t="array" ref="H1033">INDEX(G$5:G$66,MATCH($B1033,$B$5:$B$67,0))</f>
        <v>1650</v>
      </c>
      <c r="I1033" s="25">
        <f t="array" ref="I1033">INDEX(H$5:H$67,MATCH($B1033,$B$5:$B$67,0))</f>
        <v>132</v>
      </c>
      <c r="J1033" s="25">
        <f t="array" ref="J1033">INDEX(I$5:I$67,MATCH($B1033,$B$5:$B$67,0))</f>
        <v>1000</v>
      </c>
      <c r="K1033" s="25">
        <f t="array" ref="K1033">INDEX(J$5:J$67,MATCH($B1033,$B$5:$B$67,0))</f>
        <v>80</v>
      </c>
      <c r="L1033" s="25">
        <f t="shared" si="629"/>
        <v>27945</v>
      </c>
      <c r="M1033" s="25">
        <f t="shared" si="630"/>
        <v>6415</v>
      </c>
      <c r="N1033" s="25">
        <f t="shared" si="631"/>
        <v>8910</v>
      </c>
      <c r="O1033" s="25">
        <f t="shared" si="632"/>
        <v>5400</v>
      </c>
      <c r="R1033" s="50"/>
      <c r="S1033" s="51"/>
      <c r="T1033" s="29"/>
    </row>
    <row r="1034" spans="1:20">
      <c r="A1034" s="53">
        <v>1017056</v>
      </c>
      <c r="B1034" s="49" t="s">
        <v>345</v>
      </c>
      <c r="C1034" s="25">
        <f t="shared" si="628"/>
        <v>56</v>
      </c>
      <c r="D1034" s="25">
        <f t="array" ref="D1034">INDEX(C$5:C$67,MATCH($B1034,$B$5:$B$67,0))</f>
        <v>5175</v>
      </c>
      <c r="E1034" s="25">
        <f t="array" ref="E1034">INDEX(D$5:D$67,MATCH($B1034,$B$5:$B$67,0))</f>
        <v>414</v>
      </c>
      <c r="F1034" s="25">
        <f t="array" ref="F1034">INDEX(E$5:E$67,MATCH($B1034,$B$5:$B$67,0))</f>
        <v>1188</v>
      </c>
      <c r="G1034" s="25">
        <f t="array" ref="G1034">INDEX(F$5:F$67,MATCH($B1034,$B$5:$B$67,0))</f>
        <v>95.04</v>
      </c>
      <c r="H1034" s="25">
        <f t="array" ref="H1034">INDEX(G$5:G$66,MATCH($B1034,$B$5:$B$67,0))</f>
        <v>1650</v>
      </c>
      <c r="I1034" s="25">
        <f t="array" ref="I1034">INDEX(H$5:H$67,MATCH($B1034,$B$5:$B$67,0))</f>
        <v>132</v>
      </c>
      <c r="J1034" s="25">
        <f t="array" ref="J1034">INDEX(I$5:I$67,MATCH($B1034,$B$5:$B$67,0))</f>
        <v>1000</v>
      </c>
      <c r="K1034" s="25">
        <f t="array" ref="K1034">INDEX(J$5:J$67,MATCH($B1034,$B$5:$B$67,0))</f>
        <v>80</v>
      </c>
      <c r="L1034" s="25">
        <f t="shared" si="629"/>
        <v>28359</v>
      </c>
      <c r="M1034" s="25">
        <f t="shared" si="630"/>
        <v>6510</v>
      </c>
      <c r="N1034" s="25">
        <f t="shared" si="631"/>
        <v>9042</v>
      </c>
      <c r="O1034" s="25">
        <f t="shared" si="632"/>
        <v>5480</v>
      </c>
      <c r="R1034" s="50"/>
      <c r="S1034" s="51"/>
      <c r="T1034" s="29"/>
    </row>
    <row r="1035" spans="1:20">
      <c r="A1035" s="53">
        <v>1017057</v>
      </c>
      <c r="B1035" s="49" t="s">
        <v>345</v>
      </c>
      <c r="C1035" s="25">
        <f t="shared" ref="C1035:C1098" si="633">C975</f>
        <v>57</v>
      </c>
      <c r="D1035" s="25">
        <f t="array" ref="D1035">INDEX(C$5:C$67,MATCH($B1035,$B$5:$B$67,0))</f>
        <v>5175</v>
      </c>
      <c r="E1035" s="25">
        <f t="array" ref="E1035">INDEX(D$5:D$67,MATCH($B1035,$B$5:$B$67,0))</f>
        <v>414</v>
      </c>
      <c r="F1035" s="25">
        <f t="array" ref="F1035">INDEX(E$5:E$67,MATCH($B1035,$B$5:$B$67,0))</f>
        <v>1188</v>
      </c>
      <c r="G1035" s="25">
        <f t="array" ref="G1035">INDEX(F$5:F$67,MATCH($B1035,$B$5:$B$67,0))</f>
        <v>95.04</v>
      </c>
      <c r="H1035" s="25">
        <f t="array" ref="H1035">INDEX(G$5:G$66,MATCH($B1035,$B$5:$B$67,0))</f>
        <v>1650</v>
      </c>
      <c r="I1035" s="25">
        <f t="array" ref="I1035">INDEX(H$5:H$67,MATCH($B1035,$B$5:$B$67,0))</f>
        <v>132</v>
      </c>
      <c r="J1035" s="25">
        <f t="array" ref="J1035">INDEX(I$5:I$67,MATCH($B1035,$B$5:$B$67,0))</f>
        <v>1000</v>
      </c>
      <c r="K1035" s="25">
        <f t="array" ref="K1035">INDEX(J$5:J$67,MATCH($B1035,$B$5:$B$67,0))</f>
        <v>80</v>
      </c>
      <c r="L1035" s="25">
        <f t="shared" si="629"/>
        <v>28773</v>
      </c>
      <c r="M1035" s="25">
        <f t="shared" si="630"/>
        <v>6605</v>
      </c>
      <c r="N1035" s="25">
        <f t="shared" si="631"/>
        <v>9174</v>
      </c>
      <c r="O1035" s="25">
        <f t="shared" si="632"/>
        <v>5560</v>
      </c>
      <c r="R1035" s="50"/>
      <c r="S1035" s="51"/>
      <c r="T1035" s="29"/>
    </row>
    <row r="1036" spans="1:20">
      <c r="A1036" s="53">
        <v>1017058</v>
      </c>
      <c r="B1036" s="49" t="s">
        <v>345</v>
      </c>
      <c r="C1036" s="25">
        <f t="shared" si="633"/>
        <v>58</v>
      </c>
      <c r="D1036" s="25">
        <f t="array" ref="D1036">INDEX(C$5:C$67,MATCH($B1036,$B$5:$B$67,0))</f>
        <v>5175</v>
      </c>
      <c r="E1036" s="25">
        <f t="array" ref="E1036">INDEX(D$5:D$67,MATCH($B1036,$B$5:$B$67,0))</f>
        <v>414</v>
      </c>
      <c r="F1036" s="25">
        <f t="array" ref="F1036">INDEX(E$5:E$67,MATCH($B1036,$B$5:$B$67,0))</f>
        <v>1188</v>
      </c>
      <c r="G1036" s="25">
        <f t="array" ref="G1036">INDEX(F$5:F$67,MATCH($B1036,$B$5:$B$67,0))</f>
        <v>95.04</v>
      </c>
      <c r="H1036" s="25">
        <f t="array" ref="H1036">INDEX(G$5:G$66,MATCH($B1036,$B$5:$B$67,0))</f>
        <v>1650</v>
      </c>
      <c r="I1036" s="25">
        <f t="array" ref="I1036">INDEX(H$5:H$67,MATCH($B1036,$B$5:$B$67,0))</f>
        <v>132</v>
      </c>
      <c r="J1036" s="25">
        <f t="array" ref="J1036">INDEX(I$5:I$67,MATCH($B1036,$B$5:$B$67,0))</f>
        <v>1000</v>
      </c>
      <c r="K1036" s="25">
        <f t="array" ref="K1036">INDEX(J$5:J$67,MATCH($B1036,$B$5:$B$67,0))</f>
        <v>80</v>
      </c>
      <c r="L1036" s="25">
        <f t="shared" si="629"/>
        <v>29187</v>
      </c>
      <c r="M1036" s="25">
        <f t="shared" si="630"/>
        <v>6700</v>
      </c>
      <c r="N1036" s="25">
        <f t="shared" si="631"/>
        <v>9306</v>
      </c>
      <c r="O1036" s="25">
        <f t="shared" si="632"/>
        <v>5640</v>
      </c>
      <c r="R1036" s="50"/>
      <c r="S1036" s="51"/>
      <c r="T1036" s="29"/>
    </row>
    <row r="1037" spans="1:20">
      <c r="A1037" s="53">
        <v>1017059</v>
      </c>
      <c r="B1037" s="49" t="s">
        <v>345</v>
      </c>
      <c r="C1037" s="25">
        <f t="shared" si="633"/>
        <v>59</v>
      </c>
      <c r="D1037" s="25">
        <f t="array" ref="D1037">INDEX(C$5:C$67,MATCH($B1037,$B$5:$B$67,0))</f>
        <v>5175</v>
      </c>
      <c r="E1037" s="25">
        <f t="array" ref="E1037">INDEX(D$5:D$67,MATCH($B1037,$B$5:$B$67,0))</f>
        <v>414</v>
      </c>
      <c r="F1037" s="25">
        <f t="array" ref="F1037">INDEX(E$5:E$67,MATCH($B1037,$B$5:$B$67,0))</f>
        <v>1188</v>
      </c>
      <c r="G1037" s="25">
        <f t="array" ref="G1037">INDEX(F$5:F$67,MATCH($B1037,$B$5:$B$67,0))</f>
        <v>95.04</v>
      </c>
      <c r="H1037" s="25">
        <f t="array" ref="H1037">INDEX(G$5:G$66,MATCH($B1037,$B$5:$B$67,0))</f>
        <v>1650</v>
      </c>
      <c r="I1037" s="25">
        <f t="array" ref="I1037">INDEX(H$5:H$67,MATCH($B1037,$B$5:$B$67,0))</f>
        <v>132</v>
      </c>
      <c r="J1037" s="25">
        <f t="array" ref="J1037">INDEX(I$5:I$67,MATCH($B1037,$B$5:$B$67,0))</f>
        <v>1000</v>
      </c>
      <c r="K1037" s="25">
        <f t="array" ref="K1037">INDEX(J$5:J$67,MATCH($B1037,$B$5:$B$67,0))</f>
        <v>80</v>
      </c>
      <c r="L1037" s="25">
        <f t="shared" si="629"/>
        <v>29601</v>
      </c>
      <c r="M1037" s="25">
        <f t="shared" si="630"/>
        <v>6795</v>
      </c>
      <c r="N1037" s="25">
        <f t="shared" si="631"/>
        <v>9438</v>
      </c>
      <c r="O1037" s="25">
        <f t="shared" si="632"/>
        <v>5720</v>
      </c>
      <c r="R1037" s="50"/>
      <c r="S1037" s="51"/>
      <c r="T1037" s="29"/>
    </row>
    <row r="1038" spans="1:20">
      <c r="A1038" s="53">
        <v>1017060</v>
      </c>
      <c r="B1038" s="49" t="s">
        <v>345</v>
      </c>
      <c r="C1038" s="25">
        <f t="shared" si="633"/>
        <v>60</v>
      </c>
      <c r="D1038" s="25">
        <f t="array" ref="D1038">INDEX(C$5:C$67,MATCH($B1038,$B$5:$B$67,0))</f>
        <v>5175</v>
      </c>
      <c r="E1038" s="25">
        <f t="array" ref="E1038">INDEX(D$5:D$67,MATCH($B1038,$B$5:$B$67,0))</f>
        <v>414</v>
      </c>
      <c r="F1038" s="25">
        <f t="array" ref="F1038">INDEX(E$5:E$67,MATCH($B1038,$B$5:$B$67,0))</f>
        <v>1188</v>
      </c>
      <c r="G1038" s="25">
        <f t="array" ref="G1038">INDEX(F$5:F$67,MATCH($B1038,$B$5:$B$67,0))</f>
        <v>95.04</v>
      </c>
      <c r="H1038" s="25">
        <f t="array" ref="H1038">INDEX(G$5:G$66,MATCH($B1038,$B$5:$B$67,0))</f>
        <v>1650</v>
      </c>
      <c r="I1038" s="25">
        <f t="array" ref="I1038">INDEX(H$5:H$67,MATCH($B1038,$B$5:$B$67,0))</f>
        <v>132</v>
      </c>
      <c r="J1038" s="25">
        <f t="array" ref="J1038">INDEX(I$5:I$67,MATCH($B1038,$B$5:$B$67,0))</f>
        <v>1000</v>
      </c>
      <c r="K1038" s="25">
        <f t="array" ref="K1038">INDEX(J$5:J$67,MATCH($B1038,$B$5:$B$67,0))</f>
        <v>80</v>
      </c>
      <c r="L1038" s="25">
        <f t="shared" si="629"/>
        <v>30015</v>
      </c>
      <c r="M1038" s="25">
        <f t="shared" si="630"/>
        <v>6890</v>
      </c>
      <c r="N1038" s="25">
        <f t="shared" si="631"/>
        <v>9570</v>
      </c>
      <c r="O1038" s="25">
        <f t="shared" si="632"/>
        <v>5800</v>
      </c>
      <c r="R1038" s="50"/>
      <c r="S1038" s="51"/>
      <c r="T1038" s="29"/>
    </row>
    <row r="1039" spans="1:20">
      <c r="A1039" s="48">
        <v>1018001</v>
      </c>
      <c r="B1039" s="49" t="s">
        <v>347</v>
      </c>
      <c r="C1039" s="25">
        <f t="shared" si="633"/>
        <v>1</v>
      </c>
      <c r="D1039" s="25">
        <f t="array" ref="D1039">INDEX(C$5:C$67,MATCH($B1039,$B$5:$B$67,0))</f>
        <v>5280</v>
      </c>
      <c r="E1039" s="25">
        <f t="array" ref="E1039">INDEX(D$5:D$67,MATCH($B1039,$B$5:$B$67,0))</f>
        <v>422.4</v>
      </c>
      <c r="F1039" s="25">
        <f t="array" ref="F1039">INDEX(E$5:E$67,MATCH($B1039,$B$5:$B$67,0))</f>
        <v>775</v>
      </c>
      <c r="G1039" s="25">
        <f t="array" ref="G1039">INDEX(F$5:F$67,MATCH($B1039,$B$5:$B$67,0))</f>
        <v>62</v>
      </c>
      <c r="H1039" s="25">
        <f t="array" ref="H1039">INDEX(G$5:G$66,MATCH($B1039,$B$5:$B$67,0))</f>
        <v>969</v>
      </c>
      <c r="I1039" s="25">
        <f t="array" ref="I1039">INDEX(H$5:H$67,MATCH($B1039,$B$5:$B$67,0))</f>
        <v>77.52</v>
      </c>
      <c r="J1039" s="25">
        <f t="array" ref="J1039">INDEX(I$5:I$67,MATCH($B1039,$B$5:$B$67,0))</f>
        <v>798</v>
      </c>
      <c r="K1039" s="25">
        <f t="array" ref="K1039">INDEX(J$5:J$67,MATCH($B1039,$B$5:$B$67,0))</f>
        <v>63.84</v>
      </c>
      <c r="L1039" s="25">
        <f t="shared" ref="L1039:L1102" si="634">ROUND(D1039+E1039*$C1039,0)</f>
        <v>5702</v>
      </c>
      <c r="M1039" s="25">
        <f t="shared" ref="M1039:M1102" si="635">ROUND(F1039+G1039*$C1039,0)</f>
        <v>837</v>
      </c>
      <c r="N1039" s="25">
        <f t="shared" ref="N1039:N1102" si="636">ROUND(H1039+I1039*$C1039,0)</f>
        <v>1047</v>
      </c>
      <c r="O1039" s="25">
        <f t="shared" ref="O1039:O1102" si="637">ROUND(J1039+K1039*$C1039,0)</f>
        <v>862</v>
      </c>
      <c r="R1039" s="50"/>
      <c r="S1039" s="51"/>
      <c r="T1039" s="29"/>
    </row>
    <row r="1040" spans="1:20">
      <c r="A1040" s="48">
        <v>1018002</v>
      </c>
      <c r="B1040" s="49" t="s">
        <v>347</v>
      </c>
      <c r="C1040" s="25">
        <f t="shared" si="633"/>
        <v>2</v>
      </c>
      <c r="D1040" s="25">
        <f t="array" ref="D1040">INDEX(C$5:C$67,MATCH($B1040,$B$5:$B$67,0))</f>
        <v>5280</v>
      </c>
      <c r="E1040" s="25">
        <f t="array" ref="E1040">INDEX(D$5:D$67,MATCH($B1040,$B$5:$B$67,0))</f>
        <v>422.4</v>
      </c>
      <c r="F1040" s="25">
        <f t="array" ref="F1040">INDEX(E$5:E$67,MATCH($B1040,$B$5:$B$67,0))</f>
        <v>775</v>
      </c>
      <c r="G1040" s="25">
        <f t="array" ref="G1040">INDEX(F$5:F$67,MATCH($B1040,$B$5:$B$67,0))</f>
        <v>62</v>
      </c>
      <c r="H1040" s="25">
        <f t="array" ref="H1040">INDEX(G$5:G$66,MATCH($B1040,$B$5:$B$67,0))</f>
        <v>969</v>
      </c>
      <c r="I1040" s="25">
        <f t="array" ref="I1040">INDEX(H$5:H$67,MATCH($B1040,$B$5:$B$67,0))</f>
        <v>77.52</v>
      </c>
      <c r="J1040" s="25">
        <f t="array" ref="J1040">INDEX(I$5:I$67,MATCH($B1040,$B$5:$B$67,0))</f>
        <v>798</v>
      </c>
      <c r="K1040" s="25">
        <f t="array" ref="K1040">INDEX(J$5:J$67,MATCH($B1040,$B$5:$B$67,0))</f>
        <v>63.84</v>
      </c>
      <c r="L1040" s="25">
        <f t="shared" si="634"/>
        <v>6125</v>
      </c>
      <c r="M1040" s="25">
        <f t="shared" si="635"/>
        <v>899</v>
      </c>
      <c r="N1040" s="25">
        <f t="shared" si="636"/>
        <v>1124</v>
      </c>
      <c r="O1040" s="25">
        <f t="shared" si="637"/>
        <v>926</v>
      </c>
      <c r="R1040" s="50"/>
      <c r="S1040" s="51"/>
      <c r="T1040" s="29"/>
    </row>
    <row r="1041" spans="1:20">
      <c r="A1041" s="48">
        <v>1018003</v>
      </c>
      <c r="B1041" s="49" t="s">
        <v>347</v>
      </c>
      <c r="C1041" s="25">
        <f t="shared" si="633"/>
        <v>3</v>
      </c>
      <c r="D1041" s="25">
        <f t="array" ref="D1041">INDEX(C$5:C$67,MATCH($B1041,$B$5:$B$67,0))</f>
        <v>5280</v>
      </c>
      <c r="E1041" s="25">
        <f t="array" ref="E1041">INDEX(D$5:D$67,MATCH($B1041,$B$5:$B$67,0))</f>
        <v>422.4</v>
      </c>
      <c r="F1041" s="25">
        <f t="array" ref="F1041">INDEX(E$5:E$67,MATCH($B1041,$B$5:$B$67,0))</f>
        <v>775</v>
      </c>
      <c r="G1041" s="25">
        <f t="array" ref="G1041">INDEX(F$5:F$67,MATCH($B1041,$B$5:$B$67,0))</f>
        <v>62</v>
      </c>
      <c r="H1041" s="25">
        <f t="array" ref="H1041">INDEX(G$5:G$66,MATCH($B1041,$B$5:$B$67,0))</f>
        <v>969</v>
      </c>
      <c r="I1041" s="25">
        <f t="array" ref="I1041">INDEX(H$5:H$67,MATCH($B1041,$B$5:$B$67,0))</f>
        <v>77.52</v>
      </c>
      <c r="J1041" s="25">
        <f t="array" ref="J1041">INDEX(I$5:I$67,MATCH($B1041,$B$5:$B$67,0))</f>
        <v>798</v>
      </c>
      <c r="K1041" s="25">
        <f t="array" ref="K1041">INDEX(J$5:J$67,MATCH($B1041,$B$5:$B$67,0))</f>
        <v>63.84</v>
      </c>
      <c r="L1041" s="25">
        <f t="shared" si="634"/>
        <v>6547</v>
      </c>
      <c r="M1041" s="25">
        <f t="shared" si="635"/>
        <v>961</v>
      </c>
      <c r="N1041" s="25">
        <f t="shared" si="636"/>
        <v>1202</v>
      </c>
      <c r="O1041" s="25">
        <f t="shared" si="637"/>
        <v>990</v>
      </c>
      <c r="R1041" s="50"/>
      <c r="S1041" s="51"/>
      <c r="T1041" s="29"/>
    </row>
    <row r="1042" spans="1:20">
      <c r="A1042" s="48">
        <v>1018004</v>
      </c>
      <c r="B1042" s="49" t="s">
        <v>347</v>
      </c>
      <c r="C1042" s="25">
        <f t="shared" si="633"/>
        <v>4</v>
      </c>
      <c r="D1042" s="25">
        <f t="array" ref="D1042">INDEX(C$5:C$67,MATCH($B1042,$B$5:$B$67,0))</f>
        <v>5280</v>
      </c>
      <c r="E1042" s="25">
        <f t="array" ref="E1042">INDEX(D$5:D$67,MATCH($B1042,$B$5:$B$67,0))</f>
        <v>422.4</v>
      </c>
      <c r="F1042" s="25">
        <f t="array" ref="F1042">INDEX(E$5:E$67,MATCH($B1042,$B$5:$B$67,0))</f>
        <v>775</v>
      </c>
      <c r="G1042" s="25">
        <f t="array" ref="G1042">INDEX(F$5:F$67,MATCH($B1042,$B$5:$B$67,0))</f>
        <v>62</v>
      </c>
      <c r="H1042" s="25">
        <f t="array" ref="H1042">INDEX(G$5:G$66,MATCH($B1042,$B$5:$B$67,0))</f>
        <v>969</v>
      </c>
      <c r="I1042" s="25">
        <f t="array" ref="I1042">INDEX(H$5:H$67,MATCH($B1042,$B$5:$B$67,0))</f>
        <v>77.52</v>
      </c>
      <c r="J1042" s="25">
        <f t="array" ref="J1042">INDEX(I$5:I$67,MATCH($B1042,$B$5:$B$67,0))</f>
        <v>798</v>
      </c>
      <c r="K1042" s="25">
        <f t="array" ref="K1042">INDEX(J$5:J$67,MATCH($B1042,$B$5:$B$67,0))</f>
        <v>63.84</v>
      </c>
      <c r="L1042" s="25">
        <f t="shared" si="634"/>
        <v>6970</v>
      </c>
      <c r="M1042" s="25">
        <f t="shared" si="635"/>
        <v>1023</v>
      </c>
      <c r="N1042" s="25">
        <f t="shared" si="636"/>
        <v>1279</v>
      </c>
      <c r="O1042" s="25">
        <f t="shared" si="637"/>
        <v>1053</v>
      </c>
      <c r="R1042" s="50"/>
      <c r="S1042" s="51"/>
      <c r="T1042" s="29"/>
    </row>
    <row r="1043" spans="1:20">
      <c r="A1043" s="48">
        <v>1018005</v>
      </c>
      <c r="B1043" s="49" t="s">
        <v>347</v>
      </c>
      <c r="C1043" s="25">
        <f t="shared" si="633"/>
        <v>5</v>
      </c>
      <c r="D1043" s="25">
        <f t="array" ref="D1043">INDEX(C$5:C$67,MATCH($B1043,$B$5:$B$67,0))</f>
        <v>5280</v>
      </c>
      <c r="E1043" s="25">
        <f t="array" ref="E1043">INDEX(D$5:D$67,MATCH($B1043,$B$5:$B$67,0))</f>
        <v>422.4</v>
      </c>
      <c r="F1043" s="25">
        <f t="array" ref="F1043">INDEX(E$5:E$67,MATCH($B1043,$B$5:$B$67,0))</f>
        <v>775</v>
      </c>
      <c r="G1043" s="25">
        <f t="array" ref="G1043">INDEX(F$5:F$67,MATCH($B1043,$B$5:$B$67,0))</f>
        <v>62</v>
      </c>
      <c r="H1043" s="25">
        <f t="array" ref="H1043">INDEX(G$5:G$66,MATCH($B1043,$B$5:$B$67,0))</f>
        <v>969</v>
      </c>
      <c r="I1043" s="25">
        <f t="array" ref="I1043">INDEX(H$5:H$67,MATCH($B1043,$B$5:$B$67,0))</f>
        <v>77.52</v>
      </c>
      <c r="J1043" s="25">
        <f t="array" ref="J1043">INDEX(I$5:I$67,MATCH($B1043,$B$5:$B$67,0))</f>
        <v>798</v>
      </c>
      <c r="K1043" s="25">
        <f t="array" ref="K1043">INDEX(J$5:J$67,MATCH($B1043,$B$5:$B$67,0))</f>
        <v>63.84</v>
      </c>
      <c r="L1043" s="25">
        <f t="shared" si="634"/>
        <v>7392</v>
      </c>
      <c r="M1043" s="25">
        <f t="shared" si="635"/>
        <v>1085</v>
      </c>
      <c r="N1043" s="25">
        <f t="shared" si="636"/>
        <v>1357</v>
      </c>
      <c r="O1043" s="25">
        <f t="shared" si="637"/>
        <v>1117</v>
      </c>
      <c r="R1043" s="50"/>
      <c r="S1043" s="51"/>
      <c r="T1043" s="29"/>
    </row>
    <row r="1044" spans="1:20">
      <c r="A1044" s="48">
        <v>1018006</v>
      </c>
      <c r="B1044" s="49" t="s">
        <v>347</v>
      </c>
      <c r="C1044" s="25">
        <f t="shared" si="633"/>
        <v>6</v>
      </c>
      <c r="D1044" s="25">
        <f t="array" ref="D1044">INDEX(C$5:C$67,MATCH($B1044,$B$5:$B$67,0))</f>
        <v>5280</v>
      </c>
      <c r="E1044" s="25">
        <f t="array" ref="E1044">INDEX(D$5:D$67,MATCH($B1044,$B$5:$B$67,0))</f>
        <v>422.4</v>
      </c>
      <c r="F1044" s="25">
        <f t="array" ref="F1044">INDEX(E$5:E$67,MATCH($B1044,$B$5:$B$67,0))</f>
        <v>775</v>
      </c>
      <c r="G1044" s="25">
        <f t="array" ref="G1044">INDEX(F$5:F$67,MATCH($B1044,$B$5:$B$67,0))</f>
        <v>62</v>
      </c>
      <c r="H1044" s="25">
        <f t="array" ref="H1044">INDEX(G$5:G$66,MATCH($B1044,$B$5:$B$67,0))</f>
        <v>969</v>
      </c>
      <c r="I1044" s="25">
        <f t="array" ref="I1044">INDEX(H$5:H$67,MATCH($B1044,$B$5:$B$67,0))</f>
        <v>77.52</v>
      </c>
      <c r="J1044" s="25">
        <f t="array" ref="J1044">INDEX(I$5:I$67,MATCH($B1044,$B$5:$B$67,0))</f>
        <v>798</v>
      </c>
      <c r="K1044" s="25">
        <f t="array" ref="K1044">INDEX(J$5:J$67,MATCH($B1044,$B$5:$B$67,0))</f>
        <v>63.84</v>
      </c>
      <c r="L1044" s="25">
        <f t="shared" si="634"/>
        <v>7814</v>
      </c>
      <c r="M1044" s="25">
        <f t="shared" si="635"/>
        <v>1147</v>
      </c>
      <c r="N1044" s="25">
        <f t="shared" si="636"/>
        <v>1434</v>
      </c>
      <c r="O1044" s="25">
        <f t="shared" si="637"/>
        <v>1181</v>
      </c>
      <c r="R1044" s="50"/>
      <c r="S1044" s="51"/>
      <c r="T1044" s="29"/>
    </row>
    <row r="1045" spans="1:20">
      <c r="A1045" s="48">
        <v>1018007</v>
      </c>
      <c r="B1045" s="49" t="s">
        <v>347</v>
      </c>
      <c r="C1045" s="25">
        <f t="shared" si="633"/>
        <v>7</v>
      </c>
      <c r="D1045" s="25">
        <f t="array" ref="D1045">INDEX(C$5:C$67,MATCH($B1045,$B$5:$B$67,0))</f>
        <v>5280</v>
      </c>
      <c r="E1045" s="25">
        <f t="array" ref="E1045">INDEX(D$5:D$67,MATCH($B1045,$B$5:$B$67,0))</f>
        <v>422.4</v>
      </c>
      <c r="F1045" s="25">
        <f t="array" ref="F1045">INDEX(E$5:E$67,MATCH($B1045,$B$5:$B$67,0))</f>
        <v>775</v>
      </c>
      <c r="G1045" s="25">
        <f t="array" ref="G1045">INDEX(F$5:F$67,MATCH($B1045,$B$5:$B$67,0))</f>
        <v>62</v>
      </c>
      <c r="H1045" s="25">
        <f t="array" ref="H1045">INDEX(G$5:G$66,MATCH($B1045,$B$5:$B$67,0))</f>
        <v>969</v>
      </c>
      <c r="I1045" s="25">
        <f t="array" ref="I1045">INDEX(H$5:H$67,MATCH($B1045,$B$5:$B$67,0))</f>
        <v>77.52</v>
      </c>
      <c r="J1045" s="25">
        <f t="array" ref="J1045">INDEX(I$5:I$67,MATCH($B1045,$B$5:$B$67,0))</f>
        <v>798</v>
      </c>
      <c r="K1045" s="25">
        <f t="array" ref="K1045">INDEX(J$5:J$67,MATCH($B1045,$B$5:$B$67,0))</f>
        <v>63.84</v>
      </c>
      <c r="L1045" s="25">
        <f t="shared" si="634"/>
        <v>8237</v>
      </c>
      <c r="M1045" s="25">
        <f t="shared" si="635"/>
        <v>1209</v>
      </c>
      <c r="N1045" s="25">
        <f t="shared" si="636"/>
        <v>1512</v>
      </c>
      <c r="O1045" s="25">
        <f t="shared" si="637"/>
        <v>1245</v>
      </c>
      <c r="R1045" s="50"/>
      <c r="S1045" s="51"/>
      <c r="T1045" s="29"/>
    </row>
    <row r="1046" spans="1:20">
      <c r="A1046" s="48">
        <v>1018008</v>
      </c>
      <c r="B1046" s="49" t="s">
        <v>347</v>
      </c>
      <c r="C1046" s="25">
        <f t="shared" si="633"/>
        <v>8</v>
      </c>
      <c r="D1046" s="25">
        <f t="array" ref="D1046">INDEX(C$5:C$67,MATCH($B1046,$B$5:$B$67,0))</f>
        <v>5280</v>
      </c>
      <c r="E1046" s="25">
        <f t="array" ref="E1046">INDEX(D$5:D$67,MATCH($B1046,$B$5:$B$67,0))</f>
        <v>422.4</v>
      </c>
      <c r="F1046" s="25">
        <f t="array" ref="F1046">INDEX(E$5:E$67,MATCH($B1046,$B$5:$B$67,0))</f>
        <v>775</v>
      </c>
      <c r="G1046" s="25">
        <f t="array" ref="G1046">INDEX(F$5:F$67,MATCH($B1046,$B$5:$B$67,0))</f>
        <v>62</v>
      </c>
      <c r="H1046" s="25">
        <f t="array" ref="H1046">INDEX(G$5:G$66,MATCH($B1046,$B$5:$B$67,0))</f>
        <v>969</v>
      </c>
      <c r="I1046" s="25">
        <f t="array" ref="I1046">INDEX(H$5:H$67,MATCH($B1046,$B$5:$B$67,0))</f>
        <v>77.52</v>
      </c>
      <c r="J1046" s="25">
        <f t="array" ref="J1046">INDEX(I$5:I$67,MATCH($B1046,$B$5:$B$67,0))</f>
        <v>798</v>
      </c>
      <c r="K1046" s="25">
        <f t="array" ref="K1046">INDEX(J$5:J$67,MATCH($B1046,$B$5:$B$67,0))</f>
        <v>63.84</v>
      </c>
      <c r="L1046" s="25">
        <f t="shared" si="634"/>
        <v>8659</v>
      </c>
      <c r="M1046" s="25">
        <f t="shared" si="635"/>
        <v>1271</v>
      </c>
      <c r="N1046" s="25">
        <f t="shared" si="636"/>
        <v>1589</v>
      </c>
      <c r="O1046" s="25">
        <f t="shared" si="637"/>
        <v>1309</v>
      </c>
      <c r="R1046" s="50"/>
      <c r="S1046" s="51"/>
      <c r="T1046" s="29"/>
    </row>
    <row r="1047" spans="1:20">
      <c r="A1047" s="48">
        <v>1018009</v>
      </c>
      <c r="B1047" s="49" t="s">
        <v>347</v>
      </c>
      <c r="C1047" s="25">
        <f t="shared" si="633"/>
        <v>9</v>
      </c>
      <c r="D1047" s="25">
        <f t="array" ref="D1047">INDEX(C$5:C$67,MATCH($B1047,$B$5:$B$67,0))</f>
        <v>5280</v>
      </c>
      <c r="E1047" s="25">
        <f t="array" ref="E1047">INDEX(D$5:D$67,MATCH($B1047,$B$5:$B$67,0))</f>
        <v>422.4</v>
      </c>
      <c r="F1047" s="25">
        <f t="array" ref="F1047">INDEX(E$5:E$67,MATCH($B1047,$B$5:$B$67,0))</f>
        <v>775</v>
      </c>
      <c r="G1047" s="25">
        <f t="array" ref="G1047">INDEX(F$5:F$67,MATCH($B1047,$B$5:$B$67,0))</f>
        <v>62</v>
      </c>
      <c r="H1047" s="25">
        <f t="array" ref="H1047">INDEX(G$5:G$66,MATCH($B1047,$B$5:$B$67,0))</f>
        <v>969</v>
      </c>
      <c r="I1047" s="25">
        <f t="array" ref="I1047">INDEX(H$5:H$67,MATCH($B1047,$B$5:$B$67,0))</f>
        <v>77.52</v>
      </c>
      <c r="J1047" s="25">
        <f t="array" ref="J1047">INDEX(I$5:I$67,MATCH($B1047,$B$5:$B$67,0))</f>
        <v>798</v>
      </c>
      <c r="K1047" s="25">
        <f t="array" ref="K1047">INDEX(J$5:J$67,MATCH($B1047,$B$5:$B$67,0))</f>
        <v>63.84</v>
      </c>
      <c r="L1047" s="25">
        <f t="shared" si="634"/>
        <v>9082</v>
      </c>
      <c r="M1047" s="25">
        <f t="shared" si="635"/>
        <v>1333</v>
      </c>
      <c r="N1047" s="25">
        <f t="shared" si="636"/>
        <v>1667</v>
      </c>
      <c r="O1047" s="25">
        <f t="shared" si="637"/>
        <v>1373</v>
      </c>
      <c r="R1047" s="50"/>
      <c r="S1047" s="51"/>
      <c r="T1047" s="29"/>
    </row>
    <row r="1048" spans="1:20">
      <c r="A1048" s="48">
        <v>1018010</v>
      </c>
      <c r="B1048" s="49" t="s">
        <v>347</v>
      </c>
      <c r="C1048" s="25">
        <f t="shared" si="633"/>
        <v>10</v>
      </c>
      <c r="D1048" s="25">
        <f t="array" ref="D1048">INDEX(C$5:C$67,MATCH($B1048,$B$5:$B$67,0))</f>
        <v>5280</v>
      </c>
      <c r="E1048" s="25">
        <f t="array" ref="E1048">INDEX(D$5:D$67,MATCH($B1048,$B$5:$B$67,0))</f>
        <v>422.4</v>
      </c>
      <c r="F1048" s="25">
        <f t="array" ref="F1048">INDEX(E$5:E$67,MATCH($B1048,$B$5:$B$67,0))</f>
        <v>775</v>
      </c>
      <c r="G1048" s="25">
        <f t="array" ref="G1048">INDEX(F$5:F$67,MATCH($B1048,$B$5:$B$67,0))</f>
        <v>62</v>
      </c>
      <c r="H1048" s="25">
        <f t="array" ref="H1048">INDEX(G$5:G$66,MATCH($B1048,$B$5:$B$67,0))</f>
        <v>969</v>
      </c>
      <c r="I1048" s="25">
        <f t="array" ref="I1048">INDEX(H$5:H$67,MATCH($B1048,$B$5:$B$67,0))</f>
        <v>77.52</v>
      </c>
      <c r="J1048" s="25">
        <f t="array" ref="J1048">INDEX(I$5:I$67,MATCH($B1048,$B$5:$B$67,0))</f>
        <v>798</v>
      </c>
      <c r="K1048" s="25">
        <f t="array" ref="K1048">INDEX(J$5:J$67,MATCH($B1048,$B$5:$B$67,0))</f>
        <v>63.84</v>
      </c>
      <c r="L1048" s="25">
        <f t="shared" si="634"/>
        <v>9504</v>
      </c>
      <c r="M1048" s="25">
        <f t="shared" si="635"/>
        <v>1395</v>
      </c>
      <c r="N1048" s="25">
        <f t="shared" si="636"/>
        <v>1744</v>
      </c>
      <c r="O1048" s="25">
        <f t="shared" si="637"/>
        <v>1436</v>
      </c>
      <c r="R1048" s="50"/>
      <c r="S1048" s="51"/>
      <c r="T1048" s="29"/>
    </row>
    <row r="1049" spans="1:20">
      <c r="A1049" s="48">
        <v>1018011</v>
      </c>
      <c r="B1049" s="49" t="s">
        <v>347</v>
      </c>
      <c r="C1049" s="25">
        <f t="shared" si="633"/>
        <v>11</v>
      </c>
      <c r="D1049" s="25">
        <f t="array" ref="D1049">INDEX(C$5:C$67,MATCH($B1049,$B$5:$B$67,0))</f>
        <v>5280</v>
      </c>
      <c r="E1049" s="25">
        <f t="array" ref="E1049">INDEX(D$5:D$67,MATCH($B1049,$B$5:$B$67,0))</f>
        <v>422.4</v>
      </c>
      <c r="F1049" s="25">
        <f t="array" ref="F1049">INDEX(E$5:E$67,MATCH($B1049,$B$5:$B$67,0))</f>
        <v>775</v>
      </c>
      <c r="G1049" s="25">
        <f t="array" ref="G1049">INDEX(F$5:F$67,MATCH($B1049,$B$5:$B$67,0))</f>
        <v>62</v>
      </c>
      <c r="H1049" s="25">
        <f t="array" ref="H1049">INDEX(G$5:G$66,MATCH($B1049,$B$5:$B$67,0))</f>
        <v>969</v>
      </c>
      <c r="I1049" s="25">
        <f t="array" ref="I1049">INDEX(H$5:H$67,MATCH($B1049,$B$5:$B$67,0))</f>
        <v>77.52</v>
      </c>
      <c r="J1049" s="25">
        <f t="array" ref="J1049">INDEX(I$5:I$67,MATCH($B1049,$B$5:$B$67,0))</f>
        <v>798</v>
      </c>
      <c r="K1049" s="25">
        <f t="array" ref="K1049">INDEX(J$5:J$67,MATCH($B1049,$B$5:$B$67,0))</f>
        <v>63.84</v>
      </c>
      <c r="L1049" s="25">
        <f t="shared" si="634"/>
        <v>9926</v>
      </c>
      <c r="M1049" s="25">
        <f t="shared" si="635"/>
        <v>1457</v>
      </c>
      <c r="N1049" s="25">
        <f t="shared" si="636"/>
        <v>1822</v>
      </c>
      <c r="O1049" s="25">
        <f t="shared" si="637"/>
        <v>1500</v>
      </c>
      <c r="R1049" s="50"/>
      <c r="S1049" s="51"/>
      <c r="T1049" s="29"/>
    </row>
    <row r="1050" spans="1:20">
      <c r="A1050" s="48">
        <v>1018012</v>
      </c>
      <c r="B1050" s="49" t="s">
        <v>347</v>
      </c>
      <c r="C1050" s="25">
        <f t="shared" si="633"/>
        <v>12</v>
      </c>
      <c r="D1050" s="25">
        <f t="array" ref="D1050">INDEX(C$5:C$67,MATCH($B1050,$B$5:$B$67,0))</f>
        <v>5280</v>
      </c>
      <c r="E1050" s="25">
        <f t="array" ref="E1050">INDEX(D$5:D$67,MATCH($B1050,$B$5:$B$67,0))</f>
        <v>422.4</v>
      </c>
      <c r="F1050" s="25">
        <f t="array" ref="F1050">INDEX(E$5:E$67,MATCH($B1050,$B$5:$B$67,0))</f>
        <v>775</v>
      </c>
      <c r="G1050" s="25">
        <f t="array" ref="G1050">INDEX(F$5:F$67,MATCH($B1050,$B$5:$B$67,0))</f>
        <v>62</v>
      </c>
      <c r="H1050" s="25">
        <f t="array" ref="H1050">INDEX(G$5:G$66,MATCH($B1050,$B$5:$B$67,0))</f>
        <v>969</v>
      </c>
      <c r="I1050" s="25">
        <f t="array" ref="I1050">INDEX(H$5:H$67,MATCH($B1050,$B$5:$B$67,0))</f>
        <v>77.52</v>
      </c>
      <c r="J1050" s="25">
        <f t="array" ref="J1050">INDEX(I$5:I$67,MATCH($B1050,$B$5:$B$67,0))</f>
        <v>798</v>
      </c>
      <c r="K1050" s="25">
        <f t="array" ref="K1050">INDEX(J$5:J$67,MATCH($B1050,$B$5:$B$67,0))</f>
        <v>63.84</v>
      </c>
      <c r="L1050" s="25">
        <f t="shared" si="634"/>
        <v>10349</v>
      </c>
      <c r="M1050" s="25">
        <f t="shared" si="635"/>
        <v>1519</v>
      </c>
      <c r="N1050" s="25">
        <f t="shared" si="636"/>
        <v>1899</v>
      </c>
      <c r="O1050" s="25">
        <f t="shared" si="637"/>
        <v>1564</v>
      </c>
      <c r="R1050" s="50"/>
      <c r="S1050" s="51"/>
      <c r="T1050" s="29"/>
    </row>
    <row r="1051" spans="1:20">
      <c r="A1051" s="48">
        <v>1018013</v>
      </c>
      <c r="B1051" s="49" t="s">
        <v>347</v>
      </c>
      <c r="C1051" s="25">
        <f t="shared" si="633"/>
        <v>13</v>
      </c>
      <c r="D1051" s="25">
        <f t="array" ref="D1051">INDEX(C$5:C$67,MATCH($B1051,$B$5:$B$67,0))</f>
        <v>5280</v>
      </c>
      <c r="E1051" s="25">
        <f t="array" ref="E1051">INDEX(D$5:D$67,MATCH($B1051,$B$5:$B$67,0))</f>
        <v>422.4</v>
      </c>
      <c r="F1051" s="25">
        <f t="array" ref="F1051">INDEX(E$5:E$67,MATCH($B1051,$B$5:$B$67,0))</f>
        <v>775</v>
      </c>
      <c r="G1051" s="25">
        <f t="array" ref="G1051">INDEX(F$5:F$67,MATCH($B1051,$B$5:$B$67,0))</f>
        <v>62</v>
      </c>
      <c r="H1051" s="25">
        <f t="array" ref="H1051">INDEX(G$5:G$66,MATCH($B1051,$B$5:$B$67,0))</f>
        <v>969</v>
      </c>
      <c r="I1051" s="25">
        <f t="array" ref="I1051">INDEX(H$5:H$67,MATCH($B1051,$B$5:$B$67,0))</f>
        <v>77.52</v>
      </c>
      <c r="J1051" s="25">
        <f t="array" ref="J1051">INDEX(I$5:I$67,MATCH($B1051,$B$5:$B$67,0))</f>
        <v>798</v>
      </c>
      <c r="K1051" s="25">
        <f t="array" ref="K1051">INDEX(J$5:J$67,MATCH($B1051,$B$5:$B$67,0))</f>
        <v>63.84</v>
      </c>
      <c r="L1051" s="25">
        <f t="shared" si="634"/>
        <v>10771</v>
      </c>
      <c r="M1051" s="25">
        <f t="shared" si="635"/>
        <v>1581</v>
      </c>
      <c r="N1051" s="25">
        <f t="shared" si="636"/>
        <v>1977</v>
      </c>
      <c r="O1051" s="25">
        <f t="shared" si="637"/>
        <v>1628</v>
      </c>
      <c r="R1051" s="50"/>
      <c r="S1051" s="51"/>
      <c r="T1051" s="29"/>
    </row>
    <row r="1052" spans="1:20">
      <c r="A1052" s="48">
        <v>1018014</v>
      </c>
      <c r="B1052" s="49" t="s">
        <v>347</v>
      </c>
      <c r="C1052" s="25">
        <f t="shared" si="633"/>
        <v>14</v>
      </c>
      <c r="D1052" s="25">
        <f t="array" ref="D1052">INDEX(C$5:C$67,MATCH($B1052,$B$5:$B$67,0))</f>
        <v>5280</v>
      </c>
      <c r="E1052" s="25">
        <f t="array" ref="E1052">INDEX(D$5:D$67,MATCH($B1052,$B$5:$B$67,0))</f>
        <v>422.4</v>
      </c>
      <c r="F1052" s="25">
        <f t="array" ref="F1052">INDEX(E$5:E$67,MATCH($B1052,$B$5:$B$67,0))</f>
        <v>775</v>
      </c>
      <c r="G1052" s="25">
        <f t="array" ref="G1052">INDEX(F$5:F$67,MATCH($B1052,$B$5:$B$67,0))</f>
        <v>62</v>
      </c>
      <c r="H1052" s="25">
        <f t="array" ref="H1052">INDEX(G$5:G$66,MATCH($B1052,$B$5:$B$67,0))</f>
        <v>969</v>
      </c>
      <c r="I1052" s="25">
        <f t="array" ref="I1052">INDEX(H$5:H$67,MATCH($B1052,$B$5:$B$67,0))</f>
        <v>77.52</v>
      </c>
      <c r="J1052" s="25">
        <f t="array" ref="J1052">INDEX(I$5:I$67,MATCH($B1052,$B$5:$B$67,0))</f>
        <v>798</v>
      </c>
      <c r="K1052" s="25">
        <f t="array" ref="K1052">INDEX(J$5:J$67,MATCH($B1052,$B$5:$B$67,0))</f>
        <v>63.84</v>
      </c>
      <c r="L1052" s="25">
        <f t="shared" si="634"/>
        <v>11194</v>
      </c>
      <c r="M1052" s="25">
        <f t="shared" si="635"/>
        <v>1643</v>
      </c>
      <c r="N1052" s="25">
        <f t="shared" si="636"/>
        <v>2054</v>
      </c>
      <c r="O1052" s="25">
        <f t="shared" si="637"/>
        <v>1692</v>
      </c>
      <c r="R1052" s="50"/>
      <c r="S1052" s="51"/>
      <c r="T1052" s="29"/>
    </row>
    <row r="1053" spans="1:20">
      <c r="A1053" s="48">
        <v>1018015</v>
      </c>
      <c r="B1053" s="49" t="s">
        <v>347</v>
      </c>
      <c r="C1053" s="25">
        <f t="shared" si="633"/>
        <v>15</v>
      </c>
      <c r="D1053" s="25">
        <f t="array" ref="D1053">INDEX(C$5:C$67,MATCH($B1053,$B$5:$B$67,0))</f>
        <v>5280</v>
      </c>
      <c r="E1053" s="25">
        <f t="array" ref="E1053">INDEX(D$5:D$67,MATCH($B1053,$B$5:$B$67,0))</f>
        <v>422.4</v>
      </c>
      <c r="F1053" s="25">
        <f t="array" ref="F1053">INDEX(E$5:E$67,MATCH($B1053,$B$5:$B$67,0))</f>
        <v>775</v>
      </c>
      <c r="G1053" s="25">
        <f t="array" ref="G1053">INDEX(F$5:F$67,MATCH($B1053,$B$5:$B$67,0))</f>
        <v>62</v>
      </c>
      <c r="H1053" s="25">
        <f t="array" ref="H1053">INDEX(G$5:G$66,MATCH($B1053,$B$5:$B$67,0))</f>
        <v>969</v>
      </c>
      <c r="I1053" s="25">
        <f t="array" ref="I1053">INDEX(H$5:H$67,MATCH($B1053,$B$5:$B$67,0))</f>
        <v>77.52</v>
      </c>
      <c r="J1053" s="25">
        <f t="array" ref="J1053">INDEX(I$5:I$67,MATCH($B1053,$B$5:$B$67,0))</f>
        <v>798</v>
      </c>
      <c r="K1053" s="25">
        <f t="array" ref="K1053">INDEX(J$5:J$67,MATCH($B1053,$B$5:$B$67,0))</f>
        <v>63.84</v>
      </c>
      <c r="L1053" s="25">
        <f t="shared" si="634"/>
        <v>11616</v>
      </c>
      <c r="M1053" s="25">
        <f t="shared" si="635"/>
        <v>1705</v>
      </c>
      <c r="N1053" s="25">
        <f t="shared" si="636"/>
        <v>2132</v>
      </c>
      <c r="O1053" s="25">
        <f t="shared" si="637"/>
        <v>1756</v>
      </c>
      <c r="R1053" s="50"/>
      <c r="S1053" s="51"/>
      <c r="T1053" s="29"/>
    </row>
    <row r="1054" spans="1:20">
      <c r="A1054" s="48">
        <v>1018016</v>
      </c>
      <c r="B1054" s="49" t="s">
        <v>347</v>
      </c>
      <c r="C1054" s="25">
        <f t="shared" si="633"/>
        <v>16</v>
      </c>
      <c r="D1054" s="25">
        <f t="array" ref="D1054">INDEX(C$5:C$67,MATCH($B1054,$B$5:$B$67,0))</f>
        <v>5280</v>
      </c>
      <c r="E1054" s="25">
        <f t="array" ref="E1054">INDEX(D$5:D$67,MATCH($B1054,$B$5:$B$67,0))</f>
        <v>422.4</v>
      </c>
      <c r="F1054" s="25">
        <f t="array" ref="F1054">INDEX(E$5:E$67,MATCH($B1054,$B$5:$B$67,0))</f>
        <v>775</v>
      </c>
      <c r="G1054" s="25">
        <f t="array" ref="G1054">INDEX(F$5:F$67,MATCH($B1054,$B$5:$B$67,0))</f>
        <v>62</v>
      </c>
      <c r="H1054" s="25">
        <f t="array" ref="H1054">INDEX(G$5:G$66,MATCH($B1054,$B$5:$B$67,0))</f>
        <v>969</v>
      </c>
      <c r="I1054" s="25">
        <f t="array" ref="I1054">INDEX(H$5:H$67,MATCH($B1054,$B$5:$B$67,0))</f>
        <v>77.52</v>
      </c>
      <c r="J1054" s="25">
        <f t="array" ref="J1054">INDEX(I$5:I$67,MATCH($B1054,$B$5:$B$67,0))</f>
        <v>798</v>
      </c>
      <c r="K1054" s="25">
        <f t="array" ref="K1054">INDEX(J$5:J$67,MATCH($B1054,$B$5:$B$67,0))</f>
        <v>63.84</v>
      </c>
      <c r="L1054" s="25">
        <f t="shared" si="634"/>
        <v>12038</v>
      </c>
      <c r="M1054" s="25">
        <f t="shared" si="635"/>
        <v>1767</v>
      </c>
      <c r="N1054" s="25">
        <f t="shared" si="636"/>
        <v>2209</v>
      </c>
      <c r="O1054" s="25">
        <f t="shared" si="637"/>
        <v>1819</v>
      </c>
      <c r="R1054" s="50"/>
      <c r="S1054" s="51"/>
      <c r="T1054" s="29"/>
    </row>
    <row r="1055" spans="1:20">
      <c r="A1055" s="48">
        <v>1018017</v>
      </c>
      <c r="B1055" s="49" t="s">
        <v>347</v>
      </c>
      <c r="C1055" s="25">
        <f t="shared" si="633"/>
        <v>17</v>
      </c>
      <c r="D1055" s="25">
        <f t="array" ref="D1055">INDEX(C$5:C$67,MATCH($B1055,$B$5:$B$67,0))</f>
        <v>5280</v>
      </c>
      <c r="E1055" s="25">
        <f t="array" ref="E1055">INDEX(D$5:D$67,MATCH($B1055,$B$5:$B$67,0))</f>
        <v>422.4</v>
      </c>
      <c r="F1055" s="25">
        <f t="array" ref="F1055">INDEX(E$5:E$67,MATCH($B1055,$B$5:$B$67,0))</f>
        <v>775</v>
      </c>
      <c r="G1055" s="25">
        <f t="array" ref="G1055">INDEX(F$5:F$67,MATCH($B1055,$B$5:$B$67,0))</f>
        <v>62</v>
      </c>
      <c r="H1055" s="25">
        <f t="array" ref="H1055">INDEX(G$5:G$66,MATCH($B1055,$B$5:$B$67,0))</f>
        <v>969</v>
      </c>
      <c r="I1055" s="25">
        <f t="array" ref="I1055">INDEX(H$5:H$67,MATCH($B1055,$B$5:$B$67,0))</f>
        <v>77.52</v>
      </c>
      <c r="J1055" s="25">
        <f t="array" ref="J1055">INDEX(I$5:I$67,MATCH($B1055,$B$5:$B$67,0))</f>
        <v>798</v>
      </c>
      <c r="K1055" s="25">
        <f t="array" ref="K1055">INDEX(J$5:J$67,MATCH($B1055,$B$5:$B$67,0))</f>
        <v>63.84</v>
      </c>
      <c r="L1055" s="25">
        <f t="shared" si="634"/>
        <v>12461</v>
      </c>
      <c r="M1055" s="25">
        <f t="shared" si="635"/>
        <v>1829</v>
      </c>
      <c r="N1055" s="25">
        <f t="shared" si="636"/>
        <v>2287</v>
      </c>
      <c r="O1055" s="25">
        <f t="shared" si="637"/>
        <v>1883</v>
      </c>
      <c r="R1055" s="50"/>
      <c r="S1055" s="51"/>
      <c r="T1055" s="29"/>
    </row>
    <row r="1056" spans="1:20">
      <c r="A1056" s="48">
        <v>1018018</v>
      </c>
      <c r="B1056" s="49" t="s">
        <v>347</v>
      </c>
      <c r="C1056" s="25">
        <f t="shared" si="633"/>
        <v>18</v>
      </c>
      <c r="D1056" s="25">
        <f t="array" ref="D1056">INDEX(C$5:C$67,MATCH($B1056,$B$5:$B$67,0))</f>
        <v>5280</v>
      </c>
      <c r="E1056" s="25">
        <f t="array" ref="E1056">INDEX(D$5:D$67,MATCH($B1056,$B$5:$B$67,0))</f>
        <v>422.4</v>
      </c>
      <c r="F1056" s="25">
        <f t="array" ref="F1056">INDEX(E$5:E$67,MATCH($B1056,$B$5:$B$67,0))</f>
        <v>775</v>
      </c>
      <c r="G1056" s="25">
        <f t="array" ref="G1056">INDEX(F$5:F$67,MATCH($B1056,$B$5:$B$67,0))</f>
        <v>62</v>
      </c>
      <c r="H1056" s="25">
        <f t="array" ref="H1056">INDEX(G$5:G$66,MATCH($B1056,$B$5:$B$67,0))</f>
        <v>969</v>
      </c>
      <c r="I1056" s="25">
        <f t="array" ref="I1056">INDEX(H$5:H$67,MATCH($B1056,$B$5:$B$67,0))</f>
        <v>77.52</v>
      </c>
      <c r="J1056" s="25">
        <f t="array" ref="J1056">INDEX(I$5:I$67,MATCH($B1056,$B$5:$B$67,0))</f>
        <v>798</v>
      </c>
      <c r="K1056" s="25">
        <f t="array" ref="K1056">INDEX(J$5:J$67,MATCH($B1056,$B$5:$B$67,0))</f>
        <v>63.84</v>
      </c>
      <c r="L1056" s="25">
        <f t="shared" si="634"/>
        <v>12883</v>
      </c>
      <c r="M1056" s="25">
        <f t="shared" si="635"/>
        <v>1891</v>
      </c>
      <c r="N1056" s="25">
        <f t="shared" si="636"/>
        <v>2364</v>
      </c>
      <c r="O1056" s="25">
        <f t="shared" si="637"/>
        <v>1947</v>
      </c>
      <c r="R1056" s="50"/>
      <c r="S1056" s="51"/>
      <c r="T1056" s="29"/>
    </row>
    <row r="1057" spans="1:20">
      <c r="A1057" s="48">
        <v>1018019</v>
      </c>
      <c r="B1057" s="49" t="s">
        <v>347</v>
      </c>
      <c r="C1057" s="25">
        <f t="shared" si="633"/>
        <v>19</v>
      </c>
      <c r="D1057" s="25">
        <f t="array" ref="D1057">INDEX(C$5:C$67,MATCH($B1057,$B$5:$B$67,0))</f>
        <v>5280</v>
      </c>
      <c r="E1057" s="25">
        <f t="array" ref="E1057">INDEX(D$5:D$67,MATCH($B1057,$B$5:$B$67,0))</f>
        <v>422.4</v>
      </c>
      <c r="F1057" s="25">
        <f t="array" ref="F1057">INDEX(E$5:E$67,MATCH($B1057,$B$5:$B$67,0))</f>
        <v>775</v>
      </c>
      <c r="G1057" s="25">
        <f t="array" ref="G1057">INDEX(F$5:F$67,MATCH($B1057,$B$5:$B$67,0))</f>
        <v>62</v>
      </c>
      <c r="H1057" s="25">
        <f t="array" ref="H1057">INDEX(G$5:G$66,MATCH($B1057,$B$5:$B$67,0))</f>
        <v>969</v>
      </c>
      <c r="I1057" s="25">
        <f t="array" ref="I1057">INDEX(H$5:H$67,MATCH($B1057,$B$5:$B$67,0))</f>
        <v>77.52</v>
      </c>
      <c r="J1057" s="25">
        <f t="array" ref="J1057">INDEX(I$5:I$67,MATCH($B1057,$B$5:$B$67,0))</f>
        <v>798</v>
      </c>
      <c r="K1057" s="25">
        <f t="array" ref="K1057">INDEX(J$5:J$67,MATCH($B1057,$B$5:$B$67,0))</f>
        <v>63.84</v>
      </c>
      <c r="L1057" s="25">
        <f t="shared" si="634"/>
        <v>13306</v>
      </c>
      <c r="M1057" s="25">
        <f t="shared" si="635"/>
        <v>1953</v>
      </c>
      <c r="N1057" s="25">
        <f t="shared" si="636"/>
        <v>2442</v>
      </c>
      <c r="O1057" s="25">
        <f t="shared" si="637"/>
        <v>2011</v>
      </c>
      <c r="R1057" s="50"/>
      <c r="S1057" s="51"/>
      <c r="T1057" s="29"/>
    </row>
    <row r="1058" spans="1:20">
      <c r="A1058" s="48">
        <v>1018020</v>
      </c>
      <c r="B1058" s="49" t="s">
        <v>347</v>
      </c>
      <c r="C1058" s="25">
        <f t="shared" si="633"/>
        <v>20</v>
      </c>
      <c r="D1058" s="25">
        <f t="array" ref="D1058">INDEX(C$5:C$67,MATCH($B1058,$B$5:$B$67,0))</f>
        <v>5280</v>
      </c>
      <c r="E1058" s="25">
        <f t="array" ref="E1058">INDEX(D$5:D$67,MATCH($B1058,$B$5:$B$67,0))</f>
        <v>422.4</v>
      </c>
      <c r="F1058" s="25">
        <f t="array" ref="F1058">INDEX(E$5:E$67,MATCH($B1058,$B$5:$B$67,0))</f>
        <v>775</v>
      </c>
      <c r="G1058" s="25">
        <f t="array" ref="G1058">INDEX(F$5:F$67,MATCH($B1058,$B$5:$B$67,0))</f>
        <v>62</v>
      </c>
      <c r="H1058" s="25">
        <f t="array" ref="H1058">INDEX(G$5:G$66,MATCH($B1058,$B$5:$B$67,0))</f>
        <v>969</v>
      </c>
      <c r="I1058" s="25">
        <f t="array" ref="I1058">INDEX(H$5:H$67,MATCH($B1058,$B$5:$B$67,0))</f>
        <v>77.52</v>
      </c>
      <c r="J1058" s="25">
        <f t="array" ref="J1058">INDEX(I$5:I$67,MATCH($B1058,$B$5:$B$67,0))</f>
        <v>798</v>
      </c>
      <c r="K1058" s="25">
        <f t="array" ref="K1058">INDEX(J$5:J$67,MATCH($B1058,$B$5:$B$67,0))</f>
        <v>63.84</v>
      </c>
      <c r="L1058" s="25">
        <f t="shared" si="634"/>
        <v>13728</v>
      </c>
      <c r="M1058" s="25">
        <f t="shared" si="635"/>
        <v>2015</v>
      </c>
      <c r="N1058" s="25">
        <f t="shared" si="636"/>
        <v>2519</v>
      </c>
      <c r="O1058" s="25">
        <f t="shared" si="637"/>
        <v>2075</v>
      </c>
      <c r="R1058" s="50"/>
      <c r="S1058" s="51"/>
      <c r="T1058" s="29"/>
    </row>
    <row r="1059" spans="1:20">
      <c r="A1059" s="48">
        <v>1018021</v>
      </c>
      <c r="B1059" s="49" t="s">
        <v>347</v>
      </c>
      <c r="C1059" s="25">
        <f t="shared" si="633"/>
        <v>21</v>
      </c>
      <c r="D1059" s="25">
        <f t="array" ref="D1059">INDEX(C$5:C$67,MATCH($B1059,$B$5:$B$67,0))</f>
        <v>5280</v>
      </c>
      <c r="E1059" s="25">
        <f t="array" ref="E1059">INDEX(D$5:D$67,MATCH($B1059,$B$5:$B$67,0))</f>
        <v>422.4</v>
      </c>
      <c r="F1059" s="25">
        <f t="array" ref="F1059">INDEX(E$5:E$67,MATCH($B1059,$B$5:$B$67,0))</f>
        <v>775</v>
      </c>
      <c r="G1059" s="25">
        <f t="array" ref="G1059">INDEX(F$5:F$67,MATCH($B1059,$B$5:$B$67,0))</f>
        <v>62</v>
      </c>
      <c r="H1059" s="25">
        <f t="array" ref="H1059">INDEX(G$5:G$66,MATCH($B1059,$B$5:$B$67,0))</f>
        <v>969</v>
      </c>
      <c r="I1059" s="25">
        <f t="array" ref="I1059">INDEX(H$5:H$67,MATCH($B1059,$B$5:$B$67,0))</f>
        <v>77.52</v>
      </c>
      <c r="J1059" s="25">
        <f t="array" ref="J1059">INDEX(I$5:I$67,MATCH($B1059,$B$5:$B$67,0))</f>
        <v>798</v>
      </c>
      <c r="K1059" s="25">
        <f t="array" ref="K1059">INDEX(J$5:J$67,MATCH($B1059,$B$5:$B$67,0))</f>
        <v>63.84</v>
      </c>
      <c r="L1059" s="25">
        <f t="shared" si="634"/>
        <v>14150</v>
      </c>
      <c r="M1059" s="25">
        <f t="shared" si="635"/>
        <v>2077</v>
      </c>
      <c r="N1059" s="25">
        <f t="shared" si="636"/>
        <v>2597</v>
      </c>
      <c r="O1059" s="25">
        <f t="shared" si="637"/>
        <v>2139</v>
      </c>
      <c r="R1059" s="50"/>
      <c r="S1059" s="51"/>
      <c r="T1059" s="29"/>
    </row>
    <row r="1060" spans="1:20">
      <c r="A1060" s="48">
        <v>1018022</v>
      </c>
      <c r="B1060" s="49" t="s">
        <v>347</v>
      </c>
      <c r="C1060" s="25">
        <f t="shared" si="633"/>
        <v>22</v>
      </c>
      <c r="D1060" s="25">
        <f t="array" ref="D1060">INDEX(C$5:C$67,MATCH($B1060,$B$5:$B$67,0))</f>
        <v>5280</v>
      </c>
      <c r="E1060" s="25">
        <f t="array" ref="E1060">INDEX(D$5:D$67,MATCH($B1060,$B$5:$B$67,0))</f>
        <v>422.4</v>
      </c>
      <c r="F1060" s="25">
        <f t="array" ref="F1060">INDEX(E$5:E$67,MATCH($B1060,$B$5:$B$67,0))</f>
        <v>775</v>
      </c>
      <c r="G1060" s="25">
        <f t="array" ref="G1060">INDEX(F$5:F$67,MATCH($B1060,$B$5:$B$67,0))</f>
        <v>62</v>
      </c>
      <c r="H1060" s="25">
        <f t="array" ref="H1060">INDEX(G$5:G$66,MATCH($B1060,$B$5:$B$67,0))</f>
        <v>969</v>
      </c>
      <c r="I1060" s="25">
        <f t="array" ref="I1060">INDEX(H$5:H$67,MATCH($B1060,$B$5:$B$67,0))</f>
        <v>77.52</v>
      </c>
      <c r="J1060" s="25">
        <f t="array" ref="J1060">INDEX(I$5:I$67,MATCH($B1060,$B$5:$B$67,0))</f>
        <v>798</v>
      </c>
      <c r="K1060" s="25">
        <f t="array" ref="K1060">INDEX(J$5:J$67,MATCH($B1060,$B$5:$B$67,0))</f>
        <v>63.84</v>
      </c>
      <c r="L1060" s="25">
        <f t="shared" si="634"/>
        <v>14573</v>
      </c>
      <c r="M1060" s="25">
        <f t="shared" si="635"/>
        <v>2139</v>
      </c>
      <c r="N1060" s="25">
        <f t="shared" si="636"/>
        <v>2674</v>
      </c>
      <c r="O1060" s="25">
        <f t="shared" si="637"/>
        <v>2202</v>
      </c>
      <c r="R1060" s="50"/>
      <c r="S1060" s="51"/>
      <c r="T1060" s="29"/>
    </row>
    <row r="1061" spans="1:20">
      <c r="A1061" s="48">
        <v>1018023</v>
      </c>
      <c r="B1061" s="49" t="s">
        <v>347</v>
      </c>
      <c r="C1061" s="25">
        <f t="shared" si="633"/>
        <v>23</v>
      </c>
      <c r="D1061" s="25">
        <f t="array" ref="D1061">INDEX(C$5:C$67,MATCH($B1061,$B$5:$B$67,0))</f>
        <v>5280</v>
      </c>
      <c r="E1061" s="25">
        <f t="array" ref="E1061">INDEX(D$5:D$67,MATCH($B1061,$B$5:$B$67,0))</f>
        <v>422.4</v>
      </c>
      <c r="F1061" s="25">
        <f t="array" ref="F1061">INDEX(E$5:E$67,MATCH($B1061,$B$5:$B$67,0))</f>
        <v>775</v>
      </c>
      <c r="G1061" s="25">
        <f t="array" ref="G1061">INDEX(F$5:F$67,MATCH($B1061,$B$5:$B$67,0))</f>
        <v>62</v>
      </c>
      <c r="H1061" s="25">
        <f t="array" ref="H1061">INDEX(G$5:G$66,MATCH($B1061,$B$5:$B$67,0))</f>
        <v>969</v>
      </c>
      <c r="I1061" s="25">
        <f t="array" ref="I1061">INDEX(H$5:H$67,MATCH($B1061,$B$5:$B$67,0))</f>
        <v>77.52</v>
      </c>
      <c r="J1061" s="25">
        <f t="array" ref="J1061">INDEX(I$5:I$67,MATCH($B1061,$B$5:$B$67,0))</f>
        <v>798</v>
      </c>
      <c r="K1061" s="25">
        <f t="array" ref="K1061">INDEX(J$5:J$67,MATCH($B1061,$B$5:$B$67,0))</f>
        <v>63.84</v>
      </c>
      <c r="L1061" s="25">
        <f t="shared" si="634"/>
        <v>14995</v>
      </c>
      <c r="M1061" s="25">
        <f t="shared" si="635"/>
        <v>2201</v>
      </c>
      <c r="N1061" s="25">
        <f t="shared" si="636"/>
        <v>2752</v>
      </c>
      <c r="O1061" s="25">
        <f t="shared" si="637"/>
        <v>2266</v>
      </c>
      <c r="R1061" s="50"/>
      <c r="S1061" s="51"/>
      <c r="T1061" s="29"/>
    </row>
    <row r="1062" spans="1:20">
      <c r="A1062" s="48">
        <v>1018024</v>
      </c>
      <c r="B1062" s="49" t="s">
        <v>347</v>
      </c>
      <c r="C1062" s="25">
        <f t="shared" si="633"/>
        <v>24</v>
      </c>
      <c r="D1062" s="25">
        <f t="array" ref="D1062">INDEX(C$5:C$67,MATCH($B1062,$B$5:$B$67,0))</f>
        <v>5280</v>
      </c>
      <c r="E1062" s="25">
        <f t="array" ref="E1062">INDEX(D$5:D$67,MATCH($B1062,$B$5:$B$67,0))</f>
        <v>422.4</v>
      </c>
      <c r="F1062" s="25">
        <f t="array" ref="F1062">INDEX(E$5:E$67,MATCH($B1062,$B$5:$B$67,0))</f>
        <v>775</v>
      </c>
      <c r="G1062" s="25">
        <f t="array" ref="G1062">INDEX(F$5:F$67,MATCH($B1062,$B$5:$B$67,0))</f>
        <v>62</v>
      </c>
      <c r="H1062" s="25">
        <f t="array" ref="H1062">INDEX(G$5:G$66,MATCH($B1062,$B$5:$B$67,0))</f>
        <v>969</v>
      </c>
      <c r="I1062" s="25">
        <f t="array" ref="I1062">INDEX(H$5:H$67,MATCH($B1062,$B$5:$B$67,0))</f>
        <v>77.52</v>
      </c>
      <c r="J1062" s="25">
        <f t="array" ref="J1062">INDEX(I$5:I$67,MATCH($B1062,$B$5:$B$67,0))</f>
        <v>798</v>
      </c>
      <c r="K1062" s="25">
        <f t="array" ref="K1062">INDEX(J$5:J$67,MATCH($B1062,$B$5:$B$67,0))</f>
        <v>63.84</v>
      </c>
      <c r="L1062" s="25">
        <f t="shared" si="634"/>
        <v>15418</v>
      </c>
      <c r="M1062" s="25">
        <f t="shared" si="635"/>
        <v>2263</v>
      </c>
      <c r="N1062" s="25">
        <f t="shared" si="636"/>
        <v>2829</v>
      </c>
      <c r="O1062" s="25">
        <f t="shared" si="637"/>
        <v>2330</v>
      </c>
      <c r="R1062" s="50"/>
      <c r="S1062" s="51"/>
      <c r="T1062" s="29"/>
    </row>
    <row r="1063" spans="1:20">
      <c r="A1063" s="48">
        <v>1018025</v>
      </c>
      <c r="B1063" s="49" t="s">
        <v>347</v>
      </c>
      <c r="C1063" s="25">
        <f t="shared" si="633"/>
        <v>25</v>
      </c>
      <c r="D1063" s="25">
        <f t="array" ref="D1063">INDEX(C$5:C$67,MATCH($B1063,$B$5:$B$67,0))</f>
        <v>5280</v>
      </c>
      <c r="E1063" s="25">
        <f t="array" ref="E1063">INDEX(D$5:D$67,MATCH($B1063,$B$5:$B$67,0))</f>
        <v>422.4</v>
      </c>
      <c r="F1063" s="25">
        <f t="array" ref="F1063">INDEX(E$5:E$67,MATCH($B1063,$B$5:$B$67,0))</f>
        <v>775</v>
      </c>
      <c r="G1063" s="25">
        <f t="array" ref="G1063">INDEX(F$5:F$67,MATCH($B1063,$B$5:$B$67,0))</f>
        <v>62</v>
      </c>
      <c r="H1063" s="25">
        <f t="array" ref="H1063">INDEX(G$5:G$66,MATCH($B1063,$B$5:$B$67,0))</f>
        <v>969</v>
      </c>
      <c r="I1063" s="25">
        <f t="array" ref="I1063">INDEX(H$5:H$67,MATCH($B1063,$B$5:$B$67,0))</f>
        <v>77.52</v>
      </c>
      <c r="J1063" s="25">
        <f t="array" ref="J1063">INDEX(I$5:I$67,MATCH($B1063,$B$5:$B$67,0))</f>
        <v>798</v>
      </c>
      <c r="K1063" s="25">
        <f t="array" ref="K1063">INDEX(J$5:J$67,MATCH($B1063,$B$5:$B$67,0))</f>
        <v>63.84</v>
      </c>
      <c r="L1063" s="25">
        <f t="shared" si="634"/>
        <v>15840</v>
      </c>
      <c r="M1063" s="25">
        <f t="shared" si="635"/>
        <v>2325</v>
      </c>
      <c r="N1063" s="25">
        <f t="shared" si="636"/>
        <v>2907</v>
      </c>
      <c r="O1063" s="25">
        <f t="shared" si="637"/>
        <v>2394</v>
      </c>
      <c r="R1063" s="50"/>
      <c r="S1063" s="51"/>
      <c r="T1063" s="29"/>
    </row>
    <row r="1064" spans="1:20">
      <c r="A1064" s="48">
        <v>1018026</v>
      </c>
      <c r="B1064" s="49" t="s">
        <v>347</v>
      </c>
      <c r="C1064" s="25">
        <f t="shared" si="633"/>
        <v>26</v>
      </c>
      <c r="D1064" s="25">
        <f t="array" ref="D1064">INDEX(C$5:C$67,MATCH($B1064,$B$5:$B$67,0))</f>
        <v>5280</v>
      </c>
      <c r="E1064" s="25">
        <f t="array" ref="E1064">INDEX(D$5:D$67,MATCH($B1064,$B$5:$B$67,0))</f>
        <v>422.4</v>
      </c>
      <c r="F1064" s="25">
        <f t="array" ref="F1064">INDEX(E$5:E$67,MATCH($B1064,$B$5:$B$67,0))</f>
        <v>775</v>
      </c>
      <c r="G1064" s="25">
        <f t="array" ref="G1064">INDEX(F$5:F$67,MATCH($B1064,$B$5:$B$67,0))</f>
        <v>62</v>
      </c>
      <c r="H1064" s="25">
        <f t="array" ref="H1064">INDEX(G$5:G$66,MATCH($B1064,$B$5:$B$67,0))</f>
        <v>969</v>
      </c>
      <c r="I1064" s="25">
        <f t="array" ref="I1064">INDEX(H$5:H$67,MATCH($B1064,$B$5:$B$67,0))</f>
        <v>77.52</v>
      </c>
      <c r="J1064" s="25">
        <f t="array" ref="J1064">INDEX(I$5:I$67,MATCH($B1064,$B$5:$B$67,0))</f>
        <v>798</v>
      </c>
      <c r="K1064" s="25">
        <f t="array" ref="K1064">INDEX(J$5:J$67,MATCH($B1064,$B$5:$B$67,0))</f>
        <v>63.84</v>
      </c>
      <c r="L1064" s="25">
        <f t="shared" si="634"/>
        <v>16262</v>
      </c>
      <c r="M1064" s="25">
        <f t="shared" si="635"/>
        <v>2387</v>
      </c>
      <c r="N1064" s="25">
        <f t="shared" si="636"/>
        <v>2985</v>
      </c>
      <c r="O1064" s="25">
        <f t="shared" si="637"/>
        <v>2458</v>
      </c>
      <c r="R1064" s="50"/>
      <c r="S1064" s="51"/>
      <c r="T1064" s="29"/>
    </row>
    <row r="1065" spans="1:20">
      <c r="A1065" s="48">
        <v>1018027</v>
      </c>
      <c r="B1065" s="49" t="s">
        <v>347</v>
      </c>
      <c r="C1065" s="25">
        <f t="shared" si="633"/>
        <v>27</v>
      </c>
      <c r="D1065" s="25">
        <f t="array" ref="D1065">INDEX(C$5:C$67,MATCH($B1065,$B$5:$B$67,0))</f>
        <v>5280</v>
      </c>
      <c r="E1065" s="25">
        <f t="array" ref="E1065">INDEX(D$5:D$67,MATCH($B1065,$B$5:$B$67,0))</f>
        <v>422.4</v>
      </c>
      <c r="F1065" s="25">
        <f t="array" ref="F1065">INDEX(E$5:E$67,MATCH($B1065,$B$5:$B$67,0))</f>
        <v>775</v>
      </c>
      <c r="G1065" s="25">
        <f t="array" ref="G1065">INDEX(F$5:F$67,MATCH($B1065,$B$5:$B$67,0))</f>
        <v>62</v>
      </c>
      <c r="H1065" s="25">
        <f t="array" ref="H1065">INDEX(G$5:G$66,MATCH($B1065,$B$5:$B$67,0))</f>
        <v>969</v>
      </c>
      <c r="I1065" s="25">
        <f t="array" ref="I1065">INDEX(H$5:H$67,MATCH($B1065,$B$5:$B$67,0))</f>
        <v>77.52</v>
      </c>
      <c r="J1065" s="25">
        <f t="array" ref="J1065">INDEX(I$5:I$67,MATCH($B1065,$B$5:$B$67,0))</f>
        <v>798</v>
      </c>
      <c r="K1065" s="25">
        <f t="array" ref="K1065">INDEX(J$5:J$67,MATCH($B1065,$B$5:$B$67,0))</f>
        <v>63.84</v>
      </c>
      <c r="L1065" s="25">
        <f t="shared" si="634"/>
        <v>16685</v>
      </c>
      <c r="M1065" s="25">
        <f t="shared" si="635"/>
        <v>2449</v>
      </c>
      <c r="N1065" s="25">
        <f t="shared" si="636"/>
        <v>3062</v>
      </c>
      <c r="O1065" s="25">
        <f t="shared" si="637"/>
        <v>2522</v>
      </c>
      <c r="R1065" s="50"/>
      <c r="S1065" s="51"/>
      <c r="T1065" s="29"/>
    </row>
    <row r="1066" spans="1:20">
      <c r="A1066" s="48">
        <v>1018028</v>
      </c>
      <c r="B1066" s="49" t="s">
        <v>347</v>
      </c>
      <c r="C1066" s="25">
        <f t="shared" si="633"/>
        <v>28</v>
      </c>
      <c r="D1066" s="25">
        <f t="array" ref="D1066">INDEX(C$5:C$67,MATCH($B1066,$B$5:$B$67,0))</f>
        <v>5280</v>
      </c>
      <c r="E1066" s="25">
        <f t="array" ref="E1066">INDEX(D$5:D$67,MATCH($B1066,$B$5:$B$67,0))</f>
        <v>422.4</v>
      </c>
      <c r="F1066" s="25">
        <f t="array" ref="F1066">INDEX(E$5:E$67,MATCH($B1066,$B$5:$B$67,0))</f>
        <v>775</v>
      </c>
      <c r="G1066" s="25">
        <f t="array" ref="G1066">INDEX(F$5:F$67,MATCH($B1066,$B$5:$B$67,0))</f>
        <v>62</v>
      </c>
      <c r="H1066" s="25">
        <f t="array" ref="H1066">INDEX(G$5:G$66,MATCH($B1066,$B$5:$B$67,0))</f>
        <v>969</v>
      </c>
      <c r="I1066" s="25">
        <f t="array" ref="I1066">INDEX(H$5:H$67,MATCH($B1066,$B$5:$B$67,0))</f>
        <v>77.52</v>
      </c>
      <c r="J1066" s="25">
        <f t="array" ref="J1066">INDEX(I$5:I$67,MATCH($B1066,$B$5:$B$67,0))</f>
        <v>798</v>
      </c>
      <c r="K1066" s="25">
        <f t="array" ref="K1066">INDEX(J$5:J$67,MATCH($B1066,$B$5:$B$67,0))</f>
        <v>63.84</v>
      </c>
      <c r="L1066" s="25">
        <f t="shared" si="634"/>
        <v>17107</v>
      </c>
      <c r="M1066" s="25">
        <f t="shared" si="635"/>
        <v>2511</v>
      </c>
      <c r="N1066" s="25">
        <f t="shared" si="636"/>
        <v>3140</v>
      </c>
      <c r="O1066" s="25">
        <f t="shared" si="637"/>
        <v>2586</v>
      </c>
      <c r="R1066" s="50"/>
      <c r="S1066" s="51"/>
      <c r="T1066" s="29"/>
    </row>
    <row r="1067" spans="1:20">
      <c r="A1067" s="48">
        <v>1018029</v>
      </c>
      <c r="B1067" s="49" t="s">
        <v>347</v>
      </c>
      <c r="C1067" s="25">
        <f t="shared" si="633"/>
        <v>29</v>
      </c>
      <c r="D1067" s="25">
        <f t="array" ref="D1067">INDEX(C$5:C$67,MATCH($B1067,$B$5:$B$67,0))</f>
        <v>5280</v>
      </c>
      <c r="E1067" s="25">
        <f t="array" ref="E1067">INDEX(D$5:D$67,MATCH($B1067,$B$5:$B$67,0))</f>
        <v>422.4</v>
      </c>
      <c r="F1067" s="25">
        <f t="array" ref="F1067">INDEX(E$5:E$67,MATCH($B1067,$B$5:$B$67,0))</f>
        <v>775</v>
      </c>
      <c r="G1067" s="25">
        <f t="array" ref="G1067">INDEX(F$5:F$67,MATCH($B1067,$B$5:$B$67,0))</f>
        <v>62</v>
      </c>
      <c r="H1067" s="25">
        <f t="array" ref="H1067">INDEX(G$5:G$66,MATCH($B1067,$B$5:$B$67,0))</f>
        <v>969</v>
      </c>
      <c r="I1067" s="25">
        <f t="array" ref="I1067">INDEX(H$5:H$67,MATCH($B1067,$B$5:$B$67,0))</f>
        <v>77.52</v>
      </c>
      <c r="J1067" s="25">
        <f t="array" ref="J1067">INDEX(I$5:I$67,MATCH($B1067,$B$5:$B$67,0))</f>
        <v>798</v>
      </c>
      <c r="K1067" s="25">
        <f t="array" ref="K1067">INDEX(J$5:J$67,MATCH($B1067,$B$5:$B$67,0))</f>
        <v>63.84</v>
      </c>
      <c r="L1067" s="25">
        <f t="shared" si="634"/>
        <v>17530</v>
      </c>
      <c r="M1067" s="25">
        <f t="shared" si="635"/>
        <v>2573</v>
      </c>
      <c r="N1067" s="25">
        <f t="shared" si="636"/>
        <v>3217</v>
      </c>
      <c r="O1067" s="25">
        <f t="shared" si="637"/>
        <v>2649</v>
      </c>
      <c r="R1067" s="50"/>
      <c r="S1067" s="51"/>
      <c r="T1067" s="29"/>
    </row>
    <row r="1068" spans="1:20">
      <c r="A1068" s="48">
        <v>1018030</v>
      </c>
      <c r="B1068" s="49" t="s">
        <v>347</v>
      </c>
      <c r="C1068" s="25">
        <f t="shared" si="633"/>
        <v>30</v>
      </c>
      <c r="D1068" s="25">
        <f t="array" ref="D1068">INDEX(C$5:C$67,MATCH($B1068,$B$5:$B$67,0))</f>
        <v>5280</v>
      </c>
      <c r="E1068" s="25">
        <f t="array" ref="E1068">INDEX(D$5:D$67,MATCH($B1068,$B$5:$B$67,0))</f>
        <v>422.4</v>
      </c>
      <c r="F1068" s="25">
        <f t="array" ref="F1068">INDEX(E$5:E$67,MATCH($B1068,$B$5:$B$67,0))</f>
        <v>775</v>
      </c>
      <c r="G1068" s="25">
        <f t="array" ref="G1068">INDEX(F$5:F$67,MATCH($B1068,$B$5:$B$67,0))</f>
        <v>62</v>
      </c>
      <c r="H1068" s="25">
        <f t="array" ref="H1068">INDEX(G$5:G$66,MATCH($B1068,$B$5:$B$67,0))</f>
        <v>969</v>
      </c>
      <c r="I1068" s="25">
        <f t="array" ref="I1068">INDEX(H$5:H$67,MATCH($B1068,$B$5:$B$67,0))</f>
        <v>77.52</v>
      </c>
      <c r="J1068" s="25">
        <f t="array" ref="J1068">INDEX(I$5:I$67,MATCH($B1068,$B$5:$B$67,0))</f>
        <v>798</v>
      </c>
      <c r="K1068" s="25">
        <f t="array" ref="K1068">INDEX(J$5:J$67,MATCH($B1068,$B$5:$B$67,0))</f>
        <v>63.84</v>
      </c>
      <c r="L1068" s="25">
        <f t="shared" si="634"/>
        <v>17952</v>
      </c>
      <c r="M1068" s="25">
        <f t="shared" si="635"/>
        <v>2635</v>
      </c>
      <c r="N1068" s="25">
        <f t="shared" si="636"/>
        <v>3295</v>
      </c>
      <c r="O1068" s="25">
        <f t="shared" si="637"/>
        <v>2713</v>
      </c>
      <c r="R1068" s="50"/>
      <c r="S1068" s="51"/>
      <c r="T1068" s="29"/>
    </row>
    <row r="1069" spans="1:20">
      <c r="A1069" s="48">
        <v>1018031</v>
      </c>
      <c r="B1069" s="49" t="s">
        <v>347</v>
      </c>
      <c r="C1069" s="25">
        <f t="shared" si="633"/>
        <v>31</v>
      </c>
      <c r="D1069" s="25">
        <f t="array" ref="D1069">INDEX(C$5:C$67,MATCH($B1069,$B$5:$B$67,0))</f>
        <v>5280</v>
      </c>
      <c r="E1069" s="25">
        <f t="array" ref="E1069">INDEX(D$5:D$67,MATCH($B1069,$B$5:$B$67,0))</f>
        <v>422.4</v>
      </c>
      <c r="F1069" s="25">
        <f t="array" ref="F1069">INDEX(E$5:E$67,MATCH($B1069,$B$5:$B$67,0))</f>
        <v>775</v>
      </c>
      <c r="G1069" s="25">
        <f t="array" ref="G1069">INDEX(F$5:F$67,MATCH($B1069,$B$5:$B$67,0))</f>
        <v>62</v>
      </c>
      <c r="H1069" s="25">
        <f t="array" ref="H1069">INDEX(G$5:G$66,MATCH($B1069,$B$5:$B$67,0))</f>
        <v>969</v>
      </c>
      <c r="I1069" s="25">
        <f t="array" ref="I1069">INDEX(H$5:H$67,MATCH($B1069,$B$5:$B$67,0))</f>
        <v>77.52</v>
      </c>
      <c r="J1069" s="25">
        <f t="array" ref="J1069">INDEX(I$5:I$67,MATCH($B1069,$B$5:$B$67,0))</f>
        <v>798</v>
      </c>
      <c r="K1069" s="25">
        <f t="array" ref="K1069">INDEX(J$5:J$67,MATCH($B1069,$B$5:$B$67,0))</f>
        <v>63.84</v>
      </c>
      <c r="L1069" s="25">
        <f t="shared" si="634"/>
        <v>18374</v>
      </c>
      <c r="M1069" s="25">
        <f t="shared" si="635"/>
        <v>2697</v>
      </c>
      <c r="N1069" s="25">
        <f t="shared" si="636"/>
        <v>3372</v>
      </c>
      <c r="O1069" s="25">
        <f t="shared" si="637"/>
        <v>2777</v>
      </c>
      <c r="R1069" s="50"/>
      <c r="S1069" s="51"/>
      <c r="T1069" s="29"/>
    </row>
    <row r="1070" spans="1:20">
      <c r="A1070" s="48">
        <v>1018032</v>
      </c>
      <c r="B1070" s="49" t="s">
        <v>347</v>
      </c>
      <c r="C1070" s="25">
        <f t="shared" si="633"/>
        <v>32</v>
      </c>
      <c r="D1070" s="25">
        <f t="array" ref="D1070">INDEX(C$5:C$67,MATCH($B1070,$B$5:$B$67,0))</f>
        <v>5280</v>
      </c>
      <c r="E1070" s="25">
        <f t="array" ref="E1070">INDEX(D$5:D$67,MATCH($B1070,$B$5:$B$67,0))</f>
        <v>422.4</v>
      </c>
      <c r="F1070" s="25">
        <f t="array" ref="F1070">INDEX(E$5:E$67,MATCH($B1070,$B$5:$B$67,0))</f>
        <v>775</v>
      </c>
      <c r="G1070" s="25">
        <f t="array" ref="G1070">INDEX(F$5:F$67,MATCH($B1070,$B$5:$B$67,0))</f>
        <v>62</v>
      </c>
      <c r="H1070" s="25">
        <f t="array" ref="H1070">INDEX(G$5:G$66,MATCH($B1070,$B$5:$B$67,0))</f>
        <v>969</v>
      </c>
      <c r="I1070" s="25">
        <f t="array" ref="I1070">INDEX(H$5:H$67,MATCH($B1070,$B$5:$B$67,0))</f>
        <v>77.52</v>
      </c>
      <c r="J1070" s="25">
        <f t="array" ref="J1070">INDEX(I$5:I$67,MATCH($B1070,$B$5:$B$67,0))</f>
        <v>798</v>
      </c>
      <c r="K1070" s="25">
        <f t="array" ref="K1070">INDEX(J$5:J$67,MATCH($B1070,$B$5:$B$67,0))</f>
        <v>63.84</v>
      </c>
      <c r="L1070" s="25">
        <f t="shared" si="634"/>
        <v>18797</v>
      </c>
      <c r="M1070" s="25">
        <f t="shared" si="635"/>
        <v>2759</v>
      </c>
      <c r="N1070" s="25">
        <f t="shared" si="636"/>
        <v>3450</v>
      </c>
      <c r="O1070" s="25">
        <f t="shared" si="637"/>
        <v>2841</v>
      </c>
      <c r="R1070" s="50"/>
      <c r="S1070" s="51"/>
      <c r="T1070" s="29"/>
    </row>
    <row r="1071" spans="1:20">
      <c r="A1071" s="48">
        <v>1018033</v>
      </c>
      <c r="B1071" s="49" t="s">
        <v>347</v>
      </c>
      <c r="C1071" s="25">
        <f t="shared" si="633"/>
        <v>33</v>
      </c>
      <c r="D1071" s="25">
        <f t="array" ref="D1071">INDEX(C$5:C$67,MATCH($B1071,$B$5:$B$67,0))</f>
        <v>5280</v>
      </c>
      <c r="E1071" s="25">
        <f t="array" ref="E1071">INDEX(D$5:D$67,MATCH($B1071,$B$5:$B$67,0))</f>
        <v>422.4</v>
      </c>
      <c r="F1071" s="25">
        <f t="array" ref="F1071">INDEX(E$5:E$67,MATCH($B1071,$B$5:$B$67,0))</f>
        <v>775</v>
      </c>
      <c r="G1071" s="25">
        <f t="array" ref="G1071">INDEX(F$5:F$67,MATCH($B1071,$B$5:$B$67,0))</f>
        <v>62</v>
      </c>
      <c r="H1071" s="25">
        <f t="array" ref="H1071">INDEX(G$5:G$66,MATCH($B1071,$B$5:$B$67,0))</f>
        <v>969</v>
      </c>
      <c r="I1071" s="25">
        <f t="array" ref="I1071">INDEX(H$5:H$67,MATCH($B1071,$B$5:$B$67,0))</f>
        <v>77.52</v>
      </c>
      <c r="J1071" s="25">
        <f t="array" ref="J1071">INDEX(I$5:I$67,MATCH($B1071,$B$5:$B$67,0))</f>
        <v>798</v>
      </c>
      <c r="K1071" s="25">
        <f t="array" ref="K1071">INDEX(J$5:J$67,MATCH($B1071,$B$5:$B$67,0))</f>
        <v>63.84</v>
      </c>
      <c r="L1071" s="25">
        <f t="shared" si="634"/>
        <v>19219</v>
      </c>
      <c r="M1071" s="25">
        <f t="shared" si="635"/>
        <v>2821</v>
      </c>
      <c r="N1071" s="25">
        <f t="shared" si="636"/>
        <v>3527</v>
      </c>
      <c r="O1071" s="25">
        <f t="shared" si="637"/>
        <v>2905</v>
      </c>
      <c r="R1071" s="50"/>
      <c r="S1071" s="51"/>
      <c r="T1071" s="29"/>
    </row>
    <row r="1072" spans="1:20">
      <c r="A1072" s="48">
        <v>1018034</v>
      </c>
      <c r="B1072" s="49" t="s">
        <v>347</v>
      </c>
      <c r="C1072" s="25">
        <f t="shared" si="633"/>
        <v>34</v>
      </c>
      <c r="D1072" s="25">
        <f t="array" ref="D1072">INDEX(C$5:C$67,MATCH($B1072,$B$5:$B$67,0))</f>
        <v>5280</v>
      </c>
      <c r="E1072" s="25">
        <f t="array" ref="E1072">INDEX(D$5:D$67,MATCH($B1072,$B$5:$B$67,0))</f>
        <v>422.4</v>
      </c>
      <c r="F1072" s="25">
        <f t="array" ref="F1072">INDEX(E$5:E$67,MATCH($B1072,$B$5:$B$67,0))</f>
        <v>775</v>
      </c>
      <c r="G1072" s="25">
        <f t="array" ref="G1072">INDEX(F$5:F$67,MATCH($B1072,$B$5:$B$67,0))</f>
        <v>62</v>
      </c>
      <c r="H1072" s="25">
        <f t="array" ref="H1072">INDEX(G$5:G$66,MATCH($B1072,$B$5:$B$67,0))</f>
        <v>969</v>
      </c>
      <c r="I1072" s="25">
        <f t="array" ref="I1072">INDEX(H$5:H$67,MATCH($B1072,$B$5:$B$67,0))</f>
        <v>77.52</v>
      </c>
      <c r="J1072" s="25">
        <f t="array" ref="J1072">INDEX(I$5:I$67,MATCH($B1072,$B$5:$B$67,0))</f>
        <v>798</v>
      </c>
      <c r="K1072" s="25">
        <f t="array" ref="K1072">INDEX(J$5:J$67,MATCH($B1072,$B$5:$B$67,0))</f>
        <v>63.84</v>
      </c>
      <c r="L1072" s="25">
        <f t="shared" si="634"/>
        <v>19642</v>
      </c>
      <c r="M1072" s="25">
        <f t="shared" si="635"/>
        <v>2883</v>
      </c>
      <c r="N1072" s="25">
        <f t="shared" si="636"/>
        <v>3605</v>
      </c>
      <c r="O1072" s="25">
        <f t="shared" si="637"/>
        <v>2969</v>
      </c>
      <c r="R1072" s="50"/>
      <c r="S1072" s="51"/>
      <c r="T1072" s="29"/>
    </row>
    <row r="1073" spans="1:20">
      <c r="A1073" s="48">
        <v>1018035</v>
      </c>
      <c r="B1073" s="49" t="s">
        <v>347</v>
      </c>
      <c r="C1073" s="25">
        <f t="shared" si="633"/>
        <v>35</v>
      </c>
      <c r="D1073" s="25">
        <f t="array" ref="D1073">INDEX(C$5:C$67,MATCH($B1073,$B$5:$B$67,0))</f>
        <v>5280</v>
      </c>
      <c r="E1073" s="25">
        <f t="array" ref="E1073">INDEX(D$5:D$67,MATCH($B1073,$B$5:$B$67,0))</f>
        <v>422.4</v>
      </c>
      <c r="F1073" s="25">
        <f t="array" ref="F1073">INDEX(E$5:E$67,MATCH($B1073,$B$5:$B$67,0))</f>
        <v>775</v>
      </c>
      <c r="G1073" s="25">
        <f t="array" ref="G1073">INDEX(F$5:F$67,MATCH($B1073,$B$5:$B$67,0))</f>
        <v>62</v>
      </c>
      <c r="H1073" s="25">
        <f t="array" ref="H1073">INDEX(G$5:G$66,MATCH($B1073,$B$5:$B$67,0))</f>
        <v>969</v>
      </c>
      <c r="I1073" s="25">
        <f t="array" ref="I1073">INDEX(H$5:H$67,MATCH($B1073,$B$5:$B$67,0))</f>
        <v>77.52</v>
      </c>
      <c r="J1073" s="25">
        <f t="array" ref="J1073">INDEX(I$5:I$67,MATCH($B1073,$B$5:$B$67,0))</f>
        <v>798</v>
      </c>
      <c r="K1073" s="25">
        <f t="array" ref="K1073">INDEX(J$5:J$67,MATCH($B1073,$B$5:$B$67,0))</f>
        <v>63.84</v>
      </c>
      <c r="L1073" s="25">
        <f t="shared" si="634"/>
        <v>20064</v>
      </c>
      <c r="M1073" s="25">
        <f t="shared" si="635"/>
        <v>2945</v>
      </c>
      <c r="N1073" s="25">
        <f t="shared" si="636"/>
        <v>3682</v>
      </c>
      <c r="O1073" s="25">
        <f t="shared" si="637"/>
        <v>3032</v>
      </c>
      <c r="R1073" s="50"/>
      <c r="S1073" s="51"/>
      <c r="T1073" s="29"/>
    </row>
    <row r="1074" spans="1:20">
      <c r="A1074" s="48">
        <v>1018036</v>
      </c>
      <c r="B1074" s="49" t="s">
        <v>347</v>
      </c>
      <c r="C1074" s="25">
        <f t="shared" si="633"/>
        <v>36</v>
      </c>
      <c r="D1074" s="25">
        <f t="array" ref="D1074">INDEX(C$5:C$67,MATCH($B1074,$B$5:$B$67,0))</f>
        <v>5280</v>
      </c>
      <c r="E1074" s="25">
        <f t="array" ref="E1074">INDEX(D$5:D$67,MATCH($B1074,$B$5:$B$67,0))</f>
        <v>422.4</v>
      </c>
      <c r="F1074" s="25">
        <f t="array" ref="F1074">INDEX(E$5:E$67,MATCH($B1074,$B$5:$B$67,0))</f>
        <v>775</v>
      </c>
      <c r="G1074" s="25">
        <f t="array" ref="G1074">INDEX(F$5:F$67,MATCH($B1074,$B$5:$B$67,0))</f>
        <v>62</v>
      </c>
      <c r="H1074" s="25">
        <f t="array" ref="H1074">INDEX(G$5:G$66,MATCH($B1074,$B$5:$B$67,0))</f>
        <v>969</v>
      </c>
      <c r="I1074" s="25">
        <f t="array" ref="I1074">INDEX(H$5:H$67,MATCH($B1074,$B$5:$B$67,0))</f>
        <v>77.52</v>
      </c>
      <c r="J1074" s="25">
        <f t="array" ref="J1074">INDEX(I$5:I$67,MATCH($B1074,$B$5:$B$67,0))</f>
        <v>798</v>
      </c>
      <c r="K1074" s="25">
        <f t="array" ref="K1074">INDEX(J$5:J$67,MATCH($B1074,$B$5:$B$67,0))</f>
        <v>63.84</v>
      </c>
      <c r="L1074" s="25">
        <f t="shared" si="634"/>
        <v>20486</v>
      </c>
      <c r="M1074" s="25">
        <f t="shared" si="635"/>
        <v>3007</v>
      </c>
      <c r="N1074" s="25">
        <f t="shared" si="636"/>
        <v>3760</v>
      </c>
      <c r="O1074" s="25">
        <f t="shared" si="637"/>
        <v>3096</v>
      </c>
      <c r="R1074" s="50"/>
      <c r="S1074" s="51"/>
      <c r="T1074" s="29"/>
    </row>
    <row r="1075" spans="1:20">
      <c r="A1075" s="48">
        <v>1018037</v>
      </c>
      <c r="B1075" s="49" t="s">
        <v>347</v>
      </c>
      <c r="C1075" s="25">
        <f t="shared" si="633"/>
        <v>37</v>
      </c>
      <c r="D1075" s="25">
        <f t="array" ref="D1075">INDEX(C$5:C$67,MATCH($B1075,$B$5:$B$67,0))</f>
        <v>5280</v>
      </c>
      <c r="E1075" s="25">
        <f t="array" ref="E1075">INDEX(D$5:D$67,MATCH($B1075,$B$5:$B$67,0))</f>
        <v>422.4</v>
      </c>
      <c r="F1075" s="25">
        <f t="array" ref="F1075">INDEX(E$5:E$67,MATCH($B1075,$B$5:$B$67,0))</f>
        <v>775</v>
      </c>
      <c r="G1075" s="25">
        <f t="array" ref="G1075">INDEX(F$5:F$67,MATCH($B1075,$B$5:$B$67,0))</f>
        <v>62</v>
      </c>
      <c r="H1075" s="25">
        <f t="array" ref="H1075">INDEX(G$5:G$66,MATCH($B1075,$B$5:$B$67,0))</f>
        <v>969</v>
      </c>
      <c r="I1075" s="25">
        <f t="array" ref="I1075">INDEX(H$5:H$67,MATCH($B1075,$B$5:$B$67,0))</f>
        <v>77.52</v>
      </c>
      <c r="J1075" s="25">
        <f t="array" ref="J1075">INDEX(I$5:I$67,MATCH($B1075,$B$5:$B$67,0))</f>
        <v>798</v>
      </c>
      <c r="K1075" s="25">
        <f t="array" ref="K1075">INDEX(J$5:J$67,MATCH($B1075,$B$5:$B$67,0))</f>
        <v>63.84</v>
      </c>
      <c r="L1075" s="25">
        <f t="shared" si="634"/>
        <v>20909</v>
      </c>
      <c r="M1075" s="25">
        <f t="shared" si="635"/>
        <v>3069</v>
      </c>
      <c r="N1075" s="25">
        <f t="shared" si="636"/>
        <v>3837</v>
      </c>
      <c r="O1075" s="25">
        <f t="shared" si="637"/>
        <v>3160</v>
      </c>
      <c r="R1075" s="50"/>
      <c r="S1075" s="51"/>
      <c r="T1075" s="29"/>
    </row>
    <row r="1076" spans="1:20">
      <c r="A1076" s="48">
        <v>1018038</v>
      </c>
      <c r="B1076" s="49" t="s">
        <v>347</v>
      </c>
      <c r="C1076" s="25">
        <f t="shared" si="633"/>
        <v>38</v>
      </c>
      <c r="D1076" s="25">
        <f t="array" ref="D1076">INDEX(C$5:C$67,MATCH($B1076,$B$5:$B$67,0))</f>
        <v>5280</v>
      </c>
      <c r="E1076" s="25">
        <f t="array" ref="E1076">INDEX(D$5:D$67,MATCH($B1076,$B$5:$B$67,0))</f>
        <v>422.4</v>
      </c>
      <c r="F1076" s="25">
        <f t="array" ref="F1076">INDEX(E$5:E$67,MATCH($B1076,$B$5:$B$67,0))</f>
        <v>775</v>
      </c>
      <c r="G1076" s="25">
        <f t="array" ref="G1076">INDEX(F$5:F$67,MATCH($B1076,$B$5:$B$67,0))</f>
        <v>62</v>
      </c>
      <c r="H1076" s="25">
        <f t="array" ref="H1076">INDEX(G$5:G$66,MATCH($B1076,$B$5:$B$67,0))</f>
        <v>969</v>
      </c>
      <c r="I1076" s="25">
        <f t="array" ref="I1076">INDEX(H$5:H$67,MATCH($B1076,$B$5:$B$67,0))</f>
        <v>77.52</v>
      </c>
      <c r="J1076" s="25">
        <f t="array" ref="J1076">INDEX(I$5:I$67,MATCH($B1076,$B$5:$B$67,0))</f>
        <v>798</v>
      </c>
      <c r="K1076" s="25">
        <f t="array" ref="K1076">INDEX(J$5:J$67,MATCH($B1076,$B$5:$B$67,0))</f>
        <v>63.84</v>
      </c>
      <c r="L1076" s="25">
        <f t="shared" si="634"/>
        <v>21331</v>
      </c>
      <c r="M1076" s="25">
        <f t="shared" si="635"/>
        <v>3131</v>
      </c>
      <c r="N1076" s="25">
        <f t="shared" si="636"/>
        <v>3915</v>
      </c>
      <c r="O1076" s="25">
        <f t="shared" si="637"/>
        <v>3224</v>
      </c>
      <c r="R1076" s="50"/>
      <c r="S1076" s="51"/>
      <c r="T1076" s="29"/>
    </row>
    <row r="1077" spans="1:20">
      <c r="A1077" s="48">
        <v>1018039</v>
      </c>
      <c r="B1077" s="49" t="s">
        <v>347</v>
      </c>
      <c r="C1077" s="25">
        <f t="shared" si="633"/>
        <v>39</v>
      </c>
      <c r="D1077" s="25">
        <f t="array" ref="D1077">INDEX(C$5:C$67,MATCH($B1077,$B$5:$B$67,0))</f>
        <v>5280</v>
      </c>
      <c r="E1077" s="25">
        <f t="array" ref="E1077">INDEX(D$5:D$67,MATCH($B1077,$B$5:$B$67,0))</f>
        <v>422.4</v>
      </c>
      <c r="F1077" s="25">
        <f t="array" ref="F1077">INDEX(E$5:E$67,MATCH($B1077,$B$5:$B$67,0))</f>
        <v>775</v>
      </c>
      <c r="G1077" s="25">
        <f t="array" ref="G1077">INDEX(F$5:F$67,MATCH($B1077,$B$5:$B$67,0))</f>
        <v>62</v>
      </c>
      <c r="H1077" s="25">
        <f t="array" ref="H1077">INDEX(G$5:G$66,MATCH($B1077,$B$5:$B$67,0))</f>
        <v>969</v>
      </c>
      <c r="I1077" s="25">
        <f t="array" ref="I1077">INDEX(H$5:H$67,MATCH($B1077,$B$5:$B$67,0))</f>
        <v>77.52</v>
      </c>
      <c r="J1077" s="25">
        <f t="array" ref="J1077">INDEX(I$5:I$67,MATCH($B1077,$B$5:$B$67,0))</f>
        <v>798</v>
      </c>
      <c r="K1077" s="25">
        <f t="array" ref="K1077">INDEX(J$5:J$67,MATCH($B1077,$B$5:$B$67,0))</f>
        <v>63.84</v>
      </c>
      <c r="L1077" s="25">
        <f t="shared" si="634"/>
        <v>21754</v>
      </c>
      <c r="M1077" s="25">
        <f t="shared" si="635"/>
        <v>3193</v>
      </c>
      <c r="N1077" s="25">
        <f t="shared" si="636"/>
        <v>3992</v>
      </c>
      <c r="O1077" s="25">
        <f t="shared" si="637"/>
        <v>3288</v>
      </c>
      <c r="R1077" s="50"/>
      <c r="S1077" s="51"/>
      <c r="T1077" s="29"/>
    </row>
    <row r="1078" spans="1:20">
      <c r="A1078" s="48">
        <v>1018040</v>
      </c>
      <c r="B1078" s="49" t="s">
        <v>347</v>
      </c>
      <c r="C1078" s="25">
        <f t="shared" si="633"/>
        <v>40</v>
      </c>
      <c r="D1078" s="25">
        <f t="array" ref="D1078">INDEX(C$5:C$67,MATCH($B1078,$B$5:$B$67,0))</f>
        <v>5280</v>
      </c>
      <c r="E1078" s="25">
        <f t="array" ref="E1078">INDEX(D$5:D$67,MATCH($B1078,$B$5:$B$67,0))</f>
        <v>422.4</v>
      </c>
      <c r="F1078" s="25">
        <f t="array" ref="F1078">INDEX(E$5:E$67,MATCH($B1078,$B$5:$B$67,0))</f>
        <v>775</v>
      </c>
      <c r="G1078" s="25">
        <f t="array" ref="G1078">INDEX(F$5:F$67,MATCH($B1078,$B$5:$B$67,0))</f>
        <v>62</v>
      </c>
      <c r="H1078" s="25">
        <f t="array" ref="H1078">INDEX(G$5:G$66,MATCH($B1078,$B$5:$B$67,0))</f>
        <v>969</v>
      </c>
      <c r="I1078" s="25">
        <f t="array" ref="I1078">INDEX(H$5:H$67,MATCH($B1078,$B$5:$B$67,0))</f>
        <v>77.52</v>
      </c>
      <c r="J1078" s="25">
        <f t="array" ref="J1078">INDEX(I$5:I$67,MATCH($B1078,$B$5:$B$67,0))</f>
        <v>798</v>
      </c>
      <c r="K1078" s="25">
        <f t="array" ref="K1078">INDEX(J$5:J$67,MATCH($B1078,$B$5:$B$67,0))</f>
        <v>63.84</v>
      </c>
      <c r="L1078" s="25">
        <f t="shared" si="634"/>
        <v>22176</v>
      </c>
      <c r="M1078" s="25">
        <f t="shared" si="635"/>
        <v>3255</v>
      </c>
      <c r="N1078" s="25">
        <f t="shared" si="636"/>
        <v>4070</v>
      </c>
      <c r="O1078" s="25">
        <f t="shared" si="637"/>
        <v>3352</v>
      </c>
      <c r="R1078" s="50"/>
      <c r="S1078" s="51"/>
      <c r="T1078" s="29"/>
    </row>
    <row r="1079" spans="1:20">
      <c r="A1079" s="48">
        <v>1018041</v>
      </c>
      <c r="B1079" s="49" t="s">
        <v>347</v>
      </c>
      <c r="C1079" s="25">
        <f t="shared" si="633"/>
        <v>41</v>
      </c>
      <c r="D1079" s="25">
        <f t="array" ref="D1079">INDEX(C$5:C$67,MATCH($B1079,$B$5:$B$67,0))</f>
        <v>5280</v>
      </c>
      <c r="E1079" s="25">
        <f t="array" ref="E1079">INDEX(D$5:D$67,MATCH($B1079,$B$5:$B$67,0))</f>
        <v>422.4</v>
      </c>
      <c r="F1079" s="25">
        <f t="array" ref="F1079">INDEX(E$5:E$67,MATCH($B1079,$B$5:$B$67,0))</f>
        <v>775</v>
      </c>
      <c r="G1079" s="25">
        <f t="array" ref="G1079">INDEX(F$5:F$67,MATCH($B1079,$B$5:$B$67,0))</f>
        <v>62</v>
      </c>
      <c r="H1079" s="25">
        <f t="array" ref="H1079">INDEX(G$5:G$66,MATCH($B1079,$B$5:$B$67,0))</f>
        <v>969</v>
      </c>
      <c r="I1079" s="25">
        <f t="array" ref="I1079">INDEX(H$5:H$67,MATCH($B1079,$B$5:$B$67,0))</f>
        <v>77.52</v>
      </c>
      <c r="J1079" s="25">
        <f t="array" ref="J1079">INDEX(I$5:I$67,MATCH($B1079,$B$5:$B$67,0))</f>
        <v>798</v>
      </c>
      <c r="K1079" s="25">
        <f t="array" ref="K1079">INDEX(J$5:J$67,MATCH($B1079,$B$5:$B$67,0))</f>
        <v>63.84</v>
      </c>
      <c r="L1079" s="25">
        <f t="shared" si="634"/>
        <v>22598</v>
      </c>
      <c r="M1079" s="25">
        <f t="shared" si="635"/>
        <v>3317</v>
      </c>
      <c r="N1079" s="25">
        <f t="shared" si="636"/>
        <v>4147</v>
      </c>
      <c r="O1079" s="25">
        <f t="shared" si="637"/>
        <v>3415</v>
      </c>
      <c r="R1079" s="50"/>
      <c r="S1079" s="51"/>
      <c r="T1079" s="29"/>
    </row>
    <row r="1080" spans="1:20">
      <c r="A1080" s="48">
        <v>1018042</v>
      </c>
      <c r="B1080" s="49" t="s">
        <v>347</v>
      </c>
      <c r="C1080" s="25">
        <f t="shared" si="633"/>
        <v>42</v>
      </c>
      <c r="D1080" s="25">
        <f t="array" ref="D1080">INDEX(C$5:C$67,MATCH($B1080,$B$5:$B$67,0))</f>
        <v>5280</v>
      </c>
      <c r="E1080" s="25">
        <f t="array" ref="E1080">INDEX(D$5:D$67,MATCH($B1080,$B$5:$B$67,0))</f>
        <v>422.4</v>
      </c>
      <c r="F1080" s="25">
        <f t="array" ref="F1080">INDEX(E$5:E$67,MATCH($B1080,$B$5:$B$67,0))</f>
        <v>775</v>
      </c>
      <c r="G1080" s="25">
        <f t="array" ref="G1080">INDEX(F$5:F$67,MATCH($B1080,$B$5:$B$67,0))</f>
        <v>62</v>
      </c>
      <c r="H1080" s="25">
        <f t="array" ref="H1080">INDEX(G$5:G$66,MATCH($B1080,$B$5:$B$67,0))</f>
        <v>969</v>
      </c>
      <c r="I1080" s="25">
        <f t="array" ref="I1080">INDEX(H$5:H$67,MATCH($B1080,$B$5:$B$67,0))</f>
        <v>77.52</v>
      </c>
      <c r="J1080" s="25">
        <f t="array" ref="J1080">INDEX(I$5:I$67,MATCH($B1080,$B$5:$B$67,0))</f>
        <v>798</v>
      </c>
      <c r="K1080" s="25">
        <f t="array" ref="K1080">INDEX(J$5:J$67,MATCH($B1080,$B$5:$B$67,0))</f>
        <v>63.84</v>
      </c>
      <c r="L1080" s="25">
        <f t="shared" si="634"/>
        <v>23021</v>
      </c>
      <c r="M1080" s="25">
        <f t="shared" si="635"/>
        <v>3379</v>
      </c>
      <c r="N1080" s="25">
        <f t="shared" si="636"/>
        <v>4225</v>
      </c>
      <c r="O1080" s="25">
        <f t="shared" si="637"/>
        <v>3479</v>
      </c>
      <c r="R1080" s="50"/>
      <c r="S1080" s="51"/>
      <c r="T1080" s="29"/>
    </row>
    <row r="1081" spans="1:20">
      <c r="A1081" s="48">
        <v>1018043</v>
      </c>
      <c r="B1081" s="49" t="s">
        <v>347</v>
      </c>
      <c r="C1081" s="25">
        <f t="shared" si="633"/>
        <v>43</v>
      </c>
      <c r="D1081" s="25">
        <f t="array" ref="D1081">INDEX(C$5:C$67,MATCH($B1081,$B$5:$B$67,0))</f>
        <v>5280</v>
      </c>
      <c r="E1081" s="25">
        <f t="array" ref="E1081">INDEX(D$5:D$67,MATCH($B1081,$B$5:$B$67,0))</f>
        <v>422.4</v>
      </c>
      <c r="F1081" s="25">
        <f t="array" ref="F1081">INDEX(E$5:E$67,MATCH($B1081,$B$5:$B$67,0))</f>
        <v>775</v>
      </c>
      <c r="G1081" s="25">
        <f t="array" ref="G1081">INDEX(F$5:F$67,MATCH($B1081,$B$5:$B$67,0))</f>
        <v>62</v>
      </c>
      <c r="H1081" s="25">
        <f t="array" ref="H1081">INDEX(G$5:G$66,MATCH($B1081,$B$5:$B$67,0))</f>
        <v>969</v>
      </c>
      <c r="I1081" s="25">
        <f t="array" ref="I1081">INDEX(H$5:H$67,MATCH($B1081,$B$5:$B$67,0))</f>
        <v>77.52</v>
      </c>
      <c r="J1081" s="25">
        <f t="array" ref="J1081">INDEX(I$5:I$67,MATCH($B1081,$B$5:$B$67,0))</f>
        <v>798</v>
      </c>
      <c r="K1081" s="25">
        <f t="array" ref="K1081">INDEX(J$5:J$67,MATCH($B1081,$B$5:$B$67,0))</f>
        <v>63.84</v>
      </c>
      <c r="L1081" s="25">
        <f t="shared" si="634"/>
        <v>23443</v>
      </c>
      <c r="M1081" s="25">
        <f t="shared" si="635"/>
        <v>3441</v>
      </c>
      <c r="N1081" s="25">
        <f t="shared" si="636"/>
        <v>4302</v>
      </c>
      <c r="O1081" s="25">
        <f t="shared" si="637"/>
        <v>3543</v>
      </c>
      <c r="R1081" s="50"/>
      <c r="S1081" s="51"/>
      <c r="T1081" s="29"/>
    </row>
    <row r="1082" spans="1:20">
      <c r="A1082" s="48">
        <v>1018044</v>
      </c>
      <c r="B1082" s="49" t="s">
        <v>347</v>
      </c>
      <c r="C1082" s="25">
        <f t="shared" si="633"/>
        <v>44</v>
      </c>
      <c r="D1082" s="25">
        <f t="array" ref="D1082">INDEX(C$5:C$67,MATCH($B1082,$B$5:$B$67,0))</f>
        <v>5280</v>
      </c>
      <c r="E1082" s="25">
        <f t="array" ref="E1082">INDEX(D$5:D$67,MATCH($B1082,$B$5:$B$67,0))</f>
        <v>422.4</v>
      </c>
      <c r="F1082" s="25">
        <f t="array" ref="F1082">INDEX(E$5:E$67,MATCH($B1082,$B$5:$B$67,0))</f>
        <v>775</v>
      </c>
      <c r="G1082" s="25">
        <f t="array" ref="G1082">INDEX(F$5:F$67,MATCH($B1082,$B$5:$B$67,0))</f>
        <v>62</v>
      </c>
      <c r="H1082" s="25">
        <f t="array" ref="H1082">INDEX(G$5:G$66,MATCH($B1082,$B$5:$B$67,0))</f>
        <v>969</v>
      </c>
      <c r="I1082" s="25">
        <f t="array" ref="I1082">INDEX(H$5:H$67,MATCH($B1082,$B$5:$B$67,0))</f>
        <v>77.52</v>
      </c>
      <c r="J1082" s="25">
        <f t="array" ref="J1082">INDEX(I$5:I$67,MATCH($B1082,$B$5:$B$67,0))</f>
        <v>798</v>
      </c>
      <c r="K1082" s="25">
        <f t="array" ref="K1082">INDEX(J$5:J$67,MATCH($B1082,$B$5:$B$67,0))</f>
        <v>63.84</v>
      </c>
      <c r="L1082" s="25">
        <f t="shared" si="634"/>
        <v>23866</v>
      </c>
      <c r="M1082" s="25">
        <f t="shared" si="635"/>
        <v>3503</v>
      </c>
      <c r="N1082" s="25">
        <f t="shared" si="636"/>
        <v>4380</v>
      </c>
      <c r="O1082" s="25">
        <f t="shared" si="637"/>
        <v>3607</v>
      </c>
      <c r="R1082" s="50"/>
      <c r="S1082" s="51"/>
      <c r="T1082" s="29"/>
    </row>
    <row r="1083" spans="1:20">
      <c r="A1083" s="48">
        <v>1018045</v>
      </c>
      <c r="B1083" s="49" t="s">
        <v>347</v>
      </c>
      <c r="C1083" s="25">
        <f t="shared" si="633"/>
        <v>45</v>
      </c>
      <c r="D1083" s="25">
        <f t="array" ref="D1083">INDEX(C$5:C$67,MATCH($B1083,$B$5:$B$67,0))</f>
        <v>5280</v>
      </c>
      <c r="E1083" s="25">
        <f t="array" ref="E1083">INDEX(D$5:D$67,MATCH($B1083,$B$5:$B$67,0))</f>
        <v>422.4</v>
      </c>
      <c r="F1083" s="25">
        <f t="array" ref="F1083">INDEX(E$5:E$67,MATCH($B1083,$B$5:$B$67,0))</f>
        <v>775</v>
      </c>
      <c r="G1083" s="25">
        <f t="array" ref="G1083">INDEX(F$5:F$67,MATCH($B1083,$B$5:$B$67,0))</f>
        <v>62</v>
      </c>
      <c r="H1083" s="25">
        <f t="array" ref="H1083">INDEX(G$5:G$66,MATCH($B1083,$B$5:$B$67,0))</f>
        <v>969</v>
      </c>
      <c r="I1083" s="25">
        <f t="array" ref="I1083">INDEX(H$5:H$67,MATCH($B1083,$B$5:$B$67,0))</f>
        <v>77.52</v>
      </c>
      <c r="J1083" s="25">
        <f t="array" ref="J1083">INDEX(I$5:I$67,MATCH($B1083,$B$5:$B$67,0))</f>
        <v>798</v>
      </c>
      <c r="K1083" s="25">
        <f t="array" ref="K1083">INDEX(J$5:J$67,MATCH($B1083,$B$5:$B$67,0))</f>
        <v>63.84</v>
      </c>
      <c r="L1083" s="25">
        <f t="shared" si="634"/>
        <v>24288</v>
      </c>
      <c r="M1083" s="25">
        <f t="shared" si="635"/>
        <v>3565</v>
      </c>
      <c r="N1083" s="25">
        <f t="shared" si="636"/>
        <v>4457</v>
      </c>
      <c r="O1083" s="25">
        <f t="shared" si="637"/>
        <v>3671</v>
      </c>
      <c r="R1083" s="50"/>
      <c r="S1083" s="51"/>
      <c r="T1083" s="29"/>
    </row>
    <row r="1084" spans="1:20">
      <c r="A1084" s="48">
        <v>1018046</v>
      </c>
      <c r="B1084" s="49" t="s">
        <v>347</v>
      </c>
      <c r="C1084" s="25">
        <f t="shared" si="633"/>
        <v>46</v>
      </c>
      <c r="D1084" s="25">
        <f t="array" ref="D1084">INDEX(C$5:C$67,MATCH($B1084,$B$5:$B$67,0))</f>
        <v>5280</v>
      </c>
      <c r="E1084" s="25">
        <f t="array" ref="E1084">INDEX(D$5:D$67,MATCH($B1084,$B$5:$B$67,0))</f>
        <v>422.4</v>
      </c>
      <c r="F1084" s="25">
        <f t="array" ref="F1084">INDEX(E$5:E$67,MATCH($B1084,$B$5:$B$67,0))</f>
        <v>775</v>
      </c>
      <c r="G1084" s="25">
        <f t="array" ref="G1084">INDEX(F$5:F$67,MATCH($B1084,$B$5:$B$67,0))</f>
        <v>62</v>
      </c>
      <c r="H1084" s="25">
        <f t="array" ref="H1084">INDEX(G$5:G$66,MATCH($B1084,$B$5:$B$67,0))</f>
        <v>969</v>
      </c>
      <c r="I1084" s="25">
        <f t="array" ref="I1084">INDEX(H$5:H$67,MATCH($B1084,$B$5:$B$67,0))</f>
        <v>77.52</v>
      </c>
      <c r="J1084" s="25">
        <f t="array" ref="J1084">INDEX(I$5:I$67,MATCH($B1084,$B$5:$B$67,0))</f>
        <v>798</v>
      </c>
      <c r="K1084" s="25">
        <f t="array" ref="K1084">INDEX(J$5:J$67,MATCH($B1084,$B$5:$B$67,0))</f>
        <v>63.84</v>
      </c>
      <c r="L1084" s="25">
        <f t="shared" si="634"/>
        <v>24710</v>
      </c>
      <c r="M1084" s="25">
        <f t="shared" si="635"/>
        <v>3627</v>
      </c>
      <c r="N1084" s="25">
        <f t="shared" si="636"/>
        <v>4535</v>
      </c>
      <c r="O1084" s="25">
        <f t="shared" si="637"/>
        <v>3735</v>
      </c>
      <c r="R1084" s="50"/>
      <c r="S1084" s="51"/>
      <c r="T1084" s="29"/>
    </row>
    <row r="1085" spans="1:20">
      <c r="A1085" s="48">
        <v>1018047</v>
      </c>
      <c r="B1085" s="49" t="s">
        <v>347</v>
      </c>
      <c r="C1085" s="25">
        <f t="shared" si="633"/>
        <v>47</v>
      </c>
      <c r="D1085" s="25">
        <f t="array" ref="D1085">INDEX(C$5:C$67,MATCH($B1085,$B$5:$B$67,0))</f>
        <v>5280</v>
      </c>
      <c r="E1085" s="25">
        <f t="array" ref="E1085">INDEX(D$5:D$67,MATCH($B1085,$B$5:$B$67,0))</f>
        <v>422.4</v>
      </c>
      <c r="F1085" s="25">
        <f t="array" ref="F1085">INDEX(E$5:E$67,MATCH($B1085,$B$5:$B$67,0))</f>
        <v>775</v>
      </c>
      <c r="G1085" s="25">
        <f t="array" ref="G1085">INDEX(F$5:F$67,MATCH($B1085,$B$5:$B$67,0))</f>
        <v>62</v>
      </c>
      <c r="H1085" s="25">
        <f t="array" ref="H1085">INDEX(G$5:G$66,MATCH($B1085,$B$5:$B$67,0))</f>
        <v>969</v>
      </c>
      <c r="I1085" s="25">
        <f t="array" ref="I1085">INDEX(H$5:H$67,MATCH($B1085,$B$5:$B$67,0))</f>
        <v>77.52</v>
      </c>
      <c r="J1085" s="25">
        <f t="array" ref="J1085">INDEX(I$5:I$67,MATCH($B1085,$B$5:$B$67,0))</f>
        <v>798</v>
      </c>
      <c r="K1085" s="25">
        <f t="array" ref="K1085">INDEX(J$5:J$67,MATCH($B1085,$B$5:$B$67,0))</f>
        <v>63.84</v>
      </c>
      <c r="L1085" s="25">
        <f t="shared" si="634"/>
        <v>25133</v>
      </c>
      <c r="M1085" s="25">
        <f t="shared" si="635"/>
        <v>3689</v>
      </c>
      <c r="N1085" s="25">
        <f t="shared" si="636"/>
        <v>4612</v>
      </c>
      <c r="O1085" s="25">
        <f t="shared" si="637"/>
        <v>3798</v>
      </c>
      <c r="R1085" s="50"/>
      <c r="S1085" s="51"/>
      <c r="T1085" s="29"/>
    </row>
    <row r="1086" spans="1:20">
      <c r="A1086" s="48">
        <v>1018048</v>
      </c>
      <c r="B1086" s="49" t="s">
        <v>347</v>
      </c>
      <c r="C1086" s="25">
        <f t="shared" si="633"/>
        <v>48</v>
      </c>
      <c r="D1086" s="25">
        <f t="array" ref="D1086">INDEX(C$5:C$67,MATCH($B1086,$B$5:$B$67,0))</f>
        <v>5280</v>
      </c>
      <c r="E1086" s="25">
        <f t="array" ref="E1086">INDEX(D$5:D$67,MATCH($B1086,$B$5:$B$67,0))</f>
        <v>422.4</v>
      </c>
      <c r="F1086" s="25">
        <f t="array" ref="F1086">INDEX(E$5:E$67,MATCH($B1086,$B$5:$B$67,0))</f>
        <v>775</v>
      </c>
      <c r="G1086" s="25">
        <f t="array" ref="G1086">INDEX(F$5:F$67,MATCH($B1086,$B$5:$B$67,0))</f>
        <v>62</v>
      </c>
      <c r="H1086" s="25">
        <f t="array" ref="H1086">INDEX(G$5:G$66,MATCH($B1086,$B$5:$B$67,0))</f>
        <v>969</v>
      </c>
      <c r="I1086" s="25">
        <f t="array" ref="I1086">INDEX(H$5:H$67,MATCH($B1086,$B$5:$B$67,0))</f>
        <v>77.52</v>
      </c>
      <c r="J1086" s="25">
        <f t="array" ref="J1086">INDEX(I$5:I$67,MATCH($B1086,$B$5:$B$67,0))</f>
        <v>798</v>
      </c>
      <c r="K1086" s="25">
        <f t="array" ref="K1086">INDEX(J$5:J$67,MATCH($B1086,$B$5:$B$67,0))</f>
        <v>63.84</v>
      </c>
      <c r="L1086" s="25">
        <f t="shared" si="634"/>
        <v>25555</v>
      </c>
      <c r="M1086" s="25">
        <f t="shared" si="635"/>
        <v>3751</v>
      </c>
      <c r="N1086" s="25">
        <f t="shared" si="636"/>
        <v>4690</v>
      </c>
      <c r="O1086" s="25">
        <f t="shared" si="637"/>
        <v>3862</v>
      </c>
      <c r="R1086" s="50"/>
      <c r="S1086" s="51"/>
      <c r="T1086" s="29"/>
    </row>
    <row r="1087" spans="1:20">
      <c r="A1087" s="48">
        <v>1018049</v>
      </c>
      <c r="B1087" s="49" t="s">
        <v>347</v>
      </c>
      <c r="C1087" s="25">
        <f t="shared" si="633"/>
        <v>49</v>
      </c>
      <c r="D1087" s="25">
        <f t="array" ref="D1087">INDEX(C$5:C$67,MATCH($B1087,$B$5:$B$67,0))</f>
        <v>5280</v>
      </c>
      <c r="E1087" s="25">
        <f t="array" ref="E1087">INDEX(D$5:D$67,MATCH($B1087,$B$5:$B$67,0))</f>
        <v>422.4</v>
      </c>
      <c r="F1087" s="25">
        <f t="array" ref="F1087">INDEX(E$5:E$67,MATCH($B1087,$B$5:$B$67,0))</f>
        <v>775</v>
      </c>
      <c r="G1087" s="25">
        <f t="array" ref="G1087">INDEX(F$5:F$67,MATCH($B1087,$B$5:$B$67,0))</f>
        <v>62</v>
      </c>
      <c r="H1087" s="25">
        <f t="array" ref="H1087">INDEX(G$5:G$66,MATCH($B1087,$B$5:$B$67,0))</f>
        <v>969</v>
      </c>
      <c r="I1087" s="25">
        <f t="array" ref="I1087">INDEX(H$5:H$67,MATCH($B1087,$B$5:$B$67,0))</f>
        <v>77.52</v>
      </c>
      <c r="J1087" s="25">
        <f t="array" ref="J1087">INDEX(I$5:I$67,MATCH($B1087,$B$5:$B$67,0))</f>
        <v>798</v>
      </c>
      <c r="K1087" s="25">
        <f t="array" ref="K1087">INDEX(J$5:J$67,MATCH($B1087,$B$5:$B$67,0))</f>
        <v>63.84</v>
      </c>
      <c r="L1087" s="25">
        <f t="shared" si="634"/>
        <v>25978</v>
      </c>
      <c r="M1087" s="25">
        <f t="shared" si="635"/>
        <v>3813</v>
      </c>
      <c r="N1087" s="25">
        <f t="shared" si="636"/>
        <v>4767</v>
      </c>
      <c r="O1087" s="25">
        <f t="shared" si="637"/>
        <v>3926</v>
      </c>
      <c r="R1087" s="50"/>
      <c r="S1087" s="51"/>
      <c r="T1087" s="29"/>
    </row>
    <row r="1088" spans="1:20">
      <c r="A1088" s="48">
        <v>1018050</v>
      </c>
      <c r="B1088" s="49" t="s">
        <v>347</v>
      </c>
      <c r="C1088" s="25">
        <f t="shared" si="633"/>
        <v>50</v>
      </c>
      <c r="D1088" s="25">
        <f t="array" ref="D1088">INDEX(C$5:C$67,MATCH($B1088,$B$5:$B$67,0))</f>
        <v>5280</v>
      </c>
      <c r="E1088" s="25">
        <f t="array" ref="E1088">INDEX(D$5:D$67,MATCH($B1088,$B$5:$B$67,0))</f>
        <v>422.4</v>
      </c>
      <c r="F1088" s="25">
        <f t="array" ref="F1088">INDEX(E$5:E$67,MATCH($B1088,$B$5:$B$67,0))</f>
        <v>775</v>
      </c>
      <c r="G1088" s="25">
        <f t="array" ref="G1088">INDEX(F$5:F$67,MATCH($B1088,$B$5:$B$67,0))</f>
        <v>62</v>
      </c>
      <c r="H1088" s="25">
        <f t="array" ref="H1088">INDEX(G$5:G$66,MATCH($B1088,$B$5:$B$67,0))</f>
        <v>969</v>
      </c>
      <c r="I1088" s="25">
        <f t="array" ref="I1088">INDEX(H$5:H$67,MATCH($B1088,$B$5:$B$67,0))</f>
        <v>77.52</v>
      </c>
      <c r="J1088" s="25">
        <f t="array" ref="J1088">INDEX(I$5:I$67,MATCH($B1088,$B$5:$B$67,0))</f>
        <v>798</v>
      </c>
      <c r="K1088" s="25">
        <f t="array" ref="K1088">INDEX(J$5:J$67,MATCH($B1088,$B$5:$B$67,0))</f>
        <v>63.84</v>
      </c>
      <c r="L1088" s="25">
        <f t="shared" si="634"/>
        <v>26400</v>
      </c>
      <c r="M1088" s="25">
        <f t="shared" si="635"/>
        <v>3875</v>
      </c>
      <c r="N1088" s="25">
        <f t="shared" si="636"/>
        <v>4845</v>
      </c>
      <c r="O1088" s="25">
        <f t="shared" si="637"/>
        <v>3990</v>
      </c>
      <c r="R1088" s="50"/>
      <c r="S1088" s="51"/>
      <c r="T1088" s="29"/>
    </row>
    <row r="1089" spans="1:20">
      <c r="A1089" s="48">
        <v>1018051</v>
      </c>
      <c r="B1089" s="49" t="s">
        <v>347</v>
      </c>
      <c r="C1089" s="25">
        <f t="shared" si="633"/>
        <v>51</v>
      </c>
      <c r="D1089" s="25">
        <f t="array" ref="D1089">INDEX(C$5:C$67,MATCH($B1089,$B$5:$B$67,0))</f>
        <v>5280</v>
      </c>
      <c r="E1089" s="25">
        <f t="array" ref="E1089">INDEX(D$5:D$67,MATCH($B1089,$B$5:$B$67,0))</f>
        <v>422.4</v>
      </c>
      <c r="F1089" s="25">
        <f t="array" ref="F1089">INDEX(E$5:E$67,MATCH($B1089,$B$5:$B$67,0))</f>
        <v>775</v>
      </c>
      <c r="G1089" s="25">
        <f t="array" ref="G1089">INDEX(F$5:F$67,MATCH($B1089,$B$5:$B$67,0))</f>
        <v>62</v>
      </c>
      <c r="H1089" s="25">
        <f t="array" ref="H1089">INDEX(G$5:G$66,MATCH($B1089,$B$5:$B$67,0))</f>
        <v>969</v>
      </c>
      <c r="I1089" s="25">
        <f t="array" ref="I1089">INDEX(H$5:H$67,MATCH($B1089,$B$5:$B$67,0))</f>
        <v>77.52</v>
      </c>
      <c r="J1089" s="25">
        <f t="array" ref="J1089">INDEX(I$5:I$67,MATCH($B1089,$B$5:$B$67,0))</f>
        <v>798</v>
      </c>
      <c r="K1089" s="25">
        <f t="array" ref="K1089">INDEX(J$5:J$67,MATCH($B1089,$B$5:$B$67,0))</f>
        <v>63.84</v>
      </c>
      <c r="L1089" s="25">
        <f t="shared" si="634"/>
        <v>26822</v>
      </c>
      <c r="M1089" s="25">
        <f t="shared" si="635"/>
        <v>3937</v>
      </c>
      <c r="N1089" s="25">
        <f t="shared" si="636"/>
        <v>4923</v>
      </c>
      <c r="O1089" s="25">
        <f t="shared" si="637"/>
        <v>4054</v>
      </c>
      <c r="R1089" s="50"/>
      <c r="S1089" s="51"/>
      <c r="T1089" s="29"/>
    </row>
    <row r="1090" spans="1:20">
      <c r="A1090" s="48">
        <v>1018052</v>
      </c>
      <c r="B1090" s="49" t="s">
        <v>347</v>
      </c>
      <c r="C1090" s="25">
        <f t="shared" si="633"/>
        <v>52</v>
      </c>
      <c r="D1090" s="25">
        <f t="array" ref="D1090">INDEX(C$5:C$67,MATCH($B1090,$B$5:$B$67,0))</f>
        <v>5280</v>
      </c>
      <c r="E1090" s="25">
        <f t="array" ref="E1090">INDEX(D$5:D$67,MATCH($B1090,$B$5:$B$67,0))</f>
        <v>422.4</v>
      </c>
      <c r="F1090" s="25">
        <f t="array" ref="F1090">INDEX(E$5:E$67,MATCH($B1090,$B$5:$B$67,0))</f>
        <v>775</v>
      </c>
      <c r="G1090" s="25">
        <f t="array" ref="G1090">INDEX(F$5:F$67,MATCH($B1090,$B$5:$B$67,0))</f>
        <v>62</v>
      </c>
      <c r="H1090" s="25">
        <f t="array" ref="H1090">INDEX(G$5:G$66,MATCH($B1090,$B$5:$B$67,0))</f>
        <v>969</v>
      </c>
      <c r="I1090" s="25">
        <f t="array" ref="I1090">INDEX(H$5:H$67,MATCH($B1090,$B$5:$B$67,0))</f>
        <v>77.52</v>
      </c>
      <c r="J1090" s="25">
        <f t="array" ref="J1090">INDEX(I$5:I$67,MATCH($B1090,$B$5:$B$67,0))</f>
        <v>798</v>
      </c>
      <c r="K1090" s="25">
        <f t="array" ref="K1090">INDEX(J$5:J$67,MATCH($B1090,$B$5:$B$67,0))</f>
        <v>63.84</v>
      </c>
      <c r="L1090" s="25">
        <f t="shared" si="634"/>
        <v>27245</v>
      </c>
      <c r="M1090" s="25">
        <f t="shared" si="635"/>
        <v>3999</v>
      </c>
      <c r="N1090" s="25">
        <f t="shared" si="636"/>
        <v>5000</v>
      </c>
      <c r="O1090" s="25">
        <f t="shared" si="637"/>
        <v>4118</v>
      </c>
      <c r="R1090" s="50"/>
      <c r="S1090" s="51"/>
      <c r="T1090" s="29"/>
    </row>
    <row r="1091" spans="1:20">
      <c r="A1091" s="48">
        <v>1018053</v>
      </c>
      <c r="B1091" s="49" t="s">
        <v>347</v>
      </c>
      <c r="C1091" s="25">
        <f t="shared" si="633"/>
        <v>53</v>
      </c>
      <c r="D1091" s="25">
        <f t="array" ref="D1091">INDEX(C$5:C$67,MATCH($B1091,$B$5:$B$67,0))</f>
        <v>5280</v>
      </c>
      <c r="E1091" s="25">
        <f t="array" ref="E1091">INDEX(D$5:D$67,MATCH($B1091,$B$5:$B$67,0))</f>
        <v>422.4</v>
      </c>
      <c r="F1091" s="25">
        <f t="array" ref="F1091">INDEX(E$5:E$67,MATCH($B1091,$B$5:$B$67,0))</f>
        <v>775</v>
      </c>
      <c r="G1091" s="25">
        <f t="array" ref="G1091">INDEX(F$5:F$67,MATCH($B1091,$B$5:$B$67,0))</f>
        <v>62</v>
      </c>
      <c r="H1091" s="25">
        <f t="array" ref="H1091">INDEX(G$5:G$66,MATCH($B1091,$B$5:$B$67,0))</f>
        <v>969</v>
      </c>
      <c r="I1091" s="25">
        <f t="array" ref="I1091">INDEX(H$5:H$67,MATCH($B1091,$B$5:$B$67,0))</f>
        <v>77.52</v>
      </c>
      <c r="J1091" s="25">
        <f t="array" ref="J1091">INDEX(I$5:I$67,MATCH($B1091,$B$5:$B$67,0))</f>
        <v>798</v>
      </c>
      <c r="K1091" s="25">
        <f t="array" ref="K1091">INDEX(J$5:J$67,MATCH($B1091,$B$5:$B$67,0))</f>
        <v>63.84</v>
      </c>
      <c r="L1091" s="25">
        <f t="shared" si="634"/>
        <v>27667</v>
      </c>
      <c r="M1091" s="25">
        <f t="shared" si="635"/>
        <v>4061</v>
      </c>
      <c r="N1091" s="25">
        <f t="shared" si="636"/>
        <v>5078</v>
      </c>
      <c r="O1091" s="25">
        <f t="shared" si="637"/>
        <v>4182</v>
      </c>
      <c r="R1091" s="50"/>
      <c r="S1091" s="51"/>
      <c r="T1091" s="29"/>
    </row>
    <row r="1092" spans="1:20">
      <c r="A1092" s="48">
        <v>1018054</v>
      </c>
      <c r="B1092" s="49" t="s">
        <v>347</v>
      </c>
      <c r="C1092" s="25">
        <f t="shared" si="633"/>
        <v>54</v>
      </c>
      <c r="D1092" s="25">
        <f t="array" ref="D1092">INDEX(C$5:C$67,MATCH($B1092,$B$5:$B$67,0))</f>
        <v>5280</v>
      </c>
      <c r="E1092" s="25">
        <f t="array" ref="E1092">INDEX(D$5:D$67,MATCH($B1092,$B$5:$B$67,0))</f>
        <v>422.4</v>
      </c>
      <c r="F1092" s="25">
        <f t="array" ref="F1092">INDEX(E$5:E$67,MATCH($B1092,$B$5:$B$67,0))</f>
        <v>775</v>
      </c>
      <c r="G1092" s="25">
        <f t="array" ref="G1092">INDEX(F$5:F$67,MATCH($B1092,$B$5:$B$67,0))</f>
        <v>62</v>
      </c>
      <c r="H1092" s="25">
        <f t="array" ref="H1092">INDEX(G$5:G$66,MATCH($B1092,$B$5:$B$67,0))</f>
        <v>969</v>
      </c>
      <c r="I1092" s="25">
        <f t="array" ref="I1092">INDEX(H$5:H$67,MATCH($B1092,$B$5:$B$67,0))</f>
        <v>77.52</v>
      </c>
      <c r="J1092" s="25">
        <f t="array" ref="J1092">INDEX(I$5:I$67,MATCH($B1092,$B$5:$B$67,0))</f>
        <v>798</v>
      </c>
      <c r="K1092" s="25">
        <f t="array" ref="K1092">INDEX(J$5:J$67,MATCH($B1092,$B$5:$B$67,0))</f>
        <v>63.84</v>
      </c>
      <c r="L1092" s="25">
        <f t="shared" si="634"/>
        <v>28090</v>
      </c>
      <c r="M1092" s="25">
        <f t="shared" si="635"/>
        <v>4123</v>
      </c>
      <c r="N1092" s="25">
        <f t="shared" si="636"/>
        <v>5155</v>
      </c>
      <c r="O1092" s="25">
        <f t="shared" si="637"/>
        <v>4245</v>
      </c>
      <c r="R1092" s="50"/>
      <c r="S1092" s="51"/>
      <c r="T1092" s="29"/>
    </row>
    <row r="1093" spans="1:20">
      <c r="A1093" s="48">
        <v>1018055</v>
      </c>
      <c r="B1093" s="49" t="s">
        <v>347</v>
      </c>
      <c r="C1093" s="25">
        <f t="shared" si="633"/>
        <v>55</v>
      </c>
      <c r="D1093" s="25">
        <f t="array" ref="D1093">INDEX(C$5:C$67,MATCH($B1093,$B$5:$B$67,0))</f>
        <v>5280</v>
      </c>
      <c r="E1093" s="25">
        <f t="array" ref="E1093">INDEX(D$5:D$67,MATCH($B1093,$B$5:$B$67,0))</f>
        <v>422.4</v>
      </c>
      <c r="F1093" s="25">
        <f t="array" ref="F1093">INDEX(E$5:E$67,MATCH($B1093,$B$5:$B$67,0))</f>
        <v>775</v>
      </c>
      <c r="G1093" s="25">
        <f t="array" ref="G1093">INDEX(F$5:F$67,MATCH($B1093,$B$5:$B$67,0))</f>
        <v>62</v>
      </c>
      <c r="H1093" s="25">
        <f t="array" ref="H1093">INDEX(G$5:G$66,MATCH($B1093,$B$5:$B$67,0))</f>
        <v>969</v>
      </c>
      <c r="I1093" s="25">
        <f t="array" ref="I1093">INDEX(H$5:H$67,MATCH($B1093,$B$5:$B$67,0))</f>
        <v>77.52</v>
      </c>
      <c r="J1093" s="25">
        <f t="array" ref="J1093">INDEX(I$5:I$67,MATCH($B1093,$B$5:$B$67,0))</f>
        <v>798</v>
      </c>
      <c r="K1093" s="25">
        <f t="array" ref="K1093">INDEX(J$5:J$67,MATCH($B1093,$B$5:$B$67,0))</f>
        <v>63.84</v>
      </c>
      <c r="L1093" s="25">
        <f t="shared" si="634"/>
        <v>28512</v>
      </c>
      <c r="M1093" s="25">
        <f t="shared" si="635"/>
        <v>4185</v>
      </c>
      <c r="N1093" s="25">
        <f t="shared" si="636"/>
        <v>5233</v>
      </c>
      <c r="O1093" s="25">
        <f t="shared" si="637"/>
        <v>4309</v>
      </c>
      <c r="R1093" s="50"/>
      <c r="S1093" s="51"/>
      <c r="T1093" s="29"/>
    </row>
    <row r="1094" spans="1:20">
      <c r="A1094" s="48">
        <v>1018056</v>
      </c>
      <c r="B1094" s="49" t="s">
        <v>347</v>
      </c>
      <c r="C1094" s="25">
        <f t="shared" si="633"/>
        <v>56</v>
      </c>
      <c r="D1094" s="25">
        <f t="array" ref="D1094">INDEX(C$5:C$67,MATCH($B1094,$B$5:$B$67,0))</f>
        <v>5280</v>
      </c>
      <c r="E1094" s="25">
        <f t="array" ref="E1094">INDEX(D$5:D$67,MATCH($B1094,$B$5:$B$67,0))</f>
        <v>422.4</v>
      </c>
      <c r="F1094" s="25">
        <f t="array" ref="F1094">INDEX(E$5:E$67,MATCH($B1094,$B$5:$B$67,0))</f>
        <v>775</v>
      </c>
      <c r="G1094" s="25">
        <f t="array" ref="G1094">INDEX(F$5:F$67,MATCH($B1094,$B$5:$B$67,0))</f>
        <v>62</v>
      </c>
      <c r="H1094" s="25">
        <f t="array" ref="H1094">INDEX(G$5:G$66,MATCH($B1094,$B$5:$B$67,0))</f>
        <v>969</v>
      </c>
      <c r="I1094" s="25">
        <f t="array" ref="I1094">INDEX(H$5:H$67,MATCH($B1094,$B$5:$B$67,0))</f>
        <v>77.52</v>
      </c>
      <c r="J1094" s="25">
        <f t="array" ref="J1094">INDEX(I$5:I$67,MATCH($B1094,$B$5:$B$67,0))</f>
        <v>798</v>
      </c>
      <c r="K1094" s="25">
        <f t="array" ref="K1094">INDEX(J$5:J$67,MATCH($B1094,$B$5:$B$67,0))</f>
        <v>63.84</v>
      </c>
      <c r="L1094" s="25">
        <f t="shared" si="634"/>
        <v>28934</v>
      </c>
      <c r="M1094" s="25">
        <f t="shared" si="635"/>
        <v>4247</v>
      </c>
      <c r="N1094" s="25">
        <f t="shared" si="636"/>
        <v>5310</v>
      </c>
      <c r="O1094" s="25">
        <f t="shared" si="637"/>
        <v>4373</v>
      </c>
      <c r="R1094" s="50"/>
      <c r="S1094" s="51"/>
      <c r="T1094" s="29"/>
    </row>
    <row r="1095" spans="1:20">
      <c r="A1095" s="48">
        <v>1018057</v>
      </c>
      <c r="B1095" s="49" t="s">
        <v>347</v>
      </c>
      <c r="C1095" s="25">
        <f t="shared" si="633"/>
        <v>57</v>
      </c>
      <c r="D1095" s="25">
        <f t="array" ref="D1095">INDEX(C$5:C$67,MATCH($B1095,$B$5:$B$67,0))</f>
        <v>5280</v>
      </c>
      <c r="E1095" s="25">
        <f t="array" ref="E1095">INDEX(D$5:D$67,MATCH($B1095,$B$5:$B$67,0))</f>
        <v>422.4</v>
      </c>
      <c r="F1095" s="25">
        <f t="array" ref="F1095">INDEX(E$5:E$67,MATCH($B1095,$B$5:$B$67,0))</f>
        <v>775</v>
      </c>
      <c r="G1095" s="25">
        <f t="array" ref="G1095">INDEX(F$5:F$67,MATCH($B1095,$B$5:$B$67,0))</f>
        <v>62</v>
      </c>
      <c r="H1095" s="25">
        <f t="array" ref="H1095">INDEX(G$5:G$66,MATCH($B1095,$B$5:$B$67,0))</f>
        <v>969</v>
      </c>
      <c r="I1095" s="25">
        <f t="array" ref="I1095">INDEX(H$5:H$67,MATCH($B1095,$B$5:$B$67,0))</f>
        <v>77.52</v>
      </c>
      <c r="J1095" s="25">
        <f t="array" ref="J1095">INDEX(I$5:I$67,MATCH($B1095,$B$5:$B$67,0))</f>
        <v>798</v>
      </c>
      <c r="K1095" s="25">
        <f t="array" ref="K1095">INDEX(J$5:J$67,MATCH($B1095,$B$5:$B$67,0))</f>
        <v>63.84</v>
      </c>
      <c r="L1095" s="25">
        <f t="shared" si="634"/>
        <v>29357</v>
      </c>
      <c r="M1095" s="25">
        <f t="shared" si="635"/>
        <v>4309</v>
      </c>
      <c r="N1095" s="25">
        <f t="shared" si="636"/>
        <v>5388</v>
      </c>
      <c r="O1095" s="25">
        <f t="shared" si="637"/>
        <v>4437</v>
      </c>
      <c r="R1095" s="50"/>
      <c r="S1095" s="51"/>
      <c r="T1095" s="29"/>
    </row>
    <row r="1096" spans="1:20">
      <c r="A1096" s="48">
        <v>1018058</v>
      </c>
      <c r="B1096" s="49" t="s">
        <v>347</v>
      </c>
      <c r="C1096" s="25">
        <f t="shared" si="633"/>
        <v>58</v>
      </c>
      <c r="D1096" s="25">
        <f t="array" ref="D1096">INDEX(C$5:C$67,MATCH($B1096,$B$5:$B$67,0))</f>
        <v>5280</v>
      </c>
      <c r="E1096" s="25">
        <f t="array" ref="E1096">INDEX(D$5:D$67,MATCH($B1096,$B$5:$B$67,0))</f>
        <v>422.4</v>
      </c>
      <c r="F1096" s="25">
        <f t="array" ref="F1096">INDEX(E$5:E$67,MATCH($B1096,$B$5:$B$67,0))</f>
        <v>775</v>
      </c>
      <c r="G1096" s="25">
        <f t="array" ref="G1096">INDEX(F$5:F$67,MATCH($B1096,$B$5:$B$67,0))</f>
        <v>62</v>
      </c>
      <c r="H1096" s="25">
        <f t="array" ref="H1096">INDEX(G$5:G$66,MATCH($B1096,$B$5:$B$67,0))</f>
        <v>969</v>
      </c>
      <c r="I1096" s="25">
        <f t="array" ref="I1096">INDEX(H$5:H$67,MATCH($B1096,$B$5:$B$67,0))</f>
        <v>77.52</v>
      </c>
      <c r="J1096" s="25">
        <f t="array" ref="J1096">INDEX(I$5:I$67,MATCH($B1096,$B$5:$B$67,0))</f>
        <v>798</v>
      </c>
      <c r="K1096" s="25">
        <f t="array" ref="K1096">INDEX(J$5:J$67,MATCH($B1096,$B$5:$B$67,0))</f>
        <v>63.84</v>
      </c>
      <c r="L1096" s="25">
        <f t="shared" si="634"/>
        <v>29779</v>
      </c>
      <c r="M1096" s="25">
        <f t="shared" si="635"/>
        <v>4371</v>
      </c>
      <c r="N1096" s="25">
        <f t="shared" si="636"/>
        <v>5465</v>
      </c>
      <c r="O1096" s="25">
        <f t="shared" si="637"/>
        <v>4501</v>
      </c>
      <c r="R1096" s="50"/>
      <c r="S1096" s="51"/>
      <c r="T1096" s="29"/>
    </row>
    <row r="1097" spans="1:20">
      <c r="A1097" s="48">
        <v>1018059</v>
      </c>
      <c r="B1097" s="49" t="s">
        <v>347</v>
      </c>
      <c r="C1097" s="25">
        <f t="shared" si="633"/>
        <v>59</v>
      </c>
      <c r="D1097" s="25">
        <f t="array" ref="D1097">INDEX(C$5:C$67,MATCH($B1097,$B$5:$B$67,0))</f>
        <v>5280</v>
      </c>
      <c r="E1097" s="25">
        <f t="array" ref="E1097">INDEX(D$5:D$67,MATCH($B1097,$B$5:$B$67,0))</f>
        <v>422.4</v>
      </c>
      <c r="F1097" s="25">
        <f t="array" ref="F1097">INDEX(E$5:E$67,MATCH($B1097,$B$5:$B$67,0))</f>
        <v>775</v>
      </c>
      <c r="G1097" s="25">
        <f t="array" ref="G1097">INDEX(F$5:F$67,MATCH($B1097,$B$5:$B$67,0))</f>
        <v>62</v>
      </c>
      <c r="H1097" s="25">
        <f t="array" ref="H1097">INDEX(G$5:G$66,MATCH($B1097,$B$5:$B$67,0))</f>
        <v>969</v>
      </c>
      <c r="I1097" s="25">
        <f t="array" ref="I1097">INDEX(H$5:H$67,MATCH($B1097,$B$5:$B$67,0))</f>
        <v>77.52</v>
      </c>
      <c r="J1097" s="25">
        <f t="array" ref="J1097">INDEX(I$5:I$67,MATCH($B1097,$B$5:$B$67,0))</f>
        <v>798</v>
      </c>
      <c r="K1097" s="25">
        <f t="array" ref="K1097">INDEX(J$5:J$67,MATCH($B1097,$B$5:$B$67,0))</f>
        <v>63.84</v>
      </c>
      <c r="L1097" s="25">
        <f t="shared" si="634"/>
        <v>30202</v>
      </c>
      <c r="M1097" s="25">
        <f t="shared" si="635"/>
        <v>4433</v>
      </c>
      <c r="N1097" s="25">
        <f t="shared" si="636"/>
        <v>5543</v>
      </c>
      <c r="O1097" s="25">
        <f t="shared" si="637"/>
        <v>4565</v>
      </c>
      <c r="R1097" s="50"/>
      <c r="S1097" s="51"/>
      <c r="T1097" s="29"/>
    </row>
    <row r="1098" spans="1:20">
      <c r="A1098" s="48">
        <v>1018060</v>
      </c>
      <c r="B1098" s="49" t="s">
        <v>347</v>
      </c>
      <c r="C1098" s="25">
        <f t="shared" si="633"/>
        <v>60</v>
      </c>
      <c r="D1098" s="25">
        <f t="array" ref="D1098">INDEX(C$5:C$67,MATCH($B1098,$B$5:$B$67,0))</f>
        <v>5280</v>
      </c>
      <c r="E1098" s="25">
        <f t="array" ref="E1098">INDEX(D$5:D$67,MATCH($B1098,$B$5:$B$67,0))</f>
        <v>422.4</v>
      </c>
      <c r="F1098" s="25">
        <f t="array" ref="F1098">INDEX(E$5:E$67,MATCH($B1098,$B$5:$B$67,0))</f>
        <v>775</v>
      </c>
      <c r="G1098" s="25">
        <f t="array" ref="G1098">INDEX(F$5:F$67,MATCH($B1098,$B$5:$B$67,0))</f>
        <v>62</v>
      </c>
      <c r="H1098" s="25">
        <f t="array" ref="H1098">INDEX(G$5:G$66,MATCH($B1098,$B$5:$B$67,0))</f>
        <v>969</v>
      </c>
      <c r="I1098" s="25">
        <f t="array" ref="I1098">INDEX(H$5:H$67,MATCH($B1098,$B$5:$B$67,0))</f>
        <v>77.52</v>
      </c>
      <c r="J1098" s="25">
        <f t="array" ref="J1098">INDEX(I$5:I$67,MATCH($B1098,$B$5:$B$67,0))</f>
        <v>798</v>
      </c>
      <c r="K1098" s="25">
        <f t="array" ref="K1098">INDEX(J$5:J$67,MATCH($B1098,$B$5:$B$67,0))</f>
        <v>63.84</v>
      </c>
      <c r="L1098" s="25">
        <f t="shared" si="634"/>
        <v>30624</v>
      </c>
      <c r="M1098" s="25">
        <f t="shared" si="635"/>
        <v>4495</v>
      </c>
      <c r="N1098" s="25">
        <f t="shared" si="636"/>
        <v>5620</v>
      </c>
      <c r="O1098" s="25">
        <f t="shared" si="637"/>
        <v>4628</v>
      </c>
      <c r="R1098" s="50"/>
      <c r="S1098" s="51"/>
      <c r="T1098" s="29"/>
    </row>
    <row r="1099" spans="1:20">
      <c r="A1099" s="48">
        <v>1020001</v>
      </c>
      <c r="B1099" s="49" t="s">
        <v>350</v>
      </c>
      <c r="C1099" s="25">
        <f t="shared" ref="C1099:C1162" si="638">C1039</f>
        <v>1</v>
      </c>
      <c r="D1099" s="25">
        <f t="array" ref="D1099">INDEX(C$5:C$67,MATCH($B1099,$B$5:$B$67,0))</f>
        <v>4400</v>
      </c>
      <c r="E1099" s="25">
        <f t="array" ref="E1099">INDEX(D$5:D$67,MATCH($B1099,$B$5:$B$67,0))</f>
        <v>352</v>
      </c>
      <c r="F1099" s="25">
        <f t="array" ref="F1099">INDEX(E$5:E$67,MATCH($B1099,$B$5:$B$67,0))</f>
        <v>1071</v>
      </c>
      <c r="G1099" s="25">
        <f t="array" ref="G1099">INDEX(F$5:F$67,MATCH($B1099,$B$5:$B$67,0))</f>
        <v>85.68</v>
      </c>
      <c r="H1099" s="25">
        <f t="array" ref="H1099">INDEX(G$5:G$66,MATCH($B1099,$B$5:$B$67,0))</f>
        <v>792</v>
      </c>
      <c r="I1099" s="25">
        <f t="array" ref="I1099">INDEX(H$5:H$67,MATCH($B1099,$B$5:$B$67,0))</f>
        <v>63.36</v>
      </c>
      <c r="J1099" s="25">
        <f t="array" ref="J1099">INDEX(I$5:I$67,MATCH($B1099,$B$5:$B$67,0))</f>
        <v>823</v>
      </c>
      <c r="K1099" s="25">
        <f t="array" ref="K1099">INDEX(J$5:J$67,MATCH($B1099,$B$5:$B$67,0))</f>
        <v>65.84</v>
      </c>
      <c r="L1099" s="25">
        <f t="shared" si="634"/>
        <v>4752</v>
      </c>
      <c r="M1099" s="25">
        <f t="shared" si="635"/>
        <v>1157</v>
      </c>
      <c r="N1099" s="25">
        <f t="shared" si="636"/>
        <v>855</v>
      </c>
      <c r="O1099" s="25">
        <f t="shared" si="637"/>
        <v>889</v>
      </c>
      <c r="R1099" s="50"/>
      <c r="S1099" s="51"/>
      <c r="T1099" s="29"/>
    </row>
    <row r="1100" spans="1:20">
      <c r="A1100" s="48">
        <v>1020002</v>
      </c>
      <c r="B1100" s="49" t="s">
        <v>350</v>
      </c>
      <c r="C1100" s="25">
        <f t="shared" si="638"/>
        <v>2</v>
      </c>
      <c r="D1100" s="25">
        <f t="array" ref="D1100">INDEX(C$5:C$67,MATCH($B1100,$B$5:$B$67,0))</f>
        <v>4400</v>
      </c>
      <c r="E1100" s="25">
        <f t="array" ref="E1100">INDEX(D$5:D$67,MATCH($B1100,$B$5:$B$67,0))</f>
        <v>352</v>
      </c>
      <c r="F1100" s="25">
        <f t="array" ref="F1100">INDEX(E$5:E$67,MATCH($B1100,$B$5:$B$67,0))</f>
        <v>1071</v>
      </c>
      <c r="G1100" s="25">
        <f t="array" ref="G1100">INDEX(F$5:F$67,MATCH($B1100,$B$5:$B$67,0))</f>
        <v>85.68</v>
      </c>
      <c r="H1100" s="25">
        <f t="array" ref="H1100">INDEX(G$5:G$66,MATCH($B1100,$B$5:$B$67,0))</f>
        <v>792</v>
      </c>
      <c r="I1100" s="25">
        <f t="array" ref="I1100">INDEX(H$5:H$67,MATCH($B1100,$B$5:$B$67,0))</f>
        <v>63.36</v>
      </c>
      <c r="J1100" s="25">
        <f t="array" ref="J1100">INDEX(I$5:I$67,MATCH($B1100,$B$5:$B$67,0))</f>
        <v>823</v>
      </c>
      <c r="K1100" s="25">
        <f t="array" ref="K1100">INDEX(J$5:J$67,MATCH($B1100,$B$5:$B$67,0))</f>
        <v>65.84</v>
      </c>
      <c r="L1100" s="25">
        <f t="shared" si="634"/>
        <v>5104</v>
      </c>
      <c r="M1100" s="25">
        <f t="shared" si="635"/>
        <v>1242</v>
      </c>
      <c r="N1100" s="25">
        <f t="shared" si="636"/>
        <v>919</v>
      </c>
      <c r="O1100" s="25">
        <f t="shared" si="637"/>
        <v>955</v>
      </c>
      <c r="R1100" s="50"/>
      <c r="S1100" s="51"/>
      <c r="T1100" s="29"/>
    </row>
    <row r="1101" spans="1:20">
      <c r="A1101" s="48">
        <v>1020003</v>
      </c>
      <c r="B1101" s="49" t="s">
        <v>350</v>
      </c>
      <c r="C1101" s="25">
        <f t="shared" si="638"/>
        <v>3</v>
      </c>
      <c r="D1101" s="25">
        <f t="array" ref="D1101">INDEX(C$5:C$67,MATCH($B1101,$B$5:$B$67,0))</f>
        <v>4400</v>
      </c>
      <c r="E1101" s="25">
        <f t="array" ref="E1101">INDEX(D$5:D$67,MATCH($B1101,$B$5:$B$67,0))</f>
        <v>352</v>
      </c>
      <c r="F1101" s="25">
        <f t="array" ref="F1101">INDEX(E$5:E$67,MATCH($B1101,$B$5:$B$67,0))</f>
        <v>1071</v>
      </c>
      <c r="G1101" s="25">
        <f t="array" ref="G1101">INDEX(F$5:F$67,MATCH($B1101,$B$5:$B$67,0))</f>
        <v>85.68</v>
      </c>
      <c r="H1101" s="25">
        <f t="array" ref="H1101">INDEX(G$5:G$66,MATCH($B1101,$B$5:$B$67,0))</f>
        <v>792</v>
      </c>
      <c r="I1101" s="25">
        <f t="array" ref="I1101">INDEX(H$5:H$67,MATCH($B1101,$B$5:$B$67,0))</f>
        <v>63.36</v>
      </c>
      <c r="J1101" s="25">
        <f t="array" ref="J1101">INDEX(I$5:I$67,MATCH($B1101,$B$5:$B$67,0))</f>
        <v>823</v>
      </c>
      <c r="K1101" s="25">
        <f t="array" ref="K1101">INDEX(J$5:J$67,MATCH($B1101,$B$5:$B$67,0))</f>
        <v>65.84</v>
      </c>
      <c r="L1101" s="25">
        <f t="shared" si="634"/>
        <v>5456</v>
      </c>
      <c r="M1101" s="25">
        <f t="shared" si="635"/>
        <v>1328</v>
      </c>
      <c r="N1101" s="25">
        <f t="shared" si="636"/>
        <v>982</v>
      </c>
      <c r="O1101" s="25">
        <f t="shared" si="637"/>
        <v>1021</v>
      </c>
      <c r="R1101" s="50"/>
      <c r="S1101" s="51"/>
      <c r="T1101" s="29"/>
    </row>
    <row r="1102" spans="1:20">
      <c r="A1102" s="48">
        <v>1020004</v>
      </c>
      <c r="B1102" s="49" t="s">
        <v>350</v>
      </c>
      <c r="C1102" s="25">
        <f t="shared" si="638"/>
        <v>4</v>
      </c>
      <c r="D1102" s="25">
        <f t="array" ref="D1102">INDEX(C$5:C$67,MATCH($B1102,$B$5:$B$67,0))</f>
        <v>4400</v>
      </c>
      <c r="E1102" s="25">
        <f t="array" ref="E1102">INDEX(D$5:D$67,MATCH($B1102,$B$5:$B$67,0))</f>
        <v>352</v>
      </c>
      <c r="F1102" s="25">
        <f t="array" ref="F1102">INDEX(E$5:E$67,MATCH($B1102,$B$5:$B$67,0))</f>
        <v>1071</v>
      </c>
      <c r="G1102" s="25">
        <f t="array" ref="G1102">INDEX(F$5:F$67,MATCH($B1102,$B$5:$B$67,0))</f>
        <v>85.68</v>
      </c>
      <c r="H1102" s="25">
        <f t="array" ref="H1102">INDEX(G$5:G$66,MATCH($B1102,$B$5:$B$67,0))</f>
        <v>792</v>
      </c>
      <c r="I1102" s="25">
        <f t="array" ref="I1102">INDEX(H$5:H$67,MATCH($B1102,$B$5:$B$67,0))</f>
        <v>63.36</v>
      </c>
      <c r="J1102" s="25">
        <f t="array" ref="J1102">INDEX(I$5:I$67,MATCH($B1102,$B$5:$B$67,0))</f>
        <v>823</v>
      </c>
      <c r="K1102" s="25">
        <f t="array" ref="K1102">INDEX(J$5:J$67,MATCH($B1102,$B$5:$B$67,0))</f>
        <v>65.84</v>
      </c>
      <c r="L1102" s="25">
        <f t="shared" si="634"/>
        <v>5808</v>
      </c>
      <c r="M1102" s="25">
        <f t="shared" si="635"/>
        <v>1414</v>
      </c>
      <c r="N1102" s="25">
        <f t="shared" si="636"/>
        <v>1045</v>
      </c>
      <c r="O1102" s="25">
        <f t="shared" si="637"/>
        <v>1086</v>
      </c>
      <c r="R1102" s="50"/>
      <c r="S1102" s="51"/>
      <c r="T1102" s="29"/>
    </row>
    <row r="1103" spans="1:20">
      <c r="A1103" s="48">
        <v>1020005</v>
      </c>
      <c r="B1103" s="49" t="s">
        <v>350</v>
      </c>
      <c r="C1103" s="25">
        <f t="shared" si="638"/>
        <v>5</v>
      </c>
      <c r="D1103" s="25">
        <f t="array" ref="D1103">INDEX(C$5:C$67,MATCH($B1103,$B$5:$B$67,0))</f>
        <v>4400</v>
      </c>
      <c r="E1103" s="25">
        <f t="array" ref="E1103">INDEX(D$5:D$67,MATCH($B1103,$B$5:$B$67,0))</f>
        <v>352</v>
      </c>
      <c r="F1103" s="25">
        <f t="array" ref="F1103">INDEX(E$5:E$67,MATCH($B1103,$B$5:$B$67,0))</f>
        <v>1071</v>
      </c>
      <c r="G1103" s="25">
        <f t="array" ref="G1103">INDEX(F$5:F$67,MATCH($B1103,$B$5:$B$67,0))</f>
        <v>85.68</v>
      </c>
      <c r="H1103" s="25">
        <f t="array" ref="H1103">INDEX(G$5:G$66,MATCH($B1103,$B$5:$B$67,0))</f>
        <v>792</v>
      </c>
      <c r="I1103" s="25">
        <f t="array" ref="I1103">INDEX(H$5:H$67,MATCH($B1103,$B$5:$B$67,0))</f>
        <v>63.36</v>
      </c>
      <c r="J1103" s="25">
        <f t="array" ref="J1103">INDEX(I$5:I$67,MATCH($B1103,$B$5:$B$67,0))</f>
        <v>823</v>
      </c>
      <c r="K1103" s="25">
        <f t="array" ref="K1103">INDEX(J$5:J$67,MATCH($B1103,$B$5:$B$67,0))</f>
        <v>65.84</v>
      </c>
      <c r="L1103" s="25">
        <f t="shared" ref="L1103:L1166" si="639">ROUND(D1103+E1103*$C1103,0)</f>
        <v>6160</v>
      </c>
      <c r="M1103" s="25">
        <f t="shared" ref="M1103:M1166" si="640">ROUND(F1103+G1103*$C1103,0)</f>
        <v>1499</v>
      </c>
      <c r="N1103" s="25">
        <f t="shared" ref="N1103:N1166" si="641">ROUND(H1103+I1103*$C1103,0)</f>
        <v>1109</v>
      </c>
      <c r="O1103" s="25">
        <f t="shared" ref="O1103:O1166" si="642">ROUND(J1103+K1103*$C1103,0)</f>
        <v>1152</v>
      </c>
      <c r="R1103" s="50"/>
      <c r="S1103" s="51"/>
      <c r="T1103" s="29"/>
    </row>
    <row r="1104" spans="1:20">
      <c r="A1104" s="48">
        <v>1020006</v>
      </c>
      <c r="B1104" s="49" t="s">
        <v>350</v>
      </c>
      <c r="C1104" s="25">
        <f t="shared" si="638"/>
        <v>6</v>
      </c>
      <c r="D1104" s="25">
        <f t="array" ref="D1104">INDEX(C$5:C$67,MATCH($B1104,$B$5:$B$67,0))</f>
        <v>4400</v>
      </c>
      <c r="E1104" s="25">
        <f t="array" ref="E1104">INDEX(D$5:D$67,MATCH($B1104,$B$5:$B$67,0))</f>
        <v>352</v>
      </c>
      <c r="F1104" s="25">
        <f t="array" ref="F1104">INDEX(E$5:E$67,MATCH($B1104,$B$5:$B$67,0))</f>
        <v>1071</v>
      </c>
      <c r="G1104" s="25">
        <f t="array" ref="G1104">INDEX(F$5:F$67,MATCH($B1104,$B$5:$B$67,0))</f>
        <v>85.68</v>
      </c>
      <c r="H1104" s="25">
        <f t="array" ref="H1104">INDEX(G$5:G$66,MATCH($B1104,$B$5:$B$67,0))</f>
        <v>792</v>
      </c>
      <c r="I1104" s="25">
        <f t="array" ref="I1104">INDEX(H$5:H$67,MATCH($B1104,$B$5:$B$67,0))</f>
        <v>63.36</v>
      </c>
      <c r="J1104" s="25">
        <f t="array" ref="J1104">INDEX(I$5:I$67,MATCH($B1104,$B$5:$B$67,0))</f>
        <v>823</v>
      </c>
      <c r="K1104" s="25">
        <f t="array" ref="K1104">INDEX(J$5:J$67,MATCH($B1104,$B$5:$B$67,0))</f>
        <v>65.84</v>
      </c>
      <c r="L1104" s="25">
        <f t="shared" si="639"/>
        <v>6512</v>
      </c>
      <c r="M1104" s="25">
        <f t="shared" si="640"/>
        <v>1585</v>
      </c>
      <c r="N1104" s="25">
        <f t="shared" si="641"/>
        <v>1172</v>
      </c>
      <c r="O1104" s="25">
        <f t="shared" si="642"/>
        <v>1218</v>
      </c>
      <c r="R1104" s="50"/>
      <c r="S1104" s="51"/>
      <c r="T1104" s="29"/>
    </row>
    <row r="1105" spans="1:20">
      <c r="A1105" s="48">
        <v>1020007</v>
      </c>
      <c r="B1105" s="49" t="s">
        <v>350</v>
      </c>
      <c r="C1105" s="25">
        <f t="shared" si="638"/>
        <v>7</v>
      </c>
      <c r="D1105" s="25">
        <f t="array" ref="D1105">INDEX(C$5:C$67,MATCH($B1105,$B$5:$B$67,0))</f>
        <v>4400</v>
      </c>
      <c r="E1105" s="25">
        <f t="array" ref="E1105">INDEX(D$5:D$67,MATCH($B1105,$B$5:$B$67,0))</f>
        <v>352</v>
      </c>
      <c r="F1105" s="25">
        <f t="array" ref="F1105">INDEX(E$5:E$67,MATCH($B1105,$B$5:$B$67,0))</f>
        <v>1071</v>
      </c>
      <c r="G1105" s="25">
        <f t="array" ref="G1105">INDEX(F$5:F$67,MATCH($B1105,$B$5:$B$67,0))</f>
        <v>85.68</v>
      </c>
      <c r="H1105" s="25">
        <f t="array" ref="H1105">INDEX(G$5:G$66,MATCH($B1105,$B$5:$B$67,0))</f>
        <v>792</v>
      </c>
      <c r="I1105" s="25">
        <f t="array" ref="I1105">INDEX(H$5:H$67,MATCH($B1105,$B$5:$B$67,0))</f>
        <v>63.36</v>
      </c>
      <c r="J1105" s="25">
        <f t="array" ref="J1105">INDEX(I$5:I$67,MATCH($B1105,$B$5:$B$67,0))</f>
        <v>823</v>
      </c>
      <c r="K1105" s="25">
        <f t="array" ref="K1105">INDEX(J$5:J$67,MATCH($B1105,$B$5:$B$67,0))</f>
        <v>65.84</v>
      </c>
      <c r="L1105" s="25">
        <f t="shared" si="639"/>
        <v>6864</v>
      </c>
      <c r="M1105" s="25">
        <f t="shared" si="640"/>
        <v>1671</v>
      </c>
      <c r="N1105" s="25">
        <f t="shared" si="641"/>
        <v>1236</v>
      </c>
      <c r="O1105" s="25">
        <f t="shared" si="642"/>
        <v>1284</v>
      </c>
      <c r="R1105" s="50"/>
      <c r="S1105" s="51"/>
      <c r="T1105" s="29"/>
    </row>
    <row r="1106" spans="1:20">
      <c r="A1106" s="48">
        <v>1020008</v>
      </c>
      <c r="B1106" s="49" t="s">
        <v>350</v>
      </c>
      <c r="C1106" s="25">
        <f t="shared" si="638"/>
        <v>8</v>
      </c>
      <c r="D1106" s="25">
        <f t="array" ref="D1106">INDEX(C$5:C$67,MATCH($B1106,$B$5:$B$67,0))</f>
        <v>4400</v>
      </c>
      <c r="E1106" s="25">
        <f t="array" ref="E1106">INDEX(D$5:D$67,MATCH($B1106,$B$5:$B$67,0))</f>
        <v>352</v>
      </c>
      <c r="F1106" s="25">
        <f t="array" ref="F1106">INDEX(E$5:E$67,MATCH($B1106,$B$5:$B$67,0))</f>
        <v>1071</v>
      </c>
      <c r="G1106" s="25">
        <f t="array" ref="G1106">INDEX(F$5:F$67,MATCH($B1106,$B$5:$B$67,0))</f>
        <v>85.68</v>
      </c>
      <c r="H1106" s="25">
        <f t="array" ref="H1106">INDEX(G$5:G$66,MATCH($B1106,$B$5:$B$67,0))</f>
        <v>792</v>
      </c>
      <c r="I1106" s="25">
        <f t="array" ref="I1106">INDEX(H$5:H$67,MATCH($B1106,$B$5:$B$67,0))</f>
        <v>63.36</v>
      </c>
      <c r="J1106" s="25">
        <f t="array" ref="J1106">INDEX(I$5:I$67,MATCH($B1106,$B$5:$B$67,0))</f>
        <v>823</v>
      </c>
      <c r="K1106" s="25">
        <f t="array" ref="K1106">INDEX(J$5:J$67,MATCH($B1106,$B$5:$B$67,0))</f>
        <v>65.84</v>
      </c>
      <c r="L1106" s="25">
        <f t="shared" si="639"/>
        <v>7216</v>
      </c>
      <c r="M1106" s="25">
        <f t="shared" si="640"/>
        <v>1756</v>
      </c>
      <c r="N1106" s="25">
        <f t="shared" si="641"/>
        <v>1299</v>
      </c>
      <c r="O1106" s="25">
        <f t="shared" si="642"/>
        <v>1350</v>
      </c>
      <c r="R1106" s="50"/>
      <c r="S1106" s="51"/>
      <c r="T1106" s="29"/>
    </row>
    <row r="1107" spans="1:20">
      <c r="A1107" s="48">
        <v>1020009</v>
      </c>
      <c r="B1107" s="49" t="s">
        <v>350</v>
      </c>
      <c r="C1107" s="25">
        <f t="shared" si="638"/>
        <v>9</v>
      </c>
      <c r="D1107" s="25">
        <f t="array" ref="D1107">INDEX(C$5:C$67,MATCH($B1107,$B$5:$B$67,0))</f>
        <v>4400</v>
      </c>
      <c r="E1107" s="25">
        <f t="array" ref="E1107">INDEX(D$5:D$67,MATCH($B1107,$B$5:$B$67,0))</f>
        <v>352</v>
      </c>
      <c r="F1107" s="25">
        <f t="array" ref="F1107">INDEX(E$5:E$67,MATCH($B1107,$B$5:$B$67,0))</f>
        <v>1071</v>
      </c>
      <c r="G1107" s="25">
        <f t="array" ref="G1107">INDEX(F$5:F$67,MATCH($B1107,$B$5:$B$67,0))</f>
        <v>85.68</v>
      </c>
      <c r="H1107" s="25">
        <f t="array" ref="H1107">INDEX(G$5:G$66,MATCH($B1107,$B$5:$B$67,0))</f>
        <v>792</v>
      </c>
      <c r="I1107" s="25">
        <f t="array" ref="I1107">INDEX(H$5:H$67,MATCH($B1107,$B$5:$B$67,0))</f>
        <v>63.36</v>
      </c>
      <c r="J1107" s="25">
        <f t="array" ref="J1107">INDEX(I$5:I$67,MATCH($B1107,$B$5:$B$67,0))</f>
        <v>823</v>
      </c>
      <c r="K1107" s="25">
        <f t="array" ref="K1107">INDEX(J$5:J$67,MATCH($B1107,$B$5:$B$67,0))</f>
        <v>65.84</v>
      </c>
      <c r="L1107" s="25">
        <f t="shared" si="639"/>
        <v>7568</v>
      </c>
      <c r="M1107" s="25">
        <f t="shared" si="640"/>
        <v>1842</v>
      </c>
      <c r="N1107" s="25">
        <f t="shared" si="641"/>
        <v>1362</v>
      </c>
      <c r="O1107" s="25">
        <f t="shared" si="642"/>
        <v>1416</v>
      </c>
      <c r="R1107" s="50"/>
      <c r="S1107" s="51"/>
      <c r="T1107" s="29"/>
    </row>
    <row r="1108" spans="1:20">
      <c r="A1108" s="48">
        <v>1020010</v>
      </c>
      <c r="B1108" s="49" t="s">
        <v>350</v>
      </c>
      <c r="C1108" s="25">
        <f t="shared" si="638"/>
        <v>10</v>
      </c>
      <c r="D1108" s="25">
        <f t="array" ref="D1108">INDEX(C$5:C$67,MATCH($B1108,$B$5:$B$67,0))</f>
        <v>4400</v>
      </c>
      <c r="E1108" s="25">
        <f t="array" ref="E1108">INDEX(D$5:D$67,MATCH($B1108,$B$5:$B$67,0))</f>
        <v>352</v>
      </c>
      <c r="F1108" s="25">
        <f t="array" ref="F1108">INDEX(E$5:E$67,MATCH($B1108,$B$5:$B$67,0))</f>
        <v>1071</v>
      </c>
      <c r="G1108" s="25">
        <f t="array" ref="G1108">INDEX(F$5:F$67,MATCH($B1108,$B$5:$B$67,0))</f>
        <v>85.68</v>
      </c>
      <c r="H1108" s="25">
        <f t="array" ref="H1108">INDEX(G$5:G$66,MATCH($B1108,$B$5:$B$67,0))</f>
        <v>792</v>
      </c>
      <c r="I1108" s="25">
        <f t="array" ref="I1108">INDEX(H$5:H$67,MATCH($B1108,$B$5:$B$67,0))</f>
        <v>63.36</v>
      </c>
      <c r="J1108" s="25">
        <f t="array" ref="J1108">INDEX(I$5:I$67,MATCH($B1108,$B$5:$B$67,0))</f>
        <v>823</v>
      </c>
      <c r="K1108" s="25">
        <f t="array" ref="K1108">INDEX(J$5:J$67,MATCH($B1108,$B$5:$B$67,0))</f>
        <v>65.84</v>
      </c>
      <c r="L1108" s="25">
        <f t="shared" si="639"/>
        <v>7920</v>
      </c>
      <c r="M1108" s="25">
        <f t="shared" si="640"/>
        <v>1928</v>
      </c>
      <c r="N1108" s="25">
        <f t="shared" si="641"/>
        <v>1426</v>
      </c>
      <c r="O1108" s="25">
        <f t="shared" si="642"/>
        <v>1481</v>
      </c>
      <c r="R1108" s="50"/>
      <c r="S1108" s="51"/>
      <c r="T1108" s="29"/>
    </row>
    <row r="1109" spans="1:20">
      <c r="A1109" s="48">
        <v>1020011</v>
      </c>
      <c r="B1109" s="49" t="s">
        <v>350</v>
      </c>
      <c r="C1109" s="25">
        <f t="shared" si="638"/>
        <v>11</v>
      </c>
      <c r="D1109" s="25">
        <f t="array" ref="D1109">INDEX(C$5:C$67,MATCH($B1109,$B$5:$B$67,0))</f>
        <v>4400</v>
      </c>
      <c r="E1109" s="25">
        <f t="array" ref="E1109">INDEX(D$5:D$67,MATCH($B1109,$B$5:$B$67,0))</f>
        <v>352</v>
      </c>
      <c r="F1109" s="25">
        <f t="array" ref="F1109">INDEX(E$5:E$67,MATCH($B1109,$B$5:$B$67,0))</f>
        <v>1071</v>
      </c>
      <c r="G1109" s="25">
        <f t="array" ref="G1109">INDEX(F$5:F$67,MATCH($B1109,$B$5:$B$67,0))</f>
        <v>85.68</v>
      </c>
      <c r="H1109" s="25">
        <f t="array" ref="H1109">INDEX(G$5:G$66,MATCH($B1109,$B$5:$B$67,0))</f>
        <v>792</v>
      </c>
      <c r="I1109" s="25">
        <f t="array" ref="I1109">INDEX(H$5:H$67,MATCH($B1109,$B$5:$B$67,0))</f>
        <v>63.36</v>
      </c>
      <c r="J1109" s="25">
        <f t="array" ref="J1109">INDEX(I$5:I$67,MATCH($B1109,$B$5:$B$67,0))</f>
        <v>823</v>
      </c>
      <c r="K1109" s="25">
        <f t="array" ref="K1109">INDEX(J$5:J$67,MATCH($B1109,$B$5:$B$67,0))</f>
        <v>65.84</v>
      </c>
      <c r="L1109" s="25">
        <f t="shared" si="639"/>
        <v>8272</v>
      </c>
      <c r="M1109" s="25">
        <f t="shared" si="640"/>
        <v>2013</v>
      </c>
      <c r="N1109" s="25">
        <f t="shared" si="641"/>
        <v>1489</v>
      </c>
      <c r="O1109" s="25">
        <f t="shared" si="642"/>
        <v>1547</v>
      </c>
      <c r="R1109" s="50"/>
      <c r="S1109" s="51"/>
      <c r="T1109" s="29"/>
    </row>
    <row r="1110" spans="1:20">
      <c r="A1110" s="48">
        <v>1020012</v>
      </c>
      <c r="B1110" s="49" t="s">
        <v>350</v>
      </c>
      <c r="C1110" s="25">
        <f t="shared" si="638"/>
        <v>12</v>
      </c>
      <c r="D1110" s="25">
        <f t="array" ref="D1110">INDEX(C$5:C$67,MATCH($B1110,$B$5:$B$67,0))</f>
        <v>4400</v>
      </c>
      <c r="E1110" s="25">
        <f t="array" ref="E1110">INDEX(D$5:D$67,MATCH($B1110,$B$5:$B$67,0))</f>
        <v>352</v>
      </c>
      <c r="F1110" s="25">
        <f t="array" ref="F1110">INDEX(E$5:E$67,MATCH($B1110,$B$5:$B$67,0))</f>
        <v>1071</v>
      </c>
      <c r="G1110" s="25">
        <f t="array" ref="G1110">INDEX(F$5:F$67,MATCH($B1110,$B$5:$B$67,0))</f>
        <v>85.68</v>
      </c>
      <c r="H1110" s="25">
        <f t="array" ref="H1110">INDEX(G$5:G$66,MATCH($B1110,$B$5:$B$67,0))</f>
        <v>792</v>
      </c>
      <c r="I1110" s="25">
        <f t="array" ref="I1110">INDEX(H$5:H$67,MATCH($B1110,$B$5:$B$67,0))</f>
        <v>63.36</v>
      </c>
      <c r="J1110" s="25">
        <f t="array" ref="J1110">INDEX(I$5:I$67,MATCH($B1110,$B$5:$B$67,0))</f>
        <v>823</v>
      </c>
      <c r="K1110" s="25">
        <f t="array" ref="K1110">INDEX(J$5:J$67,MATCH($B1110,$B$5:$B$67,0))</f>
        <v>65.84</v>
      </c>
      <c r="L1110" s="25">
        <f t="shared" si="639"/>
        <v>8624</v>
      </c>
      <c r="M1110" s="25">
        <f t="shared" si="640"/>
        <v>2099</v>
      </c>
      <c r="N1110" s="25">
        <f t="shared" si="641"/>
        <v>1552</v>
      </c>
      <c r="O1110" s="25">
        <f t="shared" si="642"/>
        <v>1613</v>
      </c>
      <c r="R1110" s="50"/>
      <c r="S1110" s="51"/>
      <c r="T1110" s="29"/>
    </row>
    <row r="1111" spans="1:20">
      <c r="A1111" s="48">
        <v>1020013</v>
      </c>
      <c r="B1111" s="49" t="s">
        <v>350</v>
      </c>
      <c r="C1111" s="25">
        <f t="shared" si="638"/>
        <v>13</v>
      </c>
      <c r="D1111" s="25">
        <f t="array" ref="D1111">INDEX(C$5:C$67,MATCH($B1111,$B$5:$B$67,0))</f>
        <v>4400</v>
      </c>
      <c r="E1111" s="25">
        <f t="array" ref="E1111">INDEX(D$5:D$67,MATCH($B1111,$B$5:$B$67,0))</f>
        <v>352</v>
      </c>
      <c r="F1111" s="25">
        <f t="array" ref="F1111">INDEX(E$5:E$67,MATCH($B1111,$B$5:$B$67,0))</f>
        <v>1071</v>
      </c>
      <c r="G1111" s="25">
        <f t="array" ref="G1111">INDEX(F$5:F$67,MATCH($B1111,$B$5:$B$67,0))</f>
        <v>85.68</v>
      </c>
      <c r="H1111" s="25">
        <f t="array" ref="H1111">INDEX(G$5:G$66,MATCH($B1111,$B$5:$B$67,0))</f>
        <v>792</v>
      </c>
      <c r="I1111" s="25">
        <f t="array" ref="I1111">INDEX(H$5:H$67,MATCH($B1111,$B$5:$B$67,0))</f>
        <v>63.36</v>
      </c>
      <c r="J1111" s="25">
        <f t="array" ref="J1111">INDEX(I$5:I$67,MATCH($B1111,$B$5:$B$67,0))</f>
        <v>823</v>
      </c>
      <c r="K1111" s="25">
        <f t="array" ref="K1111">INDEX(J$5:J$67,MATCH($B1111,$B$5:$B$67,0))</f>
        <v>65.84</v>
      </c>
      <c r="L1111" s="25">
        <f t="shared" si="639"/>
        <v>8976</v>
      </c>
      <c r="M1111" s="25">
        <f t="shared" si="640"/>
        <v>2185</v>
      </c>
      <c r="N1111" s="25">
        <f t="shared" si="641"/>
        <v>1616</v>
      </c>
      <c r="O1111" s="25">
        <f t="shared" si="642"/>
        <v>1679</v>
      </c>
      <c r="R1111" s="50"/>
      <c r="S1111" s="51"/>
      <c r="T1111" s="29"/>
    </row>
    <row r="1112" spans="1:20">
      <c r="A1112" s="48">
        <v>1020014</v>
      </c>
      <c r="B1112" s="49" t="s">
        <v>350</v>
      </c>
      <c r="C1112" s="25">
        <f t="shared" si="638"/>
        <v>14</v>
      </c>
      <c r="D1112" s="25">
        <f t="array" ref="D1112">INDEX(C$5:C$67,MATCH($B1112,$B$5:$B$67,0))</f>
        <v>4400</v>
      </c>
      <c r="E1112" s="25">
        <f t="array" ref="E1112">INDEX(D$5:D$67,MATCH($B1112,$B$5:$B$67,0))</f>
        <v>352</v>
      </c>
      <c r="F1112" s="25">
        <f t="array" ref="F1112">INDEX(E$5:E$67,MATCH($B1112,$B$5:$B$67,0))</f>
        <v>1071</v>
      </c>
      <c r="G1112" s="25">
        <f t="array" ref="G1112">INDEX(F$5:F$67,MATCH($B1112,$B$5:$B$67,0))</f>
        <v>85.68</v>
      </c>
      <c r="H1112" s="25">
        <f t="array" ref="H1112">INDEX(G$5:G$66,MATCH($B1112,$B$5:$B$67,0))</f>
        <v>792</v>
      </c>
      <c r="I1112" s="25">
        <f t="array" ref="I1112">INDEX(H$5:H$67,MATCH($B1112,$B$5:$B$67,0))</f>
        <v>63.36</v>
      </c>
      <c r="J1112" s="25">
        <f t="array" ref="J1112">INDEX(I$5:I$67,MATCH($B1112,$B$5:$B$67,0))</f>
        <v>823</v>
      </c>
      <c r="K1112" s="25">
        <f t="array" ref="K1112">INDEX(J$5:J$67,MATCH($B1112,$B$5:$B$67,0))</f>
        <v>65.84</v>
      </c>
      <c r="L1112" s="25">
        <f t="shared" si="639"/>
        <v>9328</v>
      </c>
      <c r="M1112" s="25">
        <f t="shared" si="640"/>
        <v>2271</v>
      </c>
      <c r="N1112" s="25">
        <f t="shared" si="641"/>
        <v>1679</v>
      </c>
      <c r="O1112" s="25">
        <f t="shared" si="642"/>
        <v>1745</v>
      </c>
      <c r="R1112" s="50"/>
      <c r="S1112" s="51"/>
      <c r="T1112" s="29"/>
    </row>
    <row r="1113" spans="1:20">
      <c r="A1113" s="48">
        <v>1020015</v>
      </c>
      <c r="B1113" s="49" t="s">
        <v>350</v>
      </c>
      <c r="C1113" s="25">
        <f t="shared" si="638"/>
        <v>15</v>
      </c>
      <c r="D1113" s="25">
        <f t="array" ref="D1113">INDEX(C$5:C$67,MATCH($B1113,$B$5:$B$67,0))</f>
        <v>4400</v>
      </c>
      <c r="E1113" s="25">
        <f t="array" ref="E1113">INDEX(D$5:D$67,MATCH($B1113,$B$5:$B$67,0))</f>
        <v>352</v>
      </c>
      <c r="F1113" s="25">
        <f t="array" ref="F1113">INDEX(E$5:E$67,MATCH($B1113,$B$5:$B$67,0))</f>
        <v>1071</v>
      </c>
      <c r="G1113" s="25">
        <f t="array" ref="G1113">INDEX(F$5:F$67,MATCH($B1113,$B$5:$B$67,0))</f>
        <v>85.68</v>
      </c>
      <c r="H1113" s="25">
        <f t="array" ref="H1113">INDEX(G$5:G$66,MATCH($B1113,$B$5:$B$67,0))</f>
        <v>792</v>
      </c>
      <c r="I1113" s="25">
        <f t="array" ref="I1113">INDEX(H$5:H$67,MATCH($B1113,$B$5:$B$67,0))</f>
        <v>63.36</v>
      </c>
      <c r="J1113" s="25">
        <f t="array" ref="J1113">INDEX(I$5:I$67,MATCH($B1113,$B$5:$B$67,0))</f>
        <v>823</v>
      </c>
      <c r="K1113" s="25">
        <f t="array" ref="K1113">INDEX(J$5:J$67,MATCH($B1113,$B$5:$B$67,0))</f>
        <v>65.84</v>
      </c>
      <c r="L1113" s="25">
        <f t="shared" si="639"/>
        <v>9680</v>
      </c>
      <c r="M1113" s="25">
        <f t="shared" si="640"/>
        <v>2356</v>
      </c>
      <c r="N1113" s="25">
        <f t="shared" si="641"/>
        <v>1742</v>
      </c>
      <c r="O1113" s="25">
        <f t="shared" si="642"/>
        <v>1811</v>
      </c>
      <c r="R1113" s="50"/>
      <c r="S1113" s="51"/>
      <c r="T1113" s="29"/>
    </row>
    <row r="1114" spans="1:20">
      <c r="A1114" s="48">
        <v>1020016</v>
      </c>
      <c r="B1114" s="49" t="s">
        <v>350</v>
      </c>
      <c r="C1114" s="25">
        <f t="shared" si="638"/>
        <v>16</v>
      </c>
      <c r="D1114" s="25">
        <f t="array" ref="D1114">INDEX(C$5:C$67,MATCH($B1114,$B$5:$B$67,0))</f>
        <v>4400</v>
      </c>
      <c r="E1114" s="25">
        <f t="array" ref="E1114">INDEX(D$5:D$67,MATCH($B1114,$B$5:$B$67,0))</f>
        <v>352</v>
      </c>
      <c r="F1114" s="25">
        <f t="array" ref="F1114">INDEX(E$5:E$67,MATCH($B1114,$B$5:$B$67,0))</f>
        <v>1071</v>
      </c>
      <c r="G1114" s="25">
        <f t="array" ref="G1114">INDEX(F$5:F$67,MATCH($B1114,$B$5:$B$67,0))</f>
        <v>85.68</v>
      </c>
      <c r="H1114" s="25">
        <f t="array" ref="H1114">INDEX(G$5:G$66,MATCH($B1114,$B$5:$B$67,0))</f>
        <v>792</v>
      </c>
      <c r="I1114" s="25">
        <f t="array" ref="I1114">INDEX(H$5:H$67,MATCH($B1114,$B$5:$B$67,0))</f>
        <v>63.36</v>
      </c>
      <c r="J1114" s="25">
        <f t="array" ref="J1114">INDEX(I$5:I$67,MATCH($B1114,$B$5:$B$67,0))</f>
        <v>823</v>
      </c>
      <c r="K1114" s="25">
        <f t="array" ref="K1114">INDEX(J$5:J$67,MATCH($B1114,$B$5:$B$67,0))</f>
        <v>65.84</v>
      </c>
      <c r="L1114" s="25">
        <f t="shared" si="639"/>
        <v>10032</v>
      </c>
      <c r="M1114" s="25">
        <f t="shared" si="640"/>
        <v>2442</v>
      </c>
      <c r="N1114" s="25">
        <f t="shared" si="641"/>
        <v>1806</v>
      </c>
      <c r="O1114" s="25">
        <f t="shared" si="642"/>
        <v>1876</v>
      </c>
      <c r="R1114" s="50"/>
      <c r="S1114" s="51"/>
      <c r="T1114" s="29"/>
    </row>
    <row r="1115" spans="1:20">
      <c r="A1115" s="48">
        <v>1020017</v>
      </c>
      <c r="B1115" s="49" t="s">
        <v>350</v>
      </c>
      <c r="C1115" s="25">
        <f t="shared" si="638"/>
        <v>17</v>
      </c>
      <c r="D1115" s="25">
        <f t="array" ref="D1115">INDEX(C$5:C$67,MATCH($B1115,$B$5:$B$67,0))</f>
        <v>4400</v>
      </c>
      <c r="E1115" s="25">
        <f t="array" ref="E1115">INDEX(D$5:D$67,MATCH($B1115,$B$5:$B$67,0))</f>
        <v>352</v>
      </c>
      <c r="F1115" s="25">
        <f t="array" ref="F1115">INDEX(E$5:E$67,MATCH($B1115,$B$5:$B$67,0))</f>
        <v>1071</v>
      </c>
      <c r="G1115" s="25">
        <f t="array" ref="G1115">INDEX(F$5:F$67,MATCH($B1115,$B$5:$B$67,0))</f>
        <v>85.68</v>
      </c>
      <c r="H1115" s="25">
        <f t="array" ref="H1115">INDEX(G$5:G$66,MATCH($B1115,$B$5:$B$67,0))</f>
        <v>792</v>
      </c>
      <c r="I1115" s="25">
        <f t="array" ref="I1115">INDEX(H$5:H$67,MATCH($B1115,$B$5:$B$67,0))</f>
        <v>63.36</v>
      </c>
      <c r="J1115" s="25">
        <f t="array" ref="J1115">INDEX(I$5:I$67,MATCH($B1115,$B$5:$B$67,0))</f>
        <v>823</v>
      </c>
      <c r="K1115" s="25">
        <f t="array" ref="K1115">INDEX(J$5:J$67,MATCH($B1115,$B$5:$B$67,0))</f>
        <v>65.84</v>
      </c>
      <c r="L1115" s="25">
        <f t="shared" si="639"/>
        <v>10384</v>
      </c>
      <c r="M1115" s="25">
        <f t="shared" si="640"/>
        <v>2528</v>
      </c>
      <c r="N1115" s="25">
        <f t="shared" si="641"/>
        <v>1869</v>
      </c>
      <c r="O1115" s="25">
        <f t="shared" si="642"/>
        <v>1942</v>
      </c>
      <c r="R1115" s="50"/>
      <c r="S1115" s="51"/>
      <c r="T1115" s="29"/>
    </row>
    <row r="1116" spans="1:20">
      <c r="A1116" s="48">
        <v>1020018</v>
      </c>
      <c r="B1116" s="49" t="s">
        <v>350</v>
      </c>
      <c r="C1116" s="25">
        <f t="shared" si="638"/>
        <v>18</v>
      </c>
      <c r="D1116" s="25">
        <f t="array" ref="D1116">INDEX(C$5:C$67,MATCH($B1116,$B$5:$B$67,0))</f>
        <v>4400</v>
      </c>
      <c r="E1116" s="25">
        <f t="array" ref="E1116">INDEX(D$5:D$67,MATCH($B1116,$B$5:$B$67,0))</f>
        <v>352</v>
      </c>
      <c r="F1116" s="25">
        <f t="array" ref="F1116">INDEX(E$5:E$67,MATCH($B1116,$B$5:$B$67,0))</f>
        <v>1071</v>
      </c>
      <c r="G1116" s="25">
        <f t="array" ref="G1116">INDEX(F$5:F$67,MATCH($B1116,$B$5:$B$67,0))</f>
        <v>85.68</v>
      </c>
      <c r="H1116" s="25">
        <f t="array" ref="H1116">INDEX(G$5:G$66,MATCH($B1116,$B$5:$B$67,0))</f>
        <v>792</v>
      </c>
      <c r="I1116" s="25">
        <f t="array" ref="I1116">INDEX(H$5:H$67,MATCH($B1116,$B$5:$B$67,0))</f>
        <v>63.36</v>
      </c>
      <c r="J1116" s="25">
        <f t="array" ref="J1116">INDEX(I$5:I$67,MATCH($B1116,$B$5:$B$67,0))</f>
        <v>823</v>
      </c>
      <c r="K1116" s="25">
        <f t="array" ref="K1116">INDEX(J$5:J$67,MATCH($B1116,$B$5:$B$67,0))</f>
        <v>65.84</v>
      </c>
      <c r="L1116" s="25">
        <f t="shared" si="639"/>
        <v>10736</v>
      </c>
      <c r="M1116" s="25">
        <f t="shared" si="640"/>
        <v>2613</v>
      </c>
      <c r="N1116" s="25">
        <f t="shared" si="641"/>
        <v>1932</v>
      </c>
      <c r="O1116" s="25">
        <f t="shared" si="642"/>
        <v>2008</v>
      </c>
      <c r="R1116" s="50"/>
      <c r="S1116" s="51"/>
      <c r="T1116" s="29"/>
    </row>
    <row r="1117" spans="1:20">
      <c r="A1117" s="48">
        <v>1020019</v>
      </c>
      <c r="B1117" s="49" t="s">
        <v>350</v>
      </c>
      <c r="C1117" s="25">
        <f t="shared" si="638"/>
        <v>19</v>
      </c>
      <c r="D1117" s="25">
        <f t="array" ref="D1117">INDEX(C$5:C$67,MATCH($B1117,$B$5:$B$67,0))</f>
        <v>4400</v>
      </c>
      <c r="E1117" s="25">
        <f t="array" ref="E1117">INDEX(D$5:D$67,MATCH($B1117,$B$5:$B$67,0))</f>
        <v>352</v>
      </c>
      <c r="F1117" s="25">
        <f t="array" ref="F1117">INDEX(E$5:E$67,MATCH($B1117,$B$5:$B$67,0))</f>
        <v>1071</v>
      </c>
      <c r="G1117" s="25">
        <f t="array" ref="G1117">INDEX(F$5:F$67,MATCH($B1117,$B$5:$B$67,0))</f>
        <v>85.68</v>
      </c>
      <c r="H1117" s="25">
        <f t="array" ref="H1117">INDEX(G$5:G$66,MATCH($B1117,$B$5:$B$67,0))</f>
        <v>792</v>
      </c>
      <c r="I1117" s="25">
        <f t="array" ref="I1117">INDEX(H$5:H$67,MATCH($B1117,$B$5:$B$67,0))</f>
        <v>63.36</v>
      </c>
      <c r="J1117" s="25">
        <f t="array" ref="J1117">INDEX(I$5:I$67,MATCH($B1117,$B$5:$B$67,0))</f>
        <v>823</v>
      </c>
      <c r="K1117" s="25">
        <f t="array" ref="K1117">INDEX(J$5:J$67,MATCH($B1117,$B$5:$B$67,0))</f>
        <v>65.84</v>
      </c>
      <c r="L1117" s="25">
        <f t="shared" si="639"/>
        <v>11088</v>
      </c>
      <c r="M1117" s="25">
        <f t="shared" si="640"/>
        <v>2699</v>
      </c>
      <c r="N1117" s="25">
        <f t="shared" si="641"/>
        <v>1996</v>
      </c>
      <c r="O1117" s="25">
        <f t="shared" si="642"/>
        <v>2074</v>
      </c>
      <c r="R1117" s="50"/>
      <c r="S1117" s="51"/>
      <c r="T1117" s="29"/>
    </row>
    <row r="1118" spans="1:20">
      <c r="A1118" s="48">
        <v>1020020</v>
      </c>
      <c r="B1118" s="49" t="s">
        <v>350</v>
      </c>
      <c r="C1118" s="25">
        <f t="shared" si="638"/>
        <v>20</v>
      </c>
      <c r="D1118" s="25">
        <f t="array" ref="D1118">INDEX(C$5:C$67,MATCH($B1118,$B$5:$B$67,0))</f>
        <v>4400</v>
      </c>
      <c r="E1118" s="25">
        <f t="array" ref="E1118">INDEX(D$5:D$67,MATCH($B1118,$B$5:$B$67,0))</f>
        <v>352</v>
      </c>
      <c r="F1118" s="25">
        <f t="array" ref="F1118">INDEX(E$5:E$67,MATCH($B1118,$B$5:$B$67,0))</f>
        <v>1071</v>
      </c>
      <c r="G1118" s="25">
        <f t="array" ref="G1118">INDEX(F$5:F$67,MATCH($B1118,$B$5:$B$67,0))</f>
        <v>85.68</v>
      </c>
      <c r="H1118" s="25">
        <f t="array" ref="H1118">INDEX(G$5:G$66,MATCH($B1118,$B$5:$B$67,0))</f>
        <v>792</v>
      </c>
      <c r="I1118" s="25">
        <f t="array" ref="I1118">INDEX(H$5:H$67,MATCH($B1118,$B$5:$B$67,0))</f>
        <v>63.36</v>
      </c>
      <c r="J1118" s="25">
        <f t="array" ref="J1118">INDEX(I$5:I$67,MATCH($B1118,$B$5:$B$67,0))</f>
        <v>823</v>
      </c>
      <c r="K1118" s="25">
        <f t="array" ref="K1118">INDEX(J$5:J$67,MATCH($B1118,$B$5:$B$67,0))</f>
        <v>65.84</v>
      </c>
      <c r="L1118" s="25">
        <f t="shared" si="639"/>
        <v>11440</v>
      </c>
      <c r="M1118" s="25">
        <f t="shared" si="640"/>
        <v>2785</v>
      </c>
      <c r="N1118" s="25">
        <f t="shared" si="641"/>
        <v>2059</v>
      </c>
      <c r="O1118" s="25">
        <f t="shared" si="642"/>
        <v>2140</v>
      </c>
      <c r="R1118" s="50"/>
      <c r="S1118" s="51"/>
      <c r="T1118" s="29"/>
    </row>
    <row r="1119" spans="1:20">
      <c r="A1119" s="48">
        <v>1020021</v>
      </c>
      <c r="B1119" s="49" t="s">
        <v>350</v>
      </c>
      <c r="C1119" s="25">
        <f t="shared" si="638"/>
        <v>21</v>
      </c>
      <c r="D1119" s="25">
        <f t="array" ref="D1119">INDEX(C$5:C$67,MATCH($B1119,$B$5:$B$67,0))</f>
        <v>4400</v>
      </c>
      <c r="E1119" s="25">
        <f t="array" ref="E1119">INDEX(D$5:D$67,MATCH($B1119,$B$5:$B$67,0))</f>
        <v>352</v>
      </c>
      <c r="F1119" s="25">
        <f t="array" ref="F1119">INDEX(E$5:E$67,MATCH($B1119,$B$5:$B$67,0))</f>
        <v>1071</v>
      </c>
      <c r="G1119" s="25">
        <f t="array" ref="G1119">INDEX(F$5:F$67,MATCH($B1119,$B$5:$B$67,0))</f>
        <v>85.68</v>
      </c>
      <c r="H1119" s="25">
        <f t="array" ref="H1119">INDEX(G$5:G$66,MATCH($B1119,$B$5:$B$67,0))</f>
        <v>792</v>
      </c>
      <c r="I1119" s="25">
        <f t="array" ref="I1119">INDEX(H$5:H$67,MATCH($B1119,$B$5:$B$67,0))</f>
        <v>63.36</v>
      </c>
      <c r="J1119" s="25">
        <f t="array" ref="J1119">INDEX(I$5:I$67,MATCH($B1119,$B$5:$B$67,0))</f>
        <v>823</v>
      </c>
      <c r="K1119" s="25">
        <f t="array" ref="K1119">INDEX(J$5:J$67,MATCH($B1119,$B$5:$B$67,0))</f>
        <v>65.84</v>
      </c>
      <c r="L1119" s="25">
        <f t="shared" si="639"/>
        <v>11792</v>
      </c>
      <c r="M1119" s="25">
        <f t="shared" si="640"/>
        <v>2870</v>
      </c>
      <c r="N1119" s="25">
        <f t="shared" si="641"/>
        <v>2123</v>
      </c>
      <c r="O1119" s="25">
        <f t="shared" si="642"/>
        <v>2206</v>
      </c>
      <c r="R1119" s="50"/>
      <c r="S1119" s="51"/>
      <c r="T1119" s="29"/>
    </row>
    <row r="1120" spans="1:20">
      <c r="A1120" s="48">
        <v>1020022</v>
      </c>
      <c r="B1120" s="49" t="s">
        <v>350</v>
      </c>
      <c r="C1120" s="25">
        <f t="shared" si="638"/>
        <v>22</v>
      </c>
      <c r="D1120" s="25">
        <f t="array" ref="D1120">INDEX(C$5:C$67,MATCH($B1120,$B$5:$B$67,0))</f>
        <v>4400</v>
      </c>
      <c r="E1120" s="25">
        <f t="array" ref="E1120">INDEX(D$5:D$67,MATCH($B1120,$B$5:$B$67,0))</f>
        <v>352</v>
      </c>
      <c r="F1120" s="25">
        <f t="array" ref="F1120">INDEX(E$5:E$67,MATCH($B1120,$B$5:$B$67,0))</f>
        <v>1071</v>
      </c>
      <c r="G1120" s="25">
        <f t="array" ref="G1120">INDEX(F$5:F$67,MATCH($B1120,$B$5:$B$67,0))</f>
        <v>85.68</v>
      </c>
      <c r="H1120" s="25">
        <f t="array" ref="H1120">INDEX(G$5:G$66,MATCH($B1120,$B$5:$B$67,0))</f>
        <v>792</v>
      </c>
      <c r="I1120" s="25">
        <f t="array" ref="I1120">INDEX(H$5:H$67,MATCH($B1120,$B$5:$B$67,0))</f>
        <v>63.36</v>
      </c>
      <c r="J1120" s="25">
        <f t="array" ref="J1120">INDEX(I$5:I$67,MATCH($B1120,$B$5:$B$67,0))</f>
        <v>823</v>
      </c>
      <c r="K1120" s="25">
        <f t="array" ref="K1120">INDEX(J$5:J$67,MATCH($B1120,$B$5:$B$67,0))</f>
        <v>65.84</v>
      </c>
      <c r="L1120" s="25">
        <f t="shared" si="639"/>
        <v>12144</v>
      </c>
      <c r="M1120" s="25">
        <f t="shared" si="640"/>
        <v>2956</v>
      </c>
      <c r="N1120" s="25">
        <f t="shared" si="641"/>
        <v>2186</v>
      </c>
      <c r="O1120" s="25">
        <f t="shared" si="642"/>
        <v>2271</v>
      </c>
      <c r="R1120" s="50"/>
      <c r="S1120" s="51"/>
      <c r="T1120" s="29"/>
    </row>
    <row r="1121" spans="1:20">
      <c r="A1121" s="48">
        <v>1020023</v>
      </c>
      <c r="B1121" s="49" t="s">
        <v>350</v>
      </c>
      <c r="C1121" s="25">
        <f t="shared" si="638"/>
        <v>23</v>
      </c>
      <c r="D1121" s="25">
        <f t="array" ref="D1121">INDEX(C$5:C$67,MATCH($B1121,$B$5:$B$67,0))</f>
        <v>4400</v>
      </c>
      <c r="E1121" s="25">
        <f t="array" ref="E1121">INDEX(D$5:D$67,MATCH($B1121,$B$5:$B$67,0))</f>
        <v>352</v>
      </c>
      <c r="F1121" s="25">
        <f t="array" ref="F1121">INDEX(E$5:E$67,MATCH($B1121,$B$5:$B$67,0))</f>
        <v>1071</v>
      </c>
      <c r="G1121" s="25">
        <f t="array" ref="G1121">INDEX(F$5:F$67,MATCH($B1121,$B$5:$B$67,0))</f>
        <v>85.68</v>
      </c>
      <c r="H1121" s="25">
        <f t="array" ref="H1121">INDEX(G$5:G$66,MATCH($B1121,$B$5:$B$67,0))</f>
        <v>792</v>
      </c>
      <c r="I1121" s="25">
        <f t="array" ref="I1121">INDEX(H$5:H$67,MATCH($B1121,$B$5:$B$67,0))</f>
        <v>63.36</v>
      </c>
      <c r="J1121" s="25">
        <f t="array" ref="J1121">INDEX(I$5:I$67,MATCH($B1121,$B$5:$B$67,0))</f>
        <v>823</v>
      </c>
      <c r="K1121" s="25">
        <f t="array" ref="K1121">INDEX(J$5:J$67,MATCH($B1121,$B$5:$B$67,0))</f>
        <v>65.84</v>
      </c>
      <c r="L1121" s="25">
        <f t="shared" si="639"/>
        <v>12496</v>
      </c>
      <c r="M1121" s="25">
        <f t="shared" si="640"/>
        <v>3042</v>
      </c>
      <c r="N1121" s="25">
        <f t="shared" si="641"/>
        <v>2249</v>
      </c>
      <c r="O1121" s="25">
        <f t="shared" si="642"/>
        <v>2337</v>
      </c>
      <c r="R1121" s="50"/>
      <c r="S1121" s="51"/>
      <c r="T1121" s="29"/>
    </row>
    <row r="1122" spans="1:20">
      <c r="A1122" s="48">
        <v>1020024</v>
      </c>
      <c r="B1122" s="49" t="s">
        <v>350</v>
      </c>
      <c r="C1122" s="25">
        <f t="shared" si="638"/>
        <v>24</v>
      </c>
      <c r="D1122" s="25">
        <f t="array" ref="D1122">INDEX(C$5:C$67,MATCH($B1122,$B$5:$B$67,0))</f>
        <v>4400</v>
      </c>
      <c r="E1122" s="25">
        <f t="array" ref="E1122">INDEX(D$5:D$67,MATCH($B1122,$B$5:$B$67,0))</f>
        <v>352</v>
      </c>
      <c r="F1122" s="25">
        <f t="array" ref="F1122">INDEX(E$5:E$67,MATCH($B1122,$B$5:$B$67,0))</f>
        <v>1071</v>
      </c>
      <c r="G1122" s="25">
        <f t="array" ref="G1122">INDEX(F$5:F$67,MATCH($B1122,$B$5:$B$67,0))</f>
        <v>85.68</v>
      </c>
      <c r="H1122" s="25">
        <f t="array" ref="H1122">INDEX(G$5:G$66,MATCH($B1122,$B$5:$B$67,0))</f>
        <v>792</v>
      </c>
      <c r="I1122" s="25">
        <f t="array" ref="I1122">INDEX(H$5:H$67,MATCH($B1122,$B$5:$B$67,0))</f>
        <v>63.36</v>
      </c>
      <c r="J1122" s="25">
        <f t="array" ref="J1122">INDEX(I$5:I$67,MATCH($B1122,$B$5:$B$67,0))</f>
        <v>823</v>
      </c>
      <c r="K1122" s="25">
        <f t="array" ref="K1122">INDEX(J$5:J$67,MATCH($B1122,$B$5:$B$67,0))</f>
        <v>65.84</v>
      </c>
      <c r="L1122" s="25">
        <f t="shared" si="639"/>
        <v>12848</v>
      </c>
      <c r="M1122" s="25">
        <f t="shared" si="640"/>
        <v>3127</v>
      </c>
      <c r="N1122" s="25">
        <f t="shared" si="641"/>
        <v>2313</v>
      </c>
      <c r="O1122" s="25">
        <f t="shared" si="642"/>
        <v>2403</v>
      </c>
      <c r="R1122" s="50"/>
      <c r="S1122" s="51"/>
      <c r="T1122" s="29"/>
    </row>
    <row r="1123" spans="1:20">
      <c r="A1123" s="48">
        <v>1020025</v>
      </c>
      <c r="B1123" s="49" t="s">
        <v>350</v>
      </c>
      <c r="C1123" s="25">
        <f t="shared" si="638"/>
        <v>25</v>
      </c>
      <c r="D1123" s="25">
        <f t="array" ref="D1123">INDEX(C$5:C$67,MATCH($B1123,$B$5:$B$67,0))</f>
        <v>4400</v>
      </c>
      <c r="E1123" s="25">
        <f t="array" ref="E1123">INDEX(D$5:D$67,MATCH($B1123,$B$5:$B$67,0))</f>
        <v>352</v>
      </c>
      <c r="F1123" s="25">
        <f t="array" ref="F1123">INDEX(E$5:E$67,MATCH($B1123,$B$5:$B$67,0))</f>
        <v>1071</v>
      </c>
      <c r="G1123" s="25">
        <f t="array" ref="G1123">INDEX(F$5:F$67,MATCH($B1123,$B$5:$B$67,0))</f>
        <v>85.68</v>
      </c>
      <c r="H1123" s="25">
        <f t="array" ref="H1123">INDEX(G$5:G$66,MATCH($B1123,$B$5:$B$67,0))</f>
        <v>792</v>
      </c>
      <c r="I1123" s="25">
        <f t="array" ref="I1123">INDEX(H$5:H$67,MATCH($B1123,$B$5:$B$67,0))</f>
        <v>63.36</v>
      </c>
      <c r="J1123" s="25">
        <f t="array" ref="J1123">INDEX(I$5:I$67,MATCH($B1123,$B$5:$B$67,0))</f>
        <v>823</v>
      </c>
      <c r="K1123" s="25">
        <f t="array" ref="K1123">INDEX(J$5:J$67,MATCH($B1123,$B$5:$B$67,0))</f>
        <v>65.84</v>
      </c>
      <c r="L1123" s="25">
        <f t="shared" si="639"/>
        <v>13200</v>
      </c>
      <c r="M1123" s="25">
        <f t="shared" si="640"/>
        <v>3213</v>
      </c>
      <c r="N1123" s="25">
        <f t="shared" si="641"/>
        <v>2376</v>
      </c>
      <c r="O1123" s="25">
        <f t="shared" si="642"/>
        <v>2469</v>
      </c>
      <c r="R1123" s="50"/>
      <c r="S1123" s="51"/>
      <c r="T1123" s="29"/>
    </row>
    <row r="1124" spans="1:20">
      <c r="A1124" s="48">
        <v>1020026</v>
      </c>
      <c r="B1124" s="49" t="s">
        <v>350</v>
      </c>
      <c r="C1124" s="25">
        <f t="shared" si="638"/>
        <v>26</v>
      </c>
      <c r="D1124" s="25">
        <f t="array" ref="D1124">INDEX(C$5:C$67,MATCH($B1124,$B$5:$B$67,0))</f>
        <v>4400</v>
      </c>
      <c r="E1124" s="25">
        <f t="array" ref="E1124">INDEX(D$5:D$67,MATCH($B1124,$B$5:$B$67,0))</f>
        <v>352</v>
      </c>
      <c r="F1124" s="25">
        <f t="array" ref="F1124">INDEX(E$5:E$67,MATCH($B1124,$B$5:$B$67,0))</f>
        <v>1071</v>
      </c>
      <c r="G1124" s="25">
        <f t="array" ref="G1124">INDEX(F$5:F$67,MATCH($B1124,$B$5:$B$67,0))</f>
        <v>85.68</v>
      </c>
      <c r="H1124" s="25">
        <f t="array" ref="H1124">INDEX(G$5:G$66,MATCH($B1124,$B$5:$B$67,0))</f>
        <v>792</v>
      </c>
      <c r="I1124" s="25">
        <f t="array" ref="I1124">INDEX(H$5:H$67,MATCH($B1124,$B$5:$B$67,0))</f>
        <v>63.36</v>
      </c>
      <c r="J1124" s="25">
        <f t="array" ref="J1124">INDEX(I$5:I$67,MATCH($B1124,$B$5:$B$67,0))</f>
        <v>823</v>
      </c>
      <c r="K1124" s="25">
        <f t="array" ref="K1124">INDEX(J$5:J$67,MATCH($B1124,$B$5:$B$67,0))</f>
        <v>65.84</v>
      </c>
      <c r="L1124" s="25">
        <f t="shared" si="639"/>
        <v>13552</v>
      </c>
      <c r="M1124" s="25">
        <f t="shared" si="640"/>
        <v>3299</v>
      </c>
      <c r="N1124" s="25">
        <f t="shared" si="641"/>
        <v>2439</v>
      </c>
      <c r="O1124" s="25">
        <f t="shared" si="642"/>
        <v>2535</v>
      </c>
      <c r="R1124" s="50"/>
      <c r="S1124" s="51"/>
      <c r="T1124" s="29"/>
    </row>
    <row r="1125" spans="1:20">
      <c r="A1125" s="48">
        <v>1020027</v>
      </c>
      <c r="B1125" s="49" t="s">
        <v>350</v>
      </c>
      <c r="C1125" s="25">
        <f t="shared" si="638"/>
        <v>27</v>
      </c>
      <c r="D1125" s="25">
        <f t="array" ref="D1125">INDEX(C$5:C$67,MATCH($B1125,$B$5:$B$67,0))</f>
        <v>4400</v>
      </c>
      <c r="E1125" s="25">
        <f t="array" ref="E1125">INDEX(D$5:D$67,MATCH($B1125,$B$5:$B$67,0))</f>
        <v>352</v>
      </c>
      <c r="F1125" s="25">
        <f t="array" ref="F1125">INDEX(E$5:E$67,MATCH($B1125,$B$5:$B$67,0))</f>
        <v>1071</v>
      </c>
      <c r="G1125" s="25">
        <f t="array" ref="G1125">INDEX(F$5:F$67,MATCH($B1125,$B$5:$B$67,0))</f>
        <v>85.68</v>
      </c>
      <c r="H1125" s="25">
        <f t="array" ref="H1125">INDEX(G$5:G$66,MATCH($B1125,$B$5:$B$67,0))</f>
        <v>792</v>
      </c>
      <c r="I1125" s="25">
        <f t="array" ref="I1125">INDEX(H$5:H$67,MATCH($B1125,$B$5:$B$67,0))</f>
        <v>63.36</v>
      </c>
      <c r="J1125" s="25">
        <f t="array" ref="J1125">INDEX(I$5:I$67,MATCH($B1125,$B$5:$B$67,0))</f>
        <v>823</v>
      </c>
      <c r="K1125" s="25">
        <f t="array" ref="K1125">INDEX(J$5:J$67,MATCH($B1125,$B$5:$B$67,0))</f>
        <v>65.84</v>
      </c>
      <c r="L1125" s="25">
        <f t="shared" si="639"/>
        <v>13904</v>
      </c>
      <c r="M1125" s="25">
        <f t="shared" si="640"/>
        <v>3384</v>
      </c>
      <c r="N1125" s="25">
        <f t="shared" si="641"/>
        <v>2503</v>
      </c>
      <c r="O1125" s="25">
        <f t="shared" si="642"/>
        <v>2601</v>
      </c>
      <c r="R1125" s="50"/>
      <c r="S1125" s="51"/>
      <c r="T1125" s="29"/>
    </row>
    <row r="1126" spans="1:20">
      <c r="A1126" s="48">
        <v>1020028</v>
      </c>
      <c r="B1126" s="49" t="s">
        <v>350</v>
      </c>
      <c r="C1126" s="25">
        <f t="shared" si="638"/>
        <v>28</v>
      </c>
      <c r="D1126" s="25">
        <f t="array" ref="D1126">INDEX(C$5:C$67,MATCH($B1126,$B$5:$B$67,0))</f>
        <v>4400</v>
      </c>
      <c r="E1126" s="25">
        <f t="array" ref="E1126">INDEX(D$5:D$67,MATCH($B1126,$B$5:$B$67,0))</f>
        <v>352</v>
      </c>
      <c r="F1126" s="25">
        <f t="array" ref="F1126">INDEX(E$5:E$67,MATCH($B1126,$B$5:$B$67,0))</f>
        <v>1071</v>
      </c>
      <c r="G1126" s="25">
        <f t="array" ref="G1126">INDEX(F$5:F$67,MATCH($B1126,$B$5:$B$67,0))</f>
        <v>85.68</v>
      </c>
      <c r="H1126" s="25">
        <f t="array" ref="H1126">INDEX(G$5:G$66,MATCH($B1126,$B$5:$B$67,0))</f>
        <v>792</v>
      </c>
      <c r="I1126" s="25">
        <f t="array" ref="I1126">INDEX(H$5:H$67,MATCH($B1126,$B$5:$B$67,0))</f>
        <v>63.36</v>
      </c>
      <c r="J1126" s="25">
        <f t="array" ref="J1126">INDEX(I$5:I$67,MATCH($B1126,$B$5:$B$67,0))</f>
        <v>823</v>
      </c>
      <c r="K1126" s="25">
        <f t="array" ref="K1126">INDEX(J$5:J$67,MATCH($B1126,$B$5:$B$67,0))</f>
        <v>65.84</v>
      </c>
      <c r="L1126" s="25">
        <f t="shared" si="639"/>
        <v>14256</v>
      </c>
      <c r="M1126" s="25">
        <f t="shared" si="640"/>
        <v>3470</v>
      </c>
      <c r="N1126" s="25">
        <f t="shared" si="641"/>
        <v>2566</v>
      </c>
      <c r="O1126" s="25">
        <f t="shared" si="642"/>
        <v>2667</v>
      </c>
      <c r="R1126" s="50"/>
      <c r="S1126" s="51"/>
      <c r="T1126" s="29"/>
    </row>
    <row r="1127" spans="1:20">
      <c r="A1127" s="48">
        <v>1020029</v>
      </c>
      <c r="B1127" s="49" t="s">
        <v>350</v>
      </c>
      <c r="C1127" s="25">
        <f t="shared" si="638"/>
        <v>29</v>
      </c>
      <c r="D1127" s="25">
        <f t="array" ref="D1127">INDEX(C$5:C$67,MATCH($B1127,$B$5:$B$67,0))</f>
        <v>4400</v>
      </c>
      <c r="E1127" s="25">
        <f t="array" ref="E1127">INDEX(D$5:D$67,MATCH($B1127,$B$5:$B$67,0))</f>
        <v>352</v>
      </c>
      <c r="F1127" s="25">
        <f t="array" ref="F1127">INDEX(E$5:E$67,MATCH($B1127,$B$5:$B$67,0))</f>
        <v>1071</v>
      </c>
      <c r="G1127" s="25">
        <f t="array" ref="G1127">INDEX(F$5:F$67,MATCH($B1127,$B$5:$B$67,0))</f>
        <v>85.68</v>
      </c>
      <c r="H1127" s="25">
        <f t="array" ref="H1127">INDEX(G$5:G$66,MATCH($B1127,$B$5:$B$67,0))</f>
        <v>792</v>
      </c>
      <c r="I1127" s="25">
        <f t="array" ref="I1127">INDEX(H$5:H$67,MATCH($B1127,$B$5:$B$67,0))</f>
        <v>63.36</v>
      </c>
      <c r="J1127" s="25">
        <f t="array" ref="J1127">INDEX(I$5:I$67,MATCH($B1127,$B$5:$B$67,0))</f>
        <v>823</v>
      </c>
      <c r="K1127" s="25">
        <f t="array" ref="K1127">INDEX(J$5:J$67,MATCH($B1127,$B$5:$B$67,0))</f>
        <v>65.84</v>
      </c>
      <c r="L1127" s="25">
        <f t="shared" si="639"/>
        <v>14608</v>
      </c>
      <c r="M1127" s="25">
        <f t="shared" si="640"/>
        <v>3556</v>
      </c>
      <c r="N1127" s="25">
        <f t="shared" si="641"/>
        <v>2629</v>
      </c>
      <c r="O1127" s="25">
        <f t="shared" si="642"/>
        <v>2732</v>
      </c>
      <c r="R1127" s="50"/>
      <c r="S1127" s="51"/>
      <c r="T1127" s="29"/>
    </row>
    <row r="1128" spans="1:20">
      <c r="A1128" s="48">
        <v>1020030</v>
      </c>
      <c r="B1128" s="49" t="s">
        <v>350</v>
      </c>
      <c r="C1128" s="25">
        <f t="shared" si="638"/>
        <v>30</v>
      </c>
      <c r="D1128" s="25">
        <f t="array" ref="D1128">INDEX(C$5:C$67,MATCH($B1128,$B$5:$B$67,0))</f>
        <v>4400</v>
      </c>
      <c r="E1128" s="25">
        <f t="array" ref="E1128">INDEX(D$5:D$67,MATCH($B1128,$B$5:$B$67,0))</f>
        <v>352</v>
      </c>
      <c r="F1128" s="25">
        <f t="array" ref="F1128">INDEX(E$5:E$67,MATCH($B1128,$B$5:$B$67,0))</f>
        <v>1071</v>
      </c>
      <c r="G1128" s="25">
        <f t="array" ref="G1128">INDEX(F$5:F$67,MATCH($B1128,$B$5:$B$67,0))</f>
        <v>85.68</v>
      </c>
      <c r="H1128" s="25">
        <f t="array" ref="H1128">INDEX(G$5:G$66,MATCH($B1128,$B$5:$B$67,0))</f>
        <v>792</v>
      </c>
      <c r="I1128" s="25">
        <f t="array" ref="I1128">INDEX(H$5:H$67,MATCH($B1128,$B$5:$B$67,0))</f>
        <v>63.36</v>
      </c>
      <c r="J1128" s="25">
        <f t="array" ref="J1128">INDEX(I$5:I$67,MATCH($B1128,$B$5:$B$67,0))</f>
        <v>823</v>
      </c>
      <c r="K1128" s="25">
        <f t="array" ref="K1128">INDEX(J$5:J$67,MATCH($B1128,$B$5:$B$67,0))</f>
        <v>65.84</v>
      </c>
      <c r="L1128" s="25">
        <f t="shared" si="639"/>
        <v>14960</v>
      </c>
      <c r="M1128" s="25">
        <f t="shared" si="640"/>
        <v>3641</v>
      </c>
      <c r="N1128" s="25">
        <f t="shared" si="641"/>
        <v>2693</v>
      </c>
      <c r="O1128" s="25">
        <f t="shared" si="642"/>
        <v>2798</v>
      </c>
      <c r="R1128" s="50"/>
      <c r="S1128" s="51"/>
      <c r="T1128" s="29"/>
    </row>
    <row r="1129" spans="1:20">
      <c r="A1129" s="48">
        <v>1020031</v>
      </c>
      <c r="B1129" s="49" t="s">
        <v>350</v>
      </c>
      <c r="C1129" s="25">
        <f t="shared" si="638"/>
        <v>31</v>
      </c>
      <c r="D1129" s="25">
        <f t="array" ref="D1129">INDEX(C$5:C$67,MATCH($B1129,$B$5:$B$67,0))</f>
        <v>4400</v>
      </c>
      <c r="E1129" s="25">
        <f t="array" ref="E1129">INDEX(D$5:D$67,MATCH($B1129,$B$5:$B$67,0))</f>
        <v>352</v>
      </c>
      <c r="F1129" s="25">
        <f t="array" ref="F1129">INDEX(E$5:E$67,MATCH($B1129,$B$5:$B$67,0))</f>
        <v>1071</v>
      </c>
      <c r="G1129" s="25">
        <f t="array" ref="G1129">INDEX(F$5:F$67,MATCH($B1129,$B$5:$B$67,0))</f>
        <v>85.68</v>
      </c>
      <c r="H1129" s="25">
        <f t="array" ref="H1129">INDEX(G$5:G$66,MATCH($B1129,$B$5:$B$67,0))</f>
        <v>792</v>
      </c>
      <c r="I1129" s="25">
        <f t="array" ref="I1129">INDEX(H$5:H$67,MATCH($B1129,$B$5:$B$67,0))</f>
        <v>63.36</v>
      </c>
      <c r="J1129" s="25">
        <f t="array" ref="J1129">INDEX(I$5:I$67,MATCH($B1129,$B$5:$B$67,0))</f>
        <v>823</v>
      </c>
      <c r="K1129" s="25">
        <f t="array" ref="K1129">INDEX(J$5:J$67,MATCH($B1129,$B$5:$B$67,0))</f>
        <v>65.84</v>
      </c>
      <c r="L1129" s="25">
        <f t="shared" si="639"/>
        <v>15312</v>
      </c>
      <c r="M1129" s="25">
        <f t="shared" si="640"/>
        <v>3727</v>
      </c>
      <c r="N1129" s="25">
        <f t="shared" si="641"/>
        <v>2756</v>
      </c>
      <c r="O1129" s="25">
        <f t="shared" si="642"/>
        <v>2864</v>
      </c>
      <c r="R1129" s="50"/>
      <c r="S1129" s="51"/>
      <c r="T1129" s="29"/>
    </row>
    <row r="1130" spans="1:20">
      <c r="A1130" s="48">
        <v>1020032</v>
      </c>
      <c r="B1130" s="49" t="s">
        <v>350</v>
      </c>
      <c r="C1130" s="25">
        <f t="shared" si="638"/>
        <v>32</v>
      </c>
      <c r="D1130" s="25">
        <f t="array" ref="D1130">INDEX(C$5:C$67,MATCH($B1130,$B$5:$B$67,0))</f>
        <v>4400</v>
      </c>
      <c r="E1130" s="25">
        <f t="array" ref="E1130">INDEX(D$5:D$67,MATCH($B1130,$B$5:$B$67,0))</f>
        <v>352</v>
      </c>
      <c r="F1130" s="25">
        <f t="array" ref="F1130">INDEX(E$5:E$67,MATCH($B1130,$B$5:$B$67,0))</f>
        <v>1071</v>
      </c>
      <c r="G1130" s="25">
        <f t="array" ref="G1130">INDEX(F$5:F$67,MATCH($B1130,$B$5:$B$67,0))</f>
        <v>85.68</v>
      </c>
      <c r="H1130" s="25">
        <f t="array" ref="H1130">INDEX(G$5:G$66,MATCH($B1130,$B$5:$B$67,0))</f>
        <v>792</v>
      </c>
      <c r="I1130" s="25">
        <f t="array" ref="I1130">INDEX(H$5:H$67,MATCH($B1130,$B$5:$B$67,0))</f>
        <v>63.36</v>
      </c>
      <c r="J1130" s="25">
        <f t="array" ref="J1130">INDEX(I$5:I$67,MATCH($B1130,$B$5:$B$67,0))</f>
        <v>823</v>
      </c>
      <c r="K1130" s="25">
        <f t="array" ref="K1130">INDEX(J$5:J$67,MATCH($B1130,$B$5:$B$67,0))</f>
        <v>65.84</v>
      </c>
      <c r="L1130" s="25">
        <f t="shared" si="639"/>
        <v>15664</v>
      </c>
      <c r="M1130" s="25">
        <f t="shared" si="640"/>
        <v>3813</v>
      </c>
      <c r="N1130" s="25">
        <f t="shared" si="641"/>
        <v>2820</v>
      </c>
      <c r="O1130" s="25">
        <f t="shared" si="642"/>
        <v>2930</v>
      </c>
      <c r="R1130" s="50"/>
      <c r="S1130" s="51"/>
      <c r="T1130" s="29"/>
    </row>
    <row r="1131" spans="1:20">
      <c r="A1131" s="48">
        <v>1020033</v>
      </c>
      <c r="B1131" s="49" t="s">
        <v>350</v>
      </c>
      <c r="C1131" s="25">
        <f t="shared" si="638"/>
        <v>33</v>
      </c>
      <c r="D1131" s="25">
        <f t="array" ref="D1131">INDEX(C$5:C$67,MATCH($B1131,$B$5:$B$67,0))</f>
        <v>4400</v>
      </c>
      <c r="E1131" s="25">
        <f t="array" ref="E1131">INDEX(D$5:D$67,MATCH($B1131,$B$5:$B$67,0))</f>
        <v>352</v>
      </c>
      <c r="F1131" s="25">
        <f t="array" ref="F1131">INDEX(E$5:E$67,MATCH($B1131,$B$5:$B$67,0))</f>
        <v>1071</v>
      </c>
      <c r="G1131" s="25">
        <f t="array" ref="G1131">INDEX(F$5:F$67,MATCH($B1131,$B$5:$B$67,0))</f>
        <v>85.68</v>
      </c>
      <c r="H1131" s="25">
        <f t="array" ref="H1131">INDEX(G$5:G$66,MATCH($B1131,$B$5:$B$67,0))</f>
        <v>792</v>
      </c>
      <c r="I1131" s="25">
        <f t="array" ref="I1131">INDEX(H$5:H$67,MATCH($B1131,$B$5:$B$67,0))</f>
        <v>63.36</v>
      </c>
      <c r="J1131" s="25">
        <f t="array" ref="J1131">INDEX(I$5:I$67,MATCH($B1131,$B$5:$B$67,0))</f>
        <v>823</v>
      </c>
      <c r="K1131" s="25">
        <f t="array" ref="K1131">INDEX(J$5:J$67,MATCH($B1131,$B$5:$B$67,0))</f>
        <v>65.84</v>
      </c>
      <c r="L1131" s="25">
        <f t="shared" si="639"/>
        <v>16016</v>
      </c>
      <c r="M1131" s="25">
        <f t="shared" si="640"/>
        <v>3898</v>
      </c>
      <c r="N1131" s="25">
        <f t="shared" si="641"/>
        <v>2883</v>
      </c>
      <c r="O1131" s="25">
        <f t="shared" si="642"/>
        <v>2996</v>
      </c>
      <c r="R1131" s="50"/>
      <c r="S1131" s="51"/>
      <c r="T1131" s="29"/>
    </row>
    <row r="1132" spans="1:20">
      <c r="A1132" s="48">
        <v>1020034</v>
      </c>
      <c r="B1132" s="49" t="s">
        <v>350</v>
      </c>
      <c r="C1132" s="25">
        <f t="shared" si="638"/>
        <v>34</v>
      </c>
      <c r="D1132" s="25">
        <f t="array" ref="D1132">INDEX(C$5:C$67,MATCH($B1132,$B$5:$B$67,0))</f>
        <v>4400</v>
      </c>
      <c r="E1132" s="25">
        <f t="array" ref="E1132">INDEX(D$5:D$67,MATCH($B1132,$B$5:$B$67,0))</f>
        <v>352</v>
      </c>
      <c r="F1132" s="25">
        <f t="array" ref="F1132">INDEX(E$5:E$67,MATCH($B1132,$B$5:$B$67,0))</f>
        <v>1071</v>
      </c>
      <c r="G1132" s="25">
        <f t="array" ref="G1132">INDEX(F$5:F$67,MATCH($B1132,$B$5:$B$67,0))</f>
        <v>85.68</v>
      </c>
      <c r="H1132" s="25">
        <f t="array" ref="H1132">INDEX(G$5:G$66,MATCH($B1132,$B$5:$B$67,0))</f>
        <v>792</v>
      </c>
      <c r="I1132" s="25">
        <f t="array" ref="I1132">INDEX(H$5:H$67,MATCH($B1132,$B$5:$B$67,0))</f>
        <v>63.36</v>
      </c>
      <c r="J1132" s="25">
        <f t="array" ref="J1132">INDEX(I$5:I$67,MATCH($B1132,$B$5:$B$67,0))</f>
        <v>823</v>
      </c>
      <c r="K1132" s="25">
        <f t="array" ref="K1132">INDEX(J$5:J$67,MATCH($B1132,$B$5:$B$67,0))</f>
        <v>65.84</v>
      </c>
      <c r="L1132" s="25">
        <f t="shared" si="639"/>
        <v>16368</v>
      </c>
      <c r="M1132" s="25">
        <f t="shared" si="640"/>
        <v>3984</v>
      </c>
      <c r="N1132" s="25">
        <f t="shared" si="641"/>
        <v>2946</v>
      </c>
      <c r="O1132" s="25">
        <f t="shared" si="642"/>
        <v>3062</v>
      </c>
      <c r="R1132" s="50"/>
      <c r="S1132" s="51"/>
      <c r="T1132" s="29"/>
    </row>
    <row r="1133" spans="1:20">
      <c r="A1133" s="48">
        <v>1020035</v>
      </c>
      <c r="B1133" s="49" t="s">
        <v>350</v>
      </c>
      <c r="C1133" s="25">
        <f t="shared" si="638"/>
        <v>35</v>
      </c>
      <c r="D1133" s="25">
        <f t="array" ref="D1133">INDEX(C$5:C$67,MATCH($B1133,$B$5:$B$67,0))</f>
        <v>4400</v>
      </c>
      <c r="E1133" s="25">
        <f t="array" ref="E1133">INDEX(D$5:D$67,MATCH($B1133,$B$5:$B$67,0))</f>
        <v>352</v>
      </c>
      <c r="F1133" s="25">
        <f t="array" ref="F1133">INDEX(E$5:E$67,MATCH($B1133,$B$5:$B$67,0))</f>
        <v>1071</v>
      </c>
      <c r="G1133" s="25">
        <f t="array" ref="G1133">INDEX(F$5:F$67,MATCH($B1133,$B$5:$B$67,0))</f>
        <v>85.68</v>
      </c>
      <c r="H1133" s="25">
        <f t="array" ref="H1133">INDEX(G$5:G$66,MATCH($B1133,$B$5:$B$67,0))</f>
        <v>792</v>
      </c>
      <c r="I1133" s="25">
        <f t="array" ref="I1133">INDEX(H$5:H$67,MATCH($B1133,$B$5:$B$67,0))</f>
        <v>63.36</v>
      </c>
      <c r="J1133" s="25">
        <f t="array" ref="J1133">INDEX(I$5:I$67,MATCH($B1133,$B$5:$B$67,0))</f>
        <v>823</v>
      </c>
      <c r="K1133" s="25">
        <f t="array" ref="K1133">INDEX(J$5:J$67,MATCH($B1133,$B$5:$B$67,0))</f>
        <v>65.84</v>
      </c>
      <c r="L1133" s="25">
        <f t="shared" si="639"/>
        <v>16720</v>
      </c>
      <c r="M1133" s="25">
        <f t="shared" si="640"/>
        <v>4070</v>
      </c>
      <c r="N1133" s="25">
        <f t="shared" si="641"/>
        <v>3010</v>
      </c>
      <c r="O1133" s="25">
        <f t="shared" si="642"/>
        <v>3127</v>
      </c>
      <c r="R1133" s="50"/>
      <c r="S1133" s="51"/>
      <c r="T1133" s="29"/>
    </row>
    <row r="1134" spans="1:20">
      <c r="A1134" s="48">
        <v>1020036</v>
      </c>
      <c r="B1134" s="49" t="s">
        <v>350</v>
      </c>
      <c r="C1134" s="25">
        <f t="shared" si="638"/>
        <v>36</v>
      </c>
      <c r="D1134" s="25">
        <f t="array" ref="D1134">INDEX(C$5:C$67,MATCH($B1134,$B$5:$B$67,0))</f>
        <v>4400</v>
      </c>
      <c r="E1134" s="25">
        <f t="array" ref="E1134">INDEX(D$5:D$67,MATCH($B1134,$B$5:$B$67,0))</f>
        <v>352</v>
      </c>
      <c r="F1134" s="25">
        <f t="array" ref="F1134">INDEX(E$5:E$67,MATCH($B1134,$B$5:$B$67,0))</f>
        <v>1071</v>
      </c>
      <c r="G1134" s="25">
        <f t="array" ref="G1134">INDEX(F$5:F$67,MATCH($B1134,$B$5:$B$67,0))</f>
        <v>85.68</v>
      </c>
      <c r="H1134" s="25">
        <f t="array" ref="H1134">INDEX(G$5:G$66,MATCH($B1134,$B$5:$B$67,0))</f>
        <v>792</v>
      </c>
      <c r="I1134" s="25">
        <f t="array" ref="I1134">INDEX(H$5:H$67,MATCH($B1134,$B$5:$B$67,0))</f>
        <v>63.36</v>
      </c>
      <c r="J1134" s="25">
        <f t="array" ref="J1134">INDEX(I$5:I$67,MATCH($B1134,$B$5:$B$67,0))</f>
        <v>823</v>
      </c>
      <c r="K1134" s="25">
        <f t="array" ref="K1134">INDEX(J$5:J$67,MATCH($B1134,$B$5:$B$67,0))</f>
        <v>65.84</v>
      </c>
      <c r="L1134" s="25">
        <f t="shared" si="639"/>
        <v>17072</v>
      </c>
      <c r="M1134" s="25">
        <f t="shared" si="640"/>
        <v>4155</v>
      </c>
      <c r="N1134" s="25">
        <f t="shared" si="641"/>
        <v>3073</v>
      </c>
      <c r="O1134" s="25">
        <f t="shared" si="642"/>
        <v>3193</v>
      </c>
      <c r="R1134" s="50"/>
      <c r="S1134" s="51"/>
      <c r="T1134" s="29"/>
    </row>
    <row r="1135" spans="1:20">
      <c r="A1135" s="48">
        <v>1020037</v>
      </c>
      <c r="B1135" s="49" t="s">
        <v>350</v>
      </c>
      <c r="C1135" s="25">
        <f t="shared" si="638"/>
        <v>37</v>
      </c>
      <c r="D1135" s="25">
        <f t="array" ref="D1135">INDEX(C$5:C$67,MATCH($B1135,$B$5:$B$67,0))</f>
        <v>4400</v>
      </c>
      <c r="E1135" s="25">
        <f t="array" ref="E1135">INDEX(D$5:D$67,MATCH($B1135,$B$5:$B$67,0))</f>
        <v>352</v>
      </c>
      <c r="F1135" s="25">
        <f t="array" ref="F1135">INDEX(E$5:E$67,MATCH($B1135,$B$5:$B$67,0))</f>
        <v>1071</v>
      </c>
      <c r="G1135" s="25">
        <f t="array" ref="G1135">INDEX(F$5:F$67,MATCH($B1135,$B$5:$B$67,0))</f>
        <v>85.68</v>
      </c>
      <c r="H1135" s="25">
        <f t="array" ref="H1135">INDEX(G$5:G$66,MATCH($B1135,$B$5:$B$67,0))</f>
        <v>792</v>
      </c>
      <c r="I1135" s="25">
        <f t="array" ref="I1135">INDEX(H$5:H$67,MATCH($B1135,$B$5:$B$67,0))</f>
        <v>63.36</v>
      </c>
      <c r="J1135" s="25">
        <f t="array" ref="J1135">INDEX(I$5:I$67,MATCH($B1135,$B$5:$B$67,0))</f>
        <v>823</v>
      </c>
      <c r="K1135" s="25">
        <f t="array" ref="K1135">INDEX(J$5:J$67,MATCH($B1135,$B$5:$B$67,0))</f>
        <v>65.84</v>
      </c>
      <c r="L1135" s="25">
        <f t="shared" si="639"/>
        <v>17424</v>
      </c>
      <c r="M1135" s="25">
        <f t="shared" si="640"/>
        <v>4241</v>
      </c>
      <c r="N1135" s="25">
        <f t="shared" si="641"/>
        <v>3136</v>
      </c>
      <c r="O1135" s="25">
        <f t="shared" si="642"/>
        <v>3259</v>
      </c>
      <c r="R1135" s="50"/>
      <c r="S1135" s="51"/>
      <c r="T1135" s="29"/>
    </row>
    <row r="1136" spans="1:20">
      <c r="A1136" s="48">
        <v>1020038</v>
      </c>
      <c r="B1136" s="49" t="s">
        <v>350</v>
      </c>
      <c r="C1136" s="25">
        <f t="shared" si="638"/>
        <v>38</v>
      </c>
      <c r="D1136" s="25">
        <f t="array" ref="D1136">INDEX(C$5:C$67,MATCH($B1136,$B$5:$B$67,0))</f>
        <v>4400</v>
      </c>
      <c r="E1136" s="25">
        <f t="array" ref="E1136">INDEX(D$5:D$67,MATCH($B1136,$B$5:$B$67,0))</f>
        <v>352</v>
      </c>
      <c r="F1136" s="25">
        <f t="array" ref="F1136">INDEX(E$5:E$67,MATCH($B1136,$B$5:$B$67,0))</f>
        <v>1071</v>
      </c>
      <c r="G1136" s="25">
        <f t="array" ref="G1136">INDEX(F$5:F$67,MATCH($B1136,$B$5:$B$67,0))</f>
        <v>85.68</v>
      </c>
      <c r="H1136" s="25">
        <f t="array" ref="H1136">INDEX(G$5:G$66,MATCH($B1136,$B$5:$B$67,0))</f>
        <v>792</v>
      </c>
      <c r="I1136" s="25">
        <f t="array" ref="I1136">INDEX(H$5:H$67,MATCH($B1136,$B$5:$B$67,0))</f>
        <v>63.36</v>
      </c>
      <c r="J1136" s="25">
        <f t="array" ref="J1136">INDEX(I$5:I$67,MATCH($B1136,$B$5:$B$67,0))</f>
        <v>823</v>
      </c>
      <c r="K1136" s="25">
        <f t="array" ref="K1136">INDEX(J$5:J$67,MATCH($B1136,$B$5:$B$67,0))</f>
        <v>65.84</v>
      </c>
      <c r="L1136" s="25">
        <f t="shared" si="639"/>
        <v>17776</v>
      </c>
      <c r="M1136" s="25">
        <f t="shared" si="640"/>
        <v>4327</v>
      </c>
      <c r="N1136" s="25">
        <f t="shared" si="641"/>
        <v>3200</v>
      </c>
      <c r="O1136" s="25">
        <f t="shared" si="642"/>
        <v>3325</v>
      </c>
      <c r="R1136" s="50"/>
      <c r="S1136" s="51"/>
      <c r="T1136" s="29"/>
    </row>
    <row r="1137" spans="1:20">
      <c r="A1137" s="48">
        <v>1020039</v>
      </c>
      <c r="B1137" s="49" t="s">
        <v>350</v>
      </c>
      <c r="C1137" s="25">
        <f t="shared" si="638"/>
        <v>39</v>
      </c>
      <c r="D1137" s="25">
        <f t="array" ref="D1137">INDEX(C$5:C$67,MATCH($B1137,$B$5:$B$67,0))</f>
        <v>4400</v>
      </c>
      <c r="E1137" s="25">
        <f t="array" ref="E1137">INDEX(D$5:D$67,MATCH($B1137,$B$5:$B$67,0))</f>
        <v>352</v>
      </c>
      <c r="F1137" s="25">
        <f t="array" ref="F1137">INDEX(E$5:E$67,MATCH($B1137,$B$5:$B$67,0))</f>
        <v>1071</v>
      </c>
      <c r="G1137" s="25">
        <f t="array" ref="G1137">INDEX(F$5:F$67,MATCH($B1137,$B$5:$B$67,0))</f>
        <v>85.68</v>
      </c>
      <c r="H1137" s="25">
        <f t="array" ref="H1137">INDEX(G$5:G$66,MATCH($B1137,$B$5:$B$67,0))</f>
        <v>792</v>
      </c>
      <c r="I1137" s="25">
        <f t="array" ref="I1137">INDEX(H$5:H$67,MATCH($B1137,$B$5:$B$67,0))</f>
        <v>63.36</v>
      </c>
      <c r="J1137" s="25">
        <f t="array" ref="J1137">INDEX(I$5:I$67,MATCH($B1137,$B$5:$B$67,0))</f>
        <v>823</v>
      </c>
      <c r="K1137" s="25">
        <f t="array" ref="K1137">INDEX(J$5:J$67,MATCH($B1137,$B$5:$B$67,0))</f>
        <v>65.84</v>
      </c>
      <c r="L1137" s="25">
        <f t="shared" si="639"/>
        <v>18128</v>
      </c>
      <c r="M1137" s="25">
        <f t="shared" si="640"/>
        <v>4413</v>
      </c>
      <c r="N1137" s="25">
        <f t="shared" si="641"/>
        <v>3263</v>
      </c>
      <c r="O1137" s="25">
        <f t="shared" si="642"/>
        <v>3391</v>
      </c>
      <c r="R1137" s="50"/>
      <c r="S1137" s="51"/>
      <c r="T1137" s="29"/>
    </row>
    <row r="1138" spans="1:20">
      <c r="A1138" s="48">
        <v>1020040</v>
      </c>
      <c r="B1138" s="49" t="s">
        <v>350</v>
      </c>
      <c r="C1138" s="25">
        <f t="shared" si="638"/>
        <v>40</v>
      </c>
      <c r="D1138" s="25">
        <f t="array" ref="D1138">INDEX(C$5:C$67,MATCH($B1138,$B$5:$B$67,0))</f>
        <v>4400</v>
      </c>
      <c r="E1138" s="25">
        <f t="array" ref="E1138">INDEX(D$5:D$67,MATCH($B1138,$B$5:$B$67,0))</f>
        <v>352</v>
      </c>
      <c r="F1138" s="25">
        <f t="array" ref="F1138">INDEX(E$5:E$67,MATCH($B1138,$B$5:$B$67,0))</f>
        <v>1071</v>
      </c>
      <c r="G1138" s="25">
        <f t="array" ref="G1138">INDEX(F$5:F$67,MATCH($B1138,$B$5:$B$67,0))</f>
        <v>85.68</v>
      </c>
      <c r="H1138" s="25">
        <f t="array" ref="H1138">INDEX(G$5:G$66,MATCH($B1138,$B$5:$B$67,0))</f>
        <v>792</v>
      </c>
      <c r="I1138" s="25">
        <f t="array" ref="I1138">INDEX(H$5:H$67,MATCH($B1138,$B$5:$B$67,0))</f>
        <v>63.36</v>
      </c>
      <c r="J1138" s="25">
        <f t="array" ref="J1138">INDEX(I$5:I$67,MATCH($B1138,$B$5:$B$67,0))</f>
        <v>823</v>
      </c>
      <c r="K1138" s="25">
        <f t="array" ref="K1138">INDEX(J$5:J$67,MATCH($B1138,$B$5:$B$67,0))</f>
        <v>65.84</v>
      </c>
      <c r="L1138" s="25">
        <f t="shared" si="639"/>
        <v>18480</v>
      </c>
      <c r="M1138" s="25">
        <f t="shared" si="640"/>
        <v>4498</v>
      </c>
      <c r="N1138" s="25">
        <f t="shared" si="641"/>
        <v>3326</v>
      </c>
      <c r="O1138" s="25">
        <f t="shared" si="642"/>
        <v>3457</v>
      </c>
      <c r="R1138" s="50"/>
      <c r="S1138" s="51"/>
      <c r="T1138" s="29"/>
    </row>
    <row r="1139" spans="1:20">
      <c r="A1139" s="48">
        <v>1020041</v>
      </c>
      <c r="B1139" s="49" t="s">
        <v>350</v>
      </c>
      <c r="C1139" s="25">
        <f t="shared" si="638"/>
        <v>41</v>
      </c>
      <c r="D1139" s="25">
        <f t="array" ref="D1139">INDEX(C$5:C$67,MATCH($B1139,$B$5:$B$67,0))</f>
        <v>4400</v>
      </c>
      <c r="E1139" s="25">
        <f t="array" ref="E1139">INDEX(D$5:D$67,MATCH($B1139,$B$5:$B$67,0))</f>
        <v>352</v>
      </c>
      <c r="F1139" s="25">
        <f t="array" ref="F1139">INDEX(E$5:E$67,MATCH($B1139,$B$5:$B$67,0))</f>
        <v>1071</v>
      </c>
      <c r="G1139" s="25">
        <f t="array" ref="G1139">INDEX(F$5:F$67,MATCH($B1139,$B$5:$B$67,0))</f>
        <v>85.68</v>
      </c>
      <c r="H1139" s="25">
        <f t="array" ref="H1139">INDEX(G$5:G$66,MATCH($B1139,$B$5:$B$67,0))</f>
        <v>792</v>
      </c>
      <c r="I1139" s="25">
        <f t="array" ref="I1139">INDEX(H$5:H$67,MATCH($B1139,$B$5:$B$67,0))</f>
        <v>63.36</v>
      </c>
      <c r="J1139" s="25">
        <f t="array" ref="J1139">INDEX(I$5:I$67,MATCH($B1139,$B$5:$B$67,0))</f>
        <v>823</v>
      </c>
      <c r="K1139" s="25">
        <f t="array" ref="K1139">INDEX(J$5:J$67,MATCH($B1139,$B$5:$B$67,0))</f>
        <v>65.84</v>
      </c>
      <c r="L1139" s="25">
        <f t="shared" si="639"/>
        <v>18832</v>
      </c>
      <c r="M1139" s="25">
        <f t="shared" si="640"/>
        <v>4584</v>
      </c>
      <c r="N1139" s="25">
        <f t="shared" si="641"/>
        <v>3390</v>
      </c>
      <c r="O1139" s="25">
        <f t="shared" si="642"/>
        <v>3522</v>
      </c>
      <c r="R1139" s="50"/>
      <c r="S1139" s="51"/>
      <c r="T1139" s="29"/>
    </row>
    <row r="1140" spans="1:20">
      <c r="A1140" s="48">
        <v>1020042</v>
      </c>
      <c r="B1140" s="49" t="s">
        <v>350</v>
      </c>
      <c r="C1140" s="25">
        <f t="shared" si="638"/>
        <v>42</v>
      </c>
      <c r="D1140" s="25">
        <f t="array" ref="D1140">INDEX(C$5:C$67,MATCH($B1140,$B$5:$B$67,0))</f>
        <v>4400</v>
      </c>
      <c r="E1140" s="25">
        <f t="array" ref="E1140">INDEX(D$5:D$67,MATCH($B1140,$B$5:$B$67,0))</f>
        <v>352</v>
      </c>
      <c r="F1140" s="25">
        <f t="array" ref="F1140">INDEX(E$5:E$67,MATCH($B1140,$B$5:$B$67,0))</f>
        <v>1071</v>
      </c>
      <c r="G1140" s="25">
        <f t="array" ref="G1140">INDEX(F$5:F$67,MATCH($B1140,$B$5:$B$67,0))</f>
        <v>85.68</v>
      </c>
      <c r="H1140" s="25">
        <f t="array" ref="H1140">INDEX(G$5:G$66,MATCH($B1140,$B$5:$B$67,0))</f>
        <v>792</v>
      </c>
      <c r="I1140" s="25">
        <f t="array" ref="I1140">INDEX(H$5:H$67,MATCH($B1140,$B$5:$B$67,0))</f>
        <v>63.36</v>
      </c>
      <c r="J1140" s="25">
        <f t="array" ref="J1140">INDEX(I$5:I$67,MATCH($B1140,$B$5:$B$67,0))</f>
        <v>823</v>
      </c>
      <c r="K1140" s="25">
        <f t="array" ref="K1140">INDEX(J$5:J$67,MATCH($B1140,$B$5:$B$67,0))</f>
        <v>65.84</v>
      </c>
      <c r="L1140" s="25">
        <f t="shared" si="639"/>
        <v>19184</v>
      </c>
      <c r="M1140" s="25">
        <f t="shared" si="640"/>
        <v>4670</v>
      </c>
      <c r="N1140" s="25">
        <f t="shared" si="641"/>
        <v>3453</v>
      </c>
      <c r="O1140" s="25">
        <f t="shared" si="642"/>
        <v>3588</v>
      </c>
      <c r="R1140" s="50"/>
      <c r="S1140" s="51"/>
      <c r="T1140" s="29"/>
    </row>
    <row r="1141" spans="1:20">
      <c r="A1141" s="48">
        <v>1020043</v>
      </c>
      <c r="B1141" s="49" t="s">
        <v>350</v>
      </c>
      <c r="C1141" s="25">
        <f t="shared" si="638"/>
        <v>43</v>
      </c>
      <c r="D1141" s="25">
        <f t="array" ref="D1141">INDEX(C$5:C$67,MATCH($B1141,$B$5:$B$67,0))</f>
        <v>4400</v>
      </c>
      <c r="E1141" s="25">
        <f t="array" ref="E1141">INDEX(D$5:D$67,MATCH($B1141,$B$5:$B$67,0))</f>
        <v>352</v>
      </c>
      <c r="F1141" s="25">
        <f t="array" ref="F1141">INDEX(E$5:E$67,MATCH($B1141,$B$5:$B$67,0))</f>
        <v>1071</v>
      </c>
      <c r="G1141" s="25">
        <f t="array" ref="G1141">INDEX(F$5:F$67,MATCH($B1141,$B$5:$B$67,0))</f>
        <v>85.68</v>
      </c>
      <c r="H1141" s="25">
        <f t="array" ref="H1141">INDEX(G$5:G$66,MATCH($B1141,$B$5:$B$67,0))</f>
        <v>792</v>
      </c>
      <c r="I1141" s="25">
        <f t="array" ref="I1141">INDEX(H$5:H$67,MATCH($B1141,$B$5:$B$67,0))</f>
        <v>63.36</v>
      </c>
      <c r="J1141" s="25">
        <f t="array" ref="J1141">INDEX(I$5:I$67,MATCH($B1141,$B$5:$B$67,0))</f>
        <v>823</v>
      </c>
      <c r="K1141" s="25">
        <f t="array" ref="K1141">INDEX(J$5:J$67,MATCH($B1141,$B$5:$B$67,0))</f>
        <v>65.84</v>
      </c>
      <c r="L1141" s="25">
        <f t="shared" si="639"/>
        <v>19536</v>
      </c>
      <c r="M1141" s="25">
        <f t="shared" si="640"/>
        <v>4755</v>
      </c>
      <c r="N1141" s="25">
        <f t="shared" si="641"/>
        <v>3516</v>
      </c>
      <c r="O1141" s="25">
        <f t="shared" si="642"/>
        <v>3654</v>
      </c>
      <c r="R1141" s="50"/>
      <c r="S1141" s="51"/>
      <c r="T1141" s="29"/>
    </row>
    <row r="1142" spans="1:20">
      <c r="A1142" s="48">
        <v>1020044</v>
      </c>
      <c r="B1142" s="49" t="s">
        <v>350</v>
      </c>
      <c r="C1142" s="25">
        <f t="shared" si="638"/>
        <v>44</v>
      </c>
      <c r="D1142" s="25">
        <f t="array" ref="D1142">INDEX(C$5:C$67,MATCH($B1142,$B$5:$B$67,0))</f>
        <v>4400</v>
      </c>
      <c r="E1142" s="25">
        <f t="array" ref="E1142">INDEX(D$5:D$67,MATCH($B1142,$B$5:$B$67,0))</f>
        <v>352</v>
      </c>
      <c r="F1142" s="25">
        <f t="array" ref="F1142">INDEX(E$5:E$67,MATCH($B1142,$B$5:$B$67,0))</f>
        <v>1071</v>
      </c>
      <c r="G1142" s="25">
        <f t="array" ref="G1142">INDEX(F$5:F$67,MATCH($B1142,$B$5:$B$67,0))</f>
        <v>85.68</v>
      </c>
      <c r="H1142" s="25">
        <f t="array" ref="H1142">INDEX(G$5:G$66,MATCH($B1142,$B$5:$B$67,0))</f>
        <v>792</v>
      </c>
      <c r="I1142" s="25">
        <f t="array" ref="I1142">INDEX(H$5:H$67,MATCH($B1142,$B$5:$B$67,0))</f>
        <v>63.36</v>
      </c>
      <c r="J1142" s="25">
        <f t="array" ref="J1142">INDEX(I$5:I$67,MATCH($B1142,$B$5:$B$67,0))</f>
        <v>823</v>
      </c>
      <c r="K1142" s="25">
        <f t="array" ref="K1142">INDEX(J$5:J$67,MATCH($B1142,$B$5:$B$67,0))</f>
        <v>65.84</v>
      </c>
      <c r="L1142" s="25">
        <f t="shared" si="639"/>
        <v>19888</v>
      </c>
      <c r="M1142" s="25">
        <f t="shared" si="640"/>
        <v>4841</v>
      </c>
      <c r="N1142" s="25">
        <f t="shared" si="641"/>
        <v>3580</v>
      </c>
      <c r="O1142" s="25">
        <f t="shared" si="642"/>
        <v>3720</v>
      </c>
      <c r="R1142" s="50"/>
      <c r="S1142" s="51"/>
      <c r="T1142" s="29"/>
    </row>
    <row r="1143" spans="1:20">
      <c r="A1143" s="48">
        <v>1020045</v>
      </c>
      <c r="B1143" s="49" t="s">
        <v>350</v>
      </c>
      <c r="C1143" s="25">
        <f t="shared" si="638"/>
        <v>45</v>
      </c>
      <c r="D1143" s="25">
        <f t="array" ref="D1143">INDEX(C$5:C$67,MATCH($B1143,$B$5:$B$67,0))</f>
        <v>4400</v>
      </c>
      <c r="E1143" s="25">
        <f t="array" ref="E1143">INDEX(D$5:D$67,MATCH($B1143,$B$5:$B$67,0))</f>
        <v>352</v>
      </c>
      <c r="F1143" s="25">
        <f t="array" ref="F1143">INDEX(E$5:E$67,MATCH($B1143,$B$5:$B$67,0))</f>
        <v>1071</v>
      </c>
      <c r="G1143" s="25">
        <f t="array" ref="G1143">INDEX(F$5:F$67,MATCH($B1143,$B$5:$B$67,0))</f>
        <v>85.68</v>
      </c>
      <c r="H1143" s="25">
        <f t="array" ref="H1143">INDEX(G$5:G$66,MATCH($B1143,$B$5:$B$67,0))</f>
        <v>792</v>
      </c>
      <c r="I1143" s="25">
        <f t="array" ref="I1143">INDEX(H$5:H$67,MATCH($B1143,$B$5:$B$67,0))</f>
        <v>63.36</v>
      </c>
      <c r="J1143" s="25">
        <f t="array" ref="J1143">INDEX(I$5:I$67,MATCH($B1143,$B$5:$B$67,0))</f>
        <v>823</v>
      </c>
      <c r="K1143" s="25">
        <f t="array" ref="K1143">INDEX(J$5:J$67,MATCH($B1143,$B$5:$B$67,0))</f>
        <v>65.84</v>
      </c>
      <c r="L1143" s="25">
        <f t="shared" si="639"/>
        <v>20240</v>
      </c>
      <c r="M1143" s="25">
        <f t="shared" si="640"/>
        <v>4927</v>
      </c>
      <c r="N1143" s="25">
        <f t="shared" si="641"/>
        <v>3643</v>
      </c>
      <c r="O1143" s="25">
        <f t="shared" si="642"/>
        <v>3786</v>
      </c>
      <c r="R1143" s="50"/>
      <c r="S1143" s="51"/>
      <c r="T1143" s="29"/>
    </row>
    <row r="1144" spans="1:20">
      <c r="A1144" s="48">
        <v>1020046</v>
      </c>
      <c r="B1144" s="49" t="s">
        <v>350</v>
      </c>
      <c r="C1144" s="25">
        <f t="shared" si="638"/>
        <v>46</v>
      </c>
      <c r="D1144" s="25">
        <f t="array" ref="D1144">INDEX(C$5:C$67,MATCH($B1144,$B$5:$B$67,0))</f>
        <v>4400</v>
      </c>
      <c r="E1144" s="25">
        <f t="array" ref="E1144">INDEX(D$5:D$67,MATCH($B1144,$B$5:$B$67,0))</f>
        <v>352</v>
      </c>
      <c r="F1144" s="25">
        <f t="array" ref="F1144">INDEX(E$5:E$67,MATCH($B1144,$B$5:$B$67,0))</f>
        <v>1071</v>
      </c>
      <c r="G1144" s="25">
        <f t="array" ref="G1144">INDEX(F$5:F$67,MATCH($B1144,$B$5:$B$67,0))</f>
        <v>85.68</v>
      </c>
      <c r="H1144" s="25">
        <f t="array" ref="H1144">INDEX(G$5:G$66,MATCH($B1144,$B$5:$B$67,0))</f>
        <v>792</v>
      </c>
      <c r="I1144" s="25">
        <f t="array" ref="I1144">INDEX(H$5:H$67,MATCH($B1144,$B$5:$B$67,0))</f>
        <v>63.36</v>
      </c>
      <c r="J1144" s="25">
        <f t="array" ref="J1144">INDEX(I$5:I$67,MATCH($B1144,$B$5:$B$67,0))</f>
        <v>823</v>
      </c>
      <c r="K1144" s="25">
        <f t="array" ref="K1144">INDEX(J$5:J$67,MATCH($B1144,$B$5:$B$67,0))</f>
        <v>65.84</v>
      </c>
      <c r="L1144" s="25">
        <f t="shared" si="639"/>
        <v>20592</v>
      </c>
      <c r="M1144" s="25">
        <f t="shared" si="640"/>
        <v>5012</v>
      </c>
      <c r="N1144" s="25">
        <f t="shared" si="641"/>
        <v>3707</v>
      </c>
      <c r="O1144" s="25">
        <f t="shared" si="642"/>
        <v>3852</v>
      </c>
      <c r="R1144" s="50"/>
      <c r="S1144" s="51"/>
      <c r="T1144" s="29"/>
    </row>
    <row r="1145" spans="1:20">
      <c r="A1145" s="48">
        <v>1020047</v>
      </c>
      <c r="B1145" s="49" t="s">
        <v>350</v>
      </c>
      <c r="C1145" s="25">
        <f t="shared" si="638"/>
        <v>47</v>
      </c>
      <c r="D1145" s="25">
        <f t="array" ref="D1145">INDEX(C$5:C$67,MATCH($B1145,$B$5:$B$67,0))</f>
        <v>4400</v>
      </c>
      <c r="E1145" s="25">
        <f t="array" ref="E1145">INDEX(D$5:D$67,MATCH($B1145,$B$5:$B$67,0))</f>
        <v>352</v>
      </c>
      <c r="F1145" s="25">
        <f t="array" ref="F1145">INDEX(E$5:E$67,MATCH($B1145,$B$5:$B$67,0))</f>
        <v>1071</v>
      </c>
      <c r="G1145" s="25">
        <f t="array" ref="G1145">INDEX(F$5:F$67,MATCH($B1145,$B$5:$B$67,0))</f>
        <v>85.68</v>
      </c>
      <c r="H1145" s="25">
        <f t="array" ref="H1145">INDEX(G$5:G$66,MATCH($B1145,$B$5:$B$67,0))</f>
        <v>792</v>
      </c>
      <c r="I1145" s="25">
        <f t="array" ref="I1145">INDEX(H$5:H$67,MATCH($B1145,$B$5:$B$67,0))</f>
        <v>63.36</v>
      </c>
      <c r="J1145" s="25">
        <f t="array" ref="J1145">INDEX(I$5:I$67,MATCH($B1145,$B$5:$B$67,0))</f>
        <v>823</v>
      </c>
      <c r="K1145" s="25">
        <f t="array" ref="K1145">INDEX(J$5:J$67,MATCH($B1145,$B$5:$B$67,0))</f>
        <v>65.84</v>
      </c>
      <c r="L1145" s="25">
        <f t="shared" si="639"/>
        <v>20944</v>
      </c>
      <c r="M1145" s="25">
        <f t="shared" si="640"/>
        <v>5098</v>
      </c>
      <c r="N1145" s="25">
        <f t="shared" si="641"/>
        <v>3770</v>
      </c>
      <c r="O1145" s="25">
        <f t="shared" si="642"/>
        <v>3917</v>
      </c>
      <c r="R1145" s="50"/>
      <c r="S1145" s="51"/>
      <c r="T1145" s="29"/>
    </row>
    <row r="1146" spans="1:20">
      <c r="A1146" s="48">
        <v>1020048</v>
      </c>
      <c r="B1146" s="49" t="s">
        <v>350</v>
      </c>
      <c r="C1146" s="25">
        <f t="shared" si="638"/>
        <v>48</v>
      </c>
      <c r="D1146" s="25">
        <f t="array" ref="D1146">INDEX(C$5:C$67,MATCH($B1146,$B$5:$B$67,0))</f>
        <v>4400</v>
      </c>
      <c r="E1146" s="25">
        <f t="array" ref="E1146">INDEX(D$5:D$67,MATCH($B1146,$B$5:$B$67,0))</f>
        <v>352</v>
      </c>
      <c r="F1146" s="25">
        <f t="array" ref="F1146">INDEX(E$5:E$67,MATCH($B1146,$B$5:$B$67,0))</f>
        <v>1071</v>
      </c>
      <c r="G1146" s="25">
        <f t="array" ref="G1146">INDEX(F$5:F$67,MATCH($B1146,$B$5:$B$67,0))</f>
        <v>85.68</v>
      </c>
      <c r="H1146" s="25">
        <f t="array" ref="H1146">INDEX(G$5:G$66,MATCH($B1146,$B$5:$B$67,0))</f>
        <v>792</v>
      </c>
      <c r="I1146" s="25">
        <f t="array" ref="I1146">INDEX(H$5:H$67,MATCH($B1146,$B$5:$B$67,0))</f>
        <v>63.36</v>
      </c>
      <c r="J1146" s="25">
        <f t="array" ref="J1146">INDEX(I$5:I$67,MATCH($B1146,$B$5:$B$67,0))</f>
        <v>823</v>
      </c>
      <c r="K1146" s="25">
        <f t="array" ref="K1146">INDEX(J$5:J$67,MATCH($B1146,$B$5:$B$67,0))</f>
        <v>65.84</v>
      </c>
      <c r="L1146" s="25">
        <f t="shared" si="639"/>
        <v>21296</v>
      </c>
      <c r="M1146" s="25">
        <f t="shared" si="640"/>
        <v>5184</v>
      </c>
      <c r="N1146" s="25">
        <f t="shared" si="641"/>
        <v>3833</v>
      </c>
      <c r="O1146" s="25">
        <f t="shared" si="642"/>
        <v>3983</v>
      </c>
      <c r="R1146" s="50"/>
      <c r="S1146" s="51"/>
      <c r="T1146" s="29"/>
    </row>
    <row r="1147" spans="1:20">
      <c r="A1147" s="48">
        <v>1020049</v>
      </c>
      <c r="B1147" s="49" t="s">
        <v>350</v>
      </c>
      <c r="C1147" s="25">
        <f t="shared" si="638"/>
        <v>49</v>
      </c>
      <c r="D1147" s="25">
        <f t="array" ref="D1147">INDEX(C$5:C$67,MATCH($B1147,$B$5:$B$67,0))</f>
        <v>4400</v>
      </c>
      <c r="E1147" s="25">
        <f t="array" ref="E1147">INDEX(D$5:D$67,MATCH($B1147,$B$5:$B$67,0))</f>
        <v>352</v>
      </c>
      <c r="F1147" s="25">
        <f t="array" ref="F1147">INDEX(E$5:E$67,MATCH($B1147,$B$5:$B$67,0))</f>
        <v>1071</v>
      </c>
      <c r="G1147" s="25">
        <f t="array" ref="G1147">INDEX(F$5:F$67,MATCH($B1147,$B$5:$B$67,0))</f>
        <v>85.68</v>
      </c>
      <c r="H1147" s="25">
        <f t="array" ref="H1147">INDEX(G$5:G$66,MATCH($B1147,$B$5:$B$67,0))</f>
        <v>792</v>
      </c>
      <c r="I1147" s="25">
        <f t="array" ref="I1147">INDEX(H$5:H$67,MATCH($B1147,$B$5:$B$67,0))</f>
        <v>63.36</v>
      </c>
      <c r="J1147" s="25">
        <f t="array" ref="J1147">INDEX(I$5:I$67,MATCH($B1147,$B$5:$B$67,0))</f>
        <v>823</v>
      </c>
      <c r="K1147" s="25">
        <f t="array" ref="K1147">INDEX(J$5:J$67,MATCH($B1147,$B$5:$B$67,0))</f>
        <v>65.84</v>
      </c>
      <c r="L1147" s="25">
        <f t="shared" si="639"/>
        <v>21648</v>
      </c>
      <c r="M1147" s="25">
        <f t="shared" si="640"/>
        <v>5269</v>
      </c>
      <c r="N1147" s="25">
        <f t="shared" si="641"/>
        <v>3897</v>
      </c>
      <c r="O1147" s="25">
        <f t="shared" si="642"/>
        <v>4049</v>
      </c>
      <c r="R1147" s="50"/>
      <c r="S1147" s="51"/>
      <c r="T1147" s="29"/>
    </row>
    <row r="1148" spans="1:20">
      <c r="A1148" s="48">
        <v>1020050</v>
      </c>
      <c r="B1148" s="49" t="s">
        <v>350</v>
      </c>
      <c r="C1148" s="25">
        <f t="shared" si="638"/>
        <v>50</v>
      </c>
      <c r="D1148" s="25">
        <f t="array" ref="D1148">INDEX(C$5:C$67,MATCH($B1148,$B$5:$B$67,0))</f>
        <v>4400</v>
      </c>
      <c r="E1148" s="25">
        <f t="array" ref="E1148">INDEX(D$5:D$67,MATCH($B1148,$B$5:$B$67,0))</f>
        <v>352</v>
      </c>
      <c r="F1148" s="25">
        <f t="array" ref="F1148">INDEX(E$5:E$67,MATCH($B1148,$B$5:$B$67,0))</f>
        <v>1071</v>
      </c>
      <c r="G1148" s="25">
        <f t="array" ref="G1148">INDEX(F$5:F$67,MATCH($B1148,$B$5:$B$67,0))</f>
        <v>85.68</v>
      </c>
      <c r="H1148" s="25">
        <f t="array" ref="H1148">INDEX(G$5:G$66,MATCH($B1148,$B$5:$B$67,0))</f>
        <v>792</v>
      </c>
      <c r="I1148" s="25">
        <f t="array" ref="I1148">INDEX(H$5:H$67,MATCH($B1148,$B$5:$B$67,0))</f>
        <v>63.36</v>
      </c>
      <c r="J1148" s="25">
        <f t="array" ref="J1148">INDEX(I$5:I$67,MATCH($B1148,$B$5:$B$67,0))</f>
        <v>823</v>
      </c>
      <c r="K1148" s="25">
        <f t="array" ref="K1148">INDEX(J$5:J$67,MATCH($B1148,$B$5:$B$67,0))</f>
        <v>65.84</v>
      </c>
      <c r="L1148" s="25">
        <f t="shared" si="639"/>
        <v>22000</v>
      </c>
      <c r="M1148" s="25">
        <f t="shared" si="640"/>
        <v>5355</v>
      </c>
      <c r="N1148" s="25">
        <f t="shared" si="641"/>
        <v>3960</v>
      </c>
      <c r="O1148" s="25">
        <f t="shared" si="642"/>
        <v>4115</v>
      </c>
      <c r="R1148" s="50"/>
      <c r="S1148" s="51"/>
      <c r="T1148" s="29"/>
    </row>
    <row r="1149" spans="1:20">
      <c r="A1149" s="48">
        <v>1020051</v>
      </c>
      <c r="B1149" s="49" t="s">
        <v>350</v>
      </c>
      <c r="C1149" s="25">
        <f t="shared" si="638"/>
        <v>51</v>
      </c>
      <c r="D1149" s="25">
        <f t="array" ref="D1149">INDEX(C$5:C$67,MATCH($B1149,$B$5:$B$67,0))</f>
        <v>4400</v>
      </c>
      <c r="E1149" s="25">
        <f t="array" ref="E1149">INDEX(D$5:D$67,MATCH($B1149,$B$5:$B$67,0))</f>
        <v>352</v>
      </c>
      <c r="F1149" s="25">
        <f t="array" ref="F1149">INDEX(E$5:E$67,MATCH($B1149,$B$5:$B$67,0))</f>
        <v>1071</v>
      </c>
      <c r="G1149" s="25">
        <f t="array" ref="G1149">INDEX(F$5:F$67,MATCH($B1149,$B$5:$B$67,0))</f>
        <v>85.68</v>
      </c>
      <c r="H1149" s="25">
        <f t="array" ref="H1149">INDEX(G$5:G$66,MATCH($B1149,$B$5:$B$67,0))</f>
        <v>792</v>
      </c>
      <c r="I1149" s="25">
        <f t="array" ref="I1149">INDEX(H$5:H$67,MATCH($B1149,$B$5:$B$67,0))</f>
        <v>63.36</v>
      </c>
      <c r="J1149" s="25">
        <f t="array" ref="J1149">INDEX(I$5:I$67,MATCH($B1149,$B$5:$B$67,0))</f>
        <v>823</v>
      </c>
      <c r="K1149" s="25">
        <f t="array" ref="K1149">INDEX(J$5:J$67,MATCH($B1149,$B$5:$B$67,0))</f>
        <v>65.84</v>
      </c>
      <c r="L1149" s="25">
        <f t="shared" si="639"/>
        <v>22352</v>
      </c>
      <c r="M1149" s="25">
        <f t="shared" si="640"/>
        <v>5441</v>
      </c>
      <c r="N1149" s="25">
        <f t="shared" si="641"/>
        <v>4023</v>
      </c>
      <c r="O1149" s="25">
        <f t="shared" si="642"/>
        <v>4181</v>
      </c>
      <c r="R1149" s="50"/>
      <c r="S1149" s="51"/>
      <c r="T1149" s="29"/>
    </row>
    <row r="1150" spans="1:20">
      <c r="A1150" s="48">
        <v>1020052</v>
      </c>
      <c r="B1150" s="49" t="s">
        <v>350</v>
      </c>
      <c r="C1150" s="25">
        <f t="shared" si="638"/>
        <v>52</v>
      </c>
      <c r="D1150" s="25">
        <f t="array" ref="D1150">INDEX(C$5:C$67,MATCH($B1150,$B$5:$B$67,0))</f>
        <v>4400</v>
      </c>
      <c r="E1150" s="25">
        <f t="array" ref="E1150">INDEX(D$5:D$67,MATCH($B1150,$B$5:$B$67,0))</f>
        <v>352</v>
      </c>
      <c r="F1150" s="25">
        <f t="array" ref="F1150">INDEX(E$5:E$67,MATCH($B1150,$B$5:$B$67,0))</f>
        <v>1071</v>
      </c>
      <c r="G1150" s="25">
        <f t="array" ref="G1150">INDEX(F$5:F$67,MATCH($B1150,$B$5:$B$67,0))</f>
        <v>85.68</v>
      </c>
      <c r="H1150" s="25">
        <f t="array" ref="H1150">INDEX(G$5:G$66,MATCH($B1150,$B$5:$B$67,0))</f>
        <v>792</v>
      </c>
      <c r="I1150" s="25">
        <f t="array" ref="I1150">INDEX(H$5:H$67,MATCH($B1150,$B$5:$B$67,0))</f>
        <v>63.36</v>
      </c>
      <c r="J1150" s="25">
        <f t="array" ref="J1150">INDEX(I$5:I$67,MATCH($B1150,$B$5:$B$67,0))</f>
        <v>823</v>
      </c>
      <c r="K1150" s="25">
        <f t="array" ref="K1150">INDEX(J$5:J$67,MATCH($B1150,$B$5:$B$67,0))</f>
        <v>65.84</v>
      </c>
      <c r="L1150" s="25">
        <f t="shared" si="639"/>
        <v>22704</v>
      </c>
      <c r="M1150" s="25">
        <f t="shared" si="640"/>
        <v>5526</v>
      </c>
      <c r="N1150" s="25">
        <f t="shared" si="641"/>
        <v>4087</v>
      </c>
      <c r="O1150" s="25">
        <f t="shared" si="642"/>
        <v>4247</v>
      </c>
      <c r="R1150" s="50"/>
      <c r="S1150" s="51"/>
      <c r="T1150" s="29"/>
    </row>
    <row r="1151" spans="1:20">
      <c r="A1151" s="48">
        <v>1020053</v>
      </c>
      <c r="B1151" s="49" t="s">
        <v>350</v>
      </c>
      <c r="C1151" s="25">
        <f t="shared" si="638"/>
        <v>53</v>
      </c>
      <c r="D1151" s="25">
        <f t="array" ref="D1151">INDEX(C$5:C$67,MATCH($B1151,$B$5:$B$67,0))</f>
        <v>4400</v>
      </c>
      <c r="E1151" s="25">
        <f t="array" ref="E1151">INDEX(D$5:D$67,MATCH($B1151,$B$5:$B$67,0))</f>
        <v>352</v>
      </c>
      <c r="F1151" s="25">
        <f t="array" ref="F1151">INDEX(E$5:E$67,MATCH($B1151,$B$5:$B$67,0))</f>
        <v>1071</v>
      </c>
      <c r="G1151" s="25">
        <f t="array" ref="G1151">INDEX(F$5:F$67,MATCH($B1151,$B$5:$B$67,0))</f>
        <v>85.68</v>
      </c>
      <c r="H1151" s="25">
        <f t="array" ref="H1151">INDEX(G$5:G$66,MATCH($B1151,$B$5:$B$67,0))</f>
        <v>792</v>
      </c>
      <c r="I1151" s="25">
        <f t="array" ref="I1151">INDEX(H$5:H$67,MATCH($B1151,$B$5:$B$67,0))</f>
        <v>63.36</v>
      </c>
      <c r="J1151" s="25">
        <f t="array" ref="J1151">INDEX(I$5:I$67,MATCH($B1151,$B$5:$B$67,0))</f>
        <v>823</v>
      </c>
      <c r="K1151" s="25">
        <f t="array" ref="K1151">INDEX(J$5:J$67,MATCH($B1151,$B$5:$B$67,0))</f>
        <v>65.84</v>
      </c>
      <c r="L1151" s="25">
        <f t="shared" si="639"/>
        <v>23056</v>
      </c>
      <c r="M1151" s="25">
        <f t="shared" si="640"/>
        <v>5612</v>
      </c>
      <c r="N1151" s="25">
        <f t="shared" si="641"/>
        <v>4150</v>
      </c>
      <c r="O1151" s="25">
        <f t="shared" si="642"/>
        <v>4313</v>
      </c>
      <c r="R1151" s="50"/>
      <c r="S1151" s="51"/>
      <c r="T1151" s="29"/>
    </row>
    <row r="1152" spans="1:20">
      <c r="A1152" s="48">
        <v>1020054</v>
      </c>
      <c r="B1152" s="49" t="s">
        <v>350</v>
      </c>
      <c r="C1152" s="25">
        <f t="shared" si="638"/>
        <v>54</v>
      </c>
      <c r="D1152" s="25">
        <f t="array" ref="D1152">INDEX(C$5:C$67,MATCH($B1152,$B$5:$B$67,0))</f>
        <v>4400</v>
      </c>
      <c r="E1152" s="25">
        <f t="array" ref="E1152">INDEX(D$5:D$67,MATCH($B1152,$B$5:$B$67,0))</f>
        <v>352</v>
      </c>
      <c r="F1152" s="25">
        <f t="array" ref="F1152">INDEX(E$5:E$67,MATCH($B1152,$B$5:$B$67,0))</f>
        <v>1071</v>
      </c>
      <c r="G1152" s="25">
        <f t="array" ref="G1152">INDEX(F$5:F$67,MATCH($B1152,$B$5:$B$67,0))</f>
        <v>85.68</v>
      </c>
      <c r="H1152" s="25">
        <f t="array" ref="H1152">INDEX(G$5:G$66,MATCH($B1152,$B$5:$B$67,0))</f>
        <v>792</v>
      </c>
      <c r="I1152" s="25">
        <f t="array" ref="I1152">INDEX(H$5:H$67,MATCH($B1152,$B$5:$B$67,0))</f>
        <v>63.36</v>
      </c>
      <c r="J1152" s="25">
        <f t="array" ref="J1152">INDEX(I$5:I$67,MATCH($B1152,$B$5:$B$67,0))</f>
        <v>823</v>
      </c>
      <c r="K1152" s="25">
        <f t="array" ref="K1152">INDEX(J$5:J$67,MATCH($B1152,$B$5:$B$67,0))</f>
        <v>65.84</v>
      </c>
      <c r="L1152" s="25">
        <f t="shared" si="639"/>
        <v>23408</v>
      </c>
      <c r="M1152" s="25">
        <f t="shared" si="640"/>
        <v>5698</v>
      </c>
      <c r="N1152" s="25">
        <f t="shared" si="641"/>
        <v>4213</v>
      </c>
      <c r="O1152" s="25">
        <f t="shared" si="642"/>
        <v>4378</v>
      </c>
      <c r="R1152" s="50"/>
      <c r="S1152" s="51"/>
      <c r="T1152" s="29"/>
    </row>
    <row r="1153" spans="1:20">
      <c r="A1153" s="48">
        <v>1020055</v>
      </c>
      <c r="B1153" s="49" t="s">
        <v>350</v>
      </c>
      <c r="C1153" s="25">
        <f t="shared" si="638"/>
        <v>55</v>
      </c>
      <c r="D1153" s="25">
        <f t="array" ref="D1153">INDEX(C$5:C$67,MATCH($B1153,$B$5:$B$67,0))</f>
        <v>4400</v>
      </c>
      <c r="E1153" s="25">
        <f t="array" ref="E1153">INDEX(D$5:D$67,MATCH($B1153,$B$5:$B$67,0))</f>
        <v>352</v>
      </c>
      <c r="F1153" s="25">
        <f t="array" ref="F1153">INDEX(E$5:E$67,MATCH($B1153,$B$5:$B$67,0))</f>
        <v>1071</v>
      </c>
      <c r="G1153" s="25">
        <f t="array" ref="G1153">INDEX(F$5:F$67,MATCH($B1153,$B$5:$B$67,0))</f>
        <v>85.68</v>
      </c>
      <c r="H1153" s="25">
        <f t="array" ref="H1153">INDEX(G$5:G$66,MATCH($B1153,$B$5:$B$67,0))</f>
        <v>792</v>
      </c>
      <c r="I1153" s="25">
        <f t="array" ref="I1153">INDEX(H$5:H$67,MATCH($B1153,$B$5:$B$67,0))</f>
        <v>63.36</v>
      </c>
      <c r="J1153" s="25">
        <f t="array" ref="J1153">INDEX(I$5:I$67,MATCH($B1153,$B$5:$B$67,0))</f>
        <v>823</v>
      </c>
      <c r="K1153" s="25">
        <f t="array" ref="K1153">INDEX(J$5:J$67,MATCH($B1153,$B$5:$B$67,0))</f>
        <v>65.84</v>
      </c>
      <c r="L1153" s="25">
        <f t="shared" si="639"/>
        <v>23760</v>
      </c>
      <c r="M1153" s="25">
        <f t="shared" si="640"/>
        <v>5783</v>
      </c>
      <c r="N1153" s="25">
        <f t="shared" si="641"/>
        <v>4277</v>
      </c>
      <c r="O1153" s="25">
        <f t="shared" si="642"/>
        <v>4444</v>
      </c>
      <c r="R1153" s="50"/>
      <c r="S1153" s="51"/>
      <c r="T1153" s="29"/>
    </row>
    <row r="1154" spans="1:20">
      <c r="A1154" s="48">
        <v>1020056</v>
      </c>
      <c r="B1154" s="49" t="s">
        <v>350</v>
      </c>
      <c r="C1154" s="25">
        <f t="shared" si="638"/>
        <v>56</v>
      </c>
      <c r="D1154" s="25">
        <f t="array" ref="D1154">INDEX(C$5:C$67,MATCH($B1154,$B$5:$B$67,0))</f>
        <v>4400</v>
      </c>
      <c r="E1154" s="25">
        <f t="array" ref="E1154">INDEX(D$5:D$67,MATCH($B1154,$B$5:$B$67,0))</f>
        <v>352</v>
      </c>
      <c r="F1154" s="25">
        <f t="array" ref="F1154">INDEX(E$5:E$67,MATCH($B1154,$B$5:$B$67,0))</f>
        <v>1071</v>
      </c>
      <c r="G1154" s="25">
        <f t="array" ref="G1154">INDEX(F$5:F$67,MATCH($B1154,$B$5:$B$67,0))</f>
        <v>85.68</v>
      </c>
      <c r="H1154" s="25">
        <f t="array" ref="H1154">INDEX(G$5:G$66,MATCH($B1154,$B$5:$B$67,0))</f>
        <v>792</v>
      </c>
      <c r="I1154" s="25">
        <f t="array" ref="I1154">INDEX(H$5:H$67,MATCH($B1154,$B$5:$B$67,0))</f>
        <v>63.36</v>
      </c>
      <c r="J1154" s="25">
        <f t="array" ref="J1154">INDEX(I$5:I$67,MATCH($B1154,$B$5:$B$67,0))</f>
        <v>823</v>
      </c>
      <c r="K1154" s="25">
        <f t="array" ref="K1154">INDEX(J$5:J$67,MATCH($B1154,$B$5:$B$67,0))</f>
        <v>65.84</v>
      </c>
      <c r="L1154" s="25">
        <f t="shared" si="639"/>
        <v>24112</v>
      </c>
      <c r="M1154" s="25">
        <f t="shared" si="640"/>
        <v>5869</v>
      </c>
      <c r="N1154" s="25">
        <f t="shared" si="641"/>
        <v>4340</v>
      </c>
      <c r="O1154" s="25">
        <f t="shared" si="642"/>
        <v>4510</v>
      </c>
      <c r="R1154" s="50"/>
      <c r="S1154" s="51"/>
      <c r="T1154" s="29"/>
    </row>
    <row r="1155" spans="1:20">
      <c r="A1155" s="48">
        <v>1020057</v>
      </c>
      <c r="B1155" s="49" t="s">
        <v>350</v>
      </c>
      <c r="C1155" s="25">
        <f t="shared" si="638"/>
        <v>57</v>
      </c>
      <c r="D1155" s="25">
        <f t="array" ref="D1155">INDEX(C$5:C$67,MATCH($B1155,$B$5:$B$67,0))</f>
        <v>4400</v>
      </c>
      <c r="E1155" s="25">
        <f t="array" ref="E1155">INDEX(D$5:D$67,MATCH($B1155,$B$5:$B$67,0))</f>
        <v>352</v>
      </c>
      <c r="F1155" s="25">
        <f t="array" ref="F1155">INDEX(E$5:E$67,MATCH($B1155,$B$5:$B$67,0))</f>
        <v>1071</v>
      </c>
      <c r="G1155" s="25">
        <f t="array" ref="G1155">INDEX(F$5:F$67,MATCH($B1155,$B$5:$B$67,0))</f>
        <v>85.68</v>
      </c>
      <c r="H1155" s="25">
        <f t="array" ref="H1155">INDEX(G$5:G$66,MATCH($B1155,$B$5:$B$67,0))</f>
        <v>792</v>
      </c>
      <c r="I1155" s="25">
        <f t="array" ref="I1155">INDEX(H$5:H$67,MATCH($B1155,$B$5:$B$67,0))</f>
        <v>63.36</v>
      </c>
      <c r="J1155" s="25">
        <f t="array" ref="J1155">INDEX(I$5:I$67,MATCH($B1155,$B$5:$B$67,0))</f>
        <v>823</v>
      </c>
      <c r="K1155" s="25">
        <f t="array" ref="K1155">INDEX(J$5:J$67,MATCH($B1155,$B$5:$B$67,0))</f>
        <v>65.84</v>
      </c>
      <c r="L1155" s="25">
        <f t="shared" si="639"/>
        <v>24464</v>
      </c>
      <c r="M1155" s="25">
        <f t="shared" si="640"/>
        <v>5955</v>
      </c>
      <c r="N1155" s="25">
        <f t="shared" si="641"/>
        <v>4404</v>
      </c>
      <c r="O1155" s="25">
        <f t="shared" si="642"/>
        <v>4576</v>
      </c>
      <c r="R1155" s="50"/>
      <c r="S1155" s="51"/>
      <c r="T1155" s="29"/>
    </row>
    <row r="1156" spans="1:20">
      <c r="A1156" s="48">
        <v>1020058</v>
      </c>
      <c r="B1156" s="49" t="s">
        <v>350</v>
      </c>
      <c r="C1156" s="25">
        <f t="shared" si="638"/>
        <v>58</v>
      </c>
      <c r="D1156" s="25">
        <f t="array" ref="D1156">INDEX(C$5:C$67,MATCH($B1156,$B$5:$B$67,0))</f>
        <v>4400</v>
      </c>
      <c r="E1156" s="25">
        <f t="array" ref="E1156">INDEX(D$5:D$67,MATCH($B1156,$B$5:$B$67,0))</f>
        <v>352</v>
      </c>
      <c r="F1156" s="25">
        <f t="array" ref="F1156">INDEX(E$5:E$67,MATCH($B1156,$B$5:$B$67,0))</f>
        <v>1071</v>
      </c>
      <c r="G1156" s="25">
        <f t="array" ref="G1156">INDEX(F$5:F$67,MATCH($B1156,$B$5:$B$67,0))</f>
        <v>85.68</v>
      </c>
      <c r="H1156" s="25">
        <f t="array" ref="H1156">INDEX(G$5:G$66,MATCH($B1156,$B$5:$B$67,0))</f>
        <v>792</v>
      </c>
      <c r="I1156" s="25">
        <f t="array" ref="I1156">INDEX(H$5:H$67,MATCH($B1156,$B$5:$B$67,0))</f>
        <v>63.36</v>
      </c>
      <c r="J1156" s="25">
        <f t="array" ref="J1156">INDEX(I$5:I$67,MATCH($B1156,$B$5:$B$67,0))</f>
        <v>823</v>
      </c>
      <c r="K1156" s="25">
        <f t="array" ref="K1156">INDEX(J$5:J$67,MATCH($B1156,$B$5:$B$67,0))</f>
        <v>65.84</v>
      </c>
      <c r="L1156" s="25">
        <f t="shared" si="639"/>
        <v>24816</v>
      </c>
      <c r="M1156" s="25">
        <f t="shared" si="640"/>
        <v>6040</v>
      </c>
      <c r="N1156" s="25">
        <f t="shared" si="641"/>
        <v>4467</v>
      </c>
      <c r="O1156" s="25">
        <f t="shared" si="642"/>
        <v>4642</v>
      </c>
      <c r="R1156" s="50"/>
      <c r="S1156" s="51"/>
      <c r="T1156" s="29"/>
    </row>
    <row r="1157" spans="1:20">
      <c r="A1157" s="48">
        <v>1020059</v>
      </c>
      <c r="B1157" s="49" t="s">
        <v>350</v>
      </c>
      <c r="C1157" s="25">
        <f t="shared" si="638"/>
        <v>59</v>
      </c>
      <c r="D1157" s="25">
        <f t="array" ref="D1157">INDEX(C$5:C$67,MATCH($B1157,$B$5:$B$67,0))</f>
        <v>4400</v>
      </c>
      <c r="E1157" s="25">
        <f t="array" ref="E1157">INDEX(D$5:D$67,MATCH($B1157,$B$5:$B$67,0))</f>
        <v>352</v>
      </c>
      <c r="F1157" s="25">
        <f t="array" ref="F1157">INDEX(E$5:E$67,MATCH($B1157,$B$5:$B$67,0))</f>
        <v>1071</v>
      </c>
      <c r="G1157" s="25">
        <f t="array" ref="G1157">INDEX(F$5:F$67,MATCH($B1157,$B$5:$B$67,0))</f>
        <v>85.68</v>
      </c>
      <c r="H1157" s="25">
        <f t="array" ref="H1157">INDEX(G$5:G$66,MATCH($B1157,$B$5:$B$67,0))</f>
        <v>792</v>
      </c>
      <c r="I1157" s="25">
        <f t="array" ref="I1157">INDEX(H$5:H$67,MATCH($B1157,$B$5:$B$67,0))</f>
        <v>63.36</v>
      </c>
      <c r="J1157" s="25">
        <f t="array" ref="J1157">INDEX(I$5:I$67,MATCH($B1157,$B$5:$B$67,0))</f>
        <v>823</v>
      </c>
      <c r="K1157" s="25">
        <f t="array" ref="K1157">INDEX(J$5:J$67,MATCH($B1157,$B$5:$B$67,0))</f>
        <v>65.84</v>
      </c>
      <c r="L1157" s="25">
        <f t="shared" si="639"/>
        <v>25168</v>
      </c>
      <c r="M1157" s="25">
        <f t="shared" si="640"/>
        <v>6126</v>
      </c>
      <c r="N1157" s="25">
        <f t="shared" si="641"/>
        <v>4530</v>
      </c>
      <c r="O1157" s="25">
        <f t="shared" si="642"/>
        <v>4708</v>
      </c>
      <c r="R1157" s="50"/>
      <c r="S1157" s="51"/>
      <c r="T1157" s="29"/>
    </row>
    <row r="1158" spans="1:20">
      <c r="A1158" s="48">
        <v>1020060</v>
      </c>
      <c r="B1158" s="49" t="s">
        <v>350</v>
      </c>
      <c r="C1158" s="25">
        <f t="shared" si="638"/>
        <v>60</v>
      </c>
      <c r="D1158" s="25">
        <f t="array" ref="D1158">INDEX(C$5:C$67,MATCH($B1158,$B$5:$B$67,0))</f>
        <v>4400</v>
      </c>
      <c r="E1158" s="25">
        <f t="array" ref="E1158">INDEX(D$5:D$67,MATCH($B1158,$B$5:$B$67,0))</f>
        <v>352</v>
      </c>
      <c r="F1158" s="25">
        <f t="array" ref="F1158">INDEX(E$5:E$67,MATCH($B1158,$B$5:$B$67,0))</f>
        <v>1071</v>
      </c>
      <c r="G1158" s="25">
        <f t="array" ref="G1158">INDEX(F$5:F$67,MATCH($B1158,$B$5:$B$67,0))</f>
        <v>85.68</v>
      </c>
      <c r="H1158" s="25">
        <f t="array" ref="H1158">INDEX(G$5:G$66,MATCH($B1158,$B$5:$B$67,0))</f>
        <v>792</v>
      </c>
      <c r="I1158" s="25">
        <f t="array" ref="I1158">INDEX(H$5:H$67,MATCH($B1158,$B$5:$B$67,0))</f>
        <v>63.36</v>
      </c>
      <c r="J1158" s="25">
        <f t="array" ref="J1158">INDEX(I$5:I$67,MATCH($B1158,$B$5:$B$67,0))</f>
        <v>823</v>
      </c>
      <c r="K1158" s="25">
        <f t="array" ref="K1158">INDEX(J$5:J$67,MATCH($B1158,$B$5:$B$67,0))</f>
        <v>65.84</v>
      </c>
      <c r="L1158" s="25">
        <f t="shared" si="639"/>
        <v>25520</v>
      </c>
      <c r="M1158" s="25">
        <f t="shared" si="640"/>
        <v>6212</v>
      </c>
      <c r="N1158" s="25">
        <f t="shared" si="641"/>
        <v>4594</v>
      </c>
      <c r="O1158" s="25">
        <f t="shared" si="642"/>
        <v>4773</v>
      </c>
      <c r="R1158" s="50"/>
      <c r="S1158" s="51"/>
      <c r="T1158" s="29"/>
    </row>
    <row r="1159" spans="1:20">
      <c r="A1159" s="48">
        <v>1021001</v>
      </c>
      <c r="B1159" s="49" t="s">
        <v>353</v>
      </c>
      <c r="C1159" s="25">
        <f t="shared" si="638"/>
        <v>1</v>
      </c>
      <c r="D1159" s="25">
        <f t="array" ref="D1159">INDEX(C$5:C$67,MATCH($B1159,$B$5:$B$67,0))</f>
        <v>4410</v>
      </c>
      <c r="E1159" s="25">
        <f t="array" ref="E1159">INDEX(D$5:D$67,MATCH($B1159,$B$5:$B$67,0))</f>
        <v>352.8</v>
      </c>
      <c r="F1159" s="25">
        <f t="array" ref="F1159">INDEX(E$5:E$67,MATCH($B1159,$B$5:$B$67,0))</f>
        <v>1151</v>
      </c>
      <c r="G1159" s="25">
        <f t="array" ref="G1159">INDEX(F$5:F$67,MATCH($B1159,$B$5:$B$67,0))</f>
        <v>92.08</v>
      </c>
      <c r="H1159" s="25">
        <f t="array" ref="H1159">INDEX(G$5:G$66,MATCH($B1159,$B$5:$B$67,0))</f>
        <v>894</v>
      </c>
      <c r="I1159" s="25">
        <f t="array" ref="I1159">INDEX(H$5:H$67,MATCH($B1159,$B$5:$B$67,0))</f>
        <v>71.52</v>
      </c>
      <c r="J1159" s="25">
        <f t="array" ref="J1159">INDEX(I$5:I$67,MATCH($B1159,$B$5:$B$67,0))</f>
        <v>760</v>
      </c>
      <c r="K1159" s="25">
        <f t="array" ref="K1159">INDEX(J$5:J$67,MATCH($B1159,$B$5:$B$67,0))</f>
        <v>60.8</v>
      </c>
      <c r="L1159" s="25">
        <f t="shared" si="639"/>
        <v>4763</v>
      </c>
      <c r="M1159" s="25">
        <f t="shared" si="640"/>
        <v>1243</v>
      </c>
      <c r="N1159" s="25">
        <f t="shared" si="641"/>
        <v>966</v>
      </c>
      <c r="O1159" s="25">
        <f t="shared" si="642"/>
        <v>821</v>
      </c>
      <c r="R1159" s="50"/>
      <c r="S1159" s="51"/>
      <c r="T1159" s="29"/>
    </row>
    <row r="1160" spans="1:20">
      <c r="A1160" s="48">
        <v>1021002</v>
      </c>
      <c r="B1160" s="49" t="s">
        <v>353</v>
      </c>
      <c r="C1160" s="25">
        <f t="shared" si="638"/>
        <v>2</v>
      </c>
      <c r="D1160" s="25">
        <f t="array" ref="D1160">INDEX(C$5:C$67,MATCH($B1160,$B$5:$B$67,0))</f>
        <v>4410</v>
      </c>
      <c r="E1160" s="25">
        <f t="array" ref="E1160">INDEX(D$5:D$67,MATCH($B1160,$B$5:$B$67,0))</f>
        <v>352.8</v>
      </c>
      <c r="F1160" s="25">
        <f t="array" ref="F1160">INDEX(E$5:E$67,MATCH($B1160,$B$5:$B$67,0))</f>
        <v>1151</v>
      </c>
      <c r="G1160" s="25">
        <f t="array" ref="G1160">INDEX(F$5:F$67,MATCH($B1160,$B$5:$B$67,0))</f>
        <v>92.08</v>
      </c>
      <c r="H1160" s="25">
        <f t="array" ref="H1160">INDEX(G$5:G$66,MATCH($B1160,$B$5:$B$67,0))</f>
        <v>894</v>
      </c>
      <c r="I1160" s="25">
        <f t="array" ref="I1160">INDEX(H$5:H$67,MATCH($B1160,$B$5:$B$67,0))</f>
        <v>71.52</v>
      </c>
      <c r="J1160" s="25">
        <f t="array" ref="J1160">INDEX(I$5:I$67,MATCH($B1160,$B$5:$B$67,0))</f>
        <v>760</v>
      </c>
      <c r="K1160" s="25">
        <f t="array" ref="K1160">INDEX(J$5:J$67,MATCH($B1160,$B$5:$B$67,0))</f>
        <v>60.8</v>
      </c>
      <c r="L1160" s="25">
        <f t="shared" si="639"/>
        <v>5116</v>
      </c>
      <c r="M1160" s="25">
        <f t="shared" si="640"/>
        <v>1335</v>
      </c>
      <c r="N1160" s="25">
        <f t="shared" si="641"/>
        <v>1037</v>
      </c>
      <c r="O1160" s="25">
        <f t="shared" si="642"/>
        <v>882</v>
      </c>
      <c r="R1160" s="50"/>
      <c r="S1160" s="51"/>
      <c r="T1160" s="29"/>
    </row>
    <row r="1161" spans="1:20">
      <c r="A1161" s="48">
        <v>1021003</v>
      </c>
      <c r="B1161" s="49" t="s">
        <v>353</v>
      </c>
      <c r="C1161" s="25">
        <f t="shared" si="638"/>
        <v>3</v>
      </c>
      <c r="D1161" s="25">
        <f t="array" ref="D1161">INDEX(C$5:C$67,MATCH($B1161,$B$5:$B$67,0))</f>
        <v>4410</v>
      </c>
      <c r="E1161" s="25">
        <f t="array" ref="E1161">INDEX(D$5:D$67,MATCH($B1161,$B$5:$B$67,0))</f>
        <v>352.8</v>
      </c>
      <c r="F1161" s="25">
        <f t="array" ref="F1161">INDEX(E$5:E$67,MATCH($B1161,$B$5:$B$67,0))</f>
        <v>1151</v>
      </c>
      <c r="G1161" s="25">
        <f t="array" ref="G1161">INDEX(F$5:F$67,MATCH($B1161,$B$5:$B$67,0))</f>
        <v>92.08</v>
      </c>
      <c r="H1161" s="25">
        <f t="array" ref="H1161">INDEX(G$5:G$66,MATCH($B1161,$B$5:$B$67,0))</f>
        <v>894</v>
      </c>
      <c r="I1161" s="25">
        <f t="array" ref="I1161">INDEX(H$5:H$67,MATCH($B1161,$B$5:$B$67,0))</f>
        <v>71.52</v>
      </c>
      <c r="J1161" s="25">
        <f t="array" ref="J1161">INDEX(I$5:I$67,MATCH($B1161,$B$5:$B$67,0))</f>
        <v>760</v>
      </c>
      <c r="K1161" s="25">
        <f t="array" ref="K1161">INDEX(J$5:J$67,MATCH($B1161,$B$5:$B$67,0))</f>
        <v>60.8</v>
      </c>
      <c r="L1161" s="25">
        <f t="shared" si="639"/>
        <v>5468</v>
      </c>
      <c r="M1161" s="25">
        <f t="shared" si="640"/>
        <v>1427</v>
      </c>
      <c r="N1161" s="25">
        <f t="shared" si="641"/>
        <v>1109</v>
      </c>
      <c r="O1161" s="25">
        <f t="shared" si="642"/>
        <v>942</v>
      </c>
      <c r="R1161" s="50"/>
      <c r="S1161" s="51"/>
      <c r="T1161" s="29"/>
    </row>
    <row r="1162" spans="1:20">
      <c r="A1162" s="48">
        <v>1021004</v>
      </c>
      <c r="B1162" s="49" t="s">
        <v>353</v>
      </c>
      <c r="C1162" s="25">
        <f t="shared" si="638"/>
        <v>4</v>
      </c>
      <c r="D1162" s="25">
        <f t="array" ref="D1162">INDEX(C$5:C$67,MATCH($B1162,$B$5:$B$67,0))</f>
        <v>4410</v>
      </c>
      <c r="E1162" s="25">
        <f t="array" ref="E1162">INDEX(D$5:D$67,MATCH($B1162,$B$5:$B$67,0))</f>
        <v>352.8</v>
      </c>
      <c r="F1162" s="25">
        <f t="array" ref="F1162">INDEX(E$5:E$67,MATCH($B1162,$B$5:$B$67,0))</f>
        <v>1151</v>
      </c>
      <c r="G1162" s="25">
        <f t="array" ref="G1162">INDEX(F$5:F$67,MATCH($B1162,$B$5:$B$67,0))</f>
        <v>92.08</v>
      </c>
      <c r="H1162" s="25">
        <f t="array" ref="H1162">INDEX(G$5:G$66,MATCH($B1162,$B$5:$B$67,0))</f>
        <v>894</v>
      </c>
      <c r="I1162" s="25">
        <f t="array" ref="I1162">INDEX(H$5:H$67,MATCH($B1162,$B$5:$B$67,0))</f>
        <v>71.52</v>
      </c>
      <c r="J1162" s="25">
        <f t="array" ref="J1162">INDEX(I$5:I$67,MATCH($B1162,$B$5:$B$67,0))</f>
        <v>760</v>
      </c>
      <c r="K1162" s="25">
        <f t="array" ref="K1162">INDEX(J$5:J$67,MATCH($B1162,$B$5:$B$67,0))</f>
        <v>60.8</v>
      </c>
      <c r="L1162" s="25">
        <f t="shared" si="639"/>
        <v>5821</v>
      </c>
      <c r="M1162" s="25">
        <f t="shared" si="640"/>
        <v>1519</v>
      </c>
      <c r="N1162" s="25">
        <f t="shared" si="641"/>
        <v>1180</v>
      </c>
      <c r="O1162" s="25">
        <f t="shared" si="642"/>
        <v>1003</v>
      </c>
      <c r="R1162" s="50"/>
      <c r="S1162" s="51"/>
      <c r="T1162" s="29"/>
    </row>
    <row r="1163" spans="1:20">
      <c r="A1163" s="48">
        <v>1021005</v>
      </c>
      <c r="B1163" s="49" t="s">
        <v>353</v>
      </c>
      <c r="C1163" s="25">
        <f t="shared" ref="C1163:C1226" si="643">C1103</f>
        <v>5</v>
      </c>
      <c r="D1163" s="25">
        <f t="array" ref="D1163">INDEX(C$5:C$67,MATCH($B1163,$B$5:$B$67,0))</f>
        <v>4410</v>
      </c>
      <c r="E1163" s="25">
        <f t="array" ref="E1163">INDEX(D$5:D$67,MATCH($B1163,$B$5:$B$67,0))</f>
        <v>352.8</v>
      </c>
      <c r="F1163" s="25">
        <f t="array" ref="F1163">INDEX(E$5:E$67,MATCH($B1163,$B$5:$B$67,0))</f>
        <v>1151</v>
      </c>
      <c r="G1163" s="25">
        <f t="array" ref="G1163">INDEX(F$5:F$67,MATCH($B1163,$B$5:$B$67,0))</f>
        <v>92.08</v>
      </c>
      <c r="H1163" s="25">
        <f t="array" ref="H1163">INDEX(G$5:G$66,MATCH($B1163,$B$5:$B$67,0))</f>
        <v>894</v>
      </c>
      <c r="I1163" s="25">
        <f t="array" ref="I1163">INDEX(H$5:H$67,MATCH($B1163,$B$5:$B$67,0))</f>
        <v>71.52</v>
      </c>
      <c r="J1163" s="25">
        <f t="array" ref="J1163">INDEX(I$5:I$67,MATCH($B1163,$B$5:$B$67,0))</f>
        <v>760</v>
      </c>
      <c r="K1163" s="25">
        <f t="array" ref="K1163">INDEX(J$5:J$67,MATCH($B1163,$B$5:$B$67,0))</f>
        <v>60.8</v>
      </c>
      <c r="L1163" s="25">
        <f t="shared" si="639"/>
        <v>6174</v>
      </c>
      <c r="M1163" s="25">
        <f t="shared" si="640"/>
        <v>1611</v>
      </c>
      <c r="N1163" s="25">
        <f t="shared" si="641"/>
        <v>1252</v>
      </c>
      <c r="O1163" s="25">
        <f t="shared" si="642"/>
        <v>1064</v>
      </c>
      <c r="R1163" s="50"/>
      <c r="S1163" s="51"/>
      <c r="T1163" s="29"/>
    </row>
    <row r="1164" spans="1:20">
      <c r="A1164" s="48">
        <v>1021006</v>
      </c>
      <c r="B1164" s="49" t="s">
        <v>353</v>
      </c>
      <c r="C1164" s="25">
        <f t="shared" si="643"/>
        <v>6</v>
      </c>
      <c r="D1164" s="25">
        <f t="array" ref="D1164">INDEX(C$5:C$67,MATCH($B1164,$B$5:$B$67,0))</f>
        <v>4410</v>
      </c>
      <c r="E1164" s="25">
        <f t="array" ref="E1164">INDEX(D$5:D$67,MATCH($B1164,$B$5:$B$67,0))</f>
        <v>352.8</v>
      </c>
      <c r="F1164" s="25">
        <f t="array" ref="F1164">INDEX(E$5:E$67,MATCH($B1164,$B$5:$B$67,0))</f>
        <v>1151</v>
      </c>
      <c r="G1164" s="25">
        <f t="array" ref="G1164">INDEX(F$5:F$67,MATCH($B1164,$B$5:$B$67,0))</f>
        <v>92.08</v>
      </c>
      <c r="H1164" s="25">
        <f t="array" ref="H1164">INDEX(G$5:G$66,MATCH($B1164,$B$5:$B$67,0))</f>
        <v>894</v>
      </c>
      <c r="I1164" s="25">
        <f t="array" ref="I1164">INDEX(H$5:H$67,MATCH($B1164,$B$5:$B$67,0))</f>
        <v>71.52</v>
      </c>
      <c r="J1164" s="25">
        <f t="array" ref="J1164">INDEX(I$5:I$67,MATCH($B1164,$B$5:$B$67,0))</f>
        <v>760</v>
      </c>
      <c r="K1164" s="25">
        <f t="array" ref="K1164">INDEX(J$5:J$67,MATCH($B1164,$B$5:$B$67,0))</f>
        <v>60.8</v>
      </c>
      <c r="L1164" s="25">
        <f t="shared" si="639"/>
        <v>6527</v>
      </c>
      <c r="M1164" s="25">
        <f t="shared" si="640"/>
        <v>1703</v>
      </c>
      <c r="N1164" s="25">
        <f t="shared" si="641"/>
        <v>1323</v>
      </c>
      <c r="O1164" s="25">
        <f t="shared" si="642"/>
        <v>1125</v>
      </c>
      <c r="R1164" s="50"/>
      <c r="S1164" s="51"/>
      <c r="T1164" s="29"/>
    </row>
    <row r="1165" spans="1:20">
      <c r="A1165" s="48">
        <v>1021007</v>
      </c>
      <c r="B1165" s="49" t="s">
        <v>353</v>
      </c>
      <c r="C1165" s="25">
        <f t="shared" si="643"/>
        <v>7</v>
      </c>
      <c r="D1165" s="25">
        <f t="array" ref="D1165">INDEX(C$5:C$67,MATCH($B1165,$B$5:$B$67,0))</f>
        <v>4410</v>
      </c>
      <c r="E1165" s="25">
        <f t="array" ref="E1165">INDEX(D$5:D$67,MATCH($B1165,$B$5:$B$67,0))</f>
        <v>352.8</v>
      </c>
      <c r="F1165" s="25">
        <f t="array" ref="F1165">INDEX(E$5:E$67,MATCH($B1165,$B$5:$B$67,0))</f>
        <v>1151</v>
      </c>
      <c r="G1165" s="25">
        <f t="array" ref="G1165">INDEX(F$5:F$67,MATCH($B1165,$B$5:$B$67,0))</f>
        <v>92.08</v>
      </c>
      <c r="H1165" s="25">
        <f t="array" ref="H1165">INDEX(G$5:G$66,MATCH($B1165,$B$5:$B$67,0))</f>
        <v>894</v>
      </c>
      <c r="I1165" s="25">
        <f t="array" ref="I1165">INDEX(H$5:H$67,MATCH($B1165,$B$5:$B$67,0))</f>
        <v>71.52</v>
      </c>
      <c r="J1165" s="25">
        <f t="array" ref="J1165">INDEX(I$5:I$67,MATCH($B1165,$B$5:$B$67,0))</f>
        <v>760</v>
      </c>
      <c r="K1165" s="25">
        <f t="array" ref="K1165">INDEX(J$5:J$67,MATCH($B1165,$B$5:$B$67,0))</f>
        <v>60.8</v>
      </c>
      <c r="L1165" s="25">
        <f t="shared" si="639"/>
        <v>6880</v>
      </c>
      <c r="M1165" s="25">
        <f t="shared" si="640"/>
        <v>1796</v>
      </c>
      <c r="N1165" s="25">
        <f t="shared" si="641"/>
        <v>1395</v>
      </c>
      <c r="O1165" s="25">
        <f t="shared" si="642"/>
        <v>1186</v>
      </c>
      <c r="R1165" s="50"/>
      <c r="S1165" s="51"/>
      <c r="T1165" s="29"/>
    </row>
    <row r="1166" spans="1:20">
      <c r="A1166" s="48">
        <v>1021008</v>
      </c>
      <c r="B1166" s="49" t="s">
        <v>353</v>
      </c>
      <c r="C1166" s="25">
        <f t="shared" si="643"/>
        <v>8</v>
      </c>
      <c r="D1166" s="25">
        <f t="array" ref="D1166">INDEX(C$5:C$67,MATCH($B1166,$B$5:$B$67,0))</f>
        <v>4410</v>
      </c>
      <c r="E1166" s="25">
        <f t="array" ref="E1166">INDEX(D$5:D$67,MATCH($B1166,$B$5:$B$67,0))</f>
        <v>352.8</v>
      </c>
      <c r="F1166" s="25">
        <f t="array" ref="F1166">INDEX(E$5:E$67,MATCH($B1166,$B$5:$B$67,0))</f>
        <v>1151</v>
      </c>
      <c r="G1166" s="25">
        <f t="array" ref="G1166">INDEX(F$5:F$67,MATCH($B1166,$B$5:$B$67,0))</f>
        <v>92.08</v>
      </c>
      <c r="H1166" s="25">
        <f t="array" ref="H1166">INDEX(G$5:G$66,MATCH($B1166,$B$5:$B$67,0))</f>
        <v>894</v>
      </c>
      <c r="I1166" s="25">
        <f t="array" ref="I1166">INDEX(H$5:H$67,MATCH($B1166,$B$5:$B$67,0))</f>
        <v>71.52</v>
      </c>
      <c r="J1166" s="25">
        <f t="array" ref="J1166">INDEX(I$5:I$67,MATCH($B1166,$B$5:$B$67,0))</f>
        <v>760</v>
      </c>
      <c r="K1166" s="25">
        <f t="array" ref="K1166">INDEX(J$5:J$67,MATCH($B1166,$B$5:$B$67,0))</f>
        <v>60.8</v>
      </c>
      <c r="L1166" s="25">
        <f t="shared" si="639"/>
        <v>7232</v>
      </c>
      <c r="M1166" s="25">
        <f t="shared" si="640"/>
        <v>1888</v>
      </c>
      <c r="N1166" s="25">
        <f t="shared" si="641"/>
        <v>1466</v>
      </c>
      <c r="O1166" s="25">
        <f t="shared" si="642"/>
        <v>1246</v>
      </c>
      <c r="R1166" s="50"/>
      <c r="S1166" s="51"/>
      <c r="T1166" s="29"/>
    </row>
    <row r="1167" spans="1:20">
      <c r="A1167" s="48">
        <v>1021009</v>
      </c>
      <c r="B1167" s="49" t="s">
        <v>353</v>
      </c>
      <c r="C1167" s="25">
        <f t="shared" si="643"/>
        <v>9</v>
      </c>
      <c r="D1167" s="25">
        <f t="array" ref="D1167">INDEX(C$5:C$67,MATCH($B1167,$B$5:$B$67,0))</f>
        <v>4410</v>
      </c>
      <c r="E1167" s="25">
        <f t="array" ref="E1167">INDEX(D$5:D$67,MATCH($B1167,$B$5:$B$67,0))</f>
        <v>352.8</v>
      </c>
      <c r="F1167" s="25">
        <f t="array" ref="F1167">INDEX(E$5:E$67,MATCH($B1167,$B$5:$B$67,0))</f>
        <v>1151</v>
      </c>
      <c r="G1167" s="25">
        <f t="array" ref="G1167">INDEX(F$5:F$67,MATCH($B1167,$B$5:$B$67,0))</f>
        <v>92.08</v>
      </c>
      <c r="H1167" s="25">
        <f t="array" ref="H1167">INDEX(G$5:G$66,MATCH($B1167,$B$5:$B$67,0))</f>
        <v>894</v>
      </c>
      <c r="I1167" s="25">
        <f t="array" ref="I1167">INDEX(H$5:H$67,MATCH($B1167,$B$5:$B$67,0))</f>
        <v>71.52</v>
      </c>
      <c r="J1167" s="25">
        <f t="array" ref="J1167">INDEX(I$5:I$67,MATCH($B1167,$B$5:$B$67,0))</f>
        <v>760</v>
      </c>
      <c r="K1167" s="25">
        <f t="array" ref="K1167">INDEX(J$5:J$67,MATCH($B1167,$B$5:$B$67,0))</f>
        <v>60.8</v>
      </c>
      <c r="L1167" s="25">
        <f t="shared" ref="L1167:L1230" si="644">ROUND(D1167+E1167*$C1167,0)</f>
        <v>7585</v>
      </c>
      <c r="M1167" s="25">
        <f t="shared" ref="M1167:M1230" si="645">ROUND(F1167+G1167*$C1167,0)</f>
        <v>1980</v>
      </c>
      <c r="N1167" s="25">
        <f t="shared" ref="N1167:N1230" si="646">ROUND(H1167+I1167*$C1167,0)</f>
        <v>1538</v>
      </c>
      <c r="O1167" s="25">
        <f t="shared" ref="O1167:O1230" si="647">ROUND(J1167+K1167*$C1167,0)</f>
        <v>1307</v>
      </c>
      <c r="R1167" s="50"/>
      <c r="S1167" s="51"/>
      <c r="T1167" s="29"/>
    </row>
    <row r="1168" spans="1:20">
      <c r="A1168" s="48">
        <v>1021010</v>
      </c>
      <c r="B1168" s="49" t="s">
        <v>353</v>
      </c>
      <c r="C1168" s="25">
        <f t="shared" si="643"/>
        <v>10</v>
      </c>
      <c r="D1168" s="25">
        <f t="array" ref="D1168">INDEX(C$5:C$67,MATCH($B1168,$B$5:$B$67,0))</f>
        <v>4410</v>
      </c>
      <c r="E1168" s="25">
        <f t="array" ref="E1168">INDEX(D$5:D$67,MATCH($B1168,$B$5:$B$67,0))</f>
        <v>352.8</v>
      </c>
      <c r="F1168" s="25">
        <f t="array" ref="F1168">INDEX(E$5:E$67,MATCH($B1168,$B$5:$B$67,0))</f>
        <v>1151</v>
      </c>
      <c r="G1168" s="25">
        <f t="array" ref="G1168">INDEX(F$5:F$67,MATCH($B1168,$B$5:$B$67,0))</f>
        <v>92.08</v>
      </c>
      <c r="H1168" s="25">
        <f t="array" ref="H1168">INDEX(G$5:G$66,MATCH($B1168,$B$5:$B$67,0))</f>
        <v>894</v>
      </c>
      <c r="I1168" s="25">
        <f t="array" ref="I1168">INDEX(H$5:H$67,MATCH($B1168,$B$5:$B$67,0))</f>
        <v>71.52</v>
      </c>
      <c r="J1168" s="25">
        <f t="array" ref="J1168">INDEX(I$5:I$67,MATCH($B1168,$B$5:$B$67,0))</f>
        <v>760</v>
      </c>
      <c r="K1168" s="25">
        <f t="array" ref="K1168">INDEX(J$5:J$67,MATCH($B1168,$B$5:$B$67,0))</f>
        <v>60.8</v>
      </c>
      <c r="L1168" s="25">
        <f t="shared" si="644"/>
        <v>7938</v>
      </c>
      <c r="M1168" s="25">
        <f t="shared" si="645"/>
        <v>2072</v>
      </c>
      <c r="N1168" s="25">
        <f t="shared" si="646"/>
        <v>1609</v>
      </c>
      <c r="O1168" s="25">
        <f t="shared" si="647"/>
        <v>1368</v>
      </c>
      <c r="R1168" s="50"/>
      <c r="S1168" s="51"/>
      <c r="T1168" s="29"/>
    </row>
    <row r="1169" spans="1:20">
      <c r="A1169" s="48">
        <v>1021011</v>
      </c>
      <c r="B1169" s="49" t="s">
        <v>353</v>
      </c>
      <c r="C1169" s="25">
        <f t="shared" si="643"/>
        <v>11</v>
      </c>
      <c r="D1169" s="25">
        <f t="array" ref="D1169">INDEX(C$5:C$67,MATCH($B1169,$B$5:$B$67,0))</f>
        <v>4410</v>
      </c>
      <c r="E1169" s="25">
        <f t="array" ref="E1169">INDEX(D$5:D$67,MATCH($B1169,$B$5:$B$67,0))</f>
        <v>352.8</v>
      </c>
      <c r="F1169" s="25">
        <f t="array" ref="F1169">INDEX(E$5:E$67,MATCH($B1169,$B$5:$B$67,0))</f>
        <v>1151</v>
      </c>
      <c r="G1169" s="25">
        <f t="array" ref="G1169">INDEX(F$5:F$67,MATCH($B1169,$B$5:$B$67,0))</f>
        <v>92.08</v>
      </c>
      <c r="H1169" s="25">
        <f t="array" ref="H1169">INDEX(G$5:G$66,MATCH($B1169,$B$5:$B$67,0))</f>
        <v>894</v>
      </c>
      <c r="I1169" s="25">
        <f t="array" ref="I1169">INDEX(H$5:H$67,MATCH($B1169,$B$5:$B$67,0))</f>
        <v>71.52</v>
      </c>
      <c r="J1169" s="25">
        <f t="array" ref="J1169">INDEX(I$5:I$67,MATCH($B1169,$B$5:$B$67,0))</f>
        <v>760</v>
      </c>
      <c r="K1169" s="25">
        <f t="array" ref="K1169">INDEX(J$5:J$67,MATCH($B1169,$B$5:$B$67,0))</f>
        <v>60.8</v>
      </c>
      <c r="L1169" s="25">
        <f t="shared" si="644"/>
        <v>8291</v>
      </c>
      <c r="M1169" s="25">
        <f t="shared" si="645"/>
        <v>2164</v>
      </c>
      <c r="N1169" s="25">
        <f t="shared" si="646"/>
        <v>1681</v>
      </c>
      <c r="O1169" s="25">
        <f t="shared" si="647"/>
        <v>1429</v>
      </c>
      <c r="R1169" s="50"/>
      <c r="S1169" s="51"/>
      <c r="T1169" s="29"/>
    </row>
    <row r="1170" spans="1:20">
      <c r="A1170" s="48">
        <v>1021012</v>
      </c>
      <c r="B1170" s="49" t="s">
        <v>353</v>
      </c>
      <c r="C1170" s="25">
        <f t="shared" si="643"/>
        <v>12</v>
      </c>
      <c r="D1170" s="25">
        <f t="array" ref="D1170">INDEX(C$5:C$67,MATCH($B1170,$B$5:$B$67,0))</f>
        <v>4410</v>
      </c>
      <c r="E1170" s="25">
        <f t="array" ref="E1170">INDEX(D$5:D$67,MATCH($B1170,$B$5:$B$67,0))</f>
        <v>352.8</v>
      </c>
      <c r="F1170" s="25">
        <f t="array" ref="F1170">INDEX(E$5:E$67,MATCH($B1170,$B$5:$B$67,0))</f>
        <v>1151</v>
      </c>
      <c r="G1170" s="25">
        <f t="array" ref="G1170">INDEX(F$5:F$67,MATCH($B1170,$B$5:$B$67,0))</f>
        <v>92.08</v>
      </c>
      <c r="H1170" s="25">
        <f t="array" ref="H1170">INDEX(G$5:G$66,MATCH($B1170,$B$5:$B$67,0))</f>
        <v>894</v>
      </c>
      <c r="I1170" s="25">
        <f t="array" ref="I1170">INDEX(H$5:H$67,MATCH($B1170,$B$5:$B$67,0))</f>
        <v>71.52</v>
      </c>
      <c r="J1170" s="25">
        <f t="array" ref="J1170">INDEX(I$5:I$67,MATCH($B1170,$B$5:$B$67,0))</f>
        <v>760</v>
      </c>
      <c r="K1170" s="25">
        <f t="array" ref="K1170">INDEX(J$5:J$67,MATCH($B1170,$B$5:$B$67,0))</f>
        <v>60.8</v>
      </c>
      <c r="L1170" s="25">
        <f t="shared" si="644"/>
        <v>8644</v>
      </c>
      <c r="M1170" s="25">
        <f t="shared" si="645"/>
        <v>2256</v>
      </c>
      <c r="N1170" s="25">
        <f t="shared" si="646"/>
        <v>1752</v>
      </c>
      <c r="O1170" s="25">
        <f t="shared" si="647"/>
        <v>1490</v>
      </c>
      <c r="R1170" s="50"/>
      <c r="S1170" s="51"/>
      <c r="T1170" s="29"/>
    </row>
    <row r="1171" spans="1:20">
      <c r="A1171" s="48">
        <v>1021013</v>
      </c>
      <c r="B1171" s="49" t="s">
        <v>353</v>
      </c>
      <c r="C1171" s="25">
        <f t="shared" si="643"/>
        <v>13</v>
      </c>
      <c r="D1171" s="25">
        <f t="array" ref="D1171">INDEX(C$5:C$67,MATCH($B1171,$B$5:$B$67,0))</f>
        <v>4410</v>
      </c>
      <c r="E1171" s="25">
        <f t="array" ref="E1171">INDEX(D$5:D$67,MATCH($B1171,$B$5:$B$67,0))</f>
        <v>352.8</v>
      </c>
      <c r="F1171" s="25">
        <f t="array" ref="F1171">INDEX(E$5:E$67,MATCH($B1171,$B$5:$B$67,0))</f>
        <v>1151</v>
      </c>
      <c r="G1171" s="25">
        <f t="array" ref="G1171">INDEX(F$5:F$67,MATCH($B1171,$B$5:$B$67,0))</f>
        <v>92.08</v>
      </c>
      <c r="H1171" s="25">
        <f t="array" ref="H1171">INDEX(G$5:G$66,MATCH($B1171,$B$5:$B$67,0))</f>
        <v>894</v>
      </c>
      <c r="I1171" s="25">
        <f t="array" ref="I1171">INDEX(H$5:H$67,MATCH($B1171,$B$5:$B$67,0))</f>
        <v>71.52</v>
      </c>
      <c r="J1171" s="25">
        <f t="array" ref="J1171">INDEX(I$5:I$67,MATCH($B1171,$B$5:$B$67,0))</f>
        <v>760</v>
      </c>
      <c r="K1171" s="25">
        <f t="array" ref="K1171">INDEX(J$5:J$67,MATCH($B1171,$B$5:$B$67,0))</f>
        <v>60.8</v>
      </c>
      <c r="L1171" s="25">
        <f t="shared" si="644"/>
        <v>8996</v>
      </c>
      <c r="M1171" s="25">
        <f t="shared" si="645"/>
        <v>2348</v>
      </c>
      <c r="N1171" s="25">
        <f t="shared" si="646"/>
        <v>1824</v>
      </c>
      <c r="O1171" s="25">
        <f t="shared" si="647"/>
        <v>1550</v>
      </c>
      <c r="R1171" s="50"/>
      <c r="S1171" s="51"/>
      <c r="T1171" s="29"/>
    </row>
    <row r="1172" spans="1:20">
      <c r="A1172" s="48">
        <v>1021014</v>
      </c>
      <c r="B1172" s="49" t="s">
        <v>353</v>
      </c>
      <c r="C1172" s="25">
        <f t="shared" si="643"/>
        <v>14</v>
      </c>
      <c r="D1172" s="25">
        <f t="array" ref="D1172">INDEX(C$5:C$67,MATCH($B1172,$B$5:$B$67,0))</f>
        <v>4410</v>
      </c>
      <c r="E1172" s="25">
        <f t="array" ref="E1172">INDEX(D$5:D$67,MATCH($B1172,$B$5:$B$67,0))</f>
        <v>352.8</v>
      </c>
      <c r="F1172" s="25">
        <f t="array" ref="F1172">INDEX(E$5:E$67,MATCH($B1172,$B$5:$B$67,0))</f>
        <v>1151</v>
      </c>
      <c r="G1172" s="25">
        <f t="array" ref="G1172">INDEX(F$5:F$67,MATCH($B1172,$B$5:$B$67,0))</f>
        <v>92.08</v>
      </c>
      <c r="H1172" s="25">
        <f t="array" ref="H1172">INDEX(G$5:G$66,MATCH($B1172,$B$5:$B$67,0))</f>
        <v>894</v>
      </c>
      <c r="I1172" s="25">
        <f t="array" ref="I1172">INDEX(H$5:H$67,MATCH($B1172,$B$5:$B$67,0))</f>
        <v>71.52</v>
      </c>
      <c r="J1172" s="25">
        <f t="array" ref="J1172">INDEX(I$5:I$67,MATCH($B1172,$B$5:$B$67,0))</f>
        <v>760</v>
      </c>
      <c r="K1172" s="25">
        <f t="array" ref="K1172">INDEX(J$5:J$67,MATCH($B1172,$B$5:$B$67,0))</f>
        <v>60.8</v>
      </c>
      <c r="L1172" s="25">
        <f t="shared" si="644"/>
        <v>9349</v>
      </c>
      <c r="M1172" s="25">
        <f t="shared" si="645"/>
        <v>2440</v>
      </c>
      <c r="N1172" s="25">
        <f t="shared" si="646"/>
        <v>1895</v>
      </c>
      <c r="O1172" s="25">
        <f t="shared" si="647"/>
        <v>1611</v>
      </c>
      <c r="R1172" s="50"/>
      <c r="S1172" s="51"/>
      <c r="T1172" s="29"/>
    </row>
    <row r="1173" spans="1:20">
      <c r="A1173" s="48">
        <v>1021015</v>
      </c>
      <c r="B1173" s="49" t="s">
        <v>353</v>
      </c>
      <c r="C1173" s="25">
        <f t="shared" si="643"/>
        <v>15</v>
      </c>
      <c r="D1173" s="25">
        <f t="array" ref="D1173">INDEX(C$5:C$67,MATCH($B1173,$B$5:$B$67,0))</f>
        <v>4410</v>
      </c>
      <c r="E1173" s="25">
        <f t="array" ref="E1173">INDEX(D$5:D$67,MATCH($B1173,$B$5:$B$67,0))</f>
        <v>352.8</v>
      </c>
      <c r="F1173" s="25">
        <f t="array" ref="F1173">INDEX(E$5:E$67,MATCH($B1173,$B$5:$B$67,0))</f>
        <v>1151</v>
      </c>
      <c r="G1173" s="25">
        <f t="array" ref="G1173">INDEX(F$5:F$67,MATCH($B1173,$B$5:$B$67,0))</f>
        <v>92.08</v>
      </c>
      <c r="H1173" s="25">
        <f t="array" ref="H1173">INDEX(G$5:G$66,MATCH($B1173,$B$5:$B$67,0))</f>
        <v>894</v>
      </c>
      <c r="I1173" s="25">
        <f t="array" ref="I1173">INDEX(H$5:H$67,MATCH($B1173,$B$5:$B$67,0))</f>
        <v>71.52</v>
      </c>
      <c r="J1173" s="25">
        <f t="array" ref="J1173">INDEX(I$5:I$67,MATCH($B1173,$B$5:$B$67,0))</f>
        <v>760</v>
      </c>
      <c r="K1173" s="25">
        <f t="array" ref="K1173">INDEX(J$5:J$67,MATCH($B1173,$B$5:$B$67,0))</f>
        <v>60.8</v>
      </c>
      <c r="L1173" s="25">
        <f t="shared" si="644"/>
        <v>9702</v>
      </c>
      <c r="M1173" s="25">
        <f t="shared" si="645"/>
        <v>2532</v>
      </c>
      <c r="N1173" s="25">
        <f t="shared" si="646"/>
        <v>1967</v>
      </c>
      <c r="O1173" s="25">
        <f t="shared" si="647"/>
        <v>1672</v>
      </c>
      <c r="R1173" s="50"/>
      <c r="S1173" s="51"/>
      <c r="T1173" s="29"/>
    </row>
    <row r="1174" spans="1:20">
      <c r="A1174" s="48">
        <v>1021016</v>
      </c>
      <c r="B1174" s="49" t="s">
        <v>353</v>
      </c>
      <c r="C1174" s="25">
        <f t="shared" si="643"/>
        <v>16</v>
      </c>
      <c r="D1174" s="25">
        <f t="array" ref="D1174">INDEX(C$5:C$67,MATCH($B1174,$B$5:$B$67,0))</f>
        <v>4410</v>
      </c>
      <c r="E1174" s="25">
        <f t="array" ref="E1174">INDEX(D$5:D$67,MATCH($B1174,$B$5:$B$67,0))</f>
        <v>352.8</v>
      </c>
      <c r="F1174" s="25">
        <f t="array" ref="F1174">INDEX(E$5:E$67,MATCH($B1174,$B$5:$B$67,0))</f>
        <v>1151</v>
      </c>
      <c r="G1174" s="25">
        <f t="array" ref="G1174">INDEX(F$5:F$67,MATCH($B1174,$B$5:$B$67,0))</f>
        <v>92.08</v>
      </c>
      <c r="H1174" s="25">
        <f t="array" ref="H1174">INDEX(G$5:G$66,MATCH($B1174,$B$5:$B$67,0))</f>
        <v>894</v>
      </c>
      <c r="I1174" s="25">
        <f t="array" ref="I1174">INDEX(H$5:H$67,MATCH($B1174,$B$5:$B$67,0))</f>
        <v>71.52</v>
      </c>
      <c r="J1174" s="25">
        <f t="array" ref="J1174">INDEX(I$5:I$67,MATCH($B1174,$B$5:$B$67,0))</f>
        <v>760</v>
      </c>
      <c r="K1174" s="25">
        <f t="array" ref="K1174">INDEX(J$5:J$67,MATCH($B1174,$B$5:$B$67,0))</f>
        <v>60.8</v>
      </c>
      <c r="L1174" s="25">
        <f t="shared" si="644"/>
        <v>10055</v>
      </c>
      <c r="M1174" s="25">
        <f t="shared" si="645"/>
        <v>2624</v>
      </c>
      <c r="N1174" s="25">
        <f t="shared" si="646"/>
        <v>2038</v>
      </c>
      <c r="O1174" s="25">
        <f t="shared" si="647"/>
        <v>1733</v>
      </c>
      <c r="R1174" s="50"/>
      <c r="S1174" s="51"/>
      <c r="T1174" s="29"/>
    </row>
    <row r="1175" spans="1:20">
      <c r="A1175" s="48">
        <v>1021017</v>
      </c>
      <c r="B1175" s="49" t="s">
        <v>353</v>
      </c>
      <c r="C1175" s="25">
        <f t="shared" si="643"/>
        <v>17</v>
      </c>
      <c r="D1175" s="25">
        <f t="array" ref="D1175">INDEX(C$5:C$67,MATCH($B1175,$B$5:$B$67,0))</f>
        <v>4410</v>
      </c>
      <c r="E1175" s="25">
        <f t="array" ref="E1175">INDEX(D$5:D$67,MATCH($B1175,$B$5:$B$67,0))</f>
        <v>352.8</v>
      </c>
      <c r="F1175" s="25">
        <f t="array" ref="F1175">INDEX(E$5:E$67,MATCH($B1175,$B$5:$B$67,0))</f>
        <v>1151</v>
      </c>
      <c r="G1175" s="25">
        <f t="array" ref="G1175">INDEX(F$5:F$67,MATCH($B1175,$B$5:$B$67,0))</f>
        <v>92.08</v>
      </c>
      <c r="H1175" s="25">
        <f t="array" ref="H1175">INDEX(G$5:G$66,MATCH($B1175,$B$5:$B$67,0))</f>
        <v>894</v>
      </c>
      <c r="I1175" s="25">
        <f t="array" ref="I1175">INDEX(H$5:H$67,MATCH($B1175,$B$5:$B$67,0))</f>
        <v>71.52</v>
      </c>
      <c r="J1175" s="25">
        <f t="array" ref="J1175">INDEX(I$5:I$67,MATCH($B1175,$B$5:$B$67,0))</f>
        <v>760</v>
      </c>
      <c r="K1175" s="25">
        <f t="array" ref="K1175">INDEX(J$5:J$67,MATCH($B1175,$B$5:$B$67,0))</f>
        <v>60.8</v>
      </c>
      <c r="L1175" s="25">
        <f t="shared" si="644"/>
        <v>10408</v>
      </c>
      <c r="M1175" s="25">
        <f t="shared" si="645"/>
        <v>2716</v>
      </c>
      <c r="N1175" s="25">
        <f t="shared" si="646"/>
        <v>2110</v>
      </c>
      <c r="O1175" s="25">
        <f t="shared" si="647"/>
        <v>1794</v>
      </c>
      <c r="R1175" s="50"/>
      <c r="S1175" s="51"/>
      <c r="T1175" s="29"/>
    </row>
    <row r="1176" spans="1:20">
      <c r="A1176" s="48">
        <v>1021018</v>
      </c>
      <c r="B1176" s="49" t="s">
        <v>353</v>
      </c>
      <c r="C1176" s="25">
        <f t="shared" si="643"/>
        <v>18</v>
      </c>
      <c r="D1176" s="25">
        <f t="array" ref="D1176">INDEX(C$5:C$67,MATCH($B1176,$B$5:$B$67,0))</f>
        <v>4410</v>
      </c>
      <c r="E1176" s="25">
        <f t="array" ref="E1176">INDEX(D$5:D$67,MATCH($B1176,$B$5:$B$67,0))</f>
        <v>352.8</v>
      </c>
      <c r="F1176" s="25">
        <f t="array" ref="F1176">INDEX(E$5:E$67,MATCH($B1176,$B$5:$B$67,0))</f>
        <v>1151</v>
      </c>
      <c r="G1176" s="25">
        <f t="array" ref="G1176">INDEX(F$5:F$67,MATCH($B1176,$B$5:$B$67,0))</f>
        <v>92.08</v>
      </c>
      <c r="H1176" s="25">
        <f t="array" ref="H1176">INDEX(G$5:G$66,MATCH($B1176,$B$5:$B$67,0))</f>
        <v>894</v>
      </c>
      <c r="I1176" s="25">
        <f t="array" ref="I1176">INDEX(H$5:H$67,MATCH($B1176,$B$5:$B$67,0))</f>
        <v>71.52</v>
      </c>
      <c r="J1176" s="25">
        <f t="array" ref="J1176">INDEX(I$5:I$67,MATCH($B1176,$B$5:$B$67,0))</f>
        <v>760</v>
      </c>
      <c r="K1176" s="25">
        <f t="array" ref="K1176">INDEX(J$5:J$67,MATCH($B1176,$B$5:$B$67,0))</f>
        <v>60.8</v>
      </c>
      <c r="L1176" s="25">
        <f t="shared" si="644"/>
        <v>10760</v>
      </c>
      <c r="M1176" s="25">
        <f t="shared" si="645"/>
        <v>2808</v>
      </c>
      <c r="N1176" s="25">
        <f t="shared" si="646"/>
        <v>2181</v>
      </c>
      <c r="O1176" s="25">
        <f t="shared" si="647"/>
        <v>1854</v>
      </c>
      <c r="R1176" s="50"/>
      <c r="S1176" s="51"/>
      <c r="T1176" s="29"/>
    </row>
    <row r="1177" spans="1:20">
      <c r="A1177" s="48">
        <v>1021019</v>
      </c>
      <c r="B1177" s="49" t="s">
        <v>353</v>
      </c>
      <c r="C1177" s="25">
        <f t="shared" si="643"/>
        <v>19</v>
      </c>
      <c r="D1177" s="25">
        <f t="array" ref="D1177">INDEX(C$5:C$67,MATCH($B1177,$B$5:$B$67,0))</f>
        <v>4410</v>
      </c>
      <c r="E1177" s="25">
        <f t="array" ref="E1177">INDEX(D$5:D$67,MATCH($B1177,$B$5:$B$67,0))</f>
        <v>352.8</v>
      </c>
      <c r="F1177" s="25">
        <f t="array" ref="F1177">INDEX(E$5:E$67,MATCH($B1177,$B$5:$B$67,0))</f>
        <v>1151</v>
      </c>
      <c r="G1177" s="25">
        <f t="array" ref="G1177">INDEX(F$5:F$67,MATCH($B1177,$B$5:$B$67,0))</f>
        <v>92.08</v>
      </c>
      <c r="H1177" s="25">
        <f t="array" ref="H1177">INDEX(G$5:G$66,MATCH($B1177,$B$5:$B$67,0))</f>
        <v>894</v>
      </c>
      <c r="I1177" s="25">
        <f t="array" ref="I1177">INDEX(H$5:H$67,MATCH($B1177,$B$5:$B$67,0))</f>
        <v>71.52</v>
      </c>
      <c r="J1177" s="25">
        <f t="array" ref="J1177">INDEX(I$5:I$67,MATCH($B1177,$B$5:$B$67,0))</f>
        <v>760</v>
      </c>
      <c r="K1177" s="25">
        <f t="array" ref="K1177">INDEX(J$5:J$67,MATCH($B1177,$B$5:$B$67,0))</f>
        <v>60.8</v>
      </c>
      <c r="L1177" s="25">
        <f t="shared" si="644"/>
        <v>11113</v>
      </c>
      <c r="M1177" s="25">
        <f t="shared" si="645"/>
        <v>2901</v>
      </c>
      <c r="N1177" s="25">
        <f t="shared" si="646"/>
        <v>2253</v>
      </c>
      <c r="O1177" s="25">
        <f t="shared" si="647"/>
        <v>1915</v>
      </c>
      <c r="R1177" s="50"/>
      <c r="S1177" s="51"/>
      <c r="T1177" s="29"/>
    </row>
    <row r="1178" spans="1:20">
      <c r="A1178" s="48">
        <v>1021020</v>
      </c>
      <c r="B1178" s="49" t="s">
        <v>353</v>
      </c>
      <c r="C1178" s="25">
        <f t="shared" si="643"/>
        <v>20</v>
      </c>
      <c r="D1178" s="25">
        <f t="array" ref="D1178">INDEX(C$5:C$67,MATCH($B1178,$B$5:$B$67,0))</f>
        <v>4410</v>
      </c>
      <c r="E1178" s="25">
        <f t="array" ref="E1178">INDEX(D$5:D$67,MATCH($B1178,$B$5:$B$67,0))</f>
        <v>352.8</v>
      </c>
      <c r="F1178" s="25">
        <f t="array" ref="F1178">INDEX(E$5:E$67,MATCH($B1178,$B$5:$B$67,0))</f>
        <v>1151</v>
      </c>
      <c r="G1178" s="25">
        <f t="array" ref="G1178">INDEX(F$5:F$67,MATCH($B1178,$B$5:$B$67,0))</f>
        <v>92.08</v>
      </c>
      <c r="H1178" s="25">
        <f t="array" ref="H1178">INDEX(G$5:G$66,MATCH($B1178,$B$5:$B$67,0))</f>
        <v>894</v>
      </c>
      <c r="I1178" s="25">
        <f t="array" ref="I1178">INDEX(H$5:H$67,MATCH($B1178,$B$5:$B$67,0))</f>
        <v>71.52</v>
      </c>
      <c r="J1178" s="25">
        <f t="array" ref="J1178">INDEX(I$5:I$67,MATCH($B1178,$B$5:$B$67,0))</f>
        <v>760</v>
      </c>
      <c r="K1178" s="25">
        <f t="array" ref="K1178">INDEX(J$5:J$67,MATCH($B1178,$B$5:$B$67,0))</f>
        <v>60.8</v>
      </c>
      <c r="L1178" s="25">
        <f t="shared" si="644"/>
        <v>11466</v>
      </c>
      <c r="M1178" s="25">
        <f t="shared" si="645"/>
        <v>2993</v>
      </c>
      <c r="N1178" s="25">
        <f t="shared" si="646"/>
        <v>2324</v>
      </c>
      <c r="O1178" s="25">
        <f t="shared" si="647"/>
        <v>1976</v>
      </c>
      <c r="R1178" s="50"/>
      <c r="S1178" s="51"/>
      <c r="T1178" s="29"/>
    </row>
    <row r="1179" spans="1:20">
      <c r="A1179" s="48">
        <v>1021021</v>
      </c>
      <c r="B1179" s="49" t="s">
        <v>353</v>
      </c>
      <c r="C1179" s="25">
        <f t="shared" si="643"/>
        <v>21</v>
      </c>
      <c r="D1179" s="25">
        <f t="array" ref="D1179">INDEX(C$5:C$67,MATCH($B1179,$B$5:$B$67,0))</f>
        <v>4410</v>
      </c>
      <c r="E1179" s="25">
        <f t="array" ref="E1179">INDEX(D$5:D$67,MATCH($B1179,$B$5:$B$67,0))</f>
        <v>352.8</v>
      </c>
      <c r="F1179" s="25">
        <f t="array" ref="F1179">INDEX(E$5:E$67,MATCH($B1179,$B$5:$B$67,0))</f>
        <v>1151</v>
      </c>
      <c r="G1179" s="25">
        <f t="array" ref="G1179">INDEX(F$5:F$67,MATCH($B1179,$B$5:$B$67,0))</f>
        <v>92.08</v>
      </c>
      <c r="H1179" s="25">
        <f t="array" ref="H1179">INDEX(G$5:G$66,MATCH($B1179,$B$5:$B$67,0))</f>
        <v>894</v>
      </c>
      <c r="I1179" s="25">
        <f t="array" ref="I1179">INDEX(H$5:H$67,MATCH($B1179,$B$5:$B$67,0))</f>
        <v>71.52</v>
      </c>
      <c r="J1179" s="25">
        <f t="array" ref="J1179">INDEX(I$5:I$67,MATCH($B1179,$B$5:$B$67,0))</f>
        <v>760</v>
      </c>
      <c r="K1179" s="25">
        <f t="array" ref="K1179">INDEX(J$5:J$67,MATCH($B1179,$B$5:$B$67,0))</f>
        <v>60.8</v>
      </c>
      <c r="L1179" s="25">
        <f t="shared" si="644"/>
        <v>11819</v>
      </c>
      <c r="M1179" s="25">
        <f t="shared" si="645"/>
        <v>3085</v>
      </c>
      <c r="N1179" s="25">
        <f t="shared" si="646"/>
        <v>2396</v>
      </c>
      <c r="O1179" s="25">
        <f t="shared" si="647"/>
        <v>2037</v>
      </c>
      <c r="R1179" s="50"/>
      <c r="S1179" s="51"/>
      <c r="T1179" s="29"/>
    </row>
    <row r="1180" spans="1:20">
      <c r="A1180" s="48">
        <v>1021022</v>
      </c>
      <c r="B1180" s="49" t="s">
        <v>353</v>
      </c>
      <c r="C1180" s="25">
        <f t="shared" si="643"/>
        <v>22</v>
      </c>
      <c r="D1180" s="25">
        <f t="array" ref="D1180">INDEX(C$5:C$67,MATCH($B1180,$B$5:$B$67,0))</f>
        <v>4410</v>
      </c>
      <c r="E1180" s="25">
        <f t="array" ref="E1180">INDEX(D$5:D$67,MATCH($B1180,$B$5:$B$67,0))</f>
        <v>352.8</v>
      </c>
      <c r="F1180" s="25">
        <f t="array" ref="F1180">INDEX(E$5:E$67,MATCH($B1180,$B$5:$B$67,0))</f>
        <v>1151</v>
      </c>
      <c r="G1180" s="25">
        <f t="array" ref="G1180">INDEX(F$5:F$67,MATCH($B1180,$B$5:$B$67,0))</f>
        <v>92.08</v>
      </c>
      <c r="H1180" s="25">
        <f t="array" ref="H1180">INDEX(G$5:G$66,MATCH($B1180,$B$5:$B$67,0))</f>
        <v>894</v>
      </c>
      <c r="I1180" s="25">
        <f t="array" ref="I1180">INDEX(H$5:H$67,MATCH($B1180,$B$5:$B$67,0))</f>
        <v>71.52</v>
      </c>
      <c r="J1180" s="25">
        <f t="array" ref="J1180">INDEX(I$5:I$67,MATCH($B1180,$B$5:$B$67,0))</f>
        <v>760</v>
      </c>
      <c r="K1180" s="25">
        <f t="array" ref="K1180">INDEX(J$5:J$67,MATCH($B1180,$B$5:$B$67,0))</f>
        <v>60.8</v>
      </c>
      <c r="L1180" s="25">
        <f t="shared" si="644"/>
        <v>12172</v>
      </c>
      <c r="M1180" s="25">
        <f t="shared" si="645"/>
        <v>3177</v>
      </c>
      <c r="N1180" s="25">
        <f t="shared" si="646"/>
        <v>2467</v>
      </c>
      <c r="O1180" s="25">
        <f t="shared" si="647"/>
        <v>2098</v>
      </c>
      <c r="R1180" s="50"/>
      <c r="S1180" s="51"/>
      <c r="T1180" s="29"/>
    </row>
    <row r="1181" spans="1:20">
      <c r="A1181" s="48">
        <v>1021023</v>
      </c>
      <c r="B1181" s="49" t="s">
        <v>353</v>
      </c>
      <c r="C1181" s="25">
        <f t="shared" si="643"/>
        <v>23</v>
      </c>
      <c r="D1181" s="25">
        <f t="array" ref="D1181">INDEX(C$5:C$67,MATCH($B1181,$B$5:$B$67,0))</f>
        <v>4410</v>
      </c>
      <c r="E1181" s="25">
        <f t="array" ref="E1181">INDEX(D$5:D$67,MATCH($B1181,$B$5:$B$67,0))</f>
        <v>352.8</v>
      </c>
      <c r="F1181" s="25">
        <f t="array" ref="F1181">INDEX(E$5:E$67,MATCH($B1181,$B$5:$B$67,0))</f>
        <v>1151</v>
      </c>
      <c r="G1181" s="25">
        <f t="array" ref="G1181">INDEX(F$5:F$67,MATCH($B1181,$B$5:$B$67,0))</f>
        <v>92.08</v>
      </c>
      <c r="H1181" s="25">
        <f t="array" ref="H1181">INDEX(G$5:G$66,MATCH($B1181,$B$5:$B$67,0))</f>
        <v>894</v>
      </c>
      <c r="I1181" s="25">
        <f t="array" ref="I1181">INDEX(H$5:H$67,MATCH($B1181,$B$5:$B$67,0))</f>
        <v>71.52</v>
      </c>
      <c r="J1181" s="25">
        <f t="array" ref="J1181">INDEX(I$5:I$67,MATCH($B1181,$B$5:$B$67,0))</f>
        <v>760</v>
      </c>
      <c r="K1181" s="25">
        <f t="array" ref="K1181">INDEX(J$5:J$67,MATCH($B1181,$B$5:$B$67,0))</f>
        <v>60.8</v>
      </c>
      <c r="L1181" s="25">
        <f t="shared" si="644"/>
        <v>12524</v>
      </c>
      <c r="M1181" s="25">
        <f t="shared" si="645"/>
        <v>3269</v>
      </c>
      <c r="N1181" s="25">
        <f t="shared" si="646"/>
        <v>2539</v>
      </c>
      <c r="O1181" s="25">
        <f t="shared" si="647"/>
        <v>2158</v>
      </c>
      <c r="R1181" s="50"/>
      <c r="S1181" s="51"/>
      <c r="T1181" s="29"/>
    </row>
    <row r="1182" spans="1:20">
      <c r="A1182" s="48">
        <v>1021024</v>
      </c>
      <c r="B1182" s="49" t="s">
        <v>353</v>
      </c>
      <c r="C1182" s="25">
        <f t="shared" si="643"/>
        <v>24</v>
      </c>
      <c r="D1182" s="25">
        <f t="array" ref="D1182">INDEX(C$5:C$67,MATCH($B1182,$B$5:$B$67,0))</f>
        <v>4410</v>
      </c>
      <c r="E1182" s="25">
        <f t="array" ref="E1182">INDEX(D$5:D$67,MATCH($B1182,$B$5:$B$67,0))</f>
        <v>352.8</v>
      </c>
      <c r="F1182" s="25">
        <f t="array" ref="F1182">INDEX(E$5:E$67,MATCH($B1182,$B$5:$B$67,0))</f>
        <v>1151</v>
      </c>
      <c r="G1182" s="25">
        <f t="array" ref="G1182">INDEX(F$5:F$67,MATCH($B1182,$B$5:$B$67,0))</f>
        <v>92.08</v>
      </c>
      <c r="H1182" s="25">
        <f t="array" ref="H1182">INDEX(G$5:G$66,MATCH($B1182,$B$5:$B$67,0))</f>
        <v>894</v>
      </c>
      <c r="I1182" s="25">
        <f t="array" ref="I1182">INDEX(H$5:H$67,MATCH($B1182,$B$5:$B$67,0))</f>
        <v>71.52</v>
      </c>
      <c r="J1182" s="25">
        <f t="array" ref="J1182">INDEX(I$5:I$67,MATCH($B1182,$B$5:$B$67,0))</f>
        <v>760</v>
      </c>
      <c r="K1182" s="25">
        <f t="array" ref="K1182">INDEX(J$5:J$67,MATCH($B1182,$B$5:$B$67,0))</f>
        <v>60.8</v>
      </c>
      <c r="L1182" s="25">
        <f t="shared" si="644"/>
        <v>12877</v>
      </c>
      <c r="M1182" s="25">
        <f t="shared" si="645"/>
        <v>3361</v>
      </c>
      <c r="N1182" s="25">
        <f t="shared" si="646"/>
        <v>2610</v>
      </c>
      <c r="O1182" s="25">
        <f t="shared" si="647"/>
        <v>2219</v>
      </c>
      <c r="R1182" s="50"/>
      <c r="S1182" s="51"/>
      <c r="T1182" s="29"/>
    </row>
    <row r="1183" spans="1:20">
      <c r="A1183" s="48">
        <v>1021025</v>
      </c>
      <c r="B1183" s="49" t="s">
        <v>353</v>
      </c>
      <c r="C1183" s="25">
        <f t="shared" si="643"/>
        <v>25</v>
      </c>
      <c r="D1183" s="25">
        <f t="array" ref="D1183">INDEX(C$5:C$67,MATCH($B1183,$B$5:$B$67,0))</f>
        <v>4410</v>
      </c>
      <c r="E1183" s="25">
        <f t="array" ref="E1183">INDEX(D$5:D$67,MATCH($B1183,$B$5:$B$67,0))</f>
        <v>352.8</v>
      </c>
      <c r="F1183" s="25">
        <f t="array" ref="F1183">INDEX(E$5:E$67,MATCH($B1183,$B$5:$B$67,0))</f>
        <v>1151</v>
      </c>
      <c r="G1183" s="25">
        <f t="array" ref="G1183">INDEX(F$5:F$67,MATCH($B1183,$B$5:$B$67,0))</f>
        <v>92.08</v>
      </c>
      <c r="H1183" s="25">
        <f t="array" ref="H1183">INDEX(G$5:G$66,MATCH($B1183,$B$5:$B$67,0))</f>
        <v>894</v>
      </c>
      <c r="I1183" s="25">
        <f t="array" ref="I1183">INDEX(H$5:H$67,MATCH($B1183,$B$5:$B$67,0))</f>
        <v>71.52</v>
      </c>
      <c r="J1183" s="25">
        <f t="array" ref="J1183">INDEX(I$5:I$67,MATCH($B1183,$B$5:$B$67,0))</f>
        <v>760</v>
      </c>
      <c r="K1183" s="25">
        <f t="array" ref="K1183">INDEX(J$5:J$67,MATCH($B1183,$B$5:$B$67,0))</f>
        <v>60.8</v>
      </c>
      <c r="L1183" s="25">
        <f t="shared" si="644"/>
        <v>13230</v>
      </c>
      <c r="M1183" s="25">
        <f t="shared" si="645"/>
        <v>3453</v>
      </c>
      <c r="N1183" s="25">
        <f t="shared" si="646"/>
        <v>2682</v>
      </c>
      <c r="O1183" s="25">
        <f t="shared" si="647"/>
        <v>2280</v>
      </c>
      <c r="R1183" s="50"/>
      <c r="S1183" s="51"/>
      <c r="T1183" s="29"/>
    </row>
    <row r="1184" spans="1:20">
      <c r="A1184" s="48">
        <v>1021026</v>
      </c>
      <c r="B1184" s="49" t="s">
        <v>353</v>
      </c>
      <c r="C1184" s="25">
        <f t="shared" si="643"/>
        <v>26</v>
      </c>
      <c r="D1184" s="25">
        <f t="array" ref="D1184">INDEX(C$5:C$67,MATCH($B1184,$B$5:$B$67,0))</f>
        <v>4410</v>
      </c>
      <c r="E1184" s="25">
        <f t="array" ref="E1184">INDEX(D$5:D$67,MATCH($B1184,$B$5:$B$67,0))</f>
        <v>352.8</v>
      </c>
      <c r="F1184" s="25">
        <f t="array" ref="F1184">INDEX(E$5:E$67,MATCH($B1184,$B$5:$B$67,0))</f>
        <v>1151</v>
      </c>
      <c r="G1184" s="25">
        <f t="array" ref="G1184">INDEX(F$5:F$67,MATCH($B1184,$B$5:$B$67,0))</f>
        <v>92.08</v>
      </c>
      <c r="H1184" s="25">
        <f t="array" ref="H1184">INDEX(G$5:G$66,MATCH($B1184,$B$5:$B$67,0))</f>
        <v>894</v>
      </c>
      <c r="I1184" s="25">
        <f t="array" ref="I1184">INDEX(H$5:H$67,MATCH($B1184,$B$5:$B$67,0))</f>
        <v>71.52</v>
      </c>
      <c r="J1184" s="25">
        <f t="array" ref="J1184">INDEX(I$5:I$67,MATCH($B1184,$B$5:$B$67,0))</f>
        <v>760</v>
      </c>
      <c r="K1184" s="25">
        <f t="array" ref="K1184">INDEX(J$5:J$67,MATCH($B1184,$B$5:$B$67,0))</f>
        <v>60.8</v>
      </c>
      <c r="L1184" s="25">
        <f t="shared" si="644"/>
        <v>13583</v>
      </c>
      <c r="M1184" s="25">
        <f t="shared" si="645"/>
        <v>3545</v>
      </c>
      <c r="N1184" s="25">
        <f t="shared" si="646"/>
        <v>2754</v>
      </c>
      <c r="O1184" s="25">
        <f t="shared" si="647"/>
        <v>2341</v>
      </c>
      <c r="R1184" s="50"/>
      <c r="S1184" s="51"/>
      <c r="T1184" s="29"/>
    </row>
    <row r="1185" spans="1:20">
      <c r="A1185" s="48">
        <v>1021027</v>
      </c>
      <c r="B1185" s="49" t="s">
        <v>353</v>
      </c>
      <c r="C1185" s="25">
        <f t="shared" si="643"/>
        <v>27</v>
      </c>
      <c r="D1185" s="25">
        <f t="array" ref="D1185">INDEX(C$5:C$67,MATCH($B1185,$B$5:$B$67,0))</f>
        <v>4410</v>
      </c>
      <c r="E1185" s="25">
        <f t="array" ref="E1185">INDEX(D$5:D$67,MATCH($B1185,$B$5:$B$67,0))</f>
        <v>352.8</v>
      </c>
      <c r="F1185" s="25">
        <f t="array" ref="F1185">INDEX(E$5:E$67,MATCH($B1185,$B$5:$B$67,0))</f>
        <v>1151</v>
      </c>
      <c r="G1185" s="25">
        <f t="array" ref="G1185">INDEX(F$5:F$67,MATCH($B1185,$B$5:$B$67,0))</f>
        <v>92.08</v>
      </c>
      <c r="H1185" s="25">
        <f t="array" ref="H1185">INDEX(G$5:G$66,MATCH($B1185,$B$5:$B$67,0))</f>
        <v>894</v>
      </c>
      <c r="I1185" s="25">
        <f t="array" ref="I1185">INDEX(H$5:H$67,MATCH($B1185,$B$5:$B$67,0))</f>
        <v>71.52</v>
      </c>
      <c r="J1185" s="25">
        <f t="array" ref="J1185">INDEX(I$5:I$67,MATCH($B1185,$B$5:$B$67,0))</f>
        <v>760</v>
      </c>
      <c r="K1185" s="25">
        <f t="array" ref="K1185">INDEX(J$5:J$67,MATCH($B1185,$B$5:$B$67,0))</f>
        <v>60.8</v>
      </c>
      <c r="L1185" s="25">
        <f t="shared" si="644"/>
        <v>13936</v>
      </c>
      <c r="M1185" s="25">
        <f t="shared" si="645"/>
        <v>3637</v>
      </c>
      <c r="N1185" s="25">
        <f t="shared" si="646"/>
        <v>2825</v>
      </c>
      <c r="O1185" s="25">
        <f t="shared" si="647"/>
        <v>2402</v>
      </c>
      <c r="R1185" s="50"/>
      <c r="S1185" s="51"/>
      <c r="T1185" s="29"/>
    </row>
    <row r="1186" spans="1:20">
      <c r="A1186" s="48">
        <v>1021028</v>
      </c>
      <c r="B1186" s="49" t="s">
        <v>353</v>
      </c>
      <c r="C1186" s="25">
        <f t="shared" si="643"/>
        <v>28</v>
      </c>
      <c r="D1186" s="25">
        <f t="array" ref="D1186">INDEX(C$5:C$67,MATCH($B1186,$B$5:$B$67,0))</f>
        <v>4410</v>
      </c>
      <c r="E1186" s="25">
        <f t="array" ref="E1186">INDEX(D$5:D$67,MATCH($B1186,$B$5:$B$67,0))</f>
        <v>352.8</v>
      </c>
      <c r="F1186" s="25">
        <f t="array" ref="F1186">INDEX(E$5:E$67,MATCH($B1186,$B$5:$B$67,0))</f>
        <v>1151</v>
      </c>
      <c r="G1186" s="25">
        <f t="array" ref="G1186">INDEX(F$5:F$67,MATCH($B1186,$B$5:$B$67,0))</f>
        <v>92.08</v>
      </c>
      <c r="H1186" s="25">
        <f t="array" ref="H1186">INDEX(G$5:G$66,MATCH($B1186,$B$5:$B$67,0))</f>
        <v>894</v>
      </c>
      <c r="I1186" s="25">
        <f t="array" ref="I1186">INDEX(H$5:H$67,MATCH($B1186,$B$5:$B$67,0))</f>
        <v>71.52</v>
      </c>
      <c r="J1186" s="25">
        <f t="array" ref="J1186">INDEX(I$5:I$67,MATCH($B1186,$B$5:$B$67,0))</f>
        <v>760</v>
      </c>
      <c r="K1186" s="25">
        <f t="array" ref="K1186">INDEX(J$5:J$67,MATCH($B1186,$B$5:$B$67,0))</f>
        <v>60.8</v>
      </c>
      <c r="L1186" s="25">
        <f t="shared" si="644"/>
        <v>14288</v>
      </c>
      <c r="M1186" s="25">
        <f t="shared" si="645"/>
        <v>3729</v>
      </c>
      <c r="N1186" s="25">
        <f t="shared" si="646"/>
        <v>2897</v>
      </c>
      <c r="O1186" s="25">
        <f t="shared" si="647"/>
        <v>2462</v>
      </c>
      <c r="R1186" s="50"/>
      <c r="S1186" s="51"/>
      <c r="T1186" s="29"/>
    </row>
    <row r="1187" spans="1:20">
      <c r="A1187" s="48">
        <v>1021029</v>
      </c>
      <c r="B1187" s="49" t="s">
        <v>353</v>
      </c>
      <c r="C1187" s="25">
        <f t="shared" si="643"/>
        <v>29</v>
      </c>
      <c r="D1187" s="25">
        <f t="array" ref="D1187">INDEX(C$5:C$67,MATCH($B1187,$B$5:$B$67,0))</f>
        <v>4410</v>
      </c>
      <c r="E1187" s="25">
        <f t="array" ref="E1187">INDEX(D$5:D$67,MATCH($B1187,$B$5:$B$67,0))</f>
        <v>352.8</v>
      </c>
      <c r="F1187" s="25">
        <f t="array" ref="F1187">INDEX(E$5:E$67,MATCH($B1187,$B$5:$B$67,0))</f>
        <v>1151</v>
      </c>
      <c r="G1187" s="25">
        <f t="array" ref="G1187">INDEX(F$5:F$67,MATCH($B1187,$B$5:$B$67,0))</f>
        <v>92.08</v>
      </c>
      <c r="H1187" s="25">
        <f t="array" ref="H1187">INDEX(G$5:G$66,MATCH($B1187,$B$5:$B$67,0))</f>
        <v>894</v>
      </c>
      <c r="I1187" s="25">
        <f t="array" ref="I1187">INDEX(H$5:H$67,MATCH($B1187,$B$5:$B$67,0))</f>
        <v>71.52</v>
      </c>
      <c r="J1187" s="25">
        <f t="array" ref="J1187">INDEX(I$5:I$67,MATCH($B1187,$B$5:$B$67,0))</f>
        <v>760</v>
      </c>
      <c r="K1187" s="25">
        <f t="array" ref="K1187">INDEX(J$5:J$67,MATCH($B1187,$B$5:$B$67,0))</f>
        <v>60.8</v>
      </c>
      <c r="L1187" s="25">
        <f t="shared" si="644"/>
        <v>14641</v>
      </c>
      <c r="M1187" s="25">
        <f t="shared" si="645"/>
        <v>3821</v>
      </c>
      <c r="N1187" s="25">
        <f t="shared" si="646"/>
        <v>2968</v>
      </c>
      <c r="O1187" s="25">
        <f t="shared" si="647"/>
        <v>2523</v>
      </c>
      <c r="R1187" s="50"/>
      <c r="S1187" s="51"/>
      <c r="T1187" s="29"/>
    </row>
    <row r="1188" spans="1:20">
      <c r="A1188" s="48">
        <v>1021030</v>
      </c>
      <c r="B1188" s="49" t="s">
        <v>353</v>
      </c>
      <c r="C1188" s="25">
        <f t="shared" si="643"/>
        <v>30</v>
      </c>
      <c r="D1188" s="25">
        <f t="array" ref="D1188">INDEX(C$5:C$67,MATCH($B1188,$B$5:$B$67,0))</f>
        <v>4410</v>
      </c>
      <c r="E1188" s="25">
        <f t="array" ref="E1188">INDEX(D$5:D$67,MATCH($B1188,$B$5:$B$67,0))</f>
        <v>352.8</v>
      </c>
      <c r="F1188" s="25">
        <f t="array" ref="F1188">INDEX(E$5:E$67,MATCH($B1188,$B$5:$B$67,0))</f>
        <v>1151</v>
      </c>
      <c r="G1188" s="25">
        <f t="array" ref="G1188">INDEX(F$5:F$67,MATCH($B1188,$B$5:$B$67,0))</f>
        <v>92.08</v>
      </c>
      <c r="H1188" s="25">
        <f t="array" ref="H1188">INDEX(G$5:G$66,MATCH($B1188,$B$5:$B$67,0))</f>
        <v>894</v>
      </c>
      <c r="I1188" s="25">
        <f t="array" ref="I1188">INDEX(H$5:H$67,MATCH($B1188,$B$5:$B$67,0))</f>
        <v>71.52</v>
      </c>
      <c r="J1188" s="25">
        <f t="array" ref="J1188">INDEX(I$5:I$67,MATCH($B1188,$B$5:$B$67,0))</f>
        <v>760</v>
      </c>
      <c r="K1188" s="25">
        <f t="array" ref="K1188">INDEX(J$5:J$67,MATCH($B1188,$B$5:$B$67,0))</f>
        <v>60.8</v>
      </c>
      <c r="L1188" s="25">
        <f t="shared" si="644"/>
        <v>14994</v>
      </c>
      <c r="M1188" s="25">
        <f t="shared" si="645"/>
        <v>3913</v>
      </c>
      <c r="N1188" s="25">
        <f t="shared" si="646"/>
        <v>3040</v>
      </c>
      <c r="O1188" s="25">
        <f t="shared" si="647"/>
        <v>2584</v>
      </c>
      <c r="R1188" s="50"/>
      <c r="S1188" s="51"/>
      <c r="T1188" s="29"/>
    </row>
    <row r="1189" spans="1:20">
      <c r="A1189" s="48">
        <v>1021031</v>
      </c>
      <c r="B1189" s="49" t="s">
        <v>353</v>
      </c>
      <c r="C1189" s="25">
        <f t="shared" si="643"/>
        <v>31</v>
      </c>
      <c r="D1189" s="25">
        <f t="array" ref="D1189">INDEX(C$5:C$67,MATCH($B1189,$B$5:$B$67,0))</f>
        <v>4410</v>
      </c>
      <c r="E1189" s="25">
        <f t="array" ref="E1189">INDEX(D$5:D$67,MATCH($B1189,$B$5:$B$67,0))</f>
        <v>352.8</v>
      </c>
      <c r="F1189" s="25">
        <f t="array" ref="F1189">INDEX(E$5:E$67,MATCH($B1189,$B$5:$B$67,0))</f>
        <v>1151</v>
      </c>
      <c r="G1189" s="25">
        <f t="array" ref="G1189">INDEX(F$5:F$67,MATCH($B1189,$B$5:$B$67,0))</f>
        <v>92.08</v>
      </c>
      <c r="H1189" s="25">
        <f t="array" ref="H1189">INDEX(G$5:G$66,MATCH($B1189,$B$5:$B$67,0))</f>
        <v>894</v>
      </c>
      <c r="I1189" s="25">
        <f t="array" ref="I1189">INDEX(H$5:H$67,MATCH($B1189,$B$5:$B$67,0))</f>
        <v>71.52</v>
      </c>
      <c r="J1189" s="25">
        <f t="array" ref="J1189">INDEX(I$5:I$67,MATCH($B1189,$B$5:$B$67,0))</f>
        <v>760</v>
      </c>
      <c r="K1189" s="25">
        <f t="array" ref="K1189">INDEX(J$5:J$67,MATCH($B1189,$B$5:$B$67,0))</f>
        <v>60.8</v>
      </c>
      <c r="L1189" s="25">
        <f t="shared" si="644"/>
        <v>15347</v>
      </c>
      <c r="M1189" s="25">
        <f t="shared" si="645"/>
        <v>4005</v>
      </c>
      <c r="N1189" s="25">
        <f t="shared" si="646"/>
        <v>3111</v>
      </c>
      <c r="O1189" s="25">
        <f t="shared" si="647"/>
        <v>2645</v>
      </c>
      <c r="R1189" s="50"/>
      <c r="S1189" s="51"/>
      <c r="T1189" s="29"/>
    </row>
    <row r="1190" spans="1:20">
      <c r="A1190" s="48">
        <v>1021032</v>
      </c>
      <c r="B1190" s="49" t="s">
        <v>353</v>
      </c>
      <c r="C1190" s="25">
        <f t="shared" si="643"/>
        <v>32</v>
      </c>
      <c r="D1190" s="25">
        <f t="array" ref="D1190">INDEX(C$5:C$67,MATCH($B1190,$B$5:$B$67,0))</f>
        <v>4410</v>
      </c>
      <c r="E1190" s="25">
        <f t="array" ref="E1190">INDEX(D$5:D$67,MATCH($B1190,$B$5:$B$67,0))</f>
        <v>352.8</v>
      </c>
      <c r="F1190" s="25">
        <f t="array" ref="F1190">INDEX(E$5:E$67,MATCH($B1190,$B$5:$B$67,0))</f>
        <v>1151</v>
      </c>
      <c r="G1190" s="25">
        <f t="array" ref="G1190">INDEX(F$5:F$67,MATCH($B1190,$B$5:$B$67,0))</f>
        <v>92.08</v>
      </c>
      <c r="H1190" s="25">
        <f t="array" ref="H1190">INDEX(G$5:G$66,MATCH($B1190,$B$5:$B$67,0))</f>
        <v>894</v>
      </c>
      <c r="I1190" s="25">
        <f t="array" ref="I1190">INDEX(H$5:H$67,MATCH($B1190,$B$5:$B$67,0))</f>
        <v>71.52</v>
      </c>
      <c r="J1190" s="25">
        <f t="array" ref="J1190">INDEX(I$5:I$67,MATCH($B1190,$B$5:$B$67,0))</f>
        <v>760</v>
      </c>
      <c r="K1190" s="25">
        <f t="array" ref="K1190">INDEX(J$5:J$67,MATCH($B1190,$B$5:$B$67,0))</f>
        <v>60.8</v>
      </c>
      <c r="L1190" s="25">
        <f t="shared" si="644"/>
        <v>15700</v>
      </c>
      <c r="M1190" s="25">
        <f t="shared" si="645"/>
        <v>4098</v>
      </c>
      <c r="N1190" s="25">
        <f t="shared" si="646"/>
        <v>3183</v>
      </c>
      <c r="O1190" s="25">
        <f t="shared" si="647"/>
        <v>2706</v>
      </c>
      <c r="R1190" s="50"/>
      <c r="S1190" s="51"/>
      <c r="T1190" s="29"/>
    </row>
    <row r="1191" spans="1:20">
      <c r="A1191" s="48">
        <v>1021033</v>
      </c>
      <c r="B1191" s="49" t="s">
        <v>353</v>
      </c>
      <c r="C1191" s="25">
        <f t="shared" si="643"/>
        <v>33</v>
      </c>
      <c r="D1191" s="25">
        <f t="array" ref="D1191">INDEX(C$5:C$67,MATCH($B1191,$B$5:$B$67,0))</f>
        <v>4410</v>
      </c>
      <c r="E1191" s="25">
        <f t="array" ref="E1191">INDEX(D$5:D$67,MATCH($B1191,$B$5:$B$67,0))</f>
        <v>352.8</v>
      </c>
      <c r="F1191" s="25">
        <f t="array" ref="F1191">INDEX(E$5:E$67,MATCH($B1191,$B$5:$B$67,0))</f>
        <v>1151</v>
      </c>
      <c r="G1191" s="25">
        <f t="array" ref="G1191">INDEX(F$5:F$67,MATCH($B1191,$B$5:$B$67,0))</f>
        <v>92.08</v>
      </c>
      <c r="H1191" s="25">
        <f t="array" ref="H1191">INDEX(G$5:G$66,MATCH($B1191,$B$5:$B$67,0))</f>
        <v>894</v>
      </c>
      <c r="I1191" s="25">
        <f t="array" ref="I1191">INDEX(H$5:H$67,MATCH($B1191,$B$5:$B$67,0))</f>
        <v>71.52</v>
      </c>
      <c r="J1191" s="25">
        <f t="array" ref="J1191">INDEX(I$5:I$67,MATCH($B1191,$B$5:$B$67,0))</f>
        <v>760</v>
      </c>
      <c r="K1191" s="25">
        <f t="array" ref="K1191">INDEX(J$5:J$67,MATCH($B1191,$B$5:$B$67,0))</f>
        <v>60.8</v>
      </c>
      <c r="L1191" s="25">
        <f t="shared" si="644"/>
        <v>16052</v>
      </c>
      <c r="M1191" s="25">
        <f t="shared" si="645"/>
        <v>4190</v>
      </c>
      <c r="N1191" s="25">
        <f t="shared" si="646"/>
        <v>3254</v>
      </c>
      <c r="O1191" s="25">
        <f t="shared" si="647"/>
        <v>2766</v>
      </c>
      <c r="R1191" s="50"/>
      <c r="S1191" s="51"/>
      <c r="T1191" s="29"/>
    </row>
    <row r="1192" spans="1:20">
      <c r="A1192" s="48">
        <v>1021034</v>
      </c>
      <c r="B1192" s="49" t="s">
        <v>353</v>
      </c>
      <c r="C1192" s="25">
        <f t="shared" si="643"/>
        <v>34</v>
      </c>
      <c r="D1192" s="25">
        <f t="array" ref="D1192">INDEX(C$5:C$67,MATCH($B1192,$B$5:$B$67,0))</f>
        <v>4410</v>
      </c>
      <c r="E1192" s="25">
        <f t="array" ref="E1192">INDEX(D$5:D$67,MATCH($B1192,$B$5:$B$67,0))</f>
        <v>352.8</v>
      </c>
      <c r="F1192" s="25">
        <f t="array" ref="F1192">INDEX(E$5:E$67,MATCH($B1192,$B$5:$B$67,0))</f>
        <v>1151</v>
      </c>
      <c r="G1192" s="25">
        <f t="array" ref="G1192">INDEX(F$5:F$67,MATCH($B1192,$B$5:$B$67,0))</f>
        <v>92.08</v>
      </c>
      <c r="H1192" s="25">
        <f t="array" ref="H1192">INDEX(G$5:G$66,MATCH($B1192,$B$5:$B$67,0))</f>
        <v>894</v>
      </c>
      <c r="I1192" s="25">
        <f t="array" ref="I1192">INDEX(H$5:H$67,MATCH($B1192,$B$5:$B$67,0))</f>
        <v>71.52</v>
      </c>
      <c r="J1192" s="25">
        <f t="array" ref="J1192">INDEX(I$5:I$67,MATCH($B1192,$B$5:$B$67,0))</f>
        <v>760</v>
      </c>
      <c r="K1192" s="25">
        <f t="array" ref="K1192">INDEX(J$5:J$67,MATCH($B1192,$B$5:$B$67,0))</f>
        <v>60.8</v>
      </c>
      <c r="L1192" s="25">
        <f t="shared" si="644"/>
        <v>16405</v>
      </c>
      <c r="M1192" s="25">
        <f t="shared" si="645"/>
        <v>4282</v>
      </c>
      <c r="N1192" s="25">
        <f t="shared" si="646"/>
        <v>3326</v>
      </c>
      <c r="O1192" s="25">
        <f t="shared" si="647"/>
        <v>2827</v>
      </c>
      <c r="R1192" s="50"/>
      <c r="S1192" s="51"/>
      <c r="T1192" s="29"/>
    </row>
    <row r="1193" spans="1:20">
      <c r="A1193" s="48">
        <v>1021035</v>
      </c>
      <c r="B1193" s="49" t="s">
        <v>353</v>
      </c>
      <c r="C1193" s="25">
        <f t="shared" si="643"/>
        <v>35</v>
      </c>
      <c r="D1193" s="25">
        <f t="array" ref="D1193">INDEX(C$5:C$67,MATCH($B1193,$B$5:$B$67,0))</f>
        <v>4410</v>
      </c>
      <c r="E1193" s="25">
        <f t="array" ref="E1193">INDEX(D$5:D$67,MATCH($B1193,$B$5:$B$67,0))</f>
        <v>352.8</v>
      </c>
      <c r="F1193" s="25">
        <f t="array" ref="F1193">INDEX(E$5:E$67,MATCH($B1193,$B$5:$B$67,0))</f>
        <v>1151</v>
      </c>
      <c r="G1193" s="25">
        <f t="array" ref="G1193">INDEX(F$5:F$67,MATCH($B1193,$B$5:$B$67,0))</f>
        <v>92.08</v>
      </c>
      <c r="H1193" s="25">
        <f t="array" ref="H1193">INDEX(G$5:G$66,MATCH($B1193,$B$5:$B$67,0))</f>
        <v>894</v>
      </c>
      <c r="I1193" s="25">
        <f t="array" ref="I1193">INDEX(H$5:H$67,MATCH($B1193,$B$5:$B$67,0))</f>
        <v>71.52</v>
      </c>
      <c r="J1193" s="25">
        <f t="array" ref="J1193">INDEX(I$5:I$67,MATCH($B1193,$B$5:$B$67,0))</f>
        <v>760</v>
      </c>
      <c r="K1193" s="25">
        <f t="array" ref="K1193">INDEX(J$5:J$67,MATCH($B1193,$B$5:$B$67,0))</f>
        <v>60.8</v>
      </c>
      <c r="L1193" s="25">
        <f t="shared" si="644"/>
        <v>16758</v>
      </c>
      <c r="M1193" s="25">
        <f t="shared" si="645"/>
        <v>4374</v>
      </c>
      <c r="N1193" s="25">
        <f t="shared" si="646"/>
        <v>3397</v>
      </c>
      <c r="O1193" s="25">
        <f t="shared" si="647"/>
        <v>2888</v>
      </c>
      <c r="R1193" s="50"/>
      <c r="S1193" s="51"/>
      <c r="T1193" s="29"/>
    </row>
    <row r="1194" spans="1:20">
      <c r="A1194" s="48">
        <v>1021036</v>
      </c>
      <c r="B1194" s="49" t="s">
        <v>353</v>
      </c>
      <c r="C1194" s="25">
        <f t="shared" si="643"/>
        <v>36</v>
      </c>
      <c r="D1194" s="25">
        <f t="array" ref="D1194">INDEX(C$5:C$67,MATCH($B1194,$B$5:$B$67,0))</f>
        <v>4410</v>
      </c>
      <c r="E1194" s="25">
        <f t="array" ref="E1194">INDEX(D$5:D$67,MATCH($B1194,$B$5:$B$67,0))</f>
        <v>352.8</v>
      </c>
      <c r="F1194" s="25">
        <f t="array" ref="F1194">INDEX(E$5:E$67,MATCH($B1194,$B$5:$B$67,0))</f>
        <v>1151</v>
      </c>
      <c r="G1194" s="25">
        <f t="array" ref="G1194">INDEX(F$5:F$67,MATCH($B1194,$B$5:$B$67,0))</f>
        <v>92.08</v>
      </c>
      <c r="H1194" s="25">
        <f t="array" ref="H1194">INDEX(G$5:G$66,MATCH($B1194,$B$5:$B$67,0))</f>
        <v>894</v>
      </c>
      <c r="I1194" s="25">
        <f t="array" ref="I1194">INDEX(H$5:H$67,MATCH($B1194,$B$5:$B$67,0))</f>
        <v>71.52</v>
      </c>
      <c r="J1194" s="25">
        <f t="array" ref="J1194">INDEX(I$5:I$67,MATCH($B1194,$B$5:$B$67,0))</f>
        <v>760</v>
      </c>
      <c r="K1194" s="25">
        <f t="array" ref="K1194">INDEX(J$5:J$67,MATCH($B1194,$B$5:$B$67,0))</f>
        <v>60.8</v>
      </c>
      <c r="L1194" s="25">
        <f t="shared" si="644"/>
        <v>17111</v>
      </c>
      <c r="M1194" s="25">
        <f t="shared" si="645"/>
        <v>4466</v>
      </c>
      <c r="N1194" s="25">
        <f t="shared" si="646"/>
        <v>3469</v>
      </c>
      <c r="O1194" s="25">
        <f t="shared" si="647"/>
        <v>2949</v>
      </c>
      <c r="R1194" s="50"/>
      <c r="S1194" s="51"/>
      <c r="T1194" s="29"/>
    </row>
    <row r="1195" spans="1:20">
      <c r="A1195" s="48">
        <v>1021037</v>
      </c>
      <c r="B1195" s="49" t="s">
        <v>353</v>
      </c>
      <c r="C1195" s="25">
        <f t="shared" si="643"/>
        <v>37</v>
      </c>
      <c r="D1195" s="25">
        <f t="array" ref="D1195">INDEX(C$5:C$67,MATCH($B1195,$B$5:$B$67,0))</f>
        <v>4410</v>
      </c>
      <c r="E1195" s="25">
        <f t="array" ref="E1195">INDEX(D$5:D$67,MATCH($B1195,$B$5:$B$67,0))</f>
        <v>352.8</v>
      </c>
      <c r="F1195" s="25">
        <f t="array" ref="F1195">INDEX(E$5:E$67,MATCH($B1195,$B$5:$B$67,0))</f>
        <v>1151</v>
      </c>
      <c r="G1195" s="25">
        <f t="array" ref="G1195">INDEX(F$5:F$67,MATCH($B1195,$B$5:$B$67,0))</f>
        <v>92.08</v>
      </c>
      <c r="H1195" s="25">
        <f t="array" ref="H1195">INDEX(G$5:G$66,MATCH($B1195,$B$5:$B$67,0))</f>
        <v>894</v>
      </c>
      <c r="I1195" s="25">
        <f t="array" ref="I1195">INDEX(H$5:H$67,MATCH($B1195,$B$5:$B$67,0))</f>
        <v>71.52</v>
      </c>
      <c r="J1195" s="25">
        <f t="array" ref="J1195">INDEX(I$5:I$67,MATCH($B1195,$B$5:$B$67,0))</f>
        <v>760</v>
      </c>
      <c r="K1195" s="25">
        <f t="array" ref="K1195">INDEX(J$5:J$67,MATCH($B1195,$B$5:$B$67,0))</f>
        <v>60.8</v>
      </c>
      <c r="L1195" s="25">
        <f t="shared" si="644"/>
        <v>17464</v>
      </c>
      <c r="M1195" s="25">
        <f t="shared" si="645"/>
        <v>4558</v>
      </c>
      <c r="N1195" s="25">
        <f t="shared" si="646"/>
        <v>3540</v>
      </c>
      <c r="O1195" s="25">
        <f t="shared" si="647"/>
        <v>3010</v>
      </c>
      <c r="R1195" s="50"/>
      <c r="S1195" s="51"/>
      <c r="T1195" s="29"/>
    </row>
    <row r="1196" spans="1:20">
      <c r="A1196" s="48">
        <v>1021038</v>
      </c>
      <c r="B1196" s="49" t="s">
        <v>353</v>
      </c>
      <c r="C1196" s="25">
        <f t="shared" si="643"/>
        <v>38</v>
      </c>
      <c r="D1196" s="25">
        <f t="array" ref="D1196">INDEX(C$5:C$67,MATCH($B1196,$B$5:$B$67,0))</f>
        <v>4410</v>
      </c>
      <c r="E1196" s="25">
        <f t="array" ref="E1196">INDEX(D$5:D$67,MATCH($B1196,$B$5:$B$67,0))</f>
        <v>352.8</v>
      </c>
      <c r="F1196" s="25">
        <f t="array" ref="F1196">INDEX(E$5:E$67,MATCH($B1196,$B$5:$B$67,0))</f>
        <v>1151</v>
      </c>
      <c r="G1196" s="25">
        <f t="array" ref="G1196">INDEX(F$5:F$67,MATCH($B1196,$B$5:$B$67,0))</f>
        <v>92.08</v>
      </c>
      <c r="H1196" s="25">
        <f t="array" ref="H1196">INDEX(G$5:G$66,MATCH($B1196,$B$5:$B$67,0))</f>
        <v>894</v>
      </c>
      <c r="I1196" s="25">
        <f t="array" ref="I1196">INDEX(H$5:H$67,MATCH($B1196,$B$5:$B$67,0))</f>
        <v>71.52</v>
      </c>
      <c r="J1196" s="25">
        <f t="array" ref="J1196">INDEX(I$5:I$67,MATCH($B1196,$B$5:$B$67,0))</f>
        <v>760</v>
      </c>
      <c r="K1196" s="25">
        <f t="array" ref="K1196">INDEX(J$5:J$67,MATCH($B1196,$B$5:$B$67,0))</f>
        <v>60.8</v>
      </c>
      <c r="L1196" s="25">
        <f t="shared" si="644"/>
        <v>17816</v>
      </c>
      <c r="M1196" s="25">
        <f t="shared" si="645"/>
        <v>4650</v>
      </c>
      <c r="N1196" s="25">
        <f t="shared" si="646"/>
        <v>3612</v>
      </c>
      <c r="O1196" s="25">
        <f t="shared" si="647"/>
        <v>3070</v>
      </c>
      <c r="R1196" s="50"/>
      <c r="S1196" s="51"/>
      <c r="T1196" s="29"/>
    </row>
    <row r="1197" spans="1:20">
      <c r="A1197" s="48">
        <v>1021039</v>
      </c>
      <c r="B1197" s="49" t="s">
        <v>353</v>
      </c>
      <c r="C1197" s="25">
        <f t="shared" si="643"/>
        <v>39</v>
      </c>
      <c r="D1197" s="25">
        <f t="array" ref="D1197">INDEX(C$5:C$67,MATCH($B1197,$B$5:$B$67,0))</f>
        <v>4410</v>
      </c>
      <c r="E1197" s="25">
        <f t="array" ref="E1197">INDEX(D$5:D$67,MATCH($B1197,$B$5:$B$67,0))</f>
        <v>352.8</v>
      </c>
      <c r="F1197" s="25">
        <f t="array" ref="F1197">INDEX(E$5:E$67,MATCH($B1197,$B$5:$B$67,0))</f>
        <v>1151</v>
      </c>
      <c r="G1197" s="25">
        <f t="array" ref="G1197">INDEX(F$5:F$67,MATCH($B1197,$B$5:$B$67,0))</f>
        <v>92.08</v>
      </c>
      <c r="H1197" s="25">
        <f t="array" ref="H1197">INDEX(G$5:G$66,MATCH($B1197,$B$5:$B$67,0))</f>
        <v>894</v>
      </c>
      <c r="I1197" s="25">
        <f t="array" ref="I1197">INDEX(H$5:H$67,MATCH($B1197,$B$5:$B$67,0))</f>
        <v>71.52</v>
      </c>
      <c r="J1197" s="25">
        <f t="array" ref="J1197">INDEX(I$5:I$67,MATCH($B1197,$B$5:$B$67,0))</f>
        <v>760</v>
      </c>
      <c r="K1197" s="25">
        <f t="array" ref="K1197">INDEX(J$5:J$67,MATCH($B1197,$B$5:$B$67,0))</f>
        <v>60.8</v>
      </c>
      <c r="L1197" s="25">
        <f t="shared" si="644"/>
        <v>18169</v>
      </c>
      <c r="M1197" s="25">
        <f t="shared" si="645"/>
        <v>4742</v>
      </c>
      <c r="N1197" s="25">
        <f t="shared" si="646"/>
        <v>3683</v>
      </c>
      <c r="O1197" s="25">
        <f t="shared" si="647"/>
        <v>3131</v>
      </c>
      <c r="R1197" s="50"/>
      <c r="S1197" s="51"/>
      <c r="T1197" s="29"/>
    </row>
    <row r="1198" spans="1:20">
      <c r="A1198" s="48">
        <v>1021040</v>
      </c>
      <c r="B1198" s="49" t="s">
        <v>353</v>
      </c>
      <c r="C1198" s="25">
        <f t="shared" si="643"/>
        <v>40</v>
      </c>
      <c r="D1198" s="25">
        <f t="array" ref="D1198">INDEX(C$5:C$67,MATCH($B1198,$B$5:$B$67,0))</f>
        <v>4410</v>
      </c>
      <c r="E1198" s="25">
        <f t="array" ref="E1198">INDEX(D$5:D$67,MATCH($B1198,$B$5:$B$67,0))</f>
        <v>352.8</v>
      </c>
      <c r="F1198" s="25">
        <f t="array" ref="F1198">INDEX(E$5:E$67,MATCH($B1198,$B$5:$B$67,0))</f>
        <v>1151</v>
      </c>
      <c r="G1198" s="25">
        <f t="array" ref="G1198">INDEX(F$5:F$67,MATCH($B1198,$B$5:$B$67,0))</f>
        <v>92.08</v>
      </c>
      <c r="H1198" s="25">
        <f t="array" ref="H1198">INDEX(G$5:G$66,MATCH($B1198,$B$5:$B$67,0))</f>
        <v>894</v>
      </c>
      <c r="I1198" s="25">
        <f t="array" ref="I1198">INDEX(H$5:H$67,MATCH($B1198,$B$5:$B$67,0))</f>
        <v>71.52</v>
      </c>
      <c r="J1198" s="25">
        <f t="array" ref="J1198">INDEX(I$5:I$67,MATCH($B1198,$B$5:$B$67,0))</f>
        <v>760</v>
      </c>
      <c r="K1198" s="25">
        <f t="array" ref="K1198">INDEX(J$5:J$67,MATCH($B1198,$B$5:$B$67,0))</f>
        <v>60.8</v>
      </c>
      <c r="L1198" s="25">
        <f t="shared" si="644"/>
        <v>18522</v>
      </c>
      <c r="M1198" s="25">
        <f t="shared" si="645"/>
        <v>4834</v>
      </c>
      <c r="N1198" s="25">
        <f t="shared" si="646"/>
        <v>3755</v>
      </c>
      <c r="O1198" s="25">
        <f t="shared" si="647"/>
        <v>3192</v>
      </c>
      <c r="R1198" s="50"/>
      <c r="S1198" s="51"/>
      <c r="T1198" s="29"/>
    </row>
    <row r="1199" spans="1:20">
      <c r="A1199" s="48">
        <v>1021041</v>
      </c>
      <c r="B1199" s="49" t="s">
        <v>353</v>
      </c>
      <c r="C1199" s="25">
        <f t="shared" si="643"/>
        <v>41</v>
      </c>
      <c r="D1199" s="25">
        <f t="array" ref="D1199">INDEX(C$5:C$67,MATCH($B1199,$B$5:$B$67,0))</f>
        <v>4410</v>
      </c>
      <c r="E1199" s="25">
        <f t="array" ref="E1199">INDEX(D$5:D$67,MATCH($B1199,$B$5:$B$67,0))</f>
        <v>352.8</v>
      </c>
      <c r="F1199" s="25">
        <f t="array" ref="F1199">INDEX(E$5:E$67,MATCH($B1199,$B$5:$B$67,0))</f>
        <v>1151</v>
      </c>
      <c r="G1199" s="25">
        <f t="array" ref="G1199">INDEX(F$5:F$67,MATCH($B1199,$B$5:$B$67,0))</f>
        <v>92.08</v>
      </c>
      <c r="H1199" s="25">
        <f t="array" ref="H1199">INDEX(G$5:G$66,MATCH($B1199,$B$5:$B$67,0))</f>
        <v>894</v>
      </c>
      <c r="I1199" s="25">
        <f t="array" ref="I1199">INDEX(H$5:H$67,MATCH($B1199,$B$5:$B$67,0))</f>
        <v>71.52</v>
      </c>
      <c r="J1199" s="25">
        <f t="array" ref="J1199">INDEX(I$5:I$67,MATCH($B1199,$B$5:$B$67,0))</f>
        <v>760</v>
      </c>
      <c r="K1199" s="25">
        <f t="array" ref="K1199">INDEX(J$5:J$67,MATCH($B1199,$B$5:$B$67,0))</f>
        <v>60.8</v>
      </c>
      <c r="L1199" s="25">
        <f t="shared" si="644"/>
        <v>18875</v>
      </c>
      <c r="M1199" s="25">
        <f t="shared" si="645"/>
        <v>4926</v>
      </c>
      <c r="N1199" s="25">
        <f t="shared" si="646"/>
        <v>3826</v>
      </c>
      <c r="O1199" s="25">
        <f t="shared" si="647"/>
        <v>3253</v>
      </c>
      <c r="R1199" s="50"/>
      <c r="S1199" s="51"/>
      <c r="T1199" s="29"/>
    </row>
    <row r="1200" spans="1:20">
      <c r="A1200" s="48">
        <v>1021042</v>
      </c>
      <c r="B1200" s="49" t="s">
        <v>353</v>
      </c>
      <c r="C1200" s="25">
        <f t="shared" si="643"/>
        <v>42</v>
      </c>
      <c r="D1200" s="25">
        <f t="array" ref="D1200">INDEX(C$5:C$67,MATCH($B1200,$B$5:$B$67,0))</f>
        <v>4410</v>
      </c>
      <c r="E1200" s="25">
        <f t="array" ref="E1200">INDEX(D$5:D$67,MATCH($B1200,$B$5:$B$67,0))</f>
        <v>352.8</v>
      </c>
      <c r="F1200" s="25">
        <f t="array" ref="F1200">INDEX(E$5:E$67,MATCH($B1200,$B$5:$B$67,0))</f>
        <v>1151</v>
      </c>
      <c r="G1200" s="25">
        <f t="array" ref="G1200">INDEX(F$5:F$67,MATCH($B1200,$B$5:$B$67,0))</f>
        <v>92.08</v>
      </c>
      <c r="H1200" s="25">
        <f t="array" ref="H1200">INDEX(G$5:G$66,MATCH($B1200,$B$5:$B$67,0))</f>
        <v>894</v>
      </c>
      <c r="I1200" s="25">
        <f t="array" ref="I1200">INDEX(H$5:H$67,MATCH($B1200,$B$5:$B$67,0))</f>
        <v>71.52</v>
      </c>
      <c r="J1200" s="25">
        <f t="array" ref="J1200">INDEX(I$5:I$67,MATCH($B1200,$B$5:$B$67,0))</f>
        <v>760</v>
      </c>
      <c r="K1200" s="25">
        <f t="array" ref="K1200">INDEX(J$5:J$67,MATCH($B1200,$B$5:$B$67,0))</f>
        <v>60.8</v>
      </c>
      <c r="L1200" s="25">
        <f t="shared" si="644"/>
        <v>19228</v>
      </c>
      <c r="M1200" s="25">
        <f t="shared" si="645"/>
        <v>5018</v>
      </c>
      <c r="N1200" s="25">
        <f t="shared" si="646"/>
        <v>3898</v>
      </c>
      <c r="O1200" s="25">
        <f t="shared" si="647"/>
        <v>3314</v>
      </c>
      <c r="R1200" s="50"/>
      <c r="S1200" s="51"/>
      <c r="T1200" s="29"/>
    </row>
    <row r="1201" spans="1:20">
      <c r="A1201" s="48">
        <v>1021043</v>
      </c>
      <c r="B1201" s="49" t="s">
        <v>353</v>
      </c>
      <c r="C1201" s="25">
        <f t="shared" si="643"/>
        <v>43</v>
      </c>
      <c r="D1201" s="25">
        <f t="array" ref="D1201">INDEX(C$5:C$67,MATCH($B1201,$B$5:$B$67,0))</f>
        <v>4410</v>
      </c>
      <c r="E1201" s="25">
        <f t="array" ref="E1201">INDEX(D$5:D$67,MATCH($B1201,$B$5:$B$67,0))</f>
        <v>352.8</v>
      </c>
      <c r="F1201" s="25">
        <f t="array" ref="F1201">INDEX(E$5:E$67,MATCH($B1201,$B$5:$B$67,0))</f>
        <v>1151</v>
      </c>
      <c r="G1201" s="25">
        <f t="array" ref="G1201">INDEX(F$5:F$67,MATCH($B1201,$B$5:$B$67,0))</f>
        <v>92.08</v>
      </c>
      <c r="H1201" s="25">
        <f t="array" ref="H1201">INDEX(G$5:G$66,MATCH($B1201,$B$5:$B$67,0))</f>
        <v>894</v>
      </c>
      <c r="I1201" s="25">
        <f t="array" ref="I1201">INDEX(H$5:H$67,MATCH($B1201,$B$5:$B$67,0))</f>
        <v>71.52</v>
      </c>
      <c r="J1201" s="25">
        <f t="array" ref="J1201">INDEX(I$5:I$67,MATCH($B1201,$B$5:$B$67,0))</f>
        <v>760</v>
      </c>
      <c r="K1201" s="25">
        <f t="array" ref="K1201">INDEX(J$5:J$67,MATCH($B1201,$B$5:$B$67,0))</f>
        <v>60.8</v>
      </c>
      <c r="L1201" s="25">
        <f t="shared" si="644"/>
        <v>19580</v>
      </c>
      <c r="M1201" s="25">
        <f t="shared" si="645"/>
        <v>5110</v>
      </c>
      <c r="N1201" s="25">
        <f t="shared" si="646"/>
        <v>3969</v>
      </c>
      <c r="O1201" s="25">
        <f t="shared" si="647"/>
        <v>3374</v>
      </c>
      <c r="R1201" s="50"/>
      <c r="S1201" s="51"/>
      <c r="T1201" s="29"/>
    </row>
    <row r="1202" spans="1:20">
      <c r="A1202" s="48">
        <v>1021044</v>
      </c>
      <c r="B1202" s="49" t="s">
        <v>353</v>
      </c>
      <c r="C1202" s="25">
        <f t="shared" si="643"/>
        <v>44</v>
      </c>
      <c r="D1202" s="25">
        <f t="array" ref="D1202">INDEX(C$5:C$67,MATCH($B1202,$B$5:$B$67,0))</f>
        <v>4410</v>
      </c>
      <c r="E1202" s="25">
        <f t="array" ref="E1202">INDEX(D$5:D$67,MATCH($B1202,$B$5:$B$67,0))</f>
        <v>352.8</v>
      </c>
      <c r="F1202" s="25">
        <f t="array" ref="F1202">INDEX(E$5:E$67,MATCH($B1202,$B$5:$B$67,0))</f>
        <v>1151</v>
      </c>
      <c r="G1202" s="25">
        <f t="array" ref="G1202">INDEX(F$5:F$67,MATCH($B1202,$B$5:$B$67,0))</f>
        <v>92.08</v>
      </c>
      <c r="H1202" s="25">
        <f t="array" ref="H1202">INDEX(G$5:G$66,MATCH($B1202,$B$5:$B$67,0))</f>
        <v>894</v>
      </c>
      <c r="I1202" s="25">
        <f t="array" ref="I1202">INDEX(H$5:H$67,MATCH($B1202,$B$5:$B$67,0))</f>
        <v>71.52</v>
      </c>
      <c r="J1202" s="25">
        <f t="array" ref="J1202">INDEX(I$5:I$67,MATCH($B1202,$B$5:$B$67,0))</f>
        <v>760</v>
      </c>
      <c r="K1202" s="25">
        <f t="array" ref="K1202">INDEX(J$5:J$67,MATCH($B1202,$B$5:$B$67,0))</f>
        <v>60.8</v>
      </c>
      <c r="L1202" s="25">
        <f t="shared" si="644"/>
        <v>19933</v>
      </c>
      <c r="M1202" s="25">
        <f t="shared" si="645"/>
        <v>5203</v>
      </c>
      <c r="N1202" s="25">
        <f t="shared" si="646"/>
        <v>4041</v>
      </c>
      <c r="O1202" s="25">
        <f t="shared" si="647"/>
        <v>3435</v>
      </c>
      <c r="R1202" s="50"/>
      <c r="S1202" s="51"/>
      <c r="T1202" s="29"/>
    </row>
    <row r="1203" spans="1:20">
      <c r="A1203" s="48">
        <v>1021045</v>
      </c>
      <c r="B1203" s="49" t="s">
        <v>353</v>
      </c>
      <c r="C1203" s="25">
        <f t="shared" si="643"/>
        <v>45</v>
      </c>
      <c r="D1203" s="25">
        <f t="array" ref="D1203">INDEX(C$5:C$67,MATCH($B1203,$B$5:$B$67,0))</f>
        <v>4410</v>
      </c>
      <c r="E1203" s="25">
        <f t="array" ref="E1203">INDEX(D$5:D$67,MATCH($B1203,$B$5:$B$67,0))</f>
        <v>352.8</v>
      </c>
      <c r="F1203" s="25">
        <f t="array" ref="F1203">INDEX(E$5:E$67,MATCH($B1203,$B$5:$B$67,0))</f>
        <v>1151</v>
      </c>
      <c r="G1203" s="25">
        <f t="array" ref="G1203">INDEX(F$5:F$67,MATCH($B1203,$B$5:$B$67,0))</f>
        <v>92.08</v>
      </c>
      <c r="H1203" s="25">
        <f t="array" ref="H1203">INDEX(G$5:G$66,MATCH($B1203,$B$5:$B$67,0))</f>
        <v>894</v>
      </c>
      <c r="I1203" s="25">
        <f t="array" ref="I1203">INDEX(H$5:H$67,MATCH($B1203,$B$5:$B$67,0))</f>
        <v>71.52</v>
      </c>
      <c r="J1203" s="25">
        <f t="array" ref="J1203">INDEX(I$5:I$67,MATCH($B1203,$B$5:$B$67,0))</f>
        <v>760</v>
      </c>
      <c r="K1203" s="25">
        <f t="array" ref="K1203">INDEX(J$5:J$67,MATCH($B1203,$B$5:$B$67,0))</f>
        <v>60.8</v>
      </c>
      <c r="L1203" s="25">
        <f t="shared" si="644"/>
        <v>20286</v>
      </c>
      <c r="M1203" s="25">
        <f t="shared" si="645"/>
        <v>5295</v>
      </c>
      <c r="N1203" s="25">
        <f t="shared" si="646"/>
        <v>4112</v>
      </c>
      <c r="O1203" s="25">
        <f t="shared" si="647"/>
        <v>3496</v>
      </c>
      <c r="R1203" s="50"/>
      <c r="S1203" s="51"/>
      <c r="T1203" s="29"/>
    </row>
    <row r="1204" spans="1:20">
      <c r="A1204" s="48">
        <v>1021046</v>
      </c>
      <c r="B1204" s="49" t="s">
        <v>353</v>
      </c>
      <c r="C1204" s="25">
        <f t="shared" si="643"/>
        <v>46</v>
      </c>
      <c r="D1204" s="25">
        <f t="array" ref="D1204">INDEX(C$5:C$67,MATCH($B1204,$B$5:$B$67,0))</f>
        <v>4410</v>
      </c>
      <c r="E1204" s="25">
        <f t="array" ref="E1204">INDEX(D$5:D$67,MATCH($B1204,$B$5:$B$67,0))</f>
        <v>352.8</v>
      </c>
      <c r="F1204" s="25">
        <f t="array" ref="F1204">INDEX(E$5:E$67,MATCH($B1204,$B$5:$B$67,0))</f>
        <v>1151</v>
      </c>
      <c r="G1204" s="25">
        <f t="array" ref="G1204">INDEX(F$5:F$67,MATCH($B1204,$B$5:$B$67,0))</f>
        <v>92.08</v>
      </c>
      <c r="H1204" s="25">
        <f t="array" ref="H1204">INDEX(G$5:G$66,MATCH($B1204,$B$5:$B$67,0))</f>
        <v>894</v>
      </c>
      <c r="I1204" s="25">
        <f t="array" ref="I1204">INDEX(H$5:H$67,MATCH($B1204,$B$5:$B$67,0))</f>
        <v>71.52</v>
      </c>
      <c r="J1204" s="25">
        <f t="array" ref="J1204">INDEX(I$5:I$67,MATCH($B1204,$B$5:$B$67,0))</f>
        <v>760</v>
      </c>
      <c r="K1204" s="25">
        <f t="array" ref="K1204">INDEX(J$5:J$67,MATCH($B1204,$B$5:$B$67,0))</f>
        <v>60.8</v>
      </c>
      <c r="L1204" s="25">
        <f t="shared" si="644"/>
        <v>20639</v>
      </c>
      <c r="M1204" s="25">
        <f t="shared" si="645"/>
        <v>5387</v>
      </c>
      <c r="N1204" s="25">
        <f t="shared" si="646"/>
        <v>4184</v>
      </c>
      <c r="O1204" s="25">
        <f t="shared" si="647"/>
        <v>3557</v>
      </c>
      <c r="R1204" s="50"/>
      <c r="S1204" s="51"/>
      <c r="T1204" s="29"/>
    </row>
    <row r="1205" spans="1:20">
      <c r="A1205" s="48">
        <v>1021047</v>
      </c>
      <c r="B1205" s="49" t="s">
        <v>353</v>
      </c>
      <c r="C1205" s="25">
        <f t="shared" si="643"/>
        <v>47</v>
      </c>
      <c r="D1205" s="25">
        <f t="array" ref="D1205">INDEX(C$5:C$67,MATCH($B1205,$B$5:$B$67,0))</f>
        <v>4410</v>
      </c>
      <c r="E1205" s="25">
        <f t="array" ref="E1205">INDEX(D$5:D$67,MATCH($B1205,$B$5:$B$67,0))</f>
        <v>352.8</v>
      </c>
      <c r="F1205" s="25">
        <f t="array" ref="F1205">INDEX(E$5:E$67,MATCH($B1205,$B$5:$B$67,0))</f>
        <v>1151</v>
      </c>
      <c r="G1205" s="25">
        <f t="array" ref="G1205">INDEX(F$5:F$67,MATCH($B1205,$B$5:$B$67,0))</f>
        <v>92.08</v>
      </c>
      <c r="H1205" s="25">
        <f t="array" ref="H1205">INDEX(G$5:G$66,MATCH($B1205,$B$5:$B$67,0))</f>
        <v>894</v>
      </c>
      <c r="I1205" s="25">
        <f t="array" ref="I1205">INDEX(H$5:H$67,MATCH($B1205,$B$5:$B$67,0))</f>
        <v>71.52</v>
      </c>
      <c r="J1205" s="25">
        <f t="array" ref="J1205">INDEX(I$5:I$67,MATCH($B1205,$B$5:$B$67,0))</f>
        <v>760</v>
      </c>
      <c r="K1205" s="25">
        <f t="array" ref="K1205">INDEX(J$5:J$67,MATCH($B1205,$B$5:$B$67,0))</f>
        <v>60.8</v>
      </c>
      <c r="L1205" s="25">
        <f t="shared" si="644"/>
        <v>20992</v>
      </c>
      <c r="M1205" s="25">
        <f t="shared" si="645"/>
        <v>5479</v>
      </c>
      <c r="N1205" s="25">
        <f t="shared" si="646"/>
        <v>4255</v>
      </c>
      <c r="O1205" s="25">
        <f t="shared" si="647"/>
        <v>3618</v>
      </c>
      <c r="R1205" s="50"/>
      <c r="S1205" s="51"/>
      <c r="T1205" s="29"/>
    </row>
    <row r="1206" spans="1:20">
      <c r="A1206" s="48">
        <v>1021048</v>
      </c>
      <c r="B1206" s="49" t="s">
        <v>353</v>
      </c>
      <c r="C1206" s="25">
        <f t="shared" si="643"/>
        <v>48</v>
      </c>
      <c r="D1206" s="25">
        <f t="array" ref="D1206">INDEX(C$5:C$67,MATCH($B1206,$B$5:$B$67,0))</f>
        <v>4410</v>
      </c>
      <c r="E1206" s="25">
        <f t="array" ref="E1206">INDEX(D$5:D$67,MATCH($B1206,$B$5:$B$67,0))</f>
        <v>352.8</v>
      </c>
      <c r="F1206" s="25">
        <f t="array" ref="F1206">INDEX(E$5:E$67,MATCH($B1206,$B$5:$B$67,0))</f>
        <v>1151</v>
      </c>
      <c r="G1206" s="25">
        <f t="array" ref="G1206">INDEX(F$5:F$67,MATCH($B1206,$B$5:$B$67,0))</f>
        <v>92.08</v>
      </c>
      <c r="H1206" s="25">
        <f t="array" ref="H1206">INDEX(G$5:G$66,MATCH($B1206,$B$5:$B$67,0))</f>
        <v>894</v>
      </c>
      <c r="I1206" s="25">
        <f t="array" ref="I1206">INDEX(H$5:H$67,MATCH($B1206,$B$5:$B$67,0))</f>
        <v>71.52</v>
      </c>
      <c r="J1206" s="25">
        <f t="array" ref="J1206">INDEX(I$5:I$67,MATCH($B1206,$B$5:$B$67,0))</f>
        <v>760</v>
      </c>
      <c r="K1206" s="25">
        <f t="array" ref="K1206">INDEX(J$5:J$67,MATCH($B1206,$B$5:$B$67,0))</f>
        <v>60.8</v>
      </c>
      <c r="L1206" s="25">
        <f t="shared" si="644"/>
        <v>21344</v>
      </c>
      <c r="M1206" s="25">
        <f t="shared" si="645"/>
        <v>5571</v>
      </c>
      <c r="N1206" s="25">
        <f t="shared" si="646"/>
        <v>4327</v>
      </c>
      <c r="O1206" s="25">
        <f t="shared" si="647"/>
        <v>3678</v>
      </c>
      <c r="R1206" s="50"/>
      <c r="S1206" s="51"/>
      <c r="T1206" s="29"/>
    </row>
    <row r="1207" spans="1:20">
      <c r="A1207" s="48">
        <v>1021049</v>
      </c>
      <c r="B1207" s="49" t="s">
        <v>353</v>
      </c>
      <c r="C1207" s="25">
        <f t="shared" si="643"/>
        <v>49</v>
      </c>
      <c r="D1207" s="25">
        <f t="array" ref="D1207">INDEX(C$5:C$67,MATCH($B1207,$B$5:$B$67,0))</f>
        <v>4410</v>
      </c>
      <c r="E1207" s="25">
        <f t="array" ref="E1207">INDEX(D$5:D$67,MATCH($B1207,$B$5:$B$67,0))</f>
        <v>352.8</v>
      </c>
      <c r="F1207" s="25">
        <f t="array" ref="F1207">INDEX(E$5:E$67,MATCH($B1207,$B$5:$B$67,0))</f>
        <v>1151</v>
      </c>
      <c r="G1207" s="25">
        <f t="array" ref="G1207">INDEX(F$5:F$67,MATCH($B1207,$B$5:$B$67,0))</f>
        <v>92.08</v>
      </c>
      <c r="H1207" s="25">
        <f t="array" ref="H1207">INDEX(G$5:G$66,MATCH($B1207,$B$5:$B$67,0))</f>
        <v>894</v>
      </c>
      <c r="I1207" s="25">
        <f t="array" ref="I1207">INDEX(H$5:H$67,MATCH($B1207,$B$5:$B$67,0))</f>
        <v>71.52</v>
      </c>
      <c r="J1207" s="25">
        <f t="array" ref="J1207">INDEX(I$5:I$67,MATCH($B1207,$B$5:$B$67,0))</f>
        <v>760</v>
      </c>
      <c r="K1207" s="25">
        <f t="array" ref="K1207">INDEX(J$5:J$67,MATCH($B1207,$B$5:$B$67,0))</f>
        <v>60.8</v>
      </c>
      <c r="L1207" s="25">
        <f t="shared" si="644"/>
        <v>21697</v>
      </c>
      <c r="M1207" s="25">
        <f t="shared" si="645"/>
        <v>5663</v>
      </c>
      <c r="N1207" s="25">
        <f t="shared" si="646"/>
        <v>4398</v>
      </c>
      <c r="O1207" s="25">
        <f t="shared" si="647"/>
        <v>3739</v>
      </c>
      <c r="R1207" s="50"/>
      <c r="S1207" s="51"/>
      <c r="T1207" s="29"/>
    </row>
    <row r="1208" spans="1:20">
      <c r="A1208" s="48">
        <v>1021050</v>
      </c>
      <c r="B1208" s="49" t="s">
        <v>353</v>
      </c>
      <c r="C1208" s="25">
        <f t="shared" si="643"/>
        <v>50</v>
      </c>
      <c r="D1208" s="25">
        <f t="array" ref="D1208">INDEX(C$5:C$67,MATCH($B1208,$B$5:$B$67,0))</f>
        <v>4410</v>
      </c>
      <c r="E1208" s="25">
        <f t="array" ref="E1208">INDEX(D$5:D$67,MATCH($B1208,$B$5:$B$67,0))</f>
        <v>352.8</v>
      </c>
      <c r="F1208" s="25">
        <f t="array" ref="F1208">INDEX(E$5:E$67,MATCH($B1208,$B$5:$B$67,0))</f>
        <v>1151</v>
      </c>
      <c r="G1208" s="25">
        <f t="array" ref="G1208">INDEX(F$5:F$67,MATCH($B1208,$B$5:$B$67,0))</f>
        <v>92.08</v>
      </c>
      <c r="H1208" s="25">
        <f t="array" ref="H1208">INDEX(G$5:G$66,MATCH($B1208,$B$5:$B$67,0))</f>
        <v>894</v>
      </c>
      <c r="I1208" s="25">
        <f t="array" ref="I1208">INDEX(H$5:H$67,MATCH($B1208,$B$5:$B$67,0))</f>
        <v>71.52</v>
      </c>
      <c r="J1208" s="25">
        <f t="array" ref="J1208">INDEX(I$5:I$67,MATCH($B1208,$B$5:$B$67,0))</f>
        <v>760</v>
      </c>
      <c r="K1208" s="25">
        <f t="array" ref="K1208">INDEX(J$5:J$67,MATCH($B1208,$B$5:$B$67,0))</f>
        <v>60.8</v>
      </c>
      <c r="L1208" s="25">
        <f t="shared" si="644"/>
        <v>22050</v>
      </c>
      <c r="M1208" s="25">
        <f t="shared" si="645"/>
        <v>5755</v>
      </c>
      <c r="N1208" s="25">
        <f t="shared" si="646"/>
        <v>4470</v>
      </c>
      <c r="O1208" s="25">
        <f t="shared" si="647"/>
        <v>3800</v>
      </c>
      <c r="R1208" s="50"/>
      <c r="S1208" s="51"/>
      <c r="T1208" s="29"/>
    </row>
    <row r="1209" spans="1:20">
      <c r="A1209" s="48">
        <v>1021051</v>
      </c>
      <c r="B1209" s="49" t="s">
        <v>353</v>
      </c>
      <c r="C1209" s="25">
        <f t="shared" si="643"/>
        <v>51</v>
      </c>
      <c r="D1209" s="25">
        <f t="array" ref="D1209">INDEX(C$5:C$67,MATCH($B1209,$B$5:$B$67,0))</f>
        <v>4410</v>
      </c>
      <c r="E1209" s="25">
        <f t="array" ref="E1209">INDEX(D$5:D$67,MATCH($B1209,$B$5:$B$67,0))</f>
        <v>352.8</v>
      </c>
      <c r="F1209" s="25">
        <f t="array" ref="F1209">INDEX(E$5:E$67,MATCH($B1209,$B$5:$B$67,0))</f>
        <v>1151</v>
      </c>
      <c r="G1209" s="25">
        <f t="array" ref="G1209">INDEX(F$5:F$67,MATCH($B1209,$B$5:$B$67,0))</f>
        <v>92.08</v>
      </c>
      <c r="H1209" s="25">
        <f t="array" ref="H1209">INDEX(G$5:G$66,MATCH($B1209,$B$5:$B$67,0))</f>
        <v>894</v>
      </c>
      <c r="I1209" s="25">
        <f t="array" ref="I1209">INDEX(H$5:H$67,MATCH($B1209,$B$5:$B$67,0))</f>
        <v>71.52</v>
      </c>
      <c r="J1209" s="25">
        <f t="array" ref="J1209">INDEX(I$5:I$67,MATCH($B1209,$B$5:$B$67,0))</f>
        <v>760</v>
      </c>
      <c r="K1209" s="25">
        <f t="array" ref="K1209">INDEX(J$5:J$67,MATCH($B1209,$B$5:$B$67,0))</f>
        <v>60.8</v>
      </c>
      <c r="L1209" s="25">
        <f t="shared" si="644"/>
        <v>22403</v>
      </c>
      <c r="M1209" s="25">
        <f t="shared" si="645"/>
        <v>5847</v>
      </c>
      <c r="N1209" s="25">
        <f t="shared" si="646"/>
        <v>4542</v>
      </c>
      <c r="O1209" s="25">
        <f t="shared" si="647"/>
        <v>3861</v>
      </c>
      <c r="R1209" s="50"/>
      <c r="S1209" s="51"/>
      <c r="T1209" s="29"/>
    </row>
    <row r="1210" spans="1:20">
      <c r="A1210" s="48">
        <v>1021052</v>
      </c>
      <c r="B1210" s="49" t="s">
        <v>353</v>
      </c>
      <c r="C1210" s="25">
        <f t="shared" si="643"/>
        <v>52</v>
      </c>
      <c r="D1210" s="25">
        <f t="array" ref="D1210">INDEX(C$5:C$67,MATCH($B1210,$B$5:$B$67,0))</f>
        <v>4410</v>
      </c>
      <c r="E1210" s="25">
        <f t="array" ref="E1210">INDEX(D$5:D$67,MATCH($B1210,$B$5:$B$67,0))</f>
        <v>352.8</v>
      </c>
      <c r="F1210" s="25">
        <f t="array" ref="F1210">INDEX(E$5:E$67,MATCH($B1210,$B$5:$B$67,0))</f>
        <v>1151</v>
      </c>
      <c r="G1210" s="25">
        <f t="array" ref="G1210">INDEX(F$5:F$67,MATCH($B1210,$B$5:$B$67,0))</f>
        <v>92.08</v>
      </c>
      <c r="H1210" s="25">
        <f t="array" ref="H1210">INDEX(G$5:G$66,MATCH($B1210,$B$5:$B$67,0))</f>
        <v>894</v>
      </c>
      <c r="I1210" s="25">
        <f t="array" ref="I1210">INDEX(H$5:H$67,MATCH($B1210,$B$5:$B$67,0))</f>
        <v>71.52</v>
      </c>
      <c r="J1210" s="25">
        <f t="array" ref="J1210">INDEX(I$5:I$67,MATCH($B1210,$B$5:$B$67,0))</f>
        <v>760</v>
      </c>
      <c r="K1210" s="25">
        <f t="array" ref="K1210">INDEX(J$5:J$67,MATCH($B1210,$B$5:$B$67,0))</f>
        <v>60.8</v>
      </c>
      <c r="L1210" s="25">
        <f t="shared" si="644"/>
        <v>22756</v>
      </c>
      <c r="M1210" s="25">
        <f t="shared" si="645"/>
        <v>5939</v>
      </c>
      <c r="N1210" s="25">
        <f t="shared" si="646"/>
        <v>4613</v>
      </c>
      <c r="O1210" s="25">
        <f t="shared" si="647"/>
        <v>3922</v>
      </c>
      <c r="R1210" s="50"/>
      <c r="S1210" s="51"/>
      <c r="T1210" s="29"/>
    </row>
    <row r="1211" spans="1:20">
      <c r="A1211" s="48">
        <v>1021053</v>
      </c>
      <c r="B1211" s="49" t="s">
        <v>353</v>
      </c>
      <c r="C1211" s="25">
        <f t="shared" si="643"/>
        <v>53</v>
      </c>
      <c r="D1211" s="25">
        <f t="array" ref="D1211">INDEX(C$5:C$67,MATCH($B1211,$B$5:$B$67,0))</f>
        <v>4410</v>
      </c>
      <c r="E1211" s="25">
        <f t="array" ref="E1211">INDEX(D$5:D$67,MATCH($B1211,$B$5:$B$67,0))</f>
        <v>352.8</v>
      </c>
      <c r="F1211" s="25">
        <f t="array" ref="F1211">INDEX(E$5:E$67,MATCH($B1211,$B$5:$B$67,0))</f>
        <v>1151</v>
      </c>
      <c r="G1211" s="25">
        <f t="array" ref="G1211">INDEX(F$5:F$67,MATCH($B1211,$B$5:$B$67,0))</f>
        <v>92.08</v>
      </c>
      <c r="H1211" s="25">
        <f t="array" ref="H1211">INDEX(G$5:G$66,MATCH($B1211,$B$5:$B$67,0))</f>
        <v>894</v>
      </c>
      <c r="I1211" s="25">
        <f t="array" ref="I1211">INDEX(H$5:H$67,MATCH($B1211,$B$5:$B$67,0))</f>
        <v>71.52</v>
      </c>
      <c r="J1211" s="25">
        <f t="array" ref="J1211">INDEX(I$5:I$67,MATCH($B1211,$B$5:$B$67,0))</f>
        <v>760</v>
      </c>
      <c r="K1211" s="25">
        <f t="array" ref="K1211">INDEX(J$5:J$67,MATCH($B1211,$B$5:$B$67,0))</f>
        <v>60.8</v>
      </c>
      <c r="L1211" s="25">
        <f t="shared" si="644"/>
        <v>23108</v>
      </c>
      <c r="M1211" s="25">
        <f t="shared" si="645"/>
        <v>6031</v>
      </c>
      <c r="N1211" s="25">
        <f t="shared" si="646"/>
        <v>4685</v>
      </c>
      <c r="O1211" s="25">
        <f t="shared" si="647"/>
        <v>3982</v>
      </c>
      <c r="R1211" s="50"/>
      <c r="S1211" s="51"/>
      <c r="T1211" s="29"/>
    </row>
    <row r="1212" spans="1:20">
      <c r="A1212" s="48">
        <v>1021054</v>
      </c>
      <c r="B1212" s="49" t="s">
        <v>353</v>
      </c>
      <c r="C1212" s="25">
        <f t="shared" si="643"/>
        <v>54</v>
      </c>
      <c r="D1212" s="25">
        <f t="array" ref="D1212">INDEX(C$5:C$67,MATCH($B1212,$B$5:$B$67,0))</f>
        <v>4410</v>
      </c>
      <c r="E1212" s="25">
        <f t="array" ref="E1212">INDEX(D$5:D$67,MATCH($B1212,$B$5:$B$67,0))</f>
        <v>352.8</v>
      </c>
      <c r="F1212" s="25">
        <f t="array" ref="F1212">INDEX(E$5:E$67,MATCH($B1212,$B$5:$B$67,0))</f>
        <v>1151</v>
      </c>
      <c r="G1212" s="25">
        <f t="array" ref="G1212">INDEX(F$5:F$67,MATCH($B1212,$B$5:$B$67,0))</f>
        <v>92.08</v>
      </c>
      <c r="H1212" s="25">
        <f t="array" ref="H1212">INDEX(G$5:G$66,MATCH($B1212,$B$5:$B$67,0))</f>
        <v>894</v>
      </c>
      <c r="I1212" s="25">
        <f t="array" ref="I1212">INDEX(H$5:H$67,MATCH($B1212,$B$5:$B$67,0))</f>
        <v>71.52</v>
      </c>
      <c r="J1212" s="25">
        <f t="array" ref="J1212">INDEX(I$5:I$67,MATCH($B1212,$B$5:$B$67,0))</f>
        <v>760</v>
      </c>
      <c r="K1212" s="25">
        <f t="array" ref="K1212">INDEX(J$5:J$67,MATCH($B1212,$B$5:$B$67,0))</f>
        <v>60.8</v>
      </c>
      <c r="L1212" s="25">
        <f t="shared" si="644"/>
        <v>23461</v>
      </c>
      <c r="M1212" s="25">
        <f t="shared" si="645"/>
        <v>6123</v>
      </c>
      <c r="N1212" s="25">
        <f t="shared" si="646"/>
        <v>4756</v>
      </c>
      <c r="O1212" s="25">
        <f t="shared" si="647"/>
        <v>4043</v>
      </c>
      <c r="R1212" s="50"/>
      <c r="S1212" s="51"/>
      <c r="T1212" s="29"/>
    </row>
    <row r="1213" spans="1:20">
      <c r="A1213" s="48">
        <v>1021055</v>
      </c>
      <c r="B1213" s="49" t="s">
        <v>353</v>
      </c>
      <c r="C1213" s="25">
        <f t="shared" si="643"/>
        <v>55</v>
      </c>
      <c r="D1213" s="25">
        <f t="array" ref="D1213">INDEX(C$5:C$67,MATCH($B1213,$B$5:$B$67,0))</f>
        <v>4410</v>
      </c>
      <c r="E1213" s="25">
        <f t="array" ref="E1213">INDEX(D$5:D$67,MATCH($B1213,$B$5:$B$67,0))</f>
        <v>352.8</v>
      </c>
      <c r="F1213" s="25">
        <f t="array" ref="F1213">INDEX(E$5:E$67,MATCH($B1213,$B$5:$B$67,0))</f>
        <v>1151</v>
      </c>
      <c r="G1213" s="25">
        <f t="array" ref="G1213">INDEX(F$5:F$67,MATCH($B1213,$B$5:$B$67,0))</f>
        <v>92.08</v>
      </c>
      <c r="H1213" s="25">
        <f t="array" ref="H1213">INDEX(G$5:G$66,MATCH($B1213,$B$5:$B$67,0))</f>
        <v>894</v>
      </c>
      <c r="I1213" s="25">
        <f t="array" ref="I1213">INDEX(H$5:H$67,MATCH($B1213,$B$5:$B$67,0))</f>
        <v>71.52</v>
      </c>
      <c r="J1213" s="25">
        <f t="array" ref="J1213">INDEX(I$5:I$67,MATCH($B1213,$B$5:$B$67,0))</f>
        <v>760</v>
      </c>
      <c r="K1213" s="25">
        <f t="array" ref="K1213">INDEX(J$5:J$67,MATCH($B1213,$B$5:$B$67,0))</f>
        <v>60.8</v>
      </c>
      <c r="L1213" s="25">
        <f t="shared" si="644"/>
        <v>23814</v>
      </c>
      <c r="M1213" s="25">
        <f t="shared" si="645"/>
        <v>6215</v>
      </c>
      <c r="N1213" s="25">
        <f t="shared" si="646"/>
        <v>4828</v>
      </c>
      <c r="O1213" s="25">
        <f t="shared" si="647"/>
        <v>4104</v>
      </c>
      <c r="R1213" s="50"/>
      <c r="S1213" s="51"/>
      <c r="T1213" s="29"/>
    </row>
    <row r="1214" spans="1:20">
      <c r="A1214" s="48">
        <v>1021056</v>
      </c>
      <c r="B1214" s="49" t="s">
        <v>353</v>
      </c>
      <c r="C1214" s="25">
        <f t="shared" si="643"/>
        <v>56</v>
      </c>
      <c r="D1214" s="25">
        <f t="array" ref="D1214">INDEX(C$5:C$67,MATCH($B1214,$B$5:$B$67,0))</f>
        <v>4410</v>
      </c>
      <c r="E1214" s="25">
        <f t="array" ref="E1214">INDEX(D$5:D$67,MATCH($B1214,$B$5:$B$67,0))</f>
        <v>352.8</v>
      </c>
      <c r="F1214" s="25">
        <f t="array" ref="F1214">INDEX(E$5:E$67,MATCH($B1214,$B$5:$B$67,0))</f>
        <v>1151</v>
      </c>
      <c r="G1214" s="25">
        <f t="array" ref="G1214">INDEX(F$5:F$67,MATCH($B1214,$B$5:$B$67,0))</f>
        <v>92.08</v>
      </c>
      <c r="H1214" s="25">
        <f t="array" ref="H1214">INDEX(G$5:G$66,MATCH($B1214,$B$5:$B$67,0))</f>
        <v>894</v>
      </c>
      <c r="I1214" s="25">
        <f t="array" ref="I1214">INDEX(H$5:H$67,MATCH($B1214,$B$5:$B$67,0))</f>
        <v>71.52</v>
      </c>
      <c r="J1214" s="25">
        <f t="array" ref="J1214">INDEX(I$5:I$67,MATCH($B1214,$B$5:$B$67,0))</f>
        <v>760</v>
      </c>
      <c r="K1214" s="25">
        <f t="array" ref="K1214">INDEX(J$5:J$67,MATCH($B1214,$B$5:$B$67,0))</f>
        <v>60.8</v>
      </c>
      <c r="L1214" s="25">
        <f t="shared" si="644"/>
        <v>24167</v>
      </c>
      <c r="M1214" s="25">
        <f t="shared" si="645"/>
        <v>6307</v>
      </c>
      <c r="N1214" s="25">
        <f t="shared" si="646"/>
        <v>4899</v>
      </c>
      <c r="O1214" s="25">
        <f t="shared" si="647"/>
        <v>4165</v>
      </c>
      <c r="R1214" s="50"/>
      <c r="S1214" s="51"/>
      <c r="T1214" s="29"/>
    </row>
    <row r="1215" spans="1:20">
      <c r="A1215" s="48">
        <v>1021057</v>
      </c>
      <c r="B1215" s="49" t="s">
        <v>353</v>
      </c>
      <c r="C1215" s="25">
        <f t="shared" si="643"/>
        <v>57</v>
      </c>
      <c r="D1215" s="25">
        <f t="array" ref="D1215">INDEX(C$5:C$67,MATCH($B1215,$B$5:$B$67,0))</f>
        <v>4410</v>
      </c>
      <c r="E1215" s="25">
        <f t="array" ref="E1215">INDEX(D$5:D$67,MATCH($B1215,$B$5:$B$67,0))</f>
        <v>352.8</v>
      </c>
      <c r="F1215" s="25">
        <f t="array" ref="F1215">INDEX(E$5:E$67,MATCH($B1215,$B$5:$B$67,0))</f>
        <v>1151</v>
      </c>
      <c r="G1215" s="25">
        <f t="array" ref="G1215">INDEX(F$5:F$67,MATCH($B1215,$B$5:$B$67,0))</f>
        <v>92.08</v>
      </c>
      <c r="H1215" s="25">
        <f t="array" ref="H1215">INDEX(G$5:G$66,MATCH($B1215,$B$5:$B$67,0))</f>
        <v>894</v>
      </c>
      <c r="I1215" s="25">
        <f t="array" ref="I1215">INDEX(H$5:H$67,MATCH($B1215,$B$5:$B$67,0))</f>
        <v>71.52</v>
      </c>
      <c r="J1215" s="25">
        <f t="array" ref="J1215">INDEX(I$5:I$67,MATCH($B1215,$B$5:$B$67,0))</f>
        <v>760</v>
      </c>
      <c r="K1215" s="25">
        <f t="array" ref="K1215">INDEX(J$5:J$67,MATCH($B1215,$B$5:$B$67,0))</f>
        <v>60.8</v>
      </c>
      <c r="L1215" s="25">
        <f t="shared" si="644"/>
        <v>24520</v>
      </c>
      <c r="M1215" s="25">
        <f t="shared" si="645"/>
        <v>6400</v>
      </c>
      <c r="N1215" s="25">
        <f t="shared" si="646"/>
        <v>4971</v>
      </c>
      <c r="O1215" s="25">
        <f t="shared" si="647"/>
        <v>4226</v>
      </c>
      <c r="R1215" s="50"/>
      <c r="S1215" s="51"/>
      <c r="T1215" s="29"/>
    </row>
    <row r="1216" spans="1:20">
      <c r="A1216" s="48">
        <v>1021058</v>
      </c>
      <c r="B1216" s="49" t="s">
        <v>353</v>
      </c>
      <c r="C1216" s="25">
        <f t="shared" si="643"/>
        <v>58</v>
      </c>
      <c r="D1216" s="25">
        <f t="array" ref="D1216">INDEX(C$5:C$67,MATCH($B1216,$B$5:$B$67,0))</f>
        <v>4410</v>
      </c>
      <c r="E1216" s="25">
        <f t="array" ref="E1216">INDEX(D$5:D$67,MATCH($B1216,$B$5:$B$67,0))</f>
        <v>352.8</v>
      </c>
      <c r="F1216" s="25">
        <f t="array" ref="F1216">INDEX(E$5:E$67,MATCH($B1216,$B$5:$B$67,0))</f>
        <v>1151</v>
      </c>
      <c r="G1216" s="25">
        <f t="array" ref="G1216">INDEX(F$5:F$67,MATCH($B1216,$B$5:$B$67,0))</f>
        <v>92.08</v>
      </c>
      <c r="H1216" s="25">
        <f t="array" ref="H1216">INDEX(G$5:G$66,MATCH($B1216,$B$5:$B$67,0))</f>
        <v>894</v>
      </c>
      <c r="I1216" s="25">
        <f t="array" ref="I1216">INDEX(H$5:H$67,MATCH($B1216,$B$5:$B$67,0))</f>
        <v>71.52</v>
      </c>
      <c r="J1216" s="25">
        <f t="array" ref="J1216">INDEX(I$5:I$67,MATCH($B1216,$B$5:$B$67,0))</f>
        <v>760</v>
      </c>
      <c r="K1216" s="25">
        <f t="array" ref="K1216">INDEX(J$5:J$67,MATCH($B1216,$B$5:$B$67,0))</f>
        <v>60.8</v>
      </c>
      <c r="L1216" s="25">
        <f t="shared" si="644"/>
        <v>24872</v>
      </c>
      <c r="M1216" s="25">
        <f t="shared" si="645"/>
        <v>6492</v>
      </c>
      <c r="N1216" s="25">
        <f t="shared" si="646"/>
        <v>5042</v>
      </c>
      <c r="O1216" s="25">
        <f t="shared" si="647"/>
        <v>4286</v>
      </c>
      <c r="R1216" s="50"/>
      <c r="S1216" s="51"/>
      <c r="T1216" s="29"/>
    </row>
    <row r="1217" spans="1:20">
      <c r="A1217" s="48">
        <v>1021059</v>
      </c>
      <c r="B1217" s="49" t="s">
        <v>353</v>
      </c>
      <c r="C1217" s="25">
        <f t="shared" si="643"/>
        <v>59</v>
      </c>
      <c r="D1217" s="25">
        <f t="array" ref="D1217">INDEX(C$5:C$67,MATCH($B1217,$B$5:$B$67,0))</f>
        <v>4410</v>
      </c>
      <c r="E1217" s="25">
        <f t="array" ref="E1217">INDEX(D$5:D$67,MATCH($B1217,$B$5:$B$67,0))</f>
        <v>352.8</v>
      </c>
      <c r="F1217" s="25">
        <f t="array" ref="F1217">INDEX(E$5:E$67,MATCH($B1217,$B$5:$B$67,0))</f>
        <v>1151</v>
      </c>
      <c r="G1217" s="25">
        <f t="array" ref="G1217">INDEX(F$5:F$67,MATCH($B1217,$B$5:$B$67,0))</f>
        <v>92.08</v>
      </c>
      <c r="H1217" s="25">
        <f t="array" ref="H1217">INDEX(G$5:G$66,MATCH($B1217,$B$5:$B$67,0))</f>
        <v>894</v>
      </c>
      <c r="I1217" s="25">
        <f t="array" ref="I1217">INDEX(H$5:H$67,MATCH($B1217,$B$5:$B$67,0))</f>
        <v>71.52</v>
      </c>
      <c r="J1217" s="25">
        <f t="array" ref="J1217">INDEX(I$5:I$67,MATCH($B1217,$B$5:$B$67,0))</f>
        <v>760</v>
      </c>
      <c r="K1217" s="25">
        <f t="array" ref="K1217">INDEX(J$5:J$67,MATCH($B1217,$B$5:$B$67,0))</f>
        <v>60.8</v>
      </c>
      <c r="L1217" s="25">
        <f t="shared" si="644"/>
        <v>25225</v>
      </c>
      <c r="M1217" s="25">
        <f t="shared" si="645"/>
        <v>6584</v>
      </c>
      <c r="N1217" s="25">
        <f t="shared" si="646"/>
        <v>5114</v>
      </c>
      <c r="O1217" s="25">
        <f t="shared" si="647"/>
        <v>4347</v>
      </c>
      <c r="R1217" s="50"/>
      <c r="S1217" s="51"/>
      <c r="T1217" s="29"/>
    </row>
    <row r="1218" spans="1:20">
      <c r="A1218" s="48">
        <v>1021060</v>
      </c>
      <c r="B1218" s="49" t="s">
        <v>353</v>
      </c>
      <c r="C1218" s="25">
        <f t="shared" si="643"/>
        <v>60</v>
      </c>
      <c r="D1218" s="25">
        <f t="array" ref="D1218">INDEX(C$5:C$67,MATCH($B1218,$B$5:$B$67,0))</f>
        <v>4410</v>
      </c>
      <c r="E1218" s="25">
        <f t="array" ref="E1218">INDEX(D$5:D$67,MATCH($B1218,$B$5:$B$67,0))</f>
        <v>352.8</v>
      </c>
      <c r="F1218" s="25">
        <f t="array" ref="F1218">INDEX(E$5:E$67,MATCH($B1218,$B$5:$B$67,0))</f>
        <v>1151</v>
      </c>
      <c r="G1218" s="25">
        <f t="array" ref="G1218">INDEX(F$5:F$67,MATCH($B1218,$B$5:$B$67,0))</f>
        <v>92.08</v>
      </c>
      <c r="H1218" s="25">
        <f t="array" ref="H1218">INDEX(G$5:G$66,MATCH($B1218,$B$5:$B$67,0))</f>
        <v>894</v>
      </c>
      <c r="I1218" s="25">
        <f t="array" ref="I1218">INDEX(H$5:H$67,MATCH($B1218,$B$5:$B$67,0))</f>
        <v>71.52</v>
      </c>
      <c r="J1218" s="25">
        <f t="array" ref="J1218">INDEX(I$5:I$67,MATCH($B1218,$B$5:$B$67,0))</f>
        <v>760</v>
      </c>
      <c r="K1218" s="25">
        <f t="array" ref="K1218">INDEX(J$5:J$67,MATCH($B1218,$B$5:$B$67,0))</f>
        <v>60.8</v>
      </c>
      <c r="L1218" s="25">
        <f t="shared" si="644"/>
        <v>25578</v>
      </c>
      <c r="M1218" s="25">
        <f t="shared" si="645"/>
        <v>6676</v>
      </c>
      <c r="N1218" s="25">
        <f t="shared" si="646"/>
        <v>5185</v>
      </c>
      <c r="O1218" s="25">
        <f t="shared" si="647"/>
        <v>4408</v>
      </c>
      <c r="R1218" s="50"/>
      <c r="S1218" s="51"/>
      <c r="T1218" s="29"/>
    </row>
    <row r="1219" spans="1:20">
      <c r="A1219" s="48">
        <v>1023001</v>
      </c>
      <c r="B1219" s="49" t="s">
        <v>354</v>
      </c>
      <c r="C1219" s="25">
        <f t="shared" si="643"/>
        <v>1</v>
      </c>
      <c r="D1219" s="25">
        <f t="array" ref="D1219">INDEX(C$5:C$67,MATCH($B1219,$B$5:$B$67,0))</f>
        <v>4400</v>
      </c>
      <c r="E1219" s="25">
        <f t="array" ref="E1219">INDEX(D$5:D$67,MATCH($B1219,$B$5:$B$67,0))</f>
        <v>352</v>
      </c>
      <c r="F1219" s="25">
        <f t="array" ref="F1219">INDEX(E$5:E$67,MATCH($B1219,$B$5:$B$67,0))</f>
        <v>972</v>
      </c>
      <c r="G1219" s="25">
        <f t="array" ref="G1219">INDEX(F$5:F$67,MATCH($B1219,$B$5:$B$67,0))</f>
        <v>77.76</v>
      </c>
      <c r="H1219" s="25">
        <f t="array" ref="H1219">INDEX(G$5:G$66,MATCH($B1219,$B$5:$B$67,0))</f>
        <v>778</v>
      </c>
      <c r="I1219" s="25">
        <f t="array" ref="I1219">INDEX(H$5:H$67,MATCH($B1219,$B$5:$B$67,0))</f>
        <v>62.24</v>
      </c>
      <c r="J1219" s="25">
        <f t="array" ref="J1219">INDEX(I$5:I$67,MATCH($B1219,$B$5:$B$67,0))</f>
        <v>924</v>
      </c>
      <c r="K1219" s="25">
        <f t="array" ref="K1219">INDEX(J$5:J$67,MATCH($B1219,$B$5:$B$67,0))</f>
        <v>73.92</v>
      </c>
      <c r="L1219" s="25">
        <f t="shared" si="644"/>
        <v>4752</v>
      </c>
      <c r="M1219" s="25">
        <f t="shared" si="645"/>
        <v>1050</v>
      </c>
      <c r="N1219" s="25">
        <f t="shared" si="646"/>
        <v>840</v>
      </c>
      <c r="O1219" s="25">
        <f t="shared" si="647"/>
        <v>998</v>
      </c>
      <c r="R1219" s="50"/>
      <c r="S1219" s="51"/>
      <c r="T1219" s="29"/>
    </row>
    <row r="1220" spans="1:20">
      <c r="A1220" s="48">
        <v>1023002</v>
      </c>
      <c r="B1220" s="49" t="s">
        <v>354</v>
      </c>
      <c r="C1220" s="25">
        <f t="shared" si="643"/>
        <v>2</v>
      </c>
      <c r="D1220" s="25">
        <f t="array" ref="D1220">INDEX(C$5:C$67,MATCH($B1220,$B$5:$B$67,0))</f>
        <v>4400</v>
      </c>
      <c r="E1220" s="25">
        <f t="array" ref="E1220">INDEX(D$5:D$67,MATCH($B1220,$B$5:$B$67,0))</f>
        <v>352</v>
      </c>
      <c r="F1220" s="25">
        <f t="array" ref="F1220">INDEX(E$5:E$67,MATCH($B1220,$B$5:$B$67,0))</f>
        <v>972</v>
      </c>
      <c r="G1220" s="25">
        <f t="array" ref="G1220">INDEX(F$5:F$67,MATCH($B1220,$B$5:$B$67,0))</f>
        <v>77.76</v>
      </c>
      <c r="H1220" s="25">
        <f t="array" ref="H1220">INDEX(G$5:G$66,MATCH($B1220,$B$5:$B$67,0))</f>
        <v>778</v>
      </c>
      <c r="I1220" s="25">
        <f t="array" ref="I1220">INDEX(H$5:H$67,MATCH($B1220,$B$5:$B$67,0))</f>
        <v>62.24</v>
      </c>
      <c r="J1220" s="25">
        <f t="array" ref="J1220">INDEX(I$5:I$67,MATCH($B1220,$B$5:$B$67,0))</f>
        <v>924</v>
      </c>
      <c r="K1220" s="25">
        <f t="array" ref="K1220">INDEX(J$5:J$67,MATCH($B1220,$B$5:$B$67,0))</f>
        <v>73.92</v>
      </c>
      <c r="L1220" s="25">
        <f t="shared" si="644"/>
        <v>5104</v>
      </c>
      <c r="M1220" s="25">
        <f t="shared" si="645"/>
        <v>1128</v>
      </c>
      <c r="N1220" s="25">
        <f t="shared" si="646"/>
        <v>902</v>
      </c>
      <c r="O1220" s="25">
        <f t="shared" si="647"/>
        <v>1072</v>
      </c>
      <c r="R1220" s="50"/>
      <c r="S1220" s="51"/>
      <c r="T1220" s="29"/>
    </row>
    <row r="1221" spans="1:20">
      <c r="A1221" s="48">
        <v>1023003</v>
      </c>
      <c r="B1221" s="49" t="s">
        <v>354</v>
      </c>
      <c r="C1221" s="25">
        <f t="shared" si="643"/>
        <v>3</v>
      </c>
      <c r="D1221" s="25">
        <f t="array" ref="D1221">INDEX(C$5:C$67,MATCH($B1221,$B$5:$B$67,0))</f>
        <v>4400</v>
      </c>
      <c r="E1221" s="25">
        <f t="array" ref="E1221">INDEX(D$5:D$67,MATCH($B1221,$B$5:$B$67,0))</f>
        <v>352</v>
      </c>
      <c r="F1221" s="25">
        <f t="array" ref="F1221">INDEX(E$5:E$67,MATCH($B1221,$B$5:$B$67,0))</f>
        <v>972</v>
      </c>
      <c r="G1221" s="25">
        <f t="array" ref="G1221">INDEX(F$5:F$67,MATCH($B1221,$B$5:$B$67,0))</f>
        <v>77.76</v>
      </c>
      <c r="H1221" s="25">
        <f t="array" ref="H1221">INDEX(G$5:G$66,MATCH($B1221,$B$5:$B$67,0))</f>
        <v>778</v>
      </c>
      <c r="I1221" s="25">
        <f t="array" ref="I1221">INDEX(H$5:H$67,MATCH($B1221,$B$5:$B$67,0))</f>
        <v>62.24</v>
      </c>
      <c r="J1221" s="25">
        <f t="array" ref="J1221">INDEX(I$5:I$67,MATCH($B1221,$B$5:$B$67,0))</f>
        <v>924</v>
      </c>
      <c r="K1221" s="25">
        <f t="array" ref="K1221">INDEX(J$5:J$67,MATCH($B1221,$B$5:$B$67,0))</f>
        <v>73.92</v>
      </c>
      <c r="L1221" s="25">
        <f t="shared" si="644"/>
        <v>5456</v>
      </c>
      <c r="M1221" s="25">
        <f t="shared" si="645"/>
        <v>1205</v>
      </c>
      <c r="N1221" s="25">
        <f t="shared" si="646"/>
        <v>965</v>
      </c>
      <c r="O1221" s="25">
        <f t="shared" si="647"/>
        <v>1146</v>
      </c>
      <c r="R1221" s="50"/>
      <c r="S1221" s="51"/>
      <c r="T1221" s="29"/>
    </row>
    <row r="1222" spans="1:20">
      <c r="A1222" s="48">
        <v>1023004</v>
      </c>
      <c r="B1222" s="49" t="s">
        <v>354</v>
      </c>
      <c r="C1222" s="25">
        <f t="shared" si="643"/>
        <v>4</v>
      </c>
      <c r="D1222" s="25">
        <f t="array" ref="D1222">INDEX(C$5:C$67,MATCH($B1222,$B$5:$B$67,0))</f>
        <v>4400</v>
      </c>
      <c r="E1222" s="25">
        <f t="array" ref="E1222">INDEX(D$5:D$67,MATCH($B1222,$B$5:$B$67,0))</f>
        <v>352</v>
      </c>
      <c r="F1222" s="25">
        <f t="array" ref="F1222">INDEX(E$5:E$67,MATCH($B1222,$B$5:$B$67,0))</f>
        <v>972</v>
      </c>
      <c r="G1222" s="25">
        <f t="array" ref="G1222">INDEX(F$5:F$67,MATCH($B1222,$B$5:$B$67,0))</f>
        <v>77.76</v>
      </c>
      <c r="H1222" s="25">
        <f t="array" ref="H1222">INDEX(G$5:G$66,MATCH($B1222,$B$5:$B$67,0))</f>
        <v>778</v>
      </c>
      <c r="I1222" s="25">
        <f t="array" ref="I1222">INDEX(H$5:H$67,MATCH($B1222,$B$5:$B$67,0))</f>
        <v>62.24</v>
      </c>
      <c r="J1222" s="25">
        <f t="array" ref="J1222">INDEX(I$5:I$67,MATCH($B1222,$B$5:$B$67,0))</f>
        <v>924</v>
      </c>
      <c r="K1222" s="25">
        <f t="array" ref="K1222">INDEX(J$5:J$67,MATCH($B1222,$B$5:$B$67,0))</f>
        <v>73.92</v>
      </c>
      <c r="L1222" s="25">
        <f t="shared" si="644"/>
        <v>5808</v>
      </c>
      <c r="M1222" s="25">
        <f t="shared" si="645"/>
        <v>1283</v>
      </c>
      <c r="N1222" s="25">
        <f t="shared" si="646"/>
        <v>1027</v>
      </c>
      <c r="O1222" s="25">
        <f t="shared" si="647"/>
        <v>1220</v>
      </c>
      <c r="R1222" s="50"/>
      <c r="S1222" s="51"/>
      <c r="T1222" s="29"/>
    </row>
    <row r="1223" spans="1:20">
      <c r="A1223" s="48">
        <v>1023005</v>
      </c>
      <c r="B1223" s="49" t="s">
        <v>354</v>
      </c>
      <c r="C1223" s="25">
        <f t="shared" si="643"/>
        <v>5</v>
      </c>
      <c r="D1223" s="25">
        <f t="array" ref="D1223">INDEX(C$5:C$67,MATCH($B1223,$B$5:$B$67,0))</f>
        <v>4400</v>
      </c>
      <c r="E1223" s="25">
        <f t="array" ref="E1223">INDEX(D$5:D$67,MATCH($B1223,$B$5:$B$67,0))</f>
        <v>352</v>
      </c>
      <c r="F1223" s="25">
        <f t="array" ref="F1223">INDEX(E$5:E$67,MATCH($B1223,$B$5:$B$67,0))</f>
        <v>972</v>
      </c>
      <c r="G1223" s="25">
        <f t="array" ref="G1223">INDEX(F$5:F$67,MATCH($B1223,$B$5:$B$67,0))</f>
        <v>77.76</v>
      </c>
      <c r="H1223" s="25">
        <f t="array" ref="H1223">INDEX(G$5:G$66,MATCH($B1223,$B$5:$B$67,0))</f>
        <v>778</v>
      </c>
      <c r="I1223" s="25">
        <f t="array" ref="I1223">INDEX(H$5:H$67,MATCH($B1223,$B$5:$B$67,0))</f>
        <v>62.24</v>
      </c>
      <c r="J1223" s="25">
        <f t="array" ref="J1223">INDEX(I$5:I$67,MATCH($B1223,$B$5:$B$67,0))</f>
        <v>924</v>
      </c>
      <c r="K1223" s="25">
        <f t="array" ref="K1223">INDEX(J$5:J$67,MATCH($B1223,$B$5:$B$67,0))</f>
        <v>73.92</v>
      </c>
      <c r="L1223" s="25">
        <f t="shared" si="644"/>
        <v>6160</v>
      </c>
      <c r="M1223" s="25">
        <f t="shared" si="645"/>
        <v>1361</v>
      </c>
      <c r="N1223" s="25">
        <f t="shared" si="646"/>
        <v>1089</v>
      </c>
      <c r="O1223" s="25">
        <f t="shared" si="647"/>
        <v>1294</v>
      </c>
      <c r="R1223" s="50"/>
      <c r="S1223" s="51"/>
      <c r="T1223" s="29"/>
    </row>
    <row r="1224" spans="1:20">
      <c r="A1224" s="48">
        <v>1023006</v>
      </c>
      <c r="B1224" s="49" t="s">
        <v>354</v>
      </c>
      <c r="C1224" s="25">
        <f t="shared" si="643"/>
        <v>6</v>
      </c>
      <c r="D1224" s="25">
        <f t="array" ref="D1224">INDEX(C$5:C$67,MATCH($B1224,$B$5:$B$67,0))</f>
        <v>4400</v>
      </c>
      <c r="E1224" s="25">
        <f t="array" ref="E1224">INDEX(D$5:D$67,MATCH($B1224,$B$5:$B$67,0))</f>
        <v>352</v>
      </c>
      <c r="F1224" s="25">
        <f t="array" ref="F1224">INDEX(E$5:E$67,MATCH($B1224,$B$5:$B$67,0))</f>
        <v>972</v>
      </c>
      <c r="G1224" s="25">
        <f t="array" ref="G1224">INDEX(F$5:F$67,MATCH($B1224,$B$5:$B$67,0))</f>
        <v>77.76</v>
      </c>
      <c r="H1224" s="25">
        <f t="array" ref="H1224">INDEX(G$5:G$66,MATCH($B1224,$B$5:$B$67,0))</f>
        <v>778</v>
      </c>
      <c r="I1224" s="25">
        <f t="array" ref="I1224">INDEX(H$5:H$67,MATCH($B1224,$B$5:$B$67,0))</f>
        <v>62.24</v>
      </c>
      <c r="J1224" s="25">
        <f t="array" ref="J1224">INDEX(I$5:I$67,MATCH($B1224,$B$5:$B$67,0))</f>
        <v>924</v>
      </c>
      <c r="K1224" s="25">
        <f t="array" ref="K1224">INDEX(J$5:J$67,MATCH($B1224,$B$5:$B$67,0))</f>
        <v>73.92</v>
      </c>
      <c r="L1224" s="25">
        <f t="shared" si="644"/>
        <v>6512</v>
      </c>
      <c r="M1224" s="25">
        <f t="shared" si="645"/>
        <v>1439</v>
      </c>
      <c r="N1224" s="25">
        <f t="shared" si="646"/>
        <v>1151</v>
      </c>
      <c r="O1224" s="25">
        <f t="shared" si="647"/>
        <v>1368</v>
      </c>
      <c r="R1224" s="50"/>
      <c r="S1224" s="51"/>
      <c r="T1224" s="29"/>
    </row>
    <row r="1225" spans="1:20">
      <c r="A1225" s="48">
        <v>1023007</v>
      </c>
      <c r="B1225" s="49" t="s">
        <v>354</v>
      </c>
      <c r="C1225" s="25">
        <f t="shared" si="643"/>
        <v>7</v>
      </c>
      <c r="D1225" s="25">
        <f t="array" ref="D1225">INDEX(C$5:C$67,MATCH($B1225,$B$5:$B$67,0))</f>
        <v>4400</v>
      </c>
      <c r="E1225" s="25">
        <f t="array" ref="E1225">INDEX(D$5:D$67,MATCH($B1225,$B$5:$B$67,0))</f>
        <v>352</v>
      </c>
      <c r="F1225" s="25">
        <f t="array" ref="F1225">INDEX(E$5:E$67,MATCH($B1225,$B$5:$B$67,0))</f>
        <v>972</v>
      </c>
      <c r="G1225" s="25">
        <f t="array" ref="G1225">INDEX(F$5:F$67,MATCH($B1225,$B$5:$B$67,0))</f>
        <v>77.76</v>
      </c>
      <c r="H1225" s="25">
        <f t="array" ref="H1225">INDEX(G$5:G$66,MATCH($B1225,$B$5:$B$67,0))</f>
        <v>778</v>
      </c>
      <c r="I1225" s="25">
        <f t="array" ref="I1225">INDEX(H$5:H$67,MATCH($B1225,$B$5:$B$67,0))</f>
        <v>62.24</v>
      </c>
      <c r="J1225" s="25">
        <f t="array" ref="J1225">INDEX(I$5:I$67,MATCH($B1225,$B$5:$B$67,0))</f>
        <v>924</v>
      </c>
      <c r="K1225" s="25">
        <f t="array" ref="K1225">INDEX(J$5:J$67,MATCH($B1225,$B$5:$B$67,0))</f>
        <v>73.92</v>
      </c>
      <c r="L1225" s="25">
        <f t="shared" si="644"/>
        <v>6864</v>
      </c>
      <c r="M1225" s="25">
        <f t="shared" si="645"/>
        <v>1516</v>
      </c>
      <c r="N1225" s="25">
        <f t="shared" si="646"/>
        <v>1214</v>
      </c>
      <c r="O1225" s="25">
        <f t="shared" si="647"/>
        <v>1441</v>
      </c>
      <c r="R1225" s="50"/>
      <c r="S1225" s="51"/>
      <c r="T1225" s="29"/>
    </row>
    <row r="1226" spans="1:20">
      <c r="A1226" s="48">
        <v>1023008</v>
      </c>
      <c r="B1226" s="49" t="s">
        <v>354</v>
      </c>
      <c r="C1226" s="25">
        <f t="shared" si="643"/>
        <v>8</v>
      </c>
      <c r="D1226" s="25">
        <f t="array" ref="D1226">INDEX(C$5:C$67,MATCH($B1226,$B$5:$B$67,0))</f>
        <v>4400</v>
      </c>
      <c r="E1226" s="25">
        <f t="array" ref="E1226">INDEX(D$5:D$67,MATCH($B1226,$B$5:$B$67,0))</f>
        <v>352</v>
      </c>
      <c r="F1226" s="25">
        <f t="array" ref="F1226">INDEX(E$5:E$67,MATCH($B1226,$B$5:$B$67,0))</f>
        <v>972</v>
      </c>
      <c r="G1226" s="25">
        <f t="array" ref="G1226">INDEX(F$5:F$67,MATCH($B1226,$B$5:$B$67,0))</f>
        <v>77.76</v>
      </c>
      <c r="H1226" s="25">
        <f t="array" ref="H1226">INDEX(G$5:G$66,MATCH($B1226,$B$5:$B$67,0))</f>
        <v>778</v>
      </c>
      <c r="I1226" s="25">
        <f t="array" ref="I1226">INDEX(H$5:H$67,MATCH($B1226,$B$5:$B$67,0))</f>
        <v>62.24</v>
      </c>
      <c r="J1226" s="25">
        <f t="array" ref="J1226">INDEX(I$5:I$67,MATCH($B1226,$B$5:$B$67,0))</f>
        <v>924</v>
      </c>
      <c r="K1226" s="25">
        <f t="array" ref="K1226">INDEX(J$5:J$67,MATCH($B1226,$B$5:$B$67,0))</f>
        <v>73.92</v>
      </c>
      <c r="L1226" s="25">
        <f t="shared" si="644"/>
        <v>7216</v>
      </c>
      <c r="M1226" s="25">
        <f t="shared" si="645"/>
        <v>1594</v>
      </c>
      <c r="N1226" s="25">
        <f t="shared" si="646"/>
        <v>1276</v>
      </c>
      <c r="O1226" s="25">
        <f t="shared" si="647"/>
        <v>1515</v>
      </c>
      <c r="R1226" s="50"/>
      <c r="S1226" s="51"/>
      <c r="T1226" s="29"/>
    </row>
    <row r="1227" spans="1:20">
      <c r="A1227" s="48">
        <v>1023009</v>
      </c>
      <c r="B1227" s="49" t="s">
        <v>354</v>
      </c>
      <c r="C1227" s="25">
        <f t="shared" ref="C1227:C1290" si="648">C1167</f>
        <v>9</v>
      </c>
      <c r="D1227" s="25">
        <f t="array" ref="D1227">INDEX(C$5:C$67,MATCH($B1227,$B$5:$B$67,0))</f>
        <v>4400</v>
      </c>
      <c r="E1227" s="25">
        <f t="array" ref="E1227">INDEX(D$5:D$67,MATCH($B1227,$B$5:$B$67,0))</f>
        <v>352</v>
      </c>
      <c r="F1227" s="25">
        <f t="array" ref="F1227">INDEX(E$5:E$67,MATCH($B1227,$B$5:$B$67,0))</f>
        <v>972</v>
      </c>
      <c r="G1227" s="25">
        <f t="array" ref="G1227">INDEX(F$5:F$67,MATCH($B1227,$B$5:$B$67,0))</f>
        <v>77.76</v>
      </c>
      <c r="H1227" s="25">
        <f t="array" ref="H1227">INDEX(G$5:G$66,MATCH($B1227,$B$5:$B$67,0))</f>
        <v>778</v>
      </c>
      <c r="I1227" s="25">
        <f t="array" ref="I1227">INDEX(H$5:H$67,MATCH($B1227,$B$5:$B$67,0))</f>
        <v>62.24</v>
      </c>
      <c r="J1227" s="25">
        <f t="array" ref="J1227">INDEX(I$5:I$67,MATCH($B1227,$B$5:$B$67,0))</f>
        <v>924</v>
      </c>
      <c r="K1227" s="25">
        <f t="array" ref="K1227">INDEX(J$5:J$67,MATCH($B1227,$B$5:$B$67,0))</f>
        <v>73.92</v>
      </c>
      <c r="L1227" s="25">
        <f t="shared" si="644"/>
        <v>7568</v>
      </c>
      <c r="M1227" s="25">
        <f t="shared" si="645"/>
        <v>1672</v>
      </c>
      <c r="N1227" s="25">
        <f t="shared" si="646"/>
        <v>1338</v>
      </c>
      <c r="O1227" s="25">
        <f t="shared" si="647"/>
        <v>1589</v>
      </c>
      <c r="R1227" s="50"/>
      <c r="S1227" s="51"/>
      <c r="T1227" s="29"/>
    </row>
    <row r="1228" spans="1:20">
      <c r="A1228" s="48">
        <v>1023010</v>
      </c>
      <c r="B1228" s="49" t="s">
        <v>354</v>
      </c>
      <c r="C1228" s="25">
        <f t="shared" si="648"/>
        <v>10</v>
      </c>
      <c r="D1228" s="25">
        <f t="array" ref="D1228">INDEX(C$5:C$67,MATCH($B1228,$B$5:$B$67,0))</f>
        <v>4400</v>
      </c>
      <c r="E1228" s="25">
        <f t="array" ref="E1228">INDEX(D$5:D$67,MATCH($B1228,$B$5:$B$67,0))</f>
        <v>352</v>
      </c>
      <c r="F1228" s="25">
        <f t="array" ref="F1228">INDEX(E$5:E$67,MATCH($B1228,$B$5:$B$67,0))</f>
        <v>972</v>
      </c>
      <c r="G1228" s="25">
        <f t="array" ref="G1228">INDEX(F$5:F$67,MATCH($B1228,$B$5:$B$67,0))</f>
        <v>77.76</v>
      </c>
      <c r="H1228" s="25">
        <f t="array" ref="H1228">INDEX(G$5:G$66,MATCH($B1228,$B$5:$B$67,0))</f>
        <v>778</v>
      </c>
      <c r="I1228" s="25">
        <f t="array" ref="I1228">INDEX(H$5:H$67,MATCH($B1228,$B$5:$B$67,0))</f>
        <v>62.24</v>
      </c>
      <c r="J1228" s="25">
        <f t="array" ref="J1228">INDEX(I$5:I$67,MATCH($B1228,$B$5:$B$67,0))</f>
        <v>924</v>
      </c>
      <c r="K1228" s="25">
        <f t="array" ref="K1228">INDEX(J$5:J$67,MATCH($B1228,$B$5:$B$67,0))</f>
        <v>73.92</v>
      </c>
      <c r="L1228" s="25">
        <f t="shared" si="644"/>
        <v>7920</v>
      </c>
      <c r="M1228" s="25">
        <f t="shared" si="645"/>
        <v>1750</v>
      </c>
      <c r="N1228" s="25">
        <f t="shared" si="646"/>
        <v>1400</v>
      </c>
      <c r="O1228" s="25">
        <f t="shared" si="647"/>
        <v>1663</v>
      </c>
      <c r="R1228" s="50"/>
      <c r="S1228" s="51"/>
      <c r="T1228" s="29"/>
    </row>
    <row r="1229" spans="1:20">
      <c r="A1229" s="48">
        <v>1023011</v>
      </c>
      <c r="B1229" s="49" t="s">
        <v>354</v>
      </c>
      <c r="C1229" s="25">
        <f t="shared" si="648"/>
        <v>11</v>
      </c>
      <c r="D1229" s="25">
        <f t="array" ref="D1229">INDEX(C$5:C$67,MATCH($B1229,$B$5:$B$67,0))</f>
        <v>4400</v>
      </c>
      <c r="E1229" s="25">
        <f t="array" ref="E1229">INDEX(D$5:D$67,MATCH($B1229,$B$5:$B$67,0))</f>
        <v>352</v>
      </c>
      <c r="F1229" s="25">
        <f t="array" ref="F1229">INDEX(E$5:E$67,MATCH($B1229,$B$5:$B$67,0))</f>
        <v>972</v>
      </c>
      <c r="G1229" s="25">
        <f t="array" ref="G1229">INDEX(F$5:F$67,MATCH($B1229,$B$5:$B$67,0))</f>
        <v>77.76</v>
      </c>
      <c r="H1229" s="25">
        <f t="array" ref="H1229">INDEX(G$5:G$66,MATCH($B1229,$B$5:$B$67,0))</f>
        <v>778</v>
      </c>
      <c r="I1229" s="25">
        <f t="array" ref="I1229">INDEX(H$5:H$67,MATCH($B1229,$B$5:$B$67,0))</f>
        <v>62.24</v>
      </c>
      <c r="J1229" s="25">
        <f t="array" ref="J1229">INDEX(I$5:I$67,MATCH($B1229,$B$5:$B$67,0))</f>
        <v>924</v>
      </c>
      <c r="K1229" s="25">
        <f t="array" ref="K1229">INDEX(J$5:J$67,MATCH($B1229,$B$5:$B$67,0))</f>
        <v>73.92</v>
      </c>
      <c r="L1229" s="25">
        <f t="shared" si="644"/>
        <v>8272</v>
      </c>
      <c r="M1229" s="25">
        <f t="shared" si="645"/>
        <v>1827</v>
      </c>
      <c r="N1229" s="25">
        <f t="shared" si="646"/>
        <v>1463</v>
      </c>
      <c r="O1229" s="25">
        <f t="shared" si="647"/>
        <v>1737</v>
      </c>
      <c r="R1229" s="50"/>
      <c r="S1229" s="51"/>
      <c r="T1229" s="29"/>
    </row>
    <row r="1230" spans="1:20">
      <c r="A1230" s="48">
        <v>1023012</v>
      </c>
      <c r="B1230" s="49" t="s">
        <v>354</v>
      </c>
      <c r="C1230" s="25">
        <f t="shared" si="648"/>
        <v>12</v>
      </c>
      <c r="D1230" s="25">
        <f t="array" ref="D1230">INDEX(C$5:C$67,MATCH($B1230,$B$5:$B$67,0))</f>
        <v>4400</v>
      </c>
      <c r="E1230" s="25">
        <f t="array" ref="E1230">INDEX(D$5:D$67,MATCH($B1230,$B$5:$B$67,0))</f>
        <v>352</v>
      </c>
      <c r="F1230" s="25">
        <f t="array" ref="F1230">INDEX(E$5:E$67,MATCH($B1230,$B$5:$B$67,0))</f>
        <v>972</v>
      </c>
      <c r="G1230" s="25">
        <f t="array" ref="G1230">INDEX(F$5:F$67,MATCH($B1230,$B$5:$B$67,0))</f>
        <v>77.76</v>
      </c>
      <c r="H1230" s="25">
        <f t="array" ref="H1230">INDEX(G$5:G$66,MATCH($B1230,$B$5:$B$67,0))</f>
        <v>778</v>
      </c>
      <c r="I1230" s="25">
        <f t="array" ref="I1230">INDEX(H$5:H$67,MATCH($B1230,$B$5:$B$67,0))</f>
        <v>62.24</v>
      </c>
      <c r="J1230" s="25">
        <f t="array" ref="J1230">INDEX(I$5:I$67,MATCH($B1230,$B$5:$B$67,0))</f>
        <v>924</v>
      </c>
      <c r="K1230" s="25">
        <f t="array" ref="K1230">INDEX(J$5:J$67,MATCH($B1230,$B$5:$B$67,0))</f>
        <v>73.92</v>
      </c>
      <c r="L1230" s="25">
        <f t="shared" si="644"/>
        <v>8624</v>
      </c>
      <c r="M1230" s="25">
        <f t="shared" si="645"/>
        <v>1905</v>
      </c>
      <c r="N1230" s="25">
        <f t="shared" si="646"/>
        <v>1525</v>
      </c>
      <c r="O1230" s="25">
        <f t="shared" si="647"/>
        <v>1811</v>
      </c>
      <c r="R1230" s="50"/>
      <c r="S1230" s="51"/>
      <c r="T1230" s="29"/>
    </row>
    <row r="1231" spans="1:20">
      <c r="A1231" s="48">
        <v>1023013</v>
      </c>
      <c r="B1231" s="49" t="s">
        <v>354</v>
      </c>
      <c r="C1231" s="25">
        <f t="shared" si="648"/>
        <v>13</v>
      </c>
      <c r="D1231" s="25">
        <f t="array" ref="D1231">INDEX(C$5:C$67,MATCH($B1231,$B$5:$B$67,0))</f>
        <v>4400</v>
      </c>
      <c r="E1231" s="25">
        <f t="array" ref="E1231">INDEX(D$5:D$67,MATCH($B1231,$B$5:$B$67,0))</f>
        <v>352</v>
      </c>
      <c r="F1231" s="25">
        <f t="array" ref="F1231">INDEX(E$5:E$67,MATCH($B1231,$B$5:$B$67,0))</f>
        <v>972</v>
      </c>
      <c r="G1231" s="25">
        <f t="array" ref="G1231">INDEX(F$5:F$67,MATCH($B1231,$B$5:$B$67,0))</f>
        <v>77.76</v>
      </c>
      <c r="H1231" s="25">
        <f t="array" ref="H1231">INDEX(G$5:G$66,MATCH($B1231,$B$5:$B$67,0))</f>
        <v>778</v>
      </c>
      <c r="I1231" s="25">
        <f t="array" ref="I1231">INDEX(H$5:H$67,MATCH($B1231,$B$5:$B$67,0))</f>
        <v>62.24</v>
      </c>
      <c r="J1231" s="25">
        <f t="array" ref="J1231">INDEX(I$5:I$67,MATCH($B1231,$B$5:$B$67,0))</f>
        <v>924</v>
      </c>
      <c r="K1231" s="25">
        <f t="array" ref="K1231">INDEX(J$5:J$67,MATCH($B1231,$B$5:$B$67,0))</f>
        <v>73.92</v>
      </c>
      <c r="L1231" s="25">
        <f t="shared" ref="L1231:L1294" si="649">ROUND(D1231+E1231*$C1231,0)</f>
        <v>8976</v>
      </c>
      <c r="M1231" s="25">
        <f t="shared" ref="M1231:M1294" si="650">ROUND(F1231+G1231*$C1231,0)</f>
        <v>1983</v>
      </c>
      <c r="N1231" s="25">
        <f t="shared" ref="N1231:N1294" si="651">ROUND(H1231+I1231*$C1231,0)</f>
        <v>1587</v>
      </c>
      <c r="O1231" s="25">
        <f t="shared" ref="O1231:O1294" si="652">ROUND(J1231+K1231*$C1231,0)</f>
        <v>1885</v>
      </c>
      <c r="R1231" s="50"/>
      <c r="S1231" s="51"/>
      <c r="T1231" s="29"/>
    </row>
    <row r="1232" spans="1:20">
      <c r="A1232" s="48">
        <v>1023014</v>
      </c>
      <c r="B1232" s="49" t="s">
        <v>354</v>
      </c>
      <c r="C1232" s="25">
        <f t="shared" si="648"/>
        <v>14</v>
      </c>
      <c r="D1232" s="25">
        <f t="array" ref="D1232">INDEX(C$5:C$67,MATCH($B1232,$B$5:$B$67,0))</f>
        <v>4400</v>
      </c>
      <c r="E1232" s="25">
        <f t="array" ref="E1232">INDEX(D$5:D$67,MATCH($B1232,$B$5:$B$67,0))</f>
        <v>352</v>
      </c>
      <c r="F1232" s="25">
        <f t="array" ref="F1232">INDEX(E$5:E$67,MATCH($B1232,$B$5:$B$67,0))</f>
        <v>972</v>
      </c>
      <c r="G1232" s="25">
        <f t="array" ref="G1232">INDEX(F$5:F$67,MATCH($B1232,$B$5:$B$67,0))</f>
        <v>77.76</v>
      </c>
      <c r="H1232" s="25">
        <f t="array" ref="H1232">INDEX(G$5:G$66,MATCH($B1232,$B$5:$B$67,0))</f>
        <v>778</v>
      </c>
      <c r="I1232" s="25">
        <f t="array" ref="I1232">INDEX(H$5:H$67,MATCH($B1232,$B$5:$B$67,0))</f>
        <v>62.24</v>
      </c>
      <c r="J1232" s="25">
        <f t="array" ref="J1232">INDEX(I$5:I$67,MATCH($B1232,$B$5:$B$67,0))</f>
        <v>924</v>
      </c>
      <c r="K1232" s="25">
        <f t="array" ref="K1232">INDEX(J$5:J$67,MATCH($B1232,$B$5:$B$67,0))</f>
        <v>73.92</v>
      </c>
      <c r="L1232" s="25">
        <f t="shared" si="649"/>
        <v>9328</v>
      </c>
      <c r="M1232" s="25">
        <f t="shared" si="650"/>
        <v>2061</v>
      </c>
      <c r="N1232" s="25">
        <f t="shared" si="651"/>
        <v>1649</v>
      </c>
      <c r="O1232" s="25">
        <f t="shared" si="652"/>
        <v>1959</v>
      </c>
      <c r="R1232" s="50"/>
      <c r="S1232" s="51"/>
      <c r="T1232" s="29"/>
    </row>
    <row r="1233" spans="1:20">
      <c r="A1233" s="48">
        <v>1023015</v>
      </c>
      <c r="B1233" s="49" t="s">
        <v>354</v>
      </c>
      <c r="C1233" s="25">
        <f t="shared" si="648"/>
        <v>15</v>
      </c>
      <c r="D1233" s="25">
        <f t="array" ref="D1233">INDEX(C$5:C$67,MATCH($B1233,$B$5:$B$67,0))</f>
        <v>4400</v>
      </c>
      <c r="E1233" s="25">
        <f t="array" ref="E1233">INDEX(D$5:D$67,MATCH($B1233,$B$5:$B$67,0))</f>
        <v>352</v>
      </c>
      <c r="F1233" s="25">
        <f t="array" ref="F1233">INDEX(E$5:E$67,MATCH($B1233,$B$5:$B$67,0))</f>
        <v>972</v>
      </c>
      <c r="G1233" s="25">
        <f t="array" ref="G1233">INDEX(F$5:F$67,MATCH($B1233,$B$5:$B$67,0))</f>
        <v>77.76</v>
      </c>
      <c r="H1233" s="25">
        <f t="array" ref="H1233">INDEX(G$5:G$66,MATCH($B1233,$B$5:$B$67,0))</f>
        <v>778</v>
      </c>
      <c r="I1233" s="25">
        <f t="array" ref="I1233">INDEX(H$5:H$67,MATCH($B1233,$B$5:$B$67,0))</f>
        <v>62.24</v>
      </c>
      <c r="J1233" s="25">
        <f t="array" ref="J1233">INDEX(I$5:I$67,MATCH($B1233,$B$5:$B$67,0))</f>
        <v>924</v>
      </c>
      <c r="K1233" s="25">
        <f t="array" ref="K1233">INDEX(J$5:J$67,MATCH($B1233,$B$5:$B$67,0))</f>
        <v>73.92</v>
      </c>
      <c r="L1233" s="25">
        <f t="shared" si="649"/>
        <v>9680</v>
      </c>
      <c r="M1233" s="25">
        <f t="shared" si="650"/>
        <v>2138</v>
      </c>
      <c r="N1233" s="25">
        <f t="shared" si="651"/>
        <v>1712</v>
      </c>
      <c r="O1233" s="25">
        <f t="shared" si="652"/>
        <v>2033</v>
      </c>
      <c r="R1233" s="50"/>
      <c r="S1233" s="51"/>
      <c r="T1233" s="29"/>
    </row>
    <row r="1234" spans="1:20">
      <c r="A1234" s="48">
        <v>1023016</v>
      </c>
      <c r="B1234" s="49" t="s">
        <v>354</v>
      </c>
      <c r="C1234" s="25">
        <f t="shared" si="648"/>
        <v>16</v>
      </c>
      <c r="D1234" s="25">
        <f t="array" ref="D1234">INDEX(C$5:C$67,MATCH($B1234,$B$5:$B$67,0))</f>
        <v>4400</v>
      </c>
      <c r="E1234" s="25">
        <f t="array" ref="E1234">INDEX(D$5:D$67,MATCH($B1234,$B$5:$B$67,0))</f>
        <v>352</v>
      </c>
      <c r="F1234" s="25">
        <f t="array" ref="F1234">INDEX(E$5:E$67,MATCH($B1234,$B$5:$B$67,0))</f>
        <v>972</v>
      </c>
      <c r="G1234" s="25">
        <f t="array" ref="G1234">INDEX(F$5:F$67,MATCH($B1234,$B$5:$B$67,0))</f>
        <v>77.76</v>
      </c>
      <c r="H1234" s="25">
        <f t="array" ref="H1234">INDEX(G$5:G$66,MATCH($B1234,$B$5:$B$67,0))</f>
        <v>778</v>
      </c>
      <c r="I1234" s="25">
        <f t="array" ref="I1234">INDEX(H$5:H$67,MATCH($B1234,$B$5:$B$67,0))</f>
        <v>62.24</v>
      </c>
      <c r="J1234" s="25">
        <f t="array" ref="J1234">INDEX(I$5:I$67,MATCH($B1234,$B$5:$B$67,0))</f>
        <v>924</v>
      </c>
      <c r="K1234" s="25">
        <f t="array" ref="K1234">INDEX(J$5:J$67,MATCH($B1234,$B$5:$B$67,0))</f>
        <v>73.92</v>
      </c>
      <c r="L1234" s="25">
        <f t="shared" si="649"/>
        <v>10032</v>
      </c>
      <c r="M1234" s="25">
        <f t="shared" si="650"/>
        <v>2216</v>
      </c>
      <c r="N1234" s="25">
        <f t="shared" si="651"/>
        <v>1774</v>
      </c>
      <c r="O1234" s="25">
        <f t="shared" si="652"/>
        <v>2107</v>
      </c>
      <c r="R1234" s="50"/>
      <c r="S1234" s="51"/>
      <c r="T1234" s="29"/>
    </row>
    <row r="1235" spans="1:20">
      <c r="A1235" s="48">
        <v>1023017</v>
      </c>
      <c r="B1235" s="49" t="s">
        <v>354</v>
      </c>
      <c r="C1235" s="25">
        <f t="shared" si="648"/>
        <v>17</v>
      </c>
      <c r="D1235" s="25">
        <f t="array" ref="D1235">INDEX(C$5:C$67,MATCH($B1235,$B$5:$B$67,0))</f>
        <v>4400</v>
      </c>
      <c r="E1235" s="25">
        <f t="array" ref="E1235">INDEX(D$5:D$67,MATCH($B1235,$B$5:$B$67,0))</f>
        <v>352</v>
      </c>
      <c r="F1235" s="25">
        <f t="array" ref="F1235">INDEX(E$5:E$67,MATCH($B1235,$B$5:$B$67,0))</f>
        <v>972</v>
      </c>
      <c r="G1235" s="25">
        <f t="array" ref="G1235">INDEX(F$5:F$67,MATCH($B1235,$B$5:$B$67,0))</f>
        <v>77.76</v>
      </c>
      <c r="H1235" s="25">
        <f t="array" ref="H1235">INDEX(G$5:G$66,MATCH($B1235,$B$5:$B$67,0))</f>
        <v>778</v>
      </c>
      <c r="I1235" s="25">
        <f t="array" ref="I1235">INDEX(H$5:H$67,MATCH($B1235,$B$5:$B$67,0))</f>
        <v>62.24</v>
      </c>
      <c r="J1235" s="25">
        <f t="array" ref="J1235">INDEX(I$5:I$67,MATCH($B1235,$B$5:$B$67,0))</f>
        <v>924</v>
      </c>
      <c r="K1235" s="25">
        <f t="array" ref="K1235">INDEX(J$5:J$67,MATCH($B1235,$B$5:$B$67,0))</f>
        <v>73.92</v>
      </c>
      <c r="L1235" s="25">
        <f t="shared" si="649"/>
        <v>10384</v>
      </c>
      <c r="M1235" s="25">
        <f t="shared" si="650"/>
        <v>2294</v>
      </c>
      <c r="N1235" s="25">
        <f t="shared" si="651"/>
        <v>1836</v>
      </c>
      <c r="O1235" s="25">
        <f t="shared" si="652"/>
        <v>2181</v>
      </c>
      <c r="R1235" s="50"/>
      <c r="S1235" s="51"/>
      <c r="T1235" s="29"/>
    </row>
    <row r="1236" spans="1:20">
      <c r="A1236" s="48">
        <v>1023018</v>
      </c>
      <c r="B1236" s="49" t="s">
        <v>354</v>
      </c>
      <c r="C1236" s="25">
        <f t="shared" si="648"/>
        <v>18</v>
      </c>
      <c r="D1236" s="25">
        <f t="array" ref="D1236">INDEX(C$5:C$67,MATCH($B1236,$B$5:$B$67,0))</f>
        <v>4400</v>
      </c>
      <c r="E1236" s="25">
        <f t="array" ref="E1236">INDEX(D$5:D$67,MATCH($B1236,$B$5:$B$67,0))</f>
        <v>352</v>
      </c>
      <c r="F1236" s="25">
        <f t="array" ref="F1236">INDEX(E$5:E$67,MATCH($B1236,$B$5:$B$67,0))</f>
        <v>972</v>
      </c>
      <c r="G1236" s="25">
        <f t="array" ref="G1236">INDEX(F$5:F$67,MATCH($B1236,$B$5:$B$67,0))</f>
        <v>77.76</v>
      </c>
      <c r="H1236" s="25">
        <f t="array" ref="H1236">INDEX(G$5:G$66,MATCH($B1236,$B$5:$B$67,0))</f>
        <v>778</v>
      </c>
      <c r="I1236" s="25">
        <f t="array" ref="I1236">INDEX(H$5:H$67,MATCH($B1236,$B$5:$B$67,0))</f>
        <v>62.24</v>
      </c>
      <c r="J1236" s="25">
        <f t="array" ref="J1236">INDEX(I$5:I$67,MATCH($B1236,$B$5:$B$67,0))</f>
        <v>924</v>
      </c>
      <c r="K1236" s="25">
        <f t="array" ref="K1236">INDEX(J$5:J$67,MATCH($B1236,$B$5:$B$67,0))</f>
        <v>73.92</v>
      </c>
      <c r="L1236" s="25">
        <f t="shared" si="649"/>
        <v>10736</v>
      </c>
      <c r="M1236" s="25">
        <f t="shared" si="650"/>
        <v>2372</v>
      </c>
      <c r="N1236" s="25">
        <f t="shared" si="651"/>
        <v>1898</v>
      </c>
      <c r="O1236" s="25">
        <f t="shared" si="652"/>
        <v>2255</v>
      </c>
      <c r="R1236" s="50"/>
      <c r="S1236" s="51"/>
      <c r="T1236" s="29"/>
    </row>
    <row r="1237" spans="1:20">
      <c r="A1237" s="48">
        <v>1023019</v>
      </c>
      <c r="B1237" s="49" t="s">
        <v>354</v>
      </c>
      <c r="C1237" s="25">
        <f t="shared" si="648"/>
        <v>19</v>
      </c>
      <c r="D1237" s="25">
        <f t="array" ref="D1237">INDEX(C$5:C$67,MATCH($B1237,$B$5:$B$67,0))</f>
        <v>4400</v>
      </c>
      <c r="E1237" s="25">
        <f t="array" ref="E1237">INDEX(D$5:D$67,MATCH($B1237,$B$5:$B$67,0))</f>
        <v>352</v>
      </c>
      <c r="F1237" s="25">
        <f t="array" ref="F1237">INDEX(E$5:E$67,MATCH($B1237,$B$5:$B$67,0))</f>
        <v>972</v>
      </c>
      <c r="G1237" s="25">
        <f t="array" ref="G1237">INDEX(F$5:F$67,MATCH($B1237,$B$5:$B$67,0))</f>
        <v>77.76</v>
      </c>
      <c r="H1237" s="25">
        <f t="array" ref="H1237">INDEX(G$5:G$66,MATCH($B1237,$B$5:$B$67,0))</f>
        <v>778</v>
      </c>
      <c r="I1237" s="25">
        <f t="array" ref="I1237">INDEX(H$5:H$67,MATCH($B1237,$B$5:$B$67,0))</f>
        <v>62.24</v>
      </c>
      <c r="J1237" s="25">
        <f t="array" ref="J1237">INDEX(I$5:I$67,MATCH($B1237,$B$5:$B$67,0))</f>
        <v>924</v>
      </c>
      <c r="K1237" s="25">
        <f t="array" ref="K1237">INDEX(J$5:J$67,MATCH($B1237,$B$5:$B$67,0))</f>
        <v>73.92</v>
      </c>
      <c r="L1237" s="25">
        <f t="shared" si="649"/>
        <v>11088</v>
      </c>
      <c r="M1237" s="25">
        <f t="shared" si="650"/>
        <v>2449</v>
      </c>
      <c r="N1237" s="25">
        <f t="shared" si="651"/>
        <v>1961</v>
      </c>
      <c r="O1237" s="25">
        <f t="shared" si="652"/>
        <v>2328</v>
      </c>
      <c r="R1237" s="50"/>
      <c r="S1237" s="51"/>
      <c r="T1237" s="29"/>
    </row>
    <row r="1238" spans="1:20">
      <c r="A1238" s="48">
        <v>1023020</v>
      </c>
      <c r="B1238" s="49" t="s">
        <v>354</v>
      </c>
      <c r="C1238" s="25">
        <f t="shared" si="648"/>
        <v>20</v>
      </c>
      <c r="D1238" s="25">
        <f t="array" ref="D1238">INDEX(C$5:C$67,MATCH($B1238,$B$5:$B$67,0))</f>
        <v>4400</v>
      </c>
      <c r="E1238" s="25">
        <f t="array" ref="E1238">INDEX(D$5:D$67,MATCH($B1238,$B$5:$B$67,0))</f>
        <v>352</v>
      </c>
      <c r="F1238" s="25">
        <f t="array" ref="F1238">INDEX(E$5:E$67,MATCH($B1238,$B$5:$B$67,0))</f>
        <v>972</v>
      </c>
      <c r="G1238" s="25">
        <f t="array" ref="G1238">INDEX(F$5:F$67,MATCH($B1238,$B$5:$B$67,0))</f>
        <v>77.76</v>
      </c>
      <c r="H1238" s="25">
        <f t="array" ref="H1238">INDEX(G$5:G$66,MATCH($B1238,$B$5:$B$67,0))</f>
        <v>778</v>
      </c>
      <c r="I1238" s="25">
        <f t="array" ref="I1238">INDEX(H$5:H$67,MATCH($B1238,$B$5:$B$67,0))</f>
        <v>62.24</v>
      </c>
      <c r="J1238" s="25">
        <f t="array" ref="J1238">INDEX(I$5:I$67,MATCH($B1238,$B$5:$B$67,0))</f>
        <v>924</v>
      </c>
      <c r="K1238" s="25">
        <f t="array" ref="K1238">INDEX(J$5:J$67,MATCH($B1238,$B$5:$B$67,0))</f>
        <v>73.92</v>
      </c>
      <c r="L1238" s="25">
        <f t="shared" si="649"/>
        <v>11440</v>
      </c>
      <c r="M1238" s="25">
        <f t="shared" si="650"/>
        <v>2527</v>
      </c>
      <c r="N1238" s="25">
        <f t="shared" si="651"/>
        <v>2023</v>
      </c>
      <c r="O1238" s="25">
        <f t="shared" si="652"/>
        <v>2402</v>
      </c>
      <c r="R1238" s="50"/>
      <c r="S1238" s="51"/>
      <c r="T1238" s="29"/>
    </row>
    <row r="1239" spans="1:20">
      <c r="A1239" s="48">
        <v>1023021</v>
      </c>
      <c r="B1239" s="49" t="s">
        <v>354</v>
      </c>
      <c r="C1239" s="25">
        <f t="shared" si="648"/>
        <v>21</v>
      </c>
      <c r="D1239" s="25">
        <f t="array" ref="D1239">INDEX(C$5:C$67,MATCH($B1239,$B$5:$B$67,0))</f>
        <v>4400</v>
      </c>
      <c r="E1239" s="25">
        <f t="array" ref="E1239">INDEX(D$5:D$67,MATCH($B1239,$B$5:$B$67,0))</f>
        <v>352</v>
      </c>
      <c r="F1239" s="25">
        <f t="array" ref="F1239">INDEX(E$5:E$67,MATCH($B1239,$B$5:$B$67,0))</f>
        <v>972</v>
      </c>
      <c r="G1239" s="25">
        <f t="array" ref="G1239">INDEX(F$5:F$67,MATCH($B1239,$B$5:$B$67,0))</f>
        <v>77.76</v>
      </c>
      <c r="H1239" s="25">
        <f t="array" ref="H1239">INDEX(G$5:G$66,MATCH($B1239,$B$5:$B$67,0))</f>
        <v>778</v>
      </c>
      <c r="I1239" s="25">
        <f t="array" ref="I1239">INDEX(H$5:H$67,MATCH($B1239,$B$5:$B$67,0))</f>
        <v>62.24</v>
      </c>
      <c r="J1239" s="25">
        <f t="array" ref="J1239">INDEX(I$5:I$67,MATCH($B1239,$B$5:$B$67,0))</f>
        <v>924</v>
      </c>
      <c r="K1239" s="25">
        <f t="array" ref="K1239">INDEX(J$5:J$67,MATCH($B1239,$B$5:$B$67,0))</f>
        <v>73.92</v>
      </c>
      <c r="L1239" s="25">
        <f t="shared" si="649"/>
        <v>11792</v>
      </c>
      <c r="M1239" s="25">
        <f t="shared" si="650"/>
        <v>2605</v>
      </c>
      <c r="N1239" s="25">
        <f t="shared" si="651"/>
        <v>2085</v>
      </c>
      <c r="O1239" s="25">
        <f t="shared" si="652"/>
        <v>2476</v>
      </c>
      <c r="R1239" s="50"/>
      <c r="S1239" s="51"/>
      <c r="T1239" s="29"/>
    </row>
    <row r="1240" spans="1:20">
      <c r="A1240" s="48">
        <v>1023022</v>
      </c>
      <c r="B1240" s="49" t="s">
        <v>354</v>
      </c>
      <c r="C1240" s="25">
        <f t="shared" si="648"/>
        <v>22</v>
      </c>
      <c r="D1240" s="25">
        <f t="array" ref="D1240">INDEX(C$5:C$67,MATCH($B1240,$B$5:$B$67,0))</f>
        <v>4400</v>
      </c>
      <c r="E1240" s="25">
        <f t="array" ref="E1240">INDEX(D$5:D$67,MATCH($B1240,$B$5:$B$67,0))</f>
        <v>352</v>
      </c>
      <c r="F1240" s="25">
        <f t="array" ref="F1240">INDEX(E$5:E$67,MATCH($B1240,$B$5:$B$67,0))</f>
        <v>972</v>
      </c>
      <c r="G1240" s="25">
        <f t="array" ref="G1240">INDEX(F$5:F$67,MATCH($B1240,$B$5:$B$67,0))</f>
        <v>77.76</v>
      </c>
      <c r="H1240" s="25">
        <f t="array" ref="H1240">INDEX(G$5:G$66,MATCH($B1240,$B$5:$B$67,0))</f>
        <v>778</v>
      </c>
      <c r="I1240" s="25">
        <f t="array" ref="I1240">INDEX(H$5:H$67,MATCH($B1240,$B$5:$B$67,0))</f>
        <v>62.24</v>
      </c>
      <c r="J1240" s="25">
        <f t="array" ref="J1240">INDEX(I$5:I$67,MATCH($B1240,$B$5:$B$67,0))</f>
        <v>924</v>
      </c>
      <c r="K1240" s="25">
        <f t="array" ref="K1240">INDEX(J$5:J$67,MATCH($B1240,$B$5:$B$67,0))</f>
        <v>73.92</v>
      </c>
      <c r="L1240" s="25">
        <f t="shared" si="649"/>
        <v>12144</v>
      </c>
      <c r="M1240" s="25">
        <f t="shared" si="650"/>
        <v>2683</v>
      </c>
      <c r="N1240" s="25">
        <f t="shared" si="651"/>
        <v>2147</v>
      </c>
      <c r="O1240" s="25">
        <f t="shared" si="652"/>
        <v>2550</v>
      </c>
      <c r="R1240" s="50"/>
      <c r="S1240" s="51"/>
      <c r="T1240" s="29"/>
    </row>
    <row r="1241" spans="1:20">
      <c r="A1241" s="48">
        <v>1023023</v>
      </c>
      <c r="B1241" s="49" t="s">
        <v>354</v>
      </c>
      <c r="C1241" s="25">
        <f t="shared" si="648"/>
        <v>23</v>
      </c>
      <c r="D1241" s="25">
        <f t="array" ref="D1241">INDEX(C$5:C$67,MATCH($B1241,$B$5:$B$67,0))</f>
        <v>4400</v>
      </c>
      <c r="E1241" s="25">
        <f t="array" ref="E1241">INDEX(D$5:D$67,MATCH($B1241,$B$5:$B$67,0))</f>
        <v>352</v>
      </c>
      <c r="F1241" s="25">
        <f t="array" ref="F1241">INDEX(E$5:E$67,MATCH($B1241,$B$5:$B$67,0))</f>
        <v>972</v>
      </c>
      <c r="G1241" s="25">
        <f t="array" ref="G1241">INDEX(F$5:F$67,MATCH($B1241,$B$5:$B$67,0))</f>
        <v>77.76</v>
      </c>
      <c r="H1241" s="25">
        <f t="array" ref="H1241">INDEX(G$5:G$66,MATCH($B1241,$B$5:$B$67,0))</f>
        <v>778</v>
      </c>
      <c r="I1241" s="25">
        <f t="array" ref="I1241">INDEX(H$5:H$67,MATCH($B1241,$B$5:$B$67,0))</f>
        <v>62.24</v>
      </c>
      <c r="J1241" s="25">
        <f t="array" ref="J1241">INDEX(I$5:I$67,MATCH($B1241,$B$5:$B$67,0))</f>
        <v>924</v>
      </c>
      <c r="K1241" s="25">
        <f t="array" ref="K1241">INDEX(J$5:J$67,MATCH($B1241,$B$5:$B$67,0))</f>
        <v>73.92</v>
      </c>
      <c r="L1241" s="25">
        <f t="shared" si="649"/>
        <v>12496</v>
      </c>
      <c r="M1241" s="25">
        <f t="shared" si="650"/>
        <v>2760</v>
      </c>
      <c r="N1241" s="25">
        <f t="shared" si="651"/>
        <v>2210</v>
      </c>
      <c r="O1241" s="25">
        <f t="shared" si="652"/>
        <v>2624</v>
      </c>
      <c r="R1241" s="50"/>
      <c r="S1241" s="51"/>
      <c r="T1241" s="29"/>
    </row>
    <row r="1242" spans="1:20">
      <c r="A1242" s="48">
        <v>1023024</v>
      </c>
      <c r="B1242" s="49" t="s">
        <v>354</v>
      </c>
      <c r="C1242" s="25">
        <f t="shared" si="648"/>
        <v>24</v>
      </c>
      <c r="D1242" s="25">
        <f t="array" ref="D1242">INDEX(C$5:C$67,MATCH($B1242,$B$5:$B$67,0))</f>
        <v>4400</v>
      </c>
      <c r="E1242" s="25">
        <f t="array" ref="E1242">INDEX(D$5:D$67,MATCH($B1242,$B$5:$B$67,0))</f>
        <v>352</v>
      </c>
      <c r="F1242" s="25">
        <f t="array" ref="F1242">INDEX(E$5:E$67,MATCH($B1242,$B$5:$B$67,0))</f>
        <v>972</v>
      </c>
      <c r="G1242" s="25">
        <f t="array" ref="G1242">INDEX(F$5:F$67,MATCH($B1242,$B$5:$B$67,0))</f>
        <v>77.76</v>
      </c>
      <c r="H1242" s="25">
        <f t="array" ref="H1242">INDEX(G$5:G$66,MATCH($B1242,$B$5:$B$67,0))</f>
        <v>778</v>
      </c>
      <c r="I1242" s="25">
        <f t="array" ref="I1242">INDEX(H$5:H$67,MATCH($B1242,$B$5:$B$67,0))</f>
        <v>62.24</v>
      </c>
      <c r="J1242" s="25">
        <f t="array" ref="J1242">INDEX(I$5:I$67,MATCH($B1242,$B$5:$B$67,0))</f>
        <v>924</v>
      </c>
      <c r="K1242" s="25">
        <f t="array" ref="K1242">INDEX(J$5:J$67,MATCH($B1242,$B$5:$B$67,0))</f>
        <v>73.92</v>
      </c>
      <c r="L1242" s="25">
        <f t="shared" si="649"/>
        <v>12848</v>
      </c>
      <c r="M1242" s="25">
        <f t="shared" si="650"/>
        <v>2838</v>
      </c>
      <c r="N1242" s="25">
        <f t="shared" si="651"/>
        <v>2272</v>
      </c>
      <c r="O1242" s="25">
        <f t="shared" si="652"/>
        <v>2698</v>
      </c>
      <c r="R1242" s="50"/>
      <c r="S1242" s="51"/>
      <c r="T1242" s="29"/>
    </row>
    <row r="1243" spans="1:20">
      <c r="A1243" s="48">
        <v>1023025</v>
      </c>
      <c r="B1243" s="49" t="s">
        <v>354</v>
      </c>
      <c r="C1243" s="25">
        <f t="shared" si="648"/>
        <v>25</v>
      </c>
      <c r="D1243" s="25">
        <f t="array" ref="D1243">INDEX(C$5:C$67,MATCH($B1243,$B$5:$B$67,0))</f>
        <v>4400</v>
      </c>
      <c r="E1243" s="25">
        <f t="array" ref="E1243">INDEX(D$5:D$67,MATCH($B1243,$B$5:$B$67,0))</f>
        <v>352</v>
      </c>
      <c r="F1243" s="25">
        <f t="array" ref="F1243">INDEX(E$5:E$67,MATCH($B1243,$B$5:$B$67,0))</f>
        <v>972</v>
      </c>
      <c r="G1243" s="25">
        <f t="array" ref="G1243">INDEX(F$5:F$67,MATCH($B1243,$B$5:$B$67,0))</f>
        <v>77.76</v>
      </c>
      <c r="H1243" s="25">
        <f t="array" ref="H1243">INDEX(G$5:G$66,MATCH($B1243,$B$5:$B$67,0))</f>
        <v>778</v>
      </c>
      <c r="I1243" s="25">
        <f t="array" ref="I1243">INDEX(H$5:H$67,MATCH($B1243,$B$5:$B$67,0))</f>
        <v>62.24</v>
      </c>
      <c r="J1243" s="25">
        <f t="array" ref="J1243">INDEX(I$5:I$67,MATCH($B1243,$B$5:$B$67,0))</f>
        <v>924</v>
      </c>
      <c r="K1243" s="25">
        <f t="array" ref="K1243">INDEX(J$5:J$67,MATCH($B1243,$B$5:$B$67,0))</f>
        <v>73.92</v>
      </c>
      <c r="L1243" s="25">
        <f t="shared" si="649"/>
        <v>13200</v>
      </c>
      <c r="M1243" s="25">
        <f t="shared" si="650"/>
        <v>2916</v>
      </c>
      <c r="N1243" s="25">
        <f t="shared" si="651"/>
        <v>2334</v>
      </c>
      <c r="O1243" s="25">
        <f t="shared" si="652"/>
        <v>2772</v>
      </c>
      <c r="R1243" s="50"/>
      <c r="S1243" s="51"/>
      <c r="T1243" s="29"/>
    </row>
    <row r="1244" spans="1:20">
      <c r="A1244" s="48">
        <v>1023026</v>
      </c>
      <c r="B1244" s="49" t="s">
        <v>354</v>
      </c>
      <c r="C1244" s="25">
        <f t="shared" si="648"/>
        <v>26</v>
      </c>
      <c r="D1244" s="25">
        <f t="array" ref="D1244">INDEX(C$5:C$67,MATCH($B1244,$B$5:$B$67,0))</f>
        <v>4400</v>
      </c>
      <c r="E1244" s="25">
        <f t="array" ref="E1244">INDEX(D$5:D$67,MATCH($B1244,$B$5:$B$67,0))</f>
        <v>352</v>
      </c>
      <c r="F1244" s="25">
        <f t="array" ref="F1244">INDEX(E$5:E$67,MATCH($B1244,$B$5:$B$67,0))</f>
        <v>972</v>
      </c>
      <c r="G1244" s="25">
        <f t="array" ref="G1244">INDEX(F$5:F$67,MATCH($B1244,$B$5:$B$67,0))</f>
        <v>77.76</v>
      </c>
      <c r="H1244" s="25">
        <f t="array" ref="H1244">INDEX(G$5:G$66,MATCH($B1244,$B$5:$B$67,0))</f>
        <v>778</v>
      </c>
      <c r="I1244" s="25">
        <f t="array" ref="I1244">INDEX(H$5:H$67,MATCH($B1244,$B$5:$B$67,0))</f>
        <v>62.24</v>
      </c>
      <c r="J1244" s="25">
        <f t="array" ref="J1244">INDEX(I$5:I$67,MATCH($B1244,$B$5:$B$67,0))</f>
        <v>924</v>
      </c>
      <c r="K1244" s="25">
        <f t="array" ref="K1244">INDEX(J$5:J$67,MATCH($B1244,$B$5:$B$67,0))</f>
        <v>73.92</v>
      </c>
      <c r="L1244" s="25">
        <f t="shared" si="649"/>
        <v>13552</v>
      </c>
      <c r="M1244" s="25">
        <f t="shared" si="650"/>
        <v>2994</v>
      </c>
      <c r="N1244" s="25">
        <f t="shared" si="651"/>
        <v>2396</v>
      </c>
      <c r="O1244" s="25">
        <f t="shared" si="652"/>
        <v>2846</v>
      </c>
      <c r="R1244" s="50"/>
      <c r="S1244" s="51"/>
      <c r="T1244" s="29"/>
    </row>
    <row r="1245" spans="1:20">
      <c r="A1245" s="48">
        <v>1023027</v>
      </c>
      <c r="B1245" s="49" t="s">
        <v>354</v>
      </c>
      <c r="C1245" s="25">
        <f t="shared" si="648"/>
        <v>27</v>
      </c>
      <c r="D1245" s="25">
        <f t="array" ref="D1245">INDEX(C$5:C$67,MATCH($B1245,$B$5:$B$67,0))</f>
        <v>4400</v>
      </c>
      <c r="E1245" s="25">
        <f t="array" ref="E1245">INDEX(D$5:D$67,MATCH($B1245,$B$5:$B$67,0))</f>
        <v>352</v>
      </c>
      <c r="F1245" s="25">
        <f t="array" ref="F1245">INDEX(E$5:E$67,MATCH($B1245,$B$5:$B$67,0))</f>
        <v>972</v>
      </c>
      <c r="G1245" s="25">
        <f t="array" ref="G1245">INDEX(F$5:F$67,MATCH($B1245,$B$5:$B$67,0))</f>
        <v>77.76</v>
      </c>
      <c r="H1245" s="25">
        <f t="array" ref="H1245">INDEX(G$5:G$66,MATCH($B1245,$B$5:$B$67,0))</f>
        <v>778</v>
      </c>
      <c r="I1245" s="25">
        <f t="array" ref="I1245">INDEX(H$5:H$67,MATCH($B1245,$B$5:$B$67,0))</f>
        <v>62.24</v>
      </c>
      <c r="J1245" s="25">
        <f t="array" ref="J1245">INDEX(I$5:I$67,MATCH($B1245,$B$5:$B$67,0))</f>
        <v>924</v>
      </c>
      <c r="K1245" s="25">
        <f t="array" ref="K1245">INDEX(J$5:J$67,MATCH($B1245,$B$5:$B$67,0))</f>
        <v>73.92</v>
      </c>
      <c r="L1245" s="25">
        <f t="shared" si="649"/>
        <v>13904</v>
      </c>
      <c r="M1245" s="25">
        <f t="shared" si="650"/>
        <v>3072</v>
      </c>
      <c r="N1245" s="25">
        <f t="shared" si="651"/>
        <v>2458</v>
      </c>
      <c r="O1245" s="25">
        <f t="shared" si="652"/>
        <v>2920</v>
      </c>
      <c r="R1245" s="50"/>
      <c r="S1245" s="51"/>
      <c r="T1245" s="29"/>
    </row>
    <row r="1246" spans="1:20">
      <c r="A1246" s="48">
        <v>1023028</v>
      </c>
      <c r="B1246" s="49" t="s">
        <v>354</v>
      </c>
      <c r="C1246" s="25">
        <f t="shared" si="648"/>
        <v>28</v>
      </c>
      <c r="D1246" s="25">
        <f t="array" ref="D1246">INDEX(C$5:C$67,MATCH($B1246,$B$5:$B$67,0))</f>
        <v>4400</v>
      </c>
      <c r="E1246" s="25">
        <f t="array" ref="E1246">INDEX(D$5:D$67,MATCH($B1246,$B$5:$B$67,0))</f>
        <v>352</v>
      </c>
      <c r="F1246" s="25">
        <f t="array" ref="F1246">INDEX(E$5:E$67,MATCH($B1246,$B$5:$B$67,0))</f>
        <v>972</v>
      </c>
      <c r="G1246" s="25">
        <f t="array" ref="G1246">INDEX(F$5:F$67,MATCH($B1246,$B$5:$B$67,0))</f>
        <v>77.76</v>
      </c>
      <c r="H1246" s="25">
        <f t="array" ref="H1246">INDEX(G$5:G$66,MATCH($B1246,$B$5:$B$67,0))</f>
        <v>778</v>
      </c>
      <c r="I1246" s="25">
        <f t="array" ref="I1246">INDEX(H$5:H$67,MATCH($B1246,$B$5:$B$67,0))</f>
        <v>62.24</v>
      </c>
      <c r="J1246" s="25">
        <f t="array" ref="J1246">INDEX(I$5:I$67,MATCH($B1246,$B$5:$B$67,0))</f>
        <v>924</v>
      </c>
      <c r="K1246" s="25">
        <f t="array" ref="K1246">INDEX(J$5:J$67,MATCH($B1246,$B$5:$B$67,0))</f>
        <v>73.92</v>
      </c>
      <c r="L1246" s="25">
        <f t="shared" si="649"/>
        <v>14256</v>
      </c>
      <c r="M1246" s="25">
        <f t="shared" si="650"/>
        <v>3149</v>
      </c>
      <c r="N1246" s="25">
        <f t="shared" si="651"/>
        <v>2521</v>
      </c>
      <c r="O1246" s="25">
        <f t="shared" si="652"/>
        <v>2994</v>
      </c>
      <c r="R1246" s="50"/>
      <c r="S1246" s="51"/>
      <c r="T1246" s="29"/>
    </row>
    <row r="1247" spans="1:20">
      <c r="A1247" s="48">
        <v>1023029</v>
      </c>
      <c r="B1247" s="49" t="s">
        <v>354</v>
      </c>
      <c r="C1247" s="25">
        <f t="shared" si="648"/>
        <v>29</v>
      </c>
      <c r="D1247" s="25">
        <f t="array" ref="D1247">INDEX(C$5:C$67,MATCH($B1247,$B$5:$B$67,0))</f>
        <v>4400</v>
      </c>
      <c r="E1247" s="25">
        <f t="array" ref="E1247">INDEX(D$5:D$67,MATCH($B1247,$B$5:$B$67,0))</f>
        <v>352</v>
      </c>
      <c r="F1247" s="25">
        <f t="array" ref="F1247">INDEX(E$5:E$67,MATCH($B1247,$B$5:$B$67,0))</f>
        <v>972</v>
      </c>
      <c r="G1247" s="25">
        <f t="array" ref="G1247">INDEX(F$5:F$67,MATCH($B1247,$B$5:$B$67,0))</f>
        <v>77.76</v>
      </c>
      <c r="H1247" s="25">
        <f t="array" ref="H1247">INDEX(G$5:G$66,MATCH($B1247,$B$5:$B$67,0))</f>
        <v>778</v>
      </c>
      <c r="I1247" s="25">
        <f t="array" ref="I1247">INDEX(H$5:H$67,MATCH($B1247,$B$5:$B$67,0))</f>
        <v>62.24</v>
      </c>
      <c r="J1247" s="25">
        <f t="array" ref="J1247">INDEX(I$5:I$67,MATCH($B1247,$B$5:$B$67,0))</f>
        <v>924</v>
      </c>
      <c r="K1247" s="25">
        <f t="array" ref="K1247">INDEX(J$5:J$67,MATCH($B1247,$B$5:$B$67,0))</f>
        <v>73.92</v>
      </c>
      <c r="L1247" s="25">
        <f t="shared" si="649"/>
        <v>14608</v>
      </c>
      <c r="M1247" s="25">
        <f t="shared" si="650"/>
        <v>3227</v>
      </c>
      <c r="N1247" s="25">
        <f t="shared" si="651"/>
        <v>2583</v>
      </c>
      <c r="O1247" s="25">
        <f t="shared" si="652"/>
        <v>3068</v>
      </c>
      <c r="R1247" s="50"/>
      <c r="S1247" s="51"/>
      <c r="T1247" s="29"/>
    </row>
    <row r="1248" spans="1:20">
      <c r="A1248" s="48">
        <v>1023030</v>
      </c>
      <c r="B1248" s="49" t="s">
        <v>354</v>
      </c>
      <c r="C1248" s="25">
        <f t="shared" si="648"/>
        <v>30</v>
      </c>
      <c r="D1248" s="25">
        <f t="array" ref="D1248">INDEX(C$5:C$67,MATCH($B1248,$B$5:$B$67,0))</f>
        <v>4400</v>
      </c>
      <c r="E1248" s="25">
        <f t="array" ref="E1248">INDEX(D$5:D$67,MATCH($B1248,$B$5:$B$67,0))</f>
        <v>352</v>
      </c>
      <c r="F1248" s="25">
        <f t="array" ref="F1248">INDEX(E$5:E$67,MATCH($B1248,$B$5:$B$67,0))</f>
        <v>972</v>
      </c>
      <c r="G1248" s="25">
        <f t="array" ref="G1248">INDEX(F$5:F$67,MATCH($B1248,$B$5:$B$67,0))</f>
        <v>77.76</v>
      </c>
      <c r="H1248" s="25">
        <f t="array" ref="H1248">INDEX(G$5:G$66,MATCH($B1248,$B$5:$B$67,0))</f>
        <v>778</v>
      </c>
      <c r="I1248" s="25">
        <f t="array" ref="I1248">INDEX(H$5:H$67,MATCH($B1248,$B$5:$B$67,0))</f>
        <v>62.24</v>
      </c>
      <c r="J1248" s="25">
        <f t="array" ref="J1248">INDEX(I$5:I$67,MATCH($B1248,$B$5:$B$67,0))</f>
        <v>924</v>
      </c>
      <c r="K1248" s="25">
        <f t="array" ref="K1248">INDEX(J$5:J$67,MATCH($B1248,$B$5:$B$67,0))</f>
        <v>73.92</v>
      </c>
      <c r="L1248" s="25">
        <f t="shared" si="649"/>
        <v>14960</v>
      </c>
      <c r="M1248" s="25">
        <f t="shared" si="650"/>
        <v>3305</v>
      </c>
      <c r="N1248" s="25">
        <f t="shared" si="651"/>
        <v>2645</v>
      </c>
      <c r="O1248" s="25">
        <f t="shared" si="652"/>
        <v>3142</v>
      </c>
      <c r="R1248" s="50"/>
      <c r="S1248" s="51"/>
      <c r="T1248" s="29"/>
    </row>
    <row r="1249" spans="1:20">
      <c r="A1249" s="48">
        <v>1023031</v>
      </c>
      <c r="B1249" s="49" t="s">
        <v>354</v>
      </c>
      <c r="C1249" s="25">
        <f t="shared" si="648"/>
        <v>31</v>
      </c>
      <c r="D1249" s="25">
        <f t="array" ref="D1249">INDEX(C$5:C$67,MATCH($B1249,$B$5:$B$67,0))</f>
        <v>4400</v>
      </c>
      <c r="E1249" s="25">
        <f t="array" ref="E1249">INDEX(D$5:D$67,MATCH($B1249,$B$5:$B$67,0))</f>
        <v>352</v>
      </c>
      <c r="F1249" s="25">
        <f t="array" ref="F1249">INDEX(E$5:E$67,MATCH($B1249,$B$5:$B$67,0))</f>
        <v>972</v>
      </c>
      <c r="G1249" s="25">
        <f t="array" ref="G1249">INDEX(F$5:F$67,MATCH($B1249,$B$5:$B$67,0))</f>
        <v>77.76</v>
      </c>
      <c r="H1249" s="25">
        <f t="array" ref="H1249">INDEX(G$5:G$66,MATCH($B1249,$B$5:$B$67,0))</f>
        <v>778</v>
      </c>
      <c r="I1249" s="25">
        <f t="array" ref="I1249">INDEX(H$5:H$67,MATCH($B1249,$B$5:$B$67,0))</f>
        <v>62.24</v>
      </c>
      <c r="J1249" s="25">
        <f t="array" ref="J1249">INDEX(I$5:I$67,MATCH($B1249,$B$5:$B$67,0))</f>
        <v>924</v>
      </c>
      <c r="K1249" s="25">
        <f t="array" ref="K1249">INDEX(J$5:J$67,MATCH($B1249,$B$5:$B$67,0))</f>
        <v>73.92</v>
      </c>
      <c r="L1249" s="25">
        <f t="shared" si="649"/>
        <v>15312</v>
      </c>
      <c r="M1249" s="25">
        <f t="shared" si="650"/>
        <v>3383</v>
      </c>
      <c r="N1249" s="25">
        <f t="shared" si="651"/>
        <v>2707</v>
      </c>
      <c r="O1249" s="25">
        <f t="shared" si="652"/>
        <v>3216</v>
      </c>
      <c r="R1249" s="50"/>
      <c r="S1249" s="51"/>
      <c r="T1249" s="29"/>
    </row>
    <row r="1250" spans="1:20">
      <c r="A1250" s="48">
        <v>1023032</v>
      </c>
      <c r="B1250" s="49" t="s">
        <v>354</v>
      </c>
      <c r="C1250" s="25">
        <f t="shared" si="648"/>
        <v>32</v>
      </c>
      <c r="D1250" s="25">
        <f t="array" ref="D1250">INDEX(C$5:C$67,MATCH($B1250,$B$5:$B$67,0))</f>
        <v>4400</v>
      </c>
      <c r="E1250" s="25">
        <f t="array" ref="E1250">INDEX(D$5:D$67,MATCH($B1250,$B$5:$B$67,0))</f>
        <v>352</v>
      </c>
      <c r="F1250" s="25">
        <f t="array" ref="F1250">INDEX(E$5:E$67,MATCH($B1250,$B$5:$B$67,0))</f>
        <v>972</v>
      </c>
      <c r="G1250" s="25">
        <f t="array" ref="G1250">INDEX(F$5:F$67,MATCH($B1250,$B$5:$B$67,0))</f>
        <v>77.76</v>
      </c>
      <c r="H1250" s="25">
        <f t="array" ref="H1250">INDEX(G$5:G$66,MATCH($B1250,$B$5:$B$67,0))</f>
        <v>778</v>
      </c>
      <c r="I1250" s="25">
        <f t="array" ref="I1250">INDEX(H$5:H$67,MATCH($B1250,$B$5:$B$67,0))</f>
        <v>62.24</v>
      </c>
      <c r="J1250" s="25">
        <f t="array" ref="J1250">INDEX(I$5:I$67,MATCH($B1250,$B$5:$B$67,0))</f>
        <v>924</v>
      </c>
      <c r="K1250" s="25">
        <f t="array" ref="K1250">INDEX(J$5:J$67,MATCH($B1250,$B$5:$B$67,0))</f>
        <v>73.92</v>
      </c>
      <c r="L1250" s="25">
        <f t="shared" si="649"/>
        <v>15664</v>
      </c>
      <c r="M1250" s="25">
        <f t="shared" si="650"/>
        <v>3460</v>
      </c>
      <c r="N1250" s="25">
        <f t="shared" si="651"/>
        <v>2770</v>
      </c>
      <c r="O1250" s="25">
        <f t="shared" si="652"/>
        <v>3289</v>
      </c>
      <c r="R1250" s="50"/>
      <c r="S1250" s="51"/>
      <c r="T1250" s="29"/>
    </row>
    <row r="1251" spans="1:20">
      <c r="A1251" s="48">
        <v>1023033</v>
      </c>
      <c r="B1251" s="49" t="s">
        <v>354</v>
      </c>
      <c r="C1251" s="25">
        <f t="shared" si="648"/>
        <v>33</v>
      </c>
      <c r="D1251" s="25">
        <f t="array" ref="D1251">INDEX(C$5:C$67,MATCH($B1251,$B$5:$B$67,0))</f>
        <v>4400</v>
      </c>
      <c r="E1251" s="25">
        <f t="array" ref="E1251">INDEX(D$5:D$67,MATCH($B1251,$B$5:$B$67,0))</f>
        <v>352</v>
      </c>
      <c r="F1251" s="25">
        <f t="array" ref="F1251">INDEX(E$5:E$67,MATCH($B1251,$B$5:$B$67,0))</f>
        <v>972</v>
      </c>
      <c r="G1251" s="25">
        <f t="array" ref="G1251">INDEX(F$5:F$67,MATCH($B1251,$B$5:$B$67,0))</f>
        <v>77.76</v>
      </c>
      <c r="H1251" s="25">
        <f t="array" ref="H1251">INDEX(G$5:G$66,MATCH($B1251,$B$5:$B$67,0))</f>
        <v>778</v>
      </c>
      <c r="I1251" s="25">
        <f t="array" ref="I1251">INDEX(H$5:H$67,MATCH($B1251,$B$5:$B$67,0))</f>
        <v>62.24</v>
      </c>
      <c r="J1251" s="25">
        <f t="array" ref="J1251">INDEX(I$5:I$67,MATCH($B1251,$B$5:$B$67,0))</f>
        <v>924</v>
      </c>
      <c r="K1251" s="25">
        <f t="array" ref="K1251">INDEX(J$5:J$67,MATCH($B1251,$B$5:$B$67,0))</f>
        <v>73.92</v>
      </c>
      <c r="L1251" s="25">
        <f t="shared" si="649"/>
        <v>16016</v>
      </c>
      <c r="M1251" s="25">
        <f t="shared" si="650"/>
        <v>3538</v>
      </c>
      <c r="N1251" s="25">
        <f t="shared" si="651"/>
        <v>2832</v>
      </c>
      <c r="O1251" s="25">
        <f t="shared" si="652"/>
        <v>3363</v>
      </c>
      <c r="R1251" s="50"/>
      <c r="S1251" s="51"/>
      <c r="T1251" s="29"/>
    </row>
    <row r="1252" spans="1:20">
      <c r="A1252" s="48">
        <v>1023034</v>
      </c>
      <c r="B1252" s="49" t="s">
        <v>354</v>
      </c>
      <c r="C1252" s="25">
        <f t="shared" si="648"/>
        <v>34</v>
      </c>
      <c r="D1252" s="25">
        <f t="array" ref="D1252">INDEX(C$5:C$67,MATCH($B1252,$B$5:$B$67,0))</f>
        <v>4400</v>
      </c>
      <c r="E1252" s="25">
        <f t="array" ref="E1252">INDEX(D$5:D$67,MATCH($B1252,$B$5:$B$67,0))</f>
        <v>352</v>
      </c>
      <c r="F1252" s="25">
        <f t="array" ref="F1252">INDEX(E$5:E$67,MATCH($B1252,$B$5:$B$67,0))</f>
        <v>972</v>
      </c>
      <c r="G1252" s="25">
        <f t="array" ref="G1252">INDEX(F$5:F$67,MATCH($B1252,$B$5:$B$67,0))</f>
        <v>77.76</v>
      </c>
      <c r="H1252" s="25">
        <f t="array" ref="H1252">INDEX(G$5:G$66,MATCH($B1252,$B$5:$B$67,0))</f>
        <v>778</v>
      </c>
      <c r="I1252" s="25">
        <f t="array" ref="I1252">INDEX(H$5:H$67,MATCH($B1252,$B$5:$B$67,0))</f>
        <v>62.24</v>
      </c>
      <c r="J1252" s="25">
        <f t="array" ref="J1252">INDEX(I$5:I$67,MATCH($B1252,$B$5:$B$67,0))</f>
        <v>924</v>
      </c>
      <c r="K1252" s="25">
        <f t="array" ref="K1252">INDEX(J$5:J$67,MATCH($B1252,$B$5:$B$67,0))</f>
        <v>73.92</v>
      </c>
      <c r="L1252" s="25">
        <f t="shared" si="649"/>
        <v>16368</v>
      </c>
      <c r="M1252" s="25">
        <f t="shared" si="650"/>
        <v>3616</v>
      </c>
      <c r="N1252" s="25">
        <f t="shared" si="651"/>
        <v>2894</v>
      </c>
      <c r="O1252" s="25">
        <f t="shared" si="652"/>
        <v>3437</v>
      </c>
      <c r="R1252" s="50"/>
      <c r="S1252" s="51"/>
      <c r="T1252" s="29"/>
    </row>
    <row r="1253" spans="1:20">
      <c r="A1253" s="48">
        <v>1023035</v>
      </c>
      <c r="B1253" s="49" t="s">
        <v>354</v>
      </c>
      <c r="C1253" s="25">
        <f t="shared" si="648"/>
        <v>35</v>
      </c>
      <c r="D1253" s="25">
        <f t="array" ref="D1253">INDEX(C$5:C$67,MATCH($B1253,$B$5:$B$67,0))</f>
        <v>4400</v>
      </c>
      <c r="E1253" s="25">
        <f t="array" ref="E1253">INDEX(D$5:D$67,MATCH($B1253,$B$5:$B$67,0))</f>
        <v>352</v>
      </c>
      <c r="F1253" s="25">
        <f t="array" ref="F1253">INDEX(E$5:E$67,MATCH($B1253,$B$5:$B$67,0))</f>
        <v>972</v>
      </c>
      <c r="G1253" s="25">
        <f t="array" ref="G1253">INDEX(F$5:F$67,MATCH($B1253,$B$5:$B$67,0))</f>
        <v>77.76</v>
      </c>
      <c r="H1253" s="25">
        <f t="array" ref="H1253">INDEX(G$5:G$66,MATCH($B1253,$B$5:$B$67,0))</f>
        <v>778</v>
      </c>
      <c r="I1253" s="25">
        <f t="array" ref="I1253">INDEX(H$5:H$67,MATCH($B1253,$B$5:$B$67,0))</f>
        <v>62.24</v>
      </c>
      <c r="J1253" s="25">
        <f t="array" ref="J1253">INDEX(I$5:I$67,MATCH($B1253,$B$5:$B$67,0))</f>
        <v>924</v>
      </c>
      <c r="K1253" s="25">
        <f t="array" ref="K1253">INDEX(J$5:J$67,MATCH($B1253,$B$5:$B$67,0))</f>
        <v>73.92</v>
      </c>
      <c r="L1253" s="25">
        <f t="shared" si="649"/>
        <v>16720</v>
      </c>
      <c r="M1253" s="25">
        <f t="shared" si="650"/>
        <v>3694</v>
      </c>
      <c r="N1253" s="25">
        <f t="shared" si="651"/>
        <v>2956</v>
      </c>
      <c r="O1253" s="25">
        <f t="shared" si="652"/>
        <v>3511</v>
      </c>
      <c r="R1253" s="50"/>
      <c r="S1253" s="51"/>
      <c r="T1253" s="29"/>
    </row>
    <row r="1254" spans="1:20">
      <c r="A1254" s="48">
        <v>1023036</v>
      </c>
      <c r="B1254" s="49" t="s">
        <v>354</v>
      </c>
      <c r="C1254" s="25">
        <f t="shared" si="648"/>
        <v>36</v>
      </c>
      <c r="D1254" s="25">
        <f t="array" ref="D1254">INDEX(C$5:C$67,MATCH($B1254,$B$5:$B$67,0))</f>
        <v>4400</v>
      </c>
      <c r="E1254" s="25">
        <f t="array" ref="E1254">INDEX(D$5:D$67,MATCH($B1254,$B$5:$B$67,0))</f>
        <v>352</v>
      </c>
      <c r="F1254" s="25">
        <f t="array" ref="F1254">INDEX(E$5:E$67,MATCH($B1254,$B$5:$B$67,0))</f>
        <v>972</v>
      </c>
      <c r="G1254" s="25">
        <f t="array" ref="G1254">INDEX(F$5:F$67,MATCH($B1254,$B$5:$B$67,0))</f>
        <v>77.76</v>
      </c>
      <c r="H1254" s="25">
        <f t="array" ref="H1254">INDEX(G$5:G$66,MATCH($B1254,$B$5:$B$67,0))</f>
        <v>778</v>
      </c>
      <c r="I1254" s="25">
        <f t="array" ref="I1254">INDEX(H$5:H$67,MATCH($B1254,$B$5:$B$67,0))</f>
        <v>62.24</v>
      </c>
      <c r="J1254" s="25">
        <f t="array" ref="J1254">INDEX(I$5:I$67,MATCH($B1254,$B$5:$B$67,0))</f>
        <v>924</v>
      </c>
      <c r="K1254" s="25">
        <f t="array" ref="K1254">INDEX(J$5:J$67,MATCH($B1254,$B$5:$B$67,0))</f>
        <v>73.92</v>
      </c>
      <c r="L1254" s="25">
        <f t="shared" si="649"/>
        <v>17072</v>
      </c>
      <c r="M1254" s="25">
        <f t="shared" si="650"/>
        <v>3771</v>
      </c>
      <c r="N1254" s="25">
        <f t="shared" si="651"/>
        <v>3019</v>
      </c>
      <c r="O1254" s="25">
        <f t="shared" si="652"/>
        <v>3585</v>
      </c>
      <c r="R1254" s="50"/>
      <c r="S1254" s="51"/>
      <c r="T1254" s="29"/>
    </row>
    <row r="1255" spans="1:20">
      <c r="A1255" s="48">
        <v>1023037</v>
      </c>
      <c r="B1255" s="49" t="s">
        <v>354</v>
      </c>
      <c r="C1255" s="25">
        <f t="shared" si="648"/>
        <v>37</v>
      </c>
      <c r="D1255" s="25">
        <f t="array" ref="D1255">INDEX(C$5:C$67,MATCH($B1255,$B$5:$B$67,0))</f>
        <v>4400</v>
      </c>
      <c r="E1255" s="25">
        <f t="array" ref="E1255">INDEX(D$5:D$67,MATCH($B1255,$B$5:$B$67,0))</f>
        <v>352</v>
      </c>
      <c r="F1255" s="25">
        <f t="array" ref="F1255">INDEX(E$5:E$67,MATCH($B1255,$B$5:$B$67,0))</f>
        <v>972</v>
      </c>
      <c r="G1255" s="25">
        <f t="array" ref="G1255">INDEX(F$5:F$67,MATCH($B1255,$B$5:$B$67,0))</f>
        <v>77.76</v>
      </c>
      <c r="H1255" s="25">
        <f t="array" ref="H1255">INDEX(G$5:G$66,MATCH($B1255,$B$5:$B$67,0))</f>
        <v>778</v>
      </c>
      <c r="I1255" s="25">
        <f t="array" ref="I1255">INDEX(H$5:H$67,MATCH($B1255,$B$5:$B$67,0))</f>
        <v>62.24</v>
      </c>
      <c r="J1255" s="25">
        <f t="array" ref="J1255">INDEX(I$5:I$67,MATCH($B1255,$B$5:$B$67,0))</f>
        <v>924</v>
      </c>
      <c r="K1255" s="25">
        <f t="array" ref="K1255">INDEX(J$5:J$67,MATCH($B1255,$B$5:$B$67,0))</f>
        <v>73.92</v>
      </c>
      <c r="L1255" s="25">
        <f t="shared" si="649"/>
        <v>17424</v>
      </c>
      <c r="M1255" s="25">
        <f t="shared" si="650"/>
        <v>3849</v>
      </c>
      <c r="N1255" s="25">
        <f t="shared" si="651"/>
        <v>3081</v>
      </c>
      <c r="O1255" s="25">
        <f t="shared" si="652"/>
        <v>3659</v>
      </c>
      <c r="R1255" s="50"/>
      <c r="S1255" s="51"/>
      <c r="T1255" s="29"/>
    </row>
    <row r="1256" spans="1:20">
      <c r="A1256" s="48">
        <v>1023038</v>
      </c>
      <c r="B1256" s="49" t="s">
        <v>354</v>
      </c>
      <c r="C1256" s="25">
        <f t="shared" si="648"/>
        <v>38</v>
      </c>
      <c r="D1256" s="25">
        <f t="array" ref="D1256">INDEX(C$5:C$67,MATCH($B1256,$B$5:$B$67,0))</f>
        <v>4400</v>
      </c>
      <c r="E1256" s="25">
        <f t="array" ref="E1256">INDEX(D$5:D$67,MATCH($B1256,$B$5:$B$67,0))</f>
        <v>352</v>
      </c>
      <c r="F1256" s="25">
        <f t="array" ref="F1256">INDEX(E$5:E$67,MATCH($B1256,$B$5:$B$67,0))</f>
        <v>972</v>
      </c>
      <c r="G1256" s="25">
        <f t="array" ref="G1256">INDEX(F$5:F$67,MATCH($B1256,$B$5:$B$67,0))</f>
        <v>77.76</v>
      </c>
      <c r="H1256" s="25">
        <f t="array" ref="H1256">INDEX(G$5:G$66,MATCH($B1256,$B$5:$B$67,0))</f>
        <v>778</v>
      </c>
      <c r="I1256" s="25">
        <f t="array" ref="I1256">INDEX(H$5:H$67,MATCH($B1256,$B$5:$B$67,0))</f>
        <v>62.24</v>
      </c>
      <c r="J1256" s="25">
        <f t="array" ref="J1256">INDEX(I$5:I$67,MATCH($B1256,$B$5:$B$67,0))</f>
        <v>924</v>
      </c>
      <c r="K1256" s="25">
        <f t="array" ref="K1256">INDEX(J$5:J$67,MATCH($B1256,$B$5:$B$67,0))</f>
        <v>73.92</v>
      </c>
      <c r="L1256" s="25">
        <f t="shared" si="649"/>
        <v>17776</v>
      </c>
      <c r="M1256" s="25">
        <f t="shared" si="650"/>
        <v>3927</v>
      </c>
      <c r="N1256" s="25">
        <f t="shared" si="651"/>
        <v>3143</v>
      </c>
      <c r="O1256" s="25">
        <f t="shared" si="652"/>
        <v>3733</v>
      </c>
      <c r="R1256" s="50"/>
      <c r="S1256" s="51"/>
      <c r="T1256" s="29"/>
    </row>
    <row r="1257" spans="1:20">
      <c r="A1257" s="48">
        <v>1023039</v>
      </c>
      <c r="B1257" s="49" t="s">
        <v>354</v>
      </c>
      <c r="C1257" s="25">
        <f t="shared" si="648"/>
        <v>39</v>
      </c>
      <c r="D1257" s="25">
        <f t="array" ref="D1257">INDEX(C$5:C$67,MATCH($B1257,$B$5:$B$67,0))</f>
        <v>4400</v>
      </c>
      <c r="E1257" s="25">
        <f t="array" ref="E1257">INDEX(D$5:D$67,MATCH($B1257,$B$5:$B$67,0))</f>
        <v>352</v>
      </c>
      <c r="F1257" s="25">
        <f t="array" ref="F1257">INDEX(E$5:E$67,MATCH($B1257,$B$5:$B$67,0))</f>
        <v>972</v>
      </c>
      <c r="G1257" s="25">
        <f t="array" ref="G1257">INDEX(F$5:F$67,MATCH($B1257,$B$5:$B$67,0))</f>
        <v>77.76</v>
      </c>
      <c r="H1257" s="25">
        <f t="array" ref="H1257">INDEX(G$5:G$66,MATCH($B1257,$B$5:$B$67,0))</f>
        <v>778</v>
      </c>
      <c r="I1257" s="25">
        <f t="array" ref="I1257">INDEX(H$5:H$67,MATCH($B1257,$B$5:$B$67,0))</f>
        <v>62.24</v>
      </c>
      <c r="J1257" s="25">
        <f t="array" ref="J1257">INDEX(I$5:I$67,MATCH($B1257,$B$5:$B$67,0))</f>
        <v>924</v>
      </c>
      <c r="K1257" s="25">
        <f t="array" ref="K1257">INDEX(J$5:J$67,MATCH($B1257,$B$5:$B$67,0))</f>
        <v>73.92</v>
      </c>
      <c r="L1257" s="25">
        <f t="shared" si="649"/>
        <v>18128</v>
      </c>
      <c r="M1257" s="25">
        <f t="shared" si="650"/>
        <v>4005</v>
      </c>
      <c r="N1257" s="25">
        <f t="shared" si="651"/>
        <v>3205</v>
      </c>
      <c r="O1257" s="25">
        <f t="shared" si="652"/>
        <v>3807</v>
      </c>
      <c r="R1257" s="50"/>
      <c r="S1257" s="51"/>
      <c r="T1257" s="29"/>
    </row>
    <row r="1258" spans="1:20">
      <c r="A1258" s="48">
        <v>1023040</v>
      </c>
      <c r="B1258" s="49" t="s">
        <v>354</v>
      </c>
      <c r="C1258" s="25">
        <f t="shared" si="648"/>
        <v>40</v>
      </c>
      <c r="D1258" s="25">
        <f t="array" ref="D1258">INDEX(C$5:C$67,MATCH($B1258,$B$5:$B$67,0))</f>
        <v>4400</v>
      </c>
      <c r="E1258" s="25">
        <f t="array" ref="E1258">INDEX(D$5:D$67,MATCH($B1258,$B$5:$B$67,0))</f>
        <v>352</v>
      </c>
      <c r="F1258" s="25">
        <f t="array" ref="F1258">INDEX(E$5:E$67,MATCH($B1258,$B$5:$B$67,0))</f>
        <v>972</v>
      </c>
      <c r="G1258" s="25">
        <f t="array" ref="G1258">INDEX(F$5:F$67,MATCH($B1258,$B$5:$B$67,0))</f>
        <v>77.76</v>
      </c>
      <c r="H1258" s="25">
        <f t="array" ref="H1258">INDEX(G$5:G$66,MATCH($B1258,$B$5:$B$67,0))</f>
        <v>778</v>
      </c>
      <c r="I1258" s="25">
        <f t="array" ref="I1258">INDEX(H$5:H$67,MATCH($B1258,$B$5:$B$67,0))</f>
        <v>62.24</v>
      </c>
      <c r="J1258" s="25">
        <f t="array" ref="J1258">INDEX(I$5:I$67,MATCH($B1258,$B$5:$B$67,0))</f>
        <v>924</v>
      </c>
      <c r="K1258" s="25">
        <f t="array" ref="K1258">INDEX(J$5:J$67,MATCH($B1258,$B$5:$B$67,0))</f>
        <v>73.92</v>
      </c>
      <c r="L1258" s="25">
        <f t="shared" si="649"/>
        <v>18480</v>
      </c>
      <c r="M1258" s="25">
        <f t="shared" si="650"/>
        <v>4082</v>
      </c>
      <c r="N1258" s="25">
        <f t="shared" si="651"/>
        <v>3268</v>
      </c>
      <c r="O1258" s="25">
        <f t="shared" si="652"/>
        <v>3881</v>
      </c>
      <c r="R1258" s="50"/>
      <c r="S1258" s="51"/>
      <c r="T1258" s="29"/>
    </row>
    <row r="1259" spans="1:20">
      <c r="A1259" s="48">
        <v>1023041</v>
      </c>
      <c r="B1259" s="49" t="s">
        <v>354</v>
      </c>
      <c r="C1259" s="25">
        <f t="shared" si="648"/>
        <v>41</v>
      </c>
      <c r="D1259" s="25">
        <f t="array" ref="D1259">INDEX(C$5:C$67,MATCH($B1259,$B$5:$B$67,0))</f>
        <v>4400</v>
      </c>
      <c r="E1259" s="25">
        <f t="array" ref="E1259">INDEX(D$5:D$67,MATCH($B1259,$B$5:$B$67,0))</f>
        <v>352</v>
      </c>
      <c r="F1259" s="25">
        <f t="array" ref="F1259">INDEX(E$5:E$67,MATCH($B1259,$B$5:$B$67,0))</f>
        <v>972</v>
      </c>
      <c r="G1259" s="25">
        <f t="array" ref="G1259">INDEX(F$5:F$67,MATCH($B1259,$B$5:$B$67,0))</f>
        <v>77.76</v>
      </c>
      <c r="H1259" s="25">
        <f t="array" ref="H1259">INDEX(G$5:G$66,MATCH($B1259,$B$5:$B$67,0))</f>
        <v>778</v>
      </c>
      <c r="I1259" s="25">
        <f t="array" ref="I1259">INDEX(H$5:H$67,MATCH($B1259,$B$5:$B$67,0))</f>
        <v>62.24</v>
      </c>
      <c r="J1259" s="25">
        <f t="array" ref="J1259">INDEX(I$5:I$67,MATCH($B1259,$B$5:$B$67,0))</f>
        <v>924</v>
      </c>
      <c r="K1259" s="25">
        <f t="array" ref="K1259">INDEX(J$5:J$67,MATCH($B1259,$B$5:$B$67,0))</f>
        <v>73.92</v>
      </c>
      <c r="L1259" s="25">
        <f t="shared" si="649"/>
        <v>18832</v>
      </c>
      <c r="M1259" s="25">
        <f t="shared" si="650"/>
        <v>4160</v>
      </c>
      <c r="N1259" s="25">
        <f t="shared" si="651"/>
        <v>3330</v>
      </c>
      <c r="O1259" s="25">
        <f t="shared" si="652"/>
        <v>3955</v>
      </c>
      <c r="R1259" s="50"/>
      <c r="S1259" s="51"/>
      <c r="T1259" s="29"/>
    </row>
    <row r="1260" spans="1:20">
      <c r="A1260" s="48">
        <v>1023042</v>
      </c>
      <c r="B1260" s="49" t="s">
        <v>354</v>
      </c>
      <c r="C1260" s="25">
        <f t="shared" si="648"/>
        <v>42</v>
      </c>
      <c r="D1260" s="25">
        <f t="array" ref="D1260">INDEX(C$5:C$67,MATCH($B1260,$B$5:$B$67,0))</f>
        <v>4400</v>
      </c>
      <c r="E1260" s="25">
        <f t="array" ref="E1260">INDEX(D$5:D$67,MATCH($B1260,$B$5:$B$67,0))</f>
        <v>352</v>
      </c>
      <c r="F1260" s="25">
        <f t="array" ref="F1260">INDEX(E$5:E$67,MATCH($B1260,$B$5:$B$67,0))</f>
        <v>972</v>
      </c>
      <c r="G1260" s="25">
        <f t="array" ref="G1260">INDEX(F$5:F$67,MATCH($B1260,$B$5:$B$67,0))</f>
        <v>77.76</v>
      </c>
      <c r="H1260" s="25">
        <f t="array" ref="H1260">INDEX(G$5:G$66,MATCH($B1260,$B$5:$B$67,0))</f>
        <v>778</v>
      </c>
      <c r="I1260" s="25">
        <f t="array" ref="I1260">INDEX(H$5:H$67,MATCH($B1260,$B$5:$B$67,0))</f>
        <v>62.24</v>
      </c>
      <c r="J1260" s="25">
        <f t="array" ref="J1260">INDEX(I$5:I$67,MATCH($B1260,$B$5:$B$67,0))</f>
        <v>924</v>
      </c>
      <c r="K1260" s="25">
        <f t="array" ref="K1260">INDEX(J$5:J$67,MATCH($B1260,$B$5:$B$67,0))</f>
        <v>73.92</v>
      </c>
      <c r="L1260" s="25">
        <f t="shared" si="649"/>
        <v>19184</v>
      </c>
      <c r="M1260" s="25">
        <f t="shared" si="650"/>
        <v>4238</v>
      </c>
      <c r="N1260" s="25">
        <f t="shared" si="651"/>
        <v>3392</v>
      </c>
      <c r="O1260" s="25">
        <f t="shared" si="652"/>
        <v>4029</v>
      </c>
      <c r="R1260" s="50"/>
      <c r="S1260" s="51"/>
      <c r="T1260" s="29"/>
    </row>
    <row r="1261" spans="1:20">
      <c r="A1261" s="48">
        <v>1023043</v>
      </c>
      <c r="B1261" s="49" t="s">
        <v>354</v>
      </c>
      <c r="C1261" s="25">
        <f t="shared" si="648"/>
        <v>43</v>
      </c>
      <c r="D1261" s="25">
        <f t="array" ref="D1261">INDEX(C$5:C$67,MATCH($B1261,$B$5:$B$67,0))</f>
        <v>4400</v>
      </c>
      <c r="E1261" s="25">
        <f t="array" ref="E1261">INDEX(D$5:D$67,MATCH($B1261,$B$5:$B$67,0))</f>
        <v>352</v>
      </c>
      <c r="F1261" s="25">
        <f t="array" ref="F1261">INDEX(E$5:E$67,MATCH($B1261,$B$5:$B$67,0))</f>
        <v>972</v>
      </c>
      <c r="G1261" s="25">
        <f t="array" ref="G1261">INDEX(F$5:F$67,MATCH($B1261,$B$5:$B$67,0))</f>
        <v>77.76</v>
      </c>
      <c r="H1261" s="25">
        <f t="array" ref="H1261">INDEX(G$5:G$66,MATCH($B1261,$B$5:$B$67,0))</f>
        <v>778</v>
      </c>
      <c r="I1261" s="25">
        <f t="array" ref="I1261">INDEX(H$5:H$67,MATCH($B1261,$B$5:$B$67,0))</f>
        <v>62.24</v>
      </c>
      <c r="J1261" s="25">
        <f t="array" ref="J1261">INDEX(I$5:I$67,MATCH($B1261,$B$5:$B$67,0))</f>
        <v>924</v>
      </c>
      <c r="K1261" s="25">
        <f t="array" ref="K1261">INDEX(J$5:J$67,MATCH($B1261,$B$5:$B$67,0))</f>
        <v>73.92</v>
      </c>
      <c r="L1261" s="25">
        <f t="shared" si="649"/>
        <v>19536</v>
      </c>
      <c r="M1261" s="25">
        <f t="shared" si="650"/>
        <v>4316</v>
      </c>
      <c r="N1261" s="25">
        <f t="shared" si="651"/>
        <v>3454</v>
      </c>
      <c r="O1261" s="25">
        <f t="shared" si="652"/>
        <v>4103</v>
      </c>
      <c r="R1261" s="50"/>
      <c r="S1261" s="51"/>
      <c r="T1261" s="29"/>
    </row>
    <row r="1262" spans="1:20">
      <c r="A1262" s="48">
        <v>1023044</v>
      </c>
      <c r="B1262" s="49" t="s">
        <v>354</v>
      </c>
      <c r="C1262" s="25">
        <f t="shared" si="648"/>
        <v>44</v>
      </c>
      <c r="D1262" s="25">
        <f t="array" ref="D1262">INDEX(C$5:C$67,MATCH($B1262,$B$5:$B$67,0))</f>
        <v>4400</v>
      </c>
      <c r="E1262" s="25">
        <f t="array" ref="E1262">INDEX(D$5:D$67,MATCH($B1262,$B$5:$B$67,0))</f>
        <v>352</v>
      </c>
      <c r="F1262" s="25">
        <f t="array" ref="F1262">INDEX(E$5:E$67,MATCH($B1262,$B$5:$B$67,0))</f>
        <v>972</v>
      </c>
      <c r="G1262" s="25">
        <f t="array" ref="G1262">INDEX(F$5:F$67,MATCH($B1262,$B$5:$B$67,0))</f>
        <v>77.76</v>
      </c>
      <c r="H1262" s="25">
        <f t="array" ref="H1262">INDEX(G$5:G$66,MATCH($B1262,$B$5:$B$67,0))</f>
        <v>778</v>
      </c>
      <c r="I1262" s="25">
        <f t="array" ref="I1262">INDEX(H$5:H$67,MATCH($B1262,$B$5:$B$67,0))</f>
        <v>62.24</v>
      </c>
      <c r="J1262" s="25">
        <f t="array" ref="J1262">INDEX(I$5:I$67,MATCH($B1262,$B$5:$B$67,0))</f>
        <v>924</v>
      </c>
      <c r="K1262" s="25">
        <f t="array" ref="K1262">INDEX(J$5:J$67,MATCH($B1262,$B$5:$B$67,0))</f>
        <v>73.92</v>
      </c>
      <c r="L1262" s="25">
        <f t="shared" si="649"/>
        <v>19888</v>
      </c>
      <c r="M1262" s="25">
        <f t="shared" si="650"/>
        <v>4393</v>
      </c>
      <c r="N1262" s="25">
        <f t="shared" si="651"/>
        <v>3517</v>
      </c>
      <c r="O1262" s="25">
        <f t="shared" si="652"/>
        <v>4176</v>
      </c>
      <c r="R1262" s="50"/>
      <c r="S1262" s="51"/>
      <c r="T1262" s="29"/>
    </row>
    <row r="1263" spans="1:20">
      <c r="A1263" s="48">
        <v>1023045</v>
      </c>
      <c r="B1263" s="49" t="s">
        <v>354</v>
      </c>
      <c r="C1263" s="25">
        <f t="shared" si="648"/>
        <v>45</v>
      </c>
      <c r="D1263" s="25">
        <f t="array" ref="D1263">INDEX(C$5:C$67,MATCH($B1263,$B$5:$B$67,0))</f>
        <v>4400</v>
      </c>
      <c r="E1263" s="25">
        <f t="array" ref="E1263">INDEX(D$5:D$67,MATCH($B1263,$B$5:$B$67,0))</f>
        <v>352</v>
      </c>
      <c r="F1263" s="25">
        <f t="array" ref="F1263">INDEX(E$5:E$67,MATCH($B1263,$B$5:$B$67,0))</f>
        <v>972</v>
      </c>
      <c r="G1263" s="25">
        <f t="array" ref="G1263">INDEX(F$5:F$67,MATCH($B1263,$B$5:$B$67,0))</f>
        <v>77.76</v>
      </c>
      <c r="H1263" s="25">
        <f t="array" ref="H1263">INDEX(G$5:G$66,MATCH($B1263,$B$5:$B$67,0))</f>
        <v>778</v>
      </c>
      <c r="I1263" s="25">
        <f t="array" ref="I1263">INDEX(H$5:H$67,MATCH($B1263,$B$5:$B$67,0))</f>
        <v>62.24</v>
      </c>
      <c r="J1263" s="25">
        <f t="array" ref="J1263">INDEX(I$5:I$67,MATCH($B1263,$B$5:$B$67,0))</f>
        <v>924</v>
      </c>
      <c r="K1263" s="25">
        <f t="array" ref="K1263">INDEX(J$5:J$67,MATCH($B1263,$B$5:$B$67,0))</f>
        <v>73.92</v>
      </c>
      <c r="L1263" s="25">
        <f t="shared" si="649"/>
        <v>20240</v>
      </c>
      <c r="M1263" s="25">
        <f t="shared" si="650"/>
        <v>4471</v>
      </c>
      <c r="N1263" s="25">
        <f t="shared" si="651"/>
        <v>3579</v>
      </c>
      <c r="O1263" s="25">
        <f t="shared" si="652"/>
        <v>4250</v>
      </c>
      <c r="R1263" s="50"/>
      <c r="S1263" s="51"/>
      <c r="T1263" s="29"/>
    </row>
    <row r="1264" spans="1:20">
      <c r="A1264" s="48">
        <v>1023046</v>
      </c>
      <c r="B1264" s="49" t="s">
        <v>354</v>
      </c>
      <c r="C1264" s="25">
        <f t="shared" si="648"/>
        <v>46</v>
      </c>
      <c r="D1264" s="25">
        <f t="array" ref="D1264">INDEX(C$5:C$67,MATCH($B1264,$B$5:$B$67,0))</f>
        <v>4400</v>
      </c>
      <c r="E1264" s="25">
        <f t="array" ref="E1264">INDEX(D$5:D$67,MATCH($B1264,$B$5:$B$67,0))</f>
        <v>352</v>
      </c>
      <c r="F1264" s="25">
        <f t="array" ref="F1264">INDEX(E$5:E$67,MATCH($B1264,$B$5:$B$67,0))</f>
        <v>972</v>
      </c>
      <c r="G1264" s="25">
        <f t="array" ref="G1264">INDEX(F$5:F$67,MATCH($B1264,$B$5:$B$67,0))</f>
        <v>77.76</v>
      </c>
      <c r="H1264" s="25">
        <f t="array" ref="H1264">INDEX(G$5:G$66,MATCH($B1264,$B$5:$B$67,0))</f>
        <v>778</v>
      </c>
      <c r="I1264" s="25">
        <f t="array" ref="I1264">INDEX(H$5:H$67,MATCH($B1264,$B$5:$B$67,0))</f>
        <v>62.24</v>
      </c>
      <c r="J1264" s="25">
        <f t="array" ref="J1264">INDEX(I$5:I$67,MATCH($B1264,$B$5:$B$67,0))</f>
        <v>924</v>
      </c>
      <c r="K1264" s="25">
        <f t="array" ref="K1264">INDEX(J$5:J$67,MATCH($B1264,$B$5:$B$67,0))</f>
        <v>73.92</v>
      </c>
      <c r="L1264" s="25">
        <f t="shared" si="649"/>
        <v>20592</v>
      </c>
      <c r="M1264" s="25">
        <f t="shared" si="650"/>
        <v>4549</v>
      </c>
      <c r="N1264" s="25">
        <f t="shared" si="651"/>
        <v>3641</v>
      </c>
      <c r="O1264" s="25">
        <f t="shared" si="652"/>
        <v>4324</v>
      </c>
      <c r="R1264" s="50"/>
      <c r="S1264" s="51"/>
      <c r="T1264" s="29"/>
    </row>
    <row r="1265" spans="1:20">
      <c r="A1265" s="48">
        <v>1023047</v>
      </c>
      <c r="B1265" s="49" t="s">
        <v>354</v>
      </c>
      <c r="C1265" s="25">
        <f t="shared" si="648"/>
        <v>47</v>
      </c>
      <c r="D1265" s="25">
        <f t="array" ref="D1265">INDEX(C$5:C$67,MATCH($B1265,$B$5:$B$67,0))</f>
        <v>4400</v>
      </c>
      <c r="E1265" s="25">
        <f t="array" ref="E1265">INDEX(D$5:D$67,MATCH($B1265,$B$5:$B$67,0))</f>
        <v>352</v>
      </c>
      <c r="F1265" s="25">
        <f t="array" ref="F1265">INDEX(E$5:E$67,MATCH($B1265,$B$5:$B$67,0))</f>
        <v>972</v>
      </c>
      <c r="G1265" s="25">
        <f t="array" ref="G1265">INDEX(F$5:F$67,MATCH($B1265,$B$5:$B$67,0))</f>
        <v>77.76</v>
      </c>
      <c r="H1265" s="25">
        <f t="array" ref="H1265">INDEX(G$5:G$66,MATCH($B1265,$B$5:$B$67,0))</f>
        <v>778</v>
      </c>
      <c r="I1265" s="25">
        <f t="array" ref="I1265">INDEX(H$5:H$67,MATCH($B1265,$B$5:$B$67,0))</f>
        <v>62.24</v>
      </c>
      <c r="J1265" s="25">
        <f t="array" ref="J1265">INDEX(I$5:I$67,MATCH($B1265,$B$5:$B$67,0))</f>
        <v>924</v>
      </c>
      <c r="K1265" s="25">
        <f t="array" ref="K1265">INDEX(J$5:J$67,MATCH($B1265,$B$5:$B$67,0))</f>
        <v>73.92</v>
      </c>
      <c r="L1265" s="25">
        <f t="shared" si="649"/>
        <v>20944</v>
      </c>
      <c r="M1265" s="25">
        <f t="shared" si="650"/>
        <v>4627</v>
      </c>
      <c r="N1265" s="25">
        <f t="shared" si="651"/>
        <v>3703</v>
      </c>
      <c r="O1265" s="25">
        <f t="shared" si="652"/>
        <v>4398</v>
      </c>
      <c r="R1265" s="50"/>
      <c r="S1265" s="51"/>
      <c r="T1265" s="29"/>
    </row>
    <row r="1266" spans="1:20">
      <c r="A1266" s="48">
        <v>1023048</v>
      </c>
      <c r="B1266" s="49" t="s">
        <v>354</v>
      </c>
      <c r="C1266" s="25">
        <f t="shared" si="648"/>
        <v>48</v>
      </c>
      <c r="D1266" s="25">
        <f t="array" ref="D1266">INDEX(C$5:C$67,MATCH($B1266,$B$5:$B$67,0))</f>
        <v>4400</v>
      </c>
      <c r="E1266" s="25">
        <f t="array" ref="E1266">INDEX(D$5:D$67,MATCH($B1266,$B$5:$B$67,0))</f>
        <v>352</v>
      </c>
      <c r="F1266" s="25">
        <f t="array" ref="F1266">INDEX(E$5:E$67,MATCH($B1266,$B$5:$B$67,0))</f>
        <v>972</v>
      </c>
      <c r="G1266" s="25">
        <f t="array" ref="G1266">INDEX(F$5:F$67,MATCH($B1266,$B$5:$B$67,0))</f>
        <v>77.76</v>
      </c>
      <c r="H1266" s="25">
        <f t="array" ref="H1266">INDEX(G$5:G$66,MATCH($B1266,$B$5:$B$67,0))</f>
        <v>778</v>
      </c>
      <c r="I1266" s="25">
        <f t="array" ref="I1266">INDEX(H$5:H$67,MATCH($B1266,$B$5:$B$67,0))</f>
        <v>62.24</v>
      </c>
      <c r="J1266" s="25">
        <f t="array" ref="J1266">INDEX(I$5:I$67,MATCH($B1266,$B$5:$B$67,0))</f>
        <v>924</v>
      </c>
      <c r="K1266" s="25">
        <f t="array" ref="K1266">INDEX(J$5:J$67,MATCH($B1266,$B$5:$B$67,0))</f>
        <v>73.92</v>
      </c>
      <c r="L1266" s="25">
        <f t="shared" si="649"/>
        <v>21296</v>
      </c>
      <c r="M1266" s="25">
        <f t="shared" si="650"/>
        <v>4704</v>
      </c>
      <c r="N1266" s="25">
        <f t="shared" si="651"/>
        <v>3766</v>
      </c>
      <c r="O1266" s="25">
        <f t="shared" si="652"/>
        <v>4472</v>
      </c>
      <c r="R1266" s="50"/>
      <c r="S1266" s="51"/>
      <c r="T1266" s="29"/>
    </row>
    <row r="1267" spans="1:20">
      <c r="A1267" s="48">
        <v>1023049</v>
      </c>
      <c r="B1267" s="49" t="s">
        <v>354</v>
      </c>
      <c r="C1267" s="25">
        <f t="shared" si="648"/>
        <v>49</v>
      </c>
      <c r="D1267" s="25">
        <f t="array" ref="D1267">INDEX(C$5:C$67,MATCH($B1267,$B$5:$B$67,0))</f>
        <v>4400</v>
      </c>
      <c r="E1267" s="25">
        <f t="array" ref="E1267">INDEX(D$5:D$67,MATCH($B1267,$B$5:$B$67,0))</f>
        <v>352</v>
      </c>
      <c r="F1267" s="25">
        <f t="array" ref="F1267">INDEX(E$5:E$67,MATCH($B1267,$B$5:$B$67,0))</f>
        <v>972</v>
      </c>
      <c r="G1267" s="25">
        <f t="array" ref="G1267">INDEX(F$5:F$67,MATCH($B1267,$B$5:$B$67,0))</f>
        <v>77.76</v>
      </c>
      <c r="H1267" s="25">
        <f t="array" ref="H1267">INDEX(G$5:G$66,MATCH($B1267,$B$5:$B$67,0))</f>
        <v>778</v>
      </c>
      <c r="I1267" s="25">
        <f t="array" ref="I1267">INDEX(H$5:H$67,MATCH($B1267,$B$5:$B$67,0))</f>
        <v>62.24</v>
      </c>
      <c r="J1267" s="25">
        <f t="array" ref="J1267">INDEX(I$5:I$67,MATCH($B1267,$B$5:$B$67,0))</f>
        <v>924</v>
      </c>
      <c r="K1267" s="25">
        <f t="array" ref="K1267">INDEX(J$5:J$67,MATCH($B1267,$B$5:$B$67,0))</f>
        <v>73.92</v>
      </c>
      <c r="L1267" s="25">
        <f t="shared" si="649"/>
        <v>21648</v>
      </c>
      <c r="M1267" s="25">
        <f t="shared" si="650"/>
        <v>4782</v>
      </c>
      <c r="N1267" s="25">
        <f t="shared" si="651"/>
        <v>3828</v>
      </c>
      <c r="O1267" s="25">
        <f t="shared" si="652"/>
        <v>4546</v>
      </c>
      <c r="R1267" s="50"/>
      <c r="S1267" s="51"/>
      <c r="T1267" s="29"/>
    </row>
    <row r="1268" spans="1:20">
      <c r="A1268" s="48">
        <v>1023050</v>
      </c>
      <c r="B1268" s="49" t="s">
        <v>354</v>
      </c>
      <c r="C1268" s="25">
        <f t="shared" si="648"/>
        <v>50</v>
      </c>
      <c r="D1268" s="25">
        <f t="array" ref="D1268">INDEX(C$5:C$67,MATCH($B1268,$B$5:$B$67,0))</f>
        <v>4400</v>
      </c>
      <c r="E1268" s="25">
        <f t="array" ref="E1268">INDEX(D$5:D$67,MATCH($B1268,$B$5:$B$67,0))</f>
        <v>352</v>
      </c>
      <c r="F1268" s="25">
        <f t="array" ref="F1268">INDEX(E$5:E$67,MATCH($B1268,$B$5:$B$67,0))</f>
        <v>972</v>
      </c>
      <c r="G1268" s="25">
        <f t="array" ref="G1268">INDEX(F$5:F$67,MATCH($B1268,$B$5:$B$67,0))</f>
        <v>77.76</v>
      </c>
      <c r="H1268" s="25">
        <f t="array" ref="H1268">INDEX(G$5:G$66,MATCH($B1268,$B$5:$B$67,0))</f>
        <v>778</v>
      </c>
      <c r="I1268" s="25">
        <f t="array" ref="I1268">INDEX(H$5:H$67,MATCH($B1268,$B$5:$B$67,0))</f>
        <v>62.24</v>
      </c>
      <c r="J1268" s="25">
        <f t="array" ref="J1268">INDEX(I$5:I$67,MATCH($B1268,$B$5:$B$67,0))</f>
        <v>924</v>
      </c>
      <c r="K1268" s="25">
        <f t="array" ref="K1268">INDEX(J$5:J$67,MATCH($B1268,$B$5:$B$67,0))</f>
        <v>73.92</v>
      </c>
      <c r="L1268" s="25">
        <f t="shared" si="649"/>
        <v>22000</v>
      </c>
      <c r="M1268" s="25">
        <f t="shared" si="650"/>
        <v>4860</v>
      </c>
      <c r="N1268" s="25">
        <f t="shared" si="651"/>
        <v>3890</v>
      </c>
      <c r="O1268" s="25">
        <f t="shared" si="652"/>
        <v>4620</v>
      </c>
      <c r="R1268" s="50"/>
      <c r="S1268" s="51"/>
      <c r="T1268" s="29"/>
    </row>
    <row r="1269" spans="1:20">
      <c r="A1269" s="48">
        <v>1023051</v>
      </c>
      <c r="B1269" s="49" t="s">
        <v>354</v>
      </c>
      <c r="C1269" s="25">
        <f t="shared" si="648"/>
        <v>51</v>
      </c>
      <c r="D1269" s="25">
        <f t="array" ref="D1269">INDEX(C$5:C$67,MATCH($B1269,$B$5:$B$67,0))</f>
        <v>4400</v>
      </c>
      <c r="E1269" s="25">
        <f t="array" ref="E1269">INDEX(D$5:D$67,MATCH($B1269,$B$5:$B$67,0))</f>
        <v>352</v>
      </c>
      <c r="F1269" s="25">
        <f t="array" ref="F1269">INDEX(E$5:E$67,MATCH($B1269,$B$5:$B$67,0))</f>
        <v>972</v>
      </c>
      <c r="G1269" s="25">
        <f t="array" ref="G1269">INDEX(F$5:F$67,MATCH($B1269,$B$5:$B$67,0))</f>
        <v>77.76</v>
      </c>
      <c r="H1269" s="25">
        <f t="array" ref="H1269">INDEX(G$5:G$66,MATCH($B1269,$B$5:$B$67,0))</f>
        <v>778</v>
      </c>
      <c r="I1269" s="25">
        <f t="array" ref="I1269">INDEX(H$5:H$67,MATCH($B1269,$B$5:$B$67,0))</f>
        <v>62.24</v>
      </c>
      <c r="J1269" s="25">
        <f t="array" ref="J1269">INDEX(I$5:I$67,MATCH($B1269,$B$5:$B$67,0))</f>
        <v>924</v>
      </c>
      <c r="K1269" s="25">
        <f t="array" ref="K1269">INDEX(J$5:J$67,MATCH($B1269,$B$5:$B$67,0))</f>
        <v>73.92</v>
      </c>
      <c r="L1269" s="25">
        <f t="shared" si="649"/>
        <v>22352</v>
      </c>
      <c r="M1269" s="25">
        <f t="shared" si="650"/>
        <v>4938</v>
      </c>
      <c r="N1269" s="25">
        <f t="shared" si="651"/>
        <v>3952</v>
      </c>
      <c r="O1269" s="25">
        <f t="shared" si="652"/>
        <v>4694</v>
      </c>
      <c r="R1269" s="50"/>
      <c r="S1269" s="51"/>
      <c r="T1269" s="29"/>
    </row>
    <row r="1270" spans="1:20">
      <c r="A1270" s="48">
        <v>1023052</v>
      </c>
      <c r="B1270" s="49" t="s">
        <v>354</v>
      </c>
      <c r="C1270" s="25">
        <f t="shared" si="648"/>
        <v>52</v>
      </c>
      <c r="D1270" s="25">
        <f t="array" ref="D1270">INDEX(C$5:C$67,MATCH($B1270,$B$5:$B$67,0))</f>
        <v>4400</v>
      </c>
      <c r="E1270" s="25">
        <f t="array" ref="E1270">INDEX(D$5:D$67,MATCH($B1270,$B$5:$B$67,0))</f>
        <v>352</v>
      </c>
      <c r="F1270" s="25">
        <f t="array" ref="F1270">INDEX(E$5:E$67,MATCH($B1270,$B$5:$B$67,0))</f>
        <v>972</v>
      </c>
      <c r="G1270" s="25">
        <f t="array" ref="G1270">INDEX(F$5:F$67,MATCH($B1270,$B$5:$B$67,0))</f>
        <v>77.76</v>
      </c>
      <c r="H1270" s="25">
        <f t="array" ref="H1270">INDEX(G$5:G$66,MATCH($B1270,$B$5:$B$67,0))</f>
        <v>778</v>
      </c>
      <c r="I1270" s="25">
        <f t="array" ref="I1270">INDEX(H$5:H$67,MATCH($B1270,$B$5:$B$67,0))</f>
        <v>62.24</v>
      </c>
      <c r="J1270" s="25">
        <f t="array" ref="J1270">INDEX(I$5:I$67,MATCH($B1270,$B$5:$B$67,0))</f>
        <v>924</v>
      </c>
      <c r="K1270" s="25">
        <f t="array" ref="K1270">INDEX(J$5:J$67,MATCH($B1270,$B$5:$B$67,0))</f>
        <v>73.92</v>
      </c>
      <c r="L1270" s="25">
        <f t="shared" si="649"/>
        <v>22704</v>
      </c>
      <c r="M1270" s="25">
        <f t="shared" si="650"/>
        <v>5016</v>
      </c>
      <c r="N1270" s="25">
        <f t="shared" si="651"/>
        <v>4014</v>
      </c>
      <c r="O1270" s="25">
        <f t="shared" si="652"/>
        <v>4768</v>
      </c>
      <c r="R1270" s="50"/>
      <c r="S1270" s="51"/>
      <c r="T1270" s="29"/>
    </row>
    <row r="1271" spans="1:20">
      <c r="A1271" s="48">
        <v>1023053</v>
      </c>
      <c r="B1271" s="49" t="s">
        <v>354</v>
      </c>
      <c r="C1271" s="25">
        <f t="shared" si="648"/>
        <v>53</v>
      </c>
      <c r="D1271" s="25">
        <f t="array" ref="D1271">INDEX(C$5:C$67,MATCH($B1271,$B$5:$B$67,0))</f>
        <v>4400</v>
      </c>
      <c r="E1271" s="25">
        <f t="array" ref="E1271">INDEX(D$5:D$67,MATCH($B1271,$B$5:$B$67,0))</f>
        <v>352</v>
      </c>
      <c r="F1271" s="25">
        <f t="array" ref="F1271">INDEX(E$5:E$67,MATCH($B1271,$B$5:$B$67,0))</f>
        <v>972</v>
      </c>
      <c r="G1271" s="25">
        <f t="array" ref="G1271">INDEX(F$5:F$67,MATCH($B1271,$B$5:$B$67,0))</f>
        <v>77.76</v>
      </c>
      <c r="H1271" s="25">
        <f t="array" ref="H1271">INDEX(G$5:G$66,MATCH($B1271,$B$5:$B$67,0))</f>
        <v>778</v>
      </c>
      <c r="I1271" s="25">
        <f t="array" ref="I1271">INDEX(H$5:H$67,MATCH($B1271,$B$5:$B$67,0))</f>
        <v>62.24</v>
      </c>
      <c r="J1271" s="25">
        <f t="array" ref="J1271">INDEX(I$5:I$67,MATCH($B1271,$B$5:$B$67,0))</f>
        <v>924</v>
      </c>
      <c r="K1271" s="25">
        <f t="array" ref="K1271">INDEX(J$5:J$67,MATCH($B1271,$B$5:$B$67,0))</f>
        <v>73.92</v>
      </c>
      <c r="L1271" s="25">
        <f t="shared" si="649"/>
        <v>23056</v>
      </c>
      <c r="M1271" s="25">
        <f t="shared" si="650"/>
        <v>5093</v>
      </c>
      <c r="N1271" s="25">
        <f t="shared" si="651"/>
        <v>4077</v>
      </c>
      <c r="O1271" s="25">
        <f t="shared" si="652"/>
        <v>4842</v>
      </c>
      <c r="R1271" s="50"/>
      <c r="S1271" s="51"/>
      <c r="T1271" s="29"/>
    </row>
    <row r="1272" spans="1:20">
      <c r="A1272" s="48">
        <v>1023054</v>
      </c>
      <c r="B1272" s="49" t="s">
        <v>354</v>
      </c>
      <c r="C1272" s="25">
        <f t="shared" si="648"/>
        <v>54</v>
      </c>
      <c r="D1272" s="25">
        <f t="array" ref="D1272">INDEX(C$5:C$67,MATCH($B1272,$B$5:$B$67,0))</f>
        <v>4400</v>
      </c>
      <c r="E1272" s="25">
        <f t="array" ref="E1272">INDEX(D$5:D$67,MATCH($B1272,$B$5:$B$67,0))</f>
        <v>352</v>
      </c>
      <c r="F1272" s="25">
        <f t="array" ref="F1272">INDEX(E$5:E$67,MATCH($B1272,$B$5:$B$67,0))</f>
        <v>972</v>
      </c>
      <c r="G1272" s="25">
        <f t="array" ref="G1272">INDEX(F$5:F$67,MATCH($B1272,$B$5:$B$67,0))</f>
        <v>77.76</v>
      </c>
      <c r="H1272" s="25">
        <f t="array" ref="H1272">INDEX(G$5:G$66,MATCH($B1272,$B$5:$B$67,0))</f>
        <v>778</v>
      </c>
      <c r="I1272" s="25">
        <f t="array" ref="I1272">INDEX(H$5:H$67,MATCH($B1272,$B$5:$B$67,0))</f>
        <v>62.24</v>
      </c>
      <c r="J1272" s="25">
        <f t="array" ref="J1272">INDEX(I$5:I$67,MATCH($B1272,$B$5:$B$67,0))</f>
        <v>924</v>
      </c>
      <c r="K1272" s="25">
        <f t="array" ref="K1272">INDEX(J$5:J$67,MATCH($B1272,$B$5:$B$67,0))</f>
        <v>73.92</v>
      </c>
      <c r="L1272" s="25">
        <f t="shared" si="649"/>
        <v>23408</v>
      </c>
      <c r="M1272" s="25">
        <f t="shared" si="650"/>
        <v>5171</v>
      </c>
      <c r="N1272" s="25">
        <f t="shared" si="651"/>
        <v>4139</v>
      </c>
      <c r="O1272" s="25">
        <f t="shared" si="652"/>
        <v>4916</v>
      </c>
      <c r="R1272" s="50"/>
      <c r="S1272" s="51"/>
      <c r="T1272" s="29"/>
    </row>
    <row r="1273" spans="1:20">
      <c r="A1273" s="48">
        <v>1023055</v>
      </c>
      <c r="B1273" s="49" t="s">
        <v>354</v>
      </c>
      <c r="C1273" s="25">
        <f t="shared" si="648"/>
        <v>55</v>
      </c>
      <c r="D1273" s="25">
        <f t="array" ref="D1273">INDEX(C$5:C$67,MATCH($B1273,$B$5:$B$67,0))</f>
        <v>4400</v>
      </c>
      <c r="E1273" s="25">
        <f t="array" ref="E1273">INDEX(D$5:D$67,MATCH($B1273,$B$5:$B$67,0))</f>
        <v>352</v>
      </c>
      <c r="F1273" s="25">
        <f t="array" ref="F1273">INDEX(E$5:E$67,MATCH($B1273,$B$5:$B$67,0))</f>
        <v>972</v>
      </c>
      <c r="G1273" s="25">
        <f t="array" ref="G1273">INDEX(F$5:F$67,MATCH($B1273,$B$5:$B$67,0))</f>
        <v>77.76</v>
      </c>
      <c r="H1273" s="25">
        <f t="array" ref="H1273">INDEX(G$5:G$66,MATCH($B1273,$B$5:$B$67,0))</f>
        <v>778</v>
      </c>
      <c r="I1273" s="25">
        <f t="array" ref="I1273">INDEX(H$5:H$67,MATCH($B1273,$B$5:$B$67,0))</f>
        <v>62.24</v>
      </c>
      <c r="J1273" s="25">
        <f t="array" ref="J1273">INDEX(I$5:I$67,MATCH($B1273,$B$5:$B$67,0))</f>
        <v>924</v>
      </c>
      <c r="K1273" s="25">
        <f t="array" ref="K1273">INDEX(J$5:J$67,MATCH($B1273,$B$5:$B$67,0))</f>
        <v>73.92</v>
      </c>
      <c r="L1273" s="25">
        <f t="shared" si="649"/>
        <v>23760</v>
      </c>
      <c r="M1273" s="25">
        <f t="shared" si="650"/>
        <v>5249</v>
      </c>
      <c r="N1273" s="25">
        <f t="shared" si="651"/>
        <v>4201</v>
      </c>
      <c r="O1273" s="25">
        <f t="shared" si="652"/>
        <v>4990</v>
      </c>
      <c r="R1273" s="50"/>
      <c r="S1273" s="51"/>
      <c r="T1273" s="29"/>
    </row>
    <row r="1274" spans="1:20">
      <c r="A1274" s="48">
        <v>1023056</v>
      </c>
      <c r="B1274" s="49" t="s">
        <v>354</v>
      </c>
      <c r="C1274" s="25">
        <f t="shared" si="648"/>
        <v>56</v>
      </c>
      <c r="D1274" s="25">
        <f t="array" ref="D1274">INDEX(C$5:C$67,MATCH($B1274,$B$5:$B$67,0))</f>
        <v>4400</v>
      </c>
      <c r="E1274" s="25">
        <f t="array" ref="E1274">INDEX(D$5:D$67,MATCH($B1274,$B$5:$B$67,0))</f>
        <v>352</v>
      </c>
      <c r="F1274" s="25">
        <f t="array" ref="F1274">INDEX(E$5:E$67,MATCH($B1274,$B$5:$B$67,0))</f>
        <v>972</v>
      </c>
      <c r="G1274" s="25">
        <f t="array" ref="G1274">INDEX(F$5:F$67,MATCH($B1274,$B$5:$B$67,0))</f>
        <v>77.76</v>
      </c>
      <c r="H1274" s="25">
        <f t="array" ref="H1274">INDEX(G$5:G$66,MATCH($B1274,$B$5:$B$67,0))</f>
        <v>778</v>
      </c>
      <c r="I1274" s="25">
        <f t="array" ref="I1274">INDEX(H$5:H$67,MATCH($B1274,$B$5:$B$67,0))</f>
        <v>62.24</v>
      </c>
      <c r="J1274" s="25">
        <f t="array" ref="J1274">INDEX(I$5:I$67,MATCH($B1274,$B$5:$B$67,0))</f>
        <v>924</v>
      </c>
      <c r="K1274" s="25">
        <f t="array" ref="K1274">INDEX(J$5:J$67,MATCH($B1274,$B$5:$B$67,0))</f>
        <v>73.92</v>
      </c>
      <c r="L1274" s="25">
        <f t="shared" si="649"/>
        <v>24112</v>
      </c>
      <c r="M1274" s="25">
        <f t="shared" si="650"/>
        <v>5327</v>
      </c>
      <c r="N1274" s="25">
        <f t="shared" si="651"/>
        <v>4263</v>
      </c>
      <c r="O1274" s="25">
        <f t="shared" si="652"/>
        <v>5064</v>
      </c>
      <c r="R1274" s="50"/>
      <c r="S1274" s="51"/>
      <c r="T1274" s="29"/>
    </row>
    <row r="1275" spans="1:20">
      <c r="A1275" s="48">
        <v>1023057</v>
      </c>
      <c r="B1275" s="49" t="s">
        <v>354</v>
      </c>
      <c r="C1275" s="25">
        <f t="shared" si="648"/>
        <v>57</v>
      </c>
      <c r="D1275" s="25">
        <f t="array" ref="D1275">INDEX(C$5:C$67,MATCH($B1275,$B$5:$B$67,0))</f>
        <v>4400</v>
      </c>
      <c r="E1275" s="25">
        <f t="array" ref="E1275">INDEX(D$5:D$67,MATCH($B1275,$B$5:$B$67,0))</f>
        <v>352</v>
      </c>
      <c r="F1275" s="25">
        <f t="array" ref="F1275">INDEX(E$5:E$67,MATCH($B1275,$B$5:$B$67,0))</f>
        <v>972</v>
      </c>
      <c r="G1275" s="25">
        <f t="array" ref="G1275">INDEX(F$5:F$67,MATCH($B1275,$B$5:$B$67,0))</f>
        <v>77.76</v>
      </c>
      <c r="H1275" s="25">
        <f t="array" ref="H1275">INDEX(G$5:G$66,MATCH($B1275,$B$5:$B$67,0))</f>
        <v>778</v>
      </c>
      <c r="I1275" s="25">
        <f t="array" ref="I1275">INDEX(H$5:H$67,MATCH($B1275,$B$5:$B$67,0))</f>
        <v>62.24</v>
      </c>
      <c r="J1275" s="25">
        <f t="array" ref="J1275">INDEX(I$5:I$67,MATCH($B1275,$B$5:$B$67,0))</f>
        <v>924</v>
      </c>
      <c r="K1275" s="25">
        <f t="array" ref="K1275">INDEX(J$5:J$67,MATCH($B1275,$B$5:$B$67,0))</f>
        <v>73.92</v>
      </c>
      <c r="L1275" s="25">
        <f t="shared" si="649"/>
        <v>24464</v>
      </c>
      <c r="M1275" s="25">
        <f t="shared" si="650"/>
        <v>5404</v>
      </c>
      <c r="N1275" s="25">
        <f t="shared" si="651"/>
        <v>4326</v>
      </c>
      <c r="O1275" s="25">
        <f t="shared" si="652"/>
        <v>5137</v>
      </c>
      <c r="R1275" s="50"/>
      <c r="S1275" s="51"/>
      <c r="T1275" s="29"/>
    </row>
    <row r="1276" spans="1:20">
      <c r="A1276" s="48">
        <v>1023058</v>
      </c>
      <c r="B1276" s="49" t="s">
        <v>354</v>
      </c>
      <c r="C1276" s="25">
        <f t="shared" si="648"/>
        <v>58</v>
      </c>
      <c r="D1276" s="25">
        <f t="array" ref="D1276">INDEX(C$5:C$67,MATCH($B1276,$B$5:$B$67,0))</f>
        <v>4400</v>
      </c>
      <c r="E1276" s="25">
        <f t="array" ref="E1276">INDEX(D$5:D$67,MATCH($B1276,$B$5:$B$67,0))</f>
        <v>352</v>
      </c>
      <c r="F1276" s="25">
        <f t="array" ref="F1276">INDEX(E$5:E$67,MATCH($B1276,$B$5:$B$67,0))</f>
        <v>972</v>
      </c>
      <c r="G1276" s="25">
        <f t="array" ref="G1276">INDEX(F$5:F$67,MATCH($B1276,$B$5:$B$67,0))</f>
        <v>77.76</v>
      </c>
      <c r="H1276" s="25">
        <f t="array" ref="H1276">INDEX(G$5:G$66,MATCH($B1276,$B$5:$B$67,0))</f>
        <v>778</v>
      </c>
      <c r="I1276" s="25">
        <f t="array" ref="I1276">INDEX(H$5:H$67,MATCH($B1276,$B$5:$B$67,0))</f>
        <v>62.24</v>
      </c>
      <c r="J1276" s="25">
        <f t="array" ref="J1276">INDEX(I$5:I$67,MATCH($B1276,$B$5:$B$67,0))</f>
        <v>924</v>
      </c>
      <c r="K1276" s="25">
        <f t="array" ref="K1276">INDEX(J$5:J$67,MATCH($B1276,$B$5:$B$67,0))</f>
        <v>73.92</v>
      </c>
      <c r="L1276" s="25">
        <f t="shared" si="649"/>
        <v>24816</v>
      </c>
      <c r="M1276" s="25">
        <f t="shared" si="650"/>
        <v>5482</v>
      </c>
      <c r="N1276" s="25">
        <f t="shared" si="651"/>
        <v>4388</v>
      </c>
      <c r="O1276" s="25">
        <f t="shared" si="652"/>
        <v>5211</v>
      </c>
      <c r="R1276" s="50"/>
      <c r="S1276" s="51"/>
      <c r="T1276" s="29"/>
    </row>
    <row r="1277" spans="1:20">
      <c r="A1277" s="48">
        <v>1023059</v>
      </c>
      <c r="B1277" s="49" t="s">
        <v>354</v>
      </c>
      <c r="C1277" s="25">
        <f t="shared" si="648"/>
        <v>59</v>
      </c>
      <c r="D1277" s="25">
        <f t="array" ref="D1277">INDEX(C$5:C$67,MATCH($B1277,$B$5:$B$67,0))</f>
        <v>4400</v>
      </c>
      <c r="E1277" s="25">
        <f t="array" ref="E1277">INDEX(D$5:D$67,MATCH($B1277,$B$5:$B$67,0))</f>
        <v>352</v>
      </c>
      <c r="F1277" s="25">
        <f t="array" ref="F1277">INDEX(E$5:E$67,MATCH($B1277,$B$5:$B$67,0))</f>
        <v>972</v>
      </c>
      <c r="G1277" s="25">
        <f t="array" ref="G1277">INDEX(F$5:F$67,MATCH($B1277,$B$5:$B$67,0))</f>
        <v>77.76</v>
      </c>
      <c r="H1277" s="25">
        <f t="array" ref="H1277">INDEX(G$5:G$66,MATCH($B1277,$B$5:$B$67,0))</f>
        <v>778</v>
      </c>
      <c r="I1277" s="25">
        <f t="array" ref="I1277">INDEX(H$5:H$67,MATCH($B1277,$B$5:$B$67,0))</f>
        <v>62.24</v>
      </c>
      <c r="J1277" s="25">
        <f t="array" ref="J1277">INDEX(I$5:I$67,MATCH($B1277,$B$5:$B$67,0))</f>
        <v>924</v>
      </c>
      <c r="K1277" s="25">
        <f t="array" ref="K1277">INDEX(J$5:J$67,MATCH($B1277,$B$5:$B$67,0))</f>
        <v>73.92</v>
      </c>
      <c r="L1277" s="25">
        <f t="shared" si="649"/>
        <v>25168</v>
      </c>
      <c r="M1277" s="25">
        <f t="shared" si="650"/>
        <v>5560</v>
      </c>
      <c r="N1277" s="25">
        <f t="shared" si="651"/>
        <v>4450</v>
      </c>
      <c r="O1277" s="25">
        <f t="shared" si="652"/>
        <v>5285</v>
      </c>
      <c r="R1277" s="50"/>
      <c r="S1277" s="51"/>
      <c r="T1277" s="29"/>
    </row>
    <row r="1278" spans="1:20">
      <c r="A1278" s="48">
        <v>1023060</v>
      </c>
      <c r="B1278" s="49" t="s">
        <v>354</v>
      </c>
      <c r="C1278" s="25">
        <f t="shared" si="648"/>
        <v>60</v>
      </c>
      <c r="D1278" s="25">
        <f t="array" ref="D1278">INDEX(C$5:C$67,MATCH($B1278,$B$5:$B$67,0))</f>
        <v>4400</v>
      </c>
      <c r="E1278" s="25">
        <f t="array" ref="E1278">INDEX(D$5:D$67,MATCH($B1278,$B$5:$B$67,0))</f>
        <v>352</v>
      </c>
      <c r="F1278" s="25">
        <f t="array" ref="F1278">INDEX(E$5:E$67,MATCH($B1278,$B$5:$B$67,0))</f>
        <v>972</v>
      </c>
      <c r="G1278" s="25">
        <f t="array" ref="G1278">INDEX(F$5:F$67,MATCH($B1278,$B$5:$B$67,0))</f>
        <v>77.76</v>
      </c>
      <c r="H1278" s="25">
        <f t="array" ref="H1278">INDEX(G$5:G$66,MATCH($B1278,$B$5:$B$67,0))</f>
        <v>778</v>
      </c>
      <c r="I1278" s="25">
        <f t="array" ref="I1278">INDEX(H$5:H$67,MATCH($B1278,$B$5:$B$67,0))</f>
        <v>62.24</v>
      </c>
      <c r="J1278" s="25">
        <f t="array" ref="J1278">INDEX(I$5:I$67,MATCH($B1278,$B$5:$B$67,0))</f>
        <v>924</v>
      </c>
      <c r="K1278" s="25">
        <f t="array" ref="K1278">INDEX(J$5:J$67,MATCH($B1278,$B$5:$B$67,0))</f>
        <v>73.92</v>
      </c>
      <c r="L1278" s="25">
        <f t="shared" si="649"/>
        <v>25520</v>
      </c>
      <c r="M1278" s="25">
        <f t="shared" si="650"/>
        <v>5638</v>
      </c>
      <c r="N1278" s="25">
        <f t="shared" si="651"/>
        <v>4512</v>
      </c>
      <c r="O1278" s="25">
        <f t="shared" si="652"/>
        <v>5359</v>
      </c>
      <c r="R1278" s="50"/>
      <c r="S1278" s="51"/>
      <c r="T1278" s="29"/>
    </row>
    <row r="1279" spans="1:20">
      <c r="A1279" s="48">
        <v>1024001</v>
      </c>
      <c r="B1279" s="49" t="s">
        <v>355</v>
      </c>
      <c r="C1279" s="25">
        <f t="shared" si="648"/>
        <v>1</v>
      </c>
      <c r="D1279" s="25">
        <f t="array" ref="D1279">INDEX(C$5:C$67,MATCH($B1279,$B$5:$B$67,0))</f>
        <v>3168</v>
      </c>
      <c r="E1279" s="25">
        <f t="array" ref="E1279">INDEX(D$5:D$67,MATCH($B1279,$B$5:$B$67,0))</f>
        <v>253.44</v>
      </c>
      <c r="F1279" s="25">
        <f t="array" ref="F1279">INDEX(E$5:E$67,MATCH($B1279,$B$5:$B$67,0))</f>
        <v>1152</v>
      </c>
      <c r="G1279" s="25">
        <f t="array" ref="G1279">INDEX(F$5:F$67,MATCH($B1279,$B$5:$B$67,0))</f>
        <v>92.16</v>
      </c>
      <c r="H1279" s="25">
        <f t="array" ref="H1279">INDEX(G$5:G$66,MATCH($B1279,$B$5:$B$67,0))</f>
        <v>1440</v>
      </c>
      <c r="I1279" s="25">
        <f t="array" ref="I1279">INDEX(H$5:H$67,MATCH($B1279,$B$5:$B$67,0))</f>
        <v>115.2</v>
      </c>
      <c r="J1279" s="25">
        <f t="array" ref="J1279">INDEX(I$5:I$67,MATCH($B1279,$B$5:$B$67,0))</f>
        <v>800</v>
      </c>
      <c r="K1279" s="25">
        <f t="array" ref="K1279">INDEX(J$5:J$67,MATCH($B1279,$B$5:$B$67,0))</f>
        <v>64</v>
      </c>
      <c r="L1279" s="25">
        <f t="shared" si="649"/>
        <v>3421</v>
      </c>
      <c r="M1279" s="25">
        <f t="shared" si="650"/>
        <v>1244</v>
      </c>
      <c r="N1279" s="25">
        <f t="shared" si="651"/>
        <v>1555</v>
      </c>
      <c r="O1279" s="25">
        <f t="shared" si="652"/>
        <v>864</v>
      </c>
      <c r="R1279" s="50"/>
      <c r="S1279" s="51"/>
      <c r="T1279" s="29"/>
    </row>
    <row r="1280" spans="1:20">
      <c r="A1280" s="48">
        <v>1024002</v>
      </c>
      <c r="B1280" s="49" t="s">
        <v>355</v>
      </c>
      <c r="C1280" s="25">
        <f t="shared" si="648"/>
        <v>2</v>
      </c>
      <c r="D1280" s="25">
        <f t="array" ref="D1280">INDEX(C$5:C$67,MATCH($B1280,$B$5:$B$67,0))</f>
        <v>3168</v>
      </c>
      <c r="E1280" s="25">
        <f t="array" ref="E1280">INDEX(D$5:D$67,MATCH($B1280,$B$5:$B$67,0))</f>
        <v>253.44</v>
      </c>
      <c r="F1280" s="25">
        <f t="array" ref="F1280">INDEX(E$5:E$67,MATCH($B1280,$B$5:$B$67,0))</f>
        <v>1152</v>
      </c>
      <c r="G1280" s="25">
        <f t="array" ref="G1280">INDEX(F$5:F$67,MATCH($B1280,$B$5:$B$67,0))</f>
        <v>92.16</v>
      </c>
      <c r="H1280" s="25">
        <f t="array" ref="H1280">INDEX(G$5:G$66,MATCH($B1280,$B$5:$B$67,0))</f>
        <v>1440</v>
      </c>
      <c r="I1280" s="25">
        <f t="array" ref="I1280">INDEX(H$5:H$67,MATCH($B1280,$B$5:$B$67,0))</f>
        <v>115.2</v>
      </c>
      <c r="J1280" s="25">
        <f t="array" ref="J1280">INDEX(I$5:I$67,MATCH($B1280,$B$5:$B$67,0))</f>
        <v>800</v>
      </c>
      <c r="K1280" s="25">
        <f t="array" ref="K1280">INDEX(J$5:J$67,MATCH($B1280,$B$5:$B$67,0))</f>
        <v>64</v>
      </c>
      <c r="L1280" s="25">
        <f t="shared" si="649"/>
        <v>3675</v>
      </c>
      <c r="M1280" s="25">
        <f t="shared" si="650"/>
        <v>1336</v>
      </c>
      <c r="N1280" s="25">
        <f t="shared" si="651"/>
        <v>1670</v>
      </c>
      <c r="O1280" s="25">
        <f t="shared" si="652"/>
        <v>928</v>
      </c>
      <c r="R1280" s="50"/>
      <c r="S1280" s="51"/>
      <c r="T1280" s="29"/>
    </row>
    <row r="1281" spans="1:20">
      <c r="A1281" s="48">
        <v>1024003</v>
      </c>
      <c r="B1281" s="49" t="s">
        <v>355</v>
      </c>
      <c r="C1281" s="25">
        <f t="shared" si="648"/>
        <v>3</v>
      </c>
      <c r="D1281" s="25">
        <f t="array" ref="D1281">INDEX(C$5:C$67,MATCH($B1281,$B$5:$B$67,0))</f>
        <v>3168</v>
      </c>
      <c r="E1281" s="25">
        <f t="array" ref="E1281">INDEX(D$5:D$67,MATCH($B1281,$B$5:$B$67,0))</f>
        <v>253.44</v>
      </c>
      <c r="F1281" s="25">
        <f t="array" ref="F1281">INDEX(E$5:E$67,MATCH($B1281,$B$5:$B$67,0))</f>
        <v>1152</v>
      </c>
      <c r="G1281" s="25">
        <f t="array" ref="G1281">INDEX(F$5:F$67,MATCH($B1281,$B$5:$B$67,0))</f>
        <v>92.16</v>
      </c>
      <c r="H1281" s="25">
        <f t="array" ref="H1281">INDEX(G$5:G$66,MATCH($B1281,$B$5:$B$67,0))</f>
        <v>1440</v>
      </c>
      <c r="I1281" s="25">
        <f t="array" ref="I1281">INDEX(H$5:H$67,MATCH($B1281,$B$5:$B$67,0))</f>
        <v>115.2</v>
      </c>
      <c r="J1281" s="25">
        <f t="array" ref="J1281">INDEX(I$5:I$67,MATCH($B1281,$B$5:$B$67,0))</f>
        <v>800</v>
      </c>
      <c r="K1281" s="25">
        <f t="array" ref="K1281">INDEX(J$5:J$67,MATCH($B1281,$B$5:$B$67,0))</f>
        <v>64</v>
      </c>
      <c r="L1281" s="25">
        <f t="shared" si="649"/>
        <v>3928</v>
      </c>
      <c r="M1281" s="25">
        <f t="shared" si="650"/>
        <v>1428</v>
      </c>
      <c r="N1281" s="25">
        <f t="shared" si="651"/>
        <v>1786</v>
      </c>
      <c r="O1281" s="25">
        <f t="shared" si="652"/>
        <v>992</v>
      </c>
      <c r="R1281" s="50"/>
      <c r="S1281" s="51"/>
      <c r="T1281" s="29"/>
    </row>
    <row r="1282" spans="1:20">
      <c r="A1282" s="48">
        <v>1024004</v>
      </c>
      <c r="B1282" s="49" t="s">
        <v>355</v>
      </c>
      <c r="C1282" s="25">
        <f t="shared" si="648"/>
        <v>4</v>
      </c>
      <c r="D1282" s="25">
        <f t="array" ref="D1282">INDEX(C$5:C$67,MATCH($B1282,$B$5:$B$67,0))</f>
        <v>3168</v>
      </c>
      <c r="E1282" s="25">
        <f t="array" ref="E1282">INDEX(D$5:D$67,MATCH($B1282,$B$5:$B$67,0))</f>
        <v>253.44</v>
      </c>
      <c r="F1282" s="25">
        <f t="array" ref="F1282">INDEX(E$5:E$67,MATCH($B1282,$B$5:$B$67,0))</f>
        <v>1152</v>
      </c>
      <c r="G1282" s="25">
        <f t="array" ref="G1282">INDEX(F$5:F$67,MATCH($B1282,$B$5:$B$67,0))</f>
        <v>92.16</v>
      </c>
      <c r="H1282" s="25">
        <f t="array" ref="H1282">INDEX(G$5:G$66,MATCH($B1282,$B$5:$B$67,0))</f>
        <v>1440</v>
      </c>
      <c r="I1282" s="25">
        <f t="array" ref="I1282">INDEX(H$5:H$67,MATCH($B1282,$B$5:$B$67,0))</f>
        <v>115.2</v>
      </c>
      <c r="J1282" s="25">
        <f t="array" ref="J1282">INDEX(I$5:I$67,MATCH($B1282,$B$5:$B$67,0))</f>
        <v>800</v>
      </c>
      <c r="K1282" s="25">
        <f t="array" ref="K1282">INDEX(J$5:J$67,MATCH($B1282,$B$5:$B$67,0))</f>
        <v>64</v>
      </c>
      <c r="L1282" s="25">
        <f t="shared" si="649"/>
        <v>4182</v>
      </c>
      <c r="M1282" s="25">
        <f t="shared" si="650"/>
        <v>1521</v>
      </c>
      <c r="N1282" s="25">
        <f t="shared" si="651"/>
        <v>1901</v>
      </c>
      <c r="O1282" s="25">
        <f t="shared" si="652"/>
        <v>1056</v>
      </c>
      <c r="R1282" s="50"/>
      <c r="S1282" s="51"/>
      <c r="T1282" s="29"/>
    </row>
    <row r="1283" spans="1:20">
      <c r="A1283" s="48">
        <v>1024005</v>
      </c>
      <c r="B1283" s="49" t="s">
        <v>355</v>
      </c>
      <c r="C1283" s="25">
        <f t="shared" si="648"/>
        <v>5</v>
      </c>
      <c r="D1283" s="25">
        <f t="array" ref="D1283">INDEX(C$5:C$67,MATCH($B1283,$B$5:$B$67,0))</f>
        <v>3168</v>
      </c>
      <c r="E1283" s="25">
        <f t="array" ref="E1283">INDEX(D$5:D$67,MATCH($B1283,$B$5:$B$67,0))</f>
        <v>253.44</v>
      </c>
      <c r="F1283" s="25">
        <f t="array" ref="F1283">INDEX(E$5:E$67,MATCH($B1283,$B$5:$B$67,0))</f>
        <v>1152</v>
      </c>
      <c r="G1283" s="25">
        <f t="array" ref="G1283">INDEX(F$5:F$67,MATCH($B1283,$B$5:$B$67,0))</f>
        <v>92.16</v>
      </c>
      <c r="H1283" s="25">
        <f t="array" ref="H1283">INDEX(G$5:G$66,MATCH($B1283,$B$5:$B$67,0))</f>
        <v>1440</v>
      </c>
      <c r="I1283" s="25">
        <f t="array" ref="I1283">INDEX(H$5:H$67,MATCH($B1283,$B$5:$B$67,0))</f>
        <v>115.2</v>
      </c>
      <c r="J1283" s="25">
        <f t="array" ref="J1283">INDEX(I$5:I$67,MATCH($B1283,$B$5:$B$67,0))</f>
        <v>800</v>
      </c>
      <c r="K1283" s="25">
        <f t="array" ref="K1283">INDEX(J$5:J$67,MATCH($B1283,$B$5:$B$67,0))</f>
        <v>64</v>
      </c>
      <c r="L1283" s="25">
        <f t="shared" si="649"/>
        <v>4435</v>
      </c>
      <c r="M1283" s="25">
        <f t="shared" si="650"/>
        <v>1613</v>
      </c>
      <c r="N1283" s="25">
        <f t="shared" si="651"/>
        <v>2016</v>
      </c>
      <c r="O1283" s="25">
        <f t="shared" si="652"/>
        <v>1120</v>
      </c>
      <c r="R1283" s="50"/>
      <c r="S1283" s="51"/>
      <c r="T1283" s="29"/>
    </row>
    <row r="1284" spans="1:20">
      <c r="A1284" s="48">
        <v>1024006</v>
      </c>
      <c r="B1284" s="49" t="s">
        <v>355</v>
      </c>
      <c r="C1284" s="25">
        <f t="shared" si="648"/>
        <v>6</v>
      </c>
      <c r="D1284" s="25">
        <f t="array" ref="D1284">INDEX(C$5:C$67,MATCH($B1284,$B$5:$B$67,0))</f>
        <v>3168</v>
      </c>
      <c r="E1284" s="25">
        <f t="array" ref="E1284">INDEX(D$5:D$67,MATCH($B1284,$B$5:$B$67,0))</f>
        <v>253.44</v>
      </c>
      <c r="F1284" s="25">
        <f t="array" ref="F1284">INDEX(E$5:E$67,MATCH($B1284,$B$5:$B$67,0))</f>
        <v>1152</v>
      </c>
      <c r="G1284" s="25">
        <f t="array" ref="G1284">INDEX(F$5:F$67,MATCH($B1284,$B$5:$B$67,0))</f>
        <v>92.16</v>
      </c>
      <c r="H1284" s="25">
        <f t="array" ref="H1284">INDEX(G$5:G$66,MATCH($B1284,$B$5:$B$67,0))</f>
        <v>1440</v>
      </c>
      <c r="I1284" s="25">
        <f t="array" ref="I1284">INDEX(H$5:H$67,MATCH($B1284,$B$5:$B$67,0))</f>
        <v>115.2</v>
      </c>
      <c r="J1284" s="25">
        <f t="array" ref="J1284">INDEX(I$5:I$67,MATCH($B1284,$B$5:$B$67,0))</f>
        <v>800</v>
      </c>
      <c r="K1284" s="25">
        <f t="array" ref="K1284">INDEX(J$5:J$67,MATCH($B1284,$B$5:$B$67,0))</f>
        <v>64</v>
      </c>
      <c r="L1284" s="25">
        <f t="shared" si="649"/>
        <v>4689</v>
      </c>
      <c r="M1284" s="25">
        <f t="shared" si="650"/>
        <v>1705</v>
      </c>
      <c r="N1284" s="25">
        <f t="shared" si="651"/>
        <v>2131</v>
      </c>
      <c r="O1284" s="25">
        <f t="shared" si="652"/>
        <v>1184</v>
      </c>
      <c r="R1284" s="50"/>
      <c r="S1284" s="51"/>
      <c r="T1284" s="29"/>
    </row>
    <row r="1285" spans="1:20">
      <c r="A1285" s="48">
        <v>1024007</v>
      </c>
      <c r="B1285" s="49" t="s">
        <v>355</v>
      </c>
      <c r="C1285" s="25">
        <f t="shared" si="648"/>
        <v>7</v>
      </c>
      <c r="D1285" s="25">
        <f t="array" ref="D1285">INDEX(C$5:C$67,MATCH($B1285,$B$5:$B$67,0))</f>
        <v>3168</v>
      </c>
      <c r="E1285" s="25">
        <f t="array" ref="E1285">INDEX(D$5:D$67,MATCH($B1285,$B$5:$B$67,0))</f>
        <v>253.44</v>
      </c>
      <c r="F1285" s="25">
        <f t="array" ref="F1285">INDEX(E$5:E$67,MATCH($B1285,$B$5:$B$67,0))</f>
        <v>1152</v>
      </c>
      <c r="G1285" s="25">
        <f t="array" ref="G1285">INDEX(F$5:F$67,MATCH($B1285,$B$5:$B$67,0))</f>
        <v>92.16</v>
      </c>
      <c r="H1285" s="25">
        <f t="array" ref="H1285">INDEX(G$5:G$66,MATCH($B1285,$B$5:$B$67,0))</f>
        <v>1440</v>
      </c>
      <c r="I1285" s="25">
        <f t="array" ref="I1285">INDEX(H$5:H$67,MATCH($B1285,$B$5:$B$67,0))</f>
        <v>115.2</v>
      </c>
      <c r="J1285" s="25">
        <f t="array" ref="J1285">INDEX(I$5:I$67,MATCH($B1285,$B$5:$B$67,0))</f>
        <v>800</v>
      </c>
      <c r="K1285" s="25">
        <f t="array" ref="K1285">INDEX(J$5:J$67,MATCH($B1285,$B$5:$B$67,0))</f>
        <v>64</v>
      </c>
      <c r="L1285" s="25">
        <f t="shared" si="649"/>
        <v>4942</v>
      </c>
      <c r="M1285" s="25">
        <f t="shared" si="650"/>
        <v>1797</v>
      </c>
      <c r="N1285" s="25">
        <f t="shared" si="651"/>
        <v>2246</v>
      </c>
      <c r="O1285" s="25">
        <f t="shared" si="652"/>
        <v>1248</v>
      </c>
      <c r="R1285" s="50"/>
      <c r="S1285" s="51"/>
      <c r="T1285" s="29"/>
    </row>
    <row r="1286" spans="1:20">
      <c r="A1286" s="48">
        <v>1024008</v>
      </c>
      <c r="B1286" s="49" t="s">
        <v>355</v>
      </c>
      <c r="C1286" s="25">
        <f t="shared" si="648"/>
        <v>8</v>
      </c>
      <c r="D1286" s="25">
        <f t="array" ref="D1286">INDEX(C$5:C$67,MATCH($B1286,$B$5:$B$67,0))</f>
        <v>3168</v>
      </c>
      <c r="E1286" s="25">
        <f t="array" ref="E1286">INDEX(D$5:D$67,MATCH($B1286,$B$5:$B$67,0))</f>
        <v>253.44</v>
      </c>
      <c r="F1286" s="25">
        <f t="array" ref="F1286">INDEX(E$5:E$67,MATCH($B1286,$B$5:$B$67,0))</f>
        <v>1152</v>
      </c>
      <c r="G1286" s="25">
        <f t="array" ref="G1286">INDEX(F$5:F$67,MATCH($B1286,$B$5:$B$67,0))</f>
        <v>92.16</v>
      </c>
      <c r="H1286" s="25">
        <f t="array" ref="H1286">INDEX(G$5:G$66,MATCH($B1286,$B$5:$B$67,0))</f>
        <v>1440</v>
      </c>
      <c r="I1286" s="25">
        <f t="array" ref="I1286">INDEX(H$5:H$67,MATCH($B1286,$B$5:$B$67,0))</f>
        <v>115.2</v>
      </c>
      <c r="J1286" s="25">
        <f t="array" ref="J1286">INDEX(I$5:I$67,MATCH($B1286,$B$5:$B$67,0))</f>
        <v>800</v>
      </c>
      <c r="K1286" s="25">
        <f t="array" ref="K1286">INDEX(J$5:J$67,MATCH($B1286,$B$5:$B$67,0))</f>
        <v>64</v>
      </c>
      <c r="L1286" s="25">
        <f t="shared" si="649"/>
        <v>5196</v>
      </c>
      <c r="M1286" s="25">
        <f t="shared" si="650"/>
        <v>1889</v>
      </c>
      <c r="N1286" s="25">
        <f t="shared" si="651"/>
        <v>2362</v>
      </c>
      <c r="O1286" s="25">
        <f t="shared" si="652"/>
        <v>1312</v>
      </c>
      <c r="R1286" s="50"/>
      <c r="S1286" s="51"/>
      <c r="T1286" s="29"/>
    </row>
    <row r="1287" spans="1:20">
      <c r="A1287" s="48">
        <v>1024009</v>
      </c>
      <c r="B1287" s="49" t="s">
        <v>355</v>
      </c>
      <c r="C1287" s="25">
        <f t="shared" si="648"/>
        <v>9</v>
      </c>
      <c r="D1287" s="25">
        <f t="array" ref="D1287">INDEX(C$5:C$67,MATCH($B1287,$B$5:$B$67,0))</f>
        <v>3168</v>
      </c>
      <c r="E1287" s="25">
        <f t="array" ref="E1287">INDEX(D$5:D$67,MATCH($B1287,$B$5:$B$67,0))</f>
        <v>253.44</v>
      </c>
      <c r="F1287" s="25">
        <f t="array" ref="F1287">INDEX(E$5:E$67,MATCH($B1287,$B$5:$B$67,0))</f>
        <v>1152</v>
      </c>
      <c r="G1287" s="25">
        <f t="array" ref="G1287">INDEX(F$5:F$67,MATCH($B1287,$B$5:$B$67,0))</f>
        <v>92.16</v>
      </c>
      <c r="H1287" s="25">
        <f t="array" ref="H1287">INDEX(G$5:G$66,MATCH($B1287,$B$5:$B$67,0))</f>
        <v>1440</v>
      </c>
      <c r="I1287" s="25">
        <f t="array" ref="I1287">INDEX(H$5:H$67,MATCH($B1287,$B$5:$B$67,0))</f>
        <v>115.2</v>
      </c>
      <c r="J1287" s="25">
        <f t="array" ref="J1287">INDEX(I$5:I$67,MATCH($B1287,$B$5:$B$67,0))</f>
        <v>800</v>
      </c>
      <c r="K1287" s="25">
        <f t="array" ref="K1287">INDEX(J$5:J$67,MATCH($B1287,$B$5:$B$67,0))</f>
        <v>64</v>
      </c>
      <c r="L1287" s="25">
        <f t="shared" si="649"/>
        <v>5449</v>
      </c>
      <c r="M1287" s="25">
        <f t="shared" si="650"/>
        <v>1981</v>
      </c>
      <c r="N1287" s="25">
        <f t="shared" si="651"/>
        <v>2477</v>
      </c>
      <c r="O1287" s="25">
        <f t="shared" si="652"/>
        <v>1376</v>
      </c>
      <c r="R1287" s="50"/>
      <c r="S1287" s="51"/>
      <c r="T1287" s="29"/>
    </row>
    <row r="1288" spans="1:20">
      <c r="A1288" s="48">
        <v>1024010</v>
      </c>
      <c r="B1288" s="49" t="s">
        <v>355</v>
      </c>
      <c r="C1288" s="25">
        <f t="shared" si="648"/>
        <v>10</v>
      </c>
      <c r="D1288" s="25">
        <f t="array" ref="D1288">INDEX(C$5:C$67,MATCH($B1288,$B$5:$B$67,0))</f>
        <v>3168</v>
      </c>
      <c r="E1288" s="25">
        <f t="array" ref="E1288">INDEX(D$5:D$67,MATCH($B1288,$B$5:$B$67,0))</f>
        <v>253.44</v>
      </c>
      <c r="F1288" s="25">
        <f t="array" ref="F1288">INDEX(E$5:E$67,MATCH($B1288,$B$5:$B$67,0))</f>
        <v>1152</v>
      </c>
      <c r="G1288" s="25">
        <f t="array" ref="G1288">INDEX(F$5:F$67,MATCH($B1288,$B$5:$B$67,0))</f>
        <v>92.16</v>
      </c>
      <c r="H1288" s="25">
        <f t="array" ref="H1288">INDEX(G$5:G$66,MATCH($B1288,$B$5:$B$67,0))</f>
        <v>1440</v>
      </c>
      <c r="I1288" s="25">
        <f t="array" ref="I1288">INDEX(H$5:H$67,MATCH($B1288,$B$5:$B$67,0))</f>
        <v>115.2</v>
      </c>
      <c r="J1288" s="25">
        <f t="array" ref="J1288">INDEX(I$5:I$67,MATCH($B1288,$B$5:$B$67,0))</f>
        <v>800</v>
      </c>
      <c r="K1288" s="25">
        <f t="array" ref="K1288">INDEX(J$5:J$67,MATCH($B1288,$B$5:$B$67,0))</f>
        <v>64</v>
      </c>
      <c r="L1288" s="25">
        <f t="shared" si="649"/>
        <v>5702</v>
      </c>
      <c r="M1288" s="25">
        <f t="shared" si="650"/>
        <v>2074</v>
      </c>
      <c r="N1288" s="25">
        <f t="shared" si="651"/>
        <v>2592</v>
      </c>
      <c r="O1288" s="25">
        <f t="shared" si="652"/>
        <v>1440</v>
      </c>
      <c r="R1288" s="50"/>
      <c r="S1288" s="51"/>
      <c r="T1288" s="29"/>
    </row>
    <row r="1289" spans="1:20">
      <c r="A1289" s="48">
        <v>1024011</v>
      </c>
      <c r="B1289" s="49" t="s">
        <v>355</v>
      </c>
      <c r="C1289" s="25">
        <f t="shared" si="648"/>
        <v>11</v>
      </c>
      <c r="D1289" s="25">
        <f t="array" ref="D1289">INDEX(C$5:C$67,MATCH($B1289,$B$5:$B$67,0))</f>
        <v>3168</v>
      </c>
      <c r="E1289" s="25">
        <f t="array" ref="E1289">INDEX(D$5:D$67,MATCH($B1289,$B$5:$B$67,0))</f>
        <v>253.44</v>
      </c>
      <c r="F1289" s="25">
        <f t="array" ref="F1289">INDEX(E$5:E$67,MATCH($B1289,$B$5:$B$67,0))</f>
        <v>1152</v>
      </c>
      <c r="G1289" s="25">
        <f t="array" ref="G1289">INDEX(F$5:F$67,MATCH($B1289,$B$5:$B$67,0))</f>
        <v>92.16</v>
      </c>
      <c r="H1289" s="25">
        <f t="array" ref="H1289">INDEX(G$5:G$66,MATCH($B1289,$B$5:$B$67,0))</f>
        <v>1440</v>
      </c>
      <c r="I1289" s="25">
        <f t="array" ref="I1289">INDEX(H$5:H$67,MATCH($B1289,$B$5:$B$67,0))</f>
        <v>115.2</v>
      </c>
      <c r="J1289" s="25">
        <f t="array" ref="J1289">INDEX(I$5:I$67,MATCH($B1289,$B$5:$B$67,0))</f>
        <v>800</v>
      </c>
      <c r="K1289" s="25">
        <f t="array" ref="K1289">INDEX(J$5:J$67,MATCH($B1289,$B$5:$B$67,0))</f>
        <v>64</v>
      </c>
      <c r="L1289" s="25">
        <f t="shared" si="649"/>
        <v>5956</v>
      </c>
      <c r="M1289" s="25">
        <f t="shared" si="650"/>
        <v>2166</v>
      </c>
      <c r="N1289" s="25">
        <f t="shared" si="651"/>
        <v>2707</v>
      </c>
      <c r="O1289" s="25">
        <f t="shared" si="652"/>
        <v>1504</v>
      </c>
      <c r="R1289" s="50"/>
      <c r="S1289" s="51"/>
      <c r="T1289" s="29"/>
    </row>
    <row r="1290" spans="1:20">
      <c r="A1290" s="48">
        <v>1024012</v>
      </c>
      <c r="B1290" s="49" t="s">
        <v>355</v>
      </c>
      <c r="C1290" s="25">
        <f t="shared" si="648"/>
        <v>12</v>
      </c>
      <c r="D1290" s="25">
        <f t="array" ref="D1290">INDEX(C$5:C$67,MATCH($B1290,$B$5:$B$67,0))</f>
        <v>3168</v>
      </c>
      <c r="E1290" s="25">
        <f t="array" ref="E1290">INDEX(D$5:D$67,MATCH($B1290,$B$5:$B$67,0))</f>
        <v>253.44</v>
      </c>
      <c r="F1290" s="25">
        <f t="array" ref="F1290">INDEX(E$5:E$67,MATCH($B1290,$B$5:$B$67,0))</f>
        <v>1152</v>
      </c>
      <c r="G1290" s="25">
        <f t="array" ref="G1290">INDEX(F$5:F$67,MATCH($B1290,$B$5:$B$67,0))</f>
        <v>92.16</v>
      </c>
      <c r="H1290" s="25">
        <f t="array" ref="H1290">INDEX(G$5:G$66,MATCH($B1290,$B$5:$B$67,0))</f>
        <v>1440</v>
      </c>
      <c r="I1290" s="25">
        <f t="array" ref="I1290">INDEX(H$5:H$67,MATCH($B1290,$B$5:$B$67,0))</f>
        <v>115.2</v>
      </c>
      <c r="J1290" s="25">
        <f t="array" ref="J1290">INDEX(I$5:I$67,MATCH($B1290,$B$5:$B$67,0))</f>
        <v>800</v>
      </c>
      <c r="K1290" s="25">
        <f t="array" ref="K1290">INDEX(J$5:J$67,MATCH($B1290,$B$5:$B$67,0))</f>
        <v>64</v>
      </c>
      <c r="L1290" s="25">
        <f t="shared" si="649"/>
        <v>6209</v>
      </c>
      <c r="M1290" s="25">
        <f t="shared" si="650"/>
        <v>2258</v>
      </c>
      <c r="N1290" s="25">
        <f t="shared" si="651"/>
        <v>2822</v>
      </c>
      <c r="O1290" s="25">
        <f t="shared" si="652"/>
        <v>1568</v>
      </c>
      <c r="R1290" s="50"/>
      <c r="S1290" s="51"/>
      <c r="T1290" s="29"/>
    </row>
    <row r="1291" spans="1:20">
      <c r="A1291" s="48">
        <v>1024013</v>
      </c>
      <c r="B1291" s="49" t="s">
        <v>355</v>
      </c>
      <c r="C1291" s="25">
        <f t="shared" ref="C1291:C1354" si="653">C1231</f>
        <v>13</v>
      </c>
      <c r="D1291" s="25">
        <f t="array" ref="D1291">INDEX(C$5:C$67,MATCH($B1291,$B$5:$B$67,0))</f>
        <v>3168</v>
      </c>
      <c r="E1291" s="25">
        <f t="array" ref="E1291">INDEX(D$5:D$67,MATCH($B1291,$B$5:$B$67,0))</f>
        <v>253.44</v>
      </c>
      <c r="F1291" s="25">
        <f t="array" ref="F1291">INDEX(E$5:E$67,MATCH($B1291,$B$5:$B$67,0))</f>
        <v>1152</v>
      </c>
      <c r="G1291" s="25">
        <f t="array" ref="G1291">INDEX(F$5:F$67,MATCH($B1291,$B$5:$B$67,0))</f>
        <v>92.16</v>
      </c>
      <c r="H1291" s="25">
        <f t="array" ref="H1291">INDEX(G$5:G$66,MATCH($B1291,$B$5:$B$67,0))</f>
        <v>1440</v>
      </c>
      <c r="I1291" s="25">
        <f t="array" ref="I1291">INDEX(H$5:H$67,MATCH($B1291,$B$5:$B$67,0))</f>
        <v>115.2</v>
      </c>
      <c r="J1291" s="25">
        <f t="array" ref="J1291">INDEX(I$5:I$67,MATCH($B1291,$B$5:$B$67,0))</f>
        <v>800</v>
      </c>
      <c r="K1291" s="25">
        <f t="array" ref="K1291">INDEX(J$5:J$67,MATCH($B1291,$B$5:$B$67,0))</f>
        <v>64</v>
      </c>
      <c r="L1291" s="25">
        <f t="shared" si="649"/>
        <v>6463</v>
      </c>
      <c r="M1291" s="25">
        <f t="shared" si="650"/>
        <v>2350</v>
      </c>
      <c r="N1291" s="25">
        <f t="shared" si="651"/>
        <v>2938</v>
      </c>
      <c r="O1291" s="25">
        <f t="shared" si="652"/>
        <v>1632</v>
      </c>
      <c r="R1291" s="50"/>
      <c r="S1291" s="51"/>
      <c r="T1291" s="29"/>
    </row>
    <row r="1292" spans="1:20">
      <c r="A1292" s="48">
        <v>1024014</v>
      </c>
      <c r="B1292" s="49" t="s">
        <v>355</v>
      </c>
      <c r="C1292" s="25">
        <f t="shared" si="653"/>
        <v>14</v>
      </c>
      <c r="D1292" s="25">
        <f t="array" ref="D1292">INDEX(C$5:C$67,MATCH($B1292,$B$5:$B$67,0))</f>
        <v>3168</v>
      </c>
      <c r="E1292" s="25">
        <f t="array" ref="E1292">INDEX(D$5:D$67,MATCH($B1292,$B$5:$B$67,0))</f>
        <v>253.44</v>
      </c>
      <c r="F1292" s="25">
        <f t="array" ref="F1292">INDEX(E$5:E$67,MATCH($B1292,$B$5:$B$67,0))</f>
        <v>1152</v>
      </c>
      <c r="G1292" s="25">
        <f t="array" ref="G1292">INDEX(F$5:F$67,MATCH($B1292,$B$5:$B$67,0))</f>
        <v>92.16</v>
      </c>
      <c r="H1292" s="25">
        <f t="array" ref="H1292">INDEX(G$5:G$66,MATCH($B1292,$B$5:$B$67,0))</f>
        <v>1440</v>
      </c>
      <c r="I1292" s="25">
        <f t="array" ref="I1292">INDEX(H$5:H$67,MATCH($B1292,$B$5:$B$67,0))</f>
        <v>115.2</v>
      </c>
      <c r="J1292" s="25">
        <f t="array" ref="J1292">INDEX(I$5:I$67,MATCH($B1292,$B$5:$B$67,0))</f>
        <v>800</v>
      </c>
      <c r="K1292" s="25">
        <f t="array" ref="K1292">INDEX(J$5:J$67,MATCH($B1292,$B$5:$B$67,0))</f>
        <v>64</v>
      </c>
      <c r="L1292" s="25">
        <f t="shared" si="649"/>
        <v>6716</v>
      </c>
      <c r="M1292" s="25">
        <f t="shared" si="650"/>
        <v>2442</v>
      </c>
      <c r="N1292" s="25">
        <f t="shared" si="651"/>
        <v>3053</v>
      </c>
      <c r="O1292" s="25">
        <f t="shared" si="652"/>
        <v>1696</v>
      </c>
      <c r="R1292" s="50"/>
      <c r="S1292" s="51"/>
      <c r="T1292" s="29"/>
    </row>
    <row r="1293" spans="1:20">
      <c r="A1293" s="48">
        <v>1024015</v>
      </c>
      <c r="B1293" s="49" t="s">
        <v>355</v>
      </c>
      <c r="C1293" s="25">
        <f t="shared" si="653"/>
        <v>15</v>
      </c>
      <c r="D1293" s="25">
        <f t="array" ref="D1293">INDEX(C$5:C$67,MATCH($B1293,$B$5:$B$67,0))</f>
        <v>3168</v>
      </c>
      <c r="E1293" s="25">
        <f t="array" ref="E1293">INDEX(D$5:D$67,MATCH($B1293,$B$5:$B$67,0))</f>
        <v>253.44</v>
      </c>
      <c r="F1293" s="25">
        <f t="array" ref="F1293">INDEX(E$5:E$67,MATCH($B1293,$B$5:$B$67,0))</f>
        <v>1152</v>
      </c>
      <c r="G1293" s="25">
        <f t="array" ref="G1293">INDEX(F$5:F$67,MATCH($B1293,$B$5:$B$67,0))</f>
        <v>92.16</v>
      </c>
      <c r="H1293" s="25">
        <f t="array" ref="H1293">INDEX(G$5:G$66,MATCH($B1293,$B$5:$B$67,0))</f>
        <v>1440</v>
      </c>
      <c r="I1293" s="25">
        <f t="array" ref="I1293">INDEX(H$5:H$67,MATCH($B1293,$B$5:$B$67,0))</f>
        <v>115.2</v>
      </c>
      <c r="J1293" s="25">
        <f t="array" ref="J1293">INDEX(I$5:I$67,MATCH($B1293,$B$5:$B$67,0))</f>
        <v>800</v>
      </c>
      <c r="K1293" s="25">
        <f t="array" ref="K1293">INDEX(J$5:J$67,MATCH($B1293,$B$5:$B$67,0))</f>
        <v>64</v>
      </c>
      <c r="L1293" s="25">
        <f t="shared" si="649"/>
        <v>6970</v>
      </c>
      <c r="M1293" s="25">
        <f t="shared" si="650"/>
        <v>2534</v>
      </c>
      <c r="N1293" s="25">
        <f t="shared" si="651"/>
        <v>3168</v>
      </c>
      <c r="O1293" s="25">
        <f t="shared" si="652"/>
        <v>1760</v>
      </c>
      <c r="R1293" s="50"/>
      <c r="S1293" s="51"/>
      <c r="T1293" s="29"/>
    </row>
    <row r="1294" spans="1:20">
      <c r="A1294" s="48">
        <v>1024016</v>
      </c>
      <c r="B1294" s="49" t="s">
        <v>355</v>
      </c>
      <c r="C1294" s="25">
        <f t="shared" si="653"/>
        <v>16</v>
      </c>
      <c r="D1294" s="25">
        <f t="array" ref="D1294">INDEX(C$5:C$67,MATCH($B1294,$B$5:$B$67,0))</f>
        <v>3168</v>
      </c>
      <c r="E1294" s="25">
        <f t="array" ref="E1294">INDEX(D$5:D$67,MATCH($B1294,$B$5:$B$67,0))</f>
        <v>253.44</v>
      </c>
      <c r="F1294" s="25">
        <f t="array" ref="F1294">INDEX(E$5:E$67,MATCH($B1294,$B$5:$B$67,0))</f>
        <v>1152</v>
      </c>
      <c r="G1294" s="25">
        <f t="array" ref="G1294">INDEX(F$5:F$67,MATCH($B1294,$B$5:$B$67,0))</f>
        <v>92.16</v>
      </c>
      <c r="H1294" s="25">
        <f t="array" ref="H1294">INDEX(G$5:G$66,MATCH($B1294,$B$5:$B$67,0))</f>
        <v>1440</v>
      </c>
      <c r="I1294" s="25">
        <f t="array" ref="I1294">INDEX(H$5:H$67,MATCH($B1294,$B$5:$B$67,0))</f>
        <v>115.2</v>
      </c>
      <c r="J1294" s="25">
        <f t="array" ref="J1294">INDEX(I$5:I$67,MATCH($B1294,$B$5:$B$67,0))</f>
        <v>800</v>
      </c>
      <c r="K1294" s="25">
        <f t="array" ref="K1294">INDEX(J$5:J$67,MATCH($B1294,$B$5:$B$67,0))</f>
        <v>64</v>
      </c>
      <c r="L1294" s="25">
        <f t="shared" si="649"/>
        <v>7223</v>
      </c>
      <c r="M1294" s="25">
        <f t="shared" si="650"/>
        <v>2627</v>
      </c>
      <c r="N1294" s="25">
        <f t="shared" si="651"/>
        <v>3283</v>
      </c>
      <c r="O1294" s="25">
        <f t="shared" si="652"/>
        <v>1824</v>
      </c>
      <c r="R1294" s="50"/>
      <c r="S1294" s="51"/>
      <c r="T1294" s="29"/>
    </row>
    <row r="1295" spans="1:20">
      <c r="A1295" s="48">
        <v>1024017</v>
      </c>
      <c r="B1295" s="49" t="s">
        <v>355</v>
      </c>
      <c r="C1295" s="25">
        <f t="shared" si="653"/>
        <v>17</v>
      </c>
      <c r="D1295" s="25">
        <f t="array" ref="D1295">INDEX(C$5:C$67,MATCH($B1295,$B$5:$B$67,0))</f>
        <v>3168</v>
      </c>
      <c r="E1295" s="25">
        <f t="array" ref="E1295">INDEX(D$5:D$67,MATCH($B1295,$B$5:$B$67,0))</f>
        <v>253.44</v>
      </c>
      <c r="F1295" s="25">
        <f t="array" ref="F1295">INDEX(E$5:E$67,MATCH($B1295,$B$5:$B$67,0))</f>
        <v>1152</v>
      </c>
      <c r="G1295" s="25">
        <f t="array" ref="G1295">INDEX(F$5:F$67,MATCH($B1295,$B$5:$B$67,0))</f>
        <v>92.16</v>
      </c>
      <c r="H1295" s="25">
        <f t="array" ref="H1295">INDEX(G$5:G$66,MATCH($B1295,$B$5:$B$67,0))</f>
        <v>1440</v>
      </c>
      <c r="I1295" s="25">
        <f t="array" ref="I1295">INDEX(H$5:H$67,MATCH($B1295,$B$5:$B$67,0))</f>
        <v>115.2</v>
      </c>
      <c r="J1295" s="25">
        <f t="array" ref="J1295">INDEX(I$5:I$67,MATCH($B1295,$B$5:$B$67,0))</f>
        <v>800</v>
      </c>
      <c r="K1295" s="25">
        <f t="array" ref="K1295">INDEX(J$5:J$67,MATCH($B1295,$B$5:$B$67,0))</f>
        <v>64</v>
      </c>
      <c r="L1295" s="25">
        <f t="shared" ref="L1295:L1358" si="654">ROUND(D1295+E1295*$C1295,0)</f>
        <v>7476</v>
      </c>
      <c r="M1295" s="25">
        <f t="shared" ref="M1295:M1358" si="655">ROUND(F1295+G1295*$C1295,0)</f>
        <v>2719</v>
      </c>
      <c r="N1295" s="25">
        <f t="shared" ref="N1295:N1358" si="656">ROUND(H1295+I1295*$C1295,0)</f>
        <v>3398</v>
      </c>
      <c r="O1295" s="25">
        <f t="shared" ref="O1295:O1358" si="657">ROUND(J1295+K1295*$C1295,0)</f>
        <v>1888</v>
      </c>
      <c r="R1295" s="50"/>
      <c r="S1295" s="51"/>
      <c r="T1295" s="29"/>
    </row>
    <row r="1296" spans="1:20">
      <c r="A1296" s="48">
        <v>1024018</v>
      </c>
      <c r="B1296" s="49" t="s">
        <v>355</v>
      </c>
      <c r="C1296" s="25">
        <f t="shared" si="653"/>
        <v>18</v>
      </c>
      <c r="D1296" s="25">
        <f t="array" ref="D1296">INDEX(C$5:C$67,MATCH($B1296,$B$5:$B$67,0))</f>
        <v>3168</v>
      </c>
      <c r="E1296" s="25">
        <f t="array" ref="E1296">INDEX(D$5:D$67,MATCH($B1296,$B$5:$B$67,0))</f>
        <v>253.44</v>
      </c>
      <c r="F1296" s="25">
        <f t="array" ref="F1296">INDEX(E$5:E$67,MATCH($B1296,$B$5:$B$67,0))</f>
        <v>1152</v>
      </c>
      <c r="G1296" s="25">
        <f t="array" ref="G1296">INDEX(F$5:F$67,MATCH($B1296,$B$5:$B$67,0))</f>
        <v>92.16</v>
      </c>
      <c r="H1296" s="25">
        <f t="array" ref="H1296">INDEX(G$5:G$66,MATCH($B1296,$B$5:$B$67,0))</f>
        <v>1440</v>
      </c>
      <c r="I1296" s="25">
        <f t="array" ref="I1296">INDEX(H$5:H$67,MATCH($B1296,$B$5:$B$67,0))</f>
        <v>115.2</v>
      </c>
      <c r="J1296" s="25">
        <f t="array" ref="J1296">INDEX(I$5:I$67,MATCH($B1296,$B$5:$B$67,0))</f>
        <v>800</v>
      </c>
      <c r="K1296" s="25">
        <f t="array" ref="K1296">INDEX(J$5:J$67,MATCH($B1296,$B$5:$B$67,0))</f>
        <v>64</v>
      </c>
      <c r="L1296" s="25">
        <f t="shared" si="654"/>
        <v>7730</v>
      </c>
      <c r="M1296" s="25">
        <f t="shared" si="655"/>
        <v>2811</v>
      </c>
      <c r="N1296" s="25">
        <f t="shared" si="656"/>
        <v>3514</v>
      </c>
      <c r="O1296" s="25">
        <f t="shared" si="657"/>
        <v>1952</v>
      </c>
      <c r="R1296" s="50"/>
      <c r="S1296" s="51"/>
      <c r="T1296" s="29"/>
    </row>
    <row r="1297" spans="1:20">
      <c r="A1297" s="48">
        <v>1024019</v>
      </c>
      <c r="B1297" s="49" t="s">
        <v>355</v>
      </c>
      <c r="C1297" s="25">
        <f t="shared" si="653"/>
        <v>19</v>
      </c>
      <c r="D1297" s="25">
        <f t="array" ref="D1297">INDEX(C$5:C$67,MATCH($B1297,$B$5:$B$67,0))</f>
        <v>3168</v>
      </c>
      <c r="E1297" s="25">
        <f t="array" ref="E1297">INDEX(D$5:D$67,MATCH($B1297,$B$5:$B$67,0))</f>
        <v>253.44</v>
      </c>
      <c r="F1297" s="25">
        <f t="array" ref="F1297">INDEX(E$5:E$67,MATCH($B1297,$B$5:$B$67,0))</f>
        <v>1152</v>
      </c>
      <c r="G1297" s="25">
        <f t="array" ref="G1297">INDEX(F$5:F$67,MATCH($B1297,$B$5:$B$67,0))</f>
        <v>92.16</v>
      </c>
      <c r="H1297" s="25">
        <f t="array" ref="H1297">INDEX(G$5:G$66,MATCH($B1297,$B$5:$B$67,0))</f>
        <v>1440</v>
      </c>
      <c r="I1297" s="25">
        <f t="array" ref="I1297">INDEX(H$5:H$67,MATCH($B1297,$B$5:$B$67,0))</f>
        <v>115.2</v>
      </c>
      <c r="J1297" s="25">
        <f t="array" ref="J1297">INDEX(I$5:I$67,MATCH($B1297,$B$5:$B$67,0))</f>
        <v>800</v>
      </c>
      <c r="K1297" s="25">
        <f t="array" ref="K1297">INDEX(J$5:J$67,MATCH($B1297,$B$5:$B$67,0))</f>
        <v>64</v>
      </c>
      <c r="L1297" s="25">
        <f t="shared" si="654"/>
        <v>7983</v>
      </c>
      <c r="M1297" s="25">
        <f t="shared" si="655"/>
        <v>2903</v>
      </c>
      <c r="N1297" s="25">
        <f t="shared" si="656"/>
        <v>3629</v>
      </c>
      <c r="O1297" s="25">
        <f t="shared" si="657"/>
        <v>2016</v>
      </c>
      <c r="R1297" s="50"/>
      <c r="S1297" s="51"/>
      <c r="T1297" s="29"/>
    </row>
    <row r="1298" spans="1:20">
      <c r="A1298" s="48">
        <v>1024020</v>
      </c>
      <c r="B1298" s="49" t="s">
        <v>355</v>
      </c>
      <c r="C1298" s="25">
        <f t="shared" si="653"/>
        <v>20</v>
      </c>
      <c r="D1298" s="25">
        <f t="array" ref="D1298">INDEX(C$5:C$67,MATCH($B1298,$B$5:$B$67,0))</f>
        <v>3168</v>
      </c>
      <c r="E1298" s="25">
        <f t="array" ref="E1298">INDEX(D$5:D$67,MATCH($B1298,$B$5:$B$67,0))</f>
        <v>253.44</v>
      </c>
      <c r="F1298" s="25">
        <f t="array" ref="F1298">INDEX(E$5:E$67,MATCH($B1298,$B$5:$B$67,0))</f>
        <v>1152</v>
      </c>
      <c r="G1298" s="25">
        <f t="array" ref="G1298">INDEX(F$5:F$67,MATCH($B1298,$B$5:$B$67,0))</f>
        <v>92.16</v>
      </c>
      <c r="H1298" s="25">
        <f t="array" ref="H1298">INDEX(G$5:G$66,MATCH($B1298,$B$5:$B$67,0))</f>
        <v>1440</v>
      </c>
      <c r="I1298" s="25">
        <f t="array" ref="I1298">INDEX(H$5:H$67,MATCH($B1298,$B$5:$B$67,0))</f>
        <v>115.2</v>
      </c>
      <c r="J1298" s="25">
        <f t="array" ref="J1298">INDEX(I$5:I$67,MATCH($B1298,$B$5:$B$67,0))</f>
        <v>800</v>
      </c>
      <c r="K1298" s="25">
        <f t="array" ref="K1298">INDEX(J$5:J$67,MATCH($B1298,$B$5:$B$67,0))</f>
        <v>64</v>
      </c>
      <c r="L1298" s="25">
        <f t="shared" si="654"/>
        <v>8237</v>
      </c>
      <c r="M1298" s="25">
        <f t="shared" si="655"/>
        <v>2995</v>
      </c>
      <c r="N1298" s="25">
        <f t="shared" si="656"/>
        <v>3744</v>
      </c>
      <c r="O1298" s="25">
        <f t="shared" si="657"/>
        <v>2080</v>
      </c>
      <c r="R1298" s="50"/>
      <c r="S1298" s="51"/>
      <c r="T1298" s="29"/>
    </row>
    <row r="1299" spans="1:20">
      <c r="A1299" s="48">
        <v>1024021</v>
      </c>
      <c r="B1299" s="49" t="s">
        <v>355</v>
      </c>
      <c r="C1299" s="25">
        <f t="shared" si="653"/>
        <v>21</v>
      </c>
      <c r="D1299" s="25">
        <f t="array" ref="D1299">INDEX(C$5:C$67,MATCH($B1299,$B$5:$B$67,0))</f>
        <v>3168</v>
      </c>
      <c r="E1299" s="25">
        <f t="array" ref="E1299">INDEX(D$5:D$67,MATCH($B1299,$B$5:$B$67,0))</f>
        <v>253.44</v>
      </c>
      <c r="F1299" s="25">
        <f t="array" ref="F1299">INDEX(E$5:E$67,MATCH($B1299,$B$5:$B$67,0))</f>
        <v>1152</v>
      </c>
      <c r="G1299" s="25">
        <f t="array" ref="G1299">INDEX(F$5:F$67,MATCH($B1299,$B$5:$B$67,0))</f>
        <v>92.16</v>
      </c>
      <c r="H1299" s="25">
        <f t="array" ref="H1299">INDEX(G$5:G$66,MATCH($B1299,$B$5:$B$67,0))</f>
        <v>1440</v>
      </c>
      <c r="I1299" s="25">
        <f t="array" ref="I1299">INDEX(H$5:H$67,MATCH($B1299,$B$5:$B$67,0))</f>
        <v>115.2</v>
      </c>
      <c r="J1299" s="25">
        <f t="array" ref="J1299">INDEX(I$5:I$67,MATCH($B1299,$B$5:$B$67,0))</f>
        <v>800</v>
      </c>
      <c r="K1299" s="25">
        <f t="array" ref="K1299">INDEX(J$5:J$67,MATCH($B1299,$B$5:$B$67,0))</f>
        <v>64</v>
      </c>
      <c r="L1299" s="25">
        <f t="shared" si="654"/>
        <v>8490</v>
      </c>
      <c r="M1299" s="25">
        <f t="shared" si="655"/>
        <v>3087</v>
      </c>
      <c r="N1299" s="25">
        <f t="shared" si="656"/>
        <v>3859</v>
      </c>
      <c r="O1299" s="25">
        <f t="shared" si="657"/>
        <v>2144</v>
      </c>
      <c r="R1299" s="50"/>
      <c r="S1299" s="51"/>
      <c r="T1299" s="29"/>
    </row>
    <row r="1300" spans="1:20">
      <c r="A1300" s="48">
        <v>1024022</v>
      </c>
      <c r="B1300" s="49" t="s">
        <v>355</v>
      </c>
      <c r="C1300" s="25">
        <f t="shared" si="653"/>
        <v>22</v>
      </c>
      <c r="D1300" s="25">
        <f t="array" ref="D1300">INDEX(C$5:C$67,MATCH($B1300,$B$5:$B$67,0))</f>
        <v>3168</v>
      </c>
      <c r="E1300" s="25">
        <f t="array" ref="E1300">INDEX(D$5:D$67,MATCH($B1300,$B$5:$B$67,0))</f>
        <v>253.44</v>
      </c>
      <c r="F1300" s="25">
        <f t="array" ref="F1300">INDEX(E$5:E$67,MATCH($B1300,$B$5:$B$67,0))</f>
        <v>1152</v>
      </c>
      <c r="G1300" s="25">
        <f t="array" ref="G1300">INDEX(F$5:F$67,MATCH($B1300,$B$5:$B$67,0))</f>
        <v>92.16</v>
      </c>
      <c r="H1300" s="25">
        <f t="array" ref="H1300">INDEX(G$5:G$66,MATCH($B1300,$B$5:$B$67,0))</f>
        <v>1440</v>
      </c>
      <c r="I1300" s="25">
        <f t="array" ref="I1300">INDEX(H$5:H$67,MATCH($B1300,$B$5:$B$67,0))</f>
        <v>115.2</v>
      </c>
      <c r="J1300" s="25">
        <f t="array" ref="J1300">INDEX(I$5:I$67,MATCH($B1300,$B$5:$B$67,0))</f>
        <v>800</v>
      </c>
      <c r="K1300" s="25">
        <f t="array" ref="K1300">INDEX(J$5:J$67,MATCH($B1300,$B$5:$B$67,0))</f>
        <v>64</v>
      </c>
      <c r="L1300" s="25">
        <f t="shared" si="654"/>
        <v>8744</v>
      </c>
      <c r="M1300" s="25">
        <f t="shared" si="655"/>
        <v>3180</v>
      </c>
      <c r="N1300" s="25">
        <f t="shared" si="656"/>
        <v>3974</v>
      </c>
      <c r="O1300" s="25">
        <f t="shared" si="657"/>
        <v>2208</v>
      </c>
      <c r="R1300" s="50"/>
      <c r="S1300" s="51"/>
      <c r="T1300" s="29"/>
    </row>
    <row r="1301" spans="1:20">
      <c r="A1301" s="48">
        <v>1024023</v>
      </c>
      <c r="B1301" s="49" t="s">
        <v>355</v>
      </c>
      <c r="C1301" s="25">
        <f t="shared" si="653"/>
        <v>23</v>
      </c>
      <c r="D1301" s="25">
        <f t="array" ref="D1301">INDEX(C$5:C$67,MATCH($B1301,$B$5:$B$67,0))</f>
        <v>3168</v>
      </c>
      <c r="E1301" s="25">
        <f t="array" ref="E1301">INDEX(D$5:D$67,MATCH($B1301,$B$5:$B$67,0))</f>
        <v>253.44</v>
      </c>
      <c r="F1301" s="25">
        <f t="array" ref="F1301">INDEX(E$5:E$67,MATCH($B1301,$B$5:$B$67,0))</f>
        <v>1152</v>
      </c>
      <c r="G1301" s="25">
        <f t="array" ref="G1301">INDEX(F$5:F$67,MATCH($B1301,$B$5:$B$67,0))</f>
        <v>92.16</v>
      </c>
      <c r="H1301" s="25">
        <f t="array" ref="H1301">INDEX(G$5:G$66,MATCH($B1301,$B$5:$B$67,0))</f>
        <v>1440</v>
      </c>
      <c r="I1301" s="25">
        <f t="array" ref="I1301">INDEX(H$5:H$67,MATCH($B1301,$B$5:$B$67,0))</f>
        <v>115.2</v>
      </c>
      <c r="J1301" s="25">
        <f t="array" ref="J1301">INDEX(I$5:I$67,MATCH($B1301,$B$5:$B$67,0))</f>
        <v>800</v>
      </c>
      <c r="K1301" s="25">
        <f t="array" ref="K1301">INDEX(J$5:J$67,MATCH($B1301,$B$5:$B$67,0))</f>
        <v>64</v>
      </c>
      <c r="L1301" s="25">
        <f t="shared" si="654"/>
        <v>8997</v>
      </c>
      <c r="M1301" s="25">
        <f t="shared" si="655"/>
        <v>3272</v>
      </c>
      <c r="N1301" s="25">
        <f t="shared" si="656"/>
        <v>4090</v>
      </c>
      <c r="O1301" s="25">
        <f t="shared" si="657"/>
        <v>2272</v>
      </c>
      <c r="R1301" s="50"/>
      <c r="S1301" s="51"/>
      <c r="T1301" s="29"/>
    </row>
    <row r="1302" spans="1:20">
      <c r="A1302" s="48">
        <v>1024024</v>
      </c>
      <c r="B1302" s="49" t="s">
        <v>355</v>
      </c>
      <c r="C1302" s="25">
        <f t="shared" si="653"/>
        <v>24</v>
      </c>
      <c r="D1302" s="25">
        <f t="array" ref="D1302">INDEX(C$5:C$67,MATCH($B1302,$B$5:$B$67,0))</f>
        <v>3168</v>
      </c>
      <c r="E1302" s="25">
        <f t="array" ref="E1302">INDEX(D$5:D$67,MATCH($B1302,$B$5:$B$67,0))</f>
        <v>253.44</v>
      </c>
      <c r="F1302" s="25">
        <f t="array" ref="F1302">INDEX(E$5:E$67,MATCH($B1302,$B$5:$B$67,0))</f>
        <v>1152</v>
      </c>
      <c r="G1302" s="25">
        <f t="array" ref="G1302">INDEX(F$5:F$67,MATCH($B1302,$B$5:$B$67,0))</f>
        <v>92.16</v>
      </c>
      <c r="H1302" s="25">
        <f t="array" ref="H1302">INDEX(G$5:G$66,MATCH($B1302,$B$5:$B$67,0))</f>
        <v>1440</v>
      </c>
      <c r="I1302" s="25">
        <f t="array" ref="I1302">INDEX(H$5:H$67,MATCH($B1302,$B$5:$B$67,0))</f>
        <v>115.2</v>
      </c>
      <c r="J1302" s="25">
        <f t="array" ref="J1302">INDEX(I$5:I$67,MATCH($B1302,$B$5:$B$67,0))</f>
        <v>800</v>
      </c>
      <c r="K1302" s="25">
        <f t="array" ref="K1302">INDEX(J$5:J$67,MATCH($B1302,$B$5:$B$67,0))</f>
        <v>64</v>
      </c>
      <c r="L1302" s="25">
        <f t="shared" si="654"/>
        <v>9251</v>
      </c>
      <c r="M1302" s="25">
        <f t="shared" si="655"/>
        <v>3364</v>
      </c>
      <c r="N1302" s="25">
        <f t="shared" si="656"/>
        <v>4205</v>
      </c>
      <c r="O1302" s="25">
        <f t="shared" si="657"/>
        <v>2336</v>
      </c>
      <c r="R1302" s="50"/>
      <c r="S1302" s="51"/>
      <c r="T1302" s="29"/>
    </row>
    <row r="1303" spans="1:20">
      <c r="A1303" s="48">
        <v>1024025</v>
      </c>
      <c r="B1303" s="49" t="s">
        <v>355</v>
      </c>
      <c r="C1303" s="25">
        <f t="shared" si="653"/>
        <v>25</v>
      </c>
      <c r="D1303" s="25">
        <f t="array" ref="D1303">INDEX(C$5:C$67,MATCH($B1303,$B$5:$B$67,0))</f>
        <v>3168</v>
      </c>
      <c r="E1303" s="25">
        <f t="array" ref="E1303">INDEX(D$5:D$67,MATCH($B1303,$B$5:$B$67,0))</f>
        <v>253.44</v>
      </c>
      <c r="F1303" s="25">
        <f t="array" ref="F1303">INDEX(E$5:E$67,MATCH($B1303,$B$5:$B$67,0))</f>
        <v>1152</v>
      </c>
      <c r="G1303" s="25">
        <f t="array" ref="G1303">INDEX(F$5:F$67,MATCH($B1303,$B$5:$B$67,0))</f>
        <v>92.16</v>
      </c>
      <c r="H1303" s="25">
        <f t="array" ref="H1303">INDEX(G$5:G$66,MATCH($B1303,$B$5:$B$67,0))</f>
        <v>1440</v>
      </c>
      <c r="I1303" s="25">
        <f t="array" ref="I1303">INDEX(H$5:H$67,MATCH($B1303,$B$5:$B$67,0))</f>
        <v>115.2</v>
      </c>
      <c r="J1303" s="25">
        <f t="array" ref="J1303">INDEX(I$5:I$67,MATCH($B1303,$B$5:$B$67,0))</f>
        <v>800</v>
      </c>
      <c r="K1303" s="25">
        <f t="array" ref="K1303">INDEX(J$5:J$67,MATCH($B1303,$B$5:$B$67,0))</f>
        <v>64</v>
      </c>
      <c r="L1303" s="25">
        <f t="shared" si="654"/>
        <v>9504</v>
      </c>
      <c r="M1303" s="25">
        <f t="shared" si="655"/>
        <v>3456</v>
      </c>
      <c r="N1303" s="25">
        <f t="shared" si="656"/>
        <v>4320</v>
      </c>
      <c r="O1303" s="25">
        <f t="shared" si="657"/>
        <v>2400</v>
      </c>
      <c r="R1303" s="50"/>
      <c r="S1303" s="51"/>
      <c r="T1303" s="29"/>
    </row>
    <row r="1304" spans="1:20">
      <c r="A1304" s="48">
        <v>1024026</v>
      </c>
      <c r="B1304" s="49" t="s">
        <v>355</v>
      </c>
      <c r="C1304" s="25">
        <f t="shared" si="653"/>
        <v>26</v>
      </c>
      <c r="D1304" s="25">
        <f t="array" ref="D1304">INDEX(C$5:C$67,MATCH($B1304,$B$5:$B$67,0))</f>
        <v>3168</v>
      </c>
      <c r="E1304" s="25">
        <f t="array" ref="E1304">INDEX(D$5:D$67,MATCH($B1304,$B$5:$B$67,0))</f>
        <v>253.44</v>
      </c>
      <c r="F1304" s="25">
        <f t="array" ref="F1304">INDEX(E$5:E$67,MATCH($B1304,$B$5:$B$67,0))</f>
        <v>1152</v>
      </c>
      <c r="G1304" s="25">
        <f t="array" ref="G1304">INDEX(F$5:F$67,MATCH($B1304,$B$5:$B$67,0))</f>
        <v>92.16</v>
      </c>
      <c r="H1304" s="25">
        <f t="array" ref="H1304">INDEX(G$5:G$66,MATCH($B1304,$B$5:$B$67,0))</f>
        <v>1440</v>
      </c>
      <c r="I1304" s="25">
        <f t="array" ref="I1304">INDEX(H$5:H$67,MATCH($B1304,$B$5:$B$67,0))</f>
        <v>115.2</v>
      </c>
      <c r="J1304" s="25">
        <f t="array" ref="J1304">INDEX(I$5:I$67,MATCH($B1304,$B$5:$B$67,0))</f>
        <v>800</v>
      </c>
      <c r="K1304" s="25">
        <f t="array" ref="K1304">INDEX(J$5:J$67,MATCH($B1304,$B$5:$B$67,0))</f>
        <v>64</v>
      </c>
      <c r="L1304" s="25">
        <f t="shared" si="654"/>
        <v>9757</v>
      </c>
      <c r="M1304" s="25">
        <f t="shared" si="655"/>
        <v>3548</v>
      </c>
      <c r="N1304" s="25">
        <f t="shared" si="656"/>
        <v>4435</v>
      </c>
      <c r="O1304" s="25">
        <f t="shared" si="657"/>
        <v>2464</v>
      </c>
      <c r="R1304" s="50"/>
      <c r="S1304" s="51"/>
      <c r="T1304" s="29"/>
    </row>
    <row r="1305" spans="1:20">
      <c r="A1305" s="48">
        <v>1024027</v>
      </c>
      <c r="B1305" s="49" t="s">
        <v>355</v>
      </c>
      <c r="C1305" s="25">
        <f t="shared" si="653"/>
        <v>27</v>
      </c>
      <c r="D1305" s="25">
        <f t="array" ref="D1305">INDEX(C$5:C$67,MATCH($B1305,$B$5:$B$67,0))</f>
        <v>3168</v>
      </c>
      <c r="E1305" s="25">
        <f t="array" ref="E1305">INDEX(D$5:D$67,MATCH($B1305,$B$5:$B$67,0))</f>
        <v>253.44</v>
      </c>
      <c r="F1305" s="25">
        <f t="array" ref="F1305">INDEX(E$5:E$67,MATCH($B1305,$B$5:$B$67,0))</f>
        <v>1152</v>
      </c>
      <c r="G1305" s="25">
        <f t="array" ref="G1305">INDEX(F$5:F$67,MATCH($B1305,$B$5:$B$67,0))</f>
        <v>92.16</v>
      </c>
      <c r="H1305" s="25">
        <f t="array" ref="H1305">INDEX(G$5:G$66,MATCH($B1305,$B$5:$B$67,0))</f>
        <v>1440</v>
      </c>
      <c r="I1305" s="25">
        <f t="array" ref="I1305">INDEX(H$5:H$67,MATCH($B1305,$B$5:$B$67,0))</f>
        <v>115.2</v>
      </c>
      <c r="J1305" s="25">
        <f t="array" ref="J1305">INDEX(I$5:I$67,MATCH($B1305,$B$5:$B$67,0))</f>
        <v>800</v>
      </c>
      <c r="K1305" s="25">
        <f t="array" ref="K1305">INDEX(J$5:J$67,MATCH($B1305,$B$5:$B$67,0))</f>
        <v>64</v>
      </c>
      <c r="L1305" s="25">
        <f t="shared" si="654"/>
        <v>10011</v>
      </c>
      <c r="M1305" s="25">
        <f t="shared" si="655"/>
        <v>3640</v>
      </c>
      <c r="N1305" s="25">
        <f t="shared" si="656"/>
        <v>4550</v>
      </c>
      <c r="O1305" s="25">
        <f t="shared" si="657"/>
        <v>2528</v>
      </c>
      <c r="R1305" s="50"/>
      <c r="S1305" s="51"/>
      <c r="T1305" s="29"/>
    </row>
    <row r="1306" spans="1:20">
      <c r="A1306" s="48">
        <v>1024028</v>
      </c>
      <c r="B1306" s="49" t="s">
        <v>355</v>
      </c>
      <c r="C1306" s="25">
        <f t="shared" si="653"/>
        <v>28</v>
      </c>
      <c r="D1306" s="25">
        <f t="array" ref="D1306">INDEX(C$5:C$67,MATCH($B1306,$B$5:$B$67,0))</f>
        <v>3168</v>
      </c>
      <c r="E1306" s="25">
        <f t="array" ref="E1306">INDEX(D$5:D$67,MATCH($B1306,$B$5:$B$67,0))</f>
        <v>253.44</v>
      </c>
      <c r="F1306" s="25">
        <f t="array" ref="F1306">INDEX(E$5:E$67,MATCH($B1306,$B$5:$B$67,0))</f>
        <v>1152</v>
      </c>
      <c r="G1306" s="25">
        <f t="array" ref="G1306">INDEX(F$5:F$67,MATCH($B1306,$B$5:$B$67,0))</f>
        <v>92.16</v>
      </c>
      <c r="H1306" s="25">
        <f t="array" ref="H1306">INDEX(G$5:G$66,MATCH($B1306,$B$5:$B$67,0))</f>
        <v>1440</v>
      </c>
      <c r="I1306" s="25">
        <f t="array" ref="I1306">INDEX(H$5:H$67,MATCH($B1306,$B$5:$B$67,0))</f>
        <v>115.2</v>
      </c>
      <c r="J1306" s="25">
        <f t="array" ref="J1306">INDEX(I$5:I$67,MATCH($B1306,$B$5:$B$67,0))</f>
        <v>800</v>
      </c>
      <c r="K1306" s="25">
        <f t="array" ref="K1306">INDEX(J$5:J$67,MATCH($B1306,$B$5:$B$67,0))</f>
        <v>64</v>
      </c>
      <c r="L1306" s="25">
        <f t="shared" si="654"/>
        <v>10264</v>
      </c>
      <c r="M1306" s="25">
        <f t="shared" si="655"/>
        <v>3732</v>
      </c>
      <c r="N1306" s="25">
        <f t="shared" si="656"/>
        <v>4666</v>
      </c>
      <c r="O1306" s="25">
        <f t="shared" si="657"/>
        <v>2592</v>
      </c>
      <c r="R1306" s="50"/>
      <c r="S1306" s="51"/>
      <c r="T1306" s="29"/>
    </row>
    <row r="1307" spans="1:20">
      <c r="A1307" s="48">
        <v>1024029</v>
      </c>
      <c r="B1307" s="49" t="s">
        <v>355</v>
      </c>
      <c r="C1307" s="25">
        <f t="shared" si="653"/>
        <v>29</v>
      </c>
      <c r="D1307" s="25">
        <f t="array" ref="D1307">INDEX(C$5:C$67,MATCH($B1307,$B$5:$B$67,0))</f>
        <v>3168</v>
      </c>
      <c r="E1307" s="25">
        <f t="array" ref="E1307">INDEX(D$5:D$67,MATCH($B1307,$B$5:$B$67,0))</f>
        <v>253.44</v>
      </c>
      <c r="F1307" s="25">
        <f t="array" ref="F1307">INDEX(E$5:E$67,MATCH($B1307,$B$5:$B$67,0))</f>
        <v>1152</v>
      </c>
      <c r="G1307" s="25">
        <f t="array" ref="G1307">INDEX(F$5:F$67,MATCH($B1307,$B$5:$B$67,0))</f>
        <v>92.16</v>
      </c>
      <c r="H1307" s="25">
        <f t="array" ref="H1307">INDEX(G$5:G$66,MATCH($B1307,$B$5:$B$67,0))</f>
        <v>1440</v>
      </c>
      <c r="I1307" s="25">
        <f t="array" ref="I1307">INDEX(H$5:H$67,MATCH($B1307,$B$5:$B$67,0))</f>
        <v>115.2</v>
      </c>
      <c r="J1307" s="25">
        <f t="array" ref="J1307">INDEX(I$5:I$67,MATCH($B1307,$B$5:$B$67,0))</f>
        <v>800</v>
      </c>
      <c r="K1307" s="25">
        <f t="array" ref="K1307">INDEX(J$5:J$67,MATCH($B1307,$B$5:$B$67,0))</f>
        <v>64</v>
      </c>
      <c r="L1307" s="25">
        <f t="shared" si="654"/>
        <v>10518</v>
      </c>
      <c r="M1307" s="25">
        <f t="shared" si="655"/>
        <v>3825</v>
      </c>
      <c r="N1307" s="25">
        <f t="shared" si="656"/>
        <v>4781</v>
      </c>
      <c r="O1307" s="25">
        <f t="shared" si="657"/>
        <v>2656</v>
      </c>
      <c r="R1307" s="50"/>
      <c r="S1307" s="51"/>
      <c r="T1307" s="29"/>
    </row>
    <row r="1308" spans="1:20">
      <c r="A1308" s="48">
        <v>1024030</v>
      </c>
      <c r="B1308" s="49" t="s">
        <v>355</v>
      </c>
      <c r="C1308" s="25">
        <f t="shared" si="653"/>
        <v>30</v>
      </c>
      <c r="D1308" s="25">
        <f t="array" ref="D1308">INDEX(C$5:C$67,MATCH($B1308,$B$5:$B$67,0))</f>
        <v>3168</v>
      </c>
      <c r="E1308" s="25">
        <f t="array" ref="E1308">INDEX(D$5:D$67,MATCH($B1308,$B$5:$B$67,0))</f>
        <v>253.44</v>
      </c>
      <c r="F1308" s="25">
        <f t="array" ref="F1308">INDEX(E$5:E$67,MATCH($B1308,$B$5:$B$67,0))</f>
        <v>1152</v>
      </c>
      <c r="G1308" s="25">
        <f t="array" ref="G1308">INDEX(F$5:F$67,MATCH($B1308,$B$5:$B$67,0))</f>
        <v>92.16</v>
      </c>
      <c r="H1308" s="25">
        <f t="array" ref="H1308">INDEX(G$5:G$66,MATCH($B1308,$B$5:$B$67,0))</f>
        <v>1440</v>
      </c>
      <c r="I1308" s="25">
        <f t="array" ref="I1308">INDEX(H$5:H$67,MATCH($B1308,$B$5:$B$67,0))</f>
        <v>115.2</v>
      </c>
      <c r="J1308" s="25">
        <f t="array" ref="J1308">INDEX(I$5:I$67,MATCH($B1308,$B$5:$B$67,0))</f>
        <v>800</v>
      </c>
      <c r="K1308" s="25">
        <f t="array" ref="K1308">INDEX(J$5:J$67,MATCH($B1308,$B$5:$B$67,0))</f>
        <v>64</v>
      </c>
      <c r="L1308" s="25">
        <f t="shared" si="654"/>
        <v>10771</v>
      </c>
      <c r="M1308" s="25">
        <f t="shared" si="655"/>
        <v>3917</v>
      </c>
      <c r="N1308" s="25">
        <f t="shared" si="656"/>
        <v>4896</v>
      </c>
      <c r="O1308" s="25">
        <f t="shared" si="657"/>
        <v>2720</v>
      </c>
      <c r="R1308" s="50"/>
      <c r="S1308" s="51"/>
      <c r="T1308" s="29"/>
    </row>
    <row r="1309" spans="1:20">
      <c r="A1309" s="48">
        <v>1024031</v>
      </c>
      <c r="B1309" s="49" t="s">
        <v>355</v>
      </c>
      <c r="C1309" s="25">
        <f t="shared" si="653"/>
        <v>31</v>
      </c>
      <c r="D1309" s="25">
        <f t="array" ref="D1309">INDEX(C$5:C$67,MATCH($B1309,$B$5:$B$67,0))</f>
        <v>3168</v>
      </c>
      <c r="E1309" s="25">
        <f t="array" ref="E1309">INDEX(D$5:D$67,MATCH($B1309,$B$5:$B$67,0))</f>
        <v>253.44</v>
      </c>
      <c r="F1309" s="25">
        <f t="array" ref="F1309">INDEX(E$5:E$67,MATCH($B1309,$B$5:$B$67,0))</f>
        <v>1152</v>
      </c>
      <c r="G1309" s="25">
        <f t="array" ref="G1309">INDEX(F$5:F$67,MATCH($B1309,$B$5:$B$67,0))</f>
        <v>92.16</v>
      </c>
      <c r="H1309" s="25">
        <f t="array" ref="H1309">INDEX(G$5:G$66,MATCH($B1309,$B$5:$B$67,0))</f>
        <v>1440</v>
      </c>
      <c r="I1309" s="25">
        <f t="array" ref="I1309">INDEX(H$5:H$67,MATCH($B1309,$B$5:$B$67,0))</f>
        <v>115.2</v>
      </c>
      <c r="J1309" s="25">
        <f t="array" ref="J1309">INDEX(I$5:I$67,MATCH($B1309,$B$5:$B$67,0))</f>
        <v>800</v>
      </c>
      <c r="K1309" s="25">
        <f t="array" ref="K1309">INDEX(J$5:J$67,MATCH($B1309,$B$5:$B$67,0))</f>
        <v>64</v>
      </c>
      <c r="L1309" s="25">
        <f t="shared" si="654"/>
        <v>11025</v>
      </c>
      <c r="M1309" s="25">
        <f t="shared" si="655"/>
        <v>4009</v>
      </c>
      <c r="N1309" s="25">
        <f t="shared" si="656"/>
        <v>5011</v>
      </c>
      <c r="O1309" s="25">
        <f t="shared" si="657"/>
        <v>2784</v>
      </c>
      <c r="R1309" s="50"/>
      <c r="S1309" s="51"/>
      <c r="T1309" s="29"/>
    </row>
    <row r="1310" spans="1:20">
      <c r="A1310" s="48">
        <v>1024032</v>
      </c>
      <c r="B1310" s="49" t="s">
        <v>355</v>
      </c>
      <c r="C1310" s="25">
        <f t="shared" si="653"/>
        <v>32</v>
      </c>
      <c r="D1310" s="25">
        <f t="array" ref="D1310">INDEX(C$5:C$67,MATCH($B1310,$B$5:$B$67,0))</f>
        <v>3168</v>
      </c>
      <c r="E1310" s="25">
        <f t="array" ref="E1310">INDEX(D$5:D$67,MATCH($B1310,$B$5:$B$67,0))</f>
        <v>253.44</v>
      </c>
      <c r="F1310" s="25">
        <f t="array" ref="F1310">INDEX(E$5:E$67,MATCH($B1310,$B$5:$B$67,0))</f>
        <v>1152</v>
      </c>
      <c r="G1310" s="25">
        <f t="array" ref="G1310">INDEX(F$5:F$67,MATCH($B1310,$B$5:$B$67,0))</f>
        <v>92.16</v>
      </c>
      <c r="H1310" s="25">
        <f t="array" ref="H1310">INDEX(G$5:G$66,MATCH($B1310,$B$5:$B$67,0))</f>
        <v>1440</v>
      </c>
      <c r="I1310" s="25">
        <f t="array" ref="I1310">INDEX(H$5:H$67,MATCH($B1310,$B$5:$B$67,0))</f>
        <v>115.2</v>
      </c>
      <c r="J1310" s="25">
        <f t="array" ref="J1310">INDEX(I$5:I$67,MATCH($B1310,$B$5:$B$67,0))</f>
        <v>800</v>
      </c>
      <c r="K1310" s="25">
        <f t="array" ref="K1310">INDEX(J$5:J$67,MATCH($B1310,$B$5:$B$67,0))</f>
        <v>64</v>
      </c>
      <c r="L1310" s="25">
        <f t="shared" si="654"/>
        <v>11278</v>
      </c>
      <c r="M1310" s="25">
        <f t="shared" si="655"/>
        <v>4101</v>
      </c>
      <c r="N1310" s="25">
        <f t="shared" si="656"/>
        <v>5126</v>
      </c>
      <c r="O1310" s="25">
        <f t="shared" si="657"/>
        <v>2848</v>
      </c>
      <c r="R1310" s="50"/>
      <c r="S1310" s="51"/>
      <c r="T1310" s="29"/>
    </row>
    <row r="1311" spans="1:20">
      <c r="A1311" s="48">
        <v>1024033</v>
      </c>
      <c r="B1311" s="49" t="s">
        <v>355</v>
      </c>
      <c r="C1311" s="25">
        <f t="shared" si="653"/>
        <v>33</v>
      </c>
      <c r="D1311" s="25">
        <f t="array" ref="D1311">INDEX(C$5:C$67,MATCH($B1311,$B$5:$B$67,0))</f>
        <v>3168</v>
      </c>
      <c r="E1311" s="25">
        <f t="array" ref="E1311">INDEX(D$5:D$67,MATCH($B1311,$B$5:$B$67,0))</f>
        <v>253.44</v>
      </c>
      <c r="F1311" s="25">
        <f t="array" ref="F1311">INDEX(E$5:E$67,MATCH($B1311,$B$5:$B$67,0))</f>
        <v>1152</v>
      </c>
      <c r="G1311" s="25">
        <f t="array" ref="G1311">INDEX(F$5:F$67,MATCH($B1311,$B$5:$B$67,0))</f>
        <v>92.16</v>
      </c>
      <c r="H1311" s="25">
        <f t="array" ref="H1311">INDEX(G$5:G$66,MATCH($B1311,$B$5:$B$67,0))</f>
        <v>1440</v>
      </c>
      <c r="I1311" s="25">
        <f t="array" ref="I1311">INDEX(H$5:H$67,MATCH($B1311,$B$5:$B$67,0))</f>
        <v>115.2</v>
      </c>
      <c r="J1311" s="25">
        <f t="array" ref="J1311">INDEX(I$5:I$67,MATCH($B1311,$B$5:$B$67,0))</f>
        <v>800</v>
      </c>
      <c r="K1311" s="25">
        <f t="array" ref="K1311">INDEX(J$5:J$67,MATCH($B1311,$B$5:$B$67,0))</f>
        <v>64</v>
      </c>
      <c r="L1311" s="25">
        <f t="shared" si="654"/>
        <v>11532</v>
      </c>
      <c r="M1311" s="25">
        <f t="shared" si="655"/>
        <v>4193</v>
      </c>
      <c r="N1311" s="25">
        <f t="shared" si="656"/>
        <v>5242</v>
      </c>
      <c r="O1311" s="25">
        <f t="shared" si="657"/>
        <v>2912</v>
      </c>
      <c r="R1311" s="50"/>
      <c r="S1311" s="51"/>
      <c r="T1311" s="29"/>
    </row>
    <row r="1312" spans="1:20">
      <c r="A1312" s="48">
        <v>1024034</v>
      </c>
      <c r="B1312" s="49" t="s">
        <v>355</v>
      </c>
      <c r="C1312" s="25">
        <f t="shared" si="653"/>
        <v>34</v>
      </c>
      <c r="D1312" s="25">
        <f t="array" ref="D1312">INDEX(C$5:C$67,MATCH($B1312,$B$5:$B$67,0))</f>
        <v>3168</v>
      </c>
      <c r="E1312" s="25">
        <f t="array" ref="E1312">INDEX(D$5:D$67,MATCH($B1312,$B$5:$B$67,0))</f>
        <v>253.44</v>
      </c>
      <c r="F1312" s="25">
        <f t="array" ref="F1312">INDEX(E$5:E$67,MATCH($B1312,$B$5:$B$67,0))</f>
        <v>1152</v>
      </c>
      <c r="G1312" s="25">
        <f t="array" ref="G1312">INDEX(F$5:F$67,MATCH($B1312,$B$5:$B$67,0))</f>
        <v>92.16</v>
      </c>
      <c r="H1312" s="25">
        <f t="array" ref="H1312">INDEX(G$5:G$66,MATCH($B1312,$B$5:$B$67,0))</f>
        <v>1440</v>
      </c>
      <c r="I1312" s="25">
        <f t="array" ref="I1312">INDEX(H$5:H$67,MATCH($B1312,$B$5:$B$67,0))</f>
        <v>115.2</v>
      </c>
      <c r="J1312" s="25">
        <f t="array" ref="J1312">INDEX(I$5:I$67,MATCH($B1312,$B$5:$B$67,0))</f>
        <v>800</v>
      </c>
      <c r="K1312" s="25">
        <f t="array" ref="K1312">INDEX(J$5:J$67,MATCH($B1312,$B$5:$B$67,0))</f>
        <v>64</v>
      </c>
      <c r="L1312" s="25">
        <f t="shared" si="654"/>
        <v>11785</v>
      </c>
      <c r="M1312" s="25">
        <f t="shared" si="655"/>
        <v>4285</v>
      </c>
      <c r="N1312" s="25">
        <f t="shared" si="656"/>
        <v>5357</v>
      </c>
      <c r="O1312" s="25">
        <f t="shared" si="657"/>
        <v>2976</v>
      </c>
      <c r="R1312" s="50"/>
      <c r="S1312" s="51"/>
      <c r="T1312" s="29"/>
    </row>
    <row r="1313" spans="1:20">
      <c r="A1313" s="48">
        <v>1024035</v>
      </c>
      <c r="B1313" s="49" t="s">
        <v>355</v>
      </c>
      <c r="C1313" s="25">
        <f t="shared" si="653"/>
        <v>35</v>
      </c>
      <c r="D1313" s="25">
        <f t="array" ref="D1313">INDEX(C$5:C$67,MATCH($B1313,$B$5:$B$67,0))</f>
        <v>3168</v>
      </c>
      <c r="E1313" s="25">
        <f t="array" ref="E1313">INDEX(D$5:D$67,MATCH($B1313,$B$5:$B$67,0))</f>
        <v>253.44</v>
      </c>
      <c r="F1313" s="25">
        <f t="array" ref="F1313">INDEX(E$5:E$67,MATCH($B1313,$B$5:$B$67,0))</f>
        <v>1152</v>
      </c>
      <c r="G1313" s="25">
        <f t="array" ref="G1313">INDEX(F$5:F$67,MATCH($B1313,$B$5:$B$67,0))</f>
        <v>92.16</v>
      </c>
      <c r="H1313" s="25">
        <f t="array" ref="H1313">INDEX(G$5:G$66,MATCH($B1313,$B$5:$B$67,0))</f>
        <v>1440</v>
      </c>
      <c r="I1313" s="25">
        <f t="array" ref="I1313">INDEX(H$5:H$67,MATCH($B1313,$B$5:$B$67,0))</f>
        <v>115.2</v>
      </c>
      <c r="J1313" s="25">
        <f t="array" ref="J1313">INDEX(I$5:I$67,MATCH($B1313,$B$5:$B$67,0))</f>
        <v>800</v>
      </c>
      <c r="K1313" s="25">
        <f t="array" ref="K1313">INDEX(J$5:J$67,MATCH($B1313,$B$5:$B$67,0))</f>
        <v>64</v>
      </c>
      <c r="L1313" s="25">
        <f t="shared" si="654"/>
        <v>12038</v>
      </c>
      <c r="M1313" s="25">
        <f t="shared" si="655"/>
        <v>4378</v>
      </c>
      <c r="N1313" s="25">
        <f t="shared" si="656"/>
        <v>5472</v>
      </c>
      <c r="O1313" s="25">
        <f t="shared" si="657"/>
        <v>3040</v>
      </c>
      <c r="R1313" s="50"/>
      <c r="S1313" s="51"/>
      <c r="T1313" s="29"/>
    </row>
    <row r="1314" spans="1:20">
      <c r="A1314" s="48">
        <v>1024036</v>
      </c>
      <c r="B1314" s="49" t="s">
        <v>355</v>
      </c>
      <c r="C1314" s="25">
        <f t="shared" si="653"/>
        <v>36</v>
      </c>
      <c r="D1314" s="25">
        <f t="array" ref="D1314">INDEX(C$5:C$67,MATCH($B1314,$B$5:$B$67,0))</f>
        <v>3168</v>
      </c>
      <c r="E1314" s="25">
        <f t="array" ref="E1314">INDEX(D$5:D$67,MATCH($B1314,$B$5:$B$67,0))</f>
        <v>253.44</v>
      </c>
      <c r="F1314" s="25">
        <f t="array" ref="F1314">INDEX(E$5:E$67,MATCH($B1314,$B$5:$B$67,0))</f>
        <v>1152</v>
      </c>
      <c r="G1314" s="25">
        <f t="array" ref="G1314">INDEX(F$5:F$67,MATCH($B1314,$B$5:$B$67,0))</f>
        <v>92.16</v>
      </c>
      <c r="H1314" s="25">
        <f t="array" ref="H1314">INDEX(G$5:G$66,MATCH($B1314,$B$5:$B$67,0))</f>
        <v>1440</v>
      </c>
      <c r="I1314" s="25">
        <f t="array" ref="I1314">INDEX(H$5:H$67,MATCH($B1314,$B$5:$B$67,0))</f>
        <v>115.2</v>
      </c>
      <c r="J1314" s="25">
        <f t="array" ref="J1314">INDEX(I$5:I$67,MATCH($B1314,$B$5:$B$67,0))</f>
        <v>800</v>
      </c>
      <c r="K1314" s="25">
        <f t="array" ref="K1314">INDEX(J$5:J$67,MATCH($B1314,$B$5:$B$67,0))</f>
        <v>64</v>
      </c>
      <c r="L1314" s="25">
        <f t="shared" si="654"/>
        <v>12292</v>
      </c>
      <c r="M1314" s="25">
        <f t="shared" si="655"/>
        <v>4470</v>
      </c>
      <c r="N1314" s="25">
        <f t="shared" si="656"/>
        <v>5587</v>
      </c>
      <c r="O1314" s="25">
        <f t="shared" si="657"/>
        <v>3104</v>
      </c>
      <c r="R1314" s="50"/>
      <c r="S1314" s="51"/>
      <c r="T1314" s="29"/>
    </row>
    <row r="1315" spans="1:20">
      <c r="A1315" s="48">
        <v>1024037</v>
      </c>
      <c r="B1315" s="49" t="s">
        <v>355</v>
      </c>
      <c r="C1315" s="25">
        <f t="shared" si="653"/>
        <v>37</v>
      </c>
      <c r="D1315" s="25">
        <f t="array" ref="D1315">INDEX(C$5:C$67,MATCH($B1315,$B$5:$B$67,0))</f>
        <v>3168</v>
      </c>
      <c r="E1315" s="25">
        <f t="array" ref="E1315">INDEX(D$5:D$67,MATCH($B1315,$B$5:$B$67,0))</f>
        <v>253.44</v>
      </c>
      <c r="F1315" s="25">
        <f t="array" ref="F1315">INDEX(E$5:E$67,MATCH($B1315,$B$5:$B$67,0))</f>
        <v>1152</v>
      </c>
      <c r="G1315" s="25">
        <f t="array" ref="G1315">INDEX(F$5:F$67,MATCH($B1315,$B$5:$B$67,0))</f>
        <v>92.16</v>
      </c>
      <c r="H1315" s="25">
        <f t="array" ref="H1315">INDEX(G$5:G$66,MATCH($B1315,$B$5:$B$67,0))</f>
        <v>1440</v>
      </c>
      <c r="I1315" s="25">
        <f t="array" ref="I1315">INDEX(H$5:H$67,MATCH($B1315,$B$5:$B$67,0))</f>
        <v>115.2</v>
      </c>
      <c r="J1315" s="25">
        <f t="array" ref="J1315">INDEX(I$5:I$67,MATCH($B1315,$B$5:$B$67,0))</f>
        <v>800</v>
      </c>
      <c r="K1315" s="25">
        <f t="array" ref="K1315">INDEX(J$5:J$67,MATCH($B1315,$B$5:$B$67,0))</f>
        <v>64</v>
      </c>
      <c r="L1315" s="25">
        <f t="shared" si="654"/>
        <v>12545</v>
      </c>
      <c r="M1315" s="25">
        <f t="shared" si="655"/>
        <v>4562</v>
      </c>
      <c r="N1315" s="25">
        <f t="shared" si="656"/>
        <v>5702</v>
      </c>
      <c r="O1315" s="25">
        <f t="shared" si="657"/>
        <v>3168</v>
      </c>
      <c r="R1315" s="50"/>
      <c r="S1315" s="51"/>
      <c r="T1315" s="29"/>
    </row>
    <row r="1316" spans="1:20">
      <c r="A1316" s="48">
        <v>1024038</v>
      </c>
      <c r="B1316" s="49" t="s">
        <v>355</v>
      </c>
      <c r="C1316" s="25">
        <f t="shared" si="653"/>
        <v>38</v>
      </c>
      <c r="D1316" s="25">
        <f t="array" ref="D1316">INDEX(C$5:C$67,MATCH($B1316,$B$5:$B$67,0))</f>
        <v>3168</v>
      </c>
      <c r="E1316" s="25">
        <f t="array" ref="E1316">INDEX(D$5:D$67,MATCH($B1316,$B$5:$B$67,0))</f>
        <v>253.44</v>
      </c>
      <c r="F1316" s="25">
        <f t="array" ref="F1316">INDEX(E$5:E$67,MATCH($B1316,$B$5:$B$67,0))</f>
        <v>1152</v>
      </c>
      <c r="G1316" s="25">
        <f t="array" ref="G1316">INDEX(F$5:F$67,MATCH($B1316,$B$5:$B$67,0))</f>
        <v>92.16</v>
      </c>
      <c r="H1316" s="25">
        <f t="array" ref="H1316">INDEX(G$5:G$66,MATCH($B1316,$B$5:$B$67,0))</f>
        <v>1440</v>
      </c>
      <c r="I1316" s="25">
        <f t="array" ref="I1316">INDEX(H$5:H$67,MATCH($B1316,$B$5:$B$67,0))</f>
        <v>115.2</v>
      </c>
      <c r="J1316" s="25">
        <f t="array" ref="J1316">INDEX(I$5:I$67,MATCH($B1316,$B$5:$B$67,0))</f>
        <v>800</v>
      </c>
      <c r="K1316" s="25">
        <f t="array" ref="K1316">INDEX(J$5:J$67,MATCH($B1316,$B$5:$B$67,0))</f>
        <v>64</v>
      </c>
      <c r="L1316" s="25">
        <f t="shared" si="654"/>
        <v>12799</v>
      </c>
      <c r="M1316" s="25">
        <f t="shared" si="655"/>
        <v>4654</v>
      </c>
      <c r="N1316" s="25">
        <f t="shared" si="656"/>
        <v>5818</v>
      </c>
      <c r="O1316" s="25">
        <f t="shared" si="657"/>
        <v>3232</v>
      </c>
      <c r="R1316" s="50"/>
      <c r="S1316" s="51"/>
      <c r="T1316" s="29"/>
    </row>
    <row r="1317" spans="1:20">
      <c r="A1317" s="48">
        <v>1024039</v>
      </c>
      <c r="B1317" s="49" t="s">
        <v>355</v>
      </c>
      <c r="C1317" s="25">
        <f t="shared" si="653"/>
        <v>39</v>
      </c>
      <c r="D1317" s="25">
        <f t="array" ref="D1317">INDEX(C$5:C$67,MATCH($B1317,$B$5:$B$67,0))</f>
        <v>3168</v>
      </c>
      <c r="E1317" s="25">
        <f t="array" ref="E1317">INDEX(D$5:D$67,MATCH($B1317,$B$5:$B$67,0))</f>
        <v>253.44</v>
      </c>
      <c r="F1317" s="25">
        <f t="array" ref="F1317">INDEX(E$5:E$67,MATCH($B1317,$B$5:$B$67,0))</f>
        <v>1152</v>
      </c>
      <c r="G1317" s="25">
        <f t="array" ref="G1317">INDEX(F$5:F$67,MATCH($B1317,$B$5:$B$67,0))</f>
        <v>92.16</v>
      </c>
      <c r="H1317" s="25">
        <f t="array" ref="H1317">INDEX(G$5:G$66,MATCH($B1317,$B$5:$B$67,0))</f>
        <v>1440</v>
      </c>
      <c r="I1317" s="25">
        <f t="array" ref="I1317">INDEX(H$5:H$67,MATCH($B1317,$B$5:$B$67,0))</f>
        <v>115.2</v>
      </c>
      <c r="J1317" s="25">
        <f t="array" ref="J1317">INDEX(I$5:I$67,MATCH($B1317,$B$5:$B$67,0))</f>
        <v>800</v>
      </c>
      <c r="K1317" s="25">
        <f t="array" ref="K1317">INDEX(J$5:J$67,MATCH($B1317,$B$5:$B$67,0))</f>
        <v>64</v>
      </c>
      <c r="L1317" s="25">
        <f t="shared" si="654"/>
        <v>13052</v>
      </c>
      <c r="M1317" s="25">
        <f t="shared" si="655"/>
        <v>4746</v>
      </c>
      <c r="N1317" s="25">
        <f t="shared" si="656"/>
        <v>5933</v>
      </c>
      <c r="O1317" s="25">
        <f t="shared" si="657"/>
        <v>3296</v>
      </c>
      <c r="R1317" s="50"/>
      <c r="S1317" s="51"/>
      <c r="T1317" s="29"/>
    </row>
    <row r="1318" spans="1:20">
      <c r="A1318" s="48">
        <v>1024040</v>
      </c>
      <c r="B1318" s="49" t="s">
        <v>355</v>
      </c>
      <c r="C1318" s="25">
        <f t="shared" si="653"/>
        <v>40</v>
      </c>
      <c r="D1318" s="25">
        <f t="array" ref="D1318">INDEX(C$5:C$67,MATCH($B1318,$B$5:$B$67,0))</f>
        <v>3168</v>
      </c>
      <c r="E1318" s="25">
        <f t="array" ref="E1318">INDEX(D$5:D$67,MATCH($B1318,$B$5:$B$67,0))</f>
        <v>253.44</v>
      </c>
      <c r="F1318" s="25">
        <f t="array" ref="F1318">INDEX(E$5:E$67,MATCH($B1318,$B$5:$B$67,0))</f>
        <v>1152</v>
      </c>
      <c r="G1318" s="25">
        <f t="array" ref="G1318">INDEX(F$5:F$67,MATCH($B1318,$B$5:$B$67,0))</f>
        <v>92.16</v>
      </c>
      <c r="H1318" s="25">
        <f t="array" ref="H1318">INDEX(G$5:G$66,MATCH($B1318,$B$5:$B$67,0))</f>
        <v>1440</v>
      </c>
      <c r="I1318" s="25">
        <f t="array" ref="I1318">INDEX(H$5:H$67,MATCH($B1318,$B$5:$B$67,0))</f>
        <v>115.2</v>
      </c>
      <c r="J1318" s="25">
        <f t="array" ref="J1318">INDEX(I$5:I$67,MATCH($B1318,$B$5:$B$67,0))</f>
        <v>800</v>
      </c>
      <c r="K1318" s="25">
        <f t="array" ref="K1318">INDEX(J$5:J$67,MATCH($B1318,$B$5:$B$67,0))</f>
        <v>64</v>
      </c>
      <c r="L1318" s="25">
        <f t="shared" si="654"/>
        <v>13306</v>
      </c>
      <c r="M1318" s="25">
        <f t="shared" si="655"/>
        <v>4838</v>
      </c>
      <c r="N1318" s="25">
        <f t="shared" si="656"/>
        <v>6048</v>
      </c>
      <c r="O1318" s="25">
        <f t="shared" si="657"/>
        <v>3360</v>
      </c>
      <c r="R1318" s="50"/>
      <c r="S1318" s="51"/>
      <c r="T1318" s="29"/>
    </row>
    <row r="1319" spans="1:20">
      <c r="A1319" s="48">
        <v>1024041</v>
      </c>
      <c r="B1319" s="49" t="s">
        <v>355</v>
      </c>
      <c r="C1319" s="25">
        <f t="shared" si="653"/>
        <v>41</v>
      </c>
      <c r="D1319" s="25">
        <f t="array" ref="D1319">INDEX(C$5:C$67,MATCH($B1319,$B$5:$B$67,0))</f>
        <v>3168</v>
      </c>
      <c r="E1319" s="25">
        <f t="array" ref="E1319">INDEX(D$5:D$67,MATCH($B1319,$B$5:$B$67,0))</f>
        <v>253.44</v>
      </c>
      <c r="F1319" s="25">
        <f t="array" ref="F1319">INDEX(E$5:E$67,MATCH($B1319,$B$5:$B$67,0))</f>
        <v>1152</v>
      </c>
      <c r="G1319" s="25">
        <f t="array" ref="G1319">INDEX(F$5:F$67,MATCH($B1319,$B$5:$B$67,0))</f>
        <v>92.16</v>
      </c>
      <c r="H1319" s="25">
        <f t="array" ref="H1319">INDEX(G$5:G$66,MATCH($B1319,$B$5:$B$67,0))</f>
        <v>1440</v>
      </c>
      <c r="I1319" s="25">
        <f t="array" ref="I1319">INDEX(H$5:H$67,MATCH($B1319,$B$5:$B$67,0))</f>
        <v>115.2</v>
      </c>
      <c r="J1319" s="25">
        <f t="array" ref="J1319">INDEX(I$5:I$67,MATCH($B1319,$B$5:$B$67,0))</f>
        <v>800</v>
      </c>
      <c r="K1319" s="25">
        <f t="array" ref="K1319">INDEX(J$5:J$67,MATCH($B1319,$B$5:$B$67,0))</f>
        <v>64</v>
      </c>
      <c r="L1319" s="25">
        <f t="shared" si="654"/>
        <v>13559</v>
      </c>
      <c r="M1319" s="25">
        <f t="shared" si="655"/>
        <v>4931</v>
      </c>
      <c r="N1319" s="25">
        <f t="shared" si="656"/>
        <v>6163</v>
      </c>
      <c r="O1319" s="25">
        <f t="shared" si="657"/>
        <v>3424</v>
      </c>
      <c r="R1319" s="50"/>
      <c r="S1319" s="51"/>
      <c r="T1319" s="29"/>
    </row>
    <row r="1320" spans="1:20">
      <c r="A1320" s="48">
        <v>1024042</v>
      </c>
      <c r="B1320" s="49" t="s">
        <v>355</v>
      </c>
      <c r="C1320" s="25">
        <f t="shared" si="653"/>
        <v>42</v>
      </c>
      <c r="D1320" s="25">
        <f t="array" ref="D1320">INDEX(C$5:C$67,MATCH($B1320,$B$5:$B$67,0))</f>
        <v>3168</v>
      </c>
      <c r="E1320" s="25">
        <f t="array" ref="E1320">INDEX(D$5:D$67,MATCH($B1320,$B$5:$B$67,0))</f>
        <v>253.44</v>
      </c>
      <c r="F1320" s="25">
        <f t="array" ref="F1320">INDEX(E$5:E$67,MATCH($B1320,$B$5:$B$67,0))</f>
        <v>1152</v>
      </c>
      <c r="G1320" s="25">
        <f t="array" ref="G1320">INDEX(F$5:F$67,MATCH($B1320,$B$5:$B$67,0))</f>
        <v>92.16</v>
      </c>
      <c r="H1320" s="25">
        <f t="array" ref="H1320">INDEX(G$5:G$66,MATCH($B1320,$B$5:$B$67,0))</f>
        <v>1440</v>
      </c>
      <c r="I1320" s="25">
        <f t="array" ref="I1320">INDEX(H$5:H$67,MATCH($B1320,$B$5:$B$67,0))</f>
        <v>115.2</v>
      </c>
      <c r="J1320" s="25">
        <f t="array" ref="J1320">INDEX(I$5:I$67,MATCH($B1320,$B$5:$B$67,0))</f>
        <v>800</v>
      </c>
      <c r="K1320" s="25">
        <f t="array" ref="K1320">INDEX(J$5:J$67,MATCH($B1320,$B$5:$B$67,0))</f>
        <v>64</v>
      </c>
      <c r="L1320" s="25">
        <f t="shared" si="654"/>
        <v>13812</v>
      </c>
      <c r="M1320" s="25">
        <f t="shared" si="655"/>
        <v>5023</v>
      </c>
      <c r="N1320" s="25">
        <f t="shared" si="656"/>
        <v>6278</v>
      </c>
      <c r="O1320" s="25">
        <f t="shared" si="657"/>
        <v>3488</v>
      </c>
      <c r="R1320" s="50"/>
      <c r="S1320" s="51"/>
      <c r="T1320" s="29"/>
    </row>
    <row r="1321" spans="1:20">
      <c r="A1321" s="48">
        <v>1024043</v>
      </c>
      <c r="B1321" s="49" t="s">
        <v>355</v>
      </c>
      <c r="C1321" s="25">
        <f t="shared" si="653"/>
        <v>43</v>
      </c>
      <c r="D1321" s="25">
        <f t="array" ref="D1321">INDEX(C$5:C$67,MATCH($B1321,$B$5:$B$67,0))</f>
        <v>3168</v>
      </c>
      <c r="E1321" s="25">
        <f t="array" ref="E1321">INDEX(D$5:D$67,MATCH($B1321,$B$5:$B$67,0))</f>
        <v>253.44</v>
      </c>
      <c r="F1321" s="25">
        <f t="array" ref="F1321">INDEX(E$5:E$67,MATCH($B1321,$B$5:$B$67,0))</f>
        <v>1152</v>
      </c>
      <c r="G1321" s="25">
        <f t="array" ref="G1321">INDEX(F$5:F$67,MATCH($B1321,$B$5:$B$67,0))</f>
        <v>92.16</v>
      </c>
      <c r="H1321" s="25">
        <f t="array" ref="H1321">INDEX(G$5:G$66,MATCH($B1321,$B$5:$B$67,0))</f>
        <v>1440</v>
      </c>
      <c r="I1321" s="25">
        <f t="array" ref="I1321">INDEX(H$5:H$67,MATCH($B1321,$B$5:$B$67,0))</f>
        <v>115.2</v>
      </c>
      <c r="J1321" s="25">
        <f t="array" ref="J1321">INDEX(I$5:I$67,MATCH($B1321,$B$5:$B$67,0))</f>
        <v>800</v>
      </c>
      <c r="K1321" s="25">
        <f t="array" ref="K1321">INDEX(J$5:J$67,MATCH($B1321,$B$5:$B$67,0))</f>
        <v>64</v>
      </c>
      <c r="L1321" s="25">
        <f t="shared" si="654"/>
        <v>14066</v>
      </c>
      <c r="M1321" s="25">
        <f t="shared" si="655"/>
        <v>5115</v>
      </c>
      <c r="N1321" s="25">
        <f t="shared" si="656"/>
        <v>6394</v>
      </c>
      <c r="O1321" s="25">
        <f t="shared" si="657"/>
        <v>3552</v>
      </c>
      <c r="R1321" s="50"/>
      <c r="S1321" s="51"/>
      <c r="T1321" s="29"/>
    </row>
    <row r="1322" spans="1:20">
      <c r="A1322" s="48">
        <v>1024044</v>
      </c>
      <c r="B1322" s="49" t="s">
        <v>355</v>
      </c>
      <c r="C1322" s="25">
        <f t="shared" si="653"/>
        <v>44</v>
      </c>
      <c r="D1322" s="25">
        <f t="array" ref="D1322">INDEX(C$5:C$67,MATCH($B1322,$B$5:$B$67,0))</f>
        <v>3168</v>
      </c>
      <c r="E1322" s="25">
        <f t="array" ref="E1322">INDEX(D$5:D$67,MATCH($B1322,$B$5:$B$67,0))</f>
        <v>253.44</v>
      </c>
      <c r="F1322" s="25">
        <f t="array" ref="F1322">INDEX(E$5:E$67,MATCH($B1322,$B$5:$B$67,0))</f>
        <v>1152</v>
      </c>
      <c r="G1322" s="25">
        <f t="array" ref="G1322">INDEX(F$5:F$67,MATCH($B1322,$B$5:$B$67,0))</f>
        <v>92.16</v>
      </c>
      <c r="H1322" s="25">
        <f t="array" ref="H1322">INDEX(G$5:G$66,MATCH($B1322,$B$5:$B$67,0))</f>
        <v>1440</v>
      </c>
      <c r="I1322" s="25">
        <f t="array" ref="I1322">INDEX(H$5:H$67,MATCH($B1322,$B$5:$B$67,0))</f>
        <v>115.2</v>
      </c>
      <c r="J1322" s="25">
        <f t="array" ref="J1322">INDEX(I$5:I$67,MATCH($B1322,$B$5:$B$67,0))</f>
        <v>800</v>
      </c>
      <c r="K1322" s="25">
        <f t="array" ref="K1322">INDEX(J$5:J$67,MATCH($B1322,$B$5:$B$67,0))</f>
        <v>64</v>
      </c>
      <c r="L1322" s="25">
        <f t="shared" si="654"/>
        <v>14319</v>
      </c>
      <c r="M1322" s="25">
        <f t="shared" si="655"/>
        <v>5207</v>
      </c>
      <c r="N1322" s="25">
        <f t="shared" si="656"/>
        <v>6509</v>
      </c>
      <c r="O1322" s="25">
        <f t="shared" si="657"/>
        <v>3616</v>
      </c>
      <c r="R1322" s="50"/>
      <c r="S1322" s="51"/>
      <c r="T1322" s="29"/>
    </row>
    <row r="1323" spans="1:20">
      <c r="A1323" s="48">
        <v>1024045</v>
      </c>
      <c r="B1323" s="49" t="s">
        <v>355</v>
      </c>
      <c r="C1323" s="25">
        <f t="shared" si="653"/>
        <v>45</v>
      </c>
      <c r="D1323" s="25">
        <f t="array" ref="D1323">INDEX(C$5:C$67,MATCH($B1323,$B$5:$B$67,0))</f>
        <v>3168</v>
      </c>
      <c r="E1323" s="25">
        <f t="array" ref="E1323">INDEX(D$5:D$67,MATCH($B1323,$B$5:$B$67,0))</f>
        <v>253.44</v>
      </c>
      <c r="F1323" s="25">
        <f t="array" ref="F1323">INDEX(E$5:E$67,MATCH($B1323,$B$5:$B$67,0))</f>
        <v>1152</v>
      </c>
      <c r="G1323" s="25">
        <f t="array" ref="G1323">INDEX(F$5:F$67,MATCH($B1323,$B$5:$B$67,0))</f>
        <v>92.16</v>
      </c>
      <c r="H1323" s="25">
        <f t="array" ref="H1323">INDEX(G$5:G$66,MATCH($B1323,$B$5:$B$67,0))</f>
        <v>1440</v>
      </c>
      <c r="I1323" s="25">
        <f t="array" ref="I1323">INDEX(H$5:H$67,MATCH($B1323,$B$5:$B$67,0))</f>
        <v>115.2</v>
      </c>
      <c r="J1323" s="25">
        <f t="array" ref="J1323">INDEX(I$5:I$67,MATCH($B1323,$B$5:$B$67,0))</f>
        <v>800</v>
      </c>
      <c r="K1323" s="25">
        <f t="array" ref="K1323">INDEX(J$5:J$67,MATCH($B1323,$B$5:$B$67,0))</f>
        <v>64</v>
      </c>
      <c r="L1323" s="25">
        <f t="shared" si="654"/>
        <v>14573</v>
      </c>
      <c r="M1323" s="25">
        <f t="shared" si="655"/>
        <v>5299</v>
      </c>
      <c r="N1323" s="25">
        <f t="shared" si="656"/>
        <v>6624</v>
      </c>
      <c r="O1323" s="25">
        <f t="shared" si="657"/>
        <v>3680</v>
      </c>
      <c r="R1323" s="50"/>
      <c r="S1323" s="51"/>
      <c r="T1323" s="29"/>
    </row>
    <row r="1324" spans="1:20">
      <c r="A1324" s="48">
        <v>1024046</v>
      </c>
      <c r="B1324" s="49" t="s">
        <v>355</v>
      </c>
      <c r="C1324" s="25">
        <f t="shared" si="653"/>
        <v>46</v>
      </c>
      <c r="D1324" s="25">
        <f t="array" ref="D1324">INDEX(C$5:C$67,MATCH($B1324,$B$5:$B$67,0))</f>
        <v>3168</v>
      </c>
      <c r="E1324" s="25">
        <f t="array" ref="E1324">INDEX(D$5:D$67,MATCH($B1324,$B$5:$B$67,0))</f>
        <v>253.44</v>
      </c>
      <c r="F1324" s="25">
        <f t="array" ref="F1324">INDEX(E$5:E$67,MATCH($B1324,$B$5:$B$67,0))</f>
        <v>1152</v>
      </c>
      <c r="G1324" s="25">
        <f t="array" ref="G1324">INDEX(F$5:F$67,MATCH($B1324,$B$5:$B$67,0))</f>
        <v>92.16</v>
      </c>
      <c r="H1324" s="25">
        <f t="array" ref="H1324">INDEX(G$5:G$66,MATCH($B1324,$B$5:$B$67,0))</f>
        <v>1440</v>
      </c>
      <c r="I1324" s="25">
        <f t="array" ref="I1324">INDEX(H$5:H$67,MATCH($B1324,$B$5:$B$67,0))</f>
        <v>115.2</v>
      </c>
      <c r="J1324" s="25">
        <f t="array" ref="J1324">INDEX(I$5:I$67,MATCH($B1324,$B$5:$B$67,0))</f>
        <v>800</v>
      </c>
      <c r="K1324" s="25">
        <f t="array" ref="K1324">INDEX(J$5:J$67,MATCH($B1324,$B$5:$B$67,0))</f>
        <v>64</v>
      </c>
      <c r="L1324" s="25">
        <f t="shared" si="654"/>
        <v>14826</v>
      </c>
      <c r="M1324" s="25">
        <f t="shared" si="655"/>
        <v>5391</v>
      </c>
      <c r="N1324" s="25">
        <f t="shared" si="656"/>
        <v>6739</v>
      </c>
      <c r="O1324" s="25">
        <f t="shared" si="657"/>
        <v>3744</v>
      </c>
      <c r="R1324" s="50"/>
      <c r="S1324" s="51"/>
      <c r="T1324" s="29"/>
    </row>
    <row r="1325" spans="1:20">
      <c r="A1325" s="48">
        <v>1024047</v>
      </c>
      <c r="B1325" s="49" t="s">
        <v>355</v>
      </c>
      <c r="C1325" s="25">
        <f t="shared" si="653"/>
        <v>47</v>
      </c>
      <c r="D1325" s="25">
        <f t="array" ref="D1325">INDEX(C$5:C$67,MATCH($B1325,$B$5:$B$67,0))</f>
        <v>3168</v>
      </c>
      <c r="E1325" s="25">
        <f t="array" ref="E1325">INDEX(D$5:D$67,MATCH($B1325,$B$5:$B$67,0))</f>
        <v>253.44</v>
      </c>
      <c r="F1325" s="25">
        <f t="array" ref="F1325">INDEX(E$5:E$67,MATCH($B1325,$B$5:$B$67,0))</f>
        <v>1152</v>
      </c>
      <c r="G1325" s="25">
        <f t="array" ref="G1325">INDEX(F$5:F$67,MATCH($B1325,$B$5:$B$67,0))</f>
        <v>92.16</v>
      </c>
      <c r="H1325" s="25">
        <f t="array" ref="H1325">INDEX(G$5:G$66,MATCH($B1325,$B$5:$B$67,0))</f>
        <v>1440</v>
      </c>
      <c r="I1325" s="25">
        <f t="array" ref="I1325">INDEX(H$5:H$67,MATCH($B1325,$B$5:$B$67,0))</f>
        <v>115.2</v>
      </c>
      <c r="J1325" s="25">
        <f t="array" ref="J1325">INDEX(I$5:I$67,MATCH($B1325,$B$5:$B$67,0))</f>
        <v>800</v>
      </c>
      <c r="K1325" s="25">
        <f t="array" ref="K1325">INDEX(J$5:J$67,MATCH($B1325,$B$5:$B$67,0))</f>
        <v>64</v>
      </c>
      <c r="L1325" s="25">
        <f t="shared" si="654"/>
        <v>15080</v>
      </c>
      <c r="M1325" s="25">
        <f t="shared" si="655"/>
        <v>5484</v>
      </c>
      <c r="N1325" s="25">
        <f t="shared" si="656"/>
        <v>6854</v>
      </c>
      <c r="O1325" s="25">
        <f t="shared" si="657"/>
        <v>3808</v>
      </c>
      <c r="R1325" s="50"/>
      <c r="S1325" s="51"/>
      <c r="T1325" s="29"/>
    </row>
    <row r="1326" spans="1:20">
      <c r="A1326" s="48">
        <v>1024048</v>
      </c>
      <c r="B1326" s="49" t="s">
        <v>355</v>
      </c>
      <c r="C1326" s="25">
        <f t="shared" si="653"/>
        <v>48</v>
      </c>
      <c r="D1326" s="25">
        <f t="array" ref="D1326">INDEX(C$5:C$67,MATCH($B1326,$B$5:$B$67,0))</f>
        <v>3168</v>
      </c>
      <c r="E1326" s="25">
        <f t="array" ref="E1326">INDEX(D$5:D$67,MATCH($B1326,$B$5:$B$67,0))</f>
        <v>253.44</v>
      </c>
      <c r="F1326" s="25">
        <f t="array" ref="F1326">INDEX(E$5:E$67,MATCH($B1326,$B$5:$B$67,0))</f>
        <v>1152</v>
      </c>
      <c r="G1326" s="25">
        <f t="array" ref="G1326">INDEX(F$5:F$67,MATCH($B1326,$B$5:$B$67,0))</f>
        <v>92.16</v>
      </c>
      <c r="H1326" s="25">
        <f t="array" ref="H1326">INDEX(G$5:G$66,MATCH($B1326,$B$5:$B$67,0))</f>
        <v>1440</v>
      </c>
      <c r="I1326" s="25">
        <f t="array" ref="I1326">INDEX(H$5:H$67,MATCH($B1326,$B$5:$B$67,0))</f>
        <v>115.2</v>
      </c>
      <c r="J1326" s="25">
        <f t="array" ref="J1326">INDEX(I$5:I$67,MATCH($B1326,$B$5:$B$67,0))</f>
        <v>800</v>
      </c>
      <c r="K1326" s="25">
        <f t="array" ref="K1326">INDEX(J$5:J$67,MATCH($B1326,$B$5:$B$67,0))</f>
        <v>64</v>
      </c>
      <c r="L1326" s="25">
        <f t="shared" si="654"/>
        <v>15333</v>
      </c>
      <c r="M1326" s="25">
        <f t="shared" si="655"/>
        <v>5576</v>
      </c>
      <c r="N1326" s="25">
        <f t="shared" si="656"/>
        <v>6970</v>
      </c>
      <c r="O1326" s="25">
        <f t="shared" si="657"/>
        <v>3872</v>
      </c>
      <c r="R1326" s="50"/>
      <c r="S1326" s="51"/>
      <c r="T1326" s="29"/>
    </row>
    <row r="1327" spans="1:20">
      <c r="A1327" s="48">
        <v>1024049</v>
      </c>
      <c r="B1327" s="49" t="s">
        <v>355</v>
      </c>
      <c r="C1327" s="25">
        <f t="shared" si="653"/>
        <v>49</v>
      </c>
      <c r="D1327" s="25">
        <f t="array" ref="D1327">INDEX(C$5:C$67,MATCH($B1327,$B$5:$B$67,0))</f>
        <v>3168</v>
      </c>
      <c r="E1327" s="25">
        <f t="array" ref="E1327">INDEX(D$5:D$67,MATCH($B1327,$B$5:$B$67,0))</f>
        <v>253.44</v>
      </c>
      <c r="F1327" s="25">
        <f t="array" ref="F1327">INDEX(E$5:E$67,MATCH($B1327,$B$5:$B$67,0))</f>
        <v>1152</v>
      </c>
      <c r="G1327" s="25">
        <f t="array" ref="G1327">INDEX(F$5:F$67,MATCH($B1327,$B$5:$B$67,0))</f>
        <v>92.16</v>
      </c>
      <c r="H1327" s="25">
        <f t="array" ref="H1327">INDEX(G$5:G$66,MATCH($B1327,$B$5:$B$67,0))</f>
        <v>1440</v>
      </c>
      <c r="I1327" s="25">
        <f t="array" ref="I1327">INDEX(H$5:H$67,MATCH($B1327,$B$5:$B$67,0))</f>
        <v>115.2</v>
      </c>
      <c r="J1327" s="25">
        <f t="array" ref="J1327">INDEX(I$5:I$67,MATCH($B1327,$B$5:$B$67,0))</f>
        <v>800</v>
      </c>
      <c r="K1327" s="25">
        <f t="array" ref="K1327">INDEX(J$5:J$67,MATCH($B1327,$B$5:$B$67,0))</f>
        <v>64</v>
      </c>
      <c r="L1327" s="25">
        <f t="shared" si="654"/>
        <v>15587</v>
      </c>
      <c r="M1327" s="25">
        <f t="shared" si="655"/>
        <v>5668</v>
      </c>
      <c r="N1327" s="25">
        <f t="shared" si="656"/>
        <v>7085</v>
      </c>
      <c r="O1327" s="25">
        <f t="shared" si="657"/>
        <v>3936</v>
      </c>
      <c r="R1327" s="50"/>
      <c r="S1327" s="51"/>
      <c r="T1327" s="29"/>
    </row>
    <row r="1328" spans="1:20">
      <c r="A1328" s="48">
        <v>1024050</v>
      </c>
      <c r="B1328" s="49" t="s">
        <v>355</v>
      </c>
      <c r="C1328" s="25">
        <f t="shared" si="653"/>
        <v>50</v>
      </c>
      <c r="D1328" s="25">
        <f t="array" ref="D1328">INDEX(C$5:C$67,MATCH($B1328,$B$5:$B$67,0))</f>
        <v>3168</v>
      </c>
      <c r="E1328" s="25">
        <f t="array" ref="E1328">INDEX(D$5:D$67,MATCH($B1328,$B$5:$B$67,0))</f>
        <v>253.44</v>
      </c>
      <c r="F1328" s="25">
        <f t="array" ref="F1328">INDEX(E$5:E$67,MATCH($B1328,$B$5:$B$67,0))</f>
        <v>1152</v>
      </c>
      <c r="G1328" s="25">
        <f t="array" ref="G1328">INDEX(F$5:F$67,MATCH($B1328,$B$5:$B$67,0))</f>
        <v>92.16</v>
      </c>
      <c r="H1328" s="25">
        <f t="array" ref="H1328">INDEX(G$5:G$66,MATCH($B1328,$B$5:$B$67,0))</f>
        <v>1440</v>
      </c>
      <c r="I1328" s="25">
        <f t="array" ref="I1328">INDEX(H$5:H$67,MATCH($B1328,$B$5:$B$67,0))</f>
        <v>115.2</v>
      </c>
      <c r="J1328" s="25">
        <f t="array" ref="J1328">INDEX(I$5:I$67,MATCH($B1328,$B$5:$B$67,0))</f>
        <v>800</v>
      </c>
      <c r="K1328" s="25">
        <f t="array" ref="K1328">INDEX(J$5:J$67,MATCH($B1328,$B$5:$B$67,0))</f>
        <v>64</v>
      </c>
      <c r="L1328" s="25">
        <f t="shared" si="654"/>
        <v>15840</v>
      </c>
      <c r="M1328" s="25">
        <f t="shared" si="655"/>
        <v>5760</v>
      </c>
      <c r="N1328" s="25">
        <f t="shared" si="656"/>
        <v>7200</v>
      </c>
      <c r="O1328" s="25">
        <f t="shared" si="657"/>
        <v>4000</v>
      </c>
      <c r="R1328" s="50"/>
      <c r="S1328" s="51"/>
      <c r="T1328" s="29"/>
    </row>
    <row r="1329" spans="1:20">
      <c r="A1329" s="48">
        <v>1024051</v>
      </c>
      <c r="B1329" s="49" t="s">
        <v>355</v>
      </c>
      <c r="C1329" s="25">
        <f t="shared" si="653"/>
        <v>51</v>
      </c>
      <c r="D1329" s="25">
        <f t="array" ref="D1329">INDEX(C$5:C$67,MATCH($B1329,$B$5:$B$67,0))</f>
        <v>3168</v>
      </c>
      <c r="E1329" s="25">
        <f t="array" ref="E1329">INDEX(D$5:D$67,MATCH($B1329,$B$5:$B$67,0))</f>
        <v>253.44</v>
      </c>
      <c r="F1329" s="25">
        <f t="array" ref="F1329">INDEX(E$5:E$67,MATCH($B1329,$B$5:$B$67,0))</f>
        <v>1152</v>
      </c>
      <c r="G1329" s="25">
        <f t="array" ref="G1329">INDEX(F$5:F$67,MATCH($B1329,$B$5:$B$67,0))</f>
        <v>92.16</v>
      </c>
      <c r="H1329" s="25">
        <f t="array" ref="H1329">INDEX(G$5:G$66,MATCH($B1329,$B$5:$B$67,0))</f>
        <v>1440</v>
      </c>
      <c r="I1329" s="25">
        <f t="array" ref="I1329">INDEX(H$5:H$67,MATCH($B1329,$B$5:$B$67,0))</f>
        <v>115.2</v>
      </c>
      <c r="J1329" s="25">
        <f t="array" ref="J1329">INDEX(I$5:I$67,MATCH($B1329,$B$5:$B$67,0))</f>
        <v>800</v>
      </c>
      <c r="K1329" s="25">
        <f t="array" ref="K1329">INDEX(J$5:J$67,MATCH($B1329,$B$5:$B$67,0))</f>
        <v>64</v>
      </c>
      <c r="L1329" s="25">
        <f t="shared" si="654"/>
        <v>16093</v>
      </c>
      <c r="M1329" s="25">
        <f t="shared" si="655"/>
        <v>5852</v>
      </c>
      <c r="N1329" s="25">
        <f t="shared" si="656"/>
        <v>7315</v>
      </c>
      <c r="O1329" s="25">
        <f t="shared" si="657"/>
        <v>4064</v>
      </c>
      <c r="R1329" s="50"/>
      <c r="S1329" s="51"/>
      <c r="T1329" s="29"/>
    </row>
    <row r="1330" spans="1:20">
      <c r="A1330" s="48">
        <v>1024052</v>
      </c>
      <c r="B1330" s="49" t="s">
        <v>355</v>
      </c>
      <c r="C1330" s="25">
        <f t="shared" si="653"/>
        <v>52</v>
      </c>
      <c r="D1330" s="25">
        <f t="array" ref="D1330">INDEX(C$5:C$67,MATCH($B1330,$B$5:$B$67,0))</f>
        <v>3168</v>
      </c>
      <c r="E1330" s="25">
        <f t="array" ref="E1330">INDEX(D$5:D$67,MATCH($B1330,$B$5:$B$67,0))</f>
        <v>253.44</v>
      </c>
      <c r="F1330" s="25">
        <f t="array" ref="F1330">INDEX(E$5:E$67,MATCH($B1330,$B$5:$B$67,0))</f>
        <v>1152</v>
      </c>
      <c r="G1330" s="25">
        <f t="array" ref="G1330">INDEX(F$5:F$67,MATCH($B1330,$B$5:$B$67,0))</f>
        <v>92.16</v>
      </c>
      <c r="H1330" s="25">
        <f t="array" ref="H1330">INDEX(G$5:G$66,MATCH($B1330,$B$5:$B$67,0))</f>
        <v>1440</v>
      </c>
      <c r="I1330" s="25">
        <f t="array" ref="I1330">INDEX(H$5:H$67,MATCH($B1330,$B$5:$B$67,0))</f>
        <v>115.2</v>
      </c>
      <c r="J1330" s="25">
        <f t="array" ref="J1330">INDEX(I$5:I$67,MATCH($B1330,$B$5:$B$67,0))</f>
        <v>800</v>
      </c>
      <c r="K1330" s="25">
        <f t="array" ref="K1330">INDEX(J$5:J$67,MATCH($B1330,$B$5:$B$67,0))</f>
        <v>64</v>
      </c>
      <c r="L1330" s="25">
        <f t="shared" si="654"/>
        <v>16347</v>
      </c>
      <c r="M1330" s="25">
        <f t="shared" si="655"/>
        <v>5944</v>
      </c>
      <c r="N1330" s="25">
        <f t="shared" si="656"/>
        <v>7430</v>
      </c>
      <c r="O1330" s="25">
        <f t="shared" si="657"/>
        <v>4128</v>
      </c>
      <c r="R1330" s="50"/>
      <c r="S1330" s="51"/>
      <c r="T1330" s="29"/>
    </row>
    <row r="1331" spans="1:20">
      <c r="A1331" s="48">
        <v>1024053</v>
      </c>
      <c r="B1331" s="49" t="s">
        <v>355</v>
      </c>
      <c r="C1331" s="25">
        <f t="shared" si="653"/>
        <v>53</v>
      </c>
      <c r="D1331" s="25">
        <f t="array" ref="D1331">INDEX(C$5:C$67,MATCH($B1331,$B$5:$B$67,0))</f>
        <v>3168</v>
      </c>
      <c r="E1331" s="25">
        <f t="array" ref="E1331">INDEX(D$5:D$67,MATCH($B1331,$B$5:$B$67,0))</f>
        <v>253.44</v>
      </c>
      <c r="F1331" s="25">
        <f t="array" ref="F1331">INDEX(E$5:E$67,MATCH($B1331,$B$5:$B$67,0))</f>
        <v>1152</v>
      </c>
      <c r="G1331" s="25">
        <f t="array" ref="G1331">INDEX(F$5:F$67,MATCH($B1331,$B$5:$B$67,0))</f>
        <v>92.16</v>
      </c>
      <c r="H1331" s="25">
        <f t="array" ref="H1331">INDEX(G$5:G$66,MATCH($B1331,$B$5:$B$67,0))</f>
        <v>1440</v>
      </c>
      <c r="I1331" s="25">
        <f t="array" ref="I1331">INDEX(H$5:H$67,MATCH($B1331,$B$5:$B$67,0))</f>
        <v>115.2</v>
      </c>
      <c r="J1331" s="25">
        <f t="array" ref="J1331">INDEX(I$5:I$67,MATCH($B1331,$B$5:$B$67,0))</f>
        <v>800</v>
      </c>
      <c r="K1331" s="25">
        <f t="array" ref="K1331">INDEX(J$5:J$67,MATCH($B1331,$B$5:$B$67,0))</f>
        <v>64</v>
      </c>
      <c r="L1331" s="25">
        <f t="shared" si="654"/>
        <v>16600</v>
      </c>
      <c r="M1331" s="25">
        <f t="shared" si="655"/>
        <v>6036</v>
      </c>
      <c r="N1331" s="25">
        <f t="shared" si="656"/>
        <v>7546</v>
      </c>
      <c r="O1331" s="25">
        <f t="shared" si="657"/>
        <v>4192</v>
      </c>
      <c r="R1331" s="50"/>
      <c r="S1331" s="51"/>
      <c r="T1331" s="29"/>
    </row>
    <row r="1332" spans="1:20">
      <c r="A1332" s="48">
        <v>1024054</v>
      </c>
      <c r="B1332" s="49" t="s">
        <v>355</v>
      </c>
      <c r="C1332" s="25">
        <f t="shared" si="653"/>
        <v>54</v>
      </c>
      <c r="D1332" s="25">
        <f t="array" ref="D1332">INDEX(C$5:C$67,MATCH($B1332,$B$5:$B$67,0))</f>
        <v>3168</v>
      </c>
      <c r="E1332" s="25">
        <f t="array" ref="E1332">INDEX(D$5:D$67,MATCH($B1332,$B$5:$B$67,0))</f>
        <v>253.44</v>
      </c>
      <c r="F1332" s="25">
        <f t="array" ref="F1332">INDEX(E$5:E$67,MATCH($B1332,$B$5:$B$67,0))</f>
        <v>1152</v>
      </c>
      <c r="G1332" s="25">
        <f t="array" ref="G1332">INDEX(F$5:F$67,MATCH($B1332,$B$5:$B$67,0))</f>
        <v>92.16</v>
      </c>
      <c r="H1332" s="25">
        <f t="array" ref="H1332">INDEX(G$5:G$66,MATCH($B1332,$B$5:$B$67,0))</f>
        <v>1440</v>
      </c>
      <c r="I1332" s="25">
        <f t="array" ref="I1332">INDEX(H$5:H$67,MATCH($B1332,$B$5:$B$67,0))</f>
        <v>115.2</v>
      </c>
      <c r="J1332" s="25">
        <f t="array" ref="J1332">INDEX(I$5:I$67,MATCH($B1332,$B$5:$B$67,0))</f>
        <v>800</v>
      </c>
      <c r="K1332" s="25">
        <f t="array" ref="K1332">INDEX(J$5:J$67,MATCH($B1332,$B$5:$B$67,0))</f>
        <v>64</v>
      </c>
      <c r="L1332" s="25">
        <f t="shared" si="654"/>
        <v>16854</v>
      </c>
      <c r="M1332" s="25">
        <f t="shared" si="655"/>
        <v>6129</v>
      </c>
      <c r="N1332" s="25">
        <f t="shared" si="656"/>
        <v>7661</v>
      </c>
      <c r="O1332" s="25">
        <f t="shared" si="657"/>
        <v>4256</v>
      </c>
      <c r="R1332" s="50"/>
      <c r="S1332" s="51"/>
      <c r="T1332" s="29"/>
    </row>
    <row r="1333" spans="1:20">
      <c r="A1333" s="48">
        <v>1024055</v>
      </c>
      <c r="B1333" s="49" t="s">
        <v>355</v>
      </c>
      <c r="C1333" s="25">
        <f t="shared" si="653"/>
        <v>55</v>
      </c>
      <c r="D1333" s="25">
        <f t="array" ref="D1333">INDEX(C$5:C$67,MATCH($B1333,$B$5:$B$67,0))</f>
        <v>3168</v>
      </c>
      <c r="E1333" s="25">
        <f t="array" ref="E1333">INDEX(D$5:D$67,MATCH($B1333,$B$5:$B$67,0))</f>
        <v>253.44</v>
      </c>
      <c r="F1333" s="25">
        <f t="array" ref="F1333">INDEX(E$5:E$67,MATCH($B1333,$B$5:$B$67,0))</f>
        <v>1152</v>
      </c>
      <c r="G1333" s="25">
        <f t="array" ref="G1333">INDEX(F$5:F$67,MATCH($B1333,$B$5:$B$67,0))</f>
        <v>92.16</v>
      </c>
      <c r="H1333" s="25">
        <f t="array" ref="H1333">INDEX(G$5:G$66,MATCH($B1333,$B$5:$B$67,0))</f>
        <v>1440</v>
      </c>
      <c r="I1333" s="25">
        <f t="array" ref="I1333">INDEX(H$5:H$67,MATCH($B1333,$B$5:$B$67,0))</f>
        <v>115.2</v>
      </c>
      <c r="J1333" s="25">
        <f t="array" ref="J1333">INDEX(I$5:I$67,MATCH($B1333,$B$5:$B$67,0))</f>
        <v>800</v>
      </c>
      <c r="K1333" s="25">
        <f t="array" ref="K1333">INDEX(J$5:J$67,MATCH($B1333,$B$5:$B$67,0))</f>
        <v>64</v>
      </c>
      <c r="L1333" s="25">
        <f t="shared" si="654"/>
        <v>17107</v>
      </c>
      <c r="M1333" s="25">
        <f t="shared" si="655"/>
        <v>6221</v>
      </c>
      <c r="N1333" s="25">
        <f t="shared" si="656"/>
        <v>7776</v>
      </c>
      <c r="O1333" s="25">
        <f t="shared" si="657"/>
        <v>4320</v>
      </c>
      <c r="R1333" s="50"/>
      <c r="S1333" s="51"/>
      <c r="T1333" s="29"/>
    </row>
    <row r="1334" spans="1:20">
      <c r="A1334" s="48">
        <v>1024056</v>
      </c>
      <c r="B1334" s="49" t="s">
        <v>355</v>
      </c>
      <c r="C1334" s="25">
        <f t="shared" si="653"/>
        <v>56</v>
      </c>
      <c r="D1334" s="25">
        <f t="array" ref="D1334">INDEX(C$5:C$67,MATCH($B1334,$B$5:$B$67,0))</f>
        <v>3168</v>
      </c>
      <c r="E1334" s="25">
        <f t="array" ref="E1334">INDEX(D$5:D$67,MATCH($B1334,$B$5:$B$67,0))</f>
        <v>253.44</v>
      </c>
      <c r="F1334" s="25">
        <f t="array" ref="F1334">INDEX(E$5:E$67,MATCH($B1334,$B$5:$B$67,0))</f>
        <v>1152</v>
      </c>
      <c r="G1334" s="25">
        <f t="array" ref="G1334">INDEX(F$5:F$67,MATCH($B1334,$B$5:$B$67,0))</f>
        <v>92.16</v>
      </c>
      <c r="H1334" s="25">
        <f t="array" ref="H1334">INDEX(G$5:G$66,MATCH($B1334,$B$5:$B$67,0))</f>
        <v>1440</v>
      </c>
      <c r="I1334" s="25">
        <f t="array" ref="I1334">INDEX(H$5:H$67,MATCH($B1334,$B$5:$B$67,0))</f>
        <v>115.2</v>
      </c>
      <c r="J1334" s="25">
        <f t="array" ref="J1334">INDEX(I$5:I$67,MATCH($B1334,$B$5:$B$67,0))</f>
        <v>800</v>
      </c>
      <c r="K1334" s="25">
        <f t="array" ref="K1334">INDEX(J$5:J$67,MATCH($B1334,$B$5:$B$67,0))</f>
        <v>64</v>
      </c>
      <c r="L1334" s="25">
        <f t="shared" si="654"/>
        <v>17361</v>
      </c>
      <c r="M1334" s="25">
        <f t="shared" si="655"/>
        <v>6313</v>
      </c>
      <c r="N1334" s="25">
        <f t="shared" si="656"/>
        <v>7891</v>
      </c>
      <c r="O1334" s="25">
        <f t="shared" si="657"/>
        <v>4384</v>
      </c>
      <c r="R1334" s="50"/>
      <c r="S1334" s="51"/>
      <c r="T1334" s="29"/>
    </row>
    <row r="1335" spans="1:20">
      <c r="A1335" s="48">
        <v>1024057</v>
      </c>
      <c r="B1335" s="49" t="s">
        <v>355</v>
      </c>
      <c r="C1335" s="25">
        <f t="shared" si="653"/>
        <v>57</v>
      </c>
      <c r="D1335" s="25">
        <f t="array" ref="D1335">INDEX(C$5:C$67,MATCH($B1335,$B$5:$B$67,0))</f>
        <v>3168</v>
      </c>
      <c r="E1335" s="25">
        <f t="array" ref="E1335">INDEX(D$5:D$67,MATCH($B1335,$B$5:$B$67,0))</f>
        <v>253.44</v>
      </c>
      <c r="F1335" s="25">
        <f t="array" ref="F1335">INDEX(E$5:E$67,MATCH($B1335,$B$5:$B$67,0))</f>
        <v>1152</v>
      </c>
      <c r="G1335" s="25">
        <f t="array" ref="G1335">INDEX(F$5:F$67,MATCH($B1335,$B$5:$B$67,0))</f>
        <v>92.16</v>
      </c>
      <c r="H1335" s="25">
        <f t="array" ref="H1335">INDEX(G$5:G$66,MATCH($B1335,$B$5:$B$67,0))</f>
        <v>1440</v>
      </c>
      <c r="I1335" s="25">
        <f t="array" ref="I1335">INDEX(H$5:H$67,MATCH($B1335,$B$5:$B$67,0))</f>
        <v>115.2</v>
      </c>
      <c r="J1335" s="25">
        <f t="array" ref="J1335">INDEX(I$5:I$67,MATCH($B1335,$B$5:$B$67,0))</f>
        <v>800</v>
      </c>
      <c r="K1335" s="25">
        <f t="array" ref="K1335">INDEX(J$5:J$67,MATCH($B1335,$B$5:$B$67,0))</f>
        <v>64</v>
      </c>
      <c r="L1335" s="25">
        <f t="shared" si="654"/>
        <v>17614</v>
      </c>
      <c r="M1335" s="25">
        <f t="shared" si="655"/>
        <v>6405</v>
      </c>
      <c r="N1335" s="25">
        <f t="shared" si="656"/>
        <v>8006</v>
      </c>
      <c r="O1335" s="25">
        <f t="shared" si="657"/>
        <v>4448</v>
      </c>
      <c r="R1335" s="50"/>
      <c r="S1335" s="51"/>
      <c r="T1335" s="29"/>
    </row>
    <row r="1336" spans="1:20">
      <c r="A1336" s="48">
        <v>1024058</v>
      </c>
      <c r="B1336" s="49" t="s">
        <v>355</v>
      </c>
      <c r="C1336" s="25">
        <f t="shared" si="653"/>
        <v>58</v>
      </c>
      <c r="D1336" s="25">
        <f t="array" ref="D1336">INDEX(C$5:C$67,MATCH($B1336,$B$5:$B$67,0))</f>
        <v>3168</v>
      </c>
      <c r="E1336" s="25">
        <f t="array" ref="E1336">INDEX(D$5:D$67,MATCH($B1336,$B$5:$B$67,0))</f>
        <v>253.44</v>
      </c>
      <c r="F1336" s="25">
        <f t="array" ref="F1336">INDEX(E$5:E$67,MATCH($B1336,$B$5:$B$67,0))</f>
        <v>1152</v>
      </c>
      <c r="G1336" s="25">
        <f t="array" ref="G1336">INDEX(F$5:F$67,MATCH($B1336,$B$5:$B$67,0))</f>
        <v>92.16</v>
      </c>
      <c r="H1336" s="25">
        <f t="array" ref="H1336">INDEX(G$5:G$66,MATCH($B1336,$B$5:$B$67,0))</f>
        <v>1440</v>
      </c>
      <c r="I1336" s="25">
        <f t="array" ref="I1336">INDEX(H$5:H$67,MATCH($B1336,$B$5:$B$67,0))</f>
        <v>115.2</v>
      </c>
      <c r="J1336" s="25">
        <f t="array" ref="J1336">INDEX(I$5:I$67,MATCH($B1336,$B$5:$B$67,0))</f>
        <v>800</v>
      </c>
      <c r="K1336" s="25">
        <f t="array" ref="K1336">INDEX(J$5:J$67,MATCH($B1336,$B$5:$B$67,0))</f>
        <v>64</v>
      </c>
      <c r="L1336" s="25">
        <f t="shared" si="654"/>
        <v>17868</v>
      </c>
      <c r="M1336" s="25">
        <f t="shared" si="655"/>
        <v>6497</v>
      </c>
      <c r="N1336" s="25">
        <f t="shared" si="656"/>
        <v>8122</v>
      </c>
      <c r="O1336" s="25">
        <f t="shared" si="657"/>
        <v>4512</v>
      </c>
      <c r="R1336" s="50"/>
      <c r="S1336" s="51"/>
      <c r="T1336" s="29"/>
    </row>
    <row r="1337" spans="1:20">
      <c r="A1337" s="48">
        <v>1024059</v>
      </c>
      <c r="B1337" s="49" t="s">
        <v>355</v>
      </c>
      <c r="C1337" s="25">
        <f t="shared" si="653"/>
        <v>59</v>
      </c>
      <c r="D1337" s="25">
        <f t="array" ref="D1337">INDEX(C$5:C$67,MATCH($B1337,$B$5:$B$67,0))</f>
        <v>3168</v>
      </c>
      <c r="E1337" s="25">
        <f t="array" ref="E1337">INDEX(D$5:D$67,MATCH($B1337,$B$5:$B$67,0))</f>
        <v>253.44</v>
      </c>
      <c r="F1337" s="25">
        <f t="array" ref="F1337">INDEX(E$5:E$67,MATCH($B1337,$B$5:$B$67,0))</f>
        <v>1152</v>
      </c>
      <c r="G1337" s="25">
        <f t="array" ref="G1337">INDEX(F$5:F$67,MATCH($B1337,$B$5:$B$67,0))</f>
        <v>92.16</v>
      </c>
      <c r="H1337" s="25">
        <f t="array" ref="H1337">INDEX(G$5:G$66,MATCH($B1337,$B$5:$B$67,0))</f>
        <v>1440</v>
      </c>
      <c r="I1337" s="25">
        <f t="array" ref="I1337">INDEX(H$5:H$67,MATCH($B1337,$B$5:$B$67,0))</f>
        <v>115.2</v>
      </c>
      <c r="J1337" s="25">
        <f t="array" ref="J1337">INDEX(I$5:I$67,MATCH($B1337,$B$5:$B$67,0))</f>
        <v>800</v>
      </c>
      <c r="K1337" s="25">
        <f t="array" ref="K1337">INDEX(J$5:J$67,MATCH($B1337,$B$5:$B$67,0))</f>
        <v>64</v>
      </c>
      <c r="L1337" s="25">
        <f t="shared" si="654"/>
        <v>18121</v>
      </c>
      <c r="M1337" s="25">
        <f t="shared" si="655"/>
        <v>6589</v>
      </c>
      <c r="N1337" s="25">
        <f t="shared" si="656"/>
        <v>8237</v>
      </c>
      <c r="O1337" s="25">
        <f t="shared" si="657"/>
        <v>4576</v>
      </c>
      <c r="R1337" s="50"/>
      <c r="S1337" s="51"/>
      <c r="T1337" s="29"/>
    </row>
    <row r="1338" spans="1:20">
      <c r="A1338" s="48">
        <v>1024060</v>
      </c>
      <c r="B1338" s="49" t="s">
        <v>355</v>
      </c>
      <c r="C1338" s="25">
        <f t="shared" si="653"/>
        <v>60</v>
      </c>
      <c r="D1338" s="25">
        <f t="array" ref="D1338">INDEX(C$5:C$67,MATCH($B1338,$B$5:$B$67,0))</f>
        <v>3168</v>
      </c>
      <c r="E1338" s="25">
        <f t="array" ref="E1338">INDEX(D$5:D$67,MATCH($B1338,$B$5:$B$67,0))</f>
        <v>253.44</v>
      </c>
      <c r="F1338" s="25">
        <f t="array" ref="F1338">INDEX(E$5:E$67,MATCH($B1338,$B$5:$B$67,0))</f>
        <v>1152</v>
      </c>
      <c r="G1338" s="25">
        <f t="array" ref="G1338">INDEX(F$5:F$67,MATCH($B1338,$B$5:$B$67,0))</f>
        <v>92.16</v>
      </c>
      <c r="H1338" s="25">
        <f t="array" ref="H1338">INDEX(G$5:G$66,MATCH($B1338,$B$5:$B$67,0))</f>
        <v>1440</v>
      </c>
      <c r="I1338" s="25">
        <f t="array" ref="I1338">INDEX(H$5:H$67,MATCH($B1338,$B$5:$B$67,0))</f>
        <v>115.2</v>
      </c>
      <c r="J1338" s="25">
        <f t="array" ref="J1338">INDEX(I$5:I$67,MATCH($B1338,$B$5:$B$67,0))</f>
        <v>800</v>
      </c>
      <c r="K1338" s="25">
        <f t="array" ref="K1338">INDEX(J$5:J$67,MATCH($B1338,$B$5:$B$67,0))</f>
        <v>64</v>
      </c>
      <c r="L1338" s="25">
        <f t="shared" si="654"/>
        <v>18374</v>
      </c>
      <c r="M1338" s="25">
        <f t="shared" si="655"/>
        <v>6682</v>
      </c>
      <c r="N1338" s="25">
        <f t="shared" si="656"/>
        <v>8352</v>
      </c>
      <c r="O1338" s="25">
        <f t="shared" si="657"/>
        <v>4640</v>
      </c>
      <c r="R1338" s="50"/>
      <c r="S1338" s="51"/>
      <c r="T1338" s="29"/>
    </row>
    <row r="1339" spans="1:20">
      <c r="A1339" s="48">
        <v>1026001</v>
      </c>
      <c r="B1339" s="49" t="s">
        <v>356</v>
      </c>
      <c r="C1339" s="25">
        <f t="shared" si="653"/>
        <v>1</v>
      </c>
      <c r="D1339" s="25">
        <f t="array" ref="D1339">INDEX(C$5:C$67,MATCH($B1339,$B$5:$B$67,0))</f>
        <v>3072</v>
      </c>
      <c r="E1339" s="25">
        <f t="array" ref="E1339">INDEX(D$5:D$67,MATCH($B1339,$B$5:$B$67,0))</f>
        <v>245.76</v>
      </c>
      <c r="F1339" s="25">
        <f t="array" ref="F1339">INDEX(E$5:E$67,MATCH($B1339,$B$5:$B$67,0))</f>
        <v>1483</v>
      </c>
      <c r="G1339" s="25">
        <f t="array" ref="G1339">INDEX(F$5:F$67,MATCH($B1339,$B$5:$B$67,0))</f>
        <v>118.64</v>
      </c>
      <c r="H1339" s="25">
        <f t="array" ref="H1339">INDEX(G$5:G$66,MATCH($B1339,$B$5:$B$67,0))</f>
        <v>1152</v>
      </c>
      <c r="I1339" s="25">
        <f t="array" ref="I1339">INDEX(H$5:H$67,MATCH($B1339,$B$5:$B$67,0))</f>
        <v>92.16</v>
      </c>
      <c r="J1339" s="25">
        <f t="array" ref="J1339">INDEX(I$5:I$67,MATCH($B1339,$B$5:$B$67,0))</f>
        <v>784</v>
      </c>
      <c r="K1339" s="25">
        <f t="array" ref="K1339">INDEX(J$5:J$67,MATCH($B1339,$B$5:$B$67,0))</f>
        <v>62.72</v>
      </c>
      <c r="L1339" s="25">
        <f t="shared" si="654"/>
        <v>3318</v>
      </c>
      <c r="M1339" s="25">
        <f t="shared" si="655"/>
        <v>1602</v>
      </c>
      <c r="N1339" s="25">
        <f t="shared" si="656"/>
        <v>1244</v>
      </c>
      <c r="O1339" s="25">
        <f t="shared" si="657"/>
        <v>847</v>
      </c>
      <c r="R1339" s="50"/>
      <c r="S1339" s="51"/>
      <c r="T1339" s="29"/>
    </row>
    <row r="1340" spans="1:20">
      <c r="A1340" s="48">
        <v>1026002</v>
      </c>
      <c r="B1340" s="49" t="s">
        <v>356</v>
      </c>
      <c r="C1340" s="25">
        <f t="shared" si="653"/>
        <v>2</v>
      </c>
      <c r="D1340" s="25">
        <f t="array" ref="D1340">INDEX(C$5:C$67,MATCH($B1340,$B$5:$B$67,0))</f>
        <v>3072</v>
      </c>
      <c r="E1340" s="25">
        <f t="array" ref="E1340">INDEX(D$5:D$67,MATCH($B1340,$B$5:$B$67,0))</f>
        <v>245.76</v>
      </c>
      <c r="F1340" s="25">
        <f t="array" ref="F1340">INDEX(E$5:E$67,MATCH($B1340,$B$5:$B$67,0))</f>
        <v>1483</v>
      </c>
      <c r="G1340" s="25">
        <f t="array" ref="G1340">INDEX(F$5:F$67,MATCH($B1340,$B$5:$B$67,0))</f>
        <v>118.64</v>
      </c>
      <c r="H1340" s="25">
        <f t="array" ref="H1340">INDEX(G$5:G$66,MATCH($B1340,$B$5:$B$67,0))</f>
        <v>1152</v>
      </c>
      <c r="I1340" s="25">
        <f t="array" ref="I1340">INDEX(H$5:H$67,MATCH($B1340,$B$5:$B$67,0))</f>
        <v>92.16</v>
      </c>
      <c r="J1340" s="25">
        <f t="array" ref="J1340">INDEX(I$5:I$67,MATCH($B1340,$B$5:$B$67,0))</f>
        <v>784</v>
      </c>
      <c r="K1340" s="25">
        <f t="array" ref="K1340">INDEX(J$5:J$67,MATCH($B1340,$B$5:$B$67,0))</f>
        <v>62.72</v>
      </c>
      <c r="L1340" s="25">
        <f t="shared" si="654"/>
        <v>3564</v>
      </c>
      <c r="M1340" s="25">
        <f t="shared" si="655"/>
        <v>1720</v>
      </c>
      <c r="N1340" s="25">
        <f t="shared" si="656"/>
        <v>1336</v>
      </c>
      <c r="O1340" s="25">
        <f t="shared" si="657"/>
        <v>909</v>
      </c>
      <c r="R1340" s="50"/>
      <c r="S1340" s="51"/>
      <c r="T1340" s="29"/>
    </row>
    <row r="1341" spans="1:20">
      <c r="A1341" s="48">
        <v>1026003</v>
      </c>
      <c r="B1341" s="49" t="s">
        <v>356</v>
      </c>
      <c r="C1341" s="25">
        <f t="shared" si="653"/>
        <v>3</v>
      </c>
      <c r="D1341" s="25">
        <f t="array" ref="D1341">INDEX(C$5:C$67,MATCH($B1341,$B$5:$B$67,0))</f>
        <v>3072</v>
      </c>
      <c r="E1341" s="25">
        <f t="array" ref="E1341">INDEX(D$5:D$67,MATCH($B1341,$B$5:$B$67,0))</f>
        <v>245.76</v>
      </c>
      <c r="F1341" s="25">
        <f t="array" ref="F1341">INDEX(E$5:E$67,MATCH($B1341,$B$5:$B$67,0))</f>
        <v>1483</v>
      </c>
      <c r="G1341" s="25">
        <f t="array" ref="G1341">INDEX(F$5:F$67,MATCH($B1341,$B$5:$B$67,0))</f>
        <v>118.64</v>
      </c>
      <c r="H1341" s="25">
        <f t="array" ref="H1341">INDEX(G$5:G$66,MATCH($B1341,$B$5:$B$67,0))</f>
        <v>1152</v>
      </c>
      <c r="I1341" s="25">
        <f t="array" ref="I1341">INDEX(H$5:H$67,MATCH($B1341,$B$5:$B$67,0))</f>
        <v>92.16</v>
      </c>
      <c r="J1341" s="25">
        <f t="array" ref="J1341">INDEX(I$5:I$67,MATCH($B1341,$B$5:$B$67,0))</f>
        <v>784</v>
      </c>
      <c r="K1341" s="25">
        <f t="array" ref="K1341">INDEX(J$5:J$67,MATCH($B1341,$B$5:$B$67,0))</f>
        <v>62.72</v>
      </c>
      <c r="L1341" s="25">
        <f t="shared" si="654"/>
        <v>3809</v>
      </c>
      <c r="M1341" s="25">
        <f t="shared" si="655"/>
        <v>1839</v>
      </c>
      <c r="N1341" s="25">
        <f t="shared" si="656"/>
        <v>1428</v>
      </c>
      <c r="O1341" s="25">
        <f t="shared" si="657"/>
        <v>972</v>
      </c>
      <c r="R1341" s="50"/>
      <c r="S1341" s="51"/>
      <c r="T1341" s="29"/>
    </row>
    <row r="1342" spans="1:20">
      <c r="A1342" s="48">
        <v>1026004</v>
      </c>
      <c r="B1342" s="49" t="s">
        <v>356</v>
      </c>
      <c r="C1342" s="25">
        <f t="shared" si="653"/>
        <v>4</v>
      </c>
      <c r="D1342" s="25">
        <f t="array" ref="D1342">INDEX(C$5:C$67,MATCH($B1342,$B$5:$B$67,0))</f>
        <v>3072</v>
      </c>
      <c r="E1342" s="25">
        <f t="array" ref="E1342">INDEX(D$5:D$67,MATCH($B1342,$B$5:$B$67,0))</f>
        <v>245.76</v>
      </c>
      <c r="F1342" s="25">
        <f t="array" ref="F1342">INDEX(E$5:E$67,MATCH($B1342,$B$5:$B$67,0))</f>
        <v>1483</v>
      </c>
      <c r="G1342" s="25">
        <f t="array" ref="G1342">INDEX(F$5:F$67,MATCH($B1342,$B$5:$B$67,0))</f>
        <v>118.64</v>
      </c>
      <c r="H1342" s="25">
        <f t="array" ref="H1342">INDEX(G$5:G$66,MATCH($B1342,$B$5:$B$67,0))</f>
        <v>1152</v>
      </c>
      <c r="I1342" s="25">
        <f t="array" ref="I1342">INDEX(H$5:H$67,MATCH($B1342,$B$5:$B$67,0))</f>
        <v>92.16</v>
      </c>
      <c r="J1342" s="25">
        <f t="array" ref="J1342">INDEX(I$5:I$67,MATCH($B1342,$B$5:$B$67,0))</f>
        <v>784</v>
      </c>
      <c r="K1342" s="25">
        <f t="array" ref="K1342">INDEX(J$5:J$67,MATCH($B1342,$B$5:$B$67,0))</f>
        <v>62.72</v>
      </c>
      <c r="L1342" s="25">
        <f t="shared" si="654"/>
        <v>4055</v>
      </c>
      <c r="M1342" s="25">
        <f t="shared" si="655"/>
        <v>1958</v>
      </c>
      <c r="N1342" s="25">
        <f t="shared" si="656"/>
        <v>1521</v>
      </c>
      <c r="O1342" s="25">
        <f t="shared" si="657"/>
        <v>1035</v>
      </c>
      <c r="R1342" s="50"/>
      <c r="S1342" s="51"/>
      <c r="T1342" s="29"/>
    </row>
    <row r="1343" spans="1:20">
      <c r="A1343" s="48">
        <v>1026005</v>
      </c>
      <c r="B1343" s="49" t="s">
        <v>356</v>
      </c>
      <c r="C1343" s="25">
        <f t="shared" si="653"/>
        <v>5</v>
      </c>
      <c r="D1343" s="25">
        <f t="array" ref="D1343">INDEX(C$5:C$67,MATCH($B1343,$B$5:$B$67,0))</f>
        <v>3072</v>
      </c>
      <c r="E1343" s="25">
        <f t="array" ref="E1343">INDEX(D$5:D$67,MATCH($B1343,$B$5:$B$67,0))</f>
        <v>245.76</v>
      </c>
      <c r="F1343" s="25">
        <f t="array" ref="F1343">INDEX(E$5:E$67,MATCH($B1343,$B$5:$B$67,0))</f>
        <v>1483</v>
      </c>
      <c r="G1343" s="25">
        <f t="array" ref="G1343">INDEX(F$5:F$67,MATCH($B1343,$B$5:$B$67,0))</f>
        <v>118.64</v>
      </c>
      <c r="H1343" s="25">
        <f t="array" ref="H1343">INDEX(G$5:G$66,MATCH($B1343,$B$5:$B$67,0))</f>
        <v>1152</v>
      </c>
      <c r="I1343" s="25">
        <f t="array" ref="I1343">INDEX(H$5:H$67,MATCH($B1343,$B$5:$B$67,0))</f>
        <v>92.16</v>
      </c>
      <c r="J1343" s="25">
        <f t="array" ref="J1343">INDEX(I$5:I$67,MATCH($B1343,$B$5:$B$67,0))</f>
        <v>784</v>
      </c>
      <c r="K1343" s="25">
        <f t="array" ref="K1343">INDEX(J$5:J$67,MATCH($B1343,$B$5:$B$67,0))</f>
        <v>62.72</v>
      </c>
      <c r="L1343" s="25">
        <f t="shared" si="654"/>
        <v>4301</v>
      </c>
      <c r="M1343" s="25">
        <f t="shared" si="655"/>
        <v>2076</v>
      </c>
      <c r="N1343" s="25">
        <f t="shared" si="656"/>
        <v>1613</v>
      </c>
      <c r="O1343" s="25">
        <f t="shared" si="657"/>
        <v>1098</v>
      </c>
      <c r="R1343" s="50"/>
      <c r="S1343" s="51"/>
      <c r="T1343" s="29"/>
    </row>
    <row r="1344" spans="1:20">
      <c r="A1344" s="48">
        <v>1026006</v>
      </c>
      <c r="B1344" s="49" t="s">
        <v>356</v>
      </c>
      <c r="C1344" s="25">
        <f t="shared" si="653"/>
        <v>6</v>
      </c>
      <c r="D1344" s="25">
        <f t="array" ref="D1344">INDEX(C$5:C$67,MATCH($B1344,$B$5:$B$67,0))</f>
        <v>3072</v>
      </c>
      <c r="E1344" s="25">
        <f t="array" ref="E1344">INDEX(D$5:D$67,MATCH($B1344,$B$5:$B$67,0))</f>
        <v>245.76</v>
      </c>
      <c r="F1344" s="25">
        <f t="array" ref="F1344">INDEX(E$5:E$67,MATCH($B1344,$B$5:$B$67,0))</f>
        <v>1483</v>
      </c>
      <c r="G1344" s="25">
        <f t="array" ref="G1344">INDEX(F$5:F$67,MATCH($B1344,$B$5:$B$67,0))</f>
        <v>118.64</v>
      </c>
      <c r="H1344" s="25">
        <f t="array" ref="H1344">INDEX(G$5:G$66,MATCH($B1344,$B$5:$B$67,0))</f>
        <v>1152</v>
      </c>
      <c r="I1344" s="25">
        <f t="array" ref="I1344">INDEX(H$5:H$67,MATCH($B1344,$B$5:$B$67,0))</f>
        <v>92.16</v>
      </c>
      <c r="J1344" s="25">
        <f t="array" ref="J1344">INDEX(I$5:I$67,MATCH($B1344,$B$5:$B$67,0))</f>
        <v>784</v>
      </c>
      <c r="K1344" s="25">
        <f t="array" ref="K1344">INDEX(J$5:J$67,MATCH($B1344,$B$5:$B$67,0))</f>
        <v>62.72</v>
      </c>
      <c r="L1344" s="25">
        <f t="shared" si="654"/>
        <v>4547</v>
      </c>
      <c r="M1344" s="25">
        <f t="shared" si="655"/>
        <v>2195</v>
      </c>
      <c r="N1344" s="25">
        <f t="shared" si="656"/>
        <v>1705</v>
      </c>
      <c r="O1344" s="25">
        <f t="shared" si="657"/>
        <v>1160</v>
      </c>
      <c r="R1344" s="50"/>
      <c r="S1344" s="51"/>
      <c r="T1344" s="29"/>
    </row>
    <row r="1345" spans="1:20">
      <c r="A1345" s="48">
        <v>1026007</v>
      </c>
      <c r="B1345" s="49" t="s">
        <v>356</v>
      </c>
      <c r="C1345" s="25">
        <f t="shared" si="653"/>
        <v>7</v>
      </c>
      <c r="D1345" s="25">
        <f t="array" ref="D1345">INDEX(C$5:C$67,MATCH($B1345,$B$5:$B$67,0))</f>
        <v>3072</v>
      </c>
      <c r="E1345" s="25">
        <f t="array" ref="E1345">INDEX(D$5:D$67,MATCH($B1345,$B$5:$B$67,0))</f>
        <v>245.76</v>
      </c>
      <c r="F1345" s="25">
        <f t="array" ref="F1345">INDEX(E$5:E$67,MATCH($B1345,$B$5:$B$67,0))</f>
        <v>1483</v>
      </c>
      <c r="G1345" s="25">
        <f t="array" ref="G1345">INDEX(F$5:F$67,MATCH($B1345,$B$5:$B$67,0))</f>
        <v>118.64</v>
      </c>
      <c r="H1345" s="25">
        <f t="array" ref="H1345">INDEX(G$5:G$66,MATCH($B1345,$B$5:$B$67,0))</f>
        <v>1152</v>
      </c>
      <c r="I1345" s="25">
        <f t="array" ref="I1345">INDEX(H$5:H$67,MATCH($B1345,$B$5:$B$67,0))</f>
        <v>92.16</v>
      </c>
      <c r="J1345" s="25">
        <f t="array" ref="J1345">INDEX(I$5:I$67,MATCH($B1345,$B$5:$B$67,0))</f>
        <v>784</v>
      </c>
      <c r="K1345" s="25">
        <f t="array" ref="K1345">INDEX(J$5:J$67,MATCH($B1345,$B$5:$B$67,0))</f>
        <v>62.72</v>
      </c>
      <c r="L1345" s="25">
        <f t="shared" si="654"/>
        <v>4792</v>
      </c>
      <c r="M1345" s="25">
        <f t="shared" si="655"/>
        <v>2313</v>
      </c>
      <c r="N1345" s="25">
        <f t="shared" si="656"/>
        <v>1797</v>
      </c>
      <c r="O1345" s="25">
        <f t="shared" si="657"/>
        <v>1223</v>
      </c>
      <c r="R1345" s="50"/>
      <c r="S1345" s="51"/>
      <c r="T1345" s="29"/>
    </row>
    <row r="1346" spans="1:20">
      <c r="A1346" s="48">
        <v>1026008</v>
      </c>
      <c r="B1346" s="49" t="s">
        <v>356</v>
      </c>
      <c r="C1346" s="25">
        <f t="shared" si="653"/>
        <v>8</v>
      </c>
      <c r="D1346" s="25">
        <f t="array" ref="D1346">INDEX(C$5:C$67,MATCH($B1346,$B$5:$B$67,0))</f>
        <v>3072</v>
      </c>
      <c r="E1346" s="25">
        <f t="array" ref="E1346">INDEX(D$5:D$67,MATCH($B1346,$B$5:$B$67,0))</f>
        <v>245.76</v>
      </c>
      <c r="F1346" s="25">
        <f t="array" ref="F1346">INDEX(E$5:E$67,MATCH($B1346,$B$5:$B$67,0))</f>
        <v>1483</v>
      </c>
      <c r="G1346" s="25">
        <f t="array" ref="G1346">INDEX(F$5:F$67,MATCH($B1346,$B$5:$B$67,0))</f>
        <v>118.64</v>
      </c>
      <c r="H1346" s="25">
        <f t="array" ref="H1346">INDEX(G$5:G$66,MATCH($B1346,$B$5:$B$67,0))</f>
        <v>1152</v>
      </c>
      <c r="I1346" s="25">
        <f t="array" ref="I1346">INDEX(H$5:H$67,MATCH($B1346,$B$5:$B$67,0))</f>
        <v>92.16</v>
      </c>
      <c r="J1346" s="25">
        <f t="array" ref="J1346">INDEX(I$5:I$67,MATCH($B1346,$B$5:$B$67,0))</f>
        <v>784</v>
      </c>
      <c r="K1346" s="25">
        <f t="array" ref="K1346">INDEX(J$5:J$67,MATCH($B1346,$B$5:$B$67,0))</f>
        <v>62.72</v>
      </c>
      <c r="L1346" s="25">
        <f t="shared" si="654"/>
        <v>5038</v>
      </c>
      <c r="M1346" s="25">
        <f t="shared" si="655"/>
        <v>2432</v>
      </c>
      <c r="N1346" s="25">
        <f t="shared" si="656"/>
        <v>1889</v>
      </c>
      <c r="O1346" s="25">
        <f t="shared" si="657"/>
        <v>1286</v>
      </c>
      <c r="R1346" s="50"/>
      <c r="S1346" s="51"/>
      <c r="T1346" s="29"/>
    </row>
    <row r="1347" spans="1:20">
      <c r="A1347" s="48">
        <v>1026009</v>
      </c>
      <c r="B1347" s="49" t="s">
        <v>356</v>
      </c>
      <c r="C1347" s="25">
        <f t="shared" si="653"/>
        <v>9</v>
      </c>
      <c r="D1347" s="25">
        <f t="array" ref="D1347">INDEX(C$5:C$67,MATCH($B1347,$B$5:$B$67,0))</f>
        <v>3072</v>
      </c>
      <c r="E1347" s="25">
        <f t="array" ref="E1347">INDEX(D$5:D$67,MATCH($B1347,$B$5:$B$67,0))</f>
        <v>245.76</v>
      </c>
      <c r="F1347" s="25">
        <f t="array" ref="F1347">INDEX(E$5:E$67,MATCH($B1347,$B$5:$B$67,0))</f>
        <v>1483</v>
      </c>
      <c r="G1347" s="25">
        <f t="array" ref="G1347">INDEX(F$5:F$67,MATCH($B1347,$B$5:$B$67,0))</f>
        <v>118.64</v>
      </c>
      <c r="H1347" s="25">
        <f t="array" ref="H1347">INDEX(G$5:G$66,MATCH($B1347,$B$5:$B$67,0))</f>
        <v>1152</v>
      </c>
      <c r="I1347" s="25">
        <f t="array" ref="I1347">INDEX(H$5:H$67,MATCH($B1347,$B$5:$B$67,0))</f>
        <v>92.16</v>
      </c>
      <c r="J1347" s="25">
        <f t="array" ref="J1347">INDEX(I$5:I$67,MATCH($B1347,$B$5:$B$67,0))</f>
        <v>784</v>
      </c>
      <c r="K1347" s="25">
        <f t="array" ref="K1347">INDEX(J$5:J$67,MATCH($B1347,$B$5:$B$67,0))</f>
        <v>62.72</v>
      </c>
      <c r="L1347" s="25">
        <f t="shared" si="654"/>
        <v>5284</v>
      </c>
      <c r="M1347" s="25">
        <f t="shared" si="655"/>
        <v>2551</v>
      </c>
      <c r="N1347" s="25">
        <f t="shared" si="656"/>
        <v>1981</v>
      </c>
      <c r="O1347" s="25">
        <f t="shared" si="657"/>
        <v>1348</v>
      </c>
      <c r="R1347" s="50"/>
      <c r="S1347" s="51"/>
      <c r="T1347" s="29"/>
    </row>
    <row r="1348" spans="1:20">
      <c r="A1348" s="48">
        <v>1026010</v>
      </c>
      <c r="B1348" s="49" t="s">
        <v>356</v>
      </c>
      <c r="C1348" s="25">
        <f t="shared" si="653"/>
        <v>10</v>
      </c>
      <c r="D1348" s="25">
        <f t="array" ref="D1348">INDEX(C$5:C$67,MATCH($B1348,$B$5:$B$67,0))</f>
        <v>3072</v>
      </c>
      <c r="E1348" s="25">
        <f t="array" ref="E1348">INDEX(D$5:D$67,MATCH($B1348,$B$5:$B$67,0))</f>
        <v>245.76</v>
      </c>
      <c r="F1348" s="25">
        <f t="array" ref="F1348">INDEX(E$5:E$67,MATCH($B1348,$B$5:$B$67,0))</f>
        <v>1483</v>
      </c>
      <c r="G1348" s="25">
        <f t="array" ref="G1348">INDEX(F$5:F$67,MATCH($B1348,$B$5:$B$67,0))</f>
        <v>118.64</v>
      </c>
      <c r="H1348" s="25">
        <f t="array" ref="H1348">INDEX(G$5:G$66,MATCH($B1348,$B$5:$B$67,0))</f>
        <v>1152</v>
      </c>
      <c r="I1348" s="25">
        <f t="array" ref="I1348">INDEX(H$5:H$67,MATCH($B1348,$B$5:$B$67,0))</f>
        <v>92.16</v>
      </c>
      <c r="J1348" s="25">
        <f t="array" ref="J1348">INDEX(I$5:I$67,MATCH($B1348,$B$5:$B$67,0))</f>
        <v>784</v>
      </c>
      <c r="K1348" s="25">
        <f t="array" ref="K1348">INDEX(J$5:J$67,MATCH($B1348,$B$5:$B$67,0))</f>
        <v>62.72</v>
      </c>
      <c r="L1348" s="25">
        <f t="shared" si="654"/>
        <v>5530</v>
      </c>
      <c r="M1348" s="25">
        <f t="shared" si="655"/>
        <v>2669</v>
      </c>
      <c r="N1348" s="25">
        <f t="shared" si="656"/>
        <v>2074</v>
      </c>
      <c r="O1348" s="25">
        <f t="shared" si="657"/>
        <v>1411</v>
      </c>
      <c r="R1348" s="50"/>
      <c r="S1348" s="51"/>
      <c r="T1348" s="29"/>
    </row>
    <row r="1349" spans="1:20">
      <c r="A1349" s="48">
        <v>1026011</v>
      </c>
      <c r="B1349" s="49" t="s">
        <v>356</v>
      </c>
      <c r="C1349" s="25">
        <f t="shared" si="653"/>
        <v>11</v>
      </c>
      <c r="D1349" s="25">
        <f t="array" ref="D1349">INDEX(C$5:C$67,MATCH($B1349,$B$5:$B$67,0))</f>
        <v>3072</v>
      </c>
      <c r="E1349" s="25">
        <f t="array" ref="E1349">INDEX(D$5:D$67,MATCH($B1349,$B$5:$B$67,0))</f>
        <v>245.76</v>
      </c>
      <c r="F1349" s="25">
        <f t="array" ref="F1349">INDEX(E$5:E$67,MATCH($B1349,$B$5:$B$67,0))</f>
        <v>1483</v>
      </c>
      <c r="G1349" s="25">
        <f t="array" ref="G1349">INDEX(F$5:F$67,MATCH($B1349,$B$5:$B$67,0))</f>
        <v>118.64</v>
      </c>
      <c r="H1349" s="25">
        <f t="array" ref="H1349">INDEX(G$5:G$66,MATCH($B1349,$B$5:$B$67,0))</f>
        <v>1152</v>
      </c>
      <c r="I1349" s="25">
        <f t="array" ref="I1349">INDEX(H$5:H$67,MATCH($B1349,$B$5:$B$67,0))</f>
        <v>92.16</v>
      </c>
      <c r="J1349" s="25">
        <f t="array" ref="J1349">INDEX(I$5:I$67,MATCH($B1349,$B$5:$B$67,0))</f>
        <v>784</v>
      </c>
      <c r="K1349" s="25">
        <f t="array" ref="K1349">INDEX(J$5:J$67,MATCH($B1349,$B$5:$B$67,0))</f>
        <v>62.72</v>
      </c>
      <c r="L1349" s="25">
        <f t="shared" si="654"/>
        <v>5775</v>
      </c>
      <c r="M1349" s="25">
        <f t="shared" si="655"/>
        <v>2788</v>
      </c>
      <c r="N1349" s="25">
        <f t="shared" si="656"/>
        <v>2166</v>
      </c>
      <c r="O1349" s="25">
        <f t="shared" si="657"/>
        <v>1474</v>
      </c>
      <c r="R1349" s="50"/>
      <c r="S1349" s="51"/>
      <c r="T1349" s="29"/>
    </row>
    <row r="1350" spans="1:20">
      <c r="A1350" s="48">
        <v>1026012</v>
      </c>
      <c r="B1350" s="49" t="s">
        <v>356</v>
      </c>
      <c r="C1350" s="25">
        <f t="shared" si="653"/>
        <v>12</v>
      </c>
      <c r="D1350" s="25">
        <f t="array" ref="D1350">INDEX(C$5:C$67,MATCH($B1350,$B$5:$B$67,0))</f>
        <v>3072</v>
      </c>
      <c r="E1350" s="25">
        <f t="array" ref="E1350">INDEX(D$5:D$67,MATCH($B1350,$B$5:$B$67,0))</f>
        <v>245.76</v>
      </c>
      <c r="F1350" s="25">
        <f t="array" ref="F1350">INDEX(E$5:E$67,MATCH($B1350,$B$5:$B$67,0))</f>
        <v>1483</v>
      </c>
      <c r="G1350" s="25">
        <f t="array" ref="G1350">INDEX(F$5:F$67,MATCH($B1350,$B$5:$B$67,0))</f>
        <v>118.64</v>
      </c>
      <c r="H1350" s="25">
        <f t="array" ref="H1350">INDEX(G$5:G$66,MATCH($B1350,$B$5:$B$67,0))</f>
        <v>1152</v>
      </c>
      <c r="I1350" s="25">
        <f t="array" ref="I1350">INDEX(H$5:H$67,MATCH($B1350,$B$5:$B$67,0))</f>
        <v>92.16</v>
      </c>
      <c r="J1350" s="25">
        <f t="array" ref="J1350">INDEX(I$5:I$67,MATCH($B1350,$B$5:$B$67,0))</f>
        <v>784</v>
      </c>
      <c r="K1350" s="25">
        <f t="array" ref="K1350">INDEX(J$5:J$67,MATCH($B1350,$B$5:$B$67,0))</f>
        <v>62.72</v>
      </c>
      <c r="L1350" s="25">
        <f t="shared" si="654"/>
        <v>6021</v>
      </c>
      <c r="M1350" s="25">
        <f t="shared" si="655"/>
        <v>2907</v>
      </c>
      <c r="N1350" s="25">
        <f t="shared" si="656"/>
        <v>2258</v>
      </c>
      <c r="O1350" s="25">
        <f t="shared" si="657"/>
        <v>1537</v>
      </c>
      <c r="R1350" s="50"/>
      <c r="S1350" s="51"/>
      <c r="T1350" s="29"/>
    </row>
    <row r="1351" spans="1:20">
      <c r="A1351" s="48">
        <v>1026013</v>
      </c>
      <c r="B1351" s="49" t="s">
        <v>356</v>
      </c>
      <c r="C1351" s="25">
        <f t="shared" si="653"/>
        <v>13</v>
      </c>
      <c r="D1351" s="25">
        <f t="array" ref="D1351">INDEX(C$5:C$67,MATCH($B1351,$B$5:$B$67,0))</f>
        <v>3072</v>
      </c>
      <c r="E1351" s="25">
        <f t="array" ref="E1351">INDEX(D$5:D$67,MATCH($B1351,$B$5:$B$67,0))</f>
        <v>245.76</v>
      </c>
      <c r="F1351" s="25">
        <f t="array" ref="F1351">INDEX(E$5:E$67,MATCH($B1351,$B$5:$B$67,0))</f>
        <v>1483</v>
      </c>
      <c r="G1351" s="25">
        <f t="array" ref="G1351">INDEX(F$5:F$67,MATCH($B1351,$B$5:$B$67,0))</f>
        <v>118.64</v>
      </c>
      <c r="H1351" s="25">
        <f t="array" ref="H1351">INDEX(G$5:G$66,MATCH($B1351,$B$5:$B$67,0))</f>
        <v>1152</v>
      </c>
      <c r="I1351" s="25">
        <f t="array" ref="I1351">INDEX(H$5:H$67,MATCH($B1351,$B$5:$B$67,0))</f>
        <v>92.16</v>
      </c>
      <c r="J1351" s="25">
        <f t="array" ref="J1351">INDEX(I$5:I$67,MATCH($B1351,$B$5:$B$67,0))</f>
        <v>784</v>
      </c>
      <c r="K1351" s="25">
        <f t="array" ref="K1351">INDEX(J$5:J$67,MATCH($B1351,$B$5:$B$67,0))</f>
        <v>62.72</v>
      </c>
      <c r="L1351" s="25">
        <f t="shared" si="654"/>
        <v>6267</v>
      </c>
      <c r="M1351" s="25">
        <f t="shared" si="655"/>
        <v>3025</v>
      </c>
      <c r="N1351" s="25">
        <f t="shared" si="656"/>
        <v>2350</v>
      </c>
      <c r="O1351" s="25">
        <f t="shared" si="657"/>
        <v>1599</v>
      </c>
      <c r="R1351" s="50"/>
      <c r="S1351" s="51"/>
      <c r="T1351" s="29"/>
    </row>
    <row r="1352" spans="1:20">
      <c r="A1352" s="48">
        <v>1026014</v>
      </c>
      <c r="B1352" s="49" t="s">
        <v>356</v>
      </c>
      <c r="C1352" s="25">
        <f t="shared" si="653"/>
        <v>14</v>
      </c>
      <c r="D1352" s="25">
        <f t="array" ref="D1352">INDEX(C$5:C$67,MATCH($B1352,$B$5:$B$67,0))</f>
        <v>3072</v>
      </c>
      <c r="E1352" s="25">
        <f t="array" ref="E1352">INDEX(D$5:D$67,MATCH($B1352,$B$5:$B$67,0))</f>
        <v>245.76</v>
      </c>
      <c r="F1352" s="25">
        <f t="array" ref="F1352">INDEX(E$5:E$67,MATCH($B1352,$B$5:$B$67,0))</f>
        <v>1483</v>
      </c>
      <c r="G1352" s="25">
        <f t="array" ref="G1352">INDEX(F$5:F$67,MATCH($B1352,$B$5:$B$67,0))</f>
        <v>118.64</v>
      </c>
      <c r="H1352" s="25">
        <f t="array" ref="H1352">INDEX(G$5:G$66,MATCH($B1352,$B$5:$B$67,0))</f>
        <v>1152</v>
      </c>
      <c r="I1352" s="25">
        <f t="array" ref="I1352">INDEX(H$5:H$67,MATCH($B1352,$B$5:$B$67,0))</f>
        <v>92.16</v>
      </c>
      <c r="J1352" s="25">
        <f t="array" ref="J1352">INDEX(I$5:I$67,MATCH($B1352,$B$5:$B$67,0))</f>
        <v>784</v>
      </c>
      <c r="K1352" s="25">
        <f t="array" ref="K1352">INDEX(J$5:J$67,MATCH($B1352,$B$5:$B$67,0))</f>
        <v>62.72</v>
      </c>
      <c r="L1352" s="25">
        <f t="shared" si="654"/>
        <v>6513</v>
      </c>
      <c r="M1352" s="25">
        <f t="shared" si="655"/>
        <v>3144</v>
      </c>
      <c r="N1352" s="25">
        <f t="shared" si="656"/>
        <v>2442</v>
      </c>
      <c r="O1352" s="25">
        <f t="shared" si="657"/>
        <v>1662</v>
      </c>
      <c r="R1352" s="50"/>
      <c r="S1352" s="51"/>
      <c r="T1352" s="29"/>
    </row>
    <row r="1353" spans="1:20">
      <c r="A1353" s="48">
        <v>1026015</v>
      </c>
      <c r="B1353" s="49" t="s">
        <v>356</v>
      </c>
      <c r="C1353" s="25">
        <f t="shared" si="653"/>
        <v>15</v>
      </c>
      <c r="D1353" s="25">
        <f t="array" ref="D1353">INDEX(C$5:C$67,MATCH($B1353,$B$5:$B$67,0))</f>
        <v>3072</v>
      </c>
      <c r="E1353" s="25">
        <f t="array" ref="E1353">INDEX(D$5:D$67,MATCH($B1353,$B$5:$B$67,0))</f>
        <v>245.76</v>
      </c>
      <c r="F1353" s="25">
        <f t="array" ref="F1353">INDEX(E$5:E$67,MATCH($B1353,$B$5:$B$67,0))</f>
        <v>1483</v>
      </c>
      <c r="G1353" s="25">
        <f t="array" ref="G1353">INDEX(F$5:F$67,MATCH($B1353,$B$5:$B$67,0))</f>
        <v>118.64</v>
      </c>
      <c r="H1353" s="25">
        <f t="array" ref="H1353">INDEX(G$5:G$66,MATCH($B1353,$B$5:$B$67,0))</f>
        <v>1152</v>
      </c>
      <c r="I1353" s="25">
        <f t="array" ref="I1353">INDEX(H$5:H$67,MATCH($B1353,$B$5:$B$67,0))</f>
        <v>92.16</v>
      </c>
      <c r="J1353" s="25">
        <f t="array" ref="J1353">INDEX(I$5:I$67,MATCH($B1353,$B$5:$B$67,0))</f>
        <v>784</v>
      </c>
      <c r="K1353" s="25">
        <f t="array" ref="K1353">INDEX(J$5:J$67,MATCH($B1353,$B$5:$B$67,0))</f>
        <v>62.72</v>
      </c>
      <c r="L1353" s="25">
        <f t="shared" si="654"/>
        <v>6758</v>
      </c>
      <c r="M1353" s="25">
        <f t="shared" si="655"/>
        <v>3263</v>
      </c>
      <c r="N1353" s="25">
        <f t="shared" si="656"/>
        <v>2534</v>
      </c>
      <c r="O1353" s="25">
        <f t="shared" si="657"/>
        <v>1725</v>
      </c>
      <c r="R1353" s="50"/>
      <c r="S1353" s="51"/>
      <c r="T1353" s="29"/>
    </row>
    <row r="1354" spans="1:20">
      <c r="A1354" s="48">
        <v>1026016</v>
      </c>
      <c r="B1354" s="49" t="s">
        <v>356</v>
      </c>
      <c r="C1354" s="25">
        <f t="shared" si="653"/>
        <v>16</v>
      </c>
      <c r="D1354" s="25">
        <f t="array" ref="D1354">INDEX(C$5:C$67,MATCH($B1354,$B$5:$B$67,0))</f>
        <v>3072</v>
      </c>
      <c r="E1354" s="25">
        <f t="array" ref="E1354">INDEX(D$5:D$67,MATCH($B1354,$B$5:$B$67,0))</f>
        <v>245.76</v>
      </c>
      <c r="F1354" s="25">
        <f t="array" ref="F1354">INDEX(E$5:E$67,MATCH($B1354,$B$5:$B$67,0))</f>
        <v>1483</v>
      </c>
      <c r="G1354" s="25">
        <f t="array" ref="G1354">INDEX(F$5:F$67,MATCH($B1354,$B$5:$B$67,0))</f>
        <v>118.64</v>
      </c>
      <c r="H1354" s="25">
        <f t="array" ref="H1354">INDEX(G$5:G$66,MATCH($B1354,$B$5:$B$67,0))</f>
        <v>1152</v>
      </c>
      <c r="I1354" s="25">
        <f t="array" ref="I1354">INDEX(H$5:H$67,MATCH($B1354,$B$5:$B$67,0))</f>
        <v>92.16</v>
      </c>
      <c r="J1354" s="25">
        <f t="array" ref="J1354">INDEX(I$5:I$67,MATCH($B1354,$B$5:$B$67,0))</f>
        <v>784</v>
      </c>
      <c r="K1354" s="25">
        <f t="array" ref="K1354">INDEX(J$5:J$67,MATCH($B1354,$B$5:$B$67,0))</f>
        <v>62.72</v>
      </c>
      <c r="L1354" s="25">
        <f t="shared" si="654"/>
        <v>7004</v>
      </c>
      <c r="M1354" s="25">
        <f t="shared" si="655"/>
        <v>3381</v>
      </c>
      <c r="N1354" s="25">
        <f t="shared" si="656"/>
        <v>2627</v>
      </c>
      <c r="O1354" s="25">
        <f t="shared" si="657"/>
        <v>1788</v>
      </c>
      <c r="R1354" s="50"/>
      <c r="S1354" s="51"/>
      <c r="T1354" s="29"/>
    </row>
    <row r="1355" spans="1:20">
      <c r="A1355" s="48">
        <v>1026017</v>
      </c>
      <c r="B1355" s="49" t="s">
        <v>356</v>
      </c>
      <c r="C1355" s="25">
        <f t="shared" ref="C1355:C1418" si="658">C1295</f>
        <v>17</v>
      </c>
      <c r="D1355" s="25">
        <f t="array" ref="D1355">INDEX(C$5:C$67,MATCH($B1355,$B$5:$B$67,0))</f>
        <v>3072</v>
      </c>
      <c r="E1355" s="25">
        <f t="array" ref="E1355">INDEX(D$5:D$67,MATCH($B1355,$B$5:$B$67,0))</f>
        <v>245.76</v>
      </c>
      <c r="F1355" s="25">
        <f t="array" ref="F1355">INDEX(E$5:E$67,MATCH($B1355,$B$5:$B$67,0))</f>
        <v>1483</v>
      </c>
      <c r="G1355" s="25">
        <f t="array" ref="G1355">INDEX(F$5:F$67,MATCH($B1355,$B$5:$B$67,0))</f>
        <v>118.64</v>
      </c>
      <c r="H1355" s="25">
        <f t="array" ref="H1355">INDEX(G$5:G$66,MATCH($B1355,$B$5:$B$67,0))</f>
        <v>1152</v>
      </c>
      <c r="I1355" s="25">
        <f t="array" ref="I1355">INDEX(H$5:H$67,MATCH($B1355,$B$5:$B$67,0))</f>
        <v>92.16</v>
      </c>
      <c r="J1355" s="25">
        <f t="array" ref="J1355">INDEX(I$5:I$67,MATCH($B1355,$B$5:$B$67,0))</f>
        <v>784</v>
      </c>
      <c r="K1355" s="25">
        <f t="array" ref="K1355">INDEX(J$5:J$67,MATCH($B1355,$B$5:$B$67,0))</f>
        <v>62.72</v>
      </c>
      <c r="L1355" s="25">
        <f t="shared" si="654"/>
        <v>7250</v>
      </c>
      <c r="M1355" s="25">
        <f t="shared" si="655"/>
        <v>3500</v>
      </c>
      <c r="N1355" s="25">
        <f t="shared" si="656"/>
        <v>2719</v>
      </c>
      <c r="O1355" s="25">
        <f t="shared" si="657"/>
        <v>1850</v>
      </c>
      <c r="R1355" s="50"/>
      <c r="S1355" s="51"/>
      <c r="T1355" s="29"/>
    </row>
    <row r="1356" spans="1:20">
      <c r="A1356" s="48">
        <v>1026018</v>
      </c>
      <c r="B1356" s="49" t="s">
        <v>356</v>
      </c>
      <c r="C1356" s="25">
        <f t="shared" si="658"/>
        <v>18</v>
      </c>
      <c r="D1356" s="25">
        <f t="array" ref="D1356">INDEX(C$5:C$67,MATCH($B1356,$B$5:$B$67,0))</f>
        <v>3072</v>
      </c>
      <c r="E1356" s="25">
        <f t="array" ref="E1356">INDEX(D$5:D$67,MATCH($B1356,$B$5:$B$67,0))</f>
        <v>245.76</v>
      </c>
      <c r="F1356" s="25">
        <f t="array" ref="F1356">INDEX(E$5:E$67,MATCH($B1356,$B$5:$B$67,0))</f>
        <v>1483</v>
      </c>
      <c r="G1356" s="25">
        <f t="array" ref="G1356">INDEX(F$5:F$67,MATCH($B1356,$B$5:$B$67,0))</f>
        <v>118.64</v>
      </c>
      <c r="H1356" s="25">
        <f t="array" ref="H1356">INDEX(G$5:G$66,MATCH($B1356,$B$5:$B$67,0))</f>
        <v>1152</v>
      </c>
      <c r="I1356" s="25">
        <f t="array" ref="I1356">INDEX(H$5:H$67,MATCH($B1356,$B$5:$B$67,0))</f>
        <v>92.16</v>
      </c>
      <c r="J1356" s="25">
        <f t="array" ref="J1356">INDEX(I$5:I$67,MATCH($B1356,$B$5:$B$67,0))</f>
        <v>784</v>
      </c>
      <c r="K1356" s="25">
        <f t="array" ref="K1356">INDEX(J$5:J$67,MATCH($B1356,$B$5:$B$67,0))</f>
        <v>62.72</v>
      </c>
      <c r="L1356" s="25">
        <f t="shared" si="654"/>
        <v>7496</v>
      </c>
      <c r="M1356" s="25">
        <f t="shared" si="655"/>
        <v>3619</v>
      </c>
      <c r="N1356" s="25">
        <f t="shared" si="656"/>
        <v>2811</v>
      </c>
      <c r="O1356" s="25">
        <f t="shared" si="657"/>
        <v>1913</v>
      </c>
      <c r="R1356" s="50"/>
      <c r="S1356" s="51"/>
      <c r="T1356" s="29"/>
    </row>
    <row r="1357" spans="1:20">
      <c r="A1357" s="48">
        <v>1026019</v>
      </c>
      <c r="B1357" s="49" t="s">
        <v>356</v>
      </c>
      <c r="C1357" s="25">
        <f t="shared" si="658"/>
        <v>19</v>
      </c>
      <c r="D1357" s="25">
        <f t="array" ref="D1357">INDEX(C$5:C$67,MATCH($B1357,$B$5:$B$67,0))</f>
        <v>3072</v>
      </c>
      <c r="E1357" s="25">
        <f t="array" ref="E1357">INDEX(D$5:D$67,MATCH($B1357,$B$5:$B$67,0))</f>
        <v>245.76</v>
      </c>
      <c r="F1357" s="25">
        <f t="array" ref="F1357">INDEX(E$5:E$67,MATCH($B1357,$B$5:$B$67,0))</f>
        <v>1483</v>
      </c>
      <c r="G1357" s="25">
        <f t="array" ref="G1357">INDEX(F$5:F$67,MATCH($B1357,$B$5:$B$67,0))</f>
        <v>118.64</v>
      </c>
      <c r="H1357" s="25">
        <f t="array" ref="H1357">INDEX(G$5:G$66,MATCH($B1357,$B$5:$B$67,0))</f>
        <v>1152</v>
      </c>
      <c r="I1357" s="25">
        <f t="array" ref="I1357">INDEX(H$5:H$67,MATCH($B1357,$B$5:$B$67,0))</f>
        <v>92.16</v>
      </c>
      <c r="J1357" s="25">
        <f t="array" ref="J1357">INDEX(I$5:I$67,MATCH($B1357,$B$5:$B$67,0))</f>
        <v>784</v>
      </c>
      <c r="K1357" s="25">
        <f t="array" ref="K1357">INDEX(J$5:J$67,MATCH($B1357,$B$5:$B$67,0))</f>
        <v>62.72</v>
      </c>
      <c r="L1357" s="25">
        <f t="shared" si="654"/>
        <v>7741</v>
      </c>
      <c r="M1357" s="25">
        <f t="shared" si="655"/>
        <v>3737</v>
      </c>
      <c r="N1357" s="25">
        <f t="shared" si="656"/>
        <v>2903</v>
      </c>
      <c r="O1357" s="25">
        <f t="shared" si="657"/>
        <v>1976</v>
      </c>
      <c r="R1357" s="50"/>
      <c r="S1357" s="51"/>
      <c r="T1357" s="29"/>
    </row>
    <row r="1358" spans="1:20">
      <c r="A1358" s="48">
        <v>1026020</v>
      </c>
      <c r="B1358" s="49" t="s">
        <v>356</v>
      </c>
      <c r="C1358" s="25">
        <f t="shared" si="658"/>
        <v>20</v>
      </c>
      <c r="D1358" s="25">
        <f t="array" ref="D1358">INDEX(C$5:C$67,MATCH($B1358,$B$5:$B$67,0))</f>
        <v>3072</v>
      </c>
      <c r="E1358" s="25">
        <f t="array" ref="E1358">INDEX(D$5:D$67,MATCH($B1358,$B$5:$B$67,0))</f>
        <v>245.76</v>
      </c>
      <c r="F1358" s="25">
        <f t="array" ref="F1358">INDEX(E$5:E$67,MATCH($B1358,$B$5:$B$67,0))</f>
        <v>1483</v>
      </c>
      <c r="G1358" s="25">
        <f t="array" ref="G1358">INDEX(F$5:F$67,MATCH($B1358,$B$5:$B$67,0))</f>
        <v>118.64</v>
      </c>
      <c r="H1358" s="25">
        <f t="array" ref="H1358">INDEX(G$5:G$66,MATCH($B1358,$B$5:$B$67,0))</f>
        <v>1152</v>
      </c>
      <c r="I1358" s="25">
        <f t="array" ref="I1358">INDEX(H$5:H$67,MATCH($B1358,$B$5:$B$67,0))</f>
        <v>92.16</v>
      </c>
      <c r="J1358" s="25">
        <f t="array" ref="J1358">INDEX(I$5:I$67,MATCH($B1358,$B$5:$B$67,0))</f>
        <v>784</v>
      </c>
      <c r="K1358" s="25">
        <f t="array" ref="K1358">INDEX(J$5:J$67,MATCH($B1358,$B$5:$B$67,0))</f>
        <v>62.72</v>
      </c>
      <c r="L1358" s="25">
        <f t="shared" si="654"/>
        <v>7987</v>
      </c>
      <c r="M1358" s="25">
        <f t="shared" si="655"/>
        <v>3856</v>
      </c>
      <c r="N1358" s="25">
        <f t="shared" si="656"/>
        <v>2995</v>
      </c>
      <c r="O1358" s="25">
        <f t="shared" si="657"/>
        <v>2038</v>
      </c>
      <c r="R1358" s="50"/>
      <c r="S1358" s="51"/>
      <c r="T1358" s="29"/>
    </row>
    <row r="1359" spans="1:20">
      <c r="A1359" s="48">
        <v>1026021</v>
      </c>
      <c r="B1359" s="49" t="s">
        <v>356</v>
      </c>
      <c r="C1359" s="25">
        <f t="shared" si="658"/>
        <v>21</v>
      </c>
      <c r="D1359" s="25">
        <f t="array" ref="D1359">INDEX(C$5:C$67,MATCH($B1359,$B$5:$B$67,0))</f>
        <v>3072</v>
      </c>
      <c r="E1359" s="25">
        <f t="array" ref="E1359">INDEX(D$5:D$67,MATCH($B1359,$B$5:$B$67,0))</f>
        <v>245.76</v>
      </c>
      <c r="F1359" s="25">
        <f t="array" ref="F1359">INDEX(E$5:E$67,MATCH($B1359,$B$5:$B$67,0))</f>
        <v>1483</v>
      </c>
      <c r="G1359" s="25">
        <f t="array" ref="G1359">INDEX(F$5:F$67,MATCH($B1359,$B$5:$B$67,0))</f>
        <v>118.64</v>
      </c>
      <c r="H1359" s="25">
        <f t="array" ref="H1359">INDEX(G$5:G$66,MATCH($B1359,$B$5:$B$67,0))</f>
        <v>1152</v>
      </c>
      <c r="I1359" s="25">
        <f t="array" ref="I1359">INDEX(H$5:H$67,MATCH($B1359,$B$5:$B$67,0))</f>
        <v>92.16</v>
      </c>
      <c r="J1359" s="25">
        <f t="array" ref="J1359">INDEX(I$5:I$67,MATCH($B1359,$B$5:$B$67,0))</f>
        <v>784</v>
      </c>
      <c r="K1359" s="25">
        <f t="array" ref="K1359">INDEX(J$5:J$67,MATCH($B1359,$B$5:$B$67,0))</f>
        <v>62.72</v>
      </c>
      <c r="L1359" s="25">
        <f t="shared" ref="L1359:L1422" si="659">ROUND(D1359+E1359*$C1359,0)</f>
        <v>8233</v>
      </c>
      <c r="M1359" s="25">
        <f t="shared" ref="M1359:M1422" si="660">ROUND(F1359+G1359*$C1359,0)</f>
        <v>3974</v>
      </c>
      <c r="N1359" s="25">
        <f t="shared" ref="N1359:N1422" si="661">ROUND(H1359+I1359*$C1359,0)</f>
        <v>3087</v>
      </c>
      <c r="O1359" s="25">
        <f t="shared" ref="O1359:O1422" si="662">ROUND(J1359+K1359*$C1359,0)</f>
        <v>2101</v>
      </c>
      <c r="R1359" s="50"/>
      <c r="S1359" s="51"/>
      <c r="T1359" s="29"/>
    </row>
    <row r="1360" spans="1:20">
      <c r="A1360" s="48">
        <v>1026022</v>
      </c>
      <c r="B1360" s="49" t="s">
        <v>356</v>
      </c>
      <c r="C1360" s="25">
        <f t="shared" si="658"/>
        <v>22</v>
      </c>
      <c r="D1360" s="25">
        <f t="array" ref="D1360">INDEX(C$5:C$67,MATCH($B1360,$B$5:$B$67,0))</f>
        <v>3072</v>
      </c>
      <c r="E1360" s="25">
        <f t="array" ref="E1360">INDEX(D$5:D$67,MATCH($B1360,$B$5:$B$67,0))</f>
        <v>245.76</v>
      </c>
      <c r="F1360" s="25">
        <f t="array" ref="F1360">INDEX(E$5:E$67,MATCH($B1360,$B$5:$B$67,0))</f>
        <v>1483</v>
      </c>
      <c r="G1360" s="25">
        <f t="array" ref="G1360">INDEX(F$5:F$67,MATCH($B1360,$B$5:$B$67,0))</f>
        <v>118.64</v>
      </c>
      <c r="H1360" s="25">
        <f t="array" ref="H1360">INDEX(G$5:G$66,MATCH($B1360,$B$5:$B$67,0))</f>
        <v>1152</v>
      </c>
      <c r="I1360" s="25">
        <f t="array" ref="I1360">INDEX(H$5:H$67,MATCH($B1360,$B$5:$B$67,0))</f>
        <v>92.16</v>
      </c>
      <c r="J1360" s="25">
        <f t="array" ref="J1360">INDEX(I$5:I$67,MATCH($B1360,$B$5:$B$67,0))</f>
        <v>784</v>
      </c>
      <c r="K1360" s="25">
        <f t="array" ref="K1360">INDEX(J$5:J$67,MATCH($B1360,$B$5:$B$67,0))</f>
        <v>62.72</v>
      </c>
      <c r="L1360" s="25">
        <f t="shared" si="659"/>
        <v>8479</v>
      </c>
      <c r="M1360" s="25">
        <f t="shared" si="660"/>
        <v>4093</v>
      </c>
      <c r="N1360" s="25">
        <f t="shared" si="661"/>
        <v>3180</v>
      </c>
      <c r="O1360" s="25">
        <f t="shared" si="662"/>
        <v>2164</v>
      </c>
      <c r="R1360" s="50"/>
      <c r="S1360" s="51"/>
      <c r="T1360" s="29"/>
    </row>
    <row r="1361" spans="1:20">
      <c r="A1361" s="48">
        <v>1026023</v>
      </c>
      <c r="B1361" s="49" t="s">
        <v>356</v>
      </c>
      <c r="C1361" s="25">
        <f t="shared" si="658"/>
        <v>23</v>
      </c>
      <c r="D1361" s="25">
        <f t="array" ref="D1361">INDEX(C$5:C$67,MATCH($B1361,$B$5:$B$67,0))</f>
        <v>3072</v>
      </c>
      <c r="E1361" s="25">
        <f t="array" ref="E1361">INDEX(D$5:D$67,MATCH($B1361,$B$5:$B$67,0))</f>
        <v>245.76</v>
      </c>
      <c r="F1361" s="25">
        <f t="array" ref="F1361">INDEX(E$5:E$67,MATCH($B1361,$B$5:$B$67,0))</f>
        <v>1483</v>
      </c>
      <c r="G1361" s="25">
        <f t="array" ref="G1361">INDEX(F$5:F$67,MATCH($B1361,$B$5:$B$67,0))</f>
        <v>118.64</v>
      </c>
      <c r="H1361" s="25">
        <f t="array" ref="H1361">INDEX(G$5:G$66,MATCH($B1361,$B$5:$B$67,0))</f>
        <v>1152</v>
      </c>
      <c r="I1361" s="25">
        <f t="array" ref="I1361">INDEX(H$5:H$67,MATCH($B1361,$B$5:$B$67,0))</f>
        <v>92.16</v>
      </c>
      <c r="J1361" s="25">
        <f t="array" ref="J1361">INDEX(I$5:I$67,MATCH($B1361,$B$5:$B$67,0))</f>
        <v>784</v>
      </c>
      <c r="K1361" s="25">
        <f t="array" ref="K1361">INDEX(J$5:J$67,MATCH($B1361,$B$5:$B$67,0))</f>
        <v>62.72</v>
      </c>
      <c r="L1361" s="25">
        <f t="shared" si="659"/>
        <v>8724</v>
      </c>
      <c r="M1361" s="25">
        <f t="shared" si="660"/>
        <v>4212</v>
      </c>
      <c r="N1361" s="25">
        <f t="shared" si="661"/>
        <v>3272</v>
      </c>
      <c r="O1361" s="25">
        <f t="shared" si="662"/>
        <v>2227</v>
      </c>
      <c r="R1361" s="50"/>
      <c r="S1361" s="51"/>
      <c r="T1361" s="29"/>
    </row>
    <row r="1362" spans="1:20">
      <c r="A1362" s="48">
        <v>1026024</v>
      </c>
      <c r="B1362" s="49" t="s">
        <v>356</v>
      </c>
      <c r="C1362" s="25">
        <f t="shared" si="658"/>
        <v>24</v>
      </c>
      <c r="D1362" s="25">
        <f t="array" ref="D1362">INDEX(C$5:C$67,MATCH($B1362,$B$5:$B$67,0))</f>
        <v>3072</v>
      </c>
      <c r="E1362" s="25">
        <f t="array" ref="E1362">INDEX(D$5:D$67,MATCH($B1362,$B$5:$B$67,0))</f>
        <v>245.76</v>
      </c>
      <c r="F1362" s="25">
        <f t="array" ref="F1362">INDEX(E$5:E$67,MATCH($B1362,$B$5:$B$67,0))</f>
        <v>1483</v>
      </c>
      <c r="G1362" s="25">
        <f t="array" ref="G1362">INDEX(F$5:F$67,MATCH($B1362,$B$5:$B$67,0))</f>
        <v>118.64</v>
      </c>
      <c r="H1362" s="25">
        <f t="array" ref="H1362">INDEX(G$5:G$66,MATCH($B1362,$B$5:$B$67,0))</f>
        <v>1152</v>
      </c>
      <c r="I1362" s="25">
        <f t="array" ref="I1362">INDEX(H$5:H$67,MATCH($B1362,$B$5:$B$67,0))</f>
        <v>92.16</v>
      </c>
      <c r="J1362" s="25">
        <f t="array" ref="J1362">INDEX(I$5:I$67,MATCH($B1362,$B$5:$B$67,0))</f>
        <v>784</v>
      </c>
      <c r="K1362" s="25">
        <f t="array" ref="K1362">INDEX(J$5:J$67,MATCH($B1362,$B$5:$B$67,0))</f>
        <v>62.72</v>
      </c>
      <c r="L1362" s="25">
        <f t="shared" si="659"/>
        <v>8970</v>
      </c>
      <c r="M1362" s="25">
        <f t="shared" si="660"/>
        <v>4330</v>
      </c>
      <c r="N1362" s="25">
        <f t="shared" si="661"/>
        <v>3364</v>
      </c>
      <c r="O1362" s="25">
        <f t="shared" si="662"/>
        <v>2289</v>
      </c>
      <c r="R1362" s="50"/>
      <c r="S1362" s="51"/>
      <c r="T1362" s="29"/>
    </row>
    <row r="1363" spans="1:20">
      <c r="A1363" s="48">
        <v>1026025</v>
      </c>
      <c r="B1363" s="49" t="s">
        <v>356</v>
      </c>
      <c r="C1363" s="25">
        <f t="shared" si="658"/>
        <v>25</v>
      </c>
      <c r="D1363" s="25">
        <f t="array" ref="D1363">INDEX(C$5:C$67,MATCH($B1363,$B$5:$B$67,0))</f>
        <v>3072</v>
      </c>
      <c r="E1363" s="25">
        <f t="array" ref="E1363">INDEX(D$5:D$67,MATCH($B1363,$B$5:$B$67,0))</f>
        <v>245.76</v>
      </c>
      <c r="F1363" s="25">
        <f t="array" ref="F1363">INDEX(E$5:E$67,MATCH($B1363,$B$5:$B$67,0))</f>
        <v>1483</v>
      </c>
      <c r="G1363" s="25">
        <f t="array" ref="G1363">INDEX(F$5:F$67,MATCH($B1363,$B$5:$B$67,0))</f>
        <v>118.64</v>
      </c>
      <c r="H1363" s="25">
        <f t="array" ref="H1363">INDEX(G$5:G$66,MATCH($B1363,$B$5:$B$67,0))</f>
        <v>1152</v>
      </c>
      <c r="I1363" s="25">
        <f t="array" ref="I1363">INDEX(H$5:H$67,MATCH($B1363,$B$5:$B$67,0))</f>
        <v>92.16</v>
      </c>
      <c r="J1363" s="25">
        <f t="array" ref="J1363">INDEX(I$5:I$67,MATCH($B1363,$B$5:$B$67,0))</f>
        <v>784</v>
      </c>
      <c r="K1363" s="25">
        <f t="array" ref="K1363">INDEX(J$5:J$67,MATCH($B1363,$B$5:$B$67,0))</f>
        <v>62.72</v>
      </c>
      <c r="L1363" s="25">
        <f t="shared" si="659"/>
        <v>9216</v>
      </c>
      <c r="M1363" s="25">
        <f t="shared" si="660"/>
        <v>4449</v>
      </c>
      <c r="N1363" s="25">
        <f t="shared" si="661"/>
        <v>3456</v>
      </c>
      <c r="O1363" s="25">
        <f t="shared" si="662"/>
        <v>2352</v>
      </c>
      <c r="R1363" s="50"/>
      <c r="S1363" s="51"/>
      <c r="T1363" s="29"/>
    </row>
    <row r="1364" spans="1:20">
      <c r="A1364" s="48">
        <v>1026026</v>
      </c>
      <c r="B1364" s="49" t="s">
        <v>356</v>
      </c>
      <c r="C1364" s="25">
        <f t="shared" si="658"/>
        <v>26</v>
      </c>
      <c r="D1364" s="25">
        <f t="array" ref="D1364">INDEX(C$5:C$67,MATCH($B1364,$B$5:$B$67,0))</f>
        <v>3072</v>
      </c>
      <c r="E1364" s="25">
        <f t="array" ref="E1364">INDEX(D$5:D$67,MATCH($B1364,$B$5:$B$67,0))</f>
        <v>245.76</v>
      </c>
      <c r="F1364" s="25">
        <f t="array" ref="F1364">INDEX(E$5:E$67,MATCH($B1364,$B$5:$B$67,0))</f>
        <v>1483</v>
      </c>
      <c r="G1364" s="25">
        <f t="array" ref="G1364">INDEX(F$5:F$67,MATCH($B1364,$B$5:$B$67,0))</f>
        <v>118.64</v>
      </c>
      <c r="H1364" s="25">
        <f t="array" ref="H1364">INDEX(G$5:G$66,MATCH($B1364,$B$5:$B$67,0))</f>
        <v>1152</v>
      </c>
      <c r="I1364" s="25">
        <f t="array" ref="I1364">INDEX(H$5:H$67,MATCH($B1364,$B$5:$B$67,0))</f>
        <v>92.16</v>
      </c>
      <c r="J1364" s="25">
        <f t="array" ref="J1364">INDEX(I$5:I$67,MATCH($B1364,$B$5:$B$67,0))</f>
        <v>784</v>
      </c>
      <c r="K1364" s="25">
        <f t="array" ref="K1364">INDEX(J$5:J$67,MATCH($B1364,$B$5:$B$67,0))</f>
        <v>62.72</v>
      </c>
      <c r="L1364" s="25">
        <f t="shared" si="659"/>
        <v>9462</v>
      </c>
      <c r="M1364" s="25">
        <f t="shared" si="660"/>
        <v>4568</v>
      </c>
      <c r="N1364" s="25">
        <f t="shared" si="661"/>
        <v>3548</v>
      </c>
      <c r="O1364" s="25">
        <f t="shared" si="662"/>
        <v>2415</v>
      </c>
      <c r="R1364" s="50"/>
      <c r="S1364" s="51"/>
      <c r="T1364" s="29"/>
    </row>
    <row r="1365" spans="1:20">
      <c r="A1365" s="48">
        <v>1026027</v>
      </c>
      <c r="B1365" s="49" t="s">
        <v>356</v>
      </c>
      <c r="C1365" s="25">
        <f t="shared" si="658"/>
        <v>27</v>
      </c>
      <c r="D1365" s="25">
        <f t="array" ref="D1365">INDEX(C$5:C$67,MATCH($B1365,$B$5:$B$67,0))</f>
        <v>3072</v>
      </c>
      <c r="E1365" s="25">
        <f t="array" ref="E1365">INDEX(D$5:D$67,MATCH($B1365,$B$5:$B$67,0))</f>
        <v>245.76</v>
      </c>
      <c r="F1365" s="25">
        <f t="array" ref="F1365">INDEX(E$5:E$67,MATCH($B1365,$B$5:$B$67,0))</f>
        <v>1483</v>
      </c>
      <c r="G1365" s="25">
        <f t="array" ref="G1365">INDEX(F$5:F$67,MATCH($B1365,$B$5:$B$67,0))</f>
        <v>118.64</v>
      </c>
      <c r="H1365" s="25">
        <f t="array" ref="H1365">INDEX(G$5:G$66,MATCH($B1365,$B$5:$B$67,0))</f>
        <v>1152</v>
      </c>
      <c r="I1365" s="25">
        <f t="array" ref="I1365">INDEX(H$5:H$67,MATCH($B1365,$B$5:$B$67,0))</f>
        <v>92.16</v>
      </c>
      <c r="J1365" s="25">
        <f t="array" ref="J1365">INDEX(I$5:I$67,MATCH($B1365,$B$5:$B$67,0))</f>
        <v>784</v>
      </c>
      <c r="K1365" s="25">
        <f t="array" ref="K1365">INDEX(J$5:J$67,MATCH($B1365,$B$5:$B$67,0))</f>
        <v>62.72</v>
      </c>
      <c r="L1365" s="25">
        <f t="shared" si="659"/>
        <v>9708</v>
      </c>
      <c r="M1365" s="25">
        <f t="shared" si="660"/>
        <v>4686</v>
      </c>
      <c r="N1365" s="25">
        <f t="shared" si="661"/>
        <v>3640</v>
      </c>
      <c r="O1365" s="25">
        <f t="shared" si="662"/>
        <v>2477</v>
      </c>
      <c r="R1365" s="50"/>
      <c r="S1365" s="51"/>
      <c r="T1365" s="29"/>
    </row>
    <row r="1366" spans="1:20">
      <c r="A1366" s="48">
        <v>1026028</v>
      </c>
      <c r="B1366" s="49" t="s">
        <v>356</v>
      </c>
      <c r="C1366" s="25">
        <f t="shared" si="658"/>
        <v>28</v>
      </c>
      <c r="D1366" s="25">
        <f t="array" ref="D1366">INDEX(C$5:C$67,MATCH($B1366,$B$5:$B$67,0))</f>
        <v>3072</v>
      </c>
      <c r="E1366" s="25">
        <f t="array" ref="E1366">INDEX(D$5:D$67,MATCH($B1366,$B$5:$B$67,0))</f>
        <v>245.76</v>
      </c>
      <c r="F1366" s="25">
        <f t="array" ref="F1366">INDEX(E$5:E$67,MATCH($B1366,$B$5:$B$67,0))</f>
        <v>1483</v>
      </c>
      <c r="G1366" s="25">
        <f t="array" ref="G1366">INDEX(F$5:F$67,MATCH($B1366,$B$5:$B$67,0))</f>
        <v>118.64</v>
      </c>
      <c r="H1366" s="25">
        <f t="array" ref="H1366">INDEX(G$5:G$66,MATCH($B1366,$B$5:$B$67,0))</f>
        <v>1152</v>
      </c>
      <c r="I1366" s="25">
        <f t="array" ref="I1366">INDEX(H$5:H$67,MATCH($B1366,$B$5:$B$67,0))</f>
        <v>92.16</v>
      </c>
      <c r="J1366" s="25">
        <f t="array" ref="J1366">INDEX(I$5:I$67,MATCH($B1366,$B$5:$B$67,0))</f>
        <v>784</v>
      </c>
      <c r="K1366" s="25">
        <f t="array" ref="K1366">INDEX(J$5:J$67,MATCH($B1366,$B$5:$B$67,0))</f>
        <v>62.72</v>
      </c>
      <c r="L1366" s="25">
        <f t="shared" si="659"/>
        <v>9953</v>
      </c>
      <c r="M1366" s="25">
        <f t="shared" si="660"/>
        <v>4805</v>
      </c>
      <c r="N1366" s="25">
        <f t="shared" si="661"/>
        <v>3732</v>
      </c>
      <c r="O1366" s="25">
        <f t="shared" si="662"/>
        <v>2540</v>
      </c>
      <c r="R1366" s="50"/>
      <c r="S1366" s="51"/>
      <c r="T1366" s="29"/>
    </row>
    <row r="1367" spans="1:20">
      <c r="A1367" s="48">
        <v>1026029</v>
      </c>
      <c r="B1367" s="49" t="s">
        <v>356</v>
      </c>
      <c r="C1367" s="25">
        <f t="shared" si="658"/>
        <v>29</v>
      </c>
      <c r="D1367" s="25">
        <f t="array" ref="D1367">INDEX(C$5:C$67,MATCH($B1367,$B$5:$B$67,0))</f>
        <v>3072</v>
      </c>
      <c r="E1367" s="25">
        <f t="array" ref="E1367">INDEX(D$5:D$67,MATCH($B1367,$B$5:$B$67,0))</f>
        <v>245.76</v>
      </c>
      <c r="F1367" s="25">
        <f t="array" ref="F1367">INDEX(E$5:E$67,MATCH($B1367,$B$5:$B$67,0))</f>
        <v>1483</v>
      </c>
      <c r="G1367" s="25">
        <f t="array" ref="G1367">INDEX(F$5:F$67,MATCH($B1367,$B$5:$B$67,0))</f>
        <v>118.64</v>
      </c>
      <c r="H1367" s="25">
        <f t="array" ref="H1367">INDEX(G$5:G$66,MATCH($B1367,$B$5:$B$67,0))</f>
        <v>1152</v>
      </c>
      <c r="I1367" s="25">
        <f t="array" ref="I1367">INDEX(H$5:H$67,MATCH($B1367,$B$5:$B$67,0))</f>
        <v>92.16</v>
      </c>
      <c r="J1367" s="25">
        <f t="array" ref="J1367">INDEX(I$5:I$67,MATCH($B1367,$B$5:$B$67,0))</f>
        <v>784</v>
      </c>
      <c r="K1367" s="25">
        <f t="array" ref="K1367">INDEX(J$5:J$67,MATCH($B1367,$B$5:$B$67,0))</f>
        <v>62.72</v>
      </c>
      <c r="L1367" s="25">
        <f t="shared" si="659"/>
        <v>10199</v>
      </c>
      <c r="M1367" s="25">
        <f t="shared" si="660"/>
        <v>4924</v>
      </c>
      <c r="N1367" s="25">
        <f t="shared" si="661"/>
        <v>3825</v>
      </c>
      <c r="O1367" s="25">
        <f t="shared" si="662"/>
        <v>2603</v>
      </c>
      <c r="R1367" s="50"/>
      <c r="S1367" s="51"/>
      <c r="T1367" s="29"/>
    </row>
    <row r="1368" spans="1:20">
      <c r="A1368" s="48">
        <v>1026030</v>
      </c>
      <c r="B1368" s="49" t="s">
        <v>356</v>
      </c>
      <c r="C1368" s="25">
        <f t="shared" si="658"/>
        <v>30</v>
      </c>
      <c r="D1368" s="25">
        <f t="array" ref="D1368">INDEX(C$5:C$67,MATCH($B1368,$B$5:$B$67,0))</f>
        <v>3072</v>
      </c>
      <c r="E1368" s="25">
        <f t="array" ref="E1368">INDEX(D$5:D$67,MATCH($B1368,$B$5:$B$67,0))</f>
        <v>245.76</v>
      </c>
      <c r="F1368" s="25">
        <f t="array" ref="F1368">INDEX(E$5:E$67,MATCH($B1368,$B$5:$B$67,0))</f>
        <v>1483</v>
      </c>
      <c r="G1368" s="25">
        <f t="array" ref="G1368">INDEX(F$5:F$67,MATCH($B1368,$B$5:$B$67,0))</f>
        <v>118.64</v>
      </c>
      <c r="H1368" s="25">
        <f t="array" ref="H1368">INDEX(G$5:G$66,MATCH($B1368,$B$5:$B$67,0))</f>
        <v>1152</v>
      </c>
      <c r="I1368" s="25">
        <f t="array" ref="I1368">INDEX(H$5:H$67,MATCH($B1368,$B$5:$B$67,0))</f>
        <v>92.16</v>
      </c>
      <c r="J1368" s="25">
        <f t="array" ref="J1368">INDEX(I$5:I$67,MATCH($B1368,$B$5:$B$67,0))</f>
        <v>784</v>
      </c>
      <c r="K1368" s="25">
        <f t="array" ref="K1368">INDEX(J$5:J$67,MATCH($B1368,$B$5:$B$67,0))</f>
        <v>62.72</v>
      </c>
      <c r="L1368" s="25">
        <f t="shared" si="659"/>
        <v>10445</v>
      </c>
      <c r="M1368" s="25">
        <f t="shared" si="660"/>
        <v>5042</v>
      </c>
      <c r="N1368" s="25">
        <f t="shared" si="661"/>
        <v>3917</v>
      </c>
      <c r="O1368" s="25">
        <f t="shared" si="662"/>
        <v>2666</v>
      </c>
      <c r="R1368" s="50"/>
      <c r="S1368" s="51"/>
      <c r="T1368" s="29"/>
    </row>
    <row r="1369" spans="1:20">
      <c r="A1369" s="48">
        <v>1026031</v>
      </c>
      <c r="B1369" s="49" t="s">
        <v>356</v>
      </c>
      <c r="C1369" s="25">
        <f t="shared" si="658"/>
        <v>31</v>
      </c>
      <c r="D1369" s="25">
        <f t="array" ref="D1369">INDEX(C$5:C$67,MATCH($B1369,$B$5:$B$67,0))</f>
        <v>3072</v>
      </c>
      <c r="E1369" s="25">
        <f t="array" ref="E1369">INDEX(D$5:D$67,MATCH($B1369,$B$5:$B$67,0))</f>
        <v>245.76</v>
      </c>
      <c r="F1369" s="25">
        <f t="array" ref="F1369">INDEX(E$5:E$67,MATCH($B1369,$B$5:$B$67,0))</f>
        <v>1483</v>
      </c>
      <c r="G1369" s="25">
        <f t="array" ref="G1369">INDEX(F$5:F$67,MATCH($B1369,$B$5:$B$67,0))</f>
        <v>118.64</v>
      </c>
      <c r="H1369" s="25">
        <f t="array" ref="H1369">INDEX(G$5:G$66,MATCH($B1369,$B$5:$B$67,0))</f>
        <v>1152</v>
      </c>
      <c r="I1369" s="25">
        <f t="array" ref="I1369">INDEX(H$5:H$67,MATCH($B1369,$B$5:$B$67,0))</f>
        <v>92.16</v>
      </c>
      <c r="J1369" s="25">
        <f t="array" ref="J1369">INDEX(I$5:I$67,MATCH($B1369,$B$5:$B$67,0))</f>
        <v>784</v>
      </c>
      <c r="K1369" s="25">
        <f t="array" ref="K1369">INDEX(J$5:J$67,MATCH($B1369,$B$5:$B$67,0))</f>
        <v>62.72</v>
      </c>
      <c r="L1369" s="25">
        <f t="shared" si="659"/>
        <v>10691</v>
      </c>
      <c r="M1369" s="25">
        <f t="shared" si="660"/>
        <v>5161</v>
      </c>
      <c r="N1369" s="25">
        <f t="shared" si="661"/>
        <v>4009</v>
      </c>
      <c r="O1369" s="25">
        <f t="shared" si="662"/>
        <v>2728</v>
      </c>
      <c r="R1369" s="50"/>
      <c r="S1369" s="51"/>
      <c r="T1369" s="29"/>
    </row>
    <row r="1370" spans="1:20">
      <c r="A1370" s="48">
        <v>1026032</v>
      </c>
      <c r="B1370" s="49" t="s">
        <v>356</v>
      </c>
      <c r="C1370" s="25">
        <f t="shared" si="658"/>
        <v>32</v>
      </c>
      <c r="D1370" s="25">
        <f t="array" ref="D1370">INDEX(C$5:C$67,MATCH($B1370,$B$5:$B$67,0))</f>
        <v>3072</v>
      </c>
      <c r="E1370" s="25">
        <f t="array" ref="E1370">INDEX(D$5:D$67,MATCH($B1370,$B$5:$B$67,0))</f>
        <v>245.76</v>
      </c>
      <c r="F1370" s="25">
        <f t="array" ref="F1370">INDEX(E$5:E$67,MATCH($B1370,$B$5:$B$67,0))</f>
        <v>1483</v>
      </c>
      <c r="G1370" s="25">
        <f t="array" ref="G1370">INDEX(F$5:F$67,MATCH($B1370,$B$5:$B$67,0))</f>
        <v>118.64</v>
      </c>
      <c r="H1370" s="25">
        <f t="array" ref="H1370">INDEX(G$5:G$66,MATCH($B1370,$B$5:$B$67,0))</f>
        <v>1152</v>
      </c>
      <c r="I1370" s="25">
        <f t="array" ref="I1370">INDEX(H$5:H$67,MATCH($B1370,$B$5:$B$67,0))</f>
        <v>92.16</v>
      </c>
      <c r="J1370" s="25">
        <f t="array" ref="J1370">INDEX(I$5:I$67,MATCH($B1370,$B$5:$B$67,0))</f>
        <v>784</v>
      </c>
      <c r="K1370" s="25">
        <f t="array" ref="K1370">INDEX(J$5:J$67,MATCH($B1370,$B$5:$B$67,0))</f>
        <v>62.72</v>
      </c>
      <c r="L1370" s="25">
        <f t="shared" si="659"/>
        <v>10936</v>
      </c>
      <c r="M1370" s="25">
        <f t="shared" si="660"/>
        <v>5279</v>
      </c>
      <c r="N1370" s="25">
        <f t="shared" si="661"/>
        <v>4101</v>
      </c>
      <c r="O1370" s="25">
        <f t="shared" si="662"/>
        <v>2791</v>
      </c>
      <c r="R1370" s="50"/>
      <c r="S1370" s="51"/>
      <c r="T1370" s="29"/>
    </row>
    <row r="1371" spans="1:20">
      <c r="A1371" s="48">
        <v>1026033</v>
      </c>
      <c r="B1371" s="49" t="s">
        <v>356</v>
      </c>
      <c r="C1371" s="25">
        <f t="shared" si="658"/>
        <v>33</v>
      </c>
      <c r="D1371" s="25">
        <f t="array" ref="D1371">INDEX(C$5:C$67,MATCH($B1371,$B$5:$B$67,0))</f>
        <v>3072</v>
      </c>
      <c r="E1371" s="25">
        <f t="array" ref="E1371">INDEX(D$5:D$67,MATCH($B1371,$B$5:$B$67,0))</f>
        <v>245.76</v>
      </c>
      <c r="F1371" s="25">
        <f t="array" ref="F1371">INDEX(E$5:E$67,MATCH($B1371,$B$5:$B$67,0))</f>
        <v>1483</v>
      </c>
      <c r="G1371" s="25">
        <f t="array" ref="G1371">INDEX(F$5:F$67,MATCH($B1371,$B$5:$B$67,0))</f>
        <v>118.64</v>
      </c>
      <c r="H1371" s="25">
        <f t="array" ref="H1371">INDEX(G$5:G$66,MATCH($B1371,$B$5:$B$67,0))</f>
        <v>1152</v>
      </c>
      <c r="I1371" s="25">
        <f t="array" ref="I1371">INDEX(H$5:H$67,MATCH($B1371,$B$5:$B$67,0))</f>
        <v>92.16</v>
      </c>
      <c r="J1371" s="25">
        <f t="array" ref="J1371">INDEX(I$5:I$67,MATCH($B1371,$B$5:$B$67,0))</f>
        <v>784</v>
      </c>
      <c r="K1371" s="25">
        <f t="array" ref="K1371">INDEX(J$5:J$67,MATCH($B1371,$B$5:$B$67,0))</f>
        <v>62.72</v>
      </c>
      <c r="L1371" s="25">
        <f t="shared" si="659"/>
        <v>11182</v>
      </c>
      <c r="M1371" s="25">
        <f t="shared" si="660"/>
        <v>5398</v>
      </c>
      <c r="N1371" s="25">
        <f t="shared" si="661"/>
        <v>4193</v>
      </c>
      <c r="O1371" s="25">
        <f t="shared" si="662"/>
        <v>2854</v>
      </c>
      <c r="R1371" s="50"/>
      <c r="S1371" s="51"/>
      <c r="T1371" s="29"/>
    </row>
    <row r="1372" spans="1:20">
      <c r="A1372" s="48">
        <v>1026034</v>
      </c>
      <c r="B1372" s="49" t="s">
        <v>356</v>
      </c>
      <c r="C1372" s="25">
        <f t="shared" si="658"/>
        <v>34</v>
      </c>
      <c r="D1372" s="25">
        <f t="array" ref="D1372">INDEX(C$5:C$67,MATCH($B1372,$B$5:$B$67,0))</f>
        <v>3072</v>
      </c>
      <c r="E1372" s="25">
        <f t="array" ref="E1372">INDEX(D$5:D$67,MATCH($B1372,$B$5:$B$67,0))</f>
        <v>245.76</v>
      </c>
      <c r="F1372" s="25">
        <f t="array" ref="F1372">INDEX(E$5:E$67,MATCH($B1372,$B$5:$B$67,0))</f>
        <v>1483</v>
      </c>
      <c r="G1372" s="25">
        <f t="array" ref="G1372">INDEX(F$5:F$67,MATCH($B1372,$B$5:$B$67,0))</f>
        <v>118.64</v>
      </c>
      <c r="H1372" s="25">
        <f t="array" ref="H1372">INDEX(G$5:G$66,MATCH($B1372,$B$5:$B$67,0))</f>
        <v>1152</v>
      </c>
      <c r="I1372" s="25">
        <f t="array" ref="I1372">INDEX(H$5:H$67,MATCH($B1372,$B$5:$B$67,0))</f>
        <v>92.16</v>
      </c>
      <c r="J1372" s="25">
        <f t="array" ref="J1372">INDEX(I$5:I$67,MATCH($B1372,$B$5:$B$67,0))</f>
        <v>784</v>
      </c>
      <c r="K1372" s="25">
        <f t="array" ref="K1372">INDEX(J$5:J$67,MATCH($B1372,$B$5:$B$67,0))</f>
        <v>62.72</v>
      </c>
      <c r="L1372" s="25">
        <f t="shared" si="659"/>
        <v>11428</v>
      </c>
      <c r="M1372" s="25">
        <f t="shared" si="660"/>
        <v>5517</v>
      </c>
      <c r="N1372" s="25">
        <f t="shared" si="661"/>
        <v>4285</v>
      </c>
      <c r="O1372" s="25">
        <f t="shared" si="662"/>
        <v>2916</v>
      </c>
      <c r="R1372" s="50"/>
      <c r="S1372" s="51"/>
      <c r="T1372" s="29"/>
    </row>
    <row r="1373" spans="1:20">
      <c r="A1373" s="48">
        <v>1026035</v>
      </c>
      <c r="B1373" s="49" t="s">
        <v>356</v>
      </c>
      <c r="C1373" s="25">
        <f t="shared" si="658"/>
        <v>35</v>
      </c>
      <c r="D1373" s="25">
        <f t="array" ref="D1373">INDEX(C$5:C$67,MATCH($B1373,$B$5:$B$67,0))</f>
        <v>3072</v>
      </c>
      <c r="E1373" s="25">
        <f t="array" ref="E1373">INDEX(D$5:D$67,MATCH($B1373,$B$5:$B$67,0))</f>
        <v>245.76</v>
      </c>
      <c r="F1373" s="25">
        <f t="array" ref="F1373">INDEX(E$5:E$67,MATCH($B1373,$B$5:$B$67,0))</f>
        <v>1483</v>
      </c>
      <c r="G1373" s="25">
        <f t="array" ref="G1373">INDEX(F$5:F$67,MATCH($B1373,$B$5:$B$67,0))</f>
        <v>118.64</v>
      </c>
      <c r="H1373" s="25">
        <f t="array" ref="H1373">INDEX(G$5:G$66,MATCH($B1373,$B$5:$B$67,0))</f>
        <v>1152</v>
      </c>
      <c r="I1373" s="25">
        <f t="array" ref="I1373">INDEX(H$5:H$67,MATCH($B1373,$B$5:$B$67,0))</f>
        <v>92.16</v>
      </c>
      <c r="J1373" s="25">
        <f t="array" ref="J1373">INDEX(I$5:I$67,MATCH($B1373,$B$5:$B$67,0))</f>
        <v>784</v>
      </c>
      <c r="K1373" s="25">
        <f t="array" ref="K1373">INDEX(J$5:J$67,MATCH($B1373,$B$5:$B$67,0))</f>
        <v>62.72</v>
      </c>
      <c r="L1373" s="25">
        <f t="shared" si="659"/>
        <v>11674</v>
      </c>
      <c r="M1373" s="25">
        <f t="shared" si="660"/>
        <v>5635</v>
      </c>
      <c r="N1373" s="25">
        <f t="shared" si="661"/>
        <v>4378</v>
      </c>
      <c r="O1373" s="25">
        <f t="shared" si="662"/>
        <v>2979</v>
      </c>
      <c r="R1373" s="50"/>
      <c r="S1373" s="51"/>
      <c r="T1373" s="29"/>
    </row>
    <row r="1374" spans="1:20">
      <c r="A1374" s="48">
        <v>1026036</v>
      </c>
      <c r="B1374" s="49" t="s">
        <v>356</v>
      </c>
      <c r="C1374" s="25">
        <f t="shared" si="658"/>
        <v>36</v>
      </c>
      <c r="D1374" s="25">
        <f t="array" ref="D1374">INDEX(C$5:C$67,MATCH($B1374,$B$5:$B$67,0))</f>
        <v>3072</v>
      </c>
      <c r="E1374" s="25">
        <f t="array" ref="E1374">INDEX(D$5:D$67,MATCH($B1374,$B$5:$B$67,0))</f>
        <v>245.76</v>
      </c>
      <c r="F1374" s="25">
        <f t="array" ref="F1374">INDEX(E$5:E$67,MATCH($B1374,$B$5:$B$67,0))</f>
        <v>1483</v>
      </c>
      <c r="G1374" s="25">
        <f t="array" ref="G1374">INDEX(F$5:F$67,MATCH($B1374,$B$5:$B$67,0))</f>
        <v>118.64</v>
      </c>
      <c r="H1374" s="25">
        <f t="array" ref="H1374">INDEX(G$5:G$66,MATCH($B1374,$B$5:$B$67,0))</f>
        <v>1152</v>
      </c>
      <c r="I1374" s="25">
        <f t="array" ref="I1374">INDEX(H$5:H$67,MATCH($B1374,$B$5:$B$67,0))</f>
        <v>92.16</v>
      </c>
      <c r="J1374" s="25">
        <f t="array" ref="J1374">INDEX(I$5:I$67,MATCH($B1374,$B$5:$B$67,0))</f>
        <v>784</v>
      </c>
      <c r="K1374" s="25">
        <f t="array" ref="K1374">INDEX(J$5:J$67,MATCH($B1374,$B$5:$B$67,0))</f>
        <v>62.72</v>
      </c>
      <c r="L1374" s="25">
        <f t="shared" si="659"/>
        <v>11919</v>
      </c>
      <c r="M1374" s="25">
        <f t="shared" si="660"/>
        <v>5754</v>
      </c>
      <c r="N1374" s="25">
        <f t="shared" si="661"/>
        <v>4470</v>
      </c>
      <c r="O1374" s="25">
        <f t="shared" si="662"/>
        <v>3042</v>
      </c>
      <c r="R1374" s="50"/>
      <c r="S1374" s="51"/>
      <c r="T1374" s="29"/>
    </row>
    <row r="1375" spans="1:20">
      <c r="A1375" s="48">
        <v>1026037</v>
      </c>
      <c r="B1375" s="49" t="s">
        <v>356</v>
      </c>
      <c r="C1375" s="25">
        <f t="shared" si="658"/>
        <v>37</v>
      </c>
      <c r="D1375" s="25">
        <f t="array" ref="D1375">INDEX(C$5:C$67,MATCH($B1375,$B$5:$B$67,0))</f>
        <v>3072</v>
      </c>
      <c r="E1375" s="25">
        <f t="array" ref="E1375">INDEX(D$5:D$67,MATCH($B1375,$B$5:$B$67,0))</f>
        <v>245.76</v>
      </c>
      <c r="F1375" s="25">
        <f t="array" ref="F1375">INDEX(E$5:E$67,MATCH($B1375,$B$5:$B$67,0))</f>
        <v>1483</v>
      </c>
      <c r="G1375" s="25">
        <f t="array" ref="G1375">INDEX(F$5:F$67,MATCH($B1375,$B$5:$B$67,0))</f>
        <v>118.64</v>
      </c>
      <c r="H1375" s="25">
        <f t="array" ref="H1375">INDEX(G$5:G$66,MATCH($B1375,$B$5:$B$67,0))</f>
        <v>1152</v>
      </c>
      <c r="I1375" s="25">
        <f t="array" ref="I1375">INDEX(H$5:H$67,MATCH($B1375,$B$5:$B$67,0))</f>
        <v>92.16</v>
      </c>
      <c r="J1375" s="25">
        <f t="array" ref="J1375">INDEX(I$5:I$67,MATCH($B1375,$B$5:$B$67,0))</f>
        <v>784</v>
      </c>
      <c r="K1375" s="25">
        <f t="array" ref="K1375">INDEX(J$5:J$67,MATCH($B1375,$B$5:$B$67,0))</f>
        <v>62.72</v>
      </c>
      <c r="L1375" s="25">
        <f t="shared" si="659"/>
        <v>12165</v>
      </c>
      <c r="M1375" s="25">
        <f t="shared" si="660"/>
        <v>5873</v>
      </c>
      <c r="N1375" s="25">
        <f t="shared" si="661"/>
        <v>4562</v>
      </c>
      <c r="O1375" s="25">
        <f t="shared" si="662"/>
        <v>3105</v>
      </c>
      <c r="R1375" s="50"/>
      <c r="S1375" s="51"/>
      <c r="T1375" s="29"/>
    </row>
    <row r="1376" spans="1:20">
      <c r="A1376" s="48">
        <v>1026038</v>
      </c>
      <c r="B1376" s="49" t="s">
        <v>356</v>
      </c>
      <c r="C1376" s="25">
        <f t="shared" si="658"/>
        <v>38</v>
      </c>
      <c r="D1376" s="25">
        <f t="array" ref="D1376">INDEX(C$5:C$67,MATCH($B1376,$B$5:$B$67,0))</f>
        <v>3072</v>
      </c>
      <c r="E1376" s="25">
        <f t="array" ref="E1376">INDEX(D$5:D$67,MATCH($B1376,$B$5:$B$67,0))</f>
        <v>245.76</v>
      </c>
      <c r="F1376" s="25">
        <f t="array" ref="F1376">INDEX(E$5:E$67,MATCH($B1376,$B$5:$B$67,0))</f>
        <v>1483</v>
      </c>
      <c r="G1376" s="25">
        <f t="array" ref="G1376">INDEX(F$5:F$67,MATCH($B1376,$B$5:$B$67,0))</f>
        <v>118.64</v>
      </c>
      <c r="H1376" s="25">
        <f t="array" ref="H1376">INDEX(G$5:G$66,MATCH($B1376,$B$5:$B$67,0))</f>
        <v>1152</v>
      </c>
      <c r="I1376" s="25">
        <f t="array" ref="I1376">INDEX(H$5:H$67,MATCH($B1376,$B$5:$B$67,0))</f>
        <v>92.16</v>
      </c>
      <c r="J1376" s="25">
        <f t="array" ref="J1376">INDEX(I$5:I$67,MATCH($B1376,$B$5:$B$67,0))</f>
        <v>784</v>
      </c>
      <c r="K1376" s="25">
        <f t="array" ref="K1376">INDEX(J$5:J$67,MATCH($B1376,$B$5:$B$67,0))</f>
        <v>62.72</v>
      </c>
      <c r="L1376" s="25">
        <f t="shared" si="659"/>
        <v>12411</v>
      </c>
      <c r="M1376" s="25">
        <f t="shared" si="660"/>
        <v>5991</v>
      </c>
      <c r="N1376" s="25">
        <f t="shared" si="661"/>
        <v>4654</v>
      </c>
      <c r="O1376" s="25">
        <f t="shared" si="662"/>
        <v>3167</v>
      </c>
      <c r="R1376" s="50"/>
      <c r="S1376" s="51"/>
      <c r="T1376" s="29"/>
    </row>
    <row r="1377" spans="1:20">
      <c r="A1377" s="48">
        <v>1026039</v>
      </c>
      <c r="B1377" s="49" t="s">
        <v>356</v>
      </c>
      <c r="C1377" s="25">
        <f t="shared" si="658"/>
        <v>39</v>
      </c>
      <c r="D1377" s="25">
        <f t="array" ref="D1377">INDEX(C$5:C$67,MATCH($B1377,$B$5:$B$67,0))</f>
        <v>3072</v>
      </c>
      <c r="E1377" s="25">
        <f t="array" ref="E1377">INDEX(D$5:D$67,MATCH($B1377,$B$5:$B$67,0))</f>
        <v>245.76</v>
      </c>
      <c r="F1377" s="25">
        <f t="array" ref="F1377">INDEX(E$5:E$67,MATCH($B1377,$B$5:$B$67,0))</f>
        <v>1483</v>
      </c>
      <c r="G1377" s="25">
        <f t="array" ref="G1377">INDEX(F$5:F$67,MATCH($B1377,$B$5:$B$67,0))</f>
        <v>118.64</v>
      </c>
      <c r="H1377" s="25">
        <f t="array" ref="H1377">INDEX(G$5:G$66,MATCH($B1377,$B$5:$B$67,0))</f>
        <v>1152</v>
      </c>
      <c r="I1377" s="25">
        <f t="array" ref="I1377">INDEX(H$5:H$67,MATCH($B1377,$B$5:$B$67,0))</f>
        <v>92.16</v>
      </c>
      <c r="J1377" s="25">
        <f t="array" ref="J1377">INDEX(I$5:I$67,MATCH($B1377,$B$5:$B$67,0))</f>
        <v>784</v>
      </c>
      <c r="K1377" s="25">
        <f t="array" ref="K1377">INDEX(J$5:J$67,MATCH($B1377,$B$5:$B$67,0))</f>
        <v>62.72</v>
      </c>
      <c r="L1377" s="25">
        <f t="shared" si="659"/>
        <v>12657</v>
      </c>
      <c r="M1377" s="25">
        <f t="shared" si="660"/>
        <v>6110</v>
      </c>
      <c r="N1377" s="25">
        <f t="shared" si="661"/>
        <v>4746</v>
      </c>
      <c r="O1377" s="25">
        <f t="shared" si="662"/>
        <v>3230</v>
      </c>
      <c r="R1377" s="50"/>
      <c r="S1377" s="51"/>
      <c r="T1377" s="29"/>
    </row>
    <row r="1378" spans="1:20">
      <c r="A1378" s="48">
        <v>1026040</v>
      </c>
      <c r="B1378" s="49" t="s">
        <v>356</v>
      </c>
      <c r="C1378" s="25">
        <f t="shared" si="658"/>
        <v>40</v>
      </c>
      <c r="D1378" s="25">
        <f t="array" ref="D1378">INDEX(C$5:C$67,MATCH($B1378,$B$5:$B$67,0))</f>
        <v>3072</v>
      </c>
      <c r="E1378" s="25">
        <f t="array" ref="E1378">INDEX(D$5:D$67,MATCH($B1378,$B$5:$B$67,0))</f>
        <v>245.76</v>
      </c>
      <c r="F1378" s="25">
        <f t="array" ref="F1378">INDEX(E$5:E$67,MATCH($B1378,$B$5:$B$67,0))</f>
        <v>1483</v>
      </c>
      <c r="G1378" s="25">
        <f t="array" ref="G1378">INDEX(F$5:F$67,MATCH($B1378,$B$5:$B$67,0))</f>
        <v>118.64</v>
      </c>
      <c r="H1378" s="25">
        <f t="array" ref="H1378">INDEX(G$5:G$66,MATCH($B1378,$B$5:$B$67,0))</f>
        <v>1152</v>
      </c>
      <c r="I1378" s="25">
        <f t="array" ref="I1378">INDEX(H$5:H$67,MATCH($B1378,$B$5:$B$67,0))</f>
        <v>92.16</v>
      </c>
      <c r="J1378" s="25">
        <f t="array" ref="J1378">INDEX(I$5:I$67,MATCH($B1378,$B$5:$B$67,0))</f>
        <v>784</v>
      </c>
      <c r="K1378" s="25">
        <f t="array" ref="K1378">INDEX(J$5:J$67,MATCH($B1378,$B$5:$B$67,0))</f>
        <v>62.72</v>
      </c>
      <c r="L1378" s="25">
        <f t="shared" si="659"/>
        <v>12902</v>
      </c>
      <c r="M1378" s="25">
        <f t="shared" si="660"/>
        <v>6229</v>
      </c>
      <c r="N1378" s="25">
        <f t="shared" si="661"/>
        <v>4838</v>
      </c>
      <c r="O1378" s="25">
        <f t="shared" si="662"/>
        <v>3293</v>
      </c>
      <c r="R1378" s="50"/>
      <c r="S1378" s="51"/>
      <c r="T1378" s="29"/>
    </row>
    <row r="1379" spans="1:20">
      <c r="A1379" s="48">
        <v>1026041</v>
      </c>
      <c r="B1379" s="49" t="s">
        <v>356</v>
      </c>
      <c r="C1379" s="25">
        <f t="shared" si="658"/>
        <v>41</v>
      </c>
      <c r="D1379" s="25">
        <f t="array" ref="D1379">INDEX(C$5:C$67,MATCH($B1379,$B$5:$B$67,0))</f>
        <v>3072</v>
      </c>
      <c r="E1379" s="25">
        <f t="array" ref="E1379">INDEX(D$5:D$67,MATCH($B1379,$B$5:$B$67,0))</f>
        <v>245.76</v>
      </c>
      <c r="F1379" s="25">
        <f t="array" ref="F1379">INDEX(E$5:E$67,MATCH($B1379,$B$5:$B$67,0))</f>
        <v>1483</v>
      </c>
      <c r="G1379" s="25">
        <f t="array" ref="G1379">INDEX(F$5:F$67,MATCH($B1379,$B$5:$B$67,0))</f>
        <v>118.64</v>
      </c>
      <c r="H1379" s="25">
        <f t="array" ref="H1379">INDEX(G$5:G$66,MATCH($B1379,$B$5:$B$67,0))</f>
        <v>1152</v>
      </c>
      <c r="I1379" s="25">
        <f t="array" ref="I1379">INDEX(H$5:H$67,MATCH($B1379,$B$5:$B$67,0))</f>
        <v>92.16</v>
      </c>
      <c r="J1379" s="25">
        <f t="array" ref="J1379">INDEX(I$5:I$67,MATCH($B1379,$B$5:$B$67,0))</f>
        <v>784</v>
      </c>
      <c r="K1379" s="25">
        <f t="array" ref="K1379">INDEX(J$5:J$67,MATCH($B1379,$B$5:$B$67,0))</f>
        <v>62.72</v>
      </c>
      <c r="L1379" s="25">
        <f t="shared" si="659"/>
        <v>13148</v>
      </c>
      <c r="M1379" s="25">
        <f t="shared" si="660"/>
        <v>6347</v>
      </c>
      <c r="N1379" s="25">
        <f t="shared" si="661"/>
        <v>4931</v>
      </c>
      <c r="O1379" s="25">
        <f t="shared" si="662"/>
        <v>3356</v>
      </c>
      <c r="R1379" s="50"/>
      <c r="S1379" s="51"/>
      <c r="T1379" s="29"/>
    </row>
    <row r="1380" spans="1:20">
      <c r="A1380" s="48">
        <v>1026042</v>
      </c>
      <c r="B1380" s="49" t="s">
        <v>356</v>
      </c>
      <c r="C1380" s="25">
        <f t="shared" si="658"/>
        <v>42</v>
      </c>
      <c r="D1380" s="25">
        <f t="array" ref="D1380">INDEX(C$5:C$67,MATCH($B1380,$B$5:$B$67,0))</f>
        <v>3072</v>
      </c>
      <c r="E1380" s="25">
        <f t="array" ref="E1380">INDEX(D$5:D$67,MATCH($B1380,$B$5:$B$67,0))</f>
        <v>245.76</v>
      </c>
      <c r="F1380" s="25">
        <f t="array" ref="F1380">INDEX(E$5:E$67,MATCH($B1380,$B$5:$B$67,0))</f>
        <v>1483</v>
      </c>
      <c r="G1380" s="25">
        <f t="array" ref="G1380">INDEX(F$5:F$67,MATCH($B1380,$B$5:$B$67,0))</f>
        <v>118.64</v>
      </c>
      <c r="H1380" s="25">
        <f t="array" ref="H1380">INDEX(G$5:G$66,MATCH($B1380,$B$5:$B$67,0))</f>
        <v>1152</v>
      </c>
      <c r="I1380" s="25">
        <f t="array" ref="I1380">INDEX(H$5:H$67,MATCH($B1380,$B$5:$B$67,0))</f>
        <v>92.16</v>
      </c>
      <c r="J1380" s="25">
        <f t="array" ref="J1380">INDEX(I$5:I$67,MATCH($B1380,$B$5:$B$67,0))</f>
        <v>784</v>
      </c>
      <c r="K1380" s="25">
        <f t="array" ref="K1380">INDEX(J$5:J$67,MATCH($B1380,$B$5:$B$67,0))</f>
        <v>62.72</v>
      </c>
      <c r="L1380" s="25">
        <f t="shared" si="659"/>
        <v>13394</v>
      </c>
      <c r="M1380" s="25">
        <f t="shared" si="660"/>
        <v>6466</v>
      </c>
      <c r="N1380" s="25">
        <f t="shared" si="661"/>
        <v>5023</v>
      </c>
      <c r="O1380" s="25">
        <f t="shared" si="662"/>
        <v>3418</v>
      </c>
      <c r="R1380" s="50"/>
      <c r="S1380" s="51"/>
      <c r="T1380" s="29"/>
    </row>
    <row r="1381" spans="1:20">
      <c r="A1381" s="48">
        <v>1026043</v>
      </c>
      <c r="B1381" s="49" t="s">
        <v>356</v>
      </c>
      <c r="C1381" s="25">
        <f t="shared" si="658"/>
        <v>43</v>
      </c>
      <c r="D1381" s="25">
        <f t="array" ref="D1381">INDEX(C$5:C$67,MATCH($B1381,$B$5:$B$67,0))</f>
        <v>3072</v>
      </c>
      <c r="E1381" s="25">
        <f t="array" ref="E1381">INDEX(D$5:D$67,MATCH($B1381,$B$5:$B$67,0))</f>
        <v>245.76</v>
      </c>
      <c r="F1381" s="25">
        <f t="array" ref="F1381">INDEX(E$5:E$67,MATCH($B1381,$B$5:$B$67,0))</f>
        <v>1483</v>
      </c>
      <c r="G1381" s="25">
        <f t="array" ref="G1381">INDEX(F$5:F$67,MATCH($B1381,$B$5:$B$67,0))</f>
        <v>118.64</v>
      </c>
      <c r="H1381" s="25">
        <f t="array" ref="H1381">INDEX(G$5:G$66,MATCH($B1381,$B$5:$B$67,0))</f>
        <v>1152</v>
      </c>
      <c r="I1381" s="25">
        <f t="array" ref="I1381">INDEX(H$5:H$67,MATCH($B1381,$B$5:$B$67,0))</f>
        <v>92.16</v>
      </c>
      <c r="J1381" s="25">
        <f t="array" ref="J1381">INDEX(I$5:I$67,MATCH($B1381,$B$5:$B$67,0))</f>
        <v>784</v>
      </c>
      <c r="K1381" s="25">
        <f t="array" ref="K1381">INDEX(J$5:J$67,MATCH($B1381,$B$5:$B$67,0))</f>
        <v>62.72</v>
      </c>
      <c r="L1381" s="25">
        <f t="shared" si="659"/>
        <v>13640</v>
      </c>
      <c r="M1381" s="25">
        <f t="shared" si="660"/>
        <v>6585</v>
      </c>
      <c r="N1381" s="25">
        <f t="shared" si="661"/>
        <v>5115</v>
      </c>
      <c r="O1381" s="25">
        <f t="shared" si="662"/>
        <v>3481</v>
      </c>
      <c r="R1381" s="50"/>
      <c r="S1381" s="51"/>
      <c r="T1381" s="29"/>
    </row>
    <row r="1382" spans="1:20">
      <c r="A1382" s="48">
        <v>1026044</v>
      </c>
      <c r="B1382" s="49" t="s">
        <v>356</v>
      </c>
      <c r="C1382" s="25">
        <f t="shared" si="658"/>
        <v>44</v>
      </c>
      <c r="D1382" s="25">
        <f t="array" ref="D1382">INDEX(C$5:C$67,MATCH($B1382,$B$5:$B$67,0))</f>
        <v>3072</v>
      </c>
      <c r="E1382" s="25">
        <f t="array" ref="E1382">INDEX(D$5:D$67,MATCH($B1382,$B$5:$B$67,0))</f>
        <v>245.76</v>
      </c>
      <c r="F1382" s="25">
        <f t="array" ref="F1382">INDEX(E$5:E$67,MATCH($B1382,$B$5:$B$67,0))</f>
        <v>1483</v>
      </c>
      <c r="G1382" s="25">
        <f t="array" ref="G1382">INDEX(F$5:F$67,MATCH($B1382,$B$5:$B$67,0))</f>
        <v>118.64</v>
      </c>
      <c r="H1382" s="25">
        <f t="array" ref="H1382">INDEX(G$5:G$66,MATCH($B1382,$B$5:$B$67,0))</f>
        <v>1152</v>
      </c>
      <c r="I1382" s="25">
        <f t="array" ref="I1382">INDEX(H$5:H$67,MATCH($B1382,$B$5:$B$67,0))</f>
        <v>92.16</v>
      </c>
      <c r="J1382" s="25">
        <f t="array" ref="J1382">INDEX(I$5:I$67,MATCH($B1382,$B$5:$B$67,0))</f>
        <v>784</v>
      </c>
      <c r="K1382" s="25">
        <f t="array" ref="K1382">INDEX(J$5:J$67,MATCH($B1382,$B$5:$B$67,0))</f>
        <v>62.72</v>
      </c>
      <c r="L1382" s="25">
        <f t="shared" si="659"/>
        <v>13885</v>
      </c>
      <c r="M1382" s="25">
        <f t="shared" si="660"/>
        <v>6703</v>
      </c>
      <c r="N1382" s="25">
        <f t="shared" si="661"/>
        <v>5207</v>
      </c>
      <c r="O1382" s="25">
        <f t="shared" si="662"/>
        <v>3544</v>
      </c>
      <c r="R1382" s="50"/>
      <c r="S1382" s="51"/>
      <c r="T1382" s="29"/>
    </row>
    <row r="1383" spans="1:20">
      <c r="A1383" s="48">
        <v>1026045</v>
      </c>
      <c r="B1383" s="49" t="s">
        <v>356</v>
      </c>
      <c r="C1383" s="25">
        <f t="shared" si="658"/>
        <v>45</v>
      </c>
      <c r="D1383" s="25">
        <f t="array" ref="D1383">INDEX(C$5:C$67,MATCH($B1383,$B$5:$B$67,0))</f>
        <v>3072</v>
      </c>
      <c r="E1383" s="25">
        <f t="array" ref="E1383">INDEX(D$5:D$67,MATCH($B1383,$B$5:$B$67,0))</f>
        <v>245.76</v>
      </c>
      <c r="F1383" s="25">
        <f t="array" ref="F1383">INDEX(E$5:E$67,MATCH($B1383,$B$5:$B$67,0))</f>
        <v>1483</v>
      </c>
      <c r="G1383" s="25">
        <f t="array" ref="G1383">INDEX(F$5:F$67,MATCH($B1383,$B$5:$B$67,0))</f>
        <v>118.64</v>
      </c>
      <c r="H1383" s="25">
        <f t="array" ref="H1383">INDEX(G$5:G$66,MATCH($B1383,$B$5:$B$67,0))</f>
        <v>1152</v>
      </c>
      <c r="I1383" s="25">
        <f t="array" ref="I1383">INDEX(H$5:H$67,MATCH($B1383,$B$5:$B$67,0))</f>
        <v>92.16</v>
      </c>
      <c r="J1383" s="25">
        <f t="array" ref="J1383">INDEX(I$5:I$67,MATCH($B1383,$B$5:$B$67,0))</f>
        <v>784</v>
      </c>
      <c r="K1383" s="25">
        <f t="array" ref="K1383">INDEX(J$5:J$67,MATCH($B1383,$B$5:$B$67,0))</f>
        <v>62.72</v>
      </c>
      <c r="L1383" s="25">
        <f t="shared" si="659"/>
        <v>14131</v>
      </c>
      <c r="M1383" s="25">
        <f t="shared" si="660"/>
        <v>6822</v>
      </c>
      <c r="N1383" s="25">
        <f t="shared" si="661"/>
        <v>5299</v>
      </c>
      <c r="O1383" s="25">
        <f t="shared" si="662"/>
        <v>3606</v>
      </c>
      <c r="R1383" s="50"/>
      <c r="S1383" s="51"/>
      <c r="T1383" s="29"/>
    </row>
    <row r="1384" spans="1:20">
      <c r="A1384" s="48">
        <v>1026046</v>
      </c>
      <c r="B1384" s="49" t="s">
        <v>356</v>
      </c>
      <c r="C1384" s="25">
        <f t="shared" si="658"/>
        <v>46</v>
      </c>
      <c r="D1384" s="25">
        <f t="array" ref="D1384">INDEX(C$5:C$67,MATCH($B1384,$B$5:$B$67,0))</f>
        <v>3072</v>
      </c>
      <c r="E1384" s="25">
        <f t="array" ref="E1384">INDEX(D$5:D$67,MATCH($B1384,$B$5:$B$67,0))</f>
        <v>245.76</v>
      </c>
      <c r="F1384" s="25">
        <f t="array" ref="F1384">INDEX(E$5:E$67,MATCH($B1384,$B$5:$B$67,0))</f>
        <v>1483</v>
      </c>
      <c r="G1384" s="25">
        <f t="array" ref="G1384">INDEX(F$5:F$67,MATCH($B1384,$B$5:$B$67,0))</f>
        <v>118.64</v>
      </c>
      <c r="H1384" s="25">
        <f t="array" ref="H1384">INDEX(G$5:G$66,MATCH($B1384,$B$5:$B$67,0))</f>
        <v>1152</v>
      </c>
      <c r="I1384" s="25">
        <f t="array" ref="I1384">INDEX(H$5:H$67,MATCH($B1384,$B$5:$B$67,0))</f>
        <v>92.16</v>
      </c>
      <c r="J1384" s="25">
        <f t="array" ref="J1384">INDEX(I$5:I$67,MATCH($B1384,$B$5:$B$67,0))</f>
        <v>784</v>
      </c>
      <c r="K1384" s="25">
        <f t="array" ref="K1384">INDEX(J$5:J$67,MATCH($B1384,$B$5:$B$67,0))</f>
        <v>62.72</v>
      </c>
      <c r="L1384" s="25">
        <f t="shared" si="659"/>
        <v>14377</v>
      </c>
      <c r="M1384" s="25">
        <f t="shared" si="660"/>
        <v>6940</v>
      </c>
      <c r="N1384" s="25">
        <f t="shared" si="661"/>
        <v>5391</v>
      </c>
      <c r="O1384" s="25">
        <f t="shared" si="662"/>
        <v>3669</v>
      </c>
      <c r="R1384" s="50"/>
      <c r="S1384" s="51"/>
      <c r="T1384" s="29"/>
    </row>
    <row r="1385" spans="1:20">
      <c r="A1385" s="48">
        <v>1026047</v>
      </c>
      <c r="B1385" s="49" t="s">
        <v>356</v>
      </c>
      <c r="C1385" s="25">
        <f t="shared" si="658"/>
        <v>47</v>
      </c>
      <c r="D1385" s="25">
        <f t="array" ref="D1385">INDEX(C$5:C$67,MATCH($B1385,$B$5:$B$67,0))</f>
        <v>3072</v>
      </c>
      <c r="E1385" s="25">
        <f t="array" ref="E1385">INDEX(D$5:D$67,MATCH($B1385,$B$5:$B$67,0))</f>
        <v>245.76</v>
      </c>
      <c r="F1385" s="25">
        <f t="array" ref="F1385">INDEX(E$5:E$67,MATCH($B1385,$B$5:$B$67,0))</f>
        <v>1483</v>
      </c>
      <c r="G1385" s="25">
        <f t="array" ref="G1385">INDEX(F$5:F$67,MATCH($B1385,$B$5:$B$67,0))</f>
        <v>118.64</v>
      </c>
      <c r="H1385" s="25">
        <f t="array" ref="H1385">INDEX(G$5:G$66,MATCH($B1385,$B$5:$B$67,0))</f>
        <v>1152</v>
      </c>
      <c r="I1385" s="25">
        <f t="array" ref="I1385">INDEX(H$5:H$67,MATCH($B1385,$B$5:$B$67,0))</f>
        <v>92.16</v>
      </c>
      <c r="J1385" s="25">
        <f t="array" ref="J1385">INDEX(I$5:I$67,MATCH($B1385,$B$5:$B$67,0))</f>
        <v>784</v>
      </c>
      <c r="K1385" s="25">
        <f t="array" ref="K1385">INDEX(J$5:J$67,MATCH($B1385,$B$5:$B$67,0))</f>
        <v>62.72</v>
      </c>
      <c r="L1385" s="25">
        <f t="shared" si="659"/>
        <v>14623</v>
      </c>
      <c r="M1385" s="25">
        <f t="shared" si="660"/>
        <v>7059</v>
      </c>
      <c r="N1385" s="25">
        <f t="shared" si="661"/>
        <v>5484</v>
      </c>
      <c r="O1385" s="25">
        <f t="shared" si="662"/>
        <v>3732</v>
      </c>
      <c r="R1385" s="50"/>
      <c r="S1385" s="51"/>
      <c r="T1385" s="29"/>
    </row>
    <row r="1386" spans="1:20">
      <c r="A1386" s="48">
        <v>1026048</v>
      </c>
      <c r="B1386" s="49" t="s">
        <v>356</v>
      </c>
      <c r="C1386" s="25">
        <f t="shared" si="658"/>
        <v>48</v>
      </c>
      <c r="D1386" s="25">
        <f t="array" ref="D1386">INDEX(C$5:C$67,MATCH($B1386,$B$5:$B$67,0))</f>
        <v>3072</v>
      </c>
      <c r="E1386" s="25">
        <f t="array" ref="E1386">INDEX(D$5:D$67,MATCH($B1386,$B$5:$B$67,0))</f>
        <v>245.76</v>
      </c>
      <c r="F1386" s="25">
        <f t="array" ref="F1386">INDEX(E$5:E$67,MATCH($B1386,$B$5:$B$67,0))</f>
        <v>1483</v>
      </c>
      <c r="G1386" s="25">
        <f t="array" ref="G1386">INDEX(F$5:F$67,MATCH($B1386,$B$5:$B$67,0))</f>
        <v>118.64</v>
      </c>
      <c r="H1386" s="25">
        <f t="array" ref="H1386">INDEX(G$5:G$66,MATCH($B1386,$B$5:$B$67,0))</f>
        <v>1152</v>
      </c>
      <c r="I1386" s="25">
        <f t="array" ref="I1386">INDEX(H$5:H$67,MATCH($B1386,$B$5:$B$67,0))</f>
        <v>92.16</v>
      </c>
      <c r="J1386" s="25">
        <f t="array" ref="J1386">INDEX(I$5:I$67,MATCH($B1386,$B$5:$B$67,0))</f>
        <v>784</v>
      </c>
      <c r="K1386" s="25">
        <f t="array" ref="K1386">INDEX(J$5:J$67,MATCH($B1386,$B$5:$B$67,0))</f>
        <v>62.72</v>
      </c>
      <c r="L1386" s="25">
        <f t="shared" si="659"/>
        <v>14868</v>
      </c>
      <c r="M1386" s="25">
        <f t="shared" si="660"/>
        <v>7178</v>
      </c>
      <c r="N1386" s="25">
        <f t="shared" si="661"/>
        <v>5576</v>
      </c>
      <c r="O1386" s="25">
        <f t="shared" si="662"/>
        <v>3795</v>
      </c>
      <c r="R1386" s="50"/>
      <c r="S1386" s="51"/>
      <c r="T1386" s="29"/>
    </row>
    <row r="1387" spans="1:20">
      <c r="A1387" s="48">
        <v>1026049</v>
      </c>
      <c r="B1387" s="49" t="s">
        <v>356</v>
      </c>
      <c r="C1387" s="25">
        <f t="shared" si="658"/>
        <v>49</v>
      </c>
      <c r="D1387" s="25">
        <f t="array" ref="D1387">INDEX(C$5:C$67,MATCH($B1387,$B$5:$B$67,0))</f>
        <v>3072</v>
      </c>
      <c r="E1387" s="25">
        <f t="array" ref="E1387">INDEX(D$5:D$67,MATCH($B1387,$B$5:$B$67,0))</f>
        <v>245.76</v>
      </c>
      <c r="F1387" s="25">
        <f t="array" ref="F1387">INDEX(E$5:E$67,MATCH($B1387,$B$5:$B$67,0))</f>
        <v>1483</v>
      </c>
      <c r="G1387" s="25">
        <f t="array" ref="G1387">INDEX(F$5:F$67,MATCH($B1387,$B$5:$B$67,0))</f>
        <v>118.64</v>
      </c>
      <c r="H1387" s="25">
        <f t="array" ref="H1387">INDEX(G$5:G$66,MATCH($B1387,$B$5:$B$67,0))</f>
        <v>1152</v>
      </c>
      <c r="I1387" s="25">
        <f t="array" ref="I1387">INDEX(H$5:H$67,MATCH($B1387,$B$5:$B$67,0))</f>
        <v>92.16</v>
      </c>
      <c r="J1387" s="25">
        <f t="array" ref="J1387">INDEX(I$5:I$67,MATCH($B1387,$B$5:$B$67,0))</f>
        <v>784</v>
      </c>
      <c r="K1387" s="25">
        <f t="array" ref="K1387">INDEX(J$5:J$67,MATCH($B1387,$B$5:$B$67,0))</f>
        <v>62.72</v>
      </c>
      <c r="L1387" s="25">
        <f t="shared" si="659"/>
        <v>15114</v>
      </c>
      <c r="M1387" s="25">
        <f t="shared" si="660"/>
        <v>7296</v>
      </c>
      <c r="N1387" s="25">
        <f t="shared" si="661"/>
        <v>5668</v>
      </c>
      <c r="O1387" s="25">
        <f t="shared" si="662"/>
        <v>3857</v>
      </c>
      <c r="R1387" s="50"/>
      <c r="S1387" s="51"/>
      <c r="T1387" s="29"/>
    </row>
    <row r="1388" spans="1:20">
      <c r="A1388" s="48">
        <v>1026050</v>
      </c>
      <c r="B1388" s="49" t="s">
        <v>356</v>
      </c>
      <c r="C1388" s="25">
        <f t="shared" si="658"/>
        <v>50</v>
      </c>
      <c r="D1388" s="25">
        <f t="array" ref="D1388">INDEX(C$5:C$67,MATCH($B1388,$B$5:$B$67,0))</f>
        <v>3072</v>
      </c>
      <c r="E1388" s="25">
        <f t="array" ref="E1388">INDEX(D$5:D$67,MATCH($B1388,$B$5:$B$67,0))</f>
        <v>245.76</v>
      </c>
      <c r="F1388" s="25">
        <f t="array" ref="F1388">INDEX(E$5:E$67,MATCH($B1388,$B$5:$B$67,0))</f>
        <v>1483</v>
      </c>
      <c r="G1388" s="25">
        <f t="array" ref="G1388">INDEX(F$5:F$67,MATCH($B1388,$B$5:$B$67,0))</f>
        <v>118.64</v>
      </c>
      <c r="H1388" s="25">
        <f t="array" ref="H1388">INDEX(G$5:G$66,MATCH($B1388,$B$5:$B$67,0))</f>
        <v>1152</v>
      </c>
      <c r="I1388" s="25">
        <f t="array" ref="I1388">INDEX(H$5:H$67,MATCH($B1388,$B$5:$B$67,0))</f>
        <v>92.16</v>
      </c>
      <c r="J1388" s="25">
        <f t="array" ref="J1388">INDEX(I$5:I$67,MATCH($B1388,$B$5:$B$67,0))</f>
        <v>784</v>
      </c>
      <c r="K1388" s="25">
        <f t="array" ref="K1388">INDEX(J$5:J$67,MATCH($B1388,$B$5:$B$67,0))</f>
        <v>62.72</v>
      </c>
      <c r="L1388" s="25">
        <f t="shared" si="659"/>
        <v>15360</v>
      </c>
      <c r="M1388" s="25">
        <f t="shared" si="660"/>
        <v>7415</v>
      </c>
      <c r="N1388" s="25">
        <f t="shared" si="661"/>
        <v>5760</v>
      </c>
      <c r="O1388" s="25">
        <f t="shared" si="662"/>
        <v>3920</v>
      </c>
      <c r="R1388" s="50"/>
      <c r="S1388" s="51"/>
      <c r="T1388" s="29"/>
    </row>
    <row r="1389" spans="1:20">
      <c r="A1389" s="48">
        <v>1026051</v>
      </c>
      <c r="B1389" s="49" t="s">
        <v>356</v>
      </c>
      <c r="C1389" s="25">
        <f t="shared" si="658"/>
        <v>51</v>
      </c>
      <c r="D1389" s="25">
        <f t="array" ref="D1389">INDEX(C$5:C$67,MATCH($B1389,$B$5:$B$67,0))</f>
        <v>3072</v>
      </c>
      <c r="E1389" s="25">
        <f t="array" ref="E1389">INDEX(D$5:D$67,MATCH($B1389,$B$5:$B$67,0))</f>
        <v>245.76</v>
      </c>
      <c r="F1389" s="25">
        <f t="array" ref="F1389">INDEX(E$5:E$67,MATCH($B1389,$B$5:$B$67,0))</f>
        <v>1483</v>
      </c>
      <c r="G1389" s="25">
        <f t="array" ref="G1389">INDEX(F$5:F$67,MATCH($B1389,$B$5:$B$67,0))</f>
        <v>118.64</v>
      </c>
      <c r="H1389" s="25">
        <f t="array" ref="H1389">INDEX(G$5:G$66,MATCH($B1389,$B$5:$B$67,0))</f>
        <v>1152</v>
      </c>
      <c r="I1389" s="25">
        <f t="array" ref="I1389">INDEX(H$5:H$67,MATCH($B1389,$B$5:$B$67,0))</f>
        <v>92.16</v>
      </c>
      <c r="J1389" s="25">
        <f t="array" ref="J1389">INDEX(I$5:I$67,MATCH($B1389,$B$5:$B$67,0))</f>
        <v>784</v>
      </c>
      <c r="K1389" s="25">
        <f t="array" ref="K1389">INDEX(J$5:J$67,MATCH($B1389,$B$5:$B$67,0))</f>
        <v>62.72</v>
      </c>
      <c r="L1389" s="25">
        <f t="shared" si="659"/>
        <v>15606</v>
      </c>
      <c r="M1389" s="25">
        <f t="shared" si="660"/>
        <v>7534</v>
      </c>
      <c r="N1389" s="25">
        <f t="shared" si="661"/>
        <v>5852</v>
      </c>
      <c r="O1389" s="25">
        <f t="shared" si="662"/>
        <v>3983</v>
      </c>
      <c r="R1389" s="50"/>
      <c r="S1389" s="51"/>
      <c r="T1389" s="29"/>
    </row>
    <row r="1390" spans="1:20">
      <c r="A1390" s="48">
        <v>1026052</v>
      </c>
      <c r="B1390" s="49" t="s">
        <v>356</v>
      </c>
      <c r="C1390" s="25">
        <f t="shared" si="658"/>
        <v>52</v>
      </c>
      <c r="D1390" s="25">
        <f t="array" ref="D1390">INDEX(C$5:C$67,MATCH($B1390,$B$5:$B$67,0))</f>
        <v>3072</v>
      </c>
      <c r="E1390" s="25">
        <f t="array" ref="E1390">INDEX(D$5:D$67,MATCH($B1390,$B$5:$B$67,0))</f>
        <v>245.76</v>
      </c>
      <c r="F1390" s="25">
        <f t="array" ref="F1390">INDEX(E$5:E$67,MATCH($B1390,$B$5:$B$67,0))</f>
        <v>1483</v>
      </c>
      <c r="G1390" s="25">
        <f t="array" ref="G1390">INDEX(F$5:F$67,MATCH($B1390,$B$5:$B$67,0))</f>
        <v>118.64</v>
      </c>
      <c r="H1390" s="25">
        <f t="array" ref="H1390">INDEX(G$5:G$66,MATCH($B1390,$B$5:$B$67,0))</f>
        <v>1152</v>
      </c>
      <c r="I1390" s="25">
        <f t="array" ref="I1390">INDEX(H$5:H$67,MATCH($B1390,$B$5:$B$67,0))</f>
        <v>92.16</v>
      </c>
      <c r="J1390" s="25">
        <f t="array" ref="J1390">INDEX(I$5:I$67,MATCH($B1390,$B$5:$B$67,0))</f>
        <v>784</v>
      </c>
      <c r="K1390" s="25">
        <f t="array" ref="K1390">INDEX(J$5:J$67,MATCH($B1390,$B$5:$B$67,0))</f>
        <v>62.72</v>
      </c>
      <c r="L1390" s="25">
        <f t="shared" si="659"/>
        <v>15852</v>
      </c>
      <c r="M1390" s="25">
        <f t="shared" si="660"/>
        <v>7652</v>
      </c>
      <c r="N1390" s="25">
        <f t="shared" si="661"/>
        <v>5944</v>
      </c>
      <c r="O1390" s="25">
        <f t="shared" si="662"/>
        <v>4045</v>
      </c>
      <c r="R1390" s="50"/>
      <c r="S1390" s="51"/>
      <c r="T1390" s="29"/>
    </row>
    <row r="1391" spans="1:20">
      <c r="A1391" s="48">
        <v>1026053</v>
      </c>
      <c r="B1391" s="49" t="s">
        <v>356</v>
      </c>
      <c r="C1391" s="25">
        <f t="shared" si="658"/>
        <v>53</v>
      </c>
      <c r="D1391" s="25">
        <f t="array" ref="D1391">INDEX(C$5:C$67,MATCH($B1391,$B$5:$B$67,0))</f>
        <v>3072</v>
      </c>
      <c r="E1391" s="25">
        <f t="array" ref="E1391">INDEX(D$5:D$67,MATCH($B1391,$B$5:$B$67,0))</f>
        <v>245.76</v>
      </c>
      <c r="F1391" s="25">
        <f t="array" ref="F1391">INDEX(E$5:E$67,MATCH($B1391,$B$5:$B$67,0))</f>
        <v>1483</v>
      </c>
      <c r="G1391" s="25">
        <f t="array" ref="G1391">INDEX(F$5:F$67,MATCH($B1391,$B$5:$B$67,0))</f>
        <v>118.64</v>
      </c>
      <c r="H1391" s="25">
        <f t="array" ref="H1391">INDEX(G$5:G$66,MATCH($B1391,$B$5:$B$67,0))</f>
        <v>1152</v>
      </c>
      <c r="I1391" s="25">
        <f t="array" ref="I1391">INDEX(H$5:H$67,MATCH($B1391,$B$5:$B$67,0))</f>
        <v>92.16</v>
      </c>
      <c r="J1391" s="25">
        <f t="array" ref="J1391">INDEX(I$5:I$67,MATCH($B1391,$B$5:$B$67,0))</f>
        <v>784</v>
      </c>
      <c r="K1391" s="25">
        <f t="array" ref="K1391">INDEX(J$5:J$67,MATCH($B1391,$B$5:$B$67,0))</f>
        <v>62.72</v>
      </c>
      <c r="L1391" s="25">
        <f t="shared" si="659"/>
        <v>16097</v>
      </c>
      <c r="M1391" s="25">
        <f t="shared" si="660"/>
        <v>7771</v>
      </c>
      <c r="N1391" s="25">
        <f t="shared" si="661"/>
        <v>6036</v>
      </c>
      <c r="O1391" s="25">
        <f t="shared" si="662"/>
        <v>4108</v>
      </c>
      <c r="R1391" s="50"/>
      <c r="S1391" s="51"/>
      <c r="T1391" s="29"/>
    </row>
    <row r="1392" spans="1:20">
      <c r="A1392" s="48">
        <v>1026054</v>
      </c>
      <c r="B1392" s="49" t="s">
        <v>356</v>
      </c>
      <c r="C1392" s="25">
        <f t="shared" si="658"/>
        <v>54</v>
      </c>
      <c r="D1392" s="25">
        <f t="array" ref="D1392">INDEX(C$5:C$67,MATCH($B1392,$B$5:$B$67,0))</f>
        <v>3072</v>
      </c>
      <c r="E1392" s="25">
        <f t="array" ref="E1392">INDEX(D$5:D$67,MATCH($B1392,$B$5:$B$67,0))</f>
        <v>245.76</v>
      </c>
      <c r="F1392" s="25">
        <f t="array" ref="F1392">INDEX(E$5:E$67,MATCH($B1392,$B$5:$B$67,0))</f>
        <v>1483</v>
      </c>
      <c r="G1392" s="25">
        <f t="array" ref="G1392">INDEX(F$5:F$67,MATCH($B1392,$B$5:$B$67,0))</f>
        <v>118.64</v>
      </c>
      <c r="H1392" s="25">
        <f t="array" ref="H1392">INDEX(G$5:G$66,MATCH($B1392,$B$5:$B$67,0))</f>
        <v>1152</v>
      </c>
      <c r="I1392" s="25">
        <f t="array" ref="I1392">INDEX(H$5:H$67,MATCH($B1392,$B$5:$B$67,0))</f>
        <v>92.16</v>
      </c>
      <c r="J1392" s="25">
        <f t="array" ref="J1392">INDEX(I$5:I$67,MATCH($B1392,$B$5:$B$67,0))</f>
        <v>784</v>
      </c>
      <c r="K1392" s="25">
        <f t="array" ref="K1392">INDEX(J$5:J$67,MATCH($B1392,$B$5:$B$67,0))</f>
        <v>62.72</v>
      </c>
      <c r="L1392" s="25">
        <f t="shared" si="659"/>
        <v>16343</v>
      </c>
      <c r="M1392" s="25">
        <f t="shared" si="660"/>
        <v>7890</v>
      </c>
      <c r="N1392" s="25">
        <f t="shared" si="661"/>
        <v>6129</v>
      </c>
      <c r="O1392" s="25">
        <f t="shared" si="662"/>
        <v>4171</v>
      </c>
      <c r="R1392" s="50"/>
      <c r="S1392" s="51"/>
      <c r="T1392" s="29"/>
    </row>
    <row r="1393" spans="1:20">
      <c r="A1393" s="48">
        <v>1026055</v>
      </c>
      <c r="B1393" s="49" t="s">
        <v>356</v>
      </c>
      <c r="C1393" s="25">
        <f t="shared" si="658"/>
        <v>55</v>
      </c>
      <c r="D1393" s="25">
        <f t="array" ref="D1393">INDEX(C$5:C$67,MATCH($B1393,$B$5:$B$67,0))</f>
        <v>3072</v>
      </c>
      <c r="E1393" s="25">
        <f t="array" ref="E1393">INDEX(D$5:D$67,MATCH($B1393,$B$5:$B$67,0))</f>
        <v>245.76</v>
      </c>
      <c r="F1393" s="25">
        <f t="array" ref="F1393">INDEX(E$5:E$67,MATCH($B1393,$B$5:$B$67,0))</f>
        <v>1483</v>
      </c>
      <c r="G1393" s="25">
        <f t="array" ref="G1393">INDEX(F$5:F$67,MATCH($B1393,$B$5:$B$67,0))</f>
        <v>118.64</v>
      </c>
      <c r="H1393" s="25">
        <f t="array" ref="H1393">INDEX(G$5:G$66,MATCH($B1393,$B$5:$B$67,0))</f>
        <v>1152</v>
      </c>
      <c r="I1393" s="25">
        <f t="array" ref="I1393">INDEX(H$5:H$67,MATCH($B1393,$B$5:$B$67,0))</f>
        <v>92.16</v>
      </c>
      <c r="J1393" s="25">
        <f t="array" ref="J1393">INDEX(I$5:I$67,MATCH($B1393,$B$5:$B$67,0))</f>
        <v>784</v>
      </c>
      <c r="K1393" s="25">
        <f t="array" ref="K1393">INDEX(J$5:J$67,MATCH($B1393,$B$5:$B$67,0))</f>
        <v>62.72</v>
      </c>
      <c r="L1393" s="25">
        <f t="shared" si="659"/>
        <v>16589</v>
      </c>
      <c r="M1393" s="25">
        <f t="shared" si="660"/>
        <v>8008</v>
      </c>
      <c r="N1393" s="25">
        <f t="shared" si="661"/>
        <v>6221</v>
      </c>
      <c r="O1393" s="25">
        <f t="shared" si="662"/>
        <v>4234</v>
      </c>
      <c r="R1393" s="50"/>
      <c r="S1393" s="51"/>
      <c r="T1393" s="29"/>
    </row>
    <row r="1394" spans="1:20">
      <c r="A1394" s="48">
        <v>1026056</v>
      </c>
      <c r="B1394" s="49" t="s">
        <v>356</v>
      </c>
      <c r="C1394" s="25">
        <f t="shared" si="658"/>
        <v>56</v>
      </c>
      <c r="D1394" s="25">
        <f t="array" ref="D1394">INDEX(C$5:C$67,MATCH($B1394,$B$5:$B$67,0))</f>
        <v>3072</v>
      </c>
      <c r="E1394" s="25">
        <f t="array" ref="E1394">INDEX(D$5:D$67,MATCH($B1394,$B$5:$B$67,0))</f>
        <v>245.76</v>
      </c>
      <c r="F1394" s="25">
        <f t="array" ref="F1394">INDEX(E$5:E$67,MATCH($B1394,$B$5:$B$67,0))</f>
        <v>1483</v>
      </c>
      <c r="G1394" s="25">
        <f t="array" ref="G1394">INDEX(F$5:F$67,MATCH($B1394,$B$5:$B$67,0))</f>
        <v>118.64</v>
      </c>
      <c r="H1394" s="25">
        <f t="array" ref="H1394">INDEX(G$5:G$66,MATCH($B1394,$B$5:$B$67,0))</f>
        <v>1152</v>
      </c>
      <c r="I1394" s="25">
        <f t="array" ref="I1394">INDEX(H$5:H$67,MATCH($B1394,$B$5:$B$67,0))</f>
        <v>92.16</v>
      </c>
      <c r="J1394" s="25">
        <f t="array" ref="J1394">INDEX(I$5:I$67,MATCH($B1394,$B$5:$B$67,0))</f>
        <v>784</v>
      </c>
      <c r="K1394" s="25">
        <f t="array" ref="K1394">INDEX(J$5:J$67,MATCH($B1394,$B$5:$B$67,0))</f>
        <v>62.72</v>
      </c>
      <c r="L1394" s="25">
        <f t="shared" si="659"/>
        <v>16835</v>
      </c>
      <c r="M1394" s="25">
        <f t="shared" si="660"/>
        <v>8127</v>
      </c>
      <c r="N1394" s="25">
        <f t="shared" si="661"/>
        <v>6313</v>
      </c>
      <c r="O1394" s="25">
        <f t="shared" si="662"/>
        <v>4296</v>
      </c>
      <c r="R1394" s="50"/>
      <c r="S1394" s="51"/>
      <c r="T1394" s="29"/>
    </row>
    <row r="1395" spans="1:20">
      <c r="A1395" s="48">
        <v>1026057</v>
      </c>
      <c r="B1395" s="49" t="s">
        <v>356</v>
      </c>
      <c r="C1395" s="25">
        <f t="shared" si="658"/>
        <v>57</v>
      </c>
      <c r="D1395" s="25">
        <f t="array" ref="D1395">INDEX(C$5:C$67,MATCH($B1395,$B$5:$B$67,0))</f>
        <v>3072</v>
      </c>
      <c r="E1395" s="25">
        <f t="array" ref="E1395">INDEX(D$5:D$67,MATCH($B1395,$B$5:$B$67,0))</f>
        <v>245.76</v>
      </c>
      <c r="F1395" s="25">
        <f t="array" ref="F1395">INDEX(E$5:E$67,MATCH($B1395,$B$5:$B$67,0))</f>
        <v>1483</v>
      </c>
      <c r="G1395" s="25">
        <f t="array" ref="G1395">INDEX(F$5:F$67,MATCH($B1395,$B$5:$B$67,0))</f>
        <v>118.64</v>
      </c>
      <c r="H1395" s="25">
        <f t="array" ref="H1395">INDEX(G$5:G$66,MATCH($B1395,$B$5:$B$67,0))</f>
        <v>1152</v>
      </c>
      <c r="I1395" s="25">
        <f t="array" ref="I1395">INDEX(H$5:H$67,MATCH($B1395,$B$5:$B$67,0))</f>
        <v>92.16</v>
      </c>
      <c r="J1395" s="25">
        <f t="array" ref="J1395">INDEX(I$5:I$67,MATCH($B1395,$B$5:$B$67,0))</f>
        <v>784</v>
      </c>
      <c r="K1395" s="25">
        <f t="array" ref="K1395">INDEX(J$5:J$67,MATCH($B1395,$B$5:$B$67,0))</f>
        <v>62.72</v>
      </c>
      <c r="L1395" s="25">
        <f t="shared" si="659"/>
        <v>17080</v>
      </c>
      <c r="M1395" s="25">
        <f t="shared" si="660"/>
        <v>8245</v>
      </c>
      <c r="N1395" s="25">
        <f t="shared" si="661"/>
        <v>6405</v>
      </c>
      <c r="O1395" s="25">
        <f t="shared" si="662"/>
        <v>4359</v>
      </c>
      <c r="R1395" s="50"/>
      <c r="S1395" s="51"/>
      <c r="T1395" s="29"/>
    </row>
    <row r="1396" spans="1:20">
      <c r="A1396" s="48">
        <v>1026058</v>
      </c>
      <c r="B1396" s="49" t="s">
        <v>356</v>
      </c>
      <c r="C1396" s="25">
        <f t="shared" si="658"/>
        <v>58</v>
      </c>
      <c r="D1396" s="25">
        <f t="array" ref="D1396">INDEX(C$5:C$67,MATCH($B1396,$B$5:$B$67,0))</f>
        <v>3072</v>
      </c>
      <c r="E1396" s="25">
        <f t="array" ref="E1396">INDEX(D$5:D$67,MATCH($B1396,$B$5:$B$67,0))</f>
        <v>245.76</v>
      </c>
      <c r="F1396" s="25">
        <f t="array" ref="F1396">INDEX(E$5:E$67,MATCH($B1396,$B$5:$B$67,0))</f>
        <v>1483</v>
      </c>
      <c r="G1396" s="25">
        <f t="array" ref="G1396">INDEX(F$5:F$67,MATCH($B1396,$B$5:$B$67,0))</f>
        <v>118.64</v>
      </c>
      <c r="H1396" s="25">
        <f t="array" ref="H1396">INDEX(G$5:G$66,MATCH($B1396,$B$5:$B$67,0))</f>
        <v>1152</v>
      </c>
      <c r="I1396" s="25">
        <f t="array" ref="I1396">INDEX(H$5:H$67,MATCH($B1396,$B$5:$B$67,0))</f>
        <v>92.16</v>
      </c>
      <c r="J1396" s="25">
        <f t="array" ref="J1396">INDEX(I$5:I$67,MATCH($B1396,$B$5:$B$67,0))</f>
        <v>784</v>
      </c>
      <c r="K1396" s="25">
        <f t="array" ref="K1396">INDEX(J$5:J$67,MATCH($B1396,$B$5:$B$67,0))</f>
        <v>62.72</v>
      </c>
      <c r="L1396" s="25">
        <f t="shared" si="659"/>
        <v>17326</v>
      </c>
      <c r="M1396" s="25">
        <f t="shared" si="660"/>
        <v>8364</v>
      </c>
      <c r="N1396" s="25">
        <f t="shared" si="661"/>
        <v>6497</v>
      </c>
      <c r="O1396" s="25">
        <f t="shared" si="662"/>
        <v>4422</v>
      </c>
      <c r="R1396" s="50"/>
      <c r="S1396" s="51"/>
      <c r="T1396" s="29"/>
    </row>
    <row r="1397" spans="1:20">
      <c r="A1397" s="48">
        <v>1026059</v>
      </c>
      <c r="B1397" s="49" t="s">
        <v>356</v>
      </c>
      <c r="C1397" s="25">
        <f t="shared" si="658"/>
        <v>59</v>
      </c>
      <c r="D1397" s="25">
        <f t="array" ref="D1397">INDEX(C$5:C$67,MATCH($B1397,$B$5:$B$67,0))</f>
        <v>3072</v>
      </c>
      <c r="E1397" s="25">
        <f t="array" ref="E1397">INDEX(D$5:D$67,MATCH($B1397,$B$5:$B$67,0))</f>
        <v>245.76</v>
      </c>
      <c r="F1397" s="25">
        <f t="array" ref="F1397">INDEX(E$5:E$67,MATCH($B1397,$B$5:$B$67,0))</f>
        <v>1483</v>
      </c>
      <c r="G1397" s="25">
        <f t="array" ref="G1397">INDEX(F$5:F$67,MATCH($B1397,$B$5:$B$67,0))</f>
        <v>118.64</v>
      </c>
      <c r="H1397" s="25">
        <f t="array" ref="H1397">INDEX(G$5:G$66,MATCH($B1397,$B$5:$B$67,0))</f>
        <v>1152</v>
      </c>
      <c r="I1397" s="25">
        <f t="array" ref="I1397">INDEX(H$5:H$67,MATCH($B1397,$B$5:$B$67,0))</f>
        <v>92.16</v>
      </c>
      <c r="J1397" s="25">
        <f t="array" ref="J1397">INDEX(I$5:I$67,MATCH($B1397,$B$5:$B$67,0))</f>
        <v>784</v>
      </c>
      <c r="K1397" s="25">
        <f t="array" ref="K1397">INDEX(J$5:J$67,MATCH($B1397,$B$5:$B$67,0))</f>
        <v>62.72</v>
      </c>
      <c r="L1397" s="25">
        <f t="shared" si="659"/>
        <v>17572</v>
      </c>
      <c r="M1397" s="25">
        <f t="shared" si="660"/>
        <v>8483</v>
      </c>
      <c r="N1397" s="25">
        <f t="shared" si="661"/>
        <v>6589</v>
      </c>
      <c r="O1397" s="25">
        <f t="shared" si="662"/>
        <v>4484</v>
      </c>
      <c r="R1397" s="50"/>
      <c r="S1397" s="51"/>
      <c r="T1397" s="29"/>
    </row>
    <row r="1398" spans="1:20">
      <c r="A1398" s="48">
        <v>1026060</v>
      </c>
      <c r="B1398" s="49" t="s">
        <v>356</v>
      </c>
      <c r="C1398" s="25">
        <f t="shared" si="658"/>
        <v>60</v>
      </c>
      <c r="D1398" s="25">
        <f t="array" ref="D1398">INDEX(C$5:C$67,MATCH($B1398,$B$5:$B$67,0))</f>
        <v>3072</v>
      </c>
      <c r="E1398" s="25">
        <f t="array" ref="E1398">INDEX(D$5:D$67,MATCH($B1398,$B$5:$B$67,0))</f>
        <v>245.76</v>
      </c>
      <c r="F1398" s="25">
        <f t="array" ref="F1398">INDEX(E$5:E$67,MATCH($B1398,$B$5:$B$67,0))</f>
        <v>1483</v>
      </c>
      <c r="G1398" s="25">
        <f t="array" ref="G1398">INDEX(F$5:F$67,MATCH($B1398,$B$5:$B$67,0))</f>
        <v>118.64</v>
      </c>
      <c r="H1398" s="25">
        <f t="array" ref="H1398">INDEX(G$5:G$66,MATCH($B1398,$B$5:$B$67,0))</f>
        <v>1152</v>
      </c>
      <c r="I1398" s="25">
        <f t="array" ref="I1398">INDEX(H$5:H$67,MATCH($B1398,$B$5:$B$67,0))</f>
        <v>92.16</v>
      </c>
      <c r="J1398" s="25">
        <f t="array" ref="J1398">INDEX(I$5:I$67,MATCH($B1398,$B$5:$B$67,0))</f>
        <v>784</v>
      </c>
      <c r="K1398" s="25">
        <f t="array" ref="K1398">INDEX(J$5:J$67,MATCH($B1398,$B$5:$B$67,0))</f>
        <v>62.72</v>
      </c>
      <c r="L1398" s="25">
        <f t="shared" si="659"/>
        <v>17818</v>
      </c>
      <c r="M1398" s="25">
        <f t="shared" si="660"/>
        <v>8601</v>
      </c>
      <c r="N1398" s="25">
        <f t="shared" si="661"/>
        <v>6682</v>
      </c>
      <c r="O1398" s="25">
        <f t="shared" si="662"/>
        <v>4547</v>
      </c>
      <c r="R1398" s="50"/>
      <c r="S1398" s="51"/>
      <c r="T1398" s="29"/>
    </row>
    <row r="1399" spans="1:20">
      <c r="A1399" s="48">
        <v>1029001</v>
      </c>
      <c r="B1399" s="49" t="s">
        <v>357</v>
      </c>
      <c r="C1399" s="25">
        <f t="shared" si="658"/>
        <v>1</v>
      </c>
      <c r="D1399" s="25">
        <f t="array" ref="D1399">INDEX(C$5:C$67,MATCH($B1399,$B$5:$B$67,0))</f>
        <v>4620</v>
      </c>
      <c r="E1399" s="25">
        <f t="array" ref="E1399">INDEX(D$5:D$67,MATCH($B1399,$B$5:$B$67,0))</f>
        <v>369.6</v>
      </c>
      <c r="F1399" s="25">
        <f t="array" ref="F1399">INDEX(E$5:E$67,MATCH($B1399,$B$5:$B$67,0))</f>
        <v>775</v>
      </c>
      <c r="G1399" s="25">
        <f t="array" ref="G1399">INDEX(F$5:F$67,MATCH($B1399,$B$5:$B$67,0))</f>
        <v>62</v>
      </c>
      <c r="H1399" s="25">
        <f t="array" ref="H1399">INDEX(G$5:G$66,MATCH($B1399,$B$5:$B$67,0))</f>
        <v>969</v>
      </c>
      <c r="I1399" s="25">
        <f t="array" ref="I1399">INDEX(H$5:H$67,MATCH($B1399,$B$5:$B$67,0))</f>
        <v>77.52</v>
      </c>
      <c r="J1399" s="25">
        <f t="array" ref="J1399">INDEX(I$5:I$67,MATCH($B1399,$B$5:$B$67,0))</f>
        <v>798</v>
      </c>
      <c r="K1399" s="25">
        <f t="array" ref="K1399">INDEX(J$5:J$67,MATCH($B1399,$B$5:$B$67,0))</f>
        <v>63.84</v>
      </c>
      <c r="L1399" s="25">
        <f t="shared" si="659"/>
        <v>4990</v>
      </c>
      <c r="M1399" s="25">
        <f t="shared" si="660"/>
        <v>837</v>
      </c>
      <c r="N1399" s="25">
        <f t="shared" si="661"/>
        <v>1047</v>
      </c>
      <c r="O1399" s="25">
        <f t="shared" si="662"/>
        <v>862</v>
      </c>
      <c r="R1399" s="50"/>
      <c r="S1399" s="51"/>
      <c r="T1399" s="29"/>
    </row>
    <row r="1400" spans="1:20">
      <c r="A1400" s="48">
        <v>1029002</v>
      </c>
      <c r="B1400" s="49" t="s">
        <v>357</v>
      </c>
      <c r="C1400" s="25">
        <f t="shared" si="658"/>
        <v>2</v>
      </c>
      <c r="D1400" s="25">
        <f t="array" ref="D1400">INDEX(C$5:C$67,MATCH($B1400,$B$5:$B$67,0))</f>
        <v>4620</v>
      </c>
      <c r="E1400" s="25">
        <f t="array" ref="E1400">INDEX(D$5:D$67,MATCH($B1400,$B$5:$B$67,0))</f>
        <v>369.6</v>
      </c>
      <c r="F1400" s="25">
        <f t="array" ref="F1400">INDEX(E$5:E$67,MATCH($B1400,$B$5:$B$67,0))</f>
        <v>775</v>
      </c>
      <c r="G1400" s="25">
        <f t="array" ref="G1400">INDEX(F$5:F$67,MATCH($B1400,$B$5:$B$67,0))</f>
        <v>62</v>
      </c>
      <c r="H1400" s="25">
        <f t="array" ref="H1400">INDEX(G$5:G$66,MATCH($B1400,$B$5:$B$67,0))</f>
        <v>969</v>
      </c>
      <c r="I1400" s="25">
        <f t="array" ref="I1400">INDEX(H$5:H$67,MATCH($B1400,$B$5:$B$67,0))</f>
        <v>77.52</v>
      </c>
      <c r="J1400" s="25">
        <f t="array" ref="J1400">INDEX(I$5:I$67,MATCH($B1400,$B$5:$B$67,0))</f>
        <v>798</v>
      </c>
      <c r="K1400" s="25">
        <f t="array" ref="K1400">INDEX(J$5:J$67,MATCH($B1400,$B$5:$B$67,0))</f>
        <v>63.84</v>
      </c>
      <c r="L1400" s="25">
        <f t="shared" si="659"/>
        <v>5359</v>
      </c>
      <c r="M1400" s="25">
        <f t="shared" si="660"/>
        <v>899</v>
      </c>
      <c r="N1400" s="25">
        <f t="shared" si="661"/>
        <v>1124</v>
      </c>
      <c r="O1400" s="25">
        <f t="shared" si="662"/>
        <v>926</v>
      </c>
      <c r="R1400" s="50"/>
      <c r="S1400" s="51"/>
      <c r="T1400" s="29"/>
    </row>
    <row r="1401" spans="1:20">
      <c r="A1401" s="48">
        <v>1029003</v>
      </c>
      <c r="B1401" s="49" t="s">
        <v>357</v>
      </c>
      <c r="C1401" s="25">
        <f t="shared" si="658"/>
        <v>3</v>
      </c>
      <c r="D1401" s="25">
        <f t="array" ref="D1401">INDEX(C$5:C$67,MATCH($B1401,$B$5:$B$67,0))</f>
        <v>4620</v>
      </c>
      <c r="E1401" s="25">
        <f t="array" ref="E1401">INDEX(D$5:D$67,MATCH($B1401,$B$5:$B$67,0))</f>
        <v>369.6</v>
      </c>
      <c r="F1401" s="25">
        <f t="array" ref="F1401">INDEX(E$5:E$67,MATCH($B1401,$B$5:$B$67,0))</f>
        <v>775</v>
      </c>
      <c r="G1401" s="25">
        <f t="array" ref="G1401">INDEX(F$5:F$67,MATCH($B1401,$B$5:$B$67,0))</f>
        <v>62</v>
      </c>
      <c r="H1401" s="25">
        <f t="array" ref="H1401">INDEX(G$5:G$66,MATCH($B1401,$B$5:$B$67,0))</f>
        <v>969</v>
      </c>
      <c r="I1401" s="25">
        <f t="array" ref="I1401">INDEX(H$5:H$67,MATCH($B1401,$B$5:$B$67,0))</f>
        <v>77.52</v>
      </c>
      <c r="J1401" s="25">
        <f t="array" ref="J1401">INDEX(I$5:I$67,MATCH($B1401,$B$5:$B$67,0))</f>
        <v>798</v>
      </c>
      <c r="K1401" s="25">
        <f t="array" ref="K1401">INDEX(J$5:J$67,MATCH($B1401,$B$5:$B$67,0))</f>
        <v>63.84</v>
      </c>
      <c r="L1401" s="25">
        <f t="shared" si="659"/>
        <v>5729</v>
      </c>
      <c r="M1401" s="25">
        <f t="shared" si="660"/>
        <v>961</v>
      </c>
      <c r="N1401" s="25">
        <f t="shared" si="661"/>
        <v>1202</v>
      </c>
      <c r="O1401" s="25">
        <f t="shared" si="662"/>
        <v>990</v>
      </c>
      <c r="R1401" s="50"/>
      <c r="S1401" s="51"/>
      <c r="T1401" s="29"/>
    </row>
    <row r="1402" spans="1:20">
      <c r="A1402" s="48">
        <v>1029004</v>
      </c>
      <c r="B1402" s="49" t="s">
        <v>357</v>
      </c>
      <c r="C1402" s="25">
        <f t="shared" si="658"/>
        <v>4</v>
      </c>
      <c r="D1402" s="25">
        <f t="array" ref="D1402">INDEX(C$5:C$67,MATCH($B1402,$B$5:$B$67,0))</f>
        <v>4620</v>
      </c>
      <c r="E1402" s="25">
        <f t="array" ref="E1402">INDEX(D$5:D$67,MATCH($B1402,$B$5:$B$67,0))</f>
        <v>369.6</v>
      </c>
      <c r="F1402" s="25">
        <f t="array" ref="F1402">INDEX(E$5:E$67,MATCH($B1402,$B$5:$B$67,0))</f>
        <v>775</v>
      </c>
      <c r="G1402" s="25">
        <f t="array" ref="G1402">INDEX(F$5:F$67,MATCH($B1402,$B$5:$B$67,0))</f>
        <v>62</v>
      </c>
      <c r="H1402" s="25">
        <f t="array" ref="H1402">INDEX(G$5:G$66,MATCH($B1402,$B$5:$B$67,0))</f>
        <v>969</v>
      </c>
      <c r="I1402" s="25">
        <f t="array" ref="I1402">INDEX(H$5:H$67,MATCH($B1402,$B$5:$B$67,0))</f>
        <v>77.52</v>
      </c>
      <c r="J1402" s="25">
        <f t="array" ref="J1402">INDEX(I$5:I$67,MATCH($B1402,$B$5:$B$67,0))</f>
        <v>798</v>
      </c>
      <c r="K1402" s="25">
        <f t="array" ref="K1402">INDEX(J$5:J$67,MATCH($B1402,$B$5:$B$67,0))</f>
        <v>63.84</v>
      </c>
      <c r="L1402" s="25">
        <f t="shared" si="659"/>
        <v>6098</v>
      </c>
      <c r="M1402" s="25">
        <f t="shared" si="660"/>
        <v>1023</v>
      </c>
      <c r="N1402" s="25">
        <f t="shared" si="661"/>
        <v>1279</v>
      </c>
      <c r="O1402" s="25">
        <f t="shared" si="662"/>
        <v>1053</v>
      </c>
      <c r="R1402" s="50"/>
      <c r="S1402" s="51"/>
      <c r="T1402" s="29"/>
    </row>
    <row r="1403" spans="1:20">
      <c r="A1403" s="48">
        <v>1029005</v>
      </c>
      <c r="B1403" s="49" t="s">
        <v>357</v>
      </c>
      <c r="C1403" s="25">
        <f t="shared" si="658"/>
        <v>5</v>
      </c>
      <c r="D1403" s="25">
        <f t="array" ref="D1403">INDEX(C$5:C$67,MATCH($B1403,$B$5:$B$67,0))</f>
        <v>4620</v>
      </c>
      <c r="E1403" s="25">
        <f t="array" ref="E1403">INDEX(D$5:D$67,MATCH($B1403,$B$5:$B$67,0))</f>
        <v>369.6</v>
      </c>
      <c r="F1403" s="25">
        <f t="array" ref="F1403">INDEX(E$5:E$67,MATCH($B1403,$B$5:$B$67,0))</f>
        <v>775</v>
      </c>
      <c r="G1403" s="25">
        <f t="array" ref="G1403">INDEX(F$5:F$67,MATCH($B1403,$B$5:$B$67,0))</f>
        <v>62</v>
      </c>
      <c r="H1403" s="25">
        <f t="array" ref="H1403">INDEX(G$5:G$66,MATCH($B1403,$B$5:$B$67,0))</f>
        <v>969</v>
      </c>
      <c r="I1403" s="25">
        <f t="array" ref="I1403">INDEX(H$5:H$67,MATCH($B1403,$B$5:$B$67,0))</f>
        <v>77.52</v>
      </c>
      <c r="J1403" s="25">
        <f t="array" ref="J1403">INDEX(I$5:I$67,MATCH($B1403,$B$5:$B$67,0))</f>
        <v>798</v>
      </c>
      <c r="K1403" s="25">
        <f t="array" ref="K1403">INDEX(J$5:J$67,MATCH($B1403,$B$5:$B$67,0))</f>
        <v>63.84</v>
      </c>
      <c r="L1403" s="25">
        <f t="shared" si="659"/>
        <v>6468</v>
      </c>
      <c r="M1403" s="25">
        <f t="shared" si="660"/>
        <v>1085</v>
      </c>
      <c r="N1403" s="25">
        <f t="shared" si="661"/>
        <v>1357</v>
      </c>
      <c r="O1403" s="25">
        <f t="shared" si="662"/>
        <v>1117</v>
      </c>
      <c r="R1403" s="50"/>
      <c r="S1403" s="51"/>
      <c r="T1403" s="29"/>
    </row>
    <row r="1404" spans="1:20">
      <c r="A1404" s="48">
        <v>1029006</v>
      </c>
      <c r="B1404" s="49" t="s">
        <v>357</v>
      </c>
      <c r="C1404" s="25">
        <f t="shared" si="658"/>
        <v>6</v>
      </c>
      <c r="D1404" s="25">
        <f t="array" ref="D1404">INDEX(C$5:C$67,MATCH($B1404,$B$5:$B$67,0))</f>
        <v>4620</v>
      </c>
      <c r="E1404" s="25">
        <f t="array" ref="E1404">INDEX(D$5:D$67,MATCH($B1404,$B$5:$B$67,0))</f>
        <v>369.6</v>
      </c>
      <c r="F1404" s="25">
        <f t="array" ref="F1404">INDEX(E$5:E$67,MATCH($B1404,$B$5:$B$67,0))</f>
        <v>775</v>
      </c>
      <c r="G1404" s="25">
        <f t="array" ref="G1404">INDEX(F$5:F$67,MATCH($B1404,$B$5:$B$67,0))</f>
        <v>62</v>
      </c>
      <c r="H1404" s="25">
        <f t="array" ref="H1404">INDEX(G$5:G$66,MATCH($B1404,$B$5:$B$67,0))</f>
        <v>969</v>
      </c>
      <c r="I1404" s="25">
        <f t="array" ref="I1404">INDEX(H$5:H$67,MATCH($B1404,$B$5:$B$67,0))</f>
        <v>77.52</v>
      </c>
      <c r="J1404" s="25">
        <f t="array" ref="J1404">INDEX(I$5:I$67,MATCH($B1404,$B$5:$B$67,0))</f>
        <v>798</v>
      </c>
      <c r="K1404" s="25">
        <f t="array" ref="K1404">INDEX(J$5:J$67,MATCH($B1404,$B$5:$B$67,0))</f>
        <v>63.84</v>
      </c>
      <c r="L1404" s="25">
        <f t="shared" si="659"/>
        <v>6838</v>
      </c>
      <c r="M1404" s="25">
        <f t="shared" si="660"/>
        <v>1147</v>
      </c>
      <c r="N1404" s="25">
        <f t="shared" si="661"/>
        <v>1434</v>
      </c>
      <c r="O1404" s="25">
        <f t="shared" si="662"/>
        <v>1181</v>
      </c>
      <c r="R1404" s="50"/>
      <c r="S1404" s="51"/>
      <c r="T1404" s="29"/>
    </row>
    <row r="1405" spans="1:20">
      <c r="A1405" s="48">
        <v>1029007</v>
      </c>
      <c r="B1405" s="49" t="s">
        <v>357</v>
      </c>
      <c r="C1405" s="25">
        <f t="shared" si="658"/>
        <v>7</v>
      </c>
      <c r="D1405" s="25">
        <f t="array" ref="D1405">INDEX(C$5:C$67,MATCH($B1405,$B$5:$B$67,0))</f>
        <v>4620</v>
      </c>
      <c r="E1405" s="25">
        <f t="array" ref="E1405">INDEX(D$5:D$67,MATCH($B1405,$B$5:$B$67,0))</f>
        <v>369.6</v>
      </c>
      <c r="F1405" s="25">
        <f t="array" ref="F1405">INDEX(E$5:E$67,MATCH($B1405,$B$5:$B$67,0))</f>
        <v>775</v>
      </c>
      <c r="G1405" s="25">
        <f t="array" ref="G1405">INDEX(F$5:F$67,MATCH($B1405,$B$5:$B$67,0))</f>
        <v>62</v>
      </c>
      <c r="H1405" s="25">
        <f t="array" ref="H1405">INDEX(G$5:G$66,MATCH($B1405,$B$5:$B$67,0))</f>
        <v>969</v>
      </c>
      <c r="I1405" s="25">
        <f t="array" ref="I1405">INDEX(H$5:H$67,MATCH($B1405,$B$5:$B$67,0))</f>
        <v>77.52</v>
      </c>
      <c r="J1405" s="25">
        <f t="array" ref="J1405">INDEX(I$5:I$67,MATCH($B1405,$B$5:$B$67,0))</f>
        <v>798</v>
      </c>
      <c r="K1405" s="25">
        <f t="array" ref="K1405">INDEX(J$5:J$67,MATCH($B1405,$B$5:$B$67,0))</f>
        <v>63.84</v>
      </c>
      <c r="L1405" s="25">
        <f t="shared" si="659"/>
        <v>7207</v>
      </c>
      <c r="M1405" s="25">
        <f t="shared" si="660"/>
        <v>1209</v>
      </c>
      <c r="N1405" s="25">
        <f t="shared" si="661"/>
        <v>1512</v>
      </c>
      <c r="O1405" s="25">
        <f t="shared" si="662"/>
        <v>1245</v>
      </c>
      <c r="R1405" s="50"/>
      <c r="S1405" s="51"/>
      <c r="T1405" s="29"/>
    </row>
    <row r="1406" spans="1:20">
      <c r="A1406" s="48">
        <v>1029008</v>
      </c>
      <c r="B1406" s="49" t="s">
        <v>357</v>
      </c>
      <c r="C1406" s="25">
        <f t="shared" si="658"/>
        <v>8</v>
      </c>
      <c r="D1406" s="25">
        <f t="array" ref="D1406">INDEX(C$5:C$67,MATCH($B1406,$B$5:$B$67,0))</f>
        <v>4620</v>
      </c>
      <c r="E1406" s="25">
        <f t="array" ref="E1406">INDEX(D$5:D$67,MATCH($B1406,$B$5:$B$67,0))</f>
        <v>369.6</v>
      </c>
      <c r="F1406" s="25">
        <f t="array" ref="F1406">INDEX(E$5:E$67,MATCH($B1406,$B$5:$B$67,0))</f>
        <v>775</v>
      </c>
      <c r="G1406" s="25">
        <f t="array" ref="G1406">INDEX(F$5:F$67,MATCH($B1406,$B$5:$B$67,0))</f>
        <v>62</v>
      </c>
      <c r="H1406" s="25">
        <f t="array" ref="H1406">INDEX(G$5:G$66,MATCH($B1406,$B$5:$B$67,0))</f>
        <v>969</v>
      </c>
      <c r="I1406" s="25">
        <f t="array" ref="I1406">INDEX(H$5:H$67,MATCH($B1406,$B$5:$B$67,0))</f>
        <v>77.52</v>
      </c>
      <c r="J1406" s="25">
        <f t="array" ref="J1406">INDEX(I$5:I$67,MATCH($B1406,$B$5:$B$67,0))</f>
        <v>798</v>
      </c>
      <c r="K1406" s="25">
        <f t="array" ref="K1406">INDEX(J$5:J$67,MATCH($B1406,$B$5:$B$67,0))</f>
        <v>63.84</v>
      </c>
      <c r="L1406" s="25">
        <f t="shared" si="659"/>
        <v>7577</v>
      </c>
      <c r="M1406" s="25">
        <f t="shared" si="660"/>
        <v>1271</v>
      </c>
      <c r="N1406" s="25">
        <f t="shared" si="661"/>
        <v>1589</v>
      </c>
      <c r="O1406" s="25">
        <f t="shared" si="662"/>
        <v>1309</v>
      </c>
      <c r="R1406" s="50"/>
      <c r="S1406" s="51"/>
      <c r="T1406" s="29"/>
    </row>
    <row r="1407" spans="1:20">
      <c r="A1407" s="48">
        <v>1029009</v>
      </c>
      <c r="B1407" s="49" t="s">
        <v>357</v>
      </c>
      <c r="C1407" s="25">
        <f t="shared" si="658"/>
        <v>9</v>
      </c>
      <c r="D1407" s="25">
        <f t="array" ref="D1407">INDEX(C$5:C$67,MATCH($B1407,$B$5:$B$67,0))</f>
        <v>4620</v>
      </c>
      <c r="E1407" s="25">
        <f t="array" ref="E1407">INDEX(D$5:D$67,MATCH($B1407,$B$5:$B$67,0))</f>
        <v>369.6</v>
      </c>
      <c r="F1407" s="25">
        <f t="array" ref="F1407">INDEX(E$5:E$67,MATCH($B1407,$B$5:$B$67,0))</f>
        <v>775</v>
      </c>
      <c r="G1407" s="25">
        <f t="array" ref="G1407">INDEX(F$5:F$67,MATCH($B1407,$B$5:$B$67,0))</f>
        <v>62</v>
      </c>
      <c r="H1407" s="25">
        <f t="array" ref="H1407">INDEX(G$5:G$66,MATCH($B1407,$B$5:$B$67,0))</f>
        <v>969</v>
      </c>
      <c r="I1407" s="25">
        <f t="array" ref="I1407">INDEX(H$5:H$67,MATCH($B1407,$B$5:$B$67,0))</f>
        <v>77.52</v>
      </c>
      <c r="J1407" s="25">
        <f t="array" ref="J1407">INDEX(I$5:I$67,MATCH($B1407,$B$5:$B$67,0))</f>
        <v>798</v>
      </c>
      <c r="K1407" s="25">
        <f t="array" ref="K1407">INDEX(J$5:J$67,MATCH($B1407,$B$5:$B$67,0))</f>
        <v>63.84</v>
      </c>
      <c r="L1407" s="25">
        <f t="shared" si="659"/>
        <v>7946</v>
      </c>
      <c r="M1407" s="25">
        <f t="shared" si="660"/>
        <v>1333</v>
      </c>
      <c r="N1407" s="25">
        <f t="shared" si="661"/>
        <v>1667</v>
      </c>
      <c r="O1407" s="25">
        <f t="shared" si="662"/>
        <v>1373</v>
      </c>
      <c r="R1407" s="50"/>
      <c r="S1407" s="51"/>
      <c r="T1407" s="29"/>
    </row>
    <row r="1408" spans="1:20">
      <c r="A1408" s="48">
        <v>1029010</v>
      </c>
      <c r="B1408" s="49" t="s">
        <v>357</v>
      </c>
      <c r="C1408" s="25">
        <f t="shared" si="658"/>
        <v>10</v>
      </c>
      <c r="D1408" s="25">
        <f t="array" ref="D1408">INDEX(C$5:C$67,MATCH($B1408,$B$5:$B$67,0))</f>
        <v>4620</v>
      </c>
      <c r="E1408" s="25">
        <f t="array" ref="E1408">INDEX(D$5:D$67,MATCH($B1408,$B$5:$B$67,0))</f>
        <v>369.6</v>
      </c>
      <c r="F1408" s="25">
        <f t="array" ref="F1408">INDEX(E$5:E$67,MATCH($B1408,$B$5:$B$67,0))</f>
        <v>775</v>
      </c>
      <c r="G1408" s="25">
        <f t="array" ref="G1408">INDEX(F$5:F$67,MATCH($B1408,$B$5:$B$67,0))</f>
        <v>62</v>
      </c>
      <c r="H1408" s="25">
        <f t="array" ref="H1408">INDEX(G$5:G$66,MATCH($B1408,$B$5:$B$67,0))</f>
        <v>969</v>
      </c>
      <c r="I1408" s="25">
        <f t="array" ref="I1408">INDEX(H$5:H$67,MATCH($B1408,$B$5:$B$67,0))</f>
        <v>77.52</v>
      </c>
      <c r="J1408" s="25">
        <f t="array" ref="J1408">INDEX(I$5:I$67,MATCH($B1408,$B$5:$B$67,0))</f>
        <v>798</v>
      </c>
      <c r="K1408" s="25">
        <f t="array" ref="K1408">INDEX(J$5:J$67,MATCH($B1408,$B$5:$B$67,0))</f>
        <v>63.84</v>
      </c>
      <c r="L1408" s="25">
        <f t="shared" si="659"/>
        <v>8316</v>
      </c>
      <c r="M1408" s="25">
        <f t="shared" si="660"/>
        <v>1395</v>
      </c>
      <c r="N1408" s="25">
        <f t="shared" si="661"/>
        <v>1744</v>
      </c>
      <c r="O1408" s="25">
        <f t="shared" si="662"/>
        <v>1436</v>
      </c>
      <c r="R1408" s="50"/>
      <c r="S1408" s="51"/>
      <c r="T1408" s="29"/>
    </row>
    <row r="1409" spans="1:20">
      <c r="A1409" s="48">
        <v>1029011</v>
      </c>
      <c r="B1409" s="49" t="s">
        <v>357</v>
      </c>
      <c r="C1409" s="25">
        <f t="shared" si="658"/>
        <v>11</v>
      </c>
      <c r="D1409" s="25">
        <f t="array" ref="D1409">INDEX(C$5:C$67,MATCH($B1409,$B$5:$B$67,0))</f>
        <v>4620</v>
      </c>
      <c r="E1409" s="25">
        <f t="array" ref="E1409">INDEX(D$5:D$67,MATCH($B1409,$B$5:$B$67,0))</f>
        <v>369.6</v>
      </c>
      <c r="F1409" s="25">
        <f t="array" ref="F1409">INDEX(E$5:E$67,MATCH($B1409,$B$5:$B$67,0))</f>
        <v>775</v>
      </c>
      <c r="G1409" s="25">
        <f t="array" ref="G1409">INDEX(F$5:F$67,MATCH($B1409,$B$5:$B$67,0))</f>
        <v>62</v>
      </c>
      <c r="H1409" s="25">
        <f t="array" ref="H1409">INDEX(G$5:G$66,MATCH($B1409,$B$5:$B$67,0))</f>
        <v>969</v>
      </c>
      <c r="I1409" s="25">
        <f t="array" ref="I1409">INDEX(H$5:H$67,MATCH($B1409,$B$5:$B$67,0))</f>
        <v>77.52</v>
      </c>
      <c r="J1409" s="25">
        <f t="array" ref="J1409">INDEX(I$5:I$67,MATCH($B1409,$B$5:$B$67,0))</f>
        <v>798</v>
      </c>
      <c r="K1409" s="25">
        <f t="array" ref="K1409">INDEX(J$5:J$67,MATCH($B1409,$B$5:$B$67,0))</f>
        <v>63.84</v>
      </c>
      <c r="L1409" s="25">
        <f t="shared" si="659"/>
        <v>8686</v>
      </c>
      <c r="M1409" s="25">
        <f t="shared" si="660"/>
        <v>1457</v>
      </c>
      <c r="N1409" s="25">
        <f t="shared" si="661"/>
        <v>1822</v>
      </c>
      <c r="O1409" s="25">
        <f t="shared" si="662"/>
        <v>1500</v>
      </c>
      <c r="R1409" s="50"/>
      <c r="S1409" s="51"/>
      <c r="T1409" s="29"/>
    </row>
    <row r="1410" spans="1:20">
      <c r="A1410" s="48">
        <v>1029012</v>
      </c>
      <c r="B1410" s="49" t="s">
        <v>357</v>
      </c>
      <c r="C1410" s="25">
        <f t="shared" si="658"/>
        <v>12</v>
      </c>
      <c r="D1410" s="25">
        <f t="array" ref="D1410">INDEX(C$5:C$67,MATCH($B1410,$B$5:$B$67,0))</f>
        <v>4620</v>
      </c>
      <c r="E1410" s="25">
        <f t="array" ref="E1410">INDEX(D$5:D$67,MATCH($B1410,$B$5:$B$67,0))</f>
        <v>369.6</v>
      </c>
      <c r="F1410" s="25">
        <f t="array" ref="F1410">INDEX(E$5:E$67,MATCH($B1410,$B$5:$B$67,0))</f>
        <v>775</v>
      </c>
      <c r="G1410" s="25">
        <f t="array" ref="G1410">INDEX(F$5:F$67,MATCH($B1410,$B$5:$B$67,0))</f>
        <v>62</v>
      </c>
      <c r="H1410" s="25">
        <f t="array" ref="H1410">INDEX(G$5:G$66,MATCH($B1410,$B$5:$B$67,0))</f>
        <v>969</v>
      </c>
      <c r="I1410" s="25">
        <f t="array" ref="I1410">INDEX(H$5:H$67,MATCH($B1410,$B$5:$B$67,0))</f>
        <v>77.52</v>
      </c>
      <c r="J1410" s="25">
        <f t="array" ref="J1410">INDEX(I$5:I$67,MATCH($B1410,$B$5:$B$67,0))</f>
        <v>798</v>
      </c>
      <c r="K1410" s="25">
        <f t="array" ref="K1410">INDEX(J$5:J$67,MATCH($B1410,$B$5:$B$67,0))</f>
        <v>63.84</v>
      </c>
      <c r="L1410" s="25">
        <f t="shared" si="659"/>
        <v>9055</v>
      </c>
      <c r="M1410" s="25">
        <f t="shared" si="660"/>
        <v>1519</v>
      </c>
      <c r="N1410" s="25">
        <f t="shared" si="661"/>
        <v>1899</v>
      </c>
      <c r="O1410" s="25">
        <f t="shared" si="662"/>
        <v>1564</v>
      </c>
      <c r="R1410" s="50"/>
      <c r="S1410" s="51"/>
      <c r="T1410" s="29"/>
    </row>
    <row r="1411" spans="1:20">
      <c r="A1411" s="48">
        <v>1029013</v>
      </c>
      <c r="B1411" s="49" t="s">
        <v>357</v>
      </c>
      <c r="C1411" s="25">
        <f t="shared" si="658"/>
        <v>13</v>
      </c>
      <c r="D1411" s="25">
        <f t="array" ref="D1411">INDEX(C$5:C$67,MATCH($B1411,$B$5:$B$67,0))</f>
        <v>4620</v>
      </c>
      <c r="E1411" s="25">
        <f t="array" ref="E1411">INDEX(D$5:D$67,MATCH($B1411,$B$5:$B$67,0))</f>
        <v>369.6</v>
      </c>
      <c r="F1411" s="25">
        <f t="array" ref="F1411">INDEX(E$5:E$67,MATCH($B1411,$B$5:$B$67,0))</f>
        <v>775</v>
      </c>
      <c r="G1411" s="25">
        <f t="array" ref="G1411">INDEX(F$5:F$67,MATCH($B1411,$B$5:$B$67,0))</f>
        <v>62</v>
      </c>
      <c r="H1411" s="25">
        <f t="array" ref="H1411">INDEX(G$5:G$66,MATCH($B1411,$B$5:$B$67,0))</f>
        <v>969</v>
      </c>
      <c r="I1411" s="25">
        <f t="array" ref="I1411">INDEX(H$5:H$67,MATCH($B1411,$B$5:$B$67,0))</f>
        <v>77.52</v>
      </c>
      <c r="J1411" s="25">
        <f t="array" ref="J1411">INDEX(I$5:I$67,MATCH($B1411,$B$5:$B$67,0))</f>
        <v>798</v>
      </c>
      <c r="K1411" s="25">
        <f t="array" ref="K1411">INDEX(J$5:J$67,MATCH($B1411,$B$5:$B$67,0))</f>
        <v>63.84</v>
      </c>
      <c r="L1411" s="25">
        <f t="shared" si="659"/>
        <v>9425</v>
      </c>
      <c r="M1411" s="25">
        <f t="shared" si="660"/>
        <v>1581</v>
      </c>
      <c r="N1411" s="25">
        <f t="shared" si="661"/>
        <v>1977</v>
      </c>
      <c r="O1411" s="25">
        <f t="shared" si="662"/>
        <v>1628</v>
      </c>
      <c r="R1411" s="50"/>
      <c r="S1411" s="51"/>
      <c r="T1411" s="29"/>
    </row>
    <row r="1412" spans="1:20">
      <c r="A1412" s="48">
        <v>1029014</v>
      </c>
      <c r="B1412" s="49" t="s">
        <v>357</v>
      </c>
      <c r="C1412" s="25">
        <f t="shared" si="658"/>
        <v>14</v>
      </c>
      <c r="D1412" s="25">
        <f t="array" ref="D1412">INDEX(C$5:C$67,MATCH($B1412,$B$5:$B$67,0))</f>
        <v>4620</v>
      </c>
      <c r="E1412" s="25">
        <f t="array" ref="E1412">INDEX(D$5:D$67,MATCH($B1412,$B$5:$B$67,0))</f>
        <v>369.6</v>
      </c>
      <c r="F1412" s="25">
        <f t="array" ref="F1412">INDEX(E$5:E$67,MATCH($B1412,$B$5:$B$67,0))</f>
        <v>775</v>
      </c>
      <c r="G1412" s="25">
        <f t="array" ref="G1412">INDEX(F$5:F$67,MATCH($B1412,$B$5:$B$67,0))</f>
        <v>62</v>
      </c>
      <c r="H1412" s="25">
        <f t="array" ref="H1412">INDEX(G$5:G$66,MATCH($B1412,$B$5:$B$67,0))</f>
        <v>969</v>
      </c>
      <c r="I1412" s="25">
        <f t="array" ref="I1412">INDEX(H$5:H$67,MATCH($B1412,$B$5:$B$67,0))</f>
        <v>77.52</v>
      </c>
      <c r="J1412" s="25">
        <f t="array" ref="J1412">INDEX(I$5:I$67,MATCH($B1412,$B$5:$B$67,0))</f>
        <v>798</v>
      </c>
      <c r="K1412" s="25">
        <f t="array" ref="K1412">INDEX(J$5:J$67,MATCH($B1412,$B$5:$B$67,0))</f>
        <v>63.84</v>
      </c>
      <c r="L1412" s="25">
        <f t="shared" si="659"/>
        <v>9794</v>
      </c>
      <c r="M1412" s="25">
        <f t="shared" si="660"/>
        <v>1643</v>
      </c>
      <c r="N1412" s="25">
        <f t="shared" si="661"/>
        <v>2054</v>
      </c>
      <c r="O1412" s="25">
        <f t="shared" si="662"/>
        <v>1692</v>
      </c>
      <c r="R1412" s="50"/>
      <c r="S1412" s="51"/>
      <c r="T1412" s="29"/>
    </row>
    <row r="1413" spans="1:20">
      <c r="A1413" s="48">
        <v>1029015</v>
      </c>
      <c r="B1413" s="49" t="s">
        <v>357</v>
      </c>
      <c r="C1413" s="25">
        <f t="shared" si="658"/>
        <v>15</v>
      </c>
      <c r="D1413" s="25">
        <f t="array" ref="D1413">INDEX(C$5:C$67,MATCH($B1413,$B$5:$B$67,0))</f>
        <v>4620</v>
      </c>
      <c r="E1413" s="25">
        <f t="array" ref="E1413">INDEX(D$5:D$67,MATCH($B1413,$B$5:$B$67,0))</f>
        <v>369.6</v>
      </c>
      <c r="F1413" s="25">
        <f t="array" ref="F1413">INDEX(E$5:E$67,MATCH($B1413,$B$5:$B$67,0))</f>
        <v>775</v>
      </c>
      <c r="G1413" s="25">
        <f t="array" ref="G1413">INDEX(F$5:F$67,MATCH($B1413,$B$5:$B$67,0))</f>
        <v>62</v>
      </c>
      <c r="H1413" s="25">
        <f t="array" ref="H1413">INDEX(G$5:G$66,MATCH($B1413,$B$5:$B$67,0))</f>
        <v>969</v>
      </c>
      <c r="I1413" s="25">
        <f t="array" ref="I1413">INDEX(H$5:H$67,MATCH($B1413,$B$5:$B$67,0))</f>
        <v>77.52</v>
      </c>
      <c r="J1413" s="25">
        <f t="array" ref="J1413">INDEX(I$5:I$67,MATCH($B1413,$B$5:$B$67,0))</f>
        <v>798</v>
      </c>
      <c r="K1413" s="25">
        <f t="array" ref="K1413">INDEX(J$5:J$67,MATCH($B1413,$B$5:$B$67,0))</f>
        <v>63.84</v>
      </c>
      <c r="L1413" s="25">
        <f t="shared" si="659"/>
        <v>10164</v>
      </c>
      <c r="M1413" s="25">
        <f t="shared" si="660"/>
        <v>1705</v>
      </c>
      <c r="N1413" s="25">
        <f t="shared" si="661"/>
        <v>2132</v>
      </c>
      <c r="O1413" s="25">
        <f t="shared" si="662"/>
        <v>1756</v>
      </c>
      <c r="R1413" s="50"/>
      <c r="S1413" s="51"/>
      <c r="T1413" s="29"/>
    </row>
    <row r="1414" spans="1:20">
      <c r="A1414" s="48">
        <v>1029016</v>
      </c>
      <c r="B1414" s="49" t="s">
        <v>357</v>
      </c>
      <c r="C1414" s="25">
        <f t="shared" si="658"/>
        <v>16</v>
      </c>
      <c r="D1414" s="25">
        <f t="array" ref="D1414">INDEX(C$5:C$67,MATCH($B1414,$B$5:$B$67,0))</f>
        <v>4620</v>
      </c>
      <c r="E1414" s="25">
        <f t="array" ref="E1414">INDEX(D$5:D$67,MATCH($B1414,$B$5:$B$67,0))</f>
        <v>369.6</v>
      </c>
      <c r="F1414" s="25">
        <f t="array" ref="F1414">INDEX(E$5:E$67,MATCH($B1414,$B$5:$B$67,0))</f>
        <v>775</v>
      </c>
      <c r="G1414" s="25">
        <f t="array" ref="G1414">INDEX(F$5:F$67,MATCH($B1414,$B$5:$B$67,0))</f>
        <v>62</v>
      </c>
      <c r="H1414" s="25">
        <f t="array" ref="H1414">INDEX(G$5:G$66,MATCH($B1414,$B$5:$B$67,0))</f>
        <v>969</v>
      </c>
      <c r="I1414" s="25">
        <f t="array" ref="I1414">INDEX(H$5:H$67,MATCH($B1414,$B$5:$B$67,0))</f>
        <v>77.52</v>
      </c>
      <c r="J1414" s="25">
        <f t="array" ref="J1414">INDEX(I$5:I$67,MATCH($B1414,$B$5:$B$67,0))</f>
        <v>798</v>
      </c>
      <c r="K1414" s="25">
        <f t="array" ref="K1414">INDEX(J$5:J$67,MATCH($B1414,$B$5:$B$67,0))</f>
        <v>63.84</v>
      </c>
      <c r="L1414" s="25">
        <f t="shared" si="659"/>
        <v>10534</v>
      </c>
      <c r="M1414" s="25">
        <f t="shared" si="660"/>
        <v>1767</v>
      </c>
      <c r="N1414" s="25">
        <f t="shared" si="661"/>
        <v>2209</v>
      </c>
      <c r="O1414" s="25">
        <f t="shared" si="662"/>
        <v>1819</v>
      </c>
      <c r="R1414" s="50"/>
      <c r="S1414" s="51"/>
      <c r="T1414" s="29"/>
    </row>
    <row r="1415" spans="1:20">
      <c r="A1415" s="48">
        <v>1029017</v>
      </c>
      <c r="B1415" s="49" t="s">
        <v>357</v>
      </c>
      <c r="C1415" s="25">
        <f t="shared" si="658"/>
        <v>17</v>
      </c>
      <c r="D1415" s="25">
        <f t="array" ref="D1415">INDEX(C$5:C$67,MATCH($B1415,$B$5:$B$67,0))</f>
        <v>4620</v>
      </c>
      <c r="E1415" s="25">
        <f t="array" ref="E1415">INDEX(D$5:D$67,MATCH($B1415,$B$5:$B$67,0))</f>
        <v>369.6</v>
      </c>
      <c r="F1415" s="25">
        <f t="array" ref="F1415">INDEX(E$5:E$67,MATCH($B1415,$B$5:$B$67,0))</f>
        <v>775</v>
      </c>
      <c r="G1415" s="25">
        <f t="array" ref="G1415">INDEX(F$5:F$67,MATCH($B1415,$B$5:$B$67,0))</f>
        <v>62</v>
      </c>
      <c r="H1415" s="25">
        <f t="array" ref="H1415">INDEX(G$5:G$66,MATCH($B1415,$B$5:$B$67,0))</f>
        <v>969</v>
      </c>
      <c r="I1415" s="25">
        <f t="array" ref="I1415">INDEX(H$5:H$67,MATCH($B1415,$B$5:$B$67,0))</f>
        <v>77.52</v>
      </c>
      <c r="J1415" s="25">
        <f t="array" ref="J1415">INDEX(I$5:I$67,MATCH($B1415,$B$5:$B$67,0))</f>
        <v>798</v>
      </c>
      <c r="K1415" s="25">
        <f t="array" ref="K1415">INDEX(J$5:J$67,MATCH($B1415,$B$5:$B$67,0))</f>
        <v>63.84</v>
      </c>
      <c r="L1415" s="25">
        <f t="shared" si="659"/>
        <v>10903</v>
      </c>
      <c r="M1415" s="25">
        <f t="shared" si="660"/>
        <v>1829</v>
      </c>
      <c r="N1415" s="25">
        <f t="shared" si="661"/>
        <v>2287</v>
      </c>
      <c r="O1415" s="25">
        <f t="shared" si="662"/>
        <v>1883</v>
      </c>
      <c r="R1415" s="50"/>
      <c r="S1415" s="51"/>
      <c r="T1415" s="29"/>
    </row>
    <row r="1416" spans="1:20">
      <c r="A1416" s="48">
        <v>1029018</v>
      </c>
      <c r="B1416" s="49" t="s">
        <v>357</v>
      </c>
      <c r="C1416" s="25">
        <f t="shared" si="658"/>
        <v>18</v>
      </c>
      <c r="D1416" s="25">
        <f t="array" ref="D1416">INDEX(C$5:C$67,MATCH($B1416,$B$5:$B$67,0))</f>
        <v>4620</v>
      </c>
      <c r="E1416" s="25">
        <f t="array" ref="E1416">INDEX(D$5:D$67,MATCH($B1416,$B$5:$B$67,0))</f>
        <v>369.6</v>
      </c>
      <c r="F1416" s="25">
        <f t="array" ref="F1416">INDEX(E$5:E$67,MATCH($B1416,$B$5:$B$67,0))</f>
        <v>775</v>
      </c>
      <c r="G1416" s="25">
        <f t="array" ref="G1416">INDEX(F$5:F$67,MATCH($B1416,$B$5:$B$67,0))</f>
        <v>62</v>
      </c>
      <c r="H1416" s="25">
        <f t="array" ref="H1416">INDEX(G$5:G$66,MATCH($B1416,$B$5:$B$67,0))</f>
        <v>969</v>
      </c>
      <c r="I1416" s="25">
        <f t="array" ref="I1416">INDEX(H$5:H$67,MATCH($B1416,$B$5:$B$67,0))</f>
        <v>77.52</v>
      </c>
      <c r="J1416" s="25">
        <f t="array" ref="J1416">INDEX(I$5:I$67,MATCH($B1416,$B$5:$B$67,0))</f>
        <v>798</v>
      </c>
      <c r="K1416" s="25">
        <f t="array" ref="K1416">INDEX(J$5:J$67,MATCH($B1416,$B$5:$B$67,0))</f>
        <v>63.84</v>
      </c>
      <c r="L1416" s="25">
        <f t="shared" si="659"/>
        <v>11273</v>
      </c>
      <c r="M1416" s="25">
        <f t="shared" si="660"/>
        <v>1891</v>
      </c>
      <c r="N1416" s="25">
        <f t="shared" si="661"/>
        <v>2364</v>
      </c>
      <c r="O1416" s="25">
        <f t="shared" si="662"/>
        <v>1947</v>
      </c>
      <c r="R1416" s="50"/>
      <c r="S1416" s="51"/>
      <c r="T1416" s="29"/>
    </row>
    <row r="1417" spans="1:20">
      <c r="A1417" s="48">
        <v>1029019</v>
      </c>
      <c r="B1417" s="49" t="s">
        <v>357</v>
      </c>
      <c r="C1417" s="25">
        <f t="shared" si="658"/>
        <v>19</v>
      </c>
      <c r="D1417" s="25">
        <f t="array" ref="D1417">INDEX(C$5:C$67,MATCH($B1417,$B$5:$B$67,0))</f>
        <v>4620</v>
      </c>
      <c r="E1417" s="25">
        <f t="array" ref="E1417">INDEX(D$5:D$67,MATCH($B1417,$B$5:$B$67,0))</f>
        <v>369.6</v>
      </c>
      <c r="F1417" s="25">
        <f t="array" ref="F1417">INDEX(E$5:E$67,MATCH($B1417,$B$5:$B$67,0))</f>
        <v>775</v>
      </c>
      <c r="G1417" s="25">
        <f t="array" ref="G1417">INDEX(F$5:F$67,MATCH($B1417,$B$5:$B$67,0))</f>
        <v>62</v>
      </c>
      <c r="H1417" s="25">
        <f t="array" ref="H1417">INDEX(G$5:G$66,MATCH($B1417,$B$5:$B$67,0))</f>
        <v>969</v>
      </c>
      <c r="I1417" s="25">
        <f t="array" ref="I1417">INDEX(H$5:H$67,MATCH($B1417,$B$5:$B$67,0))</f>
        <v>77.52</v>
      </c>
      <c r="J1417" s="25">
        <f t="array" ref="J1417">INDEX(I$5:I$67,MATCH($B1417,$B$5:$B$67,0))</f>
        <v>798</v>
      </c>
      <c r="K1417" s="25">
        <f t="array" ref="K1417">INDEX(J$5:J$67,MATCH($B1417,$B$5:$B$67,0))</f>
        <v>63.84</v>
      </c>
      <c r="L1417" s="25">
        <f t="shared" si="659"/>
        <v>11642</v>
      </c>
      <c r="M1417" s="25">
        <f t="shared" si="660"/>
        <v>1953</v>
      </c>
      <c r="N1417" s="25">
        <f t="shared" si="661"/>
        <v>2442</v>
      </c>
      <c r="O1417" s="25">
        <f t="shared" si="662"/>
        <v>2011</v>
      </c>
      <c r="R1417" s="50"/>
      <c r="S1417" s="51"/>
      <c r="T1417" s="29"/>
    </row>
    <row r="1418" spans="1:20">
      <c r="A1418" s="48">
        <v>1029020</v>
      </c>
      <c r="B1418" s="49" t="s">
        <v>357</v>
      </c>
      <c r="C1418" s="25">
        <f t="shared" si="658"/>
        <v>20</v>
      </c>
      <c r="D1418" s="25">
        <f t="array" ref="D1418">INDEX(C$5:C$67,MATCH($B1418,$B$5:$B$67,0))</f>
        <v>4620</v>
      </c>
      <c r="E1418" s="25">
        <f t="array" ref="E1418">INDEX(D$5:D$67,MATCH($B1418,$B$5:$B$67,0))</f>
        <v>369.6</v>
      </c>
      <c r="F1418" s="25">
        <f t="array" ref="F1418">INDEX(E$5:E$67,MATCH($B1418,$B$5:$B$67,0))</f>
        <v>775</v>
      </c>
      <c r="G1418" s="25">
        <f t="array" ref="G1418">INDEX(F$5:F$67,MATCH($B1418,$B$5:$B$67,0))</f>
        <v>62</v>
      </c>
      <c r="H1418" s="25">
        <f t="array" ref="H1418">INDEX(G$5:G$66,MATCH($B1418,$B$5:$B$67,0))</f>
        <v>969</v>
      </c>
      <c r="I1418" s="25">
        <f t="array" ref="I1418">INDEX(H$5:H$67,MATCH($B1418,$B$5:$B$67,0))</f>
        <v>77.52</v>
      </c>
      <c r="J1418" s="25">
        <f t="array" ref="J1418">INDEX(I$5:I$67,MATCH($B1418,$B$5:$B$67,0))</f>
        <v>798</v>
      </c>
      <c r="K1418" s="25">
        <f t="array" ref="K1418">INDEX(J$5:J$67,MATCH($B1418,$B$5:$B$67,0))</f>
        <v>63.84</v>
      </c>
      <c r="L1418" s="25">
        <f t="shared" si="659"/>
        <v>12012</v>
      </c>
      <c r="M1418" s="25">
        <f t="shared" si="660"/>
        <v>2015</v>
      </c>
      <c r="N1418" s="25">
        <f t="shared" si="661"/>
        <v>2519</v>
      </c>
      <c r="O1418" s="25">
        <f t="shared" si="662"/>
        <v>2075</v>
      </c>
      <c r="R1418" s="50"/>
      <c r="S1418" s="51"/>
      <c r="T1418" s="29"/>
    </row>
    <row r="1419" spans="1:20">
      <c r="A1419" s="48">
        <v>1029021</v>
      </c>
      <c r="B1419" s="49" t="s">
        <v>357</v>
      </c>
      <c r="C1419" s="25">
        <f t="shared" ref="C1419:C1482" si="663">C1359</f>
        <v>21</v>
      </c>
      <c r="D1419" s="25">
        <f t="array" ref="D1419">INDEX(C$5:C$67,MATCH($B1419,$B$5:$B$67,0))</f>
        <v>4620</v>
      </c>
      <c r="E1419" s="25">
        <f t="array" ref="E1419">INDEX(D$5:D$67,MATCH($B1419,$B$5:$B$67,0))</f>
        <v>369.6</v>
      </c>
      <c r="F1419" s="25">
        <f t="array" ref="F1419">INDEX(E$5:E$67,MATCH($B1419,$B$5:$B$67,0))</f>
        <v>775</v>
      </c>
      <c r="G1419" s="25">
        <f t="array" ref="G1419">INDEX(F$5:F$67,MATCH($B1419,$B$5:$B$67,0))</f>
        <v>62</v>
      </c>
      <c r="H1419" s="25">
        <f t="array" ref="H1419">INDEX(G$5:G$66,MATCH($B1419,$B$5:$B$67,0))</f>
        <v>969</v>
      </c>
      <c r="I1419" s="25">
        <f t="array" ref="I1419">INDEX(H$5:H$67,MATCH($B1419,$B$5:$B$67,0))</f>
        <v>77.52</v>
      </c>
      <c r="J1419" s="25">
        <f t="array" ref="J1419">INDEX(I$5:I$67,MATCH($B1419,$B$5:$B$67,0))</f>
        <v>798</v>
      </c>
      <c r="K1419" s="25">
        <f t="array" ref="K1419">INDEX(J$5:J$67,MATCH($B1419,$B$5:$B$67,0))</f>
        <v>63.84</v>
      </c>
      <c r="L1419" s="25">
        <f t="shared" si="659"/>
        <v>12382</v>
      </c>
      <c r="M1419" s="25">
        <f t="shared" si="660"/>
        <v>2077</v>
      </c>
      <c r="N1419" s="25">
        <f t="shared" si="661"/>
        <v>2597</v>
      </c>
      <c r="O1419" s="25">
        <f t="shared" si="662"/>
        <v>2139</v>
      </c>
      <c r="R1419" s="50"/>
      <c r="S1419" s="51"/>
      <c r="T1419" s="29"/>
    </row>
    <row r="1420" spans="1:20">
      <c r="A1420" s="48">
        <v>1029022</v>
      </c>
      <c r="B1420" s="49" t="s">
        <v>357</v>
      </c>
      <c r="C1420" s="25">
        <f t="shared" si="663"/>
        <v>22</v>
      </c>
      <c r="D1420" s="25">
        <f t="array" ref="D1420">INDEX(C$5:C$67,MATCH($B1420,$B$5:$B$67,0))</f>
        <v>4620</v>
      </c>
      <c r="E1420" s="25">
        <f t="array" ref="E1420">INDEX(D$5:D$67,MATCH($B1420,$B$5:$B$67,0))</f>
        <v>369.6</v>
      </c>
      <c r="F1420" s="25">
        <f t="array" ref="F1420">INDEX(E$5:E$67,MATCH($B1420,$B$5:$B$67,0))</f>
        <v>775</v>
      </c>
      <c r="G1420" s="25">
        <f t="array" ref="G1420">INDEX(F$5:F$67,MATCH($B1420,$B$5:$B$67,0))</f>
        <v>62</v>
      </c>
      <c r="H1420" s="25">
        <f t="array" ref="H1420">INDEX(G$5:G$66,MATCH($B1420,$B$5:$B$67,0))</f>
        <v>969</v>
      </c>
      <c r="I1420" s="25">
        <f t="array" ref="I1420">INDEX(H$5:H$67,MATCH($B1420,$B$5:$B$67,0))</f>
        <v>77.52</v>
      </c>
      <c r="J1420" s="25">
        <f t="array" ref="J1420">INDEX(I$5:I$67,MATCH($B1420,$B$5:$B$67,0))</f>
        <v>798</v>
      </c>
      <c r="K1420" s="25">
        <f t="array" ref="K1420">INDEX(J$5:J$67,MATCH($B1420,$B$5:$B$67,0))</f>
        <v>63.84</v>
      </c>
      <c r="L1420" s="25">
        <f t="shared" si="659"/>
        <v>12751</v>
      </c>
      <c r="M1420" s="25">
        <f t="shared" si="660"/>
        <v>2139</v>
      </c>
      <c r="N1420" s="25">
        <f t="shared" si="661"/>
        <v>2674</v>
      </c>
      <c r="O1420" s="25">
        <f t="shared" si="662"/>
        <v>2202</v>
      </c>
      <c r="R1420" s="50"/>
      <c r="S1420" s="51"/>
      <c r="T1420" s="29"/>
    </row>
    <row r="1421" spans="1:20">
      <c r="A1421" s="48">
        <v>1029023</v>
      </c>
      <c r="B1421" s="49" t="s">
        <v>357</v>
      </c>
      <c r="C1421" s="25">
        <f t="shared" si="663"/>
        <v>23</v>
      </c>
      <c r="D1421" s="25">
        <f t="array" ref="D1421">INDEX(C$5:C$67,MATCH($B1421,$B$5:$B$67,0))</f>
        <v>4620</v>
      </c>
      <c r="E1421" s="25">
        <f t="array" ref="E1421">INDEX(D$5:D$67,MATCH($B1421,$B$5:$B$67,0))</f>
        <v>369.6</v>
      </c>
      <c r="F1421" s="25">
        <f t="array" ref="F1421">INDEX(E$5:E$67,MATCH($B1421,$B$5:$B$67,0))</f>
        <v>775</v>
      </c>
      <c r="G1421" s="25">
        <f t="array" ref="G1421">INDEX(F$5:F$67,MATCH($B1421,$B$5:$B$67,0))</f>
        <v>62</v>
      </c>
      <c r="H1421" s="25">
        <f t="array" ref="H1421">INDEX(G$5:G$66,MATCH($B1421,$B$5:$B$67,0))</f>
        <v>969</v>
      </c>
      <c r="I1421" s="25">
        <f t="array" ref="I1421">INDEX(H$5:H$67,MATCH($B1421,$B$5:$B$67,0))</f>
        <v>77.52</v>
      </c>
      <c r="J1421" s="25">
        <f t="array" ref="J1421">INDEX(I$5:I$67,MATCH($B1421,$B$5:$B$67,0))</f>
        <v>798</v>
      </c>
      <c r="K1421" s="25">
        <f t="array" ref="K1421">INDEX(J$5:J$67,MATCH($B1421,$B$5:$B$67,0))</f>
        <v>63.84</v>
      </c>
      <c r="L1421" s="25">
        <f t="shared" si="659"/>
        <v>13121</v>
      </c>
      <c r="M1421" s="25">
        <f t="shared" si="660"/>
        <v>2201</v>
      </c>
      <c r="N1421" s="25">
        <f t="shared" si="661"/>
        <v>2752</v>
      </c>
      <c r="O1421" s="25">
        <f t="shared" si="662"/>
        <v>2266</v>
      </c>
      <c r="R1421" s="50"/>
      <c r="S1421" s="51"/>
      <c r="T1421" s="29"/>
    </row>
    <row r="1422" spans="1:20">
      <c r="A1422" s="48">
        <v>1029024</v>
      </c>
      <c r="B1422" s="49" t="s">
        <v>357</v>
      </c>
      <c r="C1422" s="25">
        <f t="shared" si="663"/>
        <v>24</v>
      </c>
      <c r="D1422" s="25">
        <f t="array" ref="D1422">INDEX(C$5:C$67,MATCH($B1422,$B$5:$B$67,0))</f>
        <v>4620</v>
      </c>
      <c r="E1422" s="25">
        <f t="array" ref="E1422">INDEX(D$5:D$67,MATCH($B1422,$B$5:$B$67,0))</f>
        <v>369.6</v>
      </c>
      <c r="F1422" s="25">
        <f t="array" ref="F1422">INDEX(E$5:E$67,MATCH($B1422,$B$5:$B$67,0))</f>
        <v>775</v>
      </c>
      <c r="G1422" s="25">
        <f t="array" ref="G1422">INDEX(F$5:F$67,MATCH($B1422,$B$5:$B$67,0))</f>
        <v>62</v>
      </c>
      <c r="H1422" s="25">
        <f t="array" ref="H1422">INDEX(G$5:G$66,MATCH($B1422,$B$5:$B$67,0))</f>
        <v>969</v>
      </c>
      <c r="I1422" s="25">
        <f t="array" ref="I1422">INDEX(H$5:H$67,MATCH($B1422,$B$5:$B$67,0))</f>
        <v>77.52</v>
      </c>
      <c r="J1422" s="25">
        <f t="array" ref="J1422">INDEX(I$5:I$67,MATCH($B1422,$B$5:$B$67,0))</f>
        <v>798</v>
      </c>
      <c r="K1422" s="25">
        <f t="array" ref="K1422">INDEX(J$5:J$67,MATCH($B1422,$B$5:$B$67,0))</f>
        <v>63.84</v>
      </c>
      <c r="L1422" s="25">
        <f t="shared" si="659"/>
        <v>13490</v>
      </c>
      <c r="M1422" s="25">
        <f t="shared" si="660"/>
        <v>2263</v>
      </c>
      <c r="N1422" s="25">
        <f t="shared" si="661"/>
        <v>2829</v>
      </c>
      <c r="O1422" s="25">
        <f t="shared" si="662"/>
        <v>2330</v>
      </c>
      <c r="R1422" s="50"/>
      <c r="S1422" s="51"/>
      <c r="T1422" s="29"/>
    </row>
    <row r="1423" spans="1:20">
      <c r="A1423" s="48">
        <v>1029025</v>
      </c>
      <c r="B1423" s="49" t="s">
        <v>357</v>
      </c>
      <c r="C1423" s="25">
        <f t="shared" si="663"/>
        <v>25</v>
      </c>
      <c r="D1423" s="25">
        <f t="array" ref="D1423">INDEX(C$5:C$67,MATCH($B1423,$B$5:$B$67,0))</f>
        <v>4620</v>
      </c>
      <c r="E1423" s="25">
        <f t="array" ref="E1423">INDEX(D$5:D$67,MATCH($B1423,$B$5:$B$67,0))</f>
        <v>369.6</v>
      </c>
      <c r="F1423" s="25">
        <f t="array" ref="F1423">INDEX(E$5:E$67,MATCH($B1423,$B$5:$B$67,0))</f>
        <v>775</v>
      </c>
      <c r="G1423" s="25">
        <f t="array" ref="G1423">INDEX(F$5:F$67,MATCH($B1423,$B$5:$B$67,0))</f>
        <v>62</v>
      </c>
      <c r="H1423" s="25">
        <f t="array" ref="H1423">INDEX(G$5:G$66,MATCH($B1423,$B$5:$B$67,0))</f>
        <v>969</v>
      </c>
      <c r="I1423" s="25">
        <f t="array" ref="I1423">INDEX(H$5:H$67,MATCH($B1423,$B$5:$B$67,0))</f>
        <v>77.52</v>
      </c>
      <c r="J1423" s="25">
        <f t="array" ref="J1423">INDEX(I$5:I$67,MATCH($B1423,$B$5:$B$67,0))</f>
        <v>798</v>
      </c>
      <c r="K1423" s="25">
        <f t="array" ref="K1423">INDEX(J$5:J$67,MATCH($B1423,$B$5:$B$67,0))</f>
        <v>63.84</v>
      </c>
      <c r="L1423" s="25">
        <f t="shared" ref="L1423:L1486" si="664">ROUND(D1423+E1423*$C1423,0)</f>
        <v>13860</v>
      </c>
      <c r="M1423" s="25">
        <f t="shared" ref="M1423:M1486" si="665">ROUND(F1423+G1423*$C1423,0)</f>
        <v>2325</v>
      </c>
      <c r="N1423" s="25">
        <f t="shared" ref="N1423:N1486" si="666">ROUND(H1423+I1423*$C1423,0)</f>
        <v>2907</v>
      </c>
      <c r="O1423" s="25">
        <f t="shared" ref="O1423:O1486" si="667">ROUND(J1423+K1423*$C1423,0)</f>
        <v>2394</v>
      </c>
      <c r="R1423" s="50"/>
      <c r="S1423" s="51"/>
      <c r="T1423" s="29"/>
    </row>
    <row r="1424" spans="1:20">
      <c r="A1424" s="48">
        <v>1029026</v>
      </c>
      <c r="B1424" s="49" t="s">
        <v>357</v>
      </c>
      <c r="C1424" s="25">
        <f t="shared" si="663"/>
        <v>26</v>
      </c>
      <c r="D1424" s="25">
        <f t="array" ref="D1424">INDEX(C$5:C$67,MATCH($B1424,$B$5:$B$67,0))</f>
        <v>4620</v>
      </c>
      <c r="E1424" s="25">
        <f t="array" ref="E1424">INDEX(D$5:D$67,MATCH($B1424,$B$5:$B$67,0))</f>
        <v>369.6</v>
      </c>
      <c r="F1424" s="25">
        <f t="array" ref="F1424">INDEX(E$5:E$67,MATCH($B1424,$B$5:$B$67,0))</f>
        <v>775</v>
      </c>
      <c r="G1424" s="25">
        <f t="array" ref="G1424">INDEX(F$5:F$67,MATCH($B1424,$B$5:$B$67,0))</f>
        <v>62</v>
      </c>
      <c r="H1424" s="25">
        <f t="array" ref="H1424">INDEX(G$5:G$66,MATCH($B1424,$B$5:$B$67,0))</f>
        <v>969</v>
      </c>
      <c r="I1424" s="25">
        <f t="array" ref="I1424">INDEX(H$5:H$67,MATCH($B1424,$B$5:$B$67,0))</f>
        <v>77.52</v>
      </c>
      <c r="J1424" s="25">
        <f t="array" ref="J1424">INDEX(I$5:I$67,MATCH($B1424,$B$5:$B$67,0))</f>
        <v>798</v>
      </c>
      <c r="K1424" s="25">
        <f t="array" ref="K1424">INDEX(J$5:J$67,MATCH($B1424,$B$5:$B$67,0))</f>
        <v>63.84</v>
      </c>
      <c r="L1424" s="25">
        <f t="shared" si="664"/>
        <v>14230</v>
      </c>
      <c r="M1424" s="25">
        <f t="shared" si="665"/>
        <v>2387</v>
      </c>
      <c r="N1424" s="25">
        <f t="shared" si="666"/>
        <v>2985</v>
      </c>
      <c r="O1424" s="25">
        <f t="shared" si="667"/>
        <v>2458</v>
      </c>
      <c r="R1424" s="50"/>
      <c r="S1424" s="51"/>
      <c r="T1424" s="29"/>
    </row>
    <row r="1425" spans="1:20">
      <c r="A1425" s="48">
        <v>1029027</v>
      </c>
      <c r="B1425" s="49" t="s">
        <v>357</v>
      </c>
      <c r="C1425" s="25">
        <f t="shared" si="663"/>
        <v>27</v>
      </c>
      <c r="D1425" s="25">
        <f t="array" ref="D1425">INDEX(C$5:C$67,MATCH($B1425,$B$5:$B$67,0))</f>
        <v>4620</v>
      </c>
      <c r="E1425" s="25">
        <f t="array" ref="E1425">INDEX(D$5:D$67,MATCH($B1425,$B$5:$B$67,0))</f>
        <v>369.6</v>
      </c>
      <c r="F1425" s="25">
        <f t="array" ref="F1425">INDEX(E$5:E$67,MATCH($B1425,$B$5:$B$67,0))</f>
        <v>775</v>
      </c>
      <c r="G1425" s="25">
        <f t="array" ref="G1425">INDEX(F$5:F$67,MATCH($B1425,$B$5:$B$67,0))</f>
        <v>62</v>
      </c>
      <c r="H1425" s="25">
        <f t="array" ref="H1425">INDEX(G$5:G$66,MATCH($B1425,$B$5:$B$67,0))</f>
        <v>969</v>
      </c>
      <c r="I1425" s="25">
        <f t="array" ref="I1425">INDEX(H$5:H$67,MATCH($B1425,$B$5:$B$67,0))</f>
        <v>77.52</v>
      </c>
      <c r="J1425" s="25">
        <f t="array" ref="J1425">INDEX(I$5:I$67,MATCH($B1425,$B$5:$B$67,0))</f>
        <v>798</v>
      </c>
      <c r="K1425" s="25">
        <f t="array" ref="K1425">INDEX(J$5:J$67,MATCH($B1425,$B$5:$B$67,0))</f>
        <v>63.84</v>
      </c>
      <c r="L1425" s="25">
        <f t="shared" si="664"/>
        <v>14599</v>
      </c>
      <c r="M1425" s="25">
        <f t="shared" si="665"/>
        <v>2449</v>
      </c>
      <c r="N1425" s="25">
        <f t="shared" si="666"/>
        <v>3062</v>
      </c>
      <c r="O1425" s="25">
        <f t="shared" si="667"/>
        <v>2522</v>
      </c>
      <c r="R1425" s="50"/>
      <c r="S1425" s="51"/>
      <c r="T1425" s="29"/>
    </row>
    <row r="1426" spans="1:20">
      <c r="A1426" s="48">
        <v>1029028</v>
      </c>
      <c r="B1426" s="49" t="s">
        <v>357</v>
      </c>
      <c r="C1426" s="25">
        <f t="shared" si="663"/>
        <v>28</v>
      </c>
      <c r="D1426" s="25">
        <f t="array" ref="D1426">INDEX(C$5:C$67,MATCH($B1426,$B$5:$B$67,0))</f>
        <v>4620</v>
      </c>
      <c r="E1426" s="25">
        <f t="array" ref="E1426">INDEX(D$5:D$67,MATCH($B1426,$B$5:$B$67,0))</f>
        <v>369.6</v>
      </c>
      <c r="F1426" s="25">
        <f t="array" ref="F1426">INDEX(E$5:E$67,MATCH($B1426,$B$5:$B$67,0))</f>
        <v>775</v>
      </c>
      <c r="G1426" s="25">
        <f t="array" ref="G1426">INDEX(F$5:F$67,MATCH($B1426,$B$5:$B$67,0))</f>
        <v>62</v>
      </c>
      <c r="H1426" s="25">
        <f t="array" ref="H1426">INDEX(G$5:G$66,MATCH($B1426,$B$5:$B$67,0))</f>
        <v>969</v>
      </c>
      <c r="I1426" s="25">
        <f t="array" ref="I1426">INDEX(H$5:H$67,MATCH($B1426,$B$5:$B$67,0))</f>
        <v>77.52</v>
      </c>
      <c r="J1426" s="25">
        <f t="array" ref="J1426">INDEX(I$5:I$67,MATCH($B1426,$B$5:$B$67,0))</f>
        <v>798</v>
      </c>
      <c r="K1426" s="25">
        <f t="array" ref="K1426">INDEX(J$5:J$67,MATCH($B1426,$B$5:$B$67,0))</f>
        <v>63.84</v>
      </c>
      <c r="L1426" s="25">
        <f t="shared" si="664"/>
        <v>14969</v>
      </c>
      <c r="M1426" s="25">
        <f t="shared" si="665"/>
        <v>2511</v>
      </c>
      <c r="N1426" s="25">
        <f t="shared" si="666"/>
        <v>3140</v>
      </c>
      <c r="O1426" s="25">
        <f t="shared" si="667"/>
        <v>2586</v>
      </c>
    </row>
    <row r="1427" spans="1:20">
      <c r="A1427" s="48">
        <v>1029029</v>
      </c>
      <c r="B1427" s="49" t="s">
        <v>357</v>
      </c>
      <c r="C1427" s="25">
        <f t="shared" si="663"/>
        <v>29</v>
      </c>
      <c r="D1427" s="25">
        <f t="array" ref="D1427">INDEX(C$5:C$67,MATCH($B1427,$B$5:$B$67,0))</f>
        <v>4620</v>
      </c>
      <c r="E1427" s="25">
        <f t="array" ref="E1427">INDEX(D$5:D$67,MATCH($B1427,$B$5:$B$67,0))</f>
        <v>369.6</v>
      </c>
      <c r="F1427" s="25">
        <f t="array" ref="F1427">INDEX(E$5:E$67,MATCH($B1427,$B$5:$B$67,0))</f>
        <v>775</v>
      </c>
      <c r="G1427" s="25">
        <f t="array" ref="G1427">INDEX(F$5:F$67,MATCH($B1427,$B$5:$B$67,0))</f>
        <v>62</v>
      </c>
      <c r="H1427" s="25">
        <f t="array" ref="H1427">INDEX(G$5:G$66,MATCH($B1427,$B$5:$B$67,0))</f>
        <v>969</v>
      </c>
      <c r="I1427" s="25">
        <f t="array" ref="I1427">INDEX(H$5:H$67,MATCH($B1427,$B$5:$B$67,0))</f>
        <v>77.52</v>
      </c>
      <c r="J1427" s="25">
        <f t="array" ref="J1427">INDEX(I$5:I$67,MATCH($B1427,$B$5:$B$67,0))</f>
        <v>798</v>
      </c>
      <c r="K1427" s="25">
        <f t="array" ref="K1427">INDEX(J$5:J$67,MATCH($B1427,$B$5:$B$67,0))</f>
        <v>63.84</v>
      </c>
      <c r="L1427" s="25">
        <f t="shared" si="664"/>
        <v>15338</v>
      </c>
      <c r="M1427" s="25">
        <f t="shared" si="665"/>
        <v>2573</v>
      </c>
      <c r="N1427" s="25">
        <f t="shared" si="666"/>
        <v>3217</v>
      </c>
      <c r="O1427" s="25">
        <f t="shared" si="667"/>
        <v>2649</v>
      </c>
    </row>
    <row r="1428" spans="1:20">
      <c r="A1428" s="48">
        <v>1029030</v>
      </c>
      <c r="B1428" s="49" t="s">
        <v>357</v>
      </c>
      <c r="C1428" s="25">
        <f t="shared" si="663"/>
        <v>30</v>
      </c>
      <c r="D1428" s="25">
        <f t="array" ref="D1428">INDEX(C$5:C$67,MATCH($B1428,$B$5:$B$67,0))</f>
        <v>4620</v>
      </c>
      <c r="E1428" s="25">
        <f t="array" ref="E1428">INDEX(D$5:D$67,MATCH($B1428,$B$5:$B$67,0))</f>
        <v>369.6</v>
      </c>
      <c r="F1428" s="25">
        <f t="array" ref="F1428">INDEX(E$5:E$67,MATCH($B1428,$B$5:$B$67,0))</f>
        <v>775</v>
      </c>
      <c r="G1428" s="25">
        <f t="array" ref="G1428">INDEX(F$5:F$67,MATCH($B1428,$B$5:$B$67,0))</f>
        <v>62</v>
      </c>
      <c r="H1428" s="25">
        <f t="array" ref="H1428">INDEX(G$5:G$66,MATCH($B1428,$B$5:$B$67,0))</f>
        <v>969</v>
      </c>
      <c r="I1428" s="25">
        <f t="array" ref="I1428">INDEX(H$5:H$67,MATCH($B1428,$B$5:$B$67,0))</f>
        <v>77.52</v>
      </c>
      <c r="J1428" s="25">
        <f t="array" ref="J1428">INDEX(I$5:I$67,MATCH($B1428,$B$5:$B$67,0))</f>
        <v>798</v>
      </c>
      <c r="K1428" s="25">
        <f t="array" ref="K1428">INDEX(J$5:J$67,MATCH($B1428,$B$5:$B$67,0))</f>
        <v>63.84</v>
      </c>
      <c r="L1428" s="25">
        <f t="shared" si="664"/>
        <v>15708</v>
      </c>
      <c r="M1428" s="25">
        <f t="shared" si="665"/>
        <v>2635</v>
      </c>
      <c r="N1428" s="25">
        <f t="shared" si="666"/>
        <v>3295</v>
      </c>
      <c r="O1428" s="25">
        <f t="shared" si="667"/>
        <v>2713</v>
      </c>
    </row>
    <row r="1429" spans="1:20">
      <c r="A1429" s="48">
        <v>1029031</v>
      </c>
      <c r="B1429" s="49" t="s">
        <v>357</v>
      </c>
      <c r="C1429" s="25">
        <f t="shared" si="663"/>
        <v>31</v>
      </c>
      <c r="D1429" s="25">
        <f t="array" ref="D1429">INDEX(C$5:C$67,MATCH($B1429,$B$5:$B$67,0))</f>
        <v>4620</v>
      </c>
      <c r="E1429" s="25">
        <f t="array" ref="E1429">INDEX(D$5:D$67,MATCH($B1429,$B$5:$B$67,0))</f>
        <v>369.6</v>
      </c>
      <c r="F1429" s="25">
        <f t="array" ref="F1429">INDEX(E$5:E$67,MATCH($B1429,$B$5:$B$67,0))</f>
        <v>775</v>
      </c>
      <c r="G1429" s="25">
        <f t="array" ref="G1429">INDEX(F$5:F$67,MATCH($B1429,$B$5:$B$67,0))</f>
        <v>62</v>
      </c>
      <c r="H1429" s="25">
        <f t="array" ref="H1429">INDEX(G$5:G$66,MATCH($B1429,$B$5:$B$67,0))</f>
        <v>969</v>
      </c>
      <c r="I1429" s="25">
        <f t="array" ref="I1429">INDEX(H$5:H$67,MATCH($B1429,$B$5:$B$67,0))</f>
        <v>77.52</v>
      </c>
      <c r="J1429" s="25">
        <f t="array" ref="J1429">INDEX(I$5:I$67,MATCH($B1429,$B$5:$B$67,0))</f>
        <v>798</v>
      </c>
      <c r="K1429" s="25">
        <f t="array" ref="K1429">INDEX(J$5:J$67,MATCH($B1429,$B$5:$B$67,0))</f>
        <v>63.84</v>
      </c>
      <c r="L1429" s="25">
        <f t="shared" si="664"/>
        <v>16078</v>
      </c>
      <c r="M1429" s="25">
        <f t="shared" si="665"/>
        <v>2697</v>
      </c>
      <c r="N1429" s="25">
        <f t="shared" si="666"/>
        <v>3372</v>
      </c>
      <c r="O1429" s="25">
        <f t="shared" si="667"/>
        <v>2777</v>
      </c>
    </row>
    <row r="1430" spans="1:20">
      <c r="A1430" s="48">
        <v>1029032</v>
      </c>
      <c r="B1430" s="49" t="s">
        <v>357</v>
      </c>
      <c r="C1430" s="25">
        <f t="shared" si="663"/>
        <v>32</v>
      </c>
      <c r="D1430" s="25">
        <f t="array" ref="D1430">INDEX(C$5:C$67,MATCH($B1430,$B$5:$B$67,0))</f>
        <v>4620</v>
      </c>
      <c r="E1430" s="25">
        <f t="array" ref="E1430">INDEX(D$5:D$67,MATCH($B1430,$B$5:$B$67,0))</f>
        <v>369.6</v>
      </c>
      <c r="F1430" s="25">
        <f t="array" ref="F1430">INDEX(E$5:E$67,MATCH($B1430,$B$5:$B$67,0))</f>
        <v>775</v>
      </c>
      <c r="G1430" s="25">
        <f t="array" ref="G1430">INDEX(F$5:F$67,MATCH($B1430,$B$5:$B$67,0))</f>
        <v>62</v>
      </c>
      <c r="H1430" s="25">
        <f t="array" ref="H1430">INDEX(G$5:G$66,MATCH($B1430,$B$5:$B$67,0))</f>
        <v>969</v>
      </c>
      <c r="I1430" s="25">
        <f t="array" ref="I1430">INDEX(H$5:H$67,MATCH($B1430,$B$5:$B$67,0))</f>
        <v>77.52</v>
      </c>
      <c r="J1430" s="25">
        <f t="array" ref="J1430">INDEX(I$5:I$67,MATCH($B1430,$B$5:$B$67,0))</f>
        <v>798</v>
      </c>
      <c r="K1430" s="25">
        <f t="array" ref="K1430">INDEX(J$5:J$67,MATCH($B1430,$B$5:$B$67,0))</f>
        <v>63.84</v>
      </c>
      <c r="L1430" s="25">
        <f t="shared" si="664"/>
        <v>16447</v>
      </c>
      <c r="M1430" s="25">
        <f t="shared" si="665"/>
        <v>2759</v>
      </c>
      <c r="N1430" s="25">
        <f t="shared" si="666"/>
        <v>3450</v>
      </c>
      <c r="O1430" s="25">
        <f t="shared" si="667"/>
        <v>2841</v>
      </c>
    </row>
    <row r="1431" spans="1:20">
      <c r="A1431" s="48">
        <v>1029033</v>
      </c>
      <c r="B1431" s="49" t="s">
        <v>357</v>
      </c>
      <c r="C1431" s="25">
        <f t="shared" si="663"/>
        <v>33</v>
      </c>
      <c r="D1431" s="25">
        <f t="array" ref="D1431">INDEX(C$5:C$67,MATCH($B1431,$B$5:$B$67,0))</f>
        <v>4620</v>
      </c>
      <c r="E1431" s="25">
        <f t="array" ref="E1431">INDEX(D$5:D$67,MATCH($B1431,$B$5:$B$67,0))</f>
        <v>369.6</v>
      </c>
      <c r="F1431" s="25">
        <f t="array" ref="F1431">INDEX(E$5:E$67,MATCH($B1431,$B$5:$B$67,0))</f>
        <v>775</v>
      </c>
      <c r="G1431" s="25">
        <f t="array" ref="G1431">INDEX(F$5:F$67,MATCH($B1431,$B$5:$B$67,0))</f>
        <v>62</v>
      </c>
      <c r="H1431" s="25">
        <f t="array" ref="H1431">INDEX(G$5:G$66,MATCH($B1431,$B$5:$B$67,0))</f>
        <v>969</v>
      </c>
      <c r="I1431" s="25">
        <f t="array" ref="I1431">INDEX(H$5:H$67,MATCH($B1431,$B$5:$B$67,0))</f>
        <v>77.52</v>
      </c>
      <c r="J1431" s="25">
        <f t="array" ref="J1431">INDEX(I$5:I$67,MATCH($B1431,$B$5:$B$67,0))</f>
        <v>798</v>
      </c>
      <c r="K1431" s="25">
        <f t="array" ref="K1431">INDEX(J$5:J$67,MATCH($B1431,$B$5:$B$67,0))</f>
        <v>63.84</v>
      </c>
      <c r="L1431" s="25">
        <f t="shared" si="664"/>
        <v>16817</v>
      </c>
      <c r="M1431" s="25">
        <f t="shared" si="665"/>
        <v>2821</v>
      </c>
      <c r="N1431" s="25">
        <f t="shared" si="666"/>
        <v>3527</v>
      </c>
      <c r="O1431" s="25">
        <f t="shared" si="667"/>
        <v>2905</v>
      </c>
    </row>
    <row r="1432" spans="1:20">
      <c r="A1432" s="48">
        <v>1029034</v>
      </c>
      <c r="B1432" s="49" t="s">
        <v>357</v>
      </c>
      <c r="C1432" s="25">
        <f t="shared" si="663"/>
        <v>34</v>
      </c>
      <c r="D1432" s="25">
        <f t="array" ref="D1432">INDEX(C$5:C$67,MATCH($B1432,$B$5:$B$67,0))</f>
        <v>4620</v>
      </c>
      <c r="E1432" s="25">
        <f t="array" ref="E1432">INDEX(D$5:D$67,MATCH($B1432,$B$5:$B$67,0))</f>
        <v>369.6</v>
      </c>
      <c r="F1432" s="25">
        <f t="array" ref="F1432">INDEX(E$5:E$67,MATCH($B1432,$B$5:$B$67,0))</f>
        <v>775</v>
      </c>
      <c r="G1432" s="25">
        <f t="array" ref="G1432">INDEX(F$5:F$67,MATCH($B1432,$B$5:$B$67,0))</f>
        <v>62</v>
      </c>
      <c r="H1432" s="25">
        <f t="array" ref="H1432">INDEX(G$5:G$66,MATCH($B1432,$B$5:$B$67,0))</f>
        <v>969</v>
      </c>
      <c r="I1432" s="25">
        <f t="array" ref="I1432">INDEX(H$5:H$67,MATCH($B1432,$B$5:$B$67,0))</f>
        <v>77.52</v>
      </c>
      <c r="J1432" s="25">
        <f t="array" ref="J1432">INDEX(I$5:I$67,MATCH($B1432,$B$5:$B$67,0))</f>
        <v>798</v>
      </c>
      <c r="K1432" s="25">
        <f t="array" ref="K1432">INDEX(J$5:J$67,MATCH($B1432,$B$5:$B$67,0))</f>
        <v>63.84</v>
      </c>
      <c r="L1432" s="25">
        <f t="shared" si="664"/>
        <v>17186</v>
      </c>
      <c r="M1432" s="25">
        <f t="shared" si="665"/>
        <v>2883</v>
      </c>
      <c r="N1432" s="25">
        <f t="shared" si="666"/>
        <v>3605</v>
      </c>
      <c r="O1432" s="25">
        <f t="shared" si="667"/>
        <v>2969</v>
      </c>
    </row>
    <row r="1433" spans="1:20">
      <c r="A1433" s="48">
        <v>1029035</v>
      </c>
      <c r="B1433" s="49" t="s">
        <v>357</v>
      </c>
      <c r="C1433" s="25">
        <f t="shared" si="663"/>
        <v>35</v>
      </c>
      <c r="D1433" s="25">
        <f t="array" ref="D1433">INDEX(C$5:C$67,MATCH($B1433,$B$5:$B$67,0))</f>
        <v>4620</v>
      </c>
      <c r="E1433" s="25">
        <f t="array" ref="E1433">INDEX(D$5:D$67,MATCH($B1433,$B$5:$B$67,0))</f>
        <v>369.6</v>
      </c>
      <c r="F1433" s="25">
        <f t="array" ref="F1433">INDEX(E$5:E$67,MATCH($B1433,$B$5:$B$67,0))</f>
        <v>775</v>
      </c>
      <c r="G1433" s="25">
        <f t="array" ref="G1433">INDEX(F$5:F$67,MATCH($B1433,$B$5:$B$67,0))</f>
        <v>62</v>
      </c>
      <c r="H1433" s="25">
        <f t="array" ref="H1433">INDEX(G$5:G$66,MATCH($B1433,$B$5:$B$67,0))</f>
        <v>969</v>
      </c>
      <c r="I1433" s="25">
        <f t="array" ref="I1433">INDEX(H$5:H$67,MATCH($B1433,$B$5:$B$67,0))</f>
        <v>77.52</v>
      </c>
      <c r="J1433" s="25">
        <f t="array" ref="J1433">INDEX(I$5:I$67,MATCH($B1433,$B$5:$B$67,0))</f>
        <v>798</v>
      </c>
      <c r="K1433" s="25">
        <f t="array" ref="K1433">INDEX(J$5:J$67,MATCH($B1433,$B$5:$B$67,0))</f>
        <v>63.84</v>
      </c>
      <c r="L1433" s="25">
        <f t="shared" si="664"/>
        <v>17556</v>
      </c>
      <c r="M1433" s="25">
        <f t="shared" si="665"/>
        <v>2945</v>
      </c>
      <c r="N1433" s="25">
        <f t="shared" si="666"/>
        <v>3682</v>
      </c>
      <c r="O1433" s="25">
        <f t="shared" si="667"/>
        <v>3032</v>
      </c>
    </row>
    <row r="1434" spans="1:20">
      <c r="A1434" s="48">
        <v>1029036</v>
      </c>
      <c r="B1434" s="49" t="s">
        <v>357</v>
      </c>
      <c r="C1434" s="25">
        <f t="shared" si="663"/>
        <v>36</v>
      </c>
      <c r="D1434" s="25">
        <f t="array" ref="D1434">INDEX(C$5:C$67,MATCH($B1434,$B$5:$B$67,0))</f>
        <v>4620</v>
      </c>
      <c r="E1434" s="25">
        <f t="array" ref="E1434">INDEX(D$5:D$67,MATCH($B1434,$B$5:$B$67,0))</f>
        <v>369.6</v>
      </c>
      <c r="F1434" s="25">
        <f t="array" ref="F1434">INDEX(E$5:E$67,MATCH($B1434,$B$5:$B$67,0))</f>
        <v>775</v>
      </c>
      <c r="G1434" s="25">
        <f t="array" ref="G1434">INDEX(F$5:F$67,MATCH($B1434,$B$5:$B$67,0))</f>
        <v>62</v>
      </c>
      <c r="H1434" s="25">
        <f t="array" ref="H1434">INDEX(G$5:G$66,MATCH($B1434,$B$5:$B$67,0))</f>
        <v>969</v>
      </c>
      <c r="I1434" s="25">
        <f t="array" ref="I1434">INDEX(H$5:H$67,MATCH($B1434,$B$5:$B$67,0))</f>
        <v>77.52</v>
      </c>
      <c r="J1434" s="25">
        <f t="array" ref="J1434">INDEX(I$5:I$67,MATCH($B1434,$B$5:$B$67,0))</f>
        <v>798</v>
      </c>
      <c r="K1434" s="25">
        <f t="array" ref="K1434">INDEX(J$5:J$67,MATCH($B1434,$B$5:$B$67,0))</f>
        <v>63.84</v>
      </c>
      <c r="L1434" s="25">
        <f t="shared" si="664"/>
        <v>17926</v>
      </c>
      <c r="M1434" s="25">
        <f t="shared" si="665"/>
        <v>3007</v>
      </c>
      <c r="N1434" s="25">
        <f t="shared" si="666"/>
        <v>3760</v>
      </c>
      <c r="O1434" s="25">
        <f t="shared" si="667"/>
        <v>3096</v>
      </c>
    </row>
    <row r="1435" spans="1:20">
      <c r="A1435" s="48">
        <v>1029037</v>
      </c>
      <c r="B1435" s="49" t="s">
        <v>357</v>
      </c>
      <c r="C1435" s="25">
        <f t="shared" si="663"/>
        <v>37</v>
      </c>
      <c r="D1435" s="25">
        <f t="array" ref="D1435">INDEX(C$5:C$67,MATCH($B1435,$B$5:$B$67,0))</f>
        <v>4620</v>
      </c>
      <c r="E1435" s="25">
        <f t="array" ref="E1435">INDEX(D$5:D$67,MATCH($B1435,$B$5:$B$67,0))</f>
        <v>369.6</v>
      </c>
      <c r="F1435" s="25">
        <f t="array" ref="F1435">INDEX(E$5:E$67,MATCH($B1435,$B$5:$B$67,0))</f>
        <v>775</v>
      </c>
      <c r="G1435" s="25">
        <f t="array" ref="G1435">INDEX(F$5:F$67,MATCH($B1435,$B$5:$B$67,0))</f>
        <v>62</v>
      </c>
      <c r="H1435" s="25">
        <f t="array" ref="H1435">INDEX(G$5:G$66,MATCH($B1435,$B$5:$B$67,0))</f>
        <v>969</v>
      </c>
      <c r="I1435" s="25">
        <f t="array" ref="I1435">INDEX(H$5:H$67,MATCH($B1435,$B$5:$B$67,0))</f>
        <v>77.52</v>
      </c>
      <c r="J1435" s="25">
        <f t="array" ref="J1435">INDEX(I$5:I$67,MATCH($B1435,$B$5:$B$67,0))</f>
        <v>798</v>
      </c>
      <c r="K1435" s="25">
        <f t="array" ref="K1435">INDEX(J$5:J$67,MATCH($B1435,$B$5:$B$67,0))</f>
        <v>63.84</v>
      </c>
      <c r="L1435" s="25">
        <f t="shared" si="664"/>
        <v>18295</v>
      </c>
      <c r="M1435" s="25">
        <f t="shared" si="665"/>
        <v>3069</v>
      </c>
      <c r="N1435" s="25">
        <f t="shared" si="666"/>
        <v>3837</v>
      </c>
      <c r="O1435" s="25">
        <f t="shared" si="667"/>
        <v>3160</v>
      </c>
    </row>
    <row r="1436" spans="1:20">
      <c r="A1436" s="48">
        <v>1029038</v>
      </c>
      <c r="B1436" s="49" t="s">
        <v>357</v>
      </c>
      <c r="C1436" s="25">
        <f t="shared" si="663"/>
        <v>38</v>
      </c>
      <c r="D1436" s="25">
        <f t="array" ref="D1436">INDEX(C$5:C$67,MATCH($B1436,$B$5:$B$67,0))</f>
        <v>4620</v>
      </c>
      <c r="E1436" s="25">
        <f t="array" ref="E1436">INDEX(D$5:D$67,MATCH($B1436,$B$5:$B$67,0))</f>
        <v>369.6</v>
      </c>
      <c r="F1436" s="25">
        <f t="array" ref="F1436">INDEX(E$5:E$67,MATCH($B1436,$B$5:$B$67,0))</f>
        <v>775</v>
      </c>
      <c r="G1436" s="25">
        <f t="array" ref="G1436">INDEX(F$5:F$67,MATCH($B1436,$B$5:$B$67,0))</f>
        <v>62</v>
      </c>
      <c r="H1436" s="25">
        <f t="array" ref="H1436">INDEX(G$5:G$66,MATCH($B1436,$B$5:$B$67,0))</f>
        <v>969</v>
      </c>
      <c r="I1436" s="25">
        <f t="array" ref="I1436">INDEX(H$5:H$67,MATCH($B1436,$B$5:$B$67,0))</f>
        <v>77.52</v>
      </c>
      <c r="J1436" s="25">
        <f t="array" ref="J1436">INDEX(I$5:I$67,MATCH($B1436,$B$5:$B$67,0))</f>
        <v>798</v>
      </c>
      <c r="K1436" s="25">
        <f t="array" ref="K1436">INDEX(J$5:J$67,MATCH($B1436,$B$5:$B$67,0))</f>
        <v>63.84</v>
      </c>
      <c r="L1436" s="25">
        <f t="shared" si="664"/>
        <v>18665</v>
      </c>
      <c r="M1436" s="25">
        <f t="shared" si="665"/>
        <v>3131</v>
      </c>
      <c r="N1436" s="25">
        <f t="shared" si="666"/>
        <v>3915</v>
      </c>
      <c r="O1436" s="25">
        <f t="shared" si="667"/>
        <v>3224</v>
      </c>
    </row>
    <row r="1437" spans="1:20">
      <c r="A1437" s="48">
        <v>1029039</v>
      </c>
      <c r="B1437" s="49" t="s">
        <v>357</v>
      </c>
      <c r="C1437" s="25">
        <f t="shared" si="663"/>
        <v>39</v>
      </c>
      <c r="D1437" s="25">
        <f t="array" ref="D1437">INDEX(C$5:C$67,MATCH($B1437,$B$5:$B$67,0))</f>
        <v>4620</v>
      </c>
      <c r="E1437" s="25">
        <f t="array" ref="E1437">INDEX(D$5:D$67,MATCH($B1437,$B$5:$B$67,0))</f>
        <v>369.6</v>
      </c>
      <c r="F1437" s="25">
        <f t="array" ref="F1437">INDEX(E$5:E$67,MATCH($B1437,$B$5:$B$67,0))</f>
        <v>775</v>
      </c>
      <c r="G1437" s="25">
        <f t="array" ref="G1437">INDEX(F$5:F$67,MATCH($B1437,$B$5:$B$67,0))</f>
        <v>62</v>
      </c>
      <c r="H1437" s="25">
        <f t="array" ref="H1437">INDEX(G$5:G$66,MATCH($B1437,$B$5:$B$67,0))</f>
        <v>969</v>
      </c>
      <c r="I1437" s="25">
        <f t="array" ref="I1437">INDEX(H$5:H$67,MATCH($B1437,$B$5:$B$67,0))</f>
        <v>77.52</v>
      </c>
      <c r="J1437" s="25">
        <f t="array" ref="J1437">INDEX(I$5:I$67,MATCH($B1437,$B$5:$B$67,0))</f>
        <v>798</v>
      </c>
      <c r="K1437" s="25">
        <f t="array" ref="K1437">INDEX(J$5:J$67,MATCH($B1437,$B$5:$B$67,0))</f>
        <v>63.84</v>
      </c>
      <c r="L1437" s="25">
        <f t="shared" si="664"/>
        <v>19034</v>
      </c>
      <c r="M1437" s="25">
        <f t="shared" si="665"/>
        <v>3193</v>
      </c>
      <c r="N1437" s="25">
        <f t="shared" si="666"/>
        <v>3992</v>
      </c>
      <c r="O1437" s="25">
        <f t="shared" si="667"/>
        <v>3288</v>
      </c>
    </row>
    <row r="1438" spans="1:20">
      <c r="A1438" s="48">
        <v>1029040</v>
      </c>
      <c r="B1438" s="49" t="s">
        <v>357</v>
      </c>
      <c r="C1438" s="25">
        <f t="shared" si="663"/>
        <v>40</v>
      </c>
      <c r="D1438" s="25">
        <f t="array" ref="D1438">INDEX(C$5:C$67,MATCH($B1438,$B$5:$B$67,0))</f>
        <v>4620</v>
      </c>
      <c r="E1438" s="25">
        <f t="array" ref="E1438">INDEX(D$5:D$67,MATCH($B1438,$B$5:$B$67,0))</f>
        <v>369.6</v>
      </c>
      <c r="F1438" s="25">
        <f t="array" ref="F1438">INDEX(E$5:E$67,MATCH($B1438,$B$5:$B$67,0))</f>
        <v>775</v>
      </c>
      <c r="G1438" s="25">
        <f t="array" ref="G1438">INDEX(F$5:F$67,MATCH($B1438,$B$5:$B$67,0))</f>
        <v>62</v>
      </c>
      <c r="H1438" s="25">
        <f t="array" ref="H1438">INDEX(G$5:G$66,MATCH($B1438,$B$5:$B$67,0))</f>
        <v>969</v>
      </c>
      <c r="I1438" s="25">
        <f t="array" ref="I1438">INDEX(H$5:H$67,MATCH($B1438,$B$5:$B$67,0))</f>
        <v>77.52</v>
      </c>
      <c r="J1438" s="25">
        <f t="array" ref="J1438">INDEX(I$5:I$67,MATCH($B1438,$B$5:$B$67,0))</f>
        <v>798</v>
      </c>
      <c r="K1438" s="25">
        <f t="array" ref="K1438">INDEX(J$5:J$67,MATCH($B1438,$B$5:$B$67,0))</f>
        <v>63.84</v>
      </c>
      <c r="L1438" s="25">
        <f t="shared" si="664"/>
        <v>19404</v>
      </c>
      <c r="M1438" s="25">
        <f t="shared" si="665"/>
        <v>3255</v>
      </c>
      <c r="N1438" s="25">
        <f t="shared" si="666"/>
        <v>4070</v>
      </c>
      <c r="O1438" s="25">
        <f t="shared" si="667"/>
        <v>3352</v>
      </c>
    </row>
    <row r="1439" spans="1:20">
      <c r="A1439" s="48">
        <v>1029041</v>
      </c>
      <c r="B1439" s="49" t="s">
        <v>357</v>
      </c>
      <c r="C1439" s="25">
        <f t="shared" si="663"/>
        <v>41</v>
      </c>
      <c r="D1439" s="25">
        <f t="array" ref="D1439">INDEX(C$5:C$67,MATCH($B1439,$B$5:$B$67,0))</f>
        <v>4620</v>
      </c>
      <c r="E1439" s="25">
        <f t="array" ref="E1439">INDEX(D$5:D$67,MATCH($B1439,$B$5:$B$67,0))</f>
        <v>369.6</v>
      </c>
      <c r="F1439" s="25">
        <f t="array" ref="F1439">INDEX(E$5:E$67,MATCH($B1439,$B$5:$B$67,0))</f>
        <v>775</v>
      </c>
      <c r="G1439" s="25">
        <f t="array" ref="G1439">INDEX(F$5:F$67,MATCH($B1439,$B$5:$B$67,0))</f>
        <v>62</v>
      </c>
      <c r="H1439" s="25">
        <f t="array" ref="H1439">INDEX(G$5:G$66,MATCH($B1439,$B$5:$B$67,0))</f>
        <v>969</v>
      </c>
      <c r="I1439" s="25">
        <f t="array" ref="I1439">INDEX(H$5:H$67,MATCH($B1439,$B$5:$B$67,0))</f>
        <v>77.52</v>
      </c>
      <c r="J1439" s="25">
        <f t="array" ref="J1439">INDEX(I$5:I$67,MATCH($B1439,$B$5:$B$67,0))</f>
        <v>798</v>
      </c>
      <c r="K1439" s="25">
        <f t="array" ref="K1439">INDEX(J$5:J$67,MATCH($B1439,$B$5:$B$67,0))</f>
        <v>63.84</v>
      </c>
      <c r="L1439" s="25">
        <f t="shared" si="664"/>
        <v>19774</v>
      </c>
      <c r="M1439" s="25">
        <f t="shared" si="665"/>
        <v>3317</v>
      </c>
      <c r="N1439" s="25">
        <f t="shared" si="666"/>
        <v>4147</v>
      </c>
      <c r="O1439" s="25">
        <f t="shared" si="667"/>
        <v>3415</v>
      </c>
    </row>
    <row r="1440" spans="1:20">
      <c r="A1440" s="48">
        <v>1029042</v>
      </c>
      <c r="B1440" s="49" t="s">
        <v>357</v>
      </c>
      <c r="C1440" s="25">
        <f t="shared" si="663"/>
        <v>42</v>
      </c>
      <c r="D1440" s="25">
        <f t="array" ref="D1440">INDEX(C$5:C$67,MATCH($B1440,$B$5:$B$67,0))</f>
        <v>4620</v>
      </c>
      <c r="E1440" s="25">
        <f t="array" ref="E1440">INDEX(D$5:D$67,MATCH($B1440,$B$5:$B$67,0))</f>
        <v>369.6</v>
      </c>
      <c r="F1440" s="25">
        <f t="array" ref="F1440">INDEX(E$5:E$67,MATCH($B1440,$B$5:$B$67,0))</f>
        <v>775</v>
      </c>
      <c r="G1440" s="25">
        <f t="array" ref="G1440">INDEX(F$5:F$67,MATCH($B1440,$B$5:$B$67,0))</f>
        <v>62</v>
      </c>
      <c r="H1440" s="25">
        <f t="array" ref="H1440">INDEX(G$5:G$66,MATCH($B1440,$B$5:$B$67,0))</f>
        <v>969</v>
      </c>
      <c r="I1440" s="25">
        <f t="array" ref="I1440">INDEX(H$5:H$67,MATCH($B1440,$B$5:$B$67,0))</f>
        <v>77.52</v>
      </c>
      <c r="J1440" s="25">
        <f t="array" ref="J1440">INDEX(I$5:I$67,MATCH($B1440,$B$5:$B$67,0))</f>
        <v>798</v>
      </c>
      <c r="K1440" s="25">
        <f t="array" ref="K1440">INDEX(J$5:J$67,MATCH($B1440,$B$5:$B$67,0))</f>
        <v>63.84</v>
      </c>
      <c r="L1440" s="25">
        <f t="shared" si="664"/>
        <v>20143</v>
      </c>
      <c r="M1440" s="25">
        <f t="shared" si="665"/>
        <v>3379</v>
      </c>
      <c r="N1440" s="25">
        <f t="shared" si="666"/>
        <v>4225</v>
      </c>
      <c r="O1440" s="25">
        <f t="shared" si="667"/>
        <v>3479</v>
      </c>
    </row>
    <row r="1441" spans="1:15">
      <c r="A1441" s="48">
        <v>1029043</v>
      </c>
      <c r="B1441" s="49" t="s">
        <v>357</v>
      </c>
      <c r="C1441" s="25">
        <f t="shared" si="663"/>
        <v>43</v>
      </c>
      <c r="D1441" s="25">
        <f t="array" ref="D1441">INDEX(C$5:C$67,MATCH($B1441,$B$5:$B$67,0))</f>
        <v>4620</v>
      </c>
      <c r="E1441" s="25">
        <f t="array" ref="E1441">INDEX(D$5:D$67,MATCH($B1441,$B$5:$B$67,0))</f>
        <v>369.6</v>
      </c>
      <c r="F1441" s="25">
        <f t="array" ref="F1441">INDEX(E$5:E$67,MATCH($B1441,$B$5:$B$67,0))</f>
        <v>775</v>
      </c>
      <c r="G1441" s="25">
        <f t="array" ref="G1441">INDEX(F$5:F$67,MATCH($B1441,$B$5:$B$67,0))</f>
        <v>62</v>
      </c>
      <c r="H1441" s="25">
        <f t="array" ref="H1441">INDEX(G$5:G$66,MATCH($B1441,$B$5:$B$67,0))</f>
        <v>969</v>
      </c>
      <c r="I1441" s="25">
        <f t="array" ref="I1441">INDEX(H$5:H$67,MATCH($B1441,$B$5:$B$67,0))</f>
        <v>77.52</v>
      </c>
      <c r="J1441" s="25">
        <f t="array" ref="J1441">INDEX(I$5:I$67,MATCH($B1441,$B$5:$B$67,0))</f>
        <v>798</v>
      </c>
      <c r="K1441" s="25">
        <f t="array" ref="K1441">INDEX(J$5:J$67,MATCH($B1441,$B$5:$B$67,0))</f>
        <v>63.84</v>
      </c>
      <c r="L1441" s="25">
        <f t="shared" si="664"/>
        <v>20513</v>
      </c>
      <c r="M1441" s="25">
        <f t="shared" si="665"/>
        <v>3441</v>
      </c>
      <c r="N1441" s="25">
        <f t="shared" si="666"/>
        <v>4302</v>
      </c>
      <c r="O1441" s="25">
        <f t="shared" si="667"/>
        <v>3543</v>
      </c>
    </row>
    <row r="1442" spans="1:15">
      <c r="A1442" s="48">
        <v>1029044</v>
      </c>
      <c r="B1442" s="49" t="s">
        <v>357</v>
      </c>
      <c r="C1442" s="25">
        <f t="shared" si="663"/>
        <v>44</v>
      </c>
      <c r="D1442" s="25">
        <f t="array" ref="D1442">INDEX(C$5:C$67,MATCH($B1442,$B$5:$B$67,0))</f>
        <v>4620</v>
      </c>
      <c r="E1442" s="25">
        <f t="array" ref="E1442">INDEX(D$5:D$67,MATCH($B1442,$B$5:$B$67,0))</f>
        <v>369.6</v>
      </c>
      <c r="F1442" s="25">
        <f t="array" ref="F1442">INDEX(E$5:E$67,MATCH($B1442,$B$5:$B$67,0))</f>
        <v>775</v>
      </c>
      <c r="G1442" s="25">
        <f t="array" ref="G1442">INDEX(F$5:F$67,MATCH($B1442,$B$5:$B$67,0))</f>
        <v>62</v>
      </c>
      <c r="H1442" s="25">
        <f t="array" ref="H1442">INDEX(G$5:G$66,MATCH($B1442,$B$5:$B$67,0))</f>
        <v>969</v>
      </c>
      <c r="I1442" s="25">
        <f t="array" ref="I1442">INDEX(H$5:H$67,MATCH($B1442,$B$5:$B$67,0))</f>
        <v>77.52</v>
      </c>
      <c r="J1442" s="25">
        <f t="array" ref="J1442">INDEX(I$5:I$67,MATCH($B1442,$B$5:$B$67,0))</f>
        <v>798</v>
      </c>
      <c r="K1442" s="25">
        <f t="array" ref="K1442">INDEX(J$5:J$67,MATCH($B1442,$B$5:$B$67,0))</f>
        <v>63.84</v>
      </c>
      <c r="L1442" s="25">
        <f t="shared" si="664"/>
        <v>20882</v>
      </c>
      <c r="M1442" s="25">
        <f t="shared" si="665"/>
        <v>3503</v>
      </c>
      <c r="N1442" s="25">
        <f t="shared" si="666"/>
        <v>4380</v>
      </c>
      <c r="O1442" s="25">
        <f t="shared" si="667"/>
        <v>3607</v>
      </c>
    </row>
    <row r="1443" spans="1:15">
      <c r="A1443" s="48">
        <v>1029045</v>
      </c>
      <c r="B1443" s="49" t="s">
        <v>357</v>
      </c>
      <c r="C1443" s="25">
        <f t="shared" si="663"/>
        <v>45</v>
      </c>
      <c r="D1443" s="25">
        <f t="array" ref="D1443">INDEX(C$5:C$67,MATCH($B1443,$B$5:$B$67,0))</f>
        <v>4620</v>
      </c>
      <c r="E1443" s="25">
        <f t="array" ref="E1443">INDEX(D$5:D$67,MATCH($B1443,$B$5:$B$67,0))</f>
        <v>369.6</v>
      </c>
      <c r="F1443" s="25">
        <f t="array" ref="F1443">INDEX(E$5:E$67,MATCH($B1443,$B$5:$B$67,0))</f>
        <v>775</v>
      </c>
      <c r="G1443" s="25">
        <f t="array" ref="G1443">INDEX(F$5:F$67,MATCH($B1443,$B$5:$B$67,0))</f>
        <v>62</v>
      </c>
      <c r="H1443" s="25">
        <f t="array" ref="H1443">INDEX(G$5:G$66,MATCH($B1443,$B$5:$B$67,0))</f>
        <v>969</v>
      </c>
      <c r="I1443" s="25">
        <f t="array" ref="I1443">INDEX(H$5:H$67,MATCH($B1443,$B$5:$B$67,0))</f>
        <v>77.52</v>
      </c>
      <c r="J1443" s="25">
        <f t="array" ref="J1443">INDEX(I$5:I$67,MATCH($B1443,$B$5:$B$67,0))</f>
        <v>798</v>
      </c>
      <c r="K1443" s="25">
        <f t="array" ref="K1443">INDEX(J$5:J$67,MATCH($B1443,$B$5:$B$67,0))</f>
        <v>63.84</v>
      </c>
      <c r="L1443" s="25">
        <f t="shared" si="664"/>
        <v>21252</v>
      </c>
      <c r="M1443" s="25">
        <f t="shared" si="665"/>
        <v>3565</v>
      </c>
      <c r="N1443" s="25">
        <f t="shared" si="666"/>
        <v>4457</v>
      </c>
      <c r="O1443" s="25">
        <f t="shared" si="667"/>
        <v>3671</v>
      </c>
    </row>
    <row r="1444" spans="1:15">
      <c r="A1444" s="48">
        <v>1029046</v>
      </c>
      <c r="B1444" s="49" t="s">
        <v>357</v>
      </c>
      <c r="C1444" s="25">
        <f t="shared" si="663"/>
        <v>46</v>
      </c>
      <c r="D1444" s="25">
        <f t="array" ref="D1444">INDEX(C$5:C$67,MATCH($B1444,$B$5:$B$67,0))</f>
        <v>4620</v>
      </c>
      <c r="E1444" s="25">
        <f t="array" ref="E1444">INDEX(D$5:D$67,MATCH($B1444,$B$5:$B$67,0))</f>
        <v>369.6</v>
      </c>
      <c r="F1444" s="25">
        <f t="array" ref="F1444">INDEX(E$5:E$67,MATCH($B1444,$B$5:$B$67,0))</f>
        <v>775</v>
      </c>
      <c r="G1444" s="25">
        <f t="array" ref="G1444">INDEX(F$5:F$67,MATCH($B1444,$B$5:$B$67,0))</f>
        <v>62</v>
      </c>
      <c r="H1444" s="25">
        <f t="array" ref="H1444">INDEX(G$5:G$66,MATCH($B1444,$B$5:$B$67,0))</f>
        <v>969</v>
      </c>
      <c r="I1444" s="25">
        <f t="array" ref="I1444">INDEX(H$5:H$67,MATCH($B1444,$B$5:$B$67,0))</f>
        <v>77.52</v>
      </c>
      <c r="J1444" s="25">
        <f t="array" ref="J1444">INDEX(I$5:I$67,MATCH($B1444,$B$5:$B$67,0))</f>
        <v>798</v>
      </c>
      <c r="K1444" s="25">
        <f t="array" ref="K1444">INDEX(J$5:J$67,MATCH($B1444,$B$5:$B$67,0))</f>
        <v>63.84</v>
      </c>
      <c r="L1444" s="25">
        <f t="shared" si="664"/>
        <v>21622</v>
      </c>
      <c r="M1444" s="25">
        <f t="shared" si="665"/>
        <v>3627</v>
      </c>
      <c r="N1444" s="25">
        <f t="shared" si="666"/>
        <v>4535</v>
      </c>
      <c r="O1444" s="25">
        <f t="shared" si="667"/>
        <v>3735</v>
      </c>
    </row>
    <row r="1445" spans="1:15">
      <c r="A1445" s="48">
        <v>1029047</v>
      </c>
      <c r="B1445" s="49" t="s">
        <v>357</v>
      </c>
      <c r="C1445" s="25">
        <f t="shared" si="663"/>
        <v>47</v>
      </c>
      <c r="D1445" s="25">
        <f t="array" ref="D1445">INDEX(C$5:C$67,MATCH($B1445,$B$5:$B$67,0))</f>
        <v>4620</v>
      </c>
      <c r="E1445" s="25">
        <f t="array" ref="E1445">INDEX(D$5:D$67,MATCH($B1445,$B$5:$B$67,0))</f>
        <v>369.6</v>
      </c>
      <c r="F1445" s="25">
        <f t="array" ref="F1445">INDEX(E$5:E$67,MATCH($B1445,$B$5:$B$67,0))</f>
        <v>775</v>
      </c>
      <c r="G1445" s="25">
        <f t="array" ref="G1445">INDEX(F$5:F$67,MATCH($B1445,$B$5:$B$67,0))</f>
        <v>62</v>
      </c>
      <c r="H1445" s="25">
        <f t="array" ref="H1445">INDEX(G$5:G$66,MATCH($B1445,$B$5:$B$67,0))</f>
        <v>969</v>
      </c>
      <c r="I1445" s="25">
        <f t="array" ref="I1445">INDEX(H$5:H$67,MATCH($B1445,$B$5:$B$67,0))</f>
        <v>77.52</v>
      </c>
      <c r="J1445" s="25">
        <f t="array" ref="J1445">INDEX(I$5:I$67,MATCH($B1445,$B$5:$B$67,0))</f>
        <v>798</v>
      </c>
      <c r="K1445" s="25">
        <f t="array" ref="K1445">INDEX(J$5:J$67,MATCH($B1445,$B$5:$B$67,0))</f>
        <v>63.84</v>
      </c>
      <c r="L1445" s="25">
        <f t="shared" si="664"/>
        <v>21991</v>
      </c>
      <c r="M1445" s="25">
        <f t="shared" si="665"/>
        <v>3689</v>
      </c>
      <c r="N1445" s="25">
        <f t="shared" si="666"/>
        <v>4612</v>
      </c>
      <c r="O1445" s="25">
        <f t="shared" si="667"/>
        <v>3798</v>
      </c>
    </row>
    <row r="1446" spans="1:15">
      <c r="A1446" s="48">
        <v>1029048</v>
      </c>
      <c r="B1446" s="49" t="s">
        <v>357</v>
      </c>
      <c r="C1446" s="25">
        <f t="shared" si="663"/>
        <v>48</v>
      </c>
      <c r="D1446" s="25">
        <f t="array" ref="D1446">INDEX(C$5:C$67,MATCH($B1446,$B$5:$B$67,0))</f>
        <v>4620</v>
      </c>
      <c r="E1446" s="25">
        <f t="array" ref="E1446">INDEX(D$5:D$67,MATCH($B1446,$B$5:$B$67,0))</f>
        <v>369.6</v>
      </c>
      <c r="F1446" s="25">
        <f t="array" ref="F1446">INDEX(E$5:E$67,MATCH($B1446,$B$5:$B$67,0))</f>
        <v>775</v>
      </c>
      <c r="G1446" s="25">
        <f t="array" ref="G1446">INDEX(F$5:F$67,MATCH($B1446,$B$5:$B$67,0))</f>
        <v>62</v>
      </c>
      <c r="H1446" s="25">
        <f t="array" ref="H1446">INDEX(G$5:G$66,MATCH($B1446,$B$5:$B$67,0))</f>
        <v>969</v>
      </c>
      <c r="I1446" s="25">
        <f t="array" ref="I1446">INDEX(H$5:H$67,MATCH($B1446,$B$5:$B$67,0))</f>
        <v>77.52</v>
      </c>
      <c r="J1446" s="25">
        <f t="array" ref="J1446">INDEX(I$5:I$67,MATCH($B1446,$B$5:$B$67,0))</f>
        <v>798</v>
      </c>
      <c r="K1446" s="25">
        <f t="array" ref="K1446">INDEX(J$5:J$67,MATCH($B1446,$B$5:$B$67,0))</f>
        <v>63.84</v>
      </c>
      <c r="L1446" s="25">
        <f t="shared" si="664"/>
        <v>22361</v>
      </c>
      <c r="M1446" s="25">
        <f t="shared" si="665"/>
        <v>3751</v>
      </c>
      <c r="N1446" s="25">
        <f t="shared" si="666"/>
        <v>4690</v>
      </c>
      <c r="O1446" s="25">
        <f t="shared" si="667"/>
        <v>3862</v>
      </c>
    </row>
    <row r="1447" spans="1:15">
      <c r="A1447" s="48">
        <v>1029049</v>
      </c>
      <c r="B1447" s="49" t="s">
        <v>357</v>
      </c>
      <c r="C1447" s="25">
        <f t="shared" si="663"/>
        <v>49</v>
      </c>
      <c r="D1447" s="25">
        <f t="array" ref="D1447">INDEX(C$5:C$67,MATCH($B1447,$B$5:$B$67,0))</f>
        <v>4620</v>
      </c>
      <c r="E1447" s="25">
        <f t="array" ref="E1447">INDEX(D$5:D$67,MATCH($B1447,$B$5:$B$67,0))</f>
        <v>369.6</v>
      </c>
      <c r="F1447" s="25">
        <f t="array" ref="F1447">INDEX(E$5:E$67,MATCH($B1447,$B$5:$B$67,0))</f>
        <v>775</v>
      </c>
      <c r="G1447" s="25">
        <f t="array" ref="G1447">INDEX(F$5:F$67,MATCH($B1447,$B$5:$B$67,0))</f>
        <v>62</v>
      </c>
      <c r="H1447" s="25">
        <f t="array" ref="H1447">INDEX(G$5:G$66,MATCH($B1447,$B$5:$B$67,0))</f>
        <v>969</v>
      </c>
      <c r="I1447" s="25">
        <f t="array" ref="I1447">INDEX(H$5:H$67,MATCH($B1447,$B$5:$B$67,0))</f>
        <v>77.52</v>
      </c>
      <c r="J1447" s="25">
        <f t="array" ref="J1447">INDEX(I$5:I$67,MATCH($B1447,$B$5:$B$67,0))</f>
        <v>798</v>
      </c>
      <c r="K1447" s="25">
        <f t="array" ref="K1447">INDEX(J$5:J$67,MATCH($B1447,$B$5:$B$67,0))</f>
        <v>63.84</v>
      </c>
      <c r="L1447" s="25">
        <f t="shared" si="664"/>
        <v>22730</v>
      </c>
      <c r="M1447" s="25">
        <f t="shared" si="665"/>
        <v>3813</v>
      </c>
      <c r="N1447" s="25">
        <f t="shared" si="666"/>
        <v>4767</v>
      </c>
      <c r="O1447" s="25">
        <f t="shared" si="667"/>
        <v>3926</v>
      </c>
    </row>
    <row r="1448" spans="1:15">
      <c r="A1448" s="48">
        <v>1029050</v>
      </c>
      <c r="B1448" s="49" t="s">
        <v>357</v>
      </c>
      <c r="C1448" s="25">
        <f t="shared" si="663"/>
        <v>50</v>
      </c>
      <c r="D1448" s="25">
        <f t="array" ref="D1448">INDEX(C$5:C$67,MATCH($B1448,$B$5:$B$67,0))</f>
        <v>4620</v>
      </c>
      <c r="E1448" s="25">
        <f t="array" ref="E1448">INDEX(D$5:D$67,MATCH($B1448,$B$5:$B$67,0))</f>
        <v>369.6</v>
      </c>
      <c r="F1448" s="25">
        <f t="array" ref="F1448">INDEX(E$5:E$67,MATCH($B1448,$B$5:$B$67,0))</f>
        <v>775</v>
      </c>
      <c r="G1448" s="25">
        <f t="array" ref="G1448">INDEX(F$5:F$67,MATCH($B1448,$B$5:$B$67,0))</f>
        <v>62</v>
      </c>
      <c r="H1448" s="25">
        <f t="array" ref="H1448">INDEX(G$5:G$66,MATCH($B1448,$B$5:$B$67,0))</f>
        <v>969</v>
      </c>
      <c r="I1448" s="25">
        <f t="array" ref="I1448">INDEX(H$5:H$67,MATCH($B1448,$B$5:$B$67,0))</f>
        <v>77.52</v>
      </c>
      <c r="J1448" s="25">
        <f t="array" ref="J1448">INDEX(I$5:I$67,MATCH($B1448,$B$5:$B$67,0))</f>
        <v>798</v>
      </c>
      <c r="K1448" s="25">
        <f t="array" ref="K1448">INDEX(J$5:J$67,MATCH($B1448,$B$5:$B$67,0))</f>
        <v>63.84</v>
      </c>
      <c r="L1448" s="25">
        <f t="shared" si="664"/>
        <v>23100</v>
      </c>
      <c r="M1448" s="25">
        <f t="shared" si="665"/>
        <v>3875</v>
      </c>
      <c r="N1448" s="25">
        <f t="shared" si="666"/>
        <v>4845</v>
      </c>
      <c r="O1448" s="25">
        <f t="shared" si="667"/>
        <v>3990</v>
      </c>
    </row>
    <row r="1449" spans="1:15">
      <c r="A1449" s="48">
        <v>1029051</v>
      </c>
      <c r="B1449" s="49" t="s">
        <v>357</v>
      </c>
      <c r="C1449" s="25">
        <f t="shared" si="663"/>
        <v>51</v>
      </c>
      <c r="D1449" s="25">
        <f t="array" ref="D1449">INDEX(C$5:C$67,MATCH($B1449,$B$5:$B$67,0))</f>
        <v>4620</v>
      </c>
      <c r="E1449" s="25">
        <f t="array" ref="E1449">INDEX(D$5:D$67,MATCH($B1449,$B$5:$B$67,0))</f>
        <v>369.6</v>
      </c>
      <c r="F1449" s="25">
        <f t="array" ref="F1449">INDEX(E$5:E$67,MATCH($B1449,$B$5:$B$67,0))</f>
        <v>775</v>
      </c>
      <c r="G1449" s="25">
        <f t="array" ref="G1449">INDEX(F$5:F$67,MATCH($B1449,$B$5:$B$67,0))</f>
        <v>62</v>
      </c>
      <c r="H1449" s="25">
        <f t="array" ref="H1449">INDEX(G$5:G$66,MATCH($B1449,$B$5:$B$67,0))</f>
        <v>969</v>
      </c>
      <c r="I1449" s="25">
        <f t="array" ref="I1449">INDEX(H$5:H$67,MATCH($B1449,$B$5:$B$67,0))</f>
        <v>77.52</v>
      </c>
      <c r="J1449" s="25">
        <f t="array" ref="J1449">INDEX(I$5:I$67,MATCH($B1449,$B$5:$B$67,0))</f>
        <v>798</v>
      </c>
      <c r="K1449" s="25">
        <f t="array" ref="K1449">INDEX(J$5:J$67,MATCH($B1449,$B$5:$B$67,0))</f>
        <v>63.84</v>
      </c>
      <c r="L1449" s="25">
        <f t="shared" si="664"/>
        <v>23470</v>
      </c>
      <c r="M1449" s="25">
        <f t="shared" si="665"/>
        <v>3937</v>
      </c>
      <c r="N1449" s="25">
        <f t="shared" si="666"/>
        <v>4923</v>
      </c>
      <c r="O1449" s="25">
        <f t="shared" si="667"/>
        <v>4054</v>
      </c>
    </row>
    <row r="1450" spans="1:15">
      <c r="A1450" s="48">
        <v>1029052</v>
      </c>
      <c r="B1450" s="49" t="s">
        <v>357</v>
      </c>
      <c r="C1450" s="25">
        <f t="shared" si="663"/>
        <v>52</v>
      </c>
      <c r="D1450" s="25">
        <f t="array" ref="D1450">INDEX(C$5:C$67,MATCH($B1450,$B$5:$B$67,0))</f>
        <v>4620</v>
      </c>
      <c r="E1450" s="25">
        <f t="array" ref="E1450">INDEX(D$5:D$67,MATCH($B1450,$B$5:$B$67,0))</f>
        <v>369.6</v>
      </c>
      <c r="F1450" s="25">
        <f t="array" ref="F1450">INDEX(E$5:E$67,MATCH($B1450,$B$5:$B$67,0))</f>
        <v>775</v>
      </c>
      <c r="G1450" s="25">
        <f t="array" ref="G1450">INDEX(F$5:F$67,MATCH($B1450,$B$5:$B$67,0))</f>
        <v>62</v>
      </c>
      <c r="H1450" s="25">
        <f t="array" ref="H1450">INDEX(G$5:G$66,MATCH($B1450,$B$5:$B$67,0))</f>
        <v>969</v>
      </c>
      <c r="I1450" s="25">
        <f t="array" ref="I1450">INDEX(H$5:H$67,MATCH($B1450,$B$5:$B$67,0))</f>
        <v>77.52</v>
      </c>
      <c r="J1450" s="25">
        <f t="array" ref="J1450">INDEX(I$5:I$67,MATCH($B1450,$B$5:$B$67,0))</f>
        <v>798</v>
      </c>
      <c r="K1450" s="25">
        <f t="array" ref="K1450">INDEX(J$5:J$67,MATCH($B1450,$B$5:$B$67,0))</f>
        <v>63.84</v>
      </c>
      <c r="L1450" s="25">
        <f t="shared" si="664"/>
        <v>23839</v>
      </c>
      <c r="M1450" s="25">
        <f t="shared" si="665"/>
        <v>3999</v>
      </c>
      <c r="N1450" s="25">
        <f t="shared" si="666"/>
        <v>5000</v>
      </c>
      <c r="O1450" s="25">
        <f t="shared" si="667"/>
        <v>4118</v>
      </c>
    </row>
    <row r="1451" spans="1:15">
      <c r="A1451" s="48">
        <v>1029053</v>
      </c>
      <c r="B1451" s="49" t="s">
        <v>357</v>
      </c>
      <c r="C1451" s="25">
        <f t="shared" si="663"/>
        <v>53</v>
      </c>
      <c r="D1451" s="25">
        <f t="array" ref="D1451">INDEX(C$5:C$67,MATCH($B1451,$B$5:$B$67,0))</f>
        <v>4620</v>
      </c>
      <c r="E1451" s="25">
        <f t="array" ref="E1451">INDEX(D$5:D$67,MATCH($B1451,$B$5:$B$67,0))</f>
        <v>369.6</v>
      </c>
      <c r="F1451" s="25">
        <f t="array" ref="F1451">INDEX(E$5:E$67,MATCH($B1451,$B$5:$B$67,0))</f>
        <v>775</v>
      </c>
      <c r="G1451" s="25">
        <f t="array" ref="G1451">INDEX(F$5:F$67,MATCH($B1451,$B$5:$B$67,0))</f>
        <v>62</v>
      </c>
      <c r="H1451" s="25">
        <f t="array" ref="H1451">INDEX(G$5:G$66,MATCH($B1451,$B$5:$B$67,0))</f>
        <v>969</v>
      </c>
      <c r="I1451" s="25">
        <f t="array" ref="I1451">INDEX(H$5:H$67,MATCH($B1451,$B$5:$B$67,0))</f>
        <v>77.52</v>
      </c>
      <c r="J1451" s="25">
        <f t="array" ref="J1451">INDEX(I$5:I$67,MATCH($B1451,$B$5:$B$67,0))</f>
        <v>798</v>
      </c>
      <c r="K1451" s="25">
        <f t="array" ref="K1451">INDEX(J$5:J$67,MATCH($B1451,$B$5:$B$67,0))</f>
        <v>63.84</v>
      </c>
      <c r="L1451" s="25">
        <f t="shared" si="664"/>
        <v>24209</v>
      </c>
      <c r="M1451" s="25">
        <f t="shared" si="665"/>
        <v>4061</v>
      </c>
      <c r="N1451" s="25">
        <f t="shared" si="666"/>
        <v>5078</v>
      </c>
      <c r="O1451" s="25">
        <f t="shared" si="667"/>
        <v>4182</v>
      </c>
    </row>
    <row r="1452" spans="1:15">
      <c r="A1452" s="48">
        <v>1029054</v>
      </c>
      <c r="B1452" s="49" t="s">
        <v>357</v>
      </c>
      <c r="C1452" s="25">
        <f t="shared" si="663"/>
        <v>54</v>
      </c>
      <c r="D1452" s="25">
        <f t="array" ref="D1452">INDEX(C$5:C$67,MATCH($B1452,$B$5:$B$67,0))</f>
        <v>4620</v>
      </c>
      <c r="E1452" s="25">
        <f t="array" ref="E1452">INDEX(D$5:D$67,MATCH($B1452,$B$5:$B$67,0))</f>
        <v>369.6</v>
      </c>
      <c r="F1452" s="25">
        <f t="array" ref="F1452">INDEX(E$5:E$67,MATCH($B1452,$B$5:$B$67,0))</f>
        <v>775</v>
      </c>
      <c r="G1452" s="25">
        <f t="array" ref="G1452">INDEX(F$5:F$67,MATCH($B1452,$B$5:$B$67,0))</f>
        <v>62</v>
      </c>
      <c r="H1452" s="25">
        <f t="array" ref="H1452">INDEX(G$5:G$66,MATCH($B1452,$B$5:$B$67,0))</f>
        <v>969</v>
      </c>
      <c r="I1452" s="25">
        <f t="array" ref="I1452">INDEX(H$5:H$67,MATCH($B1452,$B$5:$B$67,0))</f>
        <v>77.52</v>
      </c>
      <c r="J1452" s="25">
        <f t="array" ref="J1452">INDEX(I$5:I$67,MATCH($B1452,$B$5:$B$67,0))</f>
        <v>798</v>
      </c>
      <c r="K1452" s="25">
        <f t="array" ref="K1452">INDEX(J$5:J$67,MATCH($B1452,$B$5:$B$67,0))</f>
        <v>63.84</v>
      </c>
      <c r="L1452" s="25">
        <f t="shared" si="664"/>
        <v>24578</v>
      </c>
      <c r="M1452" s="25">
        <f t="shared" si="665"/>
        <v>4123</v>
      </c>
      <c r="N1452" s="25">
        <f t="shared" si="666"/>
        <v>5155</v>
      </c>
      <c r="O1452" s="25">
        <f t="shared" si="667"/>
        <v>4245</v>
      </c>
    </row>
    <row r="1453" spans="1:15">
      <c r="A1453" s="48">
        <v>1029055</v>
      </c>
      <c r="B1453" s="49" t="s">
        <v>357</v>
      </c>
      <c r="C1453" s="25">
        <f t="shared" si="663"/>
        <v>55</v>
      </c>
      <c r="D1453" s="25">
        <f t="array" ref="D1453">INDEX(C$5:C$67,MATCH($B1453,$B$5:$B$67,0))</f>
        <v>4620</v>
      </c>
      <c r="E1453" s="25">
        <f t="array" ref="E1453">INDEX(D$5:D$67,MATCH($B1453,$B$5:$B$67,0))</f>
        <v>369.6</v>
      </c>
      <c r="F1453" s="25">
        <f t="array" ref="F1453">INDEX(E$5:E$67,MATCH($B1453,$B$5:$B$67,0))</f>
        <v>775</v>
      </c>
      <c r="G1453" s="25">
        <f t="array" ref="G1453">INDEX(F$5:F$67,MATCH($B1453,$B$5:$B$67,0))</f>
        <v>62</v>
      </c>
      <c r="H1453" s="25">
        <f t="array" ref="H1453">INDEX(G$5:G$66,MATCH($B1453,$B$5:$B$67,0))</f>
        <v>969</v>
      </c>
      <c r="I1453" s="25">
        <f t="array" ref="I1453">INDEX(H$5:H$67,MATCH($B1453,$B$5:$B$67,0))</f>
        <v>77.52</v>
      </c>
      <c r="J1453" s="25">
        <f t="array" ref="J1453">INDEX(I$5:I$67,MATCH($B1453,$B$5:$B$67,0))</f>
        <v>798</v>
      </c>
      <c r="K1453" s="25">
        <f t="array" ref="K1453">INDEX(J$5:J$67,MATCH($B1453,$B$5:$B$67,0))</f>
        <v>63.84</v>
      </c>
      <c r="L1453" s="25">
        <f t="shared" si="664"/>
        <v>24948</v>
      </c>
      <c r="M1453" s="25">
        <f t="shared" si="665"/>
        <v>4185</v>
      </c>
      <c r="N1453" s="25">
        <f t="shared" si="666"/>
        <v>5233</v>
      </c>
      <c r="O1453" s="25">
        <f t="shared" si="667"/>
        <v>4309</v>
      </c>
    </row>
    <row r="1454" spans="1:15">
      <c r="A1454" s="48">
        <v>1029056</v>
      </c>
      <c r="B1454" s="49" t="s">
        <v>357</v>
      </c>
      <c r="C1454" s="25">
        <f t="shared" si="663"/>
        <v>56</v>
      </c>
      <c r="D1454" s="25">
        <f t="array" ref="D1454">INDEX(C$5:C$67,MATCH($B1454,$B$5:$B$67,0))</f>
        <v>4620</v>
      </c>
      <c r="E1454" s="25">
        <f t="array" ref="E1454">INDEX(D$5:D$67,MATCH($B1454,$B$5:$B$67,0))</f>
        <v>369.6</v>
      </c>
      <c r="F1454" s="25">
        <f t="array" ref="F1454">INDEX(E$5:E$67,MATCH($B1454,$B$5:$B$67,0))</f>
        <v>775</v>
      </c>
      <c r="G1454" s="25">
        <f t="array" ref="G1454">INDEX(F$5:F$67,MATCH($B1454,$B$5:$B$67,0))</f>
        <v>62</v>
      </c>
      <c r="H1454" s="25">
        <f t="array" ref="H1454">INDEX(G$5:G$66,MATCH($B1454,$B$5:$B$67,0))</f>
        <v>969</v>
      </c>
      <c r="I1454" s="25">
        <f t="array" ref="I1454">INDEX(H$5:H$67,MATCH($B1454,$B$5:$B$67,0))</f>
        <v>77.52</v>
      </c>
      <c r="J1454" s="25">
        <f t="array" ref="J1454">INDEX(I$5:I$67,MATCH($B1454,$B$5:$B$67,0))</f>
        <v>798</v>
      </c>
      <c r="K1454" s="25">
        <f t="array" ref="K1454">INDEX(J$5:J$67,MATCH($B1454,$B$5:$B$67,0))</f>
        <v>63.84</v>
      </c>
      <c r="L1454" s="25">
        <f t="shared" si="664"/>
        <v>25318</v>
      </c>
      <c r="M1454" s="25">
        <f t="shared" si="665"/>
        <v>4247</v>
      </c>
      <c r="N1454" s="25">
        <f t="shared" si="666"/>
        <v>5310</v>
      </c>
      <c r="O1454" s="25">
        <f t="shared" si="667"/>
        <v>4373</v>
      </c>
    </row>
    <row r="1455" spans="1:15">
      <c r="A1455" s="48">
        <v>1029057</v>
      </c>
      <c r="B1455" s="49" t="s">
        <v>357</v>
      </c>
      <c r="C1455" s="25">
        <f t="shared" si="663"/>
        <v>57</v>
      </c>
      <c r="D1455" s="25">
        <f t="array" ref="D1455">INDEX(C$5:C$67,MATCH($B1455,$B$5:$B$67,0))</f>
        <v>4620</v>
      </c>
      <c r="E1455" s="25">
        <f t="array" ref="E1455">INDEX(D$5:D$67,MATCH($B1455,$B$5:$B$67,0))</f>
        <v>369.6</v>
      </c>
      <c r="F1455" s="25">
        <f t="array" ref="F1455">INDEX(E$5:E$67,MATCH($B1455,$B$5:$B$67,0))</f>
        <v>775</v>
      </c>
      <c r="G1455" s="25">
        <f t="array" ref="G1455">INDEX(F$5:F$67,MATCH($B1455,$B$5:$B$67,0))</f>
        <v>62</v>
      </c>
      <c r="H1455" s="25">
        <f t="array" ref="H1455">INDEX(G$5:G$66,MATCH($B1455,$B$5:$B$67,0))</f>
        <v>969</v>
      </c>
      <c r="I1455" s="25">
        <f t="array" ref="I1455">INDEX(H$5:H$67,MATCH($B1455,$B$5:$B$67,0))</f>
        <v>77.52</v>
      </c>
      <c r="J1455" s="25">
        <f t="array" ref="J1455">INDEX(I$5:I$67,MATCH($B1455,$B$5:$B$67,0))</f>
        <v>798</v>
      </c>
      <c r="K1455" s="25">
        <f t="array" ref="K1455">INDEX(J$5:J$67,MATCH($B1455,$B$5:$B$67,0))</f>
        <v>63.84</v>
      </c>
      <c r="L1455" s="25">
        <f t="shared" si="664"/>
        <v>25687</v>
      </c>
      <c r="M1455" s="25">
        <f t="shared" si="665"/>
        <v>4309</v>
      </c>
      <c r="N1455" s="25">
        <f t="shared" si="666"/>
        <v>5388</v>
      </c>
      <c r="O1455" s="25">
        <f t="shared" si="667"/>
        <v>4437</v>
      </c>
    </row>
    <row r="1456" spans="1:15">
      <c r="A1456" s="48">
        <v>1029058</v>
      </c>
      <c r="B1456" s="49" t="s">
        <v>357</v>
      </c>
      <c r="C1456" s="25">
        <f t="shared" si="663"/>
        <v>58</v>
      </c>
      <c r="D1456" s="25">
        <f t="array" ref="D1456">INDEX(C$5:C$67,MATCH($B1456,$B$5:$B$67,0))</f>
        <v>4620</v>
      </c>
      <c r="E1456" s="25">
        <f t="array" ref="E1456">INDEX(D$5:D$67,MATCH($B1456,$B$5:$B$67,0))</f>
        <v>369.6</v>
      </c>
      <c r="F1456" s="25">
        <f t="array" ref="F1456">INDEX(E$5:E$67,MATCH($B1456,$B$5:$B$67,0))</f>
        <v>775</v>
      </c>
      <c r="G1456" s="25">
        <f t="array" ref="G1456">INDEX(F$5:F$67,MATCH($B1456,$B$5:$B$67,0))</f>
        <v>62</v>
      </c>
      <c r="H1456" s="25">
        <f t="array" ref="H1456">INDEX(G$5:G$66,MATCH($B1456,$B$5:$B$67,0))</f>
        <v>969</v>
      </c>
      <c r="I1456" s="25">
        <f t="array" ref="I1456">INDEX(H$5:H$67,MATCH($B1456,$B$5:$B$67,0))</f>
        <v>77.52</v>
      </c>
      <c r="J1456" s="25">
        <f t="array" ref="J1456">INDEX(I$5:I$67,MATCH($B1456,$B$5:$B$67,0))</f>
        <v>798</v>
      </c>
      <c r="K1456" s="25">
        <f t="array" ref="K1456">INDEX(J$5:J$67,MATCH($B1456,$B$5:$B$67,0))</f>
        <v>63.84</v>
      </c>
      <c r="L1456" s="25">
        <f t="shared" si="664"/>
        <v>26057</v>
      </c>
      <c r="M1456" s="25">
        <f t="shared" si="665"/>
        <v>4371</v>
      </c>
      <c r="N1456" s="25">
        <f t="shared" si="666"/>
        <v>5465</v>
      </c>
      <c r="O1456" s="25">
        <f t="shared" si="667"/>
        <v>4501</v>
      </c>
    </row>
    <row r="1457" spans="1:15">
      <c r="A1457" s="48">
        <v>1029059</v>
      </c>
      <c r="B1457" s="49" t="s">
        <v>357</v>
      </c>
      <c r="C1457" s="25">
        <f t="shared" si="663"/>
        <v>59</v>
      </c>
      <c r="D1457" s="25">
        <f t="array" ref="D1457">INDEX(C$5:C$67,MATCH($B1457,$B$5:$B$67,0))</f>
        <v>4620</v>
      </c>
      <c r="E1457" s="25">
        <f t="array" ref="E1457">INDEX(D$5:D$67,MATCH($B1457,$B$5:$B$67,0))</f>
        <v>369.6</v>
      </c>
      <c r="F1457" s="25">
        <f t="array" ref="F1457">INDEX(E$5:E$67,MATCH($B1457,$B$5:$B$67,0))</f>
        <v>775</v>
      </c>
      <c r="G1457" s="25">
        <f t="array" ref="G1457">INDEX(F$5:F$67,MATCH($B1457,$B$5:$B$67,0))</f>
        <v>62</v>
      </c>
      <c r="H1457" s="25">
        <f t="array" ref="H1457">INDEX(G$5:G$66,MATCH($B1457,$B$5:$B$67,0))</f>
        <v>969</v>
      </c>
      <c r="I1457" s="25">
        <f t="array" ref="I1457">INDEX(H$5:H$67,MATCH($B1457,$B$5:$B$67,0))</f>
        <v>77.52</v>
      </c>
      <c r="J1457" s="25">
        <f t="array" ref="J1457">INDEX(I$5:I$67,MATCH($B1457,$B$5:$B$67,0))</f>
        <v>798</v>
      </c>
      <c r="K1457" s="25">
        <f t="array" ref="K1457">INDEX(J$5:J$67,MATCH($B1457,$B$5:$B$67,0))</f>
        <v>63.84</v>
      </c>
      <c r="L1457" s="25">
        <f t="shared" si="664"/>
        <v>26426</v>
      </c>
      <c r="M1457" s="25">
        <f t="shared" si="665"/>
        <v>4433</v>
      </c>
      <c r="N1457" s="25">
        <f t="shared" si="666"/>
        <v>5543</v>
      </c>
      <c r="O1457" s="25">
        <f t="shared" si="667"/>
        <v>4565</v>
      </c>
    </row>
    <row r="1458" spans="1:15">
      <c r="A1458" s="48">
        <v>1029060</v>
      </c>
      <c r="B1458" s="49" t="s">
        <v>357</v>
      </c>
      <c r="C1458" s="25">
        <f t="shared" si="663"/>
        <v>60</v>
      </c>
      <c r="D1458" s="25">
        <f t="array" ref="D1458">INDEX(C$5:C$67,MATCH($B1458,$B$5:$B$67,0))</f>
        <v>4620</v>
      </c>
      <c r="E1458" s="25">
        <f t="array" ref="E1458">INDEX(D$5:D$67,MATCH($B1458,$B$5:$B$67,0))</f>
        <v>369.6</v>
      </c>
      <c r="F1458" s="25">
        <f t="array" ref="F1458">INDEX(E$5:E$67,MATCH($B1458,$B$5:$B$67,0))</f>
        <v>775</v>
      </c>
      <c r="G1458" s="25">
        <f t="array" ref="G1458">INDEX(F$5:F$67,MATCH($B1458,$B$5:$B$67,0))</f>
        <v>62</v>
      </c>
      <c r="H1458" s="25">
        <f t="array" ref="H1458">INDEX(G$5:G$66,MATCH($B1458,$B$5:$B$67,0))</f>
        <v>969</v>
      </c>
      <c r="I1458" s="25">
        <f t="array" ref="I1458">INDEX(H$5:H$67,MATCH($B1458,$B$5:$B$67,0))</f>
        <v>77.52</v>
      </c>
      <c r="J1458" s="25">
        <f t="array" ref="J1458">INDEX(I$5:I$67,MATCH($B1458,$B$5:$B$67,0))</f>
        <v>798</v>
      </c>
      <c r="K1458" s="25">
        <f t="array" ref="K1458">INDEX(J$5:J$67,MATCH($B1458,$B$5:$B$67,0))</f>
        <v>63.84</v>
      </c>
      <c r="L1458" s="25">
        <f t="shared" si="664"/>
        <v>26796</v>
      </c>
      <c r="M1458" s="25">
        <f t="shared" si="665"/>
        <v>4495</v>
      </c>
      <c r="N1458" s="25">
        <f t="shared" si="666"/>
        <v>5620</v>
      </c>
      <c r="O1458" s="25">
        <f t="shared" si="667"/>
        <v>4628</v>
      </c>
    </row>
    <row r="1459" spans="1:15">
      <c r="A1459" s="48">
        <v>1030001</v>
      </c>
      <c r="B1459" s="49" t="s">
        <v>360</v>
      </c>
      <c r="C1459" s="25">
        <f t="shared" si="663"/>
        <v>1</v>
      </c>
      <c r="D1459" s="25">
        <f t="array" ref="D1459">INDEX(C$5:C$67,MATCH($B1459,$B$5:$B$67,0))</f>
        <v>5600</v>
      </c>
      <c r="E1459" s="25">
        <f t="array" ref="E1459">INDEX(D$5:D$67,MATCH($B1459,$B$5:$B$67,0))</f>
        <v>448</v>
      </c>
      <c r="F1459" s="25">
        <f t="array" ref="F1459">INDEX(E$5:E$67,MATCH($B1459,$B$5:$B$67,0))</f>
        <v>576</v>
      </c>
      <c r="G1459" s="25">
        <f t="array" ref="G1459">INDEX(F$5:F$67,MATCH($B1459,$B$5:$B$67,0))</f>
        <v>46.08</v>
      </c>
      <c r="H1459" s="25">
        <f t="array" ref="H1459">INDEX(G$5:G$66,MATCH($B1459,$B$5:$B$67,0))</f>
        <v>720</v>
      </c>
      <c r="I1459" s="25">
        <f t="array" ref="I1459">INDEX(H$5:H$67,MATCH($B1459,$B$5:$B$67,0))</f>
        <v>57.6</v>
      </c>
      <c r="J1459" s="25">
        <f t="array" ref="J1459">INDEX(I$5:I$67,MATCH($B1459,$B$5:$B$67,0))</f>
        <v>880</v>
      </c>
      <c r="K1459" s="25">
        <f t="array" ref="K1459">INDEX(J$5:J$67,MATCH($B1459,$B$5:$B$67,0))</f>
        <v>70.4</v>
      </c>
      <c r="L1459" s="25">
        <f t="shared" si="664"/>
        <v>6048</v>
      </c>
      <c r="M1459" s="25">
        <f t="shared" si="665"/>
        <v>622</v>
      </c>
      <c r="N1459" s="25">
        <f t="shared" si="666"/>
        <v>778</v>
      </c>
      <c r="O1459" s="25">
        <f t="shared" si="667"/>
        <v>950</v>
      </c>
    </row>
    <row r="1460" spans="1:15">
      <c r="A1460" s="48">
        <v>1030002</v>
      </c>
      <c r="B1460" s="49" t="s">
        <v>360</v>
      </c>
      <c r="C1460" s="25">
        <f t="shared" si="663"/>
        <v>2</v>
      </c>
      <c r="D1460" s="25">
        <f t="array" ref="D1460">INDEX(C$5:C$67,MATCH($B1460,$B$5:$B$67,0))</f>
        <v>5600</v>
      </c>
      <c r="E1460" s="25">
        <f t="array" ref="E1460">INDEX(D$5:D$67,MATCH($B1460,$B$5:$B$67,0))</f>
        <v>448</v>
      </c>
      <c r="F1460" s="25">
        <f t="array" ref="F1460">INDEX(E$5:E$67,MATCH($B1460,$B$5:$B$67,0))</f>
        <v>576</v>
      </c>
      <c r="G1460" s="25">
        <f t="array" ref="G1460">INDEX(F$5:F$67,MATCH($B1460,$B$5:$B$67,0))</f>
        <v>46.08</v>
      </c>
      <c r="H1460" s="25">
        <f t="array" ref="H1460">INDEX(G$5:G$66,MATCH($B1460,$B$5:$B$67,0))</f>
        <v>720</v>
      </c>
      <c r="I1460" s="25">
        <f t="array" ref="I1460">INDEX(H$5:H$67,MATCH($B1460,$B$5:$B$67,0))</f>
        <v>57.6</v>
      </c>
      <c r="J1460" s="25">
        <f t="array" ref="J1460">INDEX(I$5:I$67,MATCH($B1460,$B$5:$B$67,0))</f>
        <v>880</v>
      </c>
      <c r="K1460" s="25">
        <f t="array" ref="K1460">INDEX(J$5:J$67,MATCH($B1460,$B$5:$B$67,0))</f>
        <v>70.4</v>
      </c>
      <c r="L1460" s="25">
        <f t="shared" si="664"/>
        <v>6496</v>
      </c>
      <c r="M1460" s="25">
        <f t="shared" si="665"/>
        <v>668</v>
      </c>
      <c r="N1460" s="25">
        <f t="shared" si="666"/>
        <v>835</v>
      </c>
      <c r="O1460" s="25">
        <f t="shared" si="667"/>
        <v>1021</v>
      </c>
    </row>
    <row r="1461" spans="1:15">
      <c r="A1461" s="48">
        <v>1030003</v>
      </c>
      <c r="B1461" s="49" t="s">
        <v>360</v>
      </c>
      <c r="C1461" s="25">
        <f t="shared" si="663"/>
        <v>3</v>
      </c>
      <c r="D1461" s="25">
        <f t="array" ref="D1461">INDEX(C$5:C$67,MATCH($B1461,$B$5:$B$67,0))</f>
        <v>5600</v>
      </c>
      <c r="E1461" s="25">
        <f t="array" ref="E1461">INDEX(D$5:D$67,MATCH($B1461,$B$5:$B$67,0))</f>
        <v>448</v>
      </c>
      <c r="F1461" s="25">
        <f t="array" ref="F1461">INDEX(E$5:E$67,MATCH($B1461,$B$5:$B$67,0))</f>
        <v>576</v>
      </c>
      <c r="G1461" s="25">
        <f t="array" ref="G1461">INDEX(F$5:F$67,MATCH($B1461,$B$5:$B$67,0))</f>
        <v>46.08</v>
      </c>
      <c r="H1461" s="25">
        <f t="array" ref="H1461">INDEX(G$5:G$66,MATCH($B1461,$B$5:$B$67,0))</f>
        <v>720</v>
      </c>
      <c r="I1461" s="25">
        <f t="array" ref="I1461">INDEX(H$5:H$67,MATCH($B1461,$B$5:$B$67,0))</f>
        <v>57.6</v>
      </c>
      <c r="J1461" s="25">
        <f t="array" ref="J1461">INDEX(I$5:I$67,MATCH($B1461,$B$5:$B$67,0))</f>
        <v>880</v>
      </c>
      <c r="K1461" s="25">
        <f t="array" ref="K1461">INDEX(J$5:J$67,MATCH($B1461,$B$5:$B$67,0))</f>
        <v>70.4</v>
      </c>
      <c r="L1461" s="25">
        <f t="shared" si="664"/>
        <v>6944</v>
      </c>
      <c r="M1461" s="25">
        <f t="shared" si="665"/>
        <v>714</v>
      </c>
      <c r="N1461" s="25">
        <f t="shared" si="666"/>
        <v>893</v>
      </c>
      <c r="O1461" s="25">
        <f t="shared" si="667"/>
        <v>1091</v>
      </c>
    </row>
    <row r="1462" spans="1:15">
      <c r="A1462" s="48">
        <v>1030004</v>
      </c>
      <c r="B1462" s="49" t="s">
        <v>360</v>
      </c>
      <c r="C1462" s="25">
        <f t="shared" si="663"/>
        <v>4</v>
      </c>
      <c r="D1462" s="25">
        <f t="array" ref="D1462">INDEX(C$5:C$67,MATCH($B1462,$B$5:$B$67,0))</f>
        <v>5600</v>
      </c>
      <c r="E1462" s="25">
        <f t="array" ref="E1462">INDEX(D$5:D$67,MATCH($B1462,$B$5:$B$67,0))</f>
        <v>448</v>
      </c>
      <c r="F1462" s="25">
        <f t="array" ref="F1462">INDEX(E$5:E$67,MATCH($B1462,$B$5:$B$67,0))</f>
        <v>576</v>
      </c>
      <c r="G1462" s="25">
        <f t="array" ref="G1462">INDEX(F$5:F$67,MATCH($B1462,$B$5:$B$67,0))</f>
        <v>46.08</v>
      </c>
      <c r="H1462" s="25">
        <f t="array" ref="H1462">INDEX(G$5:G$66,MATCH($B1462,$B$5:$B$67,0))</f>
        <v>720</v>
      </c>
      <c r="I1462" s="25">
        <f t="array" ref="I1462">INDEX(H$5:H$67,MATCH($B1462,$B$5:$B$67,0))</f>
        <v>57.6</v>
      </c>
      <c r="J1462" s="25">
        <f t="array" ref="J1462">INDEX(I$5:I$67,MATCH($B1462,$B$5:$B$67,0))</f>
        <v>880</v>
      </c>
      <c r="K1462" s="25">
        <f t="array" ref="K1462">INDEX(J$5:J$67,MATCH($B1462,$B$5:$B$67,0))</f>
        <v>70.4</v>
      </c>
      <c r="L1462" s="25">
        <f t="shared" si="664"/>
        <v>7392</v>
      </c>
      <c r="M1462" s="25">
        <f t="shared" si="665"/>
        <v>760</v>
      </c>
      <c r="N1462" s="25">
        <f t="shared" si="666"/>
        <v>950</v>
      </c>
      <c r="O1462" s="25">
        <f t="shared" si="667"/>
        <v>1162</v>
      </c>
    </row>
    <row r="1463" spans="1:15">
      <c r="A1463" s="48">
        <v>1030005</v>
      </c>
      <c r="B1463" s="49" t="s">
        <v>360</v>
      </c>
      <c r="C1463" s="25">
        <f t="shared" si="663"/>
        <v>5</v>
      </c>
      <c r="D1463" s="25">
        <f t="array" ref="D1463">INDEX(C$5:C$67,MATCH($B1463,$B$5:$B$67,0))</f>
        <v>5600</v>
      </c>
      <c r="E1463" s="25">
        <f t="array" ref="E1463">INDEX(D$5:D$67,MATCH($B1463,$B$5:$B$67,0))</f>
        <v>448</v>
      </c>
      <c r="F1463" s="25">
        <f t="array" ref="F1463">INDEX(E$5:E$67,MATCH($B1463,$B$5:$B$67,0))</f>
        <v>576</v>
      </c>
      <c r="G1463" s="25">
        <f t="array" ref="G1463">INDEX(F$5:F$67,MATCH($B1463,$B$5:$B$67,0))</f>
        <v>46.08</v>
      </c>
      <c r="H1463" s="25">
        <f t="array" ref="H1463">INDEX(G$5:G$66,MATCH($B1463,$B$5:$B$67,0))</f>
        <v>720</v>
      </c>
      <c r="I1463" s="25">
        <f t="array" ref="I1463">INDEX(H$5:H$67,MATCH($B1463,$B$5:$B$67,0))</f>
        <v>57.6</v>
      </c>
      <c r="J1463" s="25">
        <f t="array" ref="J1463">INDEX(I$5:I$67,MATCH($B1463,$B$5:$B$67,0))</f>
        <v>880</v>
      </c>
      <c r="K1463" s="25">
        <f t="array" ref="K1463">INDEX(J$5:J$67,MATCH($B1463,$B$5:$B$67,0))</f>
        <v>70.4</v>
      </c>
      <c r="L1463" s="25">
        <f t="shared" si="664"/>
        <v>7840</v>
      </c>
      <c r="M1463" s="25">
        <f t="shared" si="665"/>
        <v>806</v>
      </c>
      <c r="N1463" s="25">
        <f t="shared" si="666"/>
        <v>1008</v>
      </c>
      <c r="O1463" s="25">
        <f t="shared" si="667"/>
        <v>1232</v>
      </c>
    </row>
    <row r="1464" spans="1:15">
      <c r="A1464" s="48">
        <v>1030006</v>
      </c>
      <c r="B1464" s="49" t="s">
        <v>360</v>
      </c>
      <c r="C1464" s="25">
        <f t="shared" si="663"/>
        <v>6</v>
      </c>
      <c r="D1464" s="25">
        <f t="array" ref="D1464">INDEX(C$5:C$67,MATCH($B1464,$B$5:$B$67,0))</f>
        <v>5600</v>
      </c>
      <c r="E1464" s="25">
        <f t="array" ref="E1464">INDEX(D$5:D$67,MATCH($B1464,$B$5:$B$67,0))</f>
        <v>448</v>
      </c>
      <c r="F1464" s="25">
        <f t="array" ref="F1464">INDEX(E$5:E$67,MATCH($B1464,$B$5:$B$67,0))</f>
        <v>576</v>
      </c>
      <c r="G1464" s="25">
        <f t="array" ref="G1464">INDEX(F$5:F$67,MATCH($B1464,$B$5:$B$67,0))</f>
        <v>46.08</v>
      </c>
      <c r="H1464" s="25">
        <f t="array" ref="H1464">INDEX(G$5:G$66,MATCH($B1464,$B$5:$B$67,0))</f>
        <v>720</v>
      </c>
      <c r="I1464" s="25">
        <f t="array" ref="I1464">INDEX(H$5:H$67,MATCH($B1464,$B$5:$B$67,0))</f>
        <v>57.6</v>
      </c>
      <c r="J1464" s="25">
        <f t="array" ref="J1464">INDEX(I$5:I$67,MATCH($B1464,$B$5:$B$67,0))</f>
        <v>880</v>
      </c>
      <c r="K1464" s="25">
        <f t="array" ref="K1464">INDEX(J$5:J$67,MATCH($B1464,$B$5:$B$67,0))</f>
        <v>70.4</v>
      </c>
      <c r="L1464" s="25">
        <f t="shared" si="664"/>
        <v>8288</v>
      </c>
      <c r="M1464" s="25">
        <f t="shared" si="665"/>
        <v>852</v>
      </c>
      <c r="N1464" s="25">
        <f t="shared" si="666"/>
        <v>1066</v>
      </c>
      <c r="O1464" s="25">
        <f t="shared" si="667"/>
        <v>1302</v>
      </c>
    </row>
    <row r="1465" spans="1:15">
      <c r="A1465" s="48">
        <v>1030007</v>
      </c>
      <c r="B1465" s="49" t="s">
        <v>360</v>
      </c>
      <c r="C1465" s="25">
        <f t="shared" si="663"/>
        <v>7</v>
      </c>
      <c r="D1465" s="25">
        <f t="array" ref="D1465">INDEX(C$5:C$67,MATCH($B1465,$B$5:$B$67,0))</f>
        <v>5600</v>
      </c>
      <c r="E1465" s="25">
        <f t="array" ref="E1465">INDEX(D$5:D$67,MATCH($B1465,$B$5:$B$67,0))</f>
        <v>448</v>
      </c>
      <c r="F1465" s="25">
        <f t="array" ref="F1465">INDEX(E$5:E$67,MATCH($B1465,$B$5:$B$67,0))</f>
        <v>576</v>
      </c>
      <c r="G1465" s="25">
        <f t="array" ref="G1465">INDEX(F$5:F$67,MATCH($B1465,$B$5:$B$67,0))</f>
        <v>46.08</v>
      </c>
      <c r="H1465" s="25">
        <f t="array" ref="H1465">INDEX(G$5:G$66,MATCH($B1465,$B$5:$B$67,0))</f>
        <v>720</v>
      </c>
      <c r="I1465" s="25">
        <f t="array" ref="I1465">INDEX(H$5:H$67,MATCH($B1465,$B$5:$B$67,0))</f>
        <v>57.6</v>
      </c>
      <c r="J1465" s="25">
        <f t="array" ref="J1465">INDEX(I$5:I$67,MATCH($B1465,$B$5:$B$67,0))</f>
        <v>880</v>
      </c>
      <c r="K1465" s="25">
        <f t="array" ref="K1465">INDEX(J$5:J$67,MATCH($B1465,$B$5:$B$67,0))</f>
        <v>70.4</v>
      </c>
      <c r="L1465" s="25">
        <f t="shared" si="664"/>
        <v>8736</v>
      </c>
      <c r="M1465" s="25">
        <f t="shared" si="665"/>
        <v>899</v>
      </c>
      <c r="N1465" s="25">
        <f t="shared" si="666"/>
        <v>1123</v>
      </c>
      <c r="O1465" s="25">
        <f t="shared" si="667"/>
        <v>1373</v>
      </c>
    </row>
    <row r="1466" spans="1:15">
      <c r="A1466" s="48">
        <v>1030008</v>
      </c>
      <c r="B1466" s="49" t="s">
        <v>360</v>
      </c>
      <c r="C1466" s="25">
        <f t="shared" si="663"/>
        <v>8</v>
      </c>
      <c r="D1466" s="25">
        <f t="array" ref="D1466">INDEX(C$5:C$67,MATCH($B1466,$B$5:$B$67,0))</f>
        <v>5600</v>
      </c>
      <c r="E1466" s="25">
        <f t="array" ref="E1466">INDEX(D$5:D$67,MATCH($B1466,$B$5:$B$67,0))</f>
        <v>448</v>
      </c>
      <c r="F1466" s="25">
        <f t="array" ref="F1466">INDEX(E$5:E$67,MATCH($B1466,$B$5:$B$67,0))</f>
        <v>576</v>
      </c>
      <c r="G1466" s="25">
        <f t="array" ref="G1466">INDEX(F$5:F$67,MATCH($B1466,$B$5:$B$67,0))</f>
        <v>46.08</v>
      </c>
      <c r="H1466" s="25">
        <f t="array" ref="H1466">INDEX(G$5:G$66,MATCH($B1466,$B$5:$B$67,0))</f>
        <v>720</v>
      </c>
      <c r="I1466" s="25">
        <f t="array" ref="I1466">INDEX(H$5:H$67,MATCH($B1466,$B$5:$B$67,0))</f>
        <v>57.6</v>
      </c>
      <c r="J1466" s="25">
        <f t="array" ref="J1466">INDEX(I$5:I$67,MATCH($B1466,$B$5:$B$67,0))</f>
        <v>880</v>
      </c>
      <c r="K1466" s="25">
        <f t="array" ref="K1466">INDEX(J$5:J$67,MATCH($B1466,$B$5:$B$67,0))</f>
        <v>70.4</v>
      </c>
      <c r="L1466" s="25">
        <f t="shared" si="664"/>
        <v>9184</v>
      </c>
      <c r="M1466" s="25">
        <f t="shared" si="665"/>
        <v>945</v>
      </c>
      <c r="N1466" s="25">
        <f t="shared" si="666"/>
        <v>1181</v>
      </c>
      <c r="O1466" s="25">
        <f t="shared" si="667"/>
        <v>1443</v>
      </c>
    </row>
    <row r="1467" spans="1:15">
      <c r="A1467" s="48">
        <v>1030009</v>
      </c>
      <c r="B1467" s="49" t="s">
        <v>360</v>
      </c>
      <c r="C1467" s="25">
        <f t="shared" si="663"/>
        <v>9</v>
      </c>
      <c r="D1467" s="25">
        <f t="array" ref="D1467">INDEX(C$5:C$67,MATCH($B1467,$B$5:$B$67,0))</f>
        <v>5600</v>
      </c>
      <c r="E1467" s="25">
        <f t="array" ref="E1467">INDEX(D$5:D$67,MATCH($B1467,$B$5:$B$67,0))</f>
        <v>448</v>
      </c>
      <c r="F1467" s="25">
        <f t="array" ref="F1467">INDEX(E$5:E$67,MATCH($B1467,$B$5:$B$67,0))</f>
        <v>576</v>
      </c>
      <c r="G1467" s="25">
        <f t="array" ref="G1467">INDEX(F$5:F$67,MATCH($B1467,$B$5:$B$67,0))</f>
        <v>46.08</v>
      </c>
      <c r="H1467" s="25">
        <f t="array" ref="H1467">INDEX(G$5:G$66,MATCH($B1467,$B$5:$B$67,0))</f>
        <v>720</v>
      </c>
      <c r="I1467" s="25">
        <f t="array" ref="I1467">INDEX(H$5:H$67,MATCH($B1467,$B$5:$B$67,0))</f>
        <v>57.6</v>
      </c>
      <c r="J1467" s="25">
        <f t="array" ref="J1467">INDEX(I$5:I$67,MATCH($B1467,$B$5:$B$67,0))</f>
        <v>880</v>
      </c>
      <c r="K1467" s="25">
        <f t="array" ref="K1467">INDEX(J$5:J$67,MATCH($B1467,$B$5:$B$67,0))</f>
        <v>70.4</v>
      </c>
      <c r="L1467" s="25">
        <f t="shared" si="664"/>
        <v>9632</v>
      </c>
      <c r="M1467" s="25">
        <f t="shared" si="665"/>
        <v>991</v>
      </c>
      <c r="N1467" s="25">
        <f t="shared" si="666"/>
        <v>1238</v>
      </c>
      <c r="O1467" s="25">
        <f t="shared" si="667"/>
        <v>1514</v>
      </c>
    </row>
    <row r="1468" spans="1:15">
      <c r="A1468" s="48">
        <v>1030010</v>
      </c>
      <c r="B1468" s="49" t="s">
        <v>360</v>
      </c>
      <c r="C1468" s="25">
        <f t="shared" si="663"/>
        <v>10</v>
      </c>
      <c r="D1468" s="25">
        <f t="array" ref="D1468">INDEX(C$5:C$67,MATCH($B1468,$B$5:$B$67,0))</f>
        <v>5600</v>
      </c>
      <c r="E1468" s="25">
        <f t="array" ref="E1468">INDEX(D$5:D$67,MATCH($B1468,$B$5:$B$67,0))</f>
        <v>448</v>
      </c>
      <c r="F1468" s="25">
        <f t="array" ref="F1468">INDEX(E$5:E$67,MATCH($B1468,$B$5:$B$67,0))</f>
        <v>576</v>
      </c>
      <c r="G1468" s="25">
        <f t="array" ref="G1468">INDEX(F$5:F$67,MATCH($B1468,$B$5:$B$67,0))</f>
        <v>46.08</v>
      </c>
      <c r="H1468" s="25">
        <f t="array" ref="H1468">INDEX(G$5:G$66,MATCH($B1468,$B$5:$B$67,0))</f>
        <v>720</v>
      </c>
      <c r="I1468" s="25">
        <f t="array" ref="I1468">INDEX(H$5:H$67,MATCH($B1468,$B$5:$B$67,0))</f>
        <v>57.6</v>
      </c>
      <c r="J1468" s="25">
        <f t="array" ref="J1468">INDEX(I$5:I$67,MATCH($B1468,$B$5:$B$67,0))</f>
        <v>880</v>
      </c>
      <c r="K1468" s="25">
        <f t="array" ref="K1468">INDEX(J$5:J$67,MATCH($B1468,$B$5:$B$67,0))</f>
        <v>70.4</v>
      </c>
      <c r="L1468" s="25">
        <f t="shared" si="664"/>
        <v>10080</v>
      </c>
      <c r="M1468" s="25">
        <f t="shared" si="665"/>
        <v>1037</v>
      </c>
      <c r="N1468" s="25">
        <f t="shared" si="666"/>
        <v>1296</v>
      </c>
      <c r="O1468" s="25">
        <f t="shared" si="667"/>
        <v>1584</v>
      </c>
    </row>
    <row r="1469" spans="1:15">
      <c r="A1469" s="48">
        <v>1030011</v>
      </c>
      <c r="B1469" s="49" t="s">
        <v>360</v>
      </c>
      <c r="C1469" s="25">
        <f t="shared" si="663"/>
        <v>11</v>
      </c>
      <c r="D1469" s="25">
        <f t="array" ref="D1469">INDEX(C$5:C$67,MATCH($B1469,$B$5:$B$67,0))</f>
        <v>5600</v>
      </c>
      <c r="E1469" s="25">
        <f t="array" ref="E1469">INDEX(D$5:D$67,MATCH($B1469,$B$5:$B$67,0))</f>
        <v>448</v>
      </c>
      <c r="F1469" s="25">
        <f t="array" ref="F1469">INDEX(E$5:E$67,MATCH($B1469,$B$5:$B$67,0))</f>
        <v>576</v>
      </c>
      <c r="G1469" s="25">
        <f t="array" ref="G1469">INDEX(F$5:F$67,MATCH($B1469,$B$5:$B$67,0))</f>
        <v>46.08</v>
      </c>
      <c r="H1469" s="25">
        <f t="array" ref="H1469">INDEX(G$5:G$66,MATCH($B1469,$B$5:$B$67,0))</f>
        <v>720</v>
      </c>
      <c r="I1469" s="25">
        <f t="array" ref="I1469">INDEX(H$5:H$67,MATCH($B1469,$B$5:$B$67,0))</f>
        <v>57.6</v>
      </c>
      <c r="J1469" s="25">
        <f t="array" ref="J1469">INDEX(I$5:I$67,MATCH($B1469,$B$5:$B$67,0))</f>
        <v>880</v>
      </c>
      <c r="K1469" s="25">
        <f t="array" ref="K1469">INDEX(J$5:J$67,MATCH($B1469,$B$5:$B$67,0))</f>
        <v>70.4</v>
      </c>
      <c r="L1469" s="25">
        <f t="shared" si="664"/>
        <v>10528</v>
      </c>
      <c r="M1469" s="25">
        <f t="shared" si="665"/>
        <v>1083</v>
      </c>
      <c r="N1469" s="25">
        <f t="shared" si="666"/>
        <v>1354</v>
      </c>
      <c r="O1469" s="25">
        <f t="shared" si="667"/>
        <v>1654</v>
      </c>
    </row>
    <row r="1470" spans="1:15">
      <c r="A1470" s="48">
        <v>1030012</v>
      </c>
      <c r="B1470" s="49" t="s">
        <v>360</v>
      </c>
      <c r="C1470" s="25">
        <f t="shared" si="663"/>
        <v>12</v>
      </c>
      <c r="D1470" s="25">
        <f t="array" ref="D1470">INDEX(C$5:C$67,MATCH($B1470,$B$5:$B$67,0))</f>
        <v>5600</v>
      </c>
      <c r="E1470" s="25">
        <f t="array" ref="E1470">INDEX(D$5:D$67,MATCH($B1470,$B$5:$B$67,0))</f>
        <v>448</v>
      </c>
      <c r="F1470" s="25">
        <f t="array" ref="F1470">INDEX(E$5:E$67,MATCH($B1470,$B$5:$B$67,0))</f>
        <v>576</v>
      </c>
      <c r="G1470" s="25">
        <f t="array" ref="G1470">INDEX(F$5:F$67,MATCH($B1470,$B$5:$B$67,0))</f>
        <v>46.08</v>
      </c>
      <c r="H1470" s="25">
        <f t="array" ref="H1470">INDEX(G$5:G$66,MATCH($B1470,$B$5:$B$67,0))</f>
        <v>720</v>
      </c>
      <c r="I1470" s="25">
        <f t="array" ref="I1470">INDEX(H$5:H$67,MATCH($B1470,$B$5:$B$67,0))</f>
        <v>57.6</v>
      </c>
      <c r="J1470" s="25">
        <f t="array" ref="J1470">INDEX(I$5:I$67,MATCH($B1470,$B$5:$B$67,0))</f>
        <v>880</v>
      </c>
      <c r="K1470" s="25">
        <f t="array" ref="K1470">INDEX(J$5:J$67,MATCH($B1470,$B$5:$B$67,0))</f>
        <v>70.4</v>
      </c>
      <c r="L1470" s="25">
        <f t="shared" si="664"/>
        <v>10976</v>
      </c>
      <c r="M1470" s="25">
        <f t="shared" si="665"/>
        <v>1129</v>
      </c>
      <c r="N1470" s="25">
        <f t="shared" si="666"/>
        <v>1411</v>
      </c>
      <c r="O1470" s="25">
        <f t="shared" si="667"/>
        <v>1725</v>
      </c>
    </row>
    <row r="1471" spans="1:15">
      <c r="A1471" s="48">
        <v>1030013</v>
      </c>
      <c r="B1471" s="49" t="s">
        <v>360</v>
      </c>
      <c r="C1471" s="25">
        <f t="shared" si="663"/>
        <v>13</v>
      </c>
      <c r="D1471" s="25">
        <f t="array" ref="D1471">INDEX(C$5:C$67,MATCH($B1471,$B$5:$B$67,0))</f>
        <v>5600</v>
      </c>
      <c r="E1471" s="25">
        <f t="array" ref="E1471">INDEX(D$5:D$67,MATCH($B1471,$B$5:$B$67,0))</f>
        <v>448</v>
      </c>
      <c r="F1471" s="25">
        <f t="array" ref="F1471">INDEX(E$5:E$67,MATCH($B1471,$B$5:$B$67,0))</f>
        <v>576</v>
      </c>
      <c r="G1471" s="25">
        <f t="array" ref="G1471">INDEX(F$5:F$67,MATCH($B1471,$B$5:$B$67,0))</f>
        <v>46.08</v>
      </c>
      <c r="H1471" s="25">
        <f t="array" ref="H1471">INDEX(G$5:G$66,MATCH($B1471,$B$5:$B$67,0))</f>
        <v>720</v>
      </c>
      <c r="I1471" s="25">
        <f t="array" ref="I1471">INDEX(H$5:H$67,MATCH($B1471,$B$5:$B$67,0))</f>
        <v>57.6</v>
      </c>
      <c r="J1471" s="25">
        <f t="array" ref="J1471">INDEX(I$5:I$67,MATCH($B1471,$B$5:$B$67,0))</f>
        <v>880</v>
      </c>
      <c r="K1471" s="25">
        <f t="array" ref="K1471">INDEX(J$5:J$67,MATCH($B1471,$B$5:$B$67,0))</f>
        <v>70.4</v>
      </c>
      <c r="L1471" s="25">
        <f t="shared" si="664"/>
        <v>11424</v>
      </c>
      <c r="M1471" s="25">
        <f t="shared" si="665"/>
        <v>1175</v>
      </c>
      <c r="N1471" s="25">
        <f t="shared" si="666"/>
        <v>1469</v>
      </c>
      <c r="O1471" s="25">
        <f t="shared" si="667"/>
        <v>1795</v>
      </c>
    </row>
    <row r="1472" spans="1:15">
      <c r="A1472" s="48">
        <v>1030014</v>
      </c>
      <c r="B1472" s="49" t="s">
        <v>360</v>
      </c>
      <c r="C1472" s="25">
        <f t="shared" si="663"/>
        <v>14</v>
      </c>
      <c r="D1472" s="25">
        <f t="array" ref="D1472">INDEX(C$5:C$67,MATCH($B1472,$B$5:$B$67,0))</f>
        <v>5600</v>
      </c>
      <c r="E1472" s="25">
        <f t="array" ref="E1472">INDEX(D$5:D$67,MATCH($B1472,$B$5:$B$67,0))</f>
        <v>448</v>
      </c>
      <c r="F1472" s="25">
        <f t="array" ref="F1472">INDEX(E$5:E$67,MATCH($B1472,$B$5:$B$67,0))</f>
        <v>576</v>
      </c>
      <c r="G1472" s="25">
        <f t="array" ref="G1472">INDEX(F$5:F$67,MATCH($B1472,$B$5:$B$67,0))</f>
        <v>46.08</v>
      </c>
      <c r="H1472" s="25">
        <f t="array" ref="H1472">INDEX(G$5:G$66,MATCH($B1472,$B$5:$B$67,0))</f>
        <v>720</v>
      </c>
      <c r="I1472" s="25">
        <f t="array" ref="I1472">INDEX(H$5:H$67,MATCH($B1472,$B$5:$B$67,0))</f>
        <v>57.6</v>
      </c>
      <c r="J1472" s="25">
        <f t="array" ref="J1472">INDEX(I$5:I$67,MATCH($B1472,$B$5:$B$67,0))</f>
        <v>880</v>
      </c>
      <c r="K1472" s="25">
        <f t="array" ref="K1472">INDEX(J$5:J$67,MATCH($B1472,$B$5:$B$67,0))</f>
        <v>70.4</v>
      </c>
      <c r="L1472" s="25">
        <f t="shared" si="664"/>
        <v>11872</v>
      </c>
      <c r="M1472" s="25">
        <f t="shared" si="665"/>
        <v>1221</v>
      </c>
      <c r="N1472" s="25">
        <f t="shared" si="666"/>
        <v>1526</v>
      </c>
      <c r="O1472" s="25">
        <f t="shared" si="667"/>
        <v>1866</v>
      </c>
    </row>
    <row r="1473" spans="1:15">
      <c r="A1473" s="48">
        <v>1030015</v>
      </c>
      <c r="B1473" s="49" t="s">
        <v>360</v>
      </c>
      <c r="C1473" s="25">
        <f t="shared" si="663"/>
        <v>15</v>
      </c>
      <c r="D1473" s="25">
        <f t="array" ref="D1473">INDEX(C$5:C$67,MATCH($B1473,$B$5:$B$67,0))</f>
        <v>5600</v>
      </c>
      <c r="E1473" s="25">
        <f t="array" ref="E1473">INDEX(D$5:D$67,MATCH($B1473,$B$5:$B$67,0))</f>
        <v>448</v>
      </c>
      <c r="F1473" s="25">
        <f t="array" ref="F1473">INDEX(E$5:E$67,MATCH($B1473,$B$5:$B$67,0))</f>
        <v>576</v>
      </c>
      <c r="G1473" s="25">
        <f t="array" ref="G1473">INDEX(F$5:F$67,MATCH($B1473,$B$5:$B$67,0))</f>
        <v>46.08</v>
      </c>
      <c r="H1473" s="25">
        <f t="array" ref="H1473">INDEX(G$5:G$66,MATCH($B1473,$B$5:$B$67,0))</f>
        <v>720</v>
      </c>
      <c r="I1473" s="25">
        <f t="array" ref="I1473">INDEX(H$5:H$67,MATCH($B1473,$B$5:$B$67,0))</f>
        <v>57.6</v>
      </c>
      <c r="J1473" s="25">
        <f t="array" ref="J1473">INDEX(I$5:I$67,MATCH($B1473,$B$5:$B$67,0))</f>
        <v>880</v>
      </c>
      <c r="K1473" s="25">
        <f t="array" ref="K1473">INDEX(J$5:J$67,MATCH($B1473,$B$5:$B$67,0))</f>
        <v>70.4</v>
      </c>
      <c r="L1473" s="25">
        <f t="shared" si="664"/>
        <v>12320</v>
      </c>
      <c r="M1473" s="25">
        <f t="shared" si="665"/>
        <v>1267</v>
      </c>
      <c r="N1473" s="25">
        <f t="shared" si="666"/>
        <v>1584</v>
      </c>
      <c r="O1473" s="25">
        <f t="shared" si="667"/>
        <v>1936</v>
      </c>
    </row>
    <row r="1474" spans="1:15">
      <c r="A1474" s="48">
        <v>1030016</v>
      </c>
      <c r="B1474" s="49" t="s">
        <v>360</v>
      </c>
      <c r="C1474" s="25">
        <f t="shared" si="663"/>
        <v>16</v>
      </c>
      <c r="D1474" s="25">
        <f t="array" ref="D1474">INDEX(C$5:C$67,MATCH($B1474,$B$5:$B$67,0))</f>
        <v>5600</v>
      </c>
      <c r="E1474" s="25">
        <f t="array" ref="E1474">INDEX(D$5:D$67,MATCH($B1474,$B$5:$B$67,0))</f>
        <v>448</v>
      </c>
      <c r="F1474" s="25">
        <f t="array" ref="F1474">INDEX(E$5:E$67,MATCH($B1474,$B$5:$B$67,0))</f>
        <v>576</v>
      </c>
      <c r="G1474" s="25">
        <f t="array" ref="G1474">INDEX(F$5:F$67,MATCH($B1474,$B$5:$B$67,0))</f>
        <v>46.08</v>
      </c>
      <c r="H1474" s="25">
        <f t="array" ref="H1474">INDEX(G$5:G$66,MATCH($B1474,$B$5:$B$67,0))</f>
        <v>720</v>
      </c>
      <c r="I1474" s="25">
        <f t="array" ref="I1474">INDEX(H$5:H$67,MATCH($B1474,$B$5:$B$67,0))</f>
        <v>57.6</v>
      </c>
      <c r="J1474" s="25">
        <f t="array" ref="J1474">INDEX(I$5:I$67,MATCH($B1474,$B$5:$B$67,0))</f>
        <v>880</v>
      </c>
      <c r="K1474" s="25">
        <f t="array" ref="K1474">INDEX(J$5:J$67,MATCH($B1474,$B$5:$B$67,0))</f>
        <v>70.4</v>
      </c>
      <c r="L1474" s="25">
        <f t="shared" si="664"/>
        <v>12768</v>
      </c>
      <c r="M1474" s="25">
        <f t="shared" si="665"/>
        <v>1313</v>
      </c>
      <c r="N1474" s="25">
        <f t="shared" si="666"/>
        <v>1642</v>
      </c>
      <c r="O1474" s="25">
        <f t="shared" si="667"/>
        <v>2006</v>
      </c>
    </row>
    <row r="1475" spans="1:15">
      <c r="A1475" s="48">
        <v>1030017</v>
      </c>
      <c r="B1475" s="49" t="s">
        <v>360</v>
      </c>
      <c r="C1475" s="25">
        <f t="shared" si="663"/>
        <v>17</v>
      </c>
      <c r="D1475" s="25">
        <f t="array" ref="D1475">INDEX(C$5:C$67,MATCH($B1475,$B$5:$B$67,0))</f>
        <v>5600</v>
      </c>
      <c r="E1475" s="25">
        <f t="array" ref="E1475">INDEX(D$5:D$67,MATCH($B1475,$B$5:$B$67,0))</f>
        <v>448</v>
      </c>
      <c r="F1475" s="25">
        <f t="array" ref="F1475">INDEX(E$5:E$67,MATCH($B1475,$B$5:$B$67,0))</f>
        <v>576</v>
      </c>
      <c r="G1475" s="25">
        <f t="array" ref="G1475">INDEX(F$5:F$67,MATCH($B1475,$B$5:$B$67,0))</f>
        <v>46.08</v>
      </c>
      <c r="H1475" s="25">
        <f t="array" ref="H1475">INDEX(G$5:G$66,MATCH($B1475,$B$5:$B$67,0))</f>
        <v>720</v>
      </c>
      <c r="I1475" s="25">
        <f t="array" ref="I1475">INDEX(H$5:H$67,MATCH($B1475,$B$5:$B$67,0))</f>
        <v>57.6</v>
      </c>
      <c r="J1475" s="25">
        <f t="array" ref="J1475">INDEX(I$5:I$67,MATCH($B1475,$B$5:$B$67,0))</f>
        <v>880</v>
      </c>
      <c r="K1475" s="25">
        <f t="array" ref="K1475">INDEX(J$5:J$67,MATCH($B1475,$B$5:$B$67,0))</f>
        <v>70.4</v>
      </c>
      <c r="L1475" s="25">
        <f t="shared" si="664"/>
        <v>13216</v>
      </c>
      <c r="M1475" s="25">
        <f t="shared" si="665"/>
        <v>1359</v>
      </c>
      <c r="N1475" s="25">
        <f t="shared" si="666"/>
        <v>1699</v>
      </c>
      <c r="O1475" s="25">
        <f t="shared" si="667"/>
        <v>2077</v>
      </c>
    </row>
    <row r="1476" spans="1:15">
      <c r="A1476" s="48">
        <v>1030018</v>
      </c>
      <c r="B1476" s="49" t="s">
        <v>360</v>
      </c>
      <c r="C1476" s="25">
        <f t="shared" si="663"/>
        <v>18</v>
      </c>
      <c r="D1476" s="25">
        <f t="array" ref="D1476">INDEX(C$5:C$67,MATCH($B1476,$B$5:$B$67,0))</f>
        <v>5600</v>
      </c>
      <c r="E1476" s="25">
        <f t="array" ref="E1476">INDEX(D$5:D$67,MATCH($B1476,$B$5:$B$67,0))</f>
        <v>448</v>
      </c>
      <c r="F1476" s="25">
        <f t="array" ref="F1476">INDEX(E$5:E$67,MATCH($B1476,$B$5:$B$67,0))</f>
        <v>576</v>
      </c>
      <c r="G1476" s="25">
        <f t="array" ref="G1476">INDEX(F$5:F$67,MATCH($B1476,$B$5:$B$67,0))</f>
        <v>46.08</v>
      </c>
      <c r="H1476" s="25">
        <f t="array" ref="H1476">INDEX(G$5:G$66,MATCH($B1476,$B$5:$B$67,0))</f>
        <v>720</v>
      </c>
      <c r="I1476" s="25">
        <f t="array" ref="I1476">INDEX(H$5:H$67,MATCH($B1476,$B$5:$B$67,0))</f>
        <v>57.6</v>
      </c>
      <c r="J1476" s="25">
        <f t="array" ref="J1476">INDEX(I$5:I$67,MATCH($B1476,$B$5:$B$67,0))</f>
        <v>880</v>
      </c>
      <c r="K1476" s="25">
        <f t="array" ref="K1476">INDEX(J$5:J$67,MATCH($B1476,$B$5:$B$67,0))</f>
        <v>70.4</v>
      </c>
      <c r="L1476" s="25">
        <f t="shared" si="664"/>
        <v>13664</v>
      </c>
      <c r="M1476" s="25">
        <f t="shared" si="665"/>
        <v>1405</v>
      </c>
      <c r="N1476" s="25">
        <f t="shared" si="666"/>
        <v>1757</v>
      </c>
      <c r="O1476" s="25">
        <f t="shared" si="667"/>
        <v>2147</v>
      </c>
    </row>
    <row r="1477" spans="1:15">
      <c r="A1477" s="48">
        <v>1030019</v>
      </c>
      <c r="B1477" s="49" t="s">
        <v>360</v>
      </c>
      <c r="C1477" s="25">
        <f t="shared" si="663"/>
        <v>19</v>
      </c>
      <c r="D1477" s="25">
        <f t="array" ref="D1477">INDEX(C$5:C$67,MATCH($B1477,$B$5:$B$67,0))</f>
        <v>5600</v>
      </c>
      <c r="E1477" s="25">
        <f t="array" ref="E1477">INDEX(D$5:D$67,MATCH($B1477,$B$5:$B$67,0))</f>
        <v>448</v>
      </c>
      <c r="F1477" s="25">
        <f t="array" ref="F1477">INDEX(E$5:E$67,MATCH($B1477,$B$5:$B$67,0))</f>
        <v>576</v>
      </c>
      <c r="G1477" s="25">
        <f t="array" ref="G1477">INDEX(F$5:F$67,MATCH($B1477,$B$5:$B$67,0))</f>
        <v>46.08</v>
      </c>
      <c r="H1477" s="25">
        <f t="array" ref="H1477">INDEX(G$5:G$66,MATCH($B1477,$B$5:$B$67,0))</f>
        <v>720</v>
      </c>
      <c r="I1477" s="25">
        <f t="array" ref="I1477">INDEX(H$5:H$67,MATCH($B1477,$B$5:$B$67,0))</f>
        <v>57.6</v>
      </c>
      <c r="J1477" s="25">
        <f t="array" ref="J1477">INDEX(I$5:I$67,MATCH($B1477,$B$5:$B$67,0))</f>
        <v>880</v>
      </c>
      <c r="K1477" s="25">
        <f t="array" ref="K1477">INDEX(J$5:J$67,MATCH($B1477,$B$5:$B$67,0))</f>
        <v>70.4</v>
      </c>
      <c r="L1477" s="25">
        <f t="shared" si="664"/>
        <v>14112</v>
      </c>
      <c r="M1477" s="25">
        <f t="shared" si="665"/>
        <v>1452</v>
      </c>
      <c r="N1477" s="25">
        <f t="shared" si="666"/>
        <v>1814</v>
      </c>
      <c r="O1477" s="25">
        <f t="shared" si="667"/>
        <v>2218</v>
      </c>
    </row>
    <row r="1478" spans="1:15">
      <c r="A1478" s="48">
        <v>1030020</v>
      </c>
      <c r="B1478" s="49" t="s">
        <v>360</v>
      </c>
      <c r="C1478" s="25">
        <f t="shared" si="663"/>
        <v>20</v>
      </c>
      <c r="D1478" s="25">
        <f t="array" ref="D1478">INDEX(C$5:C$67,MATCH($B1478,$B$5:$B$67,0))</f>
        <v>5600</v>
      </c>
      <c r="E1478" s="25">
        <f t="array" ref="E1478">INDEX(D$5:D$67,MATCH($B1478,$B$5:$B$67,0))</f>
        <v>448</v>
      </c>
      <c r="F1478" s="25">
        <f t="array" ref="F1478">INDEX(E$5:E$67,MATCH($B1478,$B$5:$B$67,0))</f>
        <v>576</v>
      </c>
      <c r="G1478" s="25">
        <f t="array" ref="G1478">INDEX(F$5:F$67,MATCH($B1478,$B$5:$B$67,0))</f>
        <v>46.08</v>
      </c>
      <c r="H1478" s="25">
        <f t="array" ref="H1478">INDEX(G$5:G$66,MATCH($B1478,$B$5:$B$67,0))</f>
        <v>720</v>
      </c>
      <c r="I1478" s="25">
        <f t="array" ref="I1478">INDEX(H$5:H$67,MATCH($B1478,$B$5:$B$67,0))</f>
        <v>57.6</v>
      </c>
      <c r="J1478" s="25">
        <f t="array" ref="J1478">INDEX(I$5:I$67,MATCH($B1478,$B$5:$B$67,0))</f>
        <v>880</v>
      </c>
      <c r="K1478" s="25">
        <f t="array" ref="K1478">INDEX(J$5:J$67,MATCH($B1478,$B$5:$B$67,0))</f>
        <v>70.4</v>
      </c>
      <c r="L1478" s="25">
        <f t="shared" si="664"/>
        <v>14560</v>
      </c>
      <c r="M1478" s="25">
        <f t="shared" si="665"/>
        <v>1498</v>
      </c>
      <c r="N1478" s="25">
        <f t="shared" si="666"/>
        <v>1872</v>
      </c>
      <c r="O1478" s="25">
        <f t="shared" si="667"/>
        <v>2288</v>
      </c>
    </row>
    <row r="1479" spans="1:15">
      <c r="A1479" s="48">
        <v>1030021</v>
      </c>
      <c r="B1479" s="49" t="s">
        <v>360</v>
      </c>
      <c r="C1479" s="25">
        <f t="shared" si="663"/>
        <v>21</v>
      </c>
      <c r="D1479" s="25">
        <f t="array" ref="D1479">INDEX(C$5:C$67,MATCH($B1479,$B$5:$B$67,0))</f>
        <v>5600</v>
      </c>
      <c r="E1479" s="25">
        <f t="array" ref="E1479">INDEX(D$5:D$67,MATCH($B1479,$B$5:$B$67,0))</f>
        <v>448</v>
      </c>
      <c r="F1479" s="25">
        <f t="array" ref="F1479">INDEX(E$5:E$67,MATCH($B1479,$B$5:$B$67,0))</f>
        <v>576</v>
      </c>
      <c r="G1479" s="25">
        <f t="array" ref="G1479">INDEX(F$5:F$67,MATCH($B1479,$B$5:$B$67,0))</f>
        <v>46.08</v>
      </c>
      <c r="H1479" s="25">
        <f t="array" ref="H1479">INDEX(G$5:G$66,MATCH($B1479,$B$5:$B$67,0))</f>
        <v>720</v>
      </c>
      <c r="I1479" s="25">
        <f t="array" ref="I1479">INDEX(H$5:H$67,MATCH($B1479,$B$5:$B$67,0))</f>
        <v>57.6</v>
      </c>
      <c r="J1479" s="25">
        <f t="array" ref="J1479">INDEX(I$5:I$67,MATCH($B1479,$B$5:$B$67,0))</f>
        <v>880</v>
      </c>
      <c r="K1479" s="25">
        <f t="array" ref="K1479">INDEX(J$5:J$67,MATCH($B1479,$B$5:$B$67,0))</f>
        <v>70.4</v>
      </c>
      <c r="L1479" s="25">
        <f t="shared" si="664"/>
        <v>15008</v>
      </c>
      <c r="M1479" s="25">
        <f t="shared" si="665"/>
        <v>1544</v>
      </c>
      <c r="N1479" s="25">
        <f t="shared" si="666"/>
        <v>1930</v>
      </c>
      <c r="O1479" s="25">
        <f t="shared" si="667"/>
        <v>2358</v>
      </c>
    </row>
    <row r="1480" spans="1:15">
      <c r="A1480" s="48">
        <v>1030022</v>
      </c>
      <c r="B1480" s="49" t="s">
        <v>360</v>
      </c>
      <c r="C1480" s="25">
        <f t="shared" si="663"/>
        <v>22</v>
      </c>
      <c r="D1480" s="25">
        <f t="array" ref="D1480">INDEX(C$5:C$67,MATCH($B1480,$B$5:$B$67,0))</f>
        <v>5600</v>
      </c>
      <c r="E1480" s="25">
        <f t="array" ref="E1480">INDEX(D$5:D$67,MATCH($B1480,$B$5:$B$67,0))</f>
        <v>448</v>
      </c>
      <c r="F1480" s="25">
        <f t="array" ref="F1480">INDEX(E$5:E$67,MATCH($B1480,$B$5:$B$67,0))</f>
        <v>576</v>
      </c>
      <c r="G1480" s="25">
        <f t="array" ref="G1480">INDEX(F$5:F$67,MATCH($B1480,$B$5:$B$67,0))</f>
        <v>46.08</v>
      </c>
      <c r="H1480" s="25">
        <f t="array" ref="H1480">INDEX(G$5:G$66,MATCH($B1480,$B$5:$B$67,0))</f>
        <v>720</v>
      </c>
      <c r="I1480" s="25">
        <f t="array" ref="I1480">INDEX(H$5:H$67,MATCH($B1480,$B$5:$B$67,0))</f>
        <v>57.6</v>
      </c>
      <c r="J1480" s="25">
        <f t="array" ref="J1480">INDEX(I$5:I$67,MATCH($B1480,$B$5:$B$67,0))</f>
        <v>880</v>
      </c>
      <c r="K1480" s="25">
        <f t="array" ref="K1480">INDEX(J$5:J$67,MATCH($B1480,$B$5:$B$67,0))</f>
        <v>70.4</v>
      </c>
      <c r="L1480" s="25">
        <f t="shared" si="664"/>
        <v>15456</v>
      </c>
      <c r="M1480" s="25">
        <f t="shared" si="665"/>
        <v>1590</v>
      </c>
      <c r="N1480" s="25">
        <f t="shared" si="666"/>
        <v>1987</v>
      </c>
      <c r="O1480" s="25">
        <f t="shared" si="667"/>
        <v>2429</v>
      </c>
    </row>
    <row r="1481" spans="1:15">
      <c r="A1481" s="48">
        <v>1030023</v>
      </c>
      <c r="B1481" s="49" t="s">
        <v>360</v>
      </c>
      <c r="C1481" s="25">
        <f t="shared" si="663"/>
        <v>23</v>
      </c>
      <c r="D1481" s="25">
        <f t="array" ref="D1481">INDEX(C$5:C$67,MATCH($B1481,$B$5:$B$67,0))</f>
        <v>5600</v>
      </c>
      <c r="E1481" s="25">
        <f t="array" ref="E1481">INDEX(D$5:D$67,MATCH($B1481,$B$5:$B$67,0))</f>
        <v>448</v>
      </c>
      <c r="F1481" s="25">
        <f t="array" ref="F1481">INDEX(E$5:E$67,MATCH($B1481,$B$5:$B$67,0))</f>
        <v>576</v>
      </c>
      <c r="G1481" s="25">
        <f t="array" ref="G1481">INDEX(F$5:F$67,MATCH($B1481,$B$5:$B$67,0))</f>
        <v>46.08</v>
      </c>
      <c r="H1481" s="25">
        <f t="array" ref="H1481">INDEX(G$5:G$66,MATCH($B1481,$B$5:$B$67,0))</f>
        <v>720</v>
      </c>
      <c r="I1481" s="25">
        <f t="array" ref="I1481">INDEX(H$5:H$67,MATCH($B1481,$B$5:$B$67,0))</f>
        <v>57.6</v>
      </c>
      <c r="J1481" s="25">
        <f t="array" ref="J1481">INDEX(I$5:I$67,MATCH($B1481,$B$5:$B$67,0))</f>
        <v>880</v>
      </c>
      <c r="K1481" s="25">
        <f t="array" ref="K1481">INDEX(J$5:J$67,MATCH($B1481,$B$5:$B$67,0))</f>
        <v>70.4</v>
      </c>
      <c r="L1481" s="25">
        <f t="shared" si="664"/>
        <v>15904</v>
      </c>
      <c r="M1481" s="25">
        <f t="shared" si="665"/>
        <v>1636</v>
      </c>
      <c r="N1481" s="25">
        <f t="shared" si="666"/>
        <v>2045</v>
      </c>
      <c r="O1481" s="25">
        <f t="shared" si="667"/>
        <v>2499</v>
      </c>
    </row>
    <row r="1482" spans="1:15">
      <c r="A1482" s="48">
        <v>1030024</v>
      </c>
      <c r="B1482" s="49" t="s">
        <v>360</v>
      </c>
      <c r="C1482" s="25">
        <f t="shared" si="663"/>
        <v>24</v>
      </c>
      <c r="D1482" s="25">
        <f t="array" ref="D1482">INDEX(C$5:C$67,MATCH($B1482,$B$5:$B$67,0))</f>
        <v>5600</v>
      </c>
      <c r="E1482" s="25">
        <f t="array" ref="E1482">INDEX(D$5:D$67,MATCH($B1482,$B$5:$B$67,0))</f>
        <v>448</v>
      </c>
      <c r="F1482" s="25">
        <f t="array" ref="F1482">INDEX(E$5:E$67,MATCH($B1482,$B$5:$B$67,0))</f>
        <v>576</v>
      </c>
      <c r="G1482" s="25">
        <f t="array" ref="G1482">INDEX(F$5:F$67,MATCH($B1482,$B$5:$B$67,0))</f>
        <v>46.08</v>
      </c>
      <c r="H1482" s="25">
        <f t="array" ref="H1482">INDEX(G$5:G$66,MATCH($B1482,$B$5:$B$67,0))</f>
        <v>720</v>
      </c>
      <c r="I1482" s="25">
        <f t="array" ref="I1482">INDEX(H$5:H$67,MATCH($B1482,$B$5:$B$67,0))</f>
        <v>57.6</v>
      </c>
      <c r="J1482" s="25">
        <f t="array" ref="J1482">INDEX(I$5:I$67,MATCH($B1482,$B$5:$B$67,0))</f>
        <v>880</v>
      </c>
      <c r="K1482" s="25">
        <f t="array" ref="K1482">INDEX(J$5:J$67,MATCH($B1482,$B$5:$B$67,0))</f>
        <v>70.4</v>
      </c>
      <c r="L1482" s="25">
        <f t="shared" si="664"/>
        <v>16352</v>
      </c>
      <c r="M1482" s="25">
        <f t="shared" si="665"/>
        <v>1682</v>
      </c>
      <c r="N1482" s="25">
        <f t="shared" si="666"/>
        <v>2102</v>
      </c>
      <c r="O1482" s="25">
        <f t="shared" si="667"/>
        <v>2570</v>
      </c>
    </row>
    <row r="1483" spans="1:15">
      <c r="A1483" s="48">
        <v>1030025</v>
      </c>
      <c r="B1483" s="49" t="s">
        <v>360</v>
      </c>
      <c r="C1483" s="25">
        <f t="shared" ref="C1483:C1546" si="668">C1423</f>
        <v>25</v>
      </c>
      <c r="D1483" s="25">
        <f t="array" ref="D1483">INDEX(C$5:C$67,MATCH($B1483,$B$5:$B$67,0))</f>
        <v>5600</v>
      </c>
      <c r="E1483" s="25">
        <f t="array" ref="E1483">INDEX(D$5:D$67,MATCH($B1483,$B$5:$B$67,0))</f>
        <v>448</v>
      </c>
      <c r="F1483" s="25">
        <f t="array" ref="F1483">INDEX(E$5:E$67,MATCH($B1483,$B$5:$B$67,0))</f>
        <v>576</v>
      </c>
      <c r="G1483" s="25">
        <f t="array" ref="G1483">INDEX(F$5:F$67,MATCH($B1483,$B$5:$B$67,0))</f>
        <v>46.08</v>
      </c>
      <c r="H1483" s="25">
        <f t="array" ref="H1483">INDEX(G$5:G$66,MATCH($B1483,$B$5:$B$67,0))</f>
        <v>720</v>
      </c>
      <c r="I1483" s="25">
        <f t="array" ref="I1483">INDEX(H$5:H$67,MATCH($B1483,$B$5:$B$67,0))</f>
        <v>57.6</v>
      </c>
      <c r="J1483" s="25">
        <f t="array" ref="J1483">INDEX(I$5:I$67,MATCH($B1483,$B$5:$B$67,0))</f>
        <v>880</v>
      </c>
      <c r="K1483" s="25">
        <f t="array" ref="K1483">INDEX(J$5:J$67,MATCH($B1483,$B$5:$B$67,0))</f>
        <v>70.4</v>
      </c>
      <c r="L1483" s="25">
        <f t="shared" si="664"/>
        <v>16800</v>
      </c>
      <c r="M1483" s="25">
        <f t="shared" si="665"/>
        <v>1728</v>
      </c>
      <c r="N1483" s="25">
        <f t="shared" si="666"/>
        <v>2160</v>
      </c>
      <c r="O1483" s="25">
        <f t="shared" si="667"/>
        <v>2640</v>
      </c>
    </row>
    <row r="1484" spans="1:15">
      <c r="A1484" s="48">
        <v>1030026</v>
      </c>
      <c r="B1484" s="49" t="s">
        <v>360</v>
      </c>
      <c r="C1484" s="25">
        <f t="shared" si="668"/>
        <v>26</v>
      </c>
      <c r="D1484" s="25">
        <f t="array" ref="D1484">INDEX(C$5:C$67,MATCH($B1484,$B$5:$B$67,0))</f>
        <v>5600</v>
      </c>
      <c r="E1484" s="25">
        <f t="array" ref="E1484">INDEX(D$5:D$67,MATCH($B1484,$B$5:$B$67,0))</f>
        <v>448</v>
      </c>
      <c r="F1484" s="25">
        <f t="array" ref="F1484">INDEX(E$5:E$67,MATCH($B1484,$B$5:$B$67,0))</f>
        <v>576</v>
      </c>
      <c r="G1484" s="25">
        <f t="array" ref="G1484">INDEX(F$5:F$67,MATCH($B1484,$B$5:$B$67,0))</f>
        <v>46.08</v>
      </c>
      <c r="H1484" s="25">
        <f t="array" ref="H1484">INDEX(G$5:G$66,MATCH($B1484,$B$5:$B$67,0))</f>
        <v>720</v>
      </c>
      <c r="I1484" s="25">
        <f t="array" ref="I1484">INDEX(H$5:H$67,MATCH($B1484,$B$5:$B$67,0))</f>
        <v>57.6</v>
      </c>
      <c r="J1484" s="25">
        <f t="array" ref="J1484">INDEX(I$5:I$67,MATCH($B1484,$B$5:$B$67,0))</f>
        <v>880</v>
      </c>
      <c r="K1484" s="25">
        <f t="array" ref="K1484">INDEX(J$5:J$67,MATCH($B1484,$B$5:$B$67,0))</f>
        <v>70.4</v>
      </c>
      <c r="L1484" s="25">
        <f t="shared" si="664"/>
        <v>17248</v>
      </c>
      <c r="M1484" s="25">
        <f t="shared" si="665"/>
        <v>1774</v>
      </c>
      <c r="N1484" s="25">
        <f t="shared" si="666"/>
        <v>2218</v>
      </c>
      <c r="O1484" s="25">
        <f t="shared" si="667"/>
        <v>2710</v>
      </c>
    </row>
    <row r="1485" spans="1:15">
      <c r="A1485" s="48">
        <v>1030027</v>
      </c>
      <c r="B1485" s="49" t="s">
        <v>360</v>
      </c>
      <c r="C1485" s="25">
        <f t="shared" si="668"/>
        <v>27</v>
      </c>
      <c r="D1485" s="25">
        <f t="array" ref="D1485">INDEX(C$5:C$67,MATCH($B1485,$B$5:$B$67,0))</f>
        <v>5600</v>
      </c>
      <c r="E1485" s="25">
        <f t="array" ref="E1485">INDEX(D$5:D$67,MATCH($B1485,$B$5:$B$67,0))</f>
        <v>448</v>
      </c>
      <c r="F1485" s="25">
        <f t="array" ref="F1485">INDEX(E$5:E$67,MATCH($B1485,$B$5:$B$67,0))</f>
        <v>576</v>
      </c>
      <c r="G1485" s="25">
        <f t="array" ref="G1485">INDEX(F$5:F$67,MATCH($B1485,$B$5:$B$67,0))</f>
        <v>46.08</v>
      </c>
      <c r="H1485" s="25">
        <f t="array" ref="H1485">INDEX(G$5:G$66,MATCH($B1485,$B$5:$B$67,0))</f>
        <v>720</v>
      </c>
      <c r="I1485" s="25">
        <f t="array" ref="I1485">INDEX(H$5:H$67,MATCH($B1485,$B$5:$B$67,0))</f>
        <v>57.6</v>
      </c>
      <c r="J1485" s="25">
        <f t="array" ref="J1485">INDEX(I$5:I$67,MATCH($B1485,$B$5:$B$67,0))</f>
        <v>880</v>
      </c>
      <c r="K1485" s="25">
        <f t="array" ref="K1485">INDEX(J$5:J$67,MATCH($B1485,$B$5:$B$67,0))</f>
        <v>70.4</v>
      </c>
      <c r="L1485" s="25">
        <f t="shared" si="664"/>
        <v>17696</v>
      </c>
      <c r="M1485" s="25">
        <f t="shared" si="665"/>
        <v>1820</v>
      </c>
      <c r="N1485" s="25">
        <f t="shared" si="666"/>
        <v>2275</v>
      </c>
      <c r="O1485" s="25">
        <f t="shared" si="667"/>
        <v>2781</v>
      </c>
    </row>
    <row r="1486" spans="1:15">
      <c r="A1486" s="48">
        <v>1030028</v>
      </c>
      <c r="B1486" s="49" t="s">
        <v>360</v>
      </c>
      <c r="C1486" s="25">
        <f t="shared" si="668"/>
        <v>28</v>
      </c>
      <c r="D1486" s="25">
        <f t="array" ref="D1486">INDEX(C$5:C$67,MATCH($B1486,$B$5:$B$67,0))</f>
        <v>5600</v>
      </c>
      <c r="E1486" s="25">
        <f t="array" ref="E1486">INDEX(D$5:D$67,MATCH($B1486,$B$5:$B$67,0))</f>
        <v>448</v>
      </c>
      <c r="F1486" s="25">
        <f t="array" ref="F1486">INDEX(E$5:E$67,MATCH($B1486,$B$5:$B$67,0))</f>
        <v>576</v>
      </c>
      <c r="G1486" s="25">
        <f t="array" ref="G1486">INDEX(F$5:F$67,MATCH($B1486,$B$5:$B$67,0))</f>
        <v>46.08</v>
      </c>
      <c r="H1486" s="25">
        <f t="array" ref="H1486">INDEX(G$5:G$66,MATCH($B1486,$B$5:$B$67,0))</f>
        <v>720</v>
      </c>
      <c r="I1486" s="25">
        <f t="array" ref="I1486">INDEX(H$5:H$67,MATCH($B1486,$B$5:$B$67,0))</f>
        <v>57.6</v>
      </c>
      <c r="J1486" s="25">
        <f t="array" ref="J1486">INDEX(I$5:I$67,MATCH($B1486,$B$5:$B$67,0))</f>
        <v>880</v>
      </c>
      <c r="K1486" s="25">
        <f t="array" ref="K1486">INDEX(J$5:J$67,MATCH($B1486,$B$5:$B$67,0))</f>
        <v>70.4</v>
      </c>
      <c r="L1486" s="25">
        <f t="shared" si="664"/>
        <v>18144</v>
      </c>
      <c r="M1486" s="25">
        <f t="shared" si="665"/>
        <v>1866</v>
      </c>
      <c r="N1486" s="25">
        <f t="shared" si="666"/>
        <v>2333</v>
      </c>
      <c r="O1486" s="25">
        <f t="shared" si="667"/>
        <v>2851</v>
      </c>
    </row>
    <row r="1487" spans="1:15">
      <c r="A1487" s="48">
        <v>1030029</v>
      </c>
      <c r="B1487" s="49" t="s">
        <v>360</v>
      </c>
      <c r="C1487" s="25">
        <f t="shared" si="668"/>
        <v>29</v>
      </c>
      <c r="D1487" s="25">
        <f t="array" ref="D1487">INDEX(C$5:C$67,MATCH($B1487,$B$5:$B$67,0))</f>
        <v>5600</v>
      </c>
      <c r="E1487" s="25">
        <f t="array" ref="E1487">INDEX(D$5:D$67,MATCH($B1487,$B$5:$B$67,0))</f>
        <v>448</v>
      </c>
      <c r="F1487" s="25">
        <f t="array" ref="F1487">INDEX(E$5:E$67,MATCH($B1487,$B$5:$B$67,0))</f>
        <v>576</v>
      </c>
      <c r="G1487" s="25">
        <f t="array" ref="G1487">INDEX(F$5:F$67,MATCH($B1487,$B$5:$B$67,0))</f>
        <v>46.08</v>
      </c>
      <c r="H1487" s="25">
        <f t="array" ref="H1487">INDEX(G$5:G$66,MATCH($B1487,$B$5:$B$67,0))</f>
        <v>720</v>
      </c>
      <c r="I1487" s="25">
        <f t="array" ref="I1487">INDEX(H$5:H$67,MATCH($B1487,$B$5:$B$67,0))</f>
        <v>57.6</v>
      </c>
      <c r="J1487" s="25">
        <f t="array" ref="J1487">INDEX(I$5:I$67,MATCH($B1487,$B$5:$B$67,0))</f>
        <v>880</v>
      </c>
      <c r="K1487" s="25">
        <f t="array" ref="K1487">INDEX(J$5:J$67,MATCH($B1487,$B$5:$B$67,0))</f>
        <v>70.4</v>
      </c>
      <c r="L1487" s="25">
        <f t="shared" ref="L1487:L1550" si="669">ROUND(D1487+E1487*$C1487,0)</f>
        <v>18592</v>
      </c>
      <c r="M1487" s="25">
        <f t="shared" ref="M1487:M1550" si="670">ROUND(F1487+G1487*$C1487,0)</f>
        <v>1912</v>
      </c>
      <c r="N1487" s="25">
        <f t="shared" ref="N1487:N1550" si="671">ROUND(H1487+I1487*$C1487,0)</f>
        <v>2390</v>
      </c>
      <c r="O1487" s="25">
        <f t="shared" ref="O1487:O1550" si="672">ROUND(J1487+K1487*$C1487,0)</f>
        <v>2922</v>
      </c>
    </row>
    <row r="1488" spans="1:15">
      <c r="A1488" s="48">
        <v>1030030</v>
      </c>
      <c r="B1488" s="49" t="s">
        <v>360</v>
      </c>
      <c r="C1488" s="25">
        <f t="shared" si="668"/>
        <v>30</v>
      </c>
      <c r="D1488" s="25">
        <f t="array" ref="D1488">INDEX(C$5:C$67,MATCH($B1488,$B$5:$B$67,0))</f>
        <v>5600</v>
      </c>
      <c r="E1488" s="25">
        <f t="array" ref="E1488">INDEX(D$5:D$67,MATCH($B1488,$B$5:$B$67,0))</f>
        <v>448</v>
      </c>
      <c r="F1488" s="25">
        <f t="array" ref="F1488">INDEX(E$5:E$67,MATCH($B1488,$B$5:$B$67,0))</f>
        <v>576</v>
      </c>
      <c r="G1488" s="25">
        <f t="array" ref="G1488">INDEX(F$5:F$67,MATCH($B1488,$B$5:$B$67,0))</f>
        <v>46.08</v>
      </c>
      <c r="H1488" s="25">
        <f t="array" ref="H1488">INDEX(G$5:G$66,MATCH($B1488,$B$5:$B$67,0))</f>
        <v>720</v>
      </c>
      <c r="I1488" s="25">
        <f t="array" ref="I1488">INDEX(H$5:H$67,MATCH($B1488,$B$5:$B$67,0))</f>
        <v>57.6</v>
      </c>
      <c r="J1488" s="25">
        <f t="array" ref="J1488">INDEX(I$5:I$67,MATCH($B1488,$B$5:$B$67,0))</f>
        <v>880</v>
      </c>
      <c r="K1488" s="25">
        <f t="array" ref="K1488">INDEX(J$5:J$67,MATCH($B1488,$B$5:$B$67,0))</f>
        <v>70.4</v>
      </c>
      <c r="L1488" s="25">
        <f t="shared" si="669"/>
        <v>19040</v>
      </c>
      <c r="M1488" s="25">
        <f t="shared" si="670"/>
        <v>1958</v>
      </c>
      <c r="N1488" s="25">
        <f t="shared" si="671"/>
        <v>2448</v>
      </c>
      <c r="O1488" s="25">
        <f t="shared" si="672"/>
        <v>2992</v>
      </c>
    </row>
    <row r="1489" spans="1:15">
      <c r="A1489" s="48">
        <v>1030031</v>
      </c>
      <c r="B1489" s="49" t="s">
        <v>360</v>
      </c>
      <c r="C1489" s="25">
        <f t="shared" si="668"/>
        <v>31</v>
      </c>
      <c r="D1489" s="25">
        <f t="array" ref="D1489">INDEX(C$5:C$67,MATCH($B1489,$B$5:$B$67,0))</f>
        <v>5600</v>
      </c>
      <c r="E1489" s="25">
        <f t="array" ref="E1489">INDEX(D$5:D$67,MATCH($B1489,$B$5:$B$67,0))</f>
        <v>448</v>
      </c>
      <c r="F1489" s="25">
        <f t="array" ref="F1489">INDEX(E$5:E$67,MATCH($B1489,$B$5:$B$67,0))</f>
        <v>576</v>
      </c>
      <c r="G1489" s="25">
        <f t="array" ref="G1489">INDEX(F$5:F$67,MATCH($B1489,$B$5:$B$67,0))</f>
        <v>46.08</v>
      </c>
      <c r="H1489" s="25">
        <f t="array" ref="H1489">INDEX(G$5:G$66,MATCH($B1489,$B$5:$B$67,0))</f>
        <v>720</v>
      </c>
      <c r="I1489" s="25">
        <f t="array" ref="I1489">INDEX(H$5:H$67,MATCH($B1489,$B$5:$B$67,0))</f>
        <v>57.6</v>
      </c>
      <c r="J1489" s="25">
        <f t="array" ref="J1489">INDEX(I$5:I$67,MATCH($B1489,$B$5:$B$67,0))</f>
        <v>880</v>
      </c>
      <c r="K1489" s="25">
        <f t="array" ref="K1489">INDEX(J$5:J$67,MATCH($B1489,$B$5:$B$67,0))</f>
        <v>70.4</v>
      </c>
      <c r="L1489" s="25">
        <f t="shared" si="669"/>
        <v>19488</v>
      </c>
      <c r="M1489" s="25">
        <f t="shared" si="670"/>
        <v>2004</v>
      </c>
      <c r="N1489" s="25">
        <f t="shared" si="671"/>
        <v>2506</v>
      </c>
      <c r="O1489" s="25">
        <f t="shared" si="672"/>
        <v>3062</v>
      </c>
    </row>
    <row r="1490" spans="1:15">
      <c r="A1490" s="48">
        <v>1030032</v>
      </c>
      <c r="B1490" s="49" t="s">
        <v>360</v>
      </c>
      <c r="C1490" s="25">
        <f t="shared" si="668"/>
        <v>32</v>
      </c>
      <c r="D1490" s="25">
        <f t="array" ref="D1490">INDEX(C$5:C$67,MATCH($B1490,$B$5:$B$67,0))</f>
        <v>5600</v>
      </c>
      <c r="E1490" s="25">
        <f t="array" ref="E1490">INDEX(D$5:D$67,MATCH($B1490,$B$5:$B$67,0))</f>
        <v>448</v>
      </c>
      <c r="F1490" s="25">
        <f t="array" ref="F1490">INDEX(E$5:E$67,MATCH($B1490,$B$5:$B$67,0))</f>
        <v>576</v>
      </c>
      <c r="G1490" s="25">
        <f t="array" ref="G1490">INDEX(F$5:F$67,MATCH($B1490,$B$5:$B$67,0))</f>
        <v>46.08</v>
      </c>
      <c r="H1490" s="25">
        <f t="array" ref="H1490">INDEX(G$5:G$66,MATCH($B1490,$B$5:$B$67,0))</f>
        <v>720</v>
      </c>
      <c r="I1490" s="25">
        <f t="array" ref="I1490">INDEX(H$5:H$67,MATCH($B1490,$B$5:$B$67,0))</f>
        <v>57.6</v>
      </c>
      <c r="J1490" s="25">
        <f t="array" ref="J1490">INDEX(I$5:I$67,MATCH($B1490,$B$5:$B$67,0))</f>
        <v>880</v>
      </c>
      <c r="K1490" s="25">
        <f t="array" ref="K1490">INDEX(J$5:J$67,MATCH($B1490,$B$5:$B$67,0))</f>
        <v>70.4</v>
      </c>
      <c r="L1490" s="25">
        <f t="shared" si="669"/>
        <v>19936</v>
      </c>
      <c r="M1490" s="25">
        <f t="shared" si="670"/>
        <v>2051</v>
      </c>
      <c r="N1490" s="25">
        <f t="shared" si="671"/>
        <v>2563</v>
      </c>
      <c r="O1490" s="25">
        <f t="shared" si="672"/>
        <v>3133</v>
      </c>
    </row>
    <row r="1491" spans="1:15">
      <c r="A1491" s="48">
        <v>1030033</v>
      </c>
      <c r="B1491" s="49" t="s">
        <v>360</v>
      </c>
      <c r="C1491" s="25">
        <f t="shared" si="668"/>
        <v>33</v>
      </c>
      <c r="D1491" s="25">
        <f t="array" ref="D1491">INDEX(C$5:C$67,MATCH($B1491,$B$5:$B$67,0))</f>
        <v>5600</v>
      </c>
      <c r="E1491" s="25">
        <f t="array" ref="E1491">INDEX(D$5:D$67,MATCH($B1491,$B$5:$B$67,0))</f>
        <v>448</v>
      </c>
      <c r="F1491" s="25">
        <f t="array" ref="F1491">INDEX(E$5:E$67,MATCH($B1491,$B$5:$B$67,0))</f>
        <v>576</v>
      </c>
      <c r="G1491" s="25">
        <f t="array" ref="G1491">INDEX(F$5:F$67,MATCH($B1491,$B$5:$B$67,0))</f>
        <v>46.08</v>
      </c>
      <c r="H1491" s="25">
        <f t="array" ref="H1491">INDEX(G$5:G$66,MATCH($B1491,$B$5:$B$67,0))</f>
        <v>720</v>
      </c>
      <c r="I1491" s="25">
        <f t="array" ref="I1491">INDEX(H$5:H$67,MATCH($B1491,$B$5:$B$67,0))</f>
        <v>57.6</v>
      </c>
      <c r="J1491" s="25">
        <f t="array" ref="J1491">INDEX(I$5:I$67,MATCH($B1491,$B$5:$B$67,0))</f>
        <v>880</v>
      </c>
      <c r="K1491" s="25">
        <f t="array" ref="K1491">INDEX(J$5:J$67,MATCH($B1491,$B$5:$B$67,0))</f>
        <v>70.4</v>
      </c>
      <c r="L1491" s="25">
        <f t="shared" si="669"/>
        <v>20384</v>
      </c>
      <c r="M1491" s="25">
        <f t="shared" si="670"/>
        <v>2097</v>
      </c>
      <c r="N1491" s="25">
        <f t="shared" si="671"/>
        <v>2621</v>
      </c>
      <c r="O1491" s="25">
        <f t="shared" si="672"/>
        <v>3203</v>
      </c>
    </row>
    <row r="1492" spans="1:15">
      <c r="A1492" s="48">
        <v>1030034</v>
      </c>
      <c r="B1492" s="49" t="s">
        <v>360</v>
      </c>
      <c r="C1492" s="25">
        <f t="shared" si="668"/>
        <v>34</v>
      </c>
      <c r="D1492" s="25">
        <f t="array" ref="D1492">INDEX(C$5:C$67,MATCH($B1492,$B$5:$B$67,0))</f>
        <v>5600</v>
      </c>
      <c r="E1492" s="25">
        <f t="array" ref="E1492">INDEX(D$5:D$67,MATCH($B1492,$B$5:$B$67,0))</f>
        <v>448</v>
      </c>
      <c r="F1492" s="25">
        <f t="array" ref="F1492">INDEX(E$5:E$67,MATCH($B1492,$B$5:$B$67,0))</f>
        <v>576</v>
      </c>
      <c r="G1492" s="25">
        <f t="array" ref="G1492">INDEX(F$5:F$67,MATCH($B1492,$B$5:$B$67,0))</f>
        <v>46.08</v>
      </c>
      <c r="H1492" s="25">
        <f t="array" ref="H1492">INDEX(G$5:G$66,MATCH($B1492,$B$5:$B$67,0))</f>
        <v>720</v>
      </c>
      <c r="I1492" s="25">
        <f t="array" ref="I1492">INDEX(H$5:H$67,MATCH($B1492,$B$5:$B$67,0))</f>
        <v>57.6</v>
      </c>
      <c r="J1492" s="25">
        <f t="array" ref="J1492">INDEX(I$5:I$67,MATCH($B1492,$B$5:$B$67,0))</f>
        <v>880</v>
      </c>
      <c r="K1492" s="25">
        <f t="array" ref="K1492">INDEX(J$5:J$67,MATCH($B1492,$B$5:$B$67,0))</f>
        <v>70.4</v>
      </c>
      <c r="L1492" s="25">
        <f t="shared" si="669"/>
        <v>20832</v>
      </c>
      <c r="M1492" s="25">
        <f t="shared" si="670"/>
        <v>2143</v>
      </c>
      <c r="N1492" s="25">
        <f t="shared" si="671"/>
        <v>2678</v>
      </c>
      <c r="O1492" s="25">
        <f t="shared" si="672"/>
        <v>3274</v>
      </c>
    </row>
    <row r="1493" spans="1:15">
      <c r="A1493" s="48">
        <v>1030035</v>
      </c>
      <c r="B1493" s="49" t="s">
        <v>360</v>
      </c>
      <c r="C1493" s="25">
        <f t="shared" si="668"/>
        <v>35</v>
      </c>
      <c r="D1493" s="25">
        <f t="array" ref="D1493">INDEX(C$5:C$67,MATCH($B1493,$B$5:$B$67,0))</f>
        <v>5600</v>
      </c>
      <c r="E1493" s="25">
        <f t="array" ref="E1493">INDEX(D$5:D$67,MATCH($B1493,$B$5:$B$67,0))</f>
        <v>448</v>
      </c>
      <c r="F1493" s="25">
        <f t="array" ref="F1493">INDEX(E$5:E$67,MATCH($B1493,$B$5:$B$67,0))</f>
        <v>576</v>
      </c>
      <c r="G1493" s="25">
        <f t="array" ref="G1493">INDEX(F$5:F$67,MATCH($B1493,$B$5:$B$67,0))</f>
        <v>46.08</v>
      </c>
      <c r="H1493" s="25">
        <f t="array" ref="H1493">INDEX(G$5:G$66,MATCH($B1493,$B$5:$B$67,0))</f>
        <v>720</v>
      </c>
      <c r="I1493" s="25">
        <f t="array" ref="I1493">INDEX(H$5:H$67,MATCH($B1493,$B$5:$B$67,0))</f>
        <v>57.6</v>
      </c>
      <c r="J1493" s="25">
        <f t="array" ref="J1493">INDEX(I$5:I$67,MATCH($B1493,$B$5:$B$67,0))</f>
        <v>880</v>
      </c>
      <c r="K1493" s="25">
        <f t="array" ref="K1493">INDEX(J$5:J$67,MATCH($B1493,$B$5:$B$67,0))</f>
        <v>70.4</v>
      </c>
      <c r="L1493" s="25">
        <f t="shared" si="669"/>
        <v>21280</v>
      </c>
      <c r="M1493" s="25">
        <f t="shared" si="670"/>
        <v>2189</v>
      </c>
      <c r="N1493" s="25">
        <f t="shared" si="671"/>
        <v>2736</v>
      </c>
      <c r="O1493" s="25">
        <f t="shared" si="672"/>
        <v>3344</v>
      </c>
    </row>
    <row r="1494" spans="1:15">
      <c r="A1494" s="48">
        <v>1030036</v>
      </c>
      <c r="B1494" s="49" t="s">
        <v>360</v>
      </c>
      <c r="C1494" s="25">
        <f t="shared" si="668"/>
        <v>36</v>
      </c>
      <c r="D1494" s="25">
        <f t="array" ref="D1494">INDEX(C$5:C$67,MATCH($B1494,$B$5:$B$67,0))</f>
        <v>5600</v>
      </c>
      <c r="E1494" s="25">
        <f t="array" ref="E1494">INDEX(D$5:D$67,MATCH($B1494,$B$5:$B$67,0))</f>
        <v>448</v>
      </c>
      <c r="F1494" s="25">
        <f t="array" ref="F1494">INDEX(E$5:E$67,MATCH($B1494,$B$5:$B$67,0))</f>
        <v>576</v>
      </c>
      <c r="G1494" s="25">
        <f t="array" ref="G1494">INDEX(F$5:F$67,MATCH($B1494,$B$5:$B$67,0))</f>
        <v>46.08</v>
      </c>
      <c r="H1494" s="25">
        <f t="array" ref="H1494">INDEX(G$5:G$66,MATCH($B1494,$B$5:$B$67,0))</f>
        <v>720</v>
      </c>
      <c r="I1494" s="25">
        <f t="array" ref="I1494">INDEX(H$5:H$67,MATCH($B1494,$B$5:$B$67,0))</f>
        <v>57.6</v>
      </c>
      <c r="J1494" s="25">
        <f t="array" ref="J1494">INDEX(I$5:I$67,MATCH($B1494,$B$5:$B$67,0))</f>
        <v>880</v>
      </c>
      <c r="K1494" s="25">
        <f t="array" ref="K1494">INDEX(J$5:J$67,MATCH($B1494,$B$5:$B$67,0))</f>
        <v>70.4</v>
      </c>
      <c r="L1494" s="25">
        <f t="shared" si="669"/>
        <v>21728</v>
      </c>
      <c r="M1494" s="25">
        <f t="shared" si="670"/>
        <v>2235</v>
      </c>
      <c r="N1494" s="25">
        <f t="shared" si="671"/>
        <v>2794</v>
      </c>
      <c r="O1494" s="25">
        <f t="shared" si="672"/>
        <v>3414</v>
      </c>
    </row>
    <row r="1495" spans="1:15">
      <c r="A1495" s="48">
        <v>1030037</v>
      </c>
      <c r="B1495" s="49" t="s">
        <v>360</v>
      </c>
      <c r="C1495" s="25">
        <f t="shared" si="668"/>
        <v>37</v>
      </c>
      <c r="D1495" s="25">
        <f t="array" ref="D1495">INDEX(C$5:C$67,MATCH($B1495,$B$5:$B$67,0))</f>
        <v>5600</v>
      </c>
      <c r="E1495" s="25">
        <f t="array" ref="E1495">INDEX(D$5:D$67,MATCH($B1495,$B$5:$B$67,0))</f>
        <v>448</v>
      </c>
      <c r="F1495" s="25">
        <f t="array" ref="F1495">INDEX(E$5:E$67,MATCH($B1495,$B$5:$B$67,0))</f>
        <v>576</v>
      </c>
      <c r="G1495" s="25">
        <f t="array" ref="G1495">INDEX(F$5:F$67,MATCH($B1495,$B$5:$B$67,0))</f>
        <v>46.08</v>
      </c>
      <c r="H1495" s="25">
        <f t="array" ref="H1495">INDEX(G$5:G$66,MATCH($B1495,$B$5:$B$67,0))</f>
        <v>720</v>
      </c>
      <c r="I1495" s="25">
        <f t="array" ref="I1495">INDEX(H$5:H$67,MATCH($B1495,$B$5:$B$67,0))</f>
        <v>57.6</v>
      </c>
      <c r="J1495" s="25">
        <f t="array" ref="J1495">INDEX(I$5:I$67,MATCH($B1495,$B$5:$B$67,0))</f>
        <v>880</v>
      </c>
      <c r="K1495" s="25">
        <f t="array" ref="K1495">INDEX(J$5:J$67,MATCH($B1495,$B$5:$B$67,0))</f>
        <v>70.4</v>
      </c>
      <c r="L1495" s="25">
        <f t="shared" si="669"/>
        <v>22176</v>
      </c>
      <c r="M1495" s="25">
        <f t="shared" si="670"/>
        <v>2281</v>
      </c>
      <c r="N1495" s="25">
        <f t="shared" si="671"/>
        <v>2851</v>
      </c>
      <c r="O1495" s="25">
        <f t="shared" si="672"/>
        <v>3485</v>
      </c>
    </row>
    <row r="1496" spans="1:15">
      <c r="A1496" s="48">
        <v>1030038</v>
      </c>
      <c r="B1496" s="49" t="s">
        <v>360</v>
      </c>
      <c r="C1496" s="25">
        <f t="shared" si="668"/>
        <v>38</v>
      </c>
      <c r="D1496" s="25">
        <f t="array" ref="D1496">INDEX(C$5:C$67,MATCH($B1496,$B$5:$B$67,0))</f>
        <v>5600</v>
      </c>
      <c r="E1496" s="25">
        <f t="array" ref="E1496">INDEX(D$5:D$67,MATCH($B1496,$B$5:$B$67,0))</f>
        <v>448</v>
      </c>
      <c r="F1496" s="25">
        <f t="array" ref="F1496">INDEX(E$5:E$67,MATCH($B1496,$B$5:$B$67,0))</f>
        <v>576</v>
      </c>
      <c r="G1496" s="25">
        <f t="array" ref="G1496">INDEX(F$5:F$67,MATCH($B1496,$B$5:$B$67,0))</f>
        <v>46.08</v>
      </c>
      <c r="H1496" s="25">
        <f t="array" ref="H1496">INDEX(G$5:G$66,MATCH($B1496,$B$5:$B$67,0))</f>
        <v>720</v>
      </c>
      <c r="I1496" s="25">
        <f t="array" ref="I1496">INDEX(H$5:H$67,MATCH($B1496,$B$5:$B$67,0))</f>
        <v>57.6</v>
      </c>
      <c r="J1496" s="25">
        <f t="array" ref="J1496">INDEX(I$5:I$67,MATCH($B1496,$B$5:$B$67,0))</f>
        <v>880</v>
      </c>
      <c r="K1496" s="25">
        <f t="array" ref="K1496">INDEX(J$5:J$67,MATCH($B1496,$B$5:$B$67,0))</f>
        <v>70.4</v>
      </c>
      <c r="L1496" s="25">
        <f t="shared" si="669"/>
        <v>22624</v>
      </c>
      <c r="M1496" s="25">
        <f t="shared" si="670"/>
        <v>2327</v>
      </c>
      <c r="N1496" s="25">
        <f t="shared" si="671"/>
        <v>2909</v>
      </c>
      <c r="O1496" s="25">
        <f t="shared" si="672"/>
        <v>3555</v>
      </c>
    </row>
    <row r="1497" spans="1:15">
      <c r="A1497" s="48">
        <v>1030039</v>
      </c>
      <c r="B1497" s="49" t="s">
        <v>360</v>
      </c>
      <c r="C1497" s="25">
        <f t="shared" si="668"/>
        <v>39</v>
      </c>
      <c r="D1497" s="25">
        <f t="array" ref="D1497">INDEX(C$5:C$67,MATCH($B1497,$B$5:$B$67,0))</f>
        <v>5600</v>
      </c>
      <c r="E1497" s="25">
        <f t="array" ref="E1497">INDEX(D$5:D$67,MATCH($B1497,$B$5:$B$67,0))</f>
        <v>448</v>
      </c>
      <c r="F1497" s="25">
        <f t="array" ref="F1497">INDEX(E$5:E$67,MATCH($B1497,$B$5:$B$67,0))</f>
        <v>576</v>
      </c>
      <c r="G1497" s="25">
        <f t="array" ref="G1497">INDEX(F$5:F$67,MATCH($B1497,$B$5:$B$67,0))</f>
        <v>46.08</v>
      </c>
      <c r="H1497" s="25">
        <f t="array" ref="H1497">INDEX(G$5:G$66,MATCH($B1497,$B$5:$B$67,0))</f>
        <v>720</v>
      </c>
      <c r="I1497" s="25">
        <f t="array" ref="I1497">INDEX(H$5:H$67,MATCH($B1497,$B$5:$B$67,0))</f>
        <v>57.6</v>
      </c>
      <c r="J1497" s="25">
        <f t="array" ref="J1497">INDEX(I$5:I$67,MATCH($B1497,$B$5:$B$67,0))</f>
        <v>880</v>
      </c>
      <c r="K1497" s="25">
        <f t="array" ref="K1497">INDEX(J$5:J$67,MATCH($B1497,$B$5:$B$67,0))</f>
        <v>70.4</v>
      </c>
      <c r="L1497" s="25">
        <f t="shared" si="669"/>
        <v>23072</v>
      </c>
      <c r="M1497" s="25">
        <f t="shared" si="670"/>
        <v>2373</v>
      </c>
      <c r="N1497" s="25">
        <f t="shared" si="671"/>
        <v>2966</v>
      </c>
      <c r="O1497" s="25">
        <f t="shared" si="672"/>
        <v>3626</v>
      </c>
    </row>
    <row r="1498" spans="1:15">
      <c r="A1498" s="48">
        <v>1030040</v>
      </c>
      <c r="B1498" s="49" t="s">
        <v>360</v>
      </c>
      <c r="C1498" s="25">
        <f t="shared" si="668"/>
        <v>40</v>
      </c>
      <c r="D1498" s="25">
        <f t="array" ref="D1498">INDEX(C$5:C$67,MATCH($B1498,$B$5:$B$67,0))</f>
        <v>5600</v>
      </c>
      <c r="E1498" s="25">
        <f t="array" ref="E1498">INDEX(D$5:D$67,MATCH($B1498,$B$5:$B$67,0))</f>
        <v>448</v>
      </c>
      <c r="F1498" s="25">
        <f t="array" ref="F1498">INDEX(E$5:E$67,MATCH($B1498,$B$5:$B$67,0))</f>
        <v>576</v>
      </c>
      <c r="G1498" s="25">
        <f t="array" ref="G1498">INDEX(F$5:F$67,MATCH($B1498,$B$5:$B$67,0))</f>
        <v>46.08</v>
      </c>
      <c r="H1498" s="25">
        <f t="array" ref="H1498">INDEX(G$5:G$66,MATCH($B1498,$B$5:$B$67,0))</f>
        <v>720</v>
      </c>
      <c r="I1498" s="25">
        <f t="array" ref="I1498">INDEX(H$5:H$67,MATCH($B1498,$B$5:$B$67,0))</f>
        <v>57.6</v>
      </c>
      <c r="J1498" s="25">
        <f t="array" ref="J1498">INDEX(I$5:I$67,MATCH($B1498,$B$5:$B$67,0))</f>
        <v>880</v>
      </c>
      <c r="K1498" s="25">
        <f t="array" ref="K1498">INDEX(J$5:J$67,MATCH($B1498,$B$5:$B$67,0))</f>
        <v>70.4</v>
      </c>
      <c r="L1498" s="25">
        <f t="shared" si="669"/>
        <v>23520</v>
      </c>
      <c r="M1498" s="25">
        <f t="shared" si="670"/>
        <v>2419</v>
      </c>
      <c r="N1498" s="25">
        <f t="shared" si="671"/>
        <v>3024</v>
      </c>
      <c r="O1498" s="25">
        <f t="shared" si="672"/>
        <v>3696</v>
      </c>
    </row>
    <row r="1499" spans="1:15">
      <c r="A1499" s="48">
        <v>1030041</v>
      </c>
      <c r="B1499" s="49" t="s">
        <v>360</v>
      </c>
      <c r="C1499" s="25">
        <f t="shared" si="668"/>
        <v>41</v>
      </c>
      <c r="D1499" s="25">
        <f t="array" ref="D1499">INDEX(C$5:C$67,MATCH($B1499,$B$5:$B$67,0))</f>
        <v>5600</v>
      </c>
      <c r="E1499" s="25">
        <f t="array" ref="E1499">INDEX(D$5:D$67,MATCH($B1499,$B$5:$B$67,0))</f>
        <v>448</v>
      </c>
      <c r="F1499" s="25">
        <f t="array" ref="F1499">INDEX(E$5:E$67,MATCH($B1499,$B$5:$B$67,0))</f>
        <v>576</v>
      </c>
      <c r="G1499" s="25">
        <f t="array" ref="G1499">INDEX(F$5:F$67,MATCH($B1499,$B$5:$B$67,0))</f>
        <v>46.08</v>
      </c>
      <c r="H1499" s="25">
        <f t="array" ref="H1499">INDEX(G$5:G$66,MATCH($B1499,$B$5:$B$67,0))</f>
        <v>720</v>
      </c>
      <c r="I1499" s="25">
        <f t="array" ref="I1499">INDEX(H$5:H$67,MATCH($B1499,$B$5:$B$67,0))</f>
        <v>57.6</v>
      </c>
      <c r="J1499" s="25">
        <f t="array" ref="J1499">INDEX(I$5:I$67,MATCH($B1499,$B$5:$B$67,0))</f>
        <v>880</v>
      </c>
      <c r="K1499" s="25">
        <f t="array" ref="K1499">INDEX(J$5:J$67,MATCH($B1499,$B$5:$B$67,0))</f>
        <v>70.4</v>
      </c>
      <c r="L1499" s="25">
        <f t="shared" si="669"/>
        <v>23968</v>
      </c>
      <c r="M1499" s="25">
        <f t="shared" si="670"/>
        <v>2465</v>
      </c>
      <c r="N1499" s="25">
        <f t="shared" si="671"/>
        <v>3082</v>
      </c>
      <c r="O1499" s="25">
        <f t="shared" si="672"/>
        <v>3766</v>
      </c>
    </row>
    <row r="1500" spans="1:15">
      <c r="A1500" s="48">
        <v>1030042</v>
      </c>
      <c r="B1500" s="49" t="s">
        <v>360</v>
      </c>
      <c r="C1500" s="25">
        <f t="shared" si="668"/>
        <v>42</v>
      </c>
      <c r="D1500" s="25">
        <f t="array" ref="D1500">INDEX(C$5:C$67,MATCH($B1500,$B$5:$B$67,0))</f>
        <v>5600</v>
      </c>
      <c r="E1500" s="25">
        <f t="array" ref="E1500">INDEX(D$5:D$67,MATCH($B1500,$B$5:$B$67,0))</f>
        <v>448</v>
      </c>
      <c r="F1500" s="25">
        <f t="array" ref="F1500">INDEX(E$5:E$67,MATCH($B1500,$B$5:$B$67,0))</f>
        <v>576</v>
      </c>
      <c r="G1500" s="25">
        <f t="array" ref="G1500">INDEX(F$5:F$67,MATCH($B1500,$B$5:$B$67,0))</f>
        <v>46.08</v>
      </c>
      <c r="H1500" s="25">
        <f t="array" ref="H1500">INDEX(G$5:G$66,MATCH($B1500,$B$5:$B$67,0))</f>
        <v>720</v>
      </c>
      <c r="I1500" s="25">
        <f t="array" ref="I1500">INDEX(H$5:H$67,MATCH($B1500,$B$5:$B$67,0))</f>
        <v>57.6</v>
      </c>
      <c r="J1500" s="25">
        <f t="array" ref="J1500">INDEX(I$5:I$67,MATCH($B1500,$B$5:$B$67,0))</f>
        <v>880</v>
      </c>
      <c r="K1500" s="25">
        <f t="array" ref="K1500">INDEX(J$5:J$67,MATCH($B1500,$B$5:$B$67,0))</f>
        <v>70.4</v>
      </c>
      <c r="L1500" s="25">
        <f t="shared" si="669"/>
        <v>24416</v>
      </c>
      <c r="M1500" s="25">
        <f t="shared" si="670"/>
        <v>2511</v>
      </c>
      <c r="N1500" s="25">
        <f t="shared" si="671"/>
        <v>3139</v>
      </c>
      <c r="O1500" s="25">
        <f t="shared" si="672"/>
        <v>3837</v>
      </c>
    </row>
    <row r="1501" spans="1:15">
      <c r="A1501" s="48">
        <v>1030043</v>
      </c>
      <c r="B1501" s="49" t="s">
        <v>360</v>
      </c>
      <c r="C1501" s="25">
        <f t="shared" si="668"/>
        <v>43</v>
      </c>
      <c r="D1501" s="25">
        <f t="array" ref="D1501">INDEX(C$5:C$67,MATCH($B1501,$B$5:$B$67,0))</f>
        <v>5600</v>
      </c>
      <c r="E1501" s="25">
        <f t="array" ref="E1501">INDEX(D$5:D$67,MATCH($B1501,$B$5:$B$67,0))</f>
        <v>448</v>
      </c>
      <c r="F1501" s="25">
        <f t="array" ref="F1501">INDEX(E$5:E$67,MATCH($B1501,$B$5:$B$67,0))</f>
        <v>576</v>
      </c>
      <c r="G1501" s="25">
        <f t="array" ref="G1501">INDEX(F$5:F$67,MATCH($B1501,$B$5:$B$67,0))</f>
        <v>46.08</v>
      </c>
      <c r="H1501" s="25">
        <f t="array" ref="H1501">INDEX(G$5:G$66,MATCH($B1501,$B$5:$B$67,0))</f>
        <v>720</v>
      </c>
      <c r="I1501" s="25">
        <f t="array" ref="I1501">INDEX(H$5:H$67,MATCH($B1501,$B$5:$B$67,0))</f>
        <v>57.6</v>
      </c>
      <c r="J1501" s="25">
        <f t="array" ref="J1501">INDEX(I$5:I$67,MATCH($B1501,$B$5:$B$67,0))</f>
        <v>880</v>
      </c>
      <c r="K1501" s="25">
        <f t="array" ref="K1501">INDEX(J$5:J$67,MATCH($B1501,$B$5:$B$67,0))</f>
        <v>70.4</v>
      </c>
      <c r="L1501" s="25">
        <f t="shared" si="669"/>
        <v>24864</v>
      </c>
      <c r="M1501" s="25">
        <f t="shared" si="670"/>
        <v>2557</v>
      </c>
      <c r="N1501" s="25">
        <f t="shared" si="671"/>
        <v>3197</v>
      </c>
      <c r="O1501" s="25">
        <f t="shared" si="672"/>
        <v>3907</v>
      </c>
    </row>
    <row r="1502" spans="1:15">
      <c r="A1502" s="48">
        <v>1030044</v>
      </c>
      <c r="B1502" s="49" t="s">
        <v>360</v>
      </c>
      <c r="C1502" s="25">
        <f t="shared" si="668"/>
        <v>44</v>
      </c>
      <c r="D1502" s="25">
        <f t="array" ref="D1502">INDEX(C$5:C$67,MATCH($B1502,$B$5:$B$67,0))</f>
        <v>5600</v>
      </c>
      <c r="E1502" s="25">
        <f t="array" ref="E1502">INDEX(D$5:D$67,MATCH($B1502,$B$5:$B$67,0))</f>
        <v>448</v>
      </c>
      <c r="F1502" s="25">
        <f t="array" ref="F1502">INDEX(E$5:E$67,MATCH($B1502,$B$5:$B$67,0))</f>
        <v>576</v>
      </c>
      <c r="G1502" s="25">
        <f t="array" ref="G1502">INDEX(F$5:F$67,MATCH($B1502,$B$5:$B$67,0))</f>
        <v>46.08</v>
      </c>
      <c r="H1502" s="25">
        <f t="array" ref="H1502">INDEX(G$5:G$66,MATCH($B1502,$B$5:$B$67,0))</f>
        <v>720</v>
      </c>
      <c r="I1502" s="25">
        <f t="array" ref="I1502">INDEX(H$5:H$67,MATCH($B1502,$B$5:$B$67,0))</f>
        <v>57.6</v>
      </c>
      <c r="J1502" s="25">
        <f t="array" ref="J1502">INDEX(I$5:I$67,MATCH($B1502,$B$5:$B$67,0))</f>
        <v>880</v>
      </c>
      <c r="K1502" s="25">
        <f t="array" ref="K1502">INDEX(J$5:J$67,MATCH($B1502,$B$5:$B$67,0))</f>
        <v>70.4</v>
      </c>
      <c r="L1502" s="25">
        <f t="shared" si="669"/>
        <v>25312</v>
      </c>
      <c r="M1502" s="25">
        <f t="shared" si="670"/>
        <v>2604</v>
      </c>
      <c r="N1502" s="25">
        <f t="shared" si="671"/>
        <v>3254</v>
      </c>
      <c r="O1502" s="25">
        <f t="shared" si="672"/>
        <v>3978</v>
      </c>
    </row>
    <row r="1503" spans="1:15">
      <c r="A1503" s="48">
        <v>1030045</v>
      </c>
      <c r="B1503" s="49" t="s">
        <v>360</v>
      </c>
      <c r="C1503" s="25">
        <f t="shared" si="668"/>
        <v>45</v>
      </c>
      <c r="D1503" s="25">
        <f t="array" ref="D1503">INDEX(C$5:C$67,MATCH($B1503,$B$5:$B$67,0))</f>
        <v>5600</v>
      </c>
      <c r="E1503" s="25">
        <f t="array" ref="E1503">INDEX(D$5:D$67,MATCH($B1503,$B$5:$B$67,0))</f>
        <v>448</v>
      </c>
      <c r="F1503" s="25">
        <f t="array" ref="F1503">INDEX(E$5:E$67,MATCH($B1503,$B$5:$B$67,0))</f>
        <v>576</v>
      </c>
      <c r="G1503" s="25">
        <f t="array" ref="G1503">INDEX(F$5:F$67,MATCH($B1503,$B$5:$B$67,0))</f>
        <v>46.08</v>
      </c>
      <c r="H1503" s="25">
        <f t="array" ref="H1503">INDEX(G$5:G$66,MATCH($B1503,$B$5:$B$67,0))</f>
        <v>720</v>
      </c>
      <c r="I1503" s="25">
        <f t="array" ref="I1503">INDEX(H$5:H$67,MATCH($B1503,$B$5:$B$67,0))</f>
        <v>57.6</v>
      </c>
      <c r="J1503" s="25">
        <f t="array" ref="J1503">INDEX(I$5:I$67,MATCH($B1503,$B$5:$B$67,0))</f>
        <v>880</v>
      </c>
      <c r="K1503" s="25">
        <f t="array" ref="K1503">INDEX(J$5:J$67,MATCH($B1503,$B$5:$B$67,0))</f>
        <v>70.4</v>
      </c>
      <c r="L1503" s="25">
        <f t="shared" si="669"/>
        <v>25760</v>
      </c>
      <c r="M1503" s="25">
        <f t="shared" si="670"/>
        <v>2650</v>
      </c>
      <c r="N1503" s="25">
        <f t="shared" si="671"/>
        <v>3312</v>
      </c>
      <c r="O1503" s="25">
        <f t="shared" si="672"/>
        <v>4048</v>
      </c>
    </row>
    <row r="1504" spans="1:15">
      <c r="A1504" s="48">
        <v>1030046</v>
      </c>
      <c r="B1504" s="49" t="s">
        <v>360</v>
      </c>
      <c r="C1504" s="25">
        <f t="shared" si="668"/>
        <v>46</v>
      </c>
      <c r="D1504" s="25">
        <f t="array" ref="D1504">INDEX(C$5:C$67,MATCH($B1504,$B$5:$B$67,0))</f>
        <v>5600</v>
      </c>
      <c r="E1504" s="25">
        <f t="array" ref="E1504">INDEX(D$5:D$67,MATCH($B1504,$B$5:$B$67,0))</f>
        <v>448</v>
      </c>
      <c r="F1504" s="25">
        <f t="array" ref="F1504">INDEX(E$5:E$67,MATCH($B1504,$B$5:$B$67,0))</f>
        <v>576</v>
      </c>
      <c r="G1504" s="25">
        <f t="array" ref="G1504">INDEX(F$5:F$67,MATCH($B1504,$B$5:$B$67,0))</f>
        <v>46.08</v>
      </c>
      <c r="H1504" s="25">
        <f t="array" ref="H1504">INDEX(G$5:G$66,MATCH($B1504,$B$5:$B$67,0))</f>
        <v>720</v>
      </c>
      <c r="I1504" s="25">
        <f t="array" ref="I1504">INDEX(H$5:H$67,MATCH($B1504,$B$5:$B$67,0))</f>
        <v>57.6</v>
      </c>
      <c r="J1504" s="25">
        <f t="array" ref="J1504">INDEX(I$5:I$67,MATCH($B1504,$B$5:$B$67,0))</f>
        <v>880</v>
      </c>
      <c r="K1504" s="25">
        <f t="array" ref="K1504">INDEX(J$5:J$67,MATCH($B1504,$B$5:$B$67,0))</f>
        <v>70.4</v>
      </c>
      <c r="L1504" s="25">
        <f t="shared" si="669"/>
        <v>26208</v>
      </c>
      <c r="M1504" s="25">
        <f t="shared" si="670"/>
        <v>2696</v>
      </c>
      <c r="N1504" s="25">
        <f t="shared" si="671"/>
        <v>3370</v>
      </c>
      <c r="O1504" s="25">
        <f t="shared" si="672"/>
        <v>4118</v>
      </c>
    </row>
    <row r="1505" spans="1:15">
      <c r="A1505" s="48">
        <v>1030047</v>
      </c>
      <c r="B1505" s="49" t="s">
        <v>360</v>
      </c>
      <c r="C1505" s="25">
        <f t="shared" si="668"/>
        <v>47</v>
      </c>
      <c r="D1505" s="25">
        <f t="array" ref="D1505">INDEX(C$5:C$67,MATCH($B1505,$B$5:$B$67,0))</f>
        <v>5600</v>
      </c>
      <c r="E1505" s="25">
        <f t="array" ref="E1505">INDEX(D$5:D$67,MATCH($B1505,$B$5:$B$67,0))</f>
        <v>448</v>
      </c>
      <c r="F1505" s="25">
        <f t="array" ref="F1505">INDEX(E$5:E$67,MATCH($B1505,$B$5:$B$67,0))</f>
        <v>576</v>
      </c>
      <c r="G1505" s="25">
        <f t="array" ref="G1505">INDEX(F$5:F$67,MATCH($B1505,$B$5:$B$67,0))</f>
        <v>46.08</v>
      </c>
      <c r="H1505" s="25">
        <f t="array" ref="H1505">INDEX(G$5:G$66,MATCH($B1505,$B$5:$B$67,0))</f>
        <v>720</v>
      </c>
      <c r="I1505" s="25">
        <f t="array" ref="I1505">INDEX(H$5:H$67,MATCH($B1505,$B$5:$B$67,0))</f>
        <v>57.6</v>
      </c>
      <c r="J1505" s="25">
        <f t="array" ref="J1505">INDEX(I$5:I$67,MATCH($B1505,$B$5:$B$67,0))</f>
        <v>880</v>
      </c>
      <c r="K1505" s="25">
        <f t="array" ref="K1505">INDEX(J$5:J$67,MATCH($B1505,$B$5:$B$67,0))</f>
        <v>70.4</v>
      </c>
      <c r="L1505" s="25">
        <f t="shared" si="669"/>
        <v>26656</v>
      </c>
      <c r="M1505" s="25">
        <f t="shared" si="670"/>
        <v>2742</v>
      </c>
      <c r="N1505" s="25">
        <f t="shared" si="671"/>
        <v>3427</v>
      </c>
      <c r="O1505" s="25">
        <f t="shared" si="672"/>
        <v>4189</v>
      </c>
    </row>
    <row r="1506" spans="1:15">
      <c r="A1506" s="48">
        <v>1030048</v>
      </c>
      <c r="B1506" s="49" t="s">
        <v>360</v>
      </c>
      <c r="C1506" s="25">
        <f t="shared" si="668"/>
        <v>48</v>
      </c>
      <c r="D1506" s="25">
        <f t="array" ref="D1506">INDEX(C$5:C$67,MATCH($B1506,$B$5:$B$67,0))</f>
        <v>5600</v>
      </c>
      <c r="E1506" s="25">
        <f t="array" ref="E1506">INDEX(D$5:D$67,MATCH($B1506,$B$5:$B$67,0))</f>
        <v>448</v>
      </c>
      <c r="F1506" s="25">
        <f t="array" ref="F1506">INDEX(E$5:E$67,MATCH($B1506,$B$5:$B$67,0))</f>
        <v>576</v>
      </c>
      <c r="G1506" s="25">
        <f t="array" ref="G1506">INDEX(F$5:F$67,MATCH($B1506,$B$5:$B$67,0))</f>
        <v>46.08</v>
      </c>
      <c r="H1506" s="25">
        <f t="array" ref="H1506">INDEX(G$5:G$66,MATCH($B1506,$B$5:$B$67,0))</f>
        <v>720</v>
      </c>
      <c r="I1506" s="25">
        <f t="array" ref="I1506">INDEX(H$5:H$67,MATCH($B1506,$B$5:$B$67,0))</f>
        <v>57.6</v>
      </c>
      <c r="J1506" s="25">
        <f t="array" ref="J1506">INDEX(I$5:I$67,MATCH($B1506,$B$5:$B$67,0))</f>
        <v>880</v>
      </c>
      <c r="K1506" s="25">
        <f t="array" ref="K1506">INDEX(J$5:J$67,MATCH($B1506,$B$5:$B$67,0))</f>
        <v>70.4</v>
      </c>
      <c r="L1506" s="25">
        <f t="shared" si="669"/>
        <v>27104</v>
      </c>
      <c r="M1506" s="25">
        <f t="shared" si="670"/>
        <v>2788</v>
      </c>
      <c r="N1506" s="25">
        <f t="shared" si="671"/>
        <v>3485</v>
      </c>
      <c r="O1506" s="25">
        <f t="shared" si="672"/>
        <v>4259</v>
      </c>
    </row>
    <row r="1507" spans="1:15">
      <c r="A1507" s="48">
        <v>1030049</v>
      </c>
      <c r="B1507" s="49" t="s">
        <v>360</v>
      </c>
      <c r="C1507" s="25">
        <f t="shared" si="668"/>
        <v>49</v>
      </c>
      <c r="D1507" s="25">
        <f t="array" ref="D1507">INDEX(C$5:C$67,MATCH($B1507,$B$5:$B$67,0))</f>
        <v>5600</v>
      </c>
      <c r="E1507" s="25">
        <f t="array" ref="E1507">INDEX(D$5:D$67,MATCH($B1507,$B$5:$B$67,0))</f>
        <v>448</v>
      </c>
      <c r="F1507" s="25">
        <f t="array" ref="F1507">INDEX(E$5:E$67,MATCH($B1507,$B$5:$B$67,0))</f>
        <v>576</v>
      </c>
      <c r="G1507" s="25">
        <f t="array" ref="G1507">INDEX(F$5:F$67,MATCH($B1507,$B$5:$B$67,0))</f>
        <v>46.08</v>
      </c>
      <c r="H1507" s="25">
        <f t="array" ref="H1507">INDEX(G$5:G$66,MATCH($B1507,$B$5:$B$67,0))</f>
        <v>720</v>
      </c>
      <c r="I1507" s="25">
        <f t="array" ref="I1507">INDEX(H$5:H$67,MATCH($B1507,$B$5:$B$67,0))</f>
        <v>57.6</v>
      </c>
      <c r="J1507" s="25">
        <f t="array" ref="J1507">INDEX(I$5:I$67,MATCH($B1507,$B$5:$B$67,0))</f>
        <v>880</v>
      </c>
      <c r="K1507" s="25">
        <f t="array" ref="K1507">INDEX(J$5:J$67,MATCH($B1507,$B$5:$B$67,0))</f>
        <v>70.4</v>
      </c>
      <c r="L1507" s="25">
        <f t="shared" si="669"/>
        <v>27552</v>
      </c>
      <c r="M1507" s="25">
        <f t="shared" si="670"/>
        <v>2834</v>
      </c>
      <c r="N1507" s="25">
        <f t="shared" si="671"/>
        <v>3542</v>
      </c>
      <c r="O1507" s="25">
        <f t="shared" si="672"/>
        <v>4330</v>
      </c>
    </row>
    <row r="1508" spans="1:15">
      <c r="A1508" s="48">
        <v>1030050</v>
      </c>
      <c r="B1508" s="49" t="s">
        <v>360</v>
      </c>
      <c r="C1508" s="25">
        <f t="shared" si="668"/>
        <v>50</v>
      </c>
      <c r="D1508" s="25">
        <f t="array" ref="D1508">INDEX(C$5:C$67,MATCH($B1508,$B$5:$B$67,0))</f>
        <v>5600</v>
      </c>
      <c r="E1508" s="25">
        <f t="array" ref="E1508">INDEX(D$5:D$67,MATCH($B1508,$B$5:$B$67,0))</f>
        <v>448</v>
      </c>
      <c r="F1508" s="25">
        <f t="array" ref="F1508">INDEX(E$5:E$67,MATCH($B1508,$B$5:$B$67,0))</f>
        <v>576</v>
      </c>
      <c r="G1508" s="25">
        <f t="array" ref="G1508">INDEX(F$5:F$67,MATCH($B1508,$B$5:$B$67,0))</f>
        <v>46.08</v>
      </c>
      <c r="H1508" s="25">
        <f t="array" ref="H1508">INDEX(G$5:G$66,MATCH($B1508,$B$5:$B$67,0))</f>
        <v>720</v>
      </c>
      <c r="I1508" s="25">
        <f t="array" ref="I1508">INDEX(H$5:H$67,MATCH($B1508,$B$5:$B$67,0))</f>
        <v>57.6</v>
      </c>
      <c r="J1508" s="25">
        <f t="array" ref="J1508">INDEX(I$5:I$67,MATCH($B1508,$B$5:$B$67,0))</f>
        <v>880</v>
      </c>
      <c r="K1508" s="25">
        <f t="array" ref="K1508">INDEX(J$5:J$67,MATCH($B1508,$B$5:$B$67,0))</f>
        <v>70.4</v>
      </c>
      <c r="L1508" s="25">
        <f t="shared" si="669"/>
        <v>28000</v>
      </c>
      <c r="M1508" s="25">
        <f t="shared" si="670"/>
        <v>2880</v>
      </c>
      <c r="N1508" s="25">
        <f t="shared" si="671"/>
        <v>3600</v>
      </c>
      <c r="O1508" s="25">
        <f t="shared" si="672"/>
        <v>4400</v>
      </c>
    </row>
    <row r="1509" spans="1:15">
      <c r="A1509" s="48">
        <v>1030051</v>
      </c>
      <c r="B1509" s="49" t="s">
        <v>360</v>
      </c>
      <c r="C1509" s="25">
        <f t="shared" si="668"/>
        <v>51</v>
      </c>
      <c r="D1509" s="25">
        <f t="array" ref="D1509">INDEX(C$5:C$67,MATCH($B1509,$B$5:$B$67,0))</f>
        <v>5600</v>
      </c>
      <c r="E1509" s="25">
        <f t="array" ref="E1509">INDEX(D$5:D$67,MATCH($B1509,$B$5:$B$67,0))</f>
        <v>448</v>
      </c>
      <c r="F1509" s="25">
        <f t="array" ref="F1509">INDEX(E$5:E$67,MATCH($B1509,$B$5:$B$67,0))</f>
        <v>576</v>
      </c>
      <c r="G1509" s="25">
        <f t="array" ref="G1509">INDEX(F$5:F$67,MATCH($B1509,$B$5:$B$67,0))</f>
        <v>46.08</v>
      </c>
      <c r="H1509" s="25">
        <f t="array" ref="H1509">INDEX(G$5:G$66,MATCH($B1509,$B$5:$B$67,0))</f>
        <v>720</v>
      </c>
      <c r="I1509" s="25">
        <f t="array" ref="I1509">INDEX(H$5:H$67,MATCH($B1509,$B$5:$B$67,0))</f>
        <v>57.6</v>
      </c>
      <c r="J1509" s="25">
        <f t="array" ref="J1509">INDEX(I$5:I$67,MATCH($B1509,$B$5:$B$67,0))</f>
        <v>880</v>
      </c>
      <c r="K1509" s="25">
        <f t="array" ref="K1509">INDEX(J$5:J$67,MATCH($B1509,$B$5:$B$67,0))</f>
        <v>70.4</v>
      </c>
      <c r="L1509" s="25">
        <f t="shared" si="669"/>
        <v>28448</v>
      </c>
      <c r="M1509" s="25">
        <f t="shared" si="670"/>
        <v>2926</v>
      </c>
      <c r="N1509" s="25">
        <f t="shared" si="671"/>
        <v>3658</v>
      </c>
      <c r="O1509" s="25">
        <f t="shared" si="672"/>
        <v>4470</v>
      </c>
    </row>
    <row r="1510" spans="1:15">
      <c r="A1510" s="48">
        <v>1030052</v>
      </c>
      <c r="B1510" s="49" t="s">
        <v>360</v>
      </c>
      <c r="C1510" s="25">
        <f t="shared" si="668"/>
        <v>52</v>
      </c>
      <c r="D1510" s="25">
        <f t="array" ref="D1510">INDEX(C$5:C$67,MATCH($B1510,$B$5:$B$67,0))</f>
        <v>5600</v>
      </c>
      <c r="E1510" s="25">
        <f t="array" ref="E1510">INDEX(D$5:D$67,MATCH($B1510,$B$5:$B$67,0))</f>
        <v>448</v>
      </c>
      <c r="F1510" s="25">
        <f t="array" ref="F1510">INDEX(E$5:E$67,MATCH($B1510,$B$5:$B$67,0))</f>
        <v>576</v>
      </c>
      <c r="G1510" s="25">
        <f t="array" ref="G1510">INDEX(F$5:F$67,MATCH($B1510,$B$5:$B$67,0))</f>
        <v>46.08</v>
      </c>
      <c r="H1510" s="25">
        <f t="array" ref="H1510">INDEX(G$5:G$66,MATCH($B1510,$B$5:$B$67,0))</f>
        <v>720</v>
      </c>
      <c r="I1510" s="25">
        <f t="array" ref="I1510">INDEX(H$5:H$67,MATCH($B1510,$B$5:$B$67,0))</f>
        <v>57.6</v>
      </c>
      <c r="J1510" s="25">
        <f t="array" ref="J1510">INDEX(I$5:I$67,MATCH($B1510,$B$5:$B$67,0))</f>
        <v>880</v>
      </c>
      <c r="K1510" s="25">
        <f t="array" ref="K1510">INDEX(J$5:J$67,MATCH($B1510,$B$5:$B$67,0))</f>
        <v>70.4</v>
      </c>
      <c r="L1510" s="25">
        <f t="shared" si="669"/>
        <v>28896</v>
      </c>
      <c r="M1510" s="25">
        <f t="shared" si="670"/>
        <v>2972</v>
      </c>
      <c r="N1510" s="25">
        <f t="shared" si="671"/>
        <v>3715</v>
      </c>
      <c r="O1510" s="25">
        <f t="shared" si="672"/>
        <v>4541</v>
      </c>
    </row>
    <row r="1511" spans="1:15">
      <c r="A1511" s="48">
        <v>1030053</v>
      </c>
      <c r="B1511" s="49" t="s">
        <v>360</v>
      </c>
      <c r="C1511" s="25">
        <f t="shared" si="668"/>
        <v>53</v>
      </c>
      <c r="D1511" s="25">
        <f t="array" ref="D1511">INDEX(C$5:C$67,MATCH($B1511,$B$5:$B$67,0))</f>
        <v>5600</v>
      </c>
      <c r="E1511" s="25">
        <f t="array" ref="E1511">INDEX(D$5:D$67,MATCH($B1511,$B$5:$B$67,0))</f>
        <v>448</v>
      </c>
      <c r="F1511" s="25">
        <f t="array" ref="F1511">INDEX(E$5:E$67,MATCH($B1511,$B$5:$B$67,0))</f>
        <v>576</v>
      </c>
      <c r="G1511" s="25">
        <f t="array" ref="G1511">INDEX(F$5:F$67,MATCH($B1511,$B$5:$B$67,0))</f>
        <v>46.08</v>
      </c>
      <c r="H1511" s="25">
        <f t="array" ref="H1511">INDEX(G$5:G$66,MATCH($B1511,$B$5:$B$67,0))</f>
        <v>720</v>
      </c>
      <c r="I1511" s="25">
        <f t="array" ref="I1511">INDEX(H$5:H$67,MATCH($B1511,$B$5:$B$67,0))</f>
        <v>57.6</v>
      </c>
      <c r="J1511" s="25">
        <f t="array" ref="J1511">INDEX(I$5:I$67,MATCH($B1511,$B$5:$B$67,0))</f>
        <v>880</v>
      </c>
      <c r="K1511" s="25">
        <f t="array" ref="K1511">INDEX(J$5:J$67,MATCH($B1511,$B$5:$B$67,0))</f>
        <v>70.4</v>
      </c>
      <c r="L1511" s="25">
        <f t="shared" si="669"/>
        <v>29344</v>
      </c>
      <c r="M1511" s="25">
        <f t="shared" si="670"/>
        <v>3018</v>
      </c>
      <c r="N1511" s="25">
        <f t="shared" si="671"/>
        <v>3773</v>
      </c>
      <c r="O1511" s="25">
        <f t="shared" si="672"/>
        <v>4611</v>
      </c>
    </row>
    <row r="1512" spans="1:15">
      <c r="A1512" s="48">
        <v>1030054</v>
      </c>
      <c r="B1512" s="49" t="s">
        <v>360</v>
      </c>
      <c r="C1512" s="25">
        <f t="shared" si="668"/>
        <v>54</v>
      </c>
      <c r="D1512" s="25">
        <f t="array" ref="D1512">INDEX(C$5:C$67,MATCH($B1512,$B$5:$B$67,0))</f>
        <v>5600</v>
      </c>
      <c r="E1512" s="25">
        <f t="array" ref="E1512">INDEX(D$5:D$67,MATCH($B1512,$B$5:$B$67,0))</f>
        <v>448</v>
      </c>
      <c r="F1512" s="25">
        <f t="array" ref="F1512">INDEX(E$5:E$67,MATCH($B1512,$B$5:$B$67,0))</f>
        <v>576</v>
      </c>
      <c r="G1512" s="25">
        <f t="array" ref="G1512">INDEX(F$5:F$67,MATCH($B1512,$B$5:$B$67,0))</f>
        <v>46.08</v>
      </c>
      <c r="H1512" s="25">
        <f t="array" ref="H1512">INDEX(G$5:G$66,MATCH($B1512,$B$5:$B$67,0))</f>
        <v>720</v>
      </c>
      <c r="I1512" s="25">
        <f t="array" ref="I1512">INDEX(H$5:H$67,MATCH($B1512,$B$5:$B$67,0))</f>
        <v>57.6</v>
      </c>
      <c r="J1512" s="25">
        <f t="array" ref="J1512">INDEX(I$5:I$67,MATCH($B1512,$B$5:$B$67,0))</f>
        <v>880</v>
      </c>
      <c r="K1512" s="25">
        <f t="array" ref="K1512">INDEX(J$5:J$67,MATCH($B1512,$B$5:$B$67,0))</f>
        <v>70.4</v>
      </c>
      <c r="L1512" s="25">
        <f t="shared" si="669"/>
        <v>29792</v>
      </c>
      <c r="M1512" s="25">
        <f t="shared" si="670"/>
        <v>3064</v>
      </c>
      <c r="N1512" s="25">
        <f t="shared" si="671"/>
        <v>3830</v>
      </c>
      <c r="O1512" s="25">
        <f t="shared" si="672"/>
        <v>4682</v>
      </c>
    </row>
    <row r="1513" spans="1:15">
      <c r="A1513" s="48">
        <v>1030055</v>
      </c>
      <c r="B1513" s="49" t="s">
        <v>360</v>
      </c>
      <c r="C1513" s="25">
        <f t="shared" si="668"/>
        <v>55</v>
      </c>
      <c r="D1513" s="25">
        <f t="array" ref="D1513">INDEX(C$5:C$67,MATCH($B1513,$B$5:$B$67,0))</f>
        <v>5600</v>
      </c>
      <c r="E1513" s="25">
        <f t="array" ref="E1513">INDEX(D$5:D$67,MATCH($B1513,$B$5:$B$67,0))</f>
        <v>448</v>
      </c>
      <c r="F1513" s="25">
        <f t="array" ref="F1513">INDEX(E$5:E$67,MATCH($B1513,$B$5:$B$67,0))</f>
        <v>576</v>
      </c>
      <c r="G1513" s="25">
        <f t="array" ref="G1513">INDEX(F$5:F$67,MATCH($B1513,$B$5:$B$67,0))</f>
        <v>46.08</v>
      </c>
      <c r="H1513" s="25">
        <f t="array" ref="H1513">INDEX(G$5:G$66,MATCH($B1513,$B$5:$B$67,0))</f>
        <v>720</v>
      </c>
      <c r="I1513" s="25">
        <f t="array" ref="I1513">INDEX(H$5:H$67,MATCH($B1513,$B$5:$B$67,0))</f>
        <v>57.6</v>
      </c>
      <c r="J1513" s="25">
        <f t="array" ref="J1513">INDEX(I$5:I$67,MATCH($B1513,$B$5:$B$67,0))</f>
        <v>880</v>
      </c>
      <c r="K1513" s="25">
        <f t="array" ref="K1513">INDEX(J$5:J$67,MATCH($B1513,$B$5:$B$67,0))</f>
        <v>70.4</v>
      </c>
      <c r="L1513" s="25">
        <f t="shared" si="669"/>
        <v>30240</v>
      </c>
      <c r="M1513" s="25">
        <f t="shared" si="670"/>
        <v>3110</v>
      </c>
      <c r="N1513" s="25">
        <f t="shared" si="671"/>
        <v>3888</v>
      </c>
      <c r="O1513" s="25">
        <f t="shared" si="672"/>
        <v>4752</v>
      </c>
    </row>
    <row r="1514" spans="1:15">
      <c r="A1514" s="48">
        <v>1030056</v>
      </c>
      <c r="B1514" s="49" t="s">
        <v>360</v>
      </c>
      <c r="C1514" s="25">
        <f t="shared" si="668"/>
        <v>56</v>
      </c>
      <c r="D1514" s="25">
        <f t="array" ref="D1514">INDEX(C$5:C$67,MATCH($B1514,$B$5:$B$67,0))</f>
        <v>5600</v>
      </c>
      <c r="E1514" s="25">
        <f t="array" ref="E1514">INDEX(D$5:D$67,MATCH($B1514,$B$5:$B$67,0))</f>
        <v>448</v>
      </c>
      <c r="F1514" s="25">
        <f t="array" ref="F1514">INDEX(E$5:E$67,MATCH($B1514,$B$5:$B$67,0))</f>
        <v>576</v>
      </c>
      <c r="G1514" s="25">
        <f t="array" ref="G1514">INDEX(F$5:F$67,MATCH($B1514,$B$5:$B$67,0))</f>
        <v>46.08</v>
      </c>
      <c r="H1514" s="25">
        <f t="array" ref="H1514">INDEX(G$5:G$66,MATCH($B1514,$B$5:$B$67,0))</f>
        <v>720</v>
      </c>
      <c r="I1514" s="25">
        <f t="array" ref="I1514">INDEX(H$5:H$67,MATCH($B1514,$B$5:$B$67,0))</f>
        <v>57.6</v>
      </c>
      <c r="J1514" s="25">
        <f t="array" ref="J1514">INDEX(I$5:I$67,MATCH($B1514,$B$5:$B$67,0))</f>
        <v>880</v>
      </c>
      <c r="K1514" s="25">
        <f t="array" ref="K1514">INDEX(J$5:J$67,MATCH($B1514,$B$5:$B$67,0))</f>
        <v>70.4</v>
      </c>
      <c r="L1514" s="25">
        <f t="shared" si="669"/>
        <v>30688</v>
      </c>
      <c r="M1514" s="25">
        <f t="shared" si="670"/>
        <v>3156</v>
      </c>
      <c r="N1514" s="25">
        <f t="shared" si="671"/>
        <v>3946</v>
      </c>
      <c r="O1514" s="25">
        <f t="shared" si="672"/>
        <v>4822</v>
      </c>
    </row>
    <row r="1515" spans="1:15">
      <c r="A1515" s="48">
        <v>1030057</v>
      </c>
      <c r="B1515" s="49" t="s">
        <v>360</v>
      </c>
      <c r="C1515" s="25">
        <f t="shared" si="668"/>
        <v>57</v>
      </c>
      <c r="D1515" s="25">
        <f t="array" ref="D1515">INDEX(C$5:C$67,MATCH($B1515,$B$5:$B$67,0))</f>
        <v>5600</v>
      </c>
      <c r="E1515" s="25">
        <f t="array" ref="E1515">INDEX(D$5:D$67,MATCH($B1515,$B$5:$B$67,0))</f>
        <v>448</v>
      </c>
      <c r="F1515" s="25">
        <f t="array" ref="F1515">INDEX(E$5:E$67,MATCH($B1515,$B$5:$B$67,0))</f>
        <v>576</v>
      </c>
      <c r="G1515" s="25">
        <f t="array" ref="G1515">INDEX(F$5:F$67,MATCH($B1515,$B$5:$B$67,0))</f>
        <v>46.08</v>
      </c>
      <c r="H1515" s="25">
        <f t="array" ref="H1515">INDEX(G$5:G$66,MATCH($B1515,$B$5:$B$67,0))</f>
        <v>720</v>
      </c>
      <c r="I1515" s="25">
        <f t="array" ref="I1515">INDEX(H$5:H$67,MATCH($B1515,$B$5:$B$67,0))</f>
        <v>57.6</v>
      </c>
      <c r="J1515" s="25">
        <f t="array" ref="J1515">INDEX(I$5:I$67,MATCH($B1515,$B$5:$B$67,0))</f>
        <v>880</v>
      </c>
      <c r="K1515" s="25">
        <f t="array" ref="K1515">INDEX(J$5:J$67,MATCH($B1515,$B$5:$B$67,0))</f>
        <v>70.4</v>
      </c>
      <c r="L1515" s="25">
        <f t="shared" si="669"/>
        <v>31136</v>
      </c>
      <c r="M1515" s="25">
        <f t="shared" si="670"/>
        <v>3203</v>
      </c>
      <c r="N1515" s="25">
        <f t="shared" si="671"/>
        <v>4003</v>
      </c>
      <c r="O1515" s="25">
        <f t="shared" si="672"/>
        <v>4893</v>
      </c>
    </row>
    <row r="1516" spans="1:15">
      <c r="A1516" s="48">
        <v>1030058</v>
      </c>
      <c r="B1516" s="49" t="s">
        <v>360</v>
      </c>
      <c r="C1516" s="25">
        <f t="shared" si="668"/>
        <v>58</v>
      </c>
      <c r="D1516" s="25">
        <f t="array" ref="D1516">INDEX(C$5:C$67,MATCH($B1516,$B$5:$B$67,0))</f>
        <v>5600</v>
      </c>
      <c r="E1516" s="25">
        <f t="array" ref="E1516">INDEX(D$5:D$67,MATCH($B1516,$B$5:$B$67,0))</f>
        <v>448</v>
      </c>
      <c r="F1516" s="25">
        <f t="array" ref="F1516">INDEX(E$5:E$67,MATCH($B1516,$B$5:$B$67,0))</f>
        <v>576</v>
      </c>
      <c r="G1516" s="25">
        <f t="array" ref="G1516">INDEX(F$5:F$67,MATCH($B1516,$B$5:$B$67,0))</f>
        <v>46.08</v>
      </c>
      <c r="H1516" s="25">
        <f t="array" ref="H1516">INDEX(G$5:G$66,MATCH($B1516,$B$5:$B$67,0))</f>
        <v>720</v>
      </c>
      <c r="I1516" s="25">
        <f t="array" ref="I1516">INDEX(H$5:H$67,MATCH($B1516,$B$5:$B$67,0))</f>
        <v>57.6</v>
      </c>
      <c r="J1516" s="25">
        <f t="array" ref="J1516">INDEX(I$5:I$67,MATCH($B1516,$B$5:$B$67,0))</f>
        <v>880</v>
      </c>
      <c r="K1516" s="25">
        <f t="array" ref="K1516">INDEX(J$5:J$67,MATCH($B1516,$B$5:$B$67,0))</f>
        <v>70.4</v>
      </c>
      <c r="L1516" s="25">
        <f t="shared" si="669"/>
        <v>31584</v>
      </c>
      <c r="M1516" s="25">
        <f t="shared" si="670"/>
        <v>3249</v>
      </c>
      <c r="N1516" s="25">
        <f t="shared" si="671"/>
        <v>4061</v>
      </c>
      <c r="O1516" s="25">
        <f t="shared" si="672"/>
        <v>4963</v>
      </c>
    </row>
    <row r="1517" spans="1:15">
      <c r="A1517" s="48">
        <v>1030059</v>
      </c>
      <c r="B1517" s="49" t="s">
        <v>360</v>
      </c>
      <c r="C1517" s="25">
        <f t="shared" si="668"/>
        <v>59</v>
      </c>
      <c r="D1517" s="25">
        <f t="array" ref="D1517">INDEX(C$5:C$67,MATCH($B1517,$B$5:$B$67,0))</f>
        <v>5600</v>
      </c>
      <c r="E1517" s="25">
        <f t="array" ref="E1517">INDEX(D$5:D$67,MATCH($B1517,$B$5:$B$67,0))</f>
        <v>448</v>
      </c>
      <c r="F1517" s="25">
        <f t="array" ref="F1517">INDEX(E$5:E$67,MATCH($B1517,$B$5:$B$67,0))</f>
        <v>576</v>
      </c>
      <c r="G1517" s="25">
        <f t="array" ref="G1517">INDEX(F$5:F$67,MATCH($B1517,$B$5:$B$67,0))</f>
        <v>46.08</v>
      </c>
      <c r="H1517" s="25">
        <f t="array" ref="H1517">INDEX(G$5:G$66,MATCH($B1517,$B$5:$B$67,0))</f>
        <v>720</v>
      </c>
      <c r="I1517" s="25">
        <f t="array" ref="I1517">INDEX(H$5:H$67,MATCH($B1517,$B$5:$B$67,0))</f>
        <v>57.6</v>
      </c>
      <c r="J1517" s="25">
        <f t="array" ref="J1517">INDEX(I$5:I$67,MATCH($B1517,$B$5:$B$67,0))</f>
        <v>880</v>
      </c>
      <c r="K1517" s="25">
        <f t="array" ref="K1517">INDEX(J$5:J$67,MATCH($B1517,$B$5:$B$67,0))</f>
        <v>70.4</v>
      </c>
      <c r="L1517" s="25">
        <f t="shared" si="669"/>
        <v>32032</v>
      </c>
      <c r="M1517" s="25">
        <f t="shared" si="670"/>
        <v>3295</v>
      </c>
      <c r="N1517" s="25">
        <f t="shared" si="671"/>
        <v>4118</v>
      </c>
      <c r="O1517" s="25">
        <f t="shared" si="672"/>
        <v>5034</v>
      </c>
    </row>
    <row r="1518" spans="1:15">
      <c r="A1518" s="48">
        <v>1030060</v>
      </c>
      <c r="B1518" s="49" t="s">
        <v>360</v>
      </c>
      <c r="C1518" s="25">
        <f t="shared" si="668"/>
        <v>60</v>
      </c>
      <c r="D1518" s="25">
        <f t="array" ref="D1518">INDEX(C$5:C$67,MATCH($B1518,$B$5:$B$67,0))</f>
        <v>5600</v>
      </c>
      <c r="E1518" s="25">
        <f t="array" ref="E1518">INDEX(D$5:D$67,MATCH($B1518,$B$5:$B$67,0))</f>
        <v>448</v>
      </c>
      <c r="F1518" s="25">
        <f t="array" ref="F1518">INDEX(E$5:E$67,MATCH($B1518,$B$5:$B$67,0))</f>
        <v>576</v>
      </c>
      <c r="G1518" s="25">
        <f t="array" ref="G1518">INDEX(F$5:F$67,MATCH($B1518,$B$5:$B$67,0))</f>
        <v>46.08</v>
      </c>
      <c r="H1518" s="25">
        <f t="array" ref="H1518">INDEX(G$5:G$66,MATCH($B1518,$B$5:$B$67,0))</f>
        <v>720</v>
      </c>
      <c r="I1518" s="25">
        <f t="array" ref="I1518">INDEX(H$5:H$67,MATCH($B1518,$B$5:$B$67,0))</f>
        <v>57.6</v>
      </c>
      <c r="J1518" s="25">
        <f t="array" ref="J1518">INDEX(I$5:I$67,MATCH($B1518,$B$5:$B$67,0))</f>
        <v>880</v>
      </c>
      <c r="K1518" s="25">
        <f t="array" ref="K1518">INDEX(J$5:J$67,MATCH($B1518,$B$5:$B$67,0))</f>
        <v>70.4</v>
      </c>
      <c r="L1518" s="25">
        <f t="shared" si="669"/>
        <v>32480</v>
      </c>
      <c r="M1518" s="25">
        <f t="shared" si="670"/>
        <v>3341</v>
      </c>
      <c r="N1518" s="25">
        <f t="shared" si="671"/>
        <v>4176</v>
      </c>
      <c r="O1518" s="25">
        <f t="shared" si="672"/>
        <v>5104</v>
      </c>
    </row>
    <row r="1519" ht="17.25" customHeight="1" spans="1:15">
      <c r="A1519" s="55">
        <v>1035001</v>
      </c>
      <c r="B1519" s="7" t="s">
        <v>363</v>
      </c>
      <c r="C1519" s="25">
        <f t="shared" si="668"/>
        <v>1</v>
      </c>
      <c r="D1519" s="25">
        <f t="array" ref="D1519">INDEX(C$5:C$67,MATCH($B1519,$B$5:$B$67,0))</f>
        <v>3675</v>
      </c>
      <c r="E1519" s="25">
        <f t="array" ref="E1519">INDEX(D$5:D$67,MATCH($B1519,$B$5:$B$67,0))</f>
        <v>294</v>
      </c>
      <c r="F1519" s="25">
        <f t="array" ref="F1519">INDEX(E$5:E$67,MATCH($B1519,$B$5:$B$67,0))</f>
        <v>798</v>
      </c>
      <c r="G1519" s="25">
        <f t="array" ref="G1519">INDEX(F$5:F$67,MATCH($B1519,$B$5:$B$67,0))</f>
        <v>63.84</v>
      </c>
      <c r="H1519" s="25">
        <f t="array" ref="H1519">INDEX(G$5:G$66,MATCH($B1519,$B$5:$B$67,0))</f>
        <v>998</v>
      </c>
      <c r="I1519" s="25">
        <f t="array" ref="I1519">INDEX(H$5:H$67,MATCH($B1519,$B$5:$B$67,0))</f>
        <v>79.84</v>
      </c>
      <c r="J1519" s="25">
        <f t="array" ref="J1519">INDEX(I$5:I$67,MATCH($B1519,$B$5:$B$67,0))</f>
        <v>700</v>
      </c>
      <c r="K1519" s="25">
        <f t="array" ref="K1519">INDEX(J$5:J$67,MATCH($B1519,$B$5:$B$67,0))</f>
        <v>56</v>
      </c>
      <c r="L1519" s="25">
        <f t="shared" si="669"/>
        <v>3969</v>
      </c>
      <c r="M1519" s="25">
        <f t="shared" si="670"/>
        <v>862</v>
      </c>
      <c r="N1519" s="25">
        <f t="shared" si="671"/>
        <v>1078</v>
      </c>
      <c r="O1519" s="25">
        <f t="shared" si="672"/>
        <v>756</v>
      </c>
    </row>
    <row r="1520" ht="17.25" customHeight="1" spans="1:15">
      <c r="A1520" s="55">
        <v>1035002</v>
      </c>
      <c r="B1520" s="7" t="s">
        <v>363</v>
      </c>
      <c r="C1520" s="25">
        <f t="shared" si="668"/>
        <v>2</v>
      </c>
      <c r="D1520" s="25">
        <f t="array" ref="D1520">INDEX(C$5:C$67,MATCH($B1520,$B$5:$B$67,0))</f>
        <v>3675</v>
      </c>
      <c r="E1520" s="25">
        <f t="array" ref="E1520">INDEX(D$5:D$67,MATCH($B1520,$B$5:$B$67,0))</f>
        <v>294</v>
      </c>
      <c r="F1520" s="25">
        <f t="array" ref="F1520">INDEX(E$5:E$67,MATCH($B1520,$B$5:$B$67,0))</f>
        <v>798</v>
      </c>
      <c r="G1520" s="25">
        <f t="array" ref="G1520">INDEX(F$5:F$67,MATCH($B1520,$B$5:$B$67,0))</f>
        <v>63.84</v>
      </c>
      <c r="H1520" s="25">
        <f t="array" ref="H1520">INDEX(G$5:G$66,MATCH($B1520,$B$5:$B$67,0))</f>
        <v>998</v>
      </c>
      <c r="I1520" s="25">
        <f t="array" ref="I1520">INDEX(H$5:H$67,MATCH($B1520,$B$5:$B$67,0))</f>
        <v>79.84</v>
      </c>
      <c r="J1520" s="25">
        <f t="array" ref="J1520">INDEX(I$5:I$67,MATCH($B1520,$B$5:$B$67,0))</f>
        <v>700</v>
      </c>
      <c r="K1520" s="25">
        <f t="array" ref="K1520">INDEX(J$5:J$67,MATCH($B1520,$B$5:$B$67,0))</f>
        <v>56</v>
      </c>
      <c r="L1520" s="25">
        <f t="shared" si="669"/>
        <v>4263</v>
      </c>
      <c r="M1520" s="25">
        <f t="shared" si="670"/>
        <v>926</v>
      </c>
      <c r="N1520" s="25">
        <f t="shared" si="671"/>
        <v>1158</v>
      </c>
      <c r="O1520" s="25">
        <f t="shared" si="672"/>
        <v>812</v>
      </c>
    </row>
    <row r="1521" ht="17.25" customHeight="1" spans="1:15">
      <c r="A1521" s="55">
        <v>1035003</v>
      </c>
      <c r="B1521" s="7" t="s">
        <v>363</v>
      </c>
      <c r="C1521" s="25">
        <f t="shared" si="668"/>
        <v>3</v>
      </c>
      <c r="D1521" s="25">
        <f t="array" ref="D1521">INDEX(C$5:C$67,MATCH($B1521,$B$5:$B$67,0))</f>
        <v>3675</v>
      </c>
      <c r="E1521" s="25">
        <f t="array" ref="E1521">INDEX(D$5:D$67,MATCH($B1521,$B$5:$B$67,0))</f>
        <v>294</v>
      </c>
      <c r="F1521" s="25">
        <f t="array" ref="F1521">INDEX(E$5:E$67,MATCH($B1521,$B$5:$B$67,0))</f>
        <v>798</v>
      </c>
      <c r="G1521" s="25">
        <f t="array" ref="G1521">INDEX(F$5:F$67,MATCH($B1521,$B$5:$B$67,0))</f>
        <v>63.84</v>
      </c>
      <c r="H1521" s="25">
        <f t="array" ref="H1521">INDEX(G$5:G$66,MATCH($B1521,$B$5:$B$67,0))</f>
        <v>998</v>
      </c>
      <c r="I1521" s="25">
        <f t="array" ref="I1521">INDEX(H$5:H$67,MATCH($B1521,$B$5:$B$67,0))</f>
        <v>79.84</v>
      </c>
      <c r="J1521" s="25">
        <f t="array" ref="J1521">INDEX(I$5:I$67,MATCH($B1521,$B$5:$B$67,0))</f>
        <v>700</v>
      </c>
      <c r="K1521" s="25">
        <f t="array" ref="K1521">INDEX(J$5:J$67,MATCH($B1521,$B$5:$B$67,0))</f>
        <v>56</v>
      </c>
      <c r="L1521" s="25">
        <f t="shared" si="669"/>
        <v>4557</v>
      </c>
      <c r="M1521" s="25">
        <f t="shared" si="670"/>
        <v>990</v>
      </c>
      <c r="N1521" s="25">
        <f t="shared" si="671"/>
        <v>1238</v>
      </c>
      <c r="O1521" s="25">
        <f t="shared" si="672"/>
        <v>868</v>
      </c>
    </row>
    <row r="1522" ht="17.25" customHeight="1" spans="1:15">
      <c r="A1522" s="55">
        <v>1035004</v>
      </c>
      <c r="B1522" s="7" t="s">
        <v>363</v>
      </c>
      <c r="C1522" s="25">
        <f t="shared" si="668"/>
        <v>4</v>
      </c>
      <c r="D1522" s="25">
        <f t="array" ref="D1522">INDEX(C$5:C$67,MATCH($B1522,$B$5:$B$67,0))</f>
        <v>3675</v>
      </c>
      <c r="E1522" s="25">
        <f t="array" ref="E1522">INDEX(D$5:D$67,MATCH($B1522,$B$5:$B$67,0))</f>
        <v>294</v>
      </c>
      <c r="F1522" s="25">
        <f t="array" ref="F1522">INDEX(E$5:E$67,MATCH($B1522,$B$5:$B$67,0))</f>
        <v>798</v>
      </c>
      <c r="G1522" s="25">
        <f t="array" ref="G1522">INDEX(F$5:F$67,MATCH($B1522,$B$5:$B$67,0))</f>
        <v>63.84</v>
      </c>
      <c r="H1522" s="25">
        <f t="array" ref="H1522">INDEX(G$5:G$66,MATCH($B1522,$B$5:$B$67,0))</f>
        <v>998</v>
      </c>
      <c r="I1522" s="25">
        <f t="array" ref="I1522">INDEX(H$5:H$67,MATCH($B1522,$B$5:$B$67,0))</f>
        <v>79.84</v>
      </c>
      <c r="J1522" s="25">
        <f t="array" ref="J1522">INDEX(I$5:I$67,MATCH($B1522,$B$5:$B$67,0))</f>
        <v>700</v>
      </c>
      <c r="K1522" s="25">
        <f t="array" ref="K1522">INDEX(J$5:J$67,MATCH($B1522,$B$5:$B$67,0))</f>
        <v>56</v>
      </c>
      <c r="L1522" s="25">
        <f t="shared" si="669"/>
        <v>4851</v>
      </c>
      <c r="M1522" s="25">
        <f t="shared" si="670"/>
        <v>1053</v>
      </c>
      <c r="N1522" s="25">
        <f t="shared" si="671"/>
        <v>1317</v>
      </c>
      <c r="O1522" s="25">
        <f t="shared" si="672"/>
        <v>924</v>
      </c>
    </row>
    <row r="1523" ht="17.25" customHeight="1" spans="1:15">
      <c r="A1523" s="55">
        <v>1035005</v>
      </c>
      <c r="B1523" s="7" t="s">
        <v>363</v>
      </c>
      <c r="C1523" s="25">
        <f t="shared" si="668"/>
        <v>5</v>
      </c>
      <c r="D1523" s="25">
        <f t="array" ref="D1523">INDEX(C$5:C$67,MATCH($B1523,$B$5:$B$67,0))</f>
        <v>3675</v>
      </c>
      <c r="E1523" s="25">
        <f t="array" ref="E1523">INDEX(D$5:D$67,MATCH($B1523,$B$5:$B$67,0))</f>
        <v>294</v>
      </c>
      <c r="F1523" s="25">
        <f t="array" ref="F1523">INDEX(E$5:E$67,MATCH($B1523,$B$5:$B$67,0))</f>
        <v>798</v>
      </c>
      <c r="G1523" s="25">
        <f t="array" ref="G1523">INDEX(F$5:F$67,MATCH($B1523,$B$5:$B$67,0))</f>
        <v>63.84</v>
      </c>
      <c r="H1523" s="25">
        <f t="array" ref="H1523">INDEX(G$5:G$66,MATCH($B1523,$B$5:$B$67,0))</f>
        <v>998</v>
      </c>
      <c r="I1523" s="25">
        <f t="array" ref="I1523">INDEX(H$5:H$67,MATCH($B1523,$B$5:$B$67,0))</f>
        <v>79.84</v>
      </c>
      <c r="J1523" s="25">
        <f t="array" ref="J1523">INDEX(I$5:I$67,MATCH($B1523,$B$5:$B$67,0))</f>
        <v>700</v>
      </c>
      <c r="K1523" s="25">
        <f t="array" ref="K1523">INDEX(J$5:J$67,MATCH($B1523,$B$5:$B$67,0))</f>
        <v>56</v>
      </c>
      <c r="L1523" s="25">
        <f t="shared" si="669"/>
        <v>5145</v>
      </c>
      <c r="M1523" s="25">
        <f t="shared" si="670"/>
        <v>1117</v>
      </c>
      <c r="N1523" s="25">
        <f t="shared" si="671"/>
        <v>1397</v>
      </c>
      <c r="O1523" s="25">
        <f t="shared" si="672"/>
        <v>980</v>
      </c>
    </row>
    <row r="1524" ht="17.25" customHeight="1" spans="1:15">
      <c r="A1524" s="55">
        <v>1035006</v>
      </c>
      <c r="B1524" s="7" t="s">
        <v>363</v>
      </c>
      <c r="C1524" s="25">
        <f t="shared" si="668"/>
        <v>6</v>
      </c>
      <c r="D1524" s="25">
        <f t="array" ref="D1524">INDEX(C$5:C$67,MATCH($B1524,$B$5:$B$67,0))</f>
        <v>3675</v>
      </c>
      <c r="E1524" s="25">
        <f t="array" ref="E1524">INDEX(D$5:D$67,MATCH($B1524,$B$5:$B$67,0))</f>
        <v>294</v>
      </c>
      <c r="F1524" s="25">
        <f t="array" ref="F1524">INDEX(E$5:E$67,MATCH($B1524,$B$5:$B$67,0))</f>
        <v>798</v>
      </c>
      <c r="G1524" s="25">
        <f t="array" ref="G1524">INDEX(F$5:F$67,MATCH($B1524,$B$5:$B$67,0))</f>
        <v>63.84</v>
      </c>
      <c r="H1524" s="25">
        <f t="array" ref="H1524">INDEX(G$5:G$66,MATCH($B1524,$B$5:$B$67,0))</f>
        <v>998</v>
      </c>
      <c r="I1524" s="25">
        <f t="array" ref="I1524">INDEX(H$5:H$67,MATCH($B1524,$B$5:$B$67,0))</f>
        <v>79.84</v>
      </c>
      <c r="J1524" s="25">
        <f t="array" ref="J1524">INDEX(I$5:I$67,MATCH($B1524,$B$5:$B$67,0))</f>
        <v>700</v>
      </c>
      <c r="K1524" s="25">
        <f t="array" ref="K1524">INDEX(J$5:J$67,MATCH($B1524,$B$5:$B$67,0))</f>
        <v>56</v>
      </c>
      <c r="L1524" s="25">
        <f t="shared" si="669"/>
        <v>5439</v>
      </c>
      <c r="M1524" s="25">
        <f t="shared" si="670"/>
        <v>1181</v>
      </c>
      <c r="N1524" s="25">
        <f t="shared" si="671"/>
        <v>1477</v>
      </c>
      <c r="O1524" s="25">
        <f t="shared" si="672"/>
        <v>1036</v>
      </c>
    </row>
    <row r="1525" ht="17.25" customHeight="1" spans="1:15">
      <c r="A1525" s="55">
        <v>1035007</v>
      </c>
      <c r="B1525" s="7" t="s">
        <v>363</v>
      </c>
      <c r="C1525" s="25">
        <f t="shared" si="668"/>
        <v>7</v>
      </c>
      <c r="D1525" s="25">
        <f t="array" ref="D1525">INDEX(C$5:C$67,MATCH($B1525,$B$5:$B$67,0))</f>
        <v>3675</v>
      </c>
      <c r="E1525" s="25">
        <f t="array" ref="E1525">INDEX(D$5:D$67,MATCH($B1525,$B$5:$B$67,0))</f>
        <v>294</v>
      </c>
      <c r="F1525" s="25">
        <f t="array" ref="F1525">INDEX(E$5:E$67,MATCH($B1525,$B$5:$B$67,0))</f>
        <v>798</v>
      </c>
      <c r="G1525" s="25">
        <f t="array" ref="G1525">INDEX(F$5:F$67,MATCH($B1525,$B$5:$B$67,0))</f>
        <v>63.84</v>
      </c>
      <c r="H1525" s="25">
        <f t="array" ref="H1525">INDEX(G$5:G$66,MATCH($B1525,$B$5:$B$67,0))</f>
        <v>998</v>
      </c>
      <c r="I1525" s="25">
        <f t="array" ref="I1525">INDEX(H$5:H$67,MATCH($B1525,$B$5:$B$67,0))</f>
        <v>79.84</v>
      </c>
      <c r="J1525" s="25">
        <f t="array" ref="J1525">INDEX(I$5:I$67,MATCH($B1525,$B$5:$B$67,0))</f>
        <v>700</v>
      </c>
      <c r="K1525" s="25">
        <f t="array" ref="K1525">INDEX(J$5:J$67,MATCH($B1525,$B$5:$B$67,0))</f>
        <v>56</v>
      </c>
      <c r="L1525" s="25">
        <f t="shared" si="669"/>
        <v>5733</v>
      </c>
      <c r="M1525" s="25">
        <f t="shared" si="670"/>
        <v>1245</v>
      </c>
      <c r="N1525" s="25">
        <f t="shared" si="671"/>
        <v>1557</v>
      </c>
      <c r="O1525" s="25">
        <f t="shared" si="672"/>
        <v>1092</v>
      </c>
    </row>
    <row r="1526" ht="17.25" customHeight="1" spans="1:15">
      <c r="A1526" s="55">
        <v>1035008</v>
      </c>
      <c r="B1526" s="7" t="s">
        <v>363</v>
      </c>
      <c r="C1526" s="25">
        <f t="shared" si="668"/>
        <v>8</v>
      </c>
      <c r="D1526" s="25">
        <f t="array" ref="D1526">INDEX(C$5:C$67,MATCH($B1526,$B$5:$B$67,0))</f>
        <v>3675</v>
      </c>
      <c r="E1526" s="25">
        <f t="array" ref="E1526">INDEX(D$5:D$67,MATCH($B1526,$B$5:$B$67,0))</f>
        <v>294</v>
      </c>
      <c r="F1526" s="25">
        <f t="array" ref="F1526">INDEX(E$5:E$67,MATCH($B1526,$B$5:$B$67,0))</f>
        <v>798</v>
      </c>
      <c r="G1526" s="25">
        <f t="array" ref="G1526">INDEX(F$5:F$67,MATCH($B1526,$B$5:$B$67,0))</f>
        <v>63.84</v>
      </c>
      <c r="H1526" s="25">
        <f t="array" ref="H1526">INDEX(G$5:G$66,MATCH($B1526,$B$5:$B$67,0))</f>
        <v>998</v>
      </c>
      <c r="I1526" s="25">
        <f t="array" ref="I1526">INDEX(H$5:H$67,MATCH($B1526,$B$5:$B$67,0))</f>
        <v>79.84</v>
      </c>
      <c r="J1526" s="25">
        <f t="array" ref="J1526">INDEX(I$5:I$67,MATCH($B1526,$B$5:$B$67,0))</f>
        <v>700</v>
      </c>
      <c r="K1526" s="25">
        <f t="array" ref="K1526">INDEX(J$5:J$67,MATCH($B1526,$B$5:$B$67,0))</f>
        <v>56</v>
      </c>
      <c r="L1526" s="25">
        <f t="shared" si="669"/>
        <v>6027</v>
      </c>
      <c r="M1526" s="25">
        <f t="shared" si="670"/>
        <v>1309</v>
      </c>
      <c r="N1526" s="25">
        <f t="shared" si="671"/>
        <v>1637</v>
      </c>
      <c r="O1526" s="25">
        <f t="shared" si="672"/>
        <v>1148</v>
      </c>
    </row>
    <row r="1527" ht="17.25" customHeight="1" spans="1:15">
      <c r="A1527" s="55">
        <v>1035009</v>
      </c>
      <c r="B1527" s="7" t="s">
        <v>363</v>
      </c>
      <c r="C1527" s="25">
        <f t="shared" si="668"/>
        <v>9</v>
      </c>
      <c r="D1527" s="25">
        <f t="array" ref="D1527">INDEX(C$5:C$67,MATCH($B1527,$B$5:$B$67,0))</f>
        <v>3675</v>
      </c>
      <c r="E1527" s="25">
        <f t="array" ref="E1527">INDEX(D$5:D$67,MATCH($B1527,$B$5:$B$67,0))</f>
        <v>294</v>
      </c>
      <c r="F1527" s="25">
        <f t="array" ref="F1527">INDEX(E$5:E$67,MATCH($B1527,$B$5:$B$67,0))</f>
        <v>798</v>
      </c>
      <c r="G1527" s="25">
        <f t="array" ref="G1527">INDEX(F$5:F$67,MATCH($B1527,$B$5:$B$67,0))</f>
        <v>63.84</v>
      </c>
      <c r="H1527" s="25">
        <f t="array" ref="H1527">INDEX(G$5:G$66,MATCH($B1527,$B$5:$B$67,0))</f>
        <v>998</v>
      </c>
      <c r="I1527" s="25">
        <f t="array" ref="I1527">INDEX(H$5:H$67,MATCH($B1527,$B$5:$B$67,0))</f>
        <v>79.84</v>
      </c>
      <c r="J1527" s="25">
        <f t="array" ref="J1527">INDEX(I$5:I$67,MATCH($B1527,$B$5:$B$67,0))</f>
        <v>700</v>
      </c>
      <c r="K1527" s="25">
        <f t="array" ref="K1527">INDEX(J$5:J$67,MATCH($B1527,$B$5:$B$67,0))</f>
        <v>56</v>
      </c>
      <c r="L1527" s="25">
        <f t="shared" si="669"/>
        <v>6321</v>
      </c>
      <c r="M1527" s="25">
        <f t="shared" si="670"/>
        <v>1373</v>
      </c>
      <c r="N1527" s="25">
        <f t="shared" si="671"/>
        <v>1717</v>
      </c>
      <c r="O1527" s="25">
        <f t="shared" si="672"/>
        <v>1204</v>
      </c>
    </row>
    <row r="1528" ht="17.25" customHeight="1" spans="1:15">
      <c r="A1528" s="55">
        <v>1035010</v>
      </c>
      <c r="B1528" s="7" t="s">
        <v>363</v>
      </c>
      <c r="C1528" s="25">
        <f t="shared" si="668"/>
        <v>10</v>
      </c>
      <c r="D1528" s="25">
        <f t="array" ref="D1528">INDEX(C$5:C$67,MATCH($B1528,$B$5:$B$67,0))</f>
        <v>3675</v>
      </c>
      <c r="E1528" s="25">
        <f t="array" ref="E1528">INDEX(D$5:D$67,MATCH($B1528,$B$5:$B$67,0))</f>
        <v>294</v>
      </c>
      <c r="F1528" s="25">
        <f t="array" ref="F1528">INDEX(E$5:E$67,MATCH($B1528,$B$5:$B$67,0))</f>
        <v>798</v>
      </c>
      <c r="G1528" s="25">
        <f t="array" ref="G1528">INDEX(F$5:F$67,MATCH($B1528,$B$5:$B$67,0))</f>
        <v>63.84</v>
      </c>
      <c r="H1528" s="25">
        <f t="array" ref="H1528">INDEX(G$5:G$66,MATCH($B1528,$B$5:$B$67,0))</f>
        <v>998</v>
      </c>
      <c r="I1528" s="25">
        <f t="array" ref="I1528">INDEX(H$5:H$67,MATCH($B1528,$B$5:$B$67,0))</f>
        <v>79.84</v>
      </c>
      <c r="J1528" s="25">
        <f t="array" ref="J1528">INDEX(I$5:I$67,MATCH($B1528,$B$5:$B$67,0))</f>
        <v>700</v>
      </c>
      <c r="K1528" s="25">
        <f t="array" ref="K1528">INDEX(J$5:J$67,MATCH($B1528,$B$5:$B$67,0))</f>
        <v>56</v>
      </c>
      <c r="L1528" s="25">
        <f t="shared" si="669"/>
        <v>6615</v>
      </c>
      <c r="M1528" s="25">
        <f t="shared" si="670"/>
        <v>1436</v>
      </c>
      <c r="N1528" s="25">
        <f t="shared" si="671"/>
        <v>1796</v>
      </c>
      <c r="O1528" s="25">
        <f t="shared" si="672"/>
        <v>1260</v>
      </c>
    </row>
    <row r="1529" ht="17.25" customHeight="1" spans="1:15">
      <c r="A1529" s="55">
        <v>1035011</v>
      </c>
      <c r="B1529" s="7" t="s">
        <v>363</v>
      </c>
      <c r="C1529" s="25">
        <f t="shared" si="668"/>
        <v>11</v>
      </c>
      <c r="D1529" s="25">
        <f t="array" ref="D1529">INDEX(C$5:C$67,MATCH($B1529,$B$5:$B$67,0))</f>
        <v>3675</v>
      </c>
      <c r="E1529" s="25">
        <f t="array" ref="E1529">INDEX(D$5:D$67,MATCH($B1529,$B$5:$B$67,0))</f>
        <v>294</v>
      </c>
      <c r="F1529" s="25">
        <f t="array" ref="F1529">INDEX(E$5:E$67,MATCH($B1529,$B$5:$B$67,0))</f>
        <v>798</v>
      </c>
      <c r="G1529" s="25">
        <f t="array" ref="G1529">INDEX(F$5:F$67,MATCH($B1529,$B$5:$B$67,0))</f>
        <v>63.84</v>
      </c>
      <c r="H1529" s="25">
        <f t="array" ref="H1529">INDEX(G$5:G$66,MATCH($B1529,$B$5:$B$67,0))</f>
        <v>998</v>
      </c>
      <c r="I1529" s="25">
        <f t="array" ref="I1529">INDEX(H$5:H$67,MATCH($B1529,$B$5:$B$67,0))</f>
        <v>79.84</v>
      </c>
      <c r="J1529" s="25">
        <f t="array" ref="J1529">INDEX(I$5:I$67,MATCH($B1529,$B$5:$B$67,0))</f>
        <v>700</v>
      </c>
      <c r="K1529" s="25">
        <f t="array" ref="K1529">INDEX(J$5:J$67,MATCH($B1529,$B$5:$B$67,0))</f>
        <v>56</v>
      </c>
      <c r="L1529" s="25">
        <f t="shared" si="669"/>
        <v>6909</v>
      </c>
      <c r="M1529" s="25">
        <f t="shared" si="670"/>
        <v>1500</v>
      </c>
      <c r="N1529" s="25">
        <f t="shared" si="671"/>
        <v>1876</v>
      </c>
      <c r="O1529" s="25">
        <f t="shared" si="672"/>
        <v>1316</v>
      </c>
    </row>
    <row r="1530" ht="17.25" customHeight="1" spans="1:15">
      <c r="A1530" s="55">
        <v>1035012</v>
      </c>
      <c r="B1530" s="7" t="s">
        <v>363</v>
      </c>
      <c r="C1530" s="25">
        <f t="shared" si="668"/>
        <v>12</v>
      </c>
      <c r="D1530" s="25">
        <f t="array" ref="D1530">INDEX(C$5:C$67,MATCH($B1530,$B$5:$B$67,0))</f>
        <v>3675</v>
      </c>
      <c r="E1530" s="25">
        <f t="array" ref="E1530">INDEX(D$5:D$67,MATCH($B1530,$B$5:$B$67,0))</f>
        <v>294</v>
      </c>
      <c r="F1530" s="25">
        <f t="array" ref="F1530">INDEX(E$5:E$67,MATCH($B1530,$B$5:$B$67,0))</f>
        <v>798</v>
      </c>
      <c r="G1530" s="25">
        <f t="array" ref="G1530">INDEX(F$5:F$67,MATCH($B1530,$B$5:$B$67,0))</f>
        <v>63.84</v>
      </c>
      <c r="H1530" s="25">
        <f t="array" ref="H1530">INDEX(G$5:G$66,MATCH($B1530,$B$5:$B$67,0))</f>
        <v>998</v>
      </c>
      <c r="I1530" s="25">
        <f t="array" ref="I1530">INDEX(H$5:H$67,MATCH($B1530,$B$5:$B$67,0))</f>
        <v>79.84</v>
      </c>
      <c r="J1530" s="25">
        <f t="array" ref="J1530">INDEX(I$5:I$67,MATCH($B1530,$B$5:$B$67,0))</f>
        <v>700</v>
      </c>
      <c r="K1530" s="25">
        <f t="array" ref="K1530">INDEX(J$5:J$67,MATCH($B1530,$B$5:$B$67,0))</f>
        <v>56</v>
      </c>
      <c r="L1530" s="25">
        <f t="shared" si="669"/>
        <v>7203</v>
      </c>
      <c r="M1530" s="25">
        <f t="shared" si="670"/>
        <v>1564</v>
      </c>
      <c r="N1530" s="25">
        <f t="shared" si="671"/>
        <v>1956</v>
      </c>
      <c r="O1530" s="25">
        <f t="shared" si="672"/>
        <v>1372</v>
      </c>
    </row>
    <row r="1531" ht="17.25" customHeight="1" spans="1:15">
      <c r="A1531" s="55">
        <v>1035013</v>
      </c>
      <c r="B1531" s="7" t="s">
        <v>363</v>
      </c>
      <c r="C1531" s="25">
        <f t="shared" si="668"/>
        <v>13</v>
      </c>
      <c r="D1531" s="25">
        <f t="array" ref="D1531">INDEX(C$5:C$67,MATCH($B1531,$B$5:$B$67,0))</f>
        <v>3675</v>
      </c>
      <c r="E1531" s="25">
        <f t="array" ref="E1531">INDEX(D$5:D$67,MATCH($B1531,$B$5:$B$67,0))</f>
        <v>294</v>
      </c>
      <c r="F1531" s="25">
        <f t="array" ref="F1531">INDEX(E$5:E$67,MATCH($B1531,$B$5:$B$67,0))</f>
        <v>798</v>
      </c>
      <c r="G1531" s="25">
        <f t="array" ref="G1531">INDEX(F$5:F$67,MATCH($B1531,$B$5:$B$67,0))</f>
        <v>63.84</v>
      </c>
      <c r="H1531" s="25">
        <f t="array" ref="H1531">INDEX(G$5:G$66,MATCH($B1531,$B$5:$B$67,0))</f>
        <v>998</v>
      </c>
      <c r="I1531" s="25">
        <f t="array" ref="I1531">INDEX(H$5:H$67,MATCH($B1531,$B$5:$B$67,0))</f>
        <v>79.84</v>
      </c>
      <c r="J1531" s="25">
        <f t="array" ref="J1531">INDEX(I$5:I$67,MATCH($B1531,$B$5:$B$67,0))</f>
        <v>700</v>
      </c>
      <c r="K1531" s="25">
        <f t="array" ref="K1531">INDEX(J$5:J$67,MATCH($B1531,$B$5:$B$67,0))</f>
        <v>56</v>
      </c>
      <c r="L1531" s="25">
        <f t="shared" si="669"/>
        <v>7497</v>
      </c>
      <c r="M1531" s="25">
        <f t="shared" si="670"/>
        <v>1628</v>
      </c>
      <c r="N1531" s="25">
        <f t="shared" si="671"/>
        <v>2036</v>
      </c>
      <c r="O1531" s="25">
        <f t="shared" si="672"/>
        <v>1428</v>
      </c>
    </row>
    <row r="1532" ht="17.25" customHeight="1" spans="1:15">
      <c r="A1532" s="55">
        <v>1035014</v>
      </c>
      <c r="B1532" s="7" t="s">
        <v>363</v>
      </c>
      <c r="C1532" s="25">
        <f t="shared" si="668"/>
        <v>14</v>
      </c>
      <c r="D1532" s="25">
        <f t="array" ref="D1532">INDEX(C$5:C$67,MATCH($B1532,$B$5:$B$67,0))</f>
        <v>3675</v>
      </c>
      <c r="E1532" s="25">
        <f t="array" ref="E1532">INDEX(D$5:D$67,MATCH($B1532,$B$5:$B$67,0))</f>
        <v>294</v>
      </c>
      <c r="F1532" s="25">
        <f t="array" ref="F1532">INDEX(E$5:E$67,MATCH($B1532,$B$5:$B$67,0))</f>
        <v>798</v>
      </c>
      <c r="G1532" s="25">
        <f t="array" ref="G1532">INDEX(F$5:F$67,MATCH($B1532,$B$5:$B$67,0))</f>
        <v>63.84</v>
      </c>
      <c r="H1532" s="25">
        <f t="array" ref="H1532">INDEX(G$5:G$66,MATCH($B1532,$B$5:$B$67,0))</f>
        <v>998</v>
      </c>
      <c r="I1532" s="25">
        <f t="array" ref="I1532">INDEX(H$5:H$67,MATCH($B1532,$B$5:$B$67,0))</f>
        <v>79.84</v>
      </c>
      <c r="J1532" s="25">
        <f t="array" ref="J1532">INDEX(I$5:I$67,MATCH($B1532,$B$5:$B$67,0))</f>
        <v>700</v>
      </c>
      <c r="K1532" s="25">
        <f t="array" ref="K1532">INDEX(J$5:J$67,MATCH($B1532,$B$5:$B$67,0))</f>
        <v>56</v>
      </c>
      <c r="L1532" s="25">
        <f t="shared" si="669"/>
        <v>7791</v>
      </c>
      <c r="M1532" s="25">
        <f t="shared" si="670"/>
        <v>1692</v>
      </c>
      <c r="N1532" s="25">
        <f t="shared" si="671"/>
        <v>2116</v>
      </c>
      <c r="O1532" s="25">
        <f t="shared" si="672"/>
        <v>1484</v>
      </c>
    </row>
    <row r="1533" ht="17.25" customHeight="1" spans="1:15">
      <c r="A1533" s="55">
        <v>1035015</v>
      </c>
      <c r="B1533" s="7" t="s">
        <v>363</v>
      </c>
      <c r="C1533" s="25">
        <f t="shared" si="668"/>
        <v>15</v>
      </c>
      <c r="D1533" s="25">
        <f t="array" ref="D1533">INDEX(C$5:C$67,MATCH($B1533,$B$5:$B$67,0))</f>
        <v>3675</v>
      </c>
      <c r="E1533" s="25">
        <f t="array" ref="E1533">INDEX(D$5:D$67,MATCH($B1533,$B$5:$B$67,0))</f>
        <v>294</v>
      </c>
      <c r="F1533" s="25">
        <f t="array" ref="F1533">INDEX(E$5:E$67,MATCH($B1533,$B$5:$B$67,0))</f>
        <v>798</v>
      </c>
      <c r="G1533" s="25">
        <f t="array" ref="G1533">INDEX(F$5:F$67,MATCH($B1533,$B$5:$B$67,0))</f>
        <v>63.84</v>
      </c>
      <c r="H1533" s="25">
        <f t="array" ref="H1533">INDEX(G$5:G$66,MATCH($B1533,$B$5:$B$67,0))</f>
        <v>998</v>
      </c>
      <c r="I1533" s="25">
        <f t="array" ref="I1533">INDEX(H$5:H$67,MATCH($B1533,$B$5:$B$67,0))</f>
        <v>79.84</v>
      </c>
      <c r="J1533" s="25">
        <f t="array" ref="J1533">INDEX(I$5:I$67,MATCH($B1533,$B$5:$B$67,0))</f>
        <v>700</v>
      </c>
      <c r="K1533" s="25">
        <f t="array" ref="K1533">INDEX(J$5:J$67,MATCH($B1533,$B$5:$B$67,0))</f>
        <v>56</v>
      </c>
      <c r="L1533" s="25">
        <f t="shared" si="669"/>
        <v>8085</v>
      </c>
      <c r="M1533" s="25">
        <f t="shared" si="670"/>
        <v>1756</v>
      </c>
      <c r="N1533" s="25">
        <f t="shared" si="671"/>
        <v>2196</v>
      </c>
      <c r="O1533" s="25">
        <f t="shared" si="672"/>
        <v>1540</v>
      </c>
    </row>
    <row r="1534" ht="17.25" customHeight="1" spans="1:15">
      <c r="A1534" s="55">
        <v>1035016</v>
      </c>
      <c r="B1534" s="7" t="s">
        <v>363</v>
      </c>
      <c r="C1534" s="25">
        <f t="shared" si="668"/>
        <v>16</v>
      </c>
      <c r="D1534" s="25">
        <f t="array" ref="D1534">INDEX(C$5:C$67,MATCH($B1534,$B$5:$B$67,0))</f>
        <v>3675</v>
      </c>
      <c r="E1534" s="25">
        <f t="array" ref="E1534">INDEX(D$5:D$67,MATCH($B1534,$B$5:$B$67,0))</f>
        <v>294</v>
      </c>
      <c r="F1534" s="25">
        <f t="array" ref="F1534">INDEX(E$5:E$67,MATCH($B1534,$B$5:$B$67,0))</f>
        <v>798</v>
      </c>
      <c r="G1534" s="25">
        <f t="array" ref="G1534">INDEX(F$5:F$67,MATCH($B1534,$B$5:$B$67,0))</f>
        <v>63.84</v>
      </c>
      <c r="H1534" s="25">
        <f t="array" ref="H1534">INDEX(G$5:G$66,MATCH($B1534,$B$5:$B$67,0))</f>
        <v>998</v>
      </c>
      <c r="I1534" s="25">
        <f t="array" ref="I1534">INDEX(H$5:H$67,MATCH($B1534,$B$5:$B$67,0))</f>
        <v>79.84</v>
      </c>
      <c r="J1534" s="25">
        <f t="array" ref="J1534">INDEX(I$5:I$67,MATCH($B1534,$B$5:$B$67,0))</f>
        <v>700</v>
      </c>
      <c r="K1534" s="25">
        <f t="array" ref="K1534">INDEX(J$5:J$67,MATCH($B1534,$B$5:$B$67,0))</f>
        <v>56</v>
      </c>
      <c r="L1534" s="25">
        <f t="shared" si="669"/>
        <v>8379</v>
      </c>
      <c r="M1534" s="25">
        <f t="shared" si="670"/>
        <v>1819</v>
      </c>
      <c r="N1534" s="25">
        <f t="shared" si="671"/>
        <v>2275</v>
      </c>
      <c r="O1534" s="25">
        <f t="shared" si="672"/>
        <v>1596</v>
      </c>
    </row>
    <row r="1535" ht="17.25" customHeight="1" spans="1:15">
      <c r="A1535" s="55">
        <v>1035017</v>
      </c>
      <c r="B1535" s="7" t="s">
        <v>363</v>
      </c>
      <c r="C1535" s="25">
        <f t="shared" si="668"/>
        <v>17</v>
      </c>
      <c r="D1535" s="25">
        <f t="array" ref="D1535">INDEX(C$5:C$67,MATCH($B1535,$B$5:$B$67,0))</f>
        <v>3675</v>
      </c>
      <c r="E1535" s="25">
        <f t="array" ref="E1535">INDEX(D$5:D$67,MATCH($B1535,$B$5:$B$67,0))</f>
        <v>294</v>
      </c>
      <c r="F1535" s="25">
        <f t="array" ref="F1535">INDEX(E$5:E$67,MATCH($B1535,$B$5:$B$67,0))</f>
        <v>798</v>
      </c>
      <c r="G1535" s="25">
        <f t="array" ref="G1535">INDEX(F$5:F$67,MATCH($B1535,$B$5:$B$67,0))</f>
        <v>63.84</v>
      </c>
      <c r="H1535" s="25">
        <f t="array" ref="H1535">INDEX(G$5:G$66,MATCH($B1535,$B$5:$B$67,0))</f>
        <v>998</v>
      </c>
      <c r="I1535" s="25">
        <f t="array" ref="I1535">INDEX(H$5:H$67,MATCH($B1535,$B$5:$B$67,0))</f>
        <v>79.84</v>
      </c>
      <c r="J1535" s="25">
        <f t="array" ref="J1535">INDEX(I$5:I$67,MATCH($B1535,$B$5:$B$67,0))</f>
        <v>700</v>
      </c>
      <c r="K1535" s="25">
        <f t="array" ref="K1535">INDEX(J$5:J$67,MATCH($B1535,$B$5:$B$67,0))</f>
        <v>56</v>
      </c>
      <c r="L1535" s="25">
        <f t="shared" si="669"/>
        <v>8673</v>
      </c>
      <c r="M1535" s="25">
        <f t="shared" si="670"/>
        <v>1883</v>
      </c>
      <c r="N1535" s="25">
        <f t="shared" si="671"/>
        <v>2355</v>
      </c>
      <c r="O1535" s="25">
        <f t="shared" si="672"/>
        <v>1652</v>
      </c>
    </row>
    <row r="1536" ht="17.25" customHeight="1" spans="1:15">
      <c r="A1536" s="55">
        <v>1035018</v>
      </c>
      <c r="B1536" s="7" t="s">
        <v>363</v>
      </c>
      <c r="C1536" s="25">
        <f t="shared" si="668"/>
        <v>18</v>
      </c>
      <c r="D1536" s="25">
        <f t="array" ref="D1536">INDEX(C$5:C$67,MATCH($B1536,$B$5:$B$67,0))</f>
        <v>3675</v>
      </c>
      <c r="E1536" s="25">
        <f t="array" ref="E1536">INDEX(D$5:D$67,MATCH($B1536,$B$5:$B$67,0))</f>
        <v>294</v>
      </c>
      <c r="F1536" s="25">
        <f t="array" ref="F1536">INDEX(E$5:E$67,MATCH($B1536,$B$5:$B$67,0))</f>
        <v>798</v>
      </c>
      <c r="G1536" s="25">
        <f t="array" ref="G1536">INDEX(F$5:F$67,MATCH($B1536,$B$5:$B$67,0))</f>
        <v>63.84</v>
      </c>
      <c r="H1536" s="25">
        <f t="array" ref="H1536">INDEX(G$5:G$66,MATCH($B1536,$B$5:$B$67,0))</f>
        <v>998</v>
      </c>
      <c r="I1536" s="25">
        <f t="array" ref="I1536">INDEX(H$5:H$67,MATCH($B1536,$B$5:$B$67,0))</f>
        <v>79.84</v>
      </c>
      <c r="J1536" s="25">
        <f t="array" ref="J1536">INDEX(I$5:I$67,MATCH($B1536,$B$5:$B$67,0))</f>
        <v>700</v>
      </c>
      <c r="K1536" s="25">
        <f t="array" ref="K1536">INDEX(J$5:J$67,MATCH($B1536,$B$5:$B$67,0))</f>
        <v>56</v>
      </c>
      <c r="L1536" s="25">
        <f t="shared" si="669"/>
        <v>8967</v>
      </c>
      <c r="M1536" s="25">
        <f t="shared" si="670"/>
        <v>1947</v>
      </c>
      <c r="N1536" s="25">
        <f t="shared" si="671"/>
        <v>2435</v>
      </c>
      <c r="O1536" s="25">
        <f t="shared" si="672"/>
        <v>1708</v>
      </c>
    </row>
    <row r="1537" ht="17.25" customHeight="1" spans="1:15">
      <c r="A1537" s="55">
        <v>1035019</v>
      </c>
      <c r="B1537" s="7" t="s">
        <v>363</v>
      </c>
      <c r="C1537" s="25">
        <f t="shared" si="668"/>
        <v>19</v>
      </c>
      <c r="D1537" s="25">
        <f t="array" ref="D1537">INDEX(C$5:C$67,MATCH($B1537,$B$5:$B$67,0))</f>
        <v>3675</v>
      </c>
      <c r="E1537" s="25">
        <f t="array" ref="E1537">INDEX(D$5:D$67,MATCH($B1537,$B$5:$B$67,0))</f>
        <v>294</v>
      </c>
      <c r="F1537" s="25">
        <f t="array" ref="F1537">INDEX(E$5:E$67,MATCH($B1537,$B$5:$B$67,0))</f>
        <v>798</v>
      </c>
      <c r="G1537" s="25">
        <f t="array" ref="G1537">INDEX(F$5:F$67,MATCH($B1537,$B$5:$B$67,0))</f>
        <v>63.84</v>
      </c>
      <c r="H1537" s="25">
        <f t="array" ref="H1537">INDEX(G$5:G$66,MATCH($B1537,$B$5:$B$67,0))</f>
        <v>998</v>
      </c>
      <c r="I1537" s="25">
        <f t="array" ref="I1537">INDEX(H$5:H$67,MATCH($B1537,$B$5:$B$67,0))</f>
        <v>79.84</v>
      </c>
      <c r="J1537" s="25">
        <f t="array" ref="J1537">INDEX(I$5:I$67,MATCH($B1537,$B$5:$B$67,0))</f>
        <v>700</v>
      </c>
      <c r="K1537" s="25">
        <f t="array" ref="K1537">INDEX(J$5:J$67,MATCH($B1537,$B$5:$B$67,0))</f>
        <v>56</v>
      </c>
      <c r="L1537" s="25">
        <f t="shared" si="669"/>
        <v>9261</v>
      </c>
      <c r="M1537" s="25">
        <f t="shared" si="670"/>
        <v>2011</v>
      </c>
      <c r="N1537" s="25">
        <f t="shared" si="671"/>
        <v>2515</v>
      </c>
      <c r="O1537" s="25">
        <f t="shared" si="672"/>
        <v>1764</v>
      </c>
    </row>
    <row r="1538" ht="17.25" customHeight="1" spans="1:15">
      <c r="A1538" s="55">
        <v>1035020</v>
      </c>
      <c r="B1538" s="7" t="s">
        <v>363</v>
      </c>
      <c r="C1538" s="25">
        <f t="shared" si="668"/>
        <v>20</v>
      </c>
      <c r="D1538" s="25">
        <f t="array" ref="D1538">INDEX(C$5:C$67,MATCH($B1538,$B$5:$B$67,0))</f>
        <v>3675</v>
      </c>
      <c r="E1538" s="25">
        <f t="array" ref="E1538">INDEX(D$5:D$67,MATCH($B1538,$B$5:$B$67,0))</f>
        <v>294</v>
      </c>
      <c r="F1538" s="25">
        <f t="array" ref="F1538">INDEX(E$5:E$67,MATCH($B1538,$B$5:$B$67,0))</f>
        <v>798</v>
      </c>
      <c r="G1538" s="25">
        <f t="array" ref="G1538">INDEX(F$5:F$67,MATCH($B1538,$B$5:$B$67,0))</f>
        <v>63.84</v>
      </c>
      <c r="H1538" s="25">
        <f t="array" ref="H1538">INDEX(G$5:G$66,MATCH($B1538,$B$5:$B$67,0))</f>
        <v>998</v>
      </c>
      <c r="I1538" s="25">
        <f t="array" ref="I1538">INDEX(H$5:H$67,MATCH($B1538,$B$5:$B$67,0))</f>
        <v>79.84</v>
      </c>
      <c r="J1538" s="25">
        <f t="array" ref="J1538">INDEX(I$5:I$67,MATCH($B1538,$B$5:$B$67,0))</f>
        <v>700</v>
      </c>
      <c r="K1538" s="25">
        <f t="array" ref="K1538">INDEX(J$5:J$67,MATCH($B1538,$B$5:$B$67,0))</f>
        <v>56</v>
      </c>
      <c r="L1538" s="25">
        <f t="shared" si="669"/>
        <v>9555</v>
      </c>
      <c r="M1538" s="25">
        <f t="shared" si="670"/>
        <v>2075</v>
      </c>
      <c r="N1538" s="25">
        <f t="shared" si="671"/>
        <v>2595</v>
      </c>
      <c r="O1538" s="25">
        <f t="shared" si="672"/>
        <v>1820</v>
      </c>
    </row>
    <row r="1539" ht="17.25" customHeight="1" spans="1:15">
      <c r="A1539" s="55">
        <v>1035021</v>
      </c>
      <c r="B1539" s="7" t="s">
        <v>363</v>
      </c>
      <c r="C1539" s="25">
        <f t="shared" si="668"/>
        <v>21</v>
      </c>
      <c r="D1539" s="25">
        <f t="array" ref="D1539">INDEX(C$5:C$67,MATCH($B1539,$B$5:$B$67,0))</f>
        <v>3675</v>
      </c>
      <c r="E1539" s="25">
        <f t="array" ref="E1539">INDEX(D$5:D$67,MATCH($B1539,$B$5:$B$67,0))</f>
        <v>294</v>
      </c>
      <c r="F1539" s="25">
        <f t="array" ref="F1539">INDEX(E$5:E$67,MATCH($B1539,$B$5:$B$67,0))</f>
        <v>798</v>
      </c>
      <c r="G1539" s="25">
        <f t="array" ref="G1539">INDEX(F$5:F$67,MATCH($B1539,$B$5:$B$67,0))</f>
        <v>63.84</v>
      </c>
      <c r="H1539" s="25">
        <f t="array" ref="H1539">INDEX(G$5:G$66,MATCH($B1539,$B$5:$B$67,0))</f>
        <v>998</v>
      </c>
      <c r="I1539" s="25">
        <f t="array" ref="I1539">INDEX(H$5:H$67,MATCH($B1539,$B$5:$B$67,0))</f>
        <v>79.84</v>
      </c>
      <c r="J1539" s="25">
        <f t="array" ref="J1539">INDEX(I$5:I$67,MATCH($B1539,$B$5:$B$67,0))</f>
        <v>700</v>
      </c>
      <c r="K1539" s="25">
        <f t="array" ref="K1539">INDEX(J$5:J$67,MATCH($B1539,$B$5:$B$67,0))</f>
        <v>56</v>
      </c>
      <c r="L1539" s="25">
        <f t="shared" si="669"/>
        <v>9849</v>
      </c>
      <c r="M1539" s="25">
        <f t="shared" si="670"/>
        <v>2139</v>
      </c>
      <c r="N1539" s="25">
        <f t="shared" si="671"/>
        <v>2675</v>
      </c>
      <c r="O1539" s="25">
        <f t="shared" si="672"/>
        <v>1876</v>
      </c>
    </row>
    <row r="1540" ht="17.25" customHeight="1" spans="1:15">
      <c r="A1540" s="55">
        <v>1035022</v>
      </c>
      <c r="B1540" s="7" t="s">
        <v>363</v>
      </c>
      <c r="C1540" s="25">
        <f t="shared" si="668"/>
        <v>22</v>
      </c>
      <c r="D1540" s="25">
        <f t="array" ref="D1540">INDEX(C$5:C$67,MATCH($B1540,$B$5:$B$67,0))</f>
        <v>3675</v>
      </c>
      <c r="E1540" s="25">
        <f t="array" ref="E1540">INDEX(D$5:D$67,MATCH($B1540,$B$5:$B$67,0))</f>
        <v>294</v>
      </c>
      <c r="F1540" s="25">
        <f t="array" ref="F1540">INDEX(E$5:E$67,MATCH($B1540,$B$5:$B$67,0))</f>
        <v>798</v>
      </c>
      <c r="G1540" s="25">
        <f t="array" ref="G1540">INDEX(F$5:F$67,MATCH($B1540,$B$5:$B$67,0))</f>
        <v>63.84</v>
      </c>
      <c r="H1540" s="25">
        <f t="array" ref="H1540">INDEX(G$5:G$66,MATCH($B1540,$B$5:$B$67,0))</f>
        <v>998</v>
      </c>
      <c r="I1540" s="25">
        <f t="array" ref="I1540">INDEX(H$5:H$67,MATCH($B1540,$B$5:$B$67,0))</f>
        <v>79.84</v>
      </c>
      <c r="J1540" s="25">
        <f t="array" ref="J1540">INDEX(I$5:I$67,MATCH($B1540,$B$5:$B$67,0))</f>
        <v>700</v>
      </c>
      <c r="K1540" s="25">
        <f t="array" ref="K1540">INDEX(J$5:J$67,MATCH($B1540,$B$5:$B$67,0))</f>
        <v>56</v>
      </c>
      <c r="L1540" s="25">
        <f t="shared" si="669"/>
        <v>10143</v>
      </c>
      <c r="M1540" s="25">
        <f t="shared" si="670"/>
        <v>2202</v>
      </c>
      <c r="N1540" s="25">
        <f t="shared" si="671"/>
        <v>2754</v>
      </c>
      <c r="O1540" s="25">
        <f t="shared" si="672"/>
        <v>1932</v>
      </c>
    </row>
    <row r="1541" ht="17.25" customHeight="1" spans="1:15">
      <c r="A1541" s="55">
        <v>1035023</v>
      </c>
      <c r="B1541" s="7" t="s">
        <v>363</v>
      </c>
      <c r="C1541" s="25">
        <f t="shared" si="668"/>
        <v>23</v>
      </c>
      <c r="D1541" s="25">
        <f t="array" ref="D1541">INDEX(C$5:C$67,MATCH($B1541,$B$5:$B$67,0))</f>
        <v>3675</v>
      </c>
      <c r="E1541" s="25">
        <f t="array" ref="E1541">INDEX(D$5:D$67,MATCH($B1541,$B$5:$B$67,0))</f>
        <v>294</v>
      </c>
      <c r="F1541" s="25">
        <f t="array" ref="F1541">INDEX(E$5:E$67,MATCH($B1541,$B$5:$B$67,0))</f>
        <v>798</v>
      </c>
      <c r="G1541" s="25">
        <f t="array" ref="G1541">INDEX(F$5:F$67,MATCH($B1541,$B$5:$B$67,0))</f>
        <v>63.84</v>
      </c>
      <c r="H1541" s="25">
        <f t="array" ref="H1541">INDEX(G$5:G$66,MATCH($B1541,$B$5:$B$67,0))</f>
        <v>998</v>
      </c>
      <c r="I1541" s="25">
        <f t="array" ref="I1541">INDEX(H$5:H$67,MATCH($B1541,$B$5:$B$67,0))</f>
        <v>79.84</v>
      </c>
      <c r="J1541" s="25">
        <f t="array" ref="J1541">INDEX(I$5:I$67,MATCH($B1541,$B$5:$B$67,0))</f>
        <v>700</v>
      </c>
      <c r="K1541" s="25">
        <f t="array" ref="K1541">INDEX(J$5:J$67,MATCH($B1541,$B$5:$B$67,0))</f>
        <v>56</v>
      </c>
      <c r="L1541" s="25">
        <f t="shared" si="669"/>
        <v>10437</v>
      </c>
      <c r="M1541" s="25">
        <f t="shared" si="670"/>
        <v>2266</v>
      </c>
      <c r="N1541" s="25">
        <f t="shared" si="671"/>
        <v>2834</v>
      </c>
      <c r="O1541" s="25">
        <f t="shared" si="672"/>
        <v>1988</v>
      </c>
    </row>
    <row r="1542" ht="17.25" customHeight="1" spans="1:15">
      <c r="A1542" s="55">
        <v>1035024</v>
      </c>
      <c r="B1542" s="7" t="s">
        <v>363</v>
      </c>
      <c r="C1542" s="25">
        <f t="shared" si="668"/>
        <v>24</v>
      </c>
      <c r="D1542" s="25">
        <f t="array" ref="D1542">INDEX(C$5:C$67,MATCH($B1542,$B$5:$B$67,0))</f>
        <v>3675</v>
      </c>
      <c r="E1542" s="25">
        <f t="array" ref="E1542">INDEX(D$5:D$67,MATCH($B1542,$B$5:$B$67,0))</f>
        <v>294</v>
      </c>
      <c r="F1542" s="25">
        <f t="array" ref="F1542">INDEX(E$5:E$67,MATCH($B1542,$B$5:$B$67,0))</f>
        <v>798</v>
      </c>
      <c r="G1542" s="25">
        <f t="array" ref="G1542">INDEX(F$5:F$67,MATCH($B1542,$B$5:$B$67,0))</f>
        <v>63.84</v>
      </c>
      <c r="H1542" s="25">
        <f t="array" ref="H1542">INDEX(G$5:G$66,MATCH($B1542,$B$5:$B$67,0))</f>
        <v>998</v>
      </c>
      <c r="I1542" s="25">
        <f t="array" ref="I1542">INDEX(H$5:H$67,MATCH($B1542,$B$5:$B$67,0))</f>
        <v>79.84</v>
      </c>
      <c r="J1542" s="25">
        <f t="array" ref="J1542">INDEX(I$5:I$67,MATCH($B1542,$B$5:$B$67,0))</f>
        <v>700</v>
      </c>
      <c r="K1542" s="25">
        <f t="array" ref="K1542">INDEX(J$5:J$67,MATCH($B1542,$B$5:$B$67,0))</f>
        <v>56</v>
      </c>
      <c r="L1542" s="25">
        <f t="shared" si="669"/>
        <v>10731</v>
      </c>
      <c r="M1542" s="25">
        <f t="shared" si="670"/>
        <v>2330</v>
      </c>
      <c r="N1542" s="25">
        <f t="shared" si="671"/>
        <v>2914</v>
      </c>
      <c r="O1542" s="25">
        <f t="shared" si="672"/>
        <v>2044</v>
      </c>
    </row>
    <row r="1543" ht="17.25" customHeight="1" spans="1:15">
      <c r="A1543" s="55">
        <v>1035025</v>
      </c>
      <c r="B1543" s="7" t="s">
        <v>363</v>
      </c>
      <c r="C1543" s="25">
        <f t="shared" si="668"/>
        <v>25</v>
      </c>
      <c r="D1543" s="25">
        <f t="array" ref="D1543">INDEX(C$5:C$67,MATCH($B1543,$B$5:$B$67,0))</f>
        <v>3675</v>
      </c>
      <c r="E1543" s="25">
        <f t="array" ref="E1543">INDEX(D$5:D$67,MATCH($B1543,$B$5:$B$67,0))</f>
        <v>294</v>
      </c>
      <c r="F1543" s="25">
        <f t="array" ref="F1543">INDEX(E$5:E$67,MATCH($B1543,$B$5:$B$67,0))</f>
        <v>798</v>
      </c>
      <c r="G1543" s="25">
        <f t="array" ref="G1543">INDEX(F$5:F$67,MATCH($B1543,$B$5:$B$67,0))</f>
        <v>63.84</v>
      </c>
      <c r="H1543" s="25">
        <f t="array" ref="H1543">INDEX(G$5:G$66,MATCH($B1543,$B$5:$B$67,0))</f>
        <v>998</v>
      </c>
      <c r="I1543" s="25">
        <f t="array" ref="I1543">INDEX(H$5:H$67,MATCH($B1543,$B$5:$B$67,0))</f>
        <v>79.84</v>
      </c>
      <c r="J1543" s="25">
        <f t="array" ref="J1543">INDEX(I$5:I$67,MATCH($B1543,$B$5:$B$67,0))</f>
        <v>700</v>
      </c>
      <c r="K1543" s="25">
        <f t="array" ref="K1543">INDEX(J$5:J$67,MATCH($B1543,$B$5:$B$67,0))</f>
        <v>56</v>
      </c>
      <c r="L1543" s="25">
        <f t="shared" si="669"/>
        <v>11025</v>
      </c>
      <c r="M1543" s="25">
        <f t="shared" si="670"/>
        <v>2394</v>
      </c>
      <c r="N1543" s="25">
        <f t="shared" si="671"/>
        <v>2994</v>
      </c>
      <c r="O1543" s="25">
        <f t="shared" si="672"/>
        <v>2100</v>
      </c>
    </row>
    <row r="1544" ht="17.25" customHeight="1" spans="1:15">
      <c r="A1544" s="55">
        <v>1035026</v>
      </c>
      <c r="B1544" s="7" t="s">
        <v>363</v>
      </c>
      <c r="C1544" s="25">
        <f t="shared" si="668"/>
        <v>26</v>
      </c>
      <c r="D1544" s="25">
        <f t="array" ref="D1544">INDEX(C$5:C$67,MATCH($B1544,$B$5:$B$67,0))</f>
        <v>3675</v>
      </c>
      <c r="E1544" s="25">
        <f t="array" ref="E1544">INDEX(D$5:D$67,MATCH($B1544,$B$5:$B$67,0))</f>
        <v>294</v>
      </c>
      <c r="F1544" s="25">
        <f t="array" ref="F1544">INDEX(E$5:E$67,MATCH($B1544,$B$5:$B$67,0))</f>
        <v>798</v>
      </c>
      <c r="G1544" s="25">
        <f t="array" ref="G1544">INDEX(F$5:F$67,MATCH($B1544,$B$5:$B$67,0))</f>
        <v>63.84</v>
      </c>
      <c r="H1544" s="25">
        <f t="array" ref="H1544">INDEX(G$5:G$66,MATCH($B1544,$B$5:$B$67,0))</f>
        <v>998</v>
      </c>
      <c r="I1544" s="25">
        <f t="array" ref="I1544">INDEX(H$5:H$67,MATCH($B1544,$B$5:$B$67,0))</f>
        <v>79.84</v>
      </c>
      <c r="J1544" s="25">
        <f t="array" ref="J1544">INDEX(I$5:I$67,MATCH($B1544,$B$5:$B$67,0))</f>
        <v>700</v>
      </c>
      <c r="K1544" s="25">
        <f t="array" ref="K1544">INDEX(J$5:J$67,MATCH($B1544,$B$5:$B$67,0))</f>
        <v>56</v>
      </c>
      <c r="L1544" s="25">
        <f t="shared" si="669"/>
        <v>11319</v>
      </c>
      <c r="M1544" s="25">
        <f t="shared" si="670"/>
        <v>2458</v>
      </c>
      <c r="N1544" s="25">
        <f t="shared" si="671"/>
        <v>3074</v>
      </c>
      <c r="O1544" s="25">
        <f t="shared" si="672"/>
        <v>2156</v>
      </c>
    </row>
    <row r="1545" ht="17.25" customHeight="1" spans="1:15">
      <c r="A1545" s="55">
        <v>1035027</v>
      </c>
      <c r="B1545" s="7" t="s">
        <v>363</v>
      </c>
      <c r="C1545" s="25">
        <f t="shared" si="668"/>
        <v>27</v>
      </c>
      <c r="D1545" s="25">
        <f t="array" ref="D1545">INDEX(C$5:C$67,MATCH($B1545,$B$5:$B$67,0))</f>
        <v>3675</v>
      </c>
      <c r="E1545" s="25">
        <f t="array" ref="E1545">INDEX(D$5:D$67,MATCH($B1545,$B$5:$B$67,0))</f>
        <v>294</v>
      </c>
      <c r="F1545" s="25">
        <f t="array" ref="F1545">INDEX(E$5:E$67,MATCH($B1545,$B$5:$B$67,0))</f>
        <v>798</v>
      </c>
      <c r="G1545" s="25">
        <f t="array" ref="G1545">INDEX(F$5:F$67,MATCH($B1545,$B$5:$B$67,0))</f>
        <v>63.84</v>
      </c>
      <c r="H1545" s="25">
        <f t="array" ref="H1545">INDEX(G$5:G$66,MATCH($B1545,$B$5:$B$67,0))</f>
        <v>998</v>
      </c>
      <c r="I1545" s="25">
        <f t="array" ref="I1545">INDEX(H$5:H$67,MATCH($B1545,$B$5:$B$67,0))</f>
        <v>79.84</v>
      </c>
      <c r="J1545" s="25">
        <f t="array" ref="J1545">INDEX(I$5:I$67,MATCH($B1545,$B$5:$B$67,0))</f>
        <v>700</v>
      </c>
      <c r="K1545" s="25">
        <f t="array" ref="K1545">INDEX(J$5:J$67,MATCH($B1545,$B$5:$B$67,0))</f>
        <v>56</v>
      </c>
      <c r="L1545" s="25">
        <f t="shared" si="669"/>
        <v>11613</v>
      </c>
      <c r="M1545" s="25">
        <f t="shared" si="670"/>
        <v>2522</v>
      </c>
      <c r="N1545" s="25">
        <f t="shared" si="671"/>
        <v>3154</v>
      </c>
      <c r="O1545" s="25">
        <f t="shared" si="672"/>
        <v>2212</v>
      </c>
    </row>
    <row r="1546" ht="17.25" customHeight="1" spans="1:15">
      <c r="A1546" s="55">
        <v>1035028</v>
      </c>
      <c r="B1546" s="7" t="s">
        <v>363</v>
      </c>
      <c r="C1546" s="25">
        <f t="shared" si="668"/>
        <v>28</v>
      </c>
      <c r="D1546" s="25">
        <f t="array" ref="D1546">INDEX(C$5:C$67,MATCH($B1546,$B$5:$B$67,0))</f>
        <v>3675</v>
      </c>
      <c r="E1546" s="25">
        <f t="array" ref="E1546">INDEX(D$5:D$67,MATCH($B1546,$B$5:$B$67,0))</f>
        <v>294</v>
      </c>
      <c r="F1546" s="25">
        <f t="array" ref="F1546">INDEX(E$5:E$67,MATCH($B1546,$B$5:$B$67,0))</f>
        <v>798</v>
      </c>
      <c r="G1546" s="25">
        <f t="array" ref="G1546">INDEX(F$5:F$67,MATCH($B1546,$B$5:$B$67,0))</f>
        <v>63.84</v>
      </c>
      <c r="H1546" s="25">
        <f t="array" ref="H1546">INDEX(G$5:G$66,MATCH($B1546,$B$5:$B$67,0))</f>
        <v>998</v>
      </c>
      <c r="I1546" s="25">
        <f t="array" ref="I1546">INDEX(H$5:H$67,MATCH($B1546,$B$5:$B$67,0))</f>
        <v>79.84</v>
      </c>
      <c r="J1546" s="25">
        <f t="array" ref="J1546">INDEX(I$5:I$67,MATCH($B1546,$B$5:$B$67,0))</f>
        <v>700</v>
      </c>
      <c r="K1546" s="25">
        <f t="array" ref="K1546">INDEX(J$5:J$67,MATCH($B1546,$B$5:$B$67,0))</f>
        <v>56</v>
      </c>
      <c r="L1546" s="25">
        <f t="shared" si="669"/>
        <v>11907</v>
      </c>
      <c r="M1546" s="25">
        <f t="shared" si="670"/>
        <v>2586</v>
      </c>
      <c r="N1546" s="25">
        <f t="shared" si="671"/>
        <v>3234</v>
      </c>
      <c r="O1546" s="25">
        <f t="shared" si="672"/>
        <v>2268</v>
      </c>
    </row>
    <row r="1547" ht="17.25" customHeight="1" spans="1:15">
      <c r="A1547" s="55">
        <v>1035029</v>
      </c>
      <c r="B1547" s="7" t="s">
        <v>363</v>
      </c>
      <c r="C1547" s="25">
        <f t="shared" ref="C1547:C1610" si="673">C1487</f>
        <v>29</v>
      </c>
      <c r="D1547" s="25">
        <f t="array" ref="D1547">INDEX(C$5:C$67,MATCH($B1547,$B$5:$B$67,0))</f>
        <v>3675</v>
      </c>
      <c r="E1547" s="25">
        <f t="array" ref="E1547">INDEX(D$5:D$67,MATCH($B1547,$B$5:$B$67,0))</f>
        <v>294</v>
      </c>
      <c r="F1547" s="25">
        <f t="array" ref="F1547">INDEX(E$5:E$67,MATCH($B1547,$B$5:$B$67,0))</f>
        <v>798</v>
      </c>
      <c r="G1547" s="25">
        <f t="array" ref="G1547">INDEX(F$5:F$67,MATCH($B1547,$B$5:$B$67,0))</f>
        <v>63.84</v>
      </c>
      <c r="H1547" s="25">
        <f t="array" ref="H1547">INDEX(G$5:G$66,MATCH($B1547,$B$5:$B$67,0))</f>
        <v>998</v>
      </c>
      <c r="I1547" s="25">
        <f t="array" ref="I1547">INDEX(H$5:H$67,MATCH($B1547,$B$5:$B$67,0))</f>
        <v>79.84</v>
      </c>
      <c r="J1547" s="25">
        <f t="array" ref="J1547">INDEX(I$5:I$67,MATCH($B1547,$B$5:$B$67,0))</f>
        <v>700</v>
      </c>
      <c r="K1547" s="25">
        <f t="array" ref="K1547">INDEX(J$5:J$67,MATCH($B1547,$B$5:$B$67,0))</f>
        <v>56</v>
      </c>
      <c r="L1547" s="25">
        <f t="shared" si="669"/>
        <v>12201</v>
      </c>
      <c r="M1547" s="25">
        <f t="shared" si="670"/>
        <v>2649</v>
      </c>
      <c r="N1547" s="25">
        <f t="shared" si="671"/>
        <v>3313</v>
      </c>
      <c r="O1547" s="25">
        <f t="shared" si="672"/>
        <v>2324</v>
      </c>
    </row>
    <row r="1548" ht="17.25" customHeight="1" spans="1:15">
      <c r="A1548" s="55">
        <v>1035030</v>
      </c>
      <c r="B1548" s="7" t="s">
        <v>363</v>
      </c>
      <c r="C1548" s="25">
        <f t="shared" si="673"/>
        <v>30</v>
      </c>
      <c r="D1548" s="25">
        <f t="array" ref="D1548">INDEX(C$5:C$67,MATCH($B1548,$B$5:$B$67,0))</f>
        <v>3675</v>
      </c>
      <c r="E1548" s="25">
        <f t="array" ref="E1548">INDEX(D$5:D$67,MATCH($B1548,$B$5:$B$67,0))</f>
        <v>294</v>
      </c>
      <c r="F1548" s="25">
        <f t="array" ref="F1548">INDEX(E$5:E$67,MATCH($B1548,$B$5:$B$67,0))</f>
        <v>798</v>
      </c>
      <c r="G1548" s="25">
        <f t="array" ref="G1548">INDEX(F$5:F$67,MATCH($B1548,$B$5:$B$67,0))</f>
        <v>63.84</v>
      </c>
      <c r="H1548" s="25">
        <f t="array" ref="H1548">INDEX(G$5:G$66,MATCH($B1548,$B$5:$B$67,0))</f>
        <v>998</v>
      </c>
      <c r="I1548" s="25">
        <f t="array" ref="I1548">INDEX(H$5:H$67,MATCH($B1548,$B$5:$B$67,0))</f>
        <v>79.84</v>
      </c>
      <c r="J1548" s="25">
        <f t="array" ref="J1548">INDEX(I$5:I$67,MATCH($B1548,$B$5:$B$67,0))</f>
        <v>700</v>
      </c>
      <c r="K1548" s="25">
        <f t="array" ref="K1548">INDEX(J$5:J$67,MATCH($B1548,$B$5:$B$67,0))</f>
        <v>56</v>
      </c>
      <c r="L1548" s="25">
        <f t="shared" si="669"/>
        <v>12495</v>
      </c>
      <c r="M1548" s="25">
        <f t="shared" si="670"/>
        <v>2713</v>
      </c>
      <c r="N1548" s="25">
        <f t="shared" si="671"/>
        <v>3393</v>
      </c>
      <c r="O1548" s="25">
        <f t="shared" si="672"/>
        <v>2380</v>
      </c>
    </row>
    <row r="1549" ht="17.25" customHeight="1" spans="1:15">
      <c r="A1549" s="55">
        <v>1035031</v>
      </c>
      <c r="B1549" s="7" t="s">
        <v>363</v>
      </c>
      <c r="C1549" s="25">
        <f t="shared" si="673"/>
        <v>31</v>
      </c>
      <c r="D1549" s="25">
        <f t="array" ref="D1549">INDEX(C$5:C$67,MATCH($B1549,$B$5:$B$67,0))</f>
        <v>3675</v>
      </c>
      <c r="E1549" s="25">
        <f t="array" ref="E1549">INDEX(D$5:D$67,MATCH($B1549,$B$5:$B$67,0))</f>
        <v>294</v>
      </c>
      <c r="F1549" s="25">
        <f t="array" ref="F1549">INDEX(E$5:E$67,MATCH($B1549,$B$5:$B$67,0))</f>
        <v>798</v>
      </c>
      <c r="G1549" s="25">
        <f t="array" ref="G1549">INDEX(F$5:F$67,MATCH($B1549,$B$5:$B$67,0))</f>
        <v>63.84</v>
      </c>
      <c r="H1549" s="25">
        <f t="array" ref="H1549">INDEX(G$5:G$66,MATCH($B1549,$B$5:$B$67,0))</f>
        <v>998</v>
      </c>
      <c r="I1549" s="25">
        <f t="array" ref="I1549">INDEX(H$5:H$67,MATCH($B1549,$B$5:$B$67,0))</f>
        <v>79.84</v>
      </c>
      <c r="J1549" s="25">
        <f t="array" ref="J1549">INDEX(I$5:I$67,MATCH($B1549,$B$5:$B$67,0))</f>
        <v>700</v>
      </c>
      <c r="K1549" s="25">
        <f t="array" ref="K1549">INDEX(J$5:J$67,MATCH($B1549,$B$5:$B$67,0))</f>
        <v>56</v>
      </c>
      <c r="L1549" s="25">
        <f t="shared" si="669"/>
        <v>12789</v>
      </c>
      <c r="M1549" s="25">
        <f t="shared" si="670"/>
        <v>2777</v>
      </c>
      <c r="N1549" s="25">
        <f t="shared" si="671"/>
        <v>3473</v>
      </c>
      <c r="O1549" s="25">
        <f t="shared" si="672"/>
        <v>2436</v>
      </c>
    </row>
    <row r="1550" ht="17.25" customHeight="1" spans="1:15">
      <c r="A1550" s="55">
        <v>1035032</v>
      </c>
      <c r="B1550" s="7" t="s">
        <v>363</v>
      </c>
      <c r="C1550" s="25">
        <f t="shared" si="673"/>
        <v>32</v>
      </c>
      <c r="D1550" s="25">
        <f t="array" ref="D1550">INDEX(C$5:C$67,MATCH($B1550,$B$5:$B$67,0))</f>
        <v>3675</v>
      </c>
      <c r="E1550" s="25">
        <f t="array" ref="E1550">INDEX(D$5:D$67,MATCH($B1550,$B$5:$B$67,0))</f>
        <v>294</v>
      </c>
      <c r="F1550" s="25">
        <f t="array" ref="F1550">INDEX(E$5:E$67,MATCH($B1550,$B$5:$B$67,0))</f>
        <v>798</v>
      </c>
      <c r="G1550" s="25">
        <f t="array" ref="G1550">INDEX(F$5:F$67,MATCH($B1550,$B$5:$B$67,0))</f>
        <v>63.84</v>
      </c>
      <c r="H1550" s="25">
        <f t="array" ref="H1550">INDEX(G$5:G$66,MATCH($B1550,$B$5:$B$67,0))</f>
        <v>998</v>
      </c>
      <c r="I1550" s="25">
        <f t="array" ref="I1550">INDEX(H$5:H$67,MATCH($B1550,$B$5:$B$67,0))</f>
        <v>79.84</v>
      </c>
      <c r="J1550" s="25">
        <f t="array" ref="J1550">INDEX(I$5:I$67,MATCH($B1550,$B$5:$B$67,0))</f>
        <v>700</v>
      </c>
      <c r="K1550" s="25">
        <f t="array" ref="K1550">INDEX(J$5:J$67,MATCH($B1550,$B$5:$B$67,0))</f>
        <v>56</v>
      </c>
      <c r="L1550" s="25">
        <f t="shared" si="669"/>
        <v>13083</v>
      </c>
      <c r="M1550" s="25">
        <f t="shared" si="670"/>
        <v>2841</v>
      </c>
      <c r="N1550" s="25">
        <f t="shared" si="671"/>
        <v>3553</v>
      </c>
      <c r="O1550" s="25">
        <f t="shared" si="672"/>
        <v>2492</v>
      </c>
    </row>
    <row r="1551" ht="17.25" customHeight="1" spans="1:15">
      <c r="A1551" s="55">
        <v>1035033</v>
      </c>
      <c r="B1551" s="7" t="s">
        <v>363</v>
      </c>
      <c r="C1551" s="25">
        <f t="shared" si="673"/>
        <v>33</v>
      </c>
      <c r="D1551" s="25">
        <f t="array" ref="D1551">INDEX(C$5:C$67,MATCH($B1551,$B$5:$B$67,0))</f>
        <v>3675</v>
      </c>
      <c r="E1551" s="25">
        <f t="array" ref="E1551">INDEX(D$5:D$67,MATCH($B1551,$B$5:$B$67,0))</f>
        <v>294</v>
      </c>
      <c r="F1551" s="25">
        <f t="array" ref="F1551">INDEX(E$5:E$67,MATCH($B1551,$B$5:$B$67,0))</f>
        <v>798</v>
      </c>
      <c r="G1551" s="25">
        <f t="array" ref="G1551">INDEX(F$5:F$67,MATCH($B1551,$B$5:$B$67,0))</f>
        <v>63.84</v>
      </c>
      <c r="H1551" s="25">
        <f t="array" ref="H1551">INDEX(G$5:G$66,MATCH($B1551,$B$5:$B$67,0))</f>
        <v>998</v>
      </c>
      <c r="I1551" s="25">
        <f t="array" ref="I1551">INDEX(H$5:H$67,MATCH($B1551,$B$5:$B$67,0))</f>
        <v>79.84</v>
      </c>
      <c r="J1551" s="25">
        <f t="array" ref="J1551">INDEX(I$5:I$67,MATCH($B1551,$B$5:$B$67,0))</f>
        <v>700</v>
      </c>
      <c r="K1551" s="25">
        <f t="array" ref="K1551">INDEX(J$5:J$67,MATCH($B1551,$B$5:$B$67,0))</f>
        <v>56</v>
      </c>
      <c r="L1551" s="25">
        <f t="shared" ref="L1551:L1614" si="674">ROUND(D1551+E1551*$C1551,0)</f>
        <v>13377</v>
      </c>
      <c r="M1551" s="25">
        <f t="shared" ref="M1551:M1614" si="675">ROUND(F1551+G1551*$C1551,0)</f>
        <v>2905</v>
      </c>
      <c r="N1551" s="25">
        <f t="shared" ref="N1551:N1614" si="676">ROUND(H1551+I1551*$C1551,0)</f>
        <v>3633</v>
      </c>
      <c r="O1551" s="25">
        <f t="shared" ref="O1551:O1614" si="677">ROUND(J1551+K1551*$C1551,0)</f>
        <v>2548</v>
      </c>
    </row>
    <row r="1552" ht="17.25" customHeight="1" spans="1:15">
      <c r="A1552" s="55">
        <v>1035034</v>
      </c>
      <c r="B1552" s="7" t="s">
        <v>363</v>
      </c>
      <c r="C1552" s="25">
        <f t="shared" si="673"/>
        <v>34</v>
      </c>
      <c r="D1552" s="25">
        <f t="array" ref="D1552">INDEX(C$5:C$67,MATCH($B1552,$B$5:$B$67,0))</f>
        <v>3675</v>
      </c>
      <c r="E1552" s="25">
        <f t="array" ref="E1552">INDEX(D$5:D$67,MATCH($B1552,$B$5:$B$67,0))</f>
        <v>294</v>
      </c>
      <c r="F1552" s="25">
        <f t="array" ref="F1552">INDEX(E$5:E$67,MATCH($B1552,$B$5:$B$67,0))</f>
        <v>798</v>
      </c>
      <c r="G1552" s="25">
        <f t="array" ref="G1552">INDEX(F$5:F$67,MATCH($B1552,$B$5:$B$67,0))</f>
        <v>63.84</v>
      </c>
      <c r="H1552" s="25">
        <f t="array" ref="H1552">INDEX(G$5:G$66,MATCH($B1552,$B$5:$B$67,0))</f>
        <v>998</v>
      </c>
      <c r="I1552" s="25">
        <f t="array" ref="I1552">INDEX(H$5:H$67,MATCH($B1552,$B$5:$B$67,0))</f>
        <v>79.84</v>
      </c>
      <c r="J1552" s="25">
        <f t="array" ref="J1552">INDEX(I$5:I$67,MATCH($B1552,$B$5:$B$67,0))</f>
        <v>700</v>
      </c>
      <c r="K1552" s="25">
        <f t="array" ref="K1552">INDEX(J$5:J$67,MATCH($B1552,$B$5:$B$67,0))</f>
        <v>56</v>
      </c>
      <c r="L1552" s="25">
        <f t="shared" si="674"/>
        <v>13671</v>
      </c>
      <c r="M1552" s="25">
        <f t="shared" si="675"/>
        <v>2969</v>
      </c>
      <c r="N1552" s="25">
        <f t="shared" si="676"/>
        <v>3713</v>
      </c>
      <c r="O1552" s="25">
        <f t="shared" si="677"/>
        <v>2604</v>
      </c>
    </row>
    <row r="1553" ht="17.25" customHeight="1" spans="1:15">
      <c r="A1553" s="55">
        <v>1035035</v>
      </c>
      <c r="B1553" s="7" t="s">
        <v>363</v>
      </c>
      <c r="C1553" s="25">
        <f t="shared" si="673"/>
        <v>35</v>
      </c>
      <c r="D1553" s="25">
        <f t="array" ref="D1553">INDEX(C$5:C$67,MATCH($B1553,$B$5:$B$67,0))</f>
        <v>3675</v>
      </c>
      <c r="E1553" s="25">
        <f t="array" ref="E1553">INDEX(D$5:D$67,MATCH($B1553,$B$5:$B$67,0))</f>
        <v>294</v>
      </c>
      <c r="F1553" s="25">
        <f t="array" ref="F1553">INDEX(E$5:E$67,MATCH($B1553,$B$5:$B$67,0))</f>
        <v>798</v>
      </c>
      <c r="G1553" s="25">
        <f t="array" ref="G1553">INDEX(F$5:F$67,MATCH($B1553,$B$5:$B$67,0))</f>
        <v>63.84</v>
      </c>
      <c r="H1553" s="25">
        <f t="array" ref="H1553">INDEX(G$5:G$66,MATCH($B1553,$B$5:$B$67,0))</f>
        <v>998</v>
      </c>
      <c r="I1553" s="25">
        <f t="array" ref="I1553">INDEX(H$5:H$67,MATCH($B1553,$B$5:$B$67,0))</f>
        <v>79.84</v>
      </c>
      <c r="J1553" s="25">
        <f t="array" ref="J1553">INDEX(I$5:I$67,MATCH($B1553,$B$5:$B$67,0))</f>
        <v>700</v>
      </c>
      <c r="K1553" s="25">
        <f t="array" ref="K1553">INDEX(J$5:J$67,MATCH($B1553,$B$5:$B$67,0))</f>
        <v>56</v>
      </c>
      <c r="L1553" s="25">
        <f t="shared" si="674"/>
        <v>13965</v>
      </c>
      <c r="M1553" s="25">
        <f t="shared" si="675"/>
        <v>3032</v>
      </c>
      <c r="N1553" s="25">
        <f t="shared" si="676"/>
        <v>3792</v>
      </c>
      <c r="O1553" s="25">
        <f t="shared" si="677"/>
        <v>2660</v>
      </c>
    </row>
    <row r="1554" ht="17.25" customHeight="1" spans="1:15">
      <c r="A1554" s="55">
        <v>1035036</v>
      </c>
      <c r="B1554" s="7" t="s">
        <v>363</v>
      </c>
      <c r="C1554" s="25">
        <f t="shared" si="673"/>
        <v>36</v>
      </c>
      <c r="D1554" s="25">
        <f t="array" ref="D1554">INDEX(C$5:C$67,MATCH($B1554,$B$5:$B$67,0))</f>
        <v>3675</v>
      </c>
      <c r="E1554" s="25">
        <f t="array" ref="E1554">INDEX(D$5:D$67,MATCH($B1554,$B$5:$B$67,0))</f>
        <v>294</v>
      </c>
      <c r="F1554" s="25">
        <f t="array" ref="F1554">INDEX(E$5:E$67,MATCH($B1554,$B$5:$B$67,0))</f>
        <v>798</v>
      </c>
      <c r="G1554" s="25">
        <f t="array" ref="G1554">INDEX(F$5:F$67,MATCH($B1554,$B$5:$B$67,0))</f>
        <v>63.84</v>
      </c>
      <c r="H1554" s="25">
        <f t="array" ref="H1554">INDEX(G$5:G$66,MATCH($B1554,$B$5:$B$67,0))</f>
        <v>998</v>
      </c>
      <c r="I1554" s="25">
        <f t="array" ref="I1554">INDEX(H$5:H$67,MATCH($B1554,$B$5:$B$67,0))</f>
        <v>79.84</v>
      </c>
      <c r="J1554" s="25">
        <f t="array" ref="J1554">INDEX(I$5:I$67,MATCH($B1554,$B$5:$B$67,0))</f>
        <v>700</v>
      </c>
      <c r="K1554" s="25">
        <f t="array" ref="K1554">INDEX(J$5:J$67,MATCH($B1554,$B$5:$B$67,0))</f>
        <v>56</v>
      </c>
      <c r="L1554" s="25">
        <f t="shared" si="674"/>
        <v>14259</v>
      </c>
      <c r="M1554" s="25">
        <f t="shared" si="675"/>
        <v>3096</v>
      </c>
      <c r="N1554" s="25">
        <f t="shared" si="676"/>
        <v>3872</v>
      </c>
      <c r="O1554" s="25">
        <f t="shared" si="677"/>
        <v>2716</v>
      </c>
    </row>
    <row r="1555" ht="17.25" customHeight="1" spans="1:15">
      <c r="A1555" s="55">
        <v>1035037</v>
      </c>
      <c r="B1555" s="7" t="s">
        <v>363</v>
      </c>
      <c r="C1555" s="25">
        <f t="shared" si="673"/>
        <v>37</v>
      </c>
      <c r="D1555" s="25">
        <f t="array" ref="D1555">INDEX(C$5:C$67,MATCH($B1555,$B$5:$B$67,0))</f>
        <v>3675</v>
      </c>
      <c r="E1555" s="25">
        <f t="array" ref="E1555">INDEX(D$5:D$67,MATCH($B1555,$B$5:$B$67,0))</f>
        <v>294</v>
      </c>
      <c r="F1555" s="25">
        <f t="array" ref="F1555">INDEX(E$5:E$67,MATCH($B1555,$B$5:$B$67,0))</f>
        <v>798</v>
      </c>
      <c r="G1555" s="25">
        <f t="array" ref="G1555">INDEX(F$5:F$67,MATCH($B1555,$B$5:$B$67,0))</f>
        <v>63.84</v>
      </c>
      <c r="H1555" s="25">
        <f t="array" ref="H1555">INDEX(G$5:G$66,MATCH($B1555,$B$5:$B$67,0))</f>
        <v>998</v>
      </c>
      <c r="I1555" s="25">
        <f t="array" ref="I1555">INDEX(H$5:H$67,MATCH($B1555,$B$5:$B$67,0))</f>
        <v>79.84</v>
      </c>
      <c r="J1555" s="25">
        <f t="array" ref="J1555">INDEX(I$5:I$67,MATCH($B1555,$B$5:$B$67,0))</f>
        <v>700</v>
      </c>
      <c r="K1555" s="25">
        <f t="array" ref="K1555">INDEX(J$5:J$67,MATCH($B1555,$B$5:$B$67,0))</f>
        <v>56</v>
      </c>
      <c r="L1555" s="25">
        <f t="shared" si="674"/>
        <v>14553</v>
      </c>
      <c r="M1555" s="25">
        <f t="shared" si="675"/>
        <v>3160</v>
      </c>
      <c r="N1555" s="25">
        <f t="shared" si="676"/>
        <v>3952</v>
      </c>
      <c r="O1555" s="25">
        <f t="shared" si="677"/>
        <v>2772</v>
      </c>
    </row>
    <row r="1556" ht="17.25" customHeight="1" spans="1:15">
      <c r="A1556" s="55">
        <v>1035038</v>
      </c>
      <c r="B1556" s="7" t="s">
        <v>363</v>
      </c>
      <c r="C1556" s="25">
        <f t="shared" si="673"/>
        <v>38</v>
      </c>
      <c r="D1556" s="25">
        <f t="array" ref="D1556">INDEX(C$5:C$67,MATCH($B1556,$B$5:$B$67,0))</f>
        <v>3675</v>
      </c>
      <c r="E1556" s="25">
        <f t="array" ref="E1556">INDEX(D$5:D$67,MATCH($B1556,$B$5:$B$67,0))</f>
        <v>294</v>
      </c>
      <c r="F1556" s="25">
        <f t="array" ref="F1556">INDEX(E$5:E$67,MATCH($B1556,$B$5:$B$67,0))</f>
        <v>798</v>
      </c>
      <c r="G1556" s="25">
        <f t="array" ref="G1556">INDEX(F$5:F$67,MATCH($B1556,$B$5:$B$67,0))</f>
        <v>63.84</v>
      </c>
      <c r="H1556" s="25">
        <f t="array" ref="H1556">INDEX(G$5:G$66,MATCH($B1556,$B$5:$B$67,0))</f>
        <v>998</v>
      </c>
      <c r="I1556" s="25">
        <f t="array" ref="I1556">INDEX(H$5:H$67,MATCH($B1556,$B$5:$B$67,0))</f>
        <v>79.84</v>
      </c>
      <c r="J1556" s="25">
        <f t="array" ref="J1556">INDEX(I$5:I$67,MATCH($B1556,$B$5:$B$67,0))</f>
        <v>700</v>
      </c>
      <c r="K1556" s="25">
        <f t="array" ref="K1556">INDEX(J$5:J$67,MATCH($B1556,$B$5:$B$67,0))</f>
        <v>56</v>
      </c>
      <c r="L1556" s="25">
        <f t="shared" si="674"/>
        <v>14847</v>
      </c>
      <c r="M1556" s="25">
        <f t="shared" si="675"/>
        <v>3224</v>
      </c>
      <c r="N1556" s="25">
        <f t="shared" si="676"/>
        <v>4032</v>
      </c>
      <c r="O1556" s="25">
        <f t="shared" si="677"/>
        <v>2828</v>
      </c>
    </row>
    <row r="1557" ht="17.25" customHeight="1" spans="1:15">
      <c r="A1557" s="55">
        <v>1035039</v>
      </c>
      <c r="B1557" s="7" t="s">
        <v>363</v>
      </c>
      <c r="C1557" s="25">
        <f t="shared" si="673"/>
        <v>39</v>
      </c>
      <c r="D1557" s="25">
        <f t="array" ref="D1557">INDEX(C$5:C$67,MATCH($B1557,$B$5:$B$67,0))</f>
        <v>3675</v>
      </c>
      <c r="E1557" s="25">
        <f t="array" ref="E1557">INDEX(D$5:D$67,MATCH($B1557,$B$5:$B$67,0))</f>
        <v>294</v>
      </c>
      <c r="F1557" s="25">
        <f t="array" ref="F1557">INDEX(E$5:E$67,MATCH($B1557,$B$5:$B$67,0))</f>
        <v>798</v>
      </c>
      <c r="G1557" s="25">
        <f t="array" ref="G1557">INDEX(F$5:F$67,MATCH($B1557,$B$5:$B$67,0))</f>
        <v>63.84</v>
      </c>
      <c r="H1557" s="25">
        <f t="array" ref="H1557">INDEX(G$5:G$66,MATCH($B1557,$B$5:$B$67,0))</f>
        <v>998</v>
      </c>
      <c r="I1557" s="25">
        <f t="array" ref="I1557">INDEX(H$5:H$67,MATCH($B1557,$B$5:$B$67,0))</f>
        <v>79.84</v>
      </c>
      <c r="J1557" s="25">
        <f t="array" ref="J1557">INDEX(I$5:I$67,MATCH($B1557,$B$5:$B$67,0))</f>
        <v>700</v>
      </c>
      <c r="K1557" s="25">
        <f t="array" ref="K1557">INDEX(J$5:J$67,MATCH($B1557,$B$5:$B$67,0))</f>
        <v>56</v>
      </c>
      <c r="L1557" s="25">
        <f t="shared" si="674"/>
        <v>15141</v>
      </c>
      <c r="M1557" s="25">
        <f t="shared" si="675"/>
        <v>3288</v>
      </c>
      <c r="N1557" s="25">
        <f t="shared" si="676"/>
        <v>4112</v>
      </c>
      <c r="O1557" s="25">
        <f t="shared" si="677"/>
        <v>2884</v>
      </c>
    </row>
    <row r="1558" ht="17.25" customHeight="1" spans="1:15">
      <c r="A1558" s="55">
        <v>1035040</v>
      </c>
      <c r="B1558" s="7" t="s">
        <v>363</v>
      </c>
      <c r="C1558" s="25">
        <f t="shared" si="673"/>
        <v>40</v>
      </c>
      <c r="D1558" s="25">
        <f t="array" ref="D1558">INDEX(C$5:C$67,MATCH($B1558,$B$5:$B$67,0))</f>
        <v>3675</v>
      </c>
      <c r="E1558" s="25">
        <f t="array" ref="E1558">INDEX(D$5:D$67,MATCH($B1558,$B$5:$B$67,0))</f>
        <v>294</v>
      </c>
      <c r="F1558" s="25">
        <f t="array" ref="F1558">INDEX(E$5:E$67,MATCH($B1558,$B$5:$B$67,0))</f>
        <v>798</v>
      </c>
      <c r="G1558" s="25">
        <f t="array" ref="G1558">INDEX(F$5:F$67,MATCH($B1558,$B$5:$B$67,0))</f>
        <v>63.84</v>
      </c>
      <c r="H1558" s="25">
        <f t="array" ref="H1558">INDEX(G$5:G$66,MATCH($B1558,$B$5:$B$67,0))</f>
        <v>998</v>
      </c>
      <c r="I1558" s="25">
        <f t="array" ref="I1558">INDEX(H$5:H$67,MATCH($B1558,$B$5:$B$67,0))</f>
        <v>79.84</v>
      </c>
      <c r="J1558" s="25">
        <f t="array" ref="J1558">INDEX(I$5:I$67,MATCH($B1558,$B$5:$B$67,0))</f>
        <v>700</v>
      </c>
      <c r="K1558" s="25">
        <f t="array" ref="K1558">INDEX(J$5:J$67,MATCH($B1558,$B$5:$B$67,0))</f>
        <v>56</v>
      </c>
      <c r="L1558" s="25">
        <f t="shared" si="674"/>
        <v>15435</v>
      </c>
      <c r="M1558" s="25">
        <f t="shared" si="675"/>
        <v>3352</v>
      </c>
      <c r="N1558" s="25">
        <f t="shared" si="676"/>
        <v>4192</v>
      </c>
      <c r="O1558" s="25">
        <f t="shared" si="677"/>
        <v>2940</v>
      </c>
    </row>
    <row r="1559" ht="17.25" customHeight="1" spans="1:15">
      <c r="A1559" s="55">
        <v>1035041</v>
      </c>
      <c r="B1559" s="7" t="s">
        <v>363</v>
      </c>
      <c r="C1559" s="25">
        <f t="shared" si="673"/>
        <v>41</v>
      </c>
      <c r="D1559" s="25">
        <f t="array" ref="D1559">INDEX(C$5:C$67,MATCH($B1559,$B$5:$B$67,0))</f>
        <v>3675</v>
      </c>
      <c r="E1559" s="25">
        <f t="array" ref="E1559">INDEX(D$5:D$67,MATCH($B1559,$B$5:$B$67,0))</f>
        <v>294</v>
      </c>
      <c r="F1559" s="25">
        <f t="array" ref="F1559">INDEX(E$5:E$67,MATCH($B1559,$B$5:$B$67,0))</f>
        <v>798</v>
      </c>
      <c r="G1559" s="25">
        <f t="array" ref="G1559">INDEX(F$5:F$67,MATCH($B1559,$B$5:$B$67,0))</f>
        <v>63.84</v>
      </c>
      <c r="H1559" s="25">
        <f t="array" ref="H1559">INDEX(G$5:G$66,MATCH($B1559,$B$5:$B$67,0))</f>
        <v>998</v>
      </c>
      <c r="I1559" s="25">
        <f t="array" ref="I1559">INDEX(H$5:H$67,MATCH($B1559,$B$5:$B$67,0))</f>
        <v>79.84</v>
      </c>
      <c r="J1559" s="25">
        <f t="array" ref="J1559">INDEX(I$5:I$67,MATCH($B1559,$B$5:$B$67,0))</f>
        <v>700</v>
      </c>
      <c r="K1559" s="25">
        <f t="array" ref="K1559">INDEX(J$5:J$67,MATCH($B1559,$B$5:$B$67,0))</f>
        <v>56</v>
      </c>
      <c r="L1559" s="25">
        <f t="shared" si="674"/>
        <v>15729</v>
      </c>
      <c r="M1559" s="25">
        <f t="shared" si="675"/>
        <v>3415</v>
      </c>
      <c r="N1559" s="25">
        <f t="shared" si="676"/>
        <v>4271</v>
      </c>
      <c r="O1559" s="25">
        <f t="shared" si="677"/>
        <v>2996</v>
      </c>
    </row>
    <row r="1560" ht="17.25" customHeight="1" spans="1:15">
      <c r="A1560" s="55">
        <v>1035042</v>
      </c>
      <c r="B1560" s="7" t="s">
        <v>363</v>
      </c>
      <c r="C1560" s="25">
        <f t="shared" si="673"/>
        <v>42</v>
      </c>
      <c r="D1560" s="25">
        <f t="array" ref="D1560">INDEX(C$5:C$67,MATCH($B1560,$B$5:$B$67,0))</f>
        <v>3675</v>
      </c>
      <c r="E1560" s="25">
        <f t="array" ref="E1560">INDEX(D$5:D$67,MATCH($B1560,$B$5:$B$67,0))</f>
        <v>294</v>
      </c>
      <c r="F1560" s="25">
        <f t="array" ref="F1560">INDEX(E$5:E$67,MATCH($B1560,$B$5:$B$67,0))</f>
        <v>798</v>
      </c>
      <c r="G1560" s="25">
        <f t="array" ref="G1560">INDEX(F$5:F$67,MATCH($B1560,$B$5:$B$67,0))</f>
        <v>63.84</v>
      </c>
      <c r="H1560" s="25">
        <f t="array" ref="H1560">INDEX(G$5:G$66,MATCH($B1560,$B$5:$B$67,0))</f>
        <v>998</v>
      </c>
      <c r="I1560" s="25">
        <f t="array" ref="I1560">INDEX(H$5:H$67,MATCH($B1560,$B$5:$B$67,0))</f>
        <v>79.84</v>
      </c>
      <c r="J1560" s="25">
        <f t="array" ref="J1560">INDEX(I$5:I$67,MATCH($B1560,$B$5:$B$67,0))</f>
        <v>700</v>
      </c>
      <c r="K1560" s="25">
        <f t="array" ref="K1560">INDEX(J$5:J$67,MATCH($B1560,$B$5:$B$67,0))</f>
        <v>56</v>
      </c>
      <c r="L1560" s="25">
        <f t="shared" si="674"/>
        <v>16023</v>
      </c>
      <c r="M1560" s="25">
        <f t="shared" si="675"/>
        <v>3479</v>
      </c>
      <c r="N1560" s="25">
        <f t="shared" si="676"/>
        <v>4351</v>
      </c>
      <c r="O1560" s="25">
        <f t="shared" si="677"/>
        <v>3052</v>
      </c>
    </row>
    <row r="1561" ht="17.25" customHeight="1" spans="1:15">
      <c r="A1561" s="55">
        <v>1035043</v>
      </c>
      <c r="B1561" s="7" t="s">
        <v>363</v>
      </c>
      <c r="C1561" s="25">
        <f t="shared" si="673"/>
        <v>43</v>
      </c>
      <c r="D1561" s="25">
        <f t="array" ref="D1561">INDEX(C$5:C$67,MATCH($B1561,$B$5:$B$67,0))</f>
        <v>3675</v>
      </c>
      <c r="E1561" s="25">
        <f t="array" ref="E1561">INDEX(D$5:D$67,MATCH($B1561,$B$5:$B$67,0))</f>
        <v>294</v>
      </c>
      <c r="F1561" s="25">
        <f t="array" ref="F1561">INDEX(E$5:E$67,MATCH($B1561,$B$5:$B$67,0))</f>
        <v>798</v>
      </c>
      <c r="G1561" s="25">
        <f t="array" ref="G1561">INDEX(F$5:F$67,MATCH($B1561,$B$5:$B$67,0))</f>
        <v>63.84</v>
      </c>
      <c r="H1561" s="25">
        <f t="array" ref="H1561">INDEX(G$5:G$66,MATCH($B1561,$B$5:$B$67,0))</f>
        <v>998</v>
      </c>
      <c r="I1561" s="25">
        <f t="array" ref="I1561">INDEX(H$5:H$67,MATCH($B1561,$B$5:$B$67,0))</f>
        <v>79.84</v>
      </c>
      <c r="J1561" s="25">
        <f t="array" ref="J1561">INDEX(I$5:I$67,MATCH($B1561,$B$5:$B$67,0))</f>
        <v>700</v>
      </c>
      <c r="K1561" s="25">
        <f t="array" ref="K1561">INDEX(J$5:J$67,MATCH($B1561,$B$5:$B$67,0))</f>
        <v>56</v>
      </c>
      <c r="L1561" s="25">
        <f t="shared" si="674"/>
        <v>16317</v>
      </c>
      <c r="M1561" s="25">
        <f t="shared" si="675"/>
        <v>3543</v>
      </c>
      <c r="N1561" s="25">
        <f t="shared" si="676"/>
        <v>4431</v>
      </c>
      <c r="O1561" s="25">
        <f t="shared" si="677"/>
        <v>3108</v>
      </c>
    </row>
    <row r="1562" ht="17.25" customHeight="1" spans="1:15">
      <c r="A1562" s="55">
        <v>1035044</v>
      </c>
      <c r="B1562" s="7" t="s">
        <v>363</v>
      </c>
      <c r="C1562" s="25">
        <f t="shared" si="673"/>
        <v>44</v>
      </c>
      <c r="D1562" s="25">
        <f t="array" ref="D1562">INDEX(C$5:C$67,MATCH($B1562,$B$5:$B$67,0))</f>
        <v>3675</v>
      </c>
      <c r="E1562" s="25">
        <f t="array" ref="E1562">INDEX(D$5:D$67,MATCH($B1562,$B$5:$B$67,0))</f>
        <v>294</v>
      </c>
      <c r="F1562" s="25">
        <f t="array" ref="F1562">INDEX(E$5:E$67,MATCH($B1562,$B$5:$B$67,0))</f>
        <v>798</v>
      </c>
      <c r="G1562" s="25">
        <f t="array" ref="G1562">INDEX(F$5:F$67,MATCH($B1562,$B$5:$B$67,0))</f>
        <v>63.84</v>
      </c>
      <c r="H1562" s="25">
        <f t="array" ref="H1562">INDEX(G$5:G$66,MATCH($B1562,$B$5:$B$67,0))</f>
        <v>998</v>
      </c>
      <c r="I1562" s="25">
        <f t="array" ref="I1562">INDEX(H$5:H$67,MATCH($B1562,$B$5:$B$67,0))</f>
        <v>79.84</v>
      </c>
      <c r="J1562" s="25">
        <f t="array" ref="J1562">INDEX(I$5:I$67,MATCH($B1562,$B$5:$B$67,0))</f>
        <v>700</v>
      </c>
      <c r="K1562" s="25">
        <f t="array" ref="K1562">INDEX(J$5:J$67,MATCH($B1562,$B$5:$B$67,0))</f>
        <v>56</v>
      </c>
      <c r="L1562" s="25">
        <f t="shared" si="674"/>
        <v>16611</v>
      </c>
      <c r="M1562" s="25">
        <f t="shared" si="675"/>
        <v>3607</v>
      </c>
      <c r="N1562" s="25">
        <f t="shared" si="676"/>
        <v>4511</v>
      </c>
      <c r="O1562" s="25">
        <f t="shared" si="677"/>
        <v>3164</v>
      </c>
    </row>
    <row r="1563" ht="17.25" customHeight="1" spans="1:15">
      <c r="A1563" s="55">
        <v>1035045</v>
      </c>
      <c r="B1563" s="7" t="s">
        <v>363</v>
      </c>
      <c r="C1563" s="25">
        <f t="shared" si="673"/>
        <v>45</v>
      </c>
      <c r="D1563" s="25">
        <f t="array" ref="D1563">INDEX(C$5:C$67,MATCH($B1563,$B$5:$B$67,0))</f>
        <v>3675</v>
      </c>
      <c r="E1563" s="25">
        <f t="array" ref="E1563">INDEX(D$5:D$67,MATCH($B1563,$B$5:$B$67,0))</f>
        <v>294</v>
      </c>
      <c r="F1563" s="25">
        <f t="array" ref="F1563">INDEX(E$5:E$67,MATCH($B1563,$B$5:$B$67,0))</f>
        <v>798</v>
      </c>
      <c r="G1563" s="25">
        <f t="array" ref="G1563">INDEX(F$5:F$67,MATCH($B1563,$B$5:$B$67,0))</f>
        <v>63.84</v>
      </c>
      <c r="H1563" s="25">
        <f t="array" ref="H1563">INDEX(G$5:G$66,MATCH($B1563,$B$5:$B$67,0))</f>
        <v>998</v>
      </c>
      <c r="I1563" s="25">
        <f t="array" ref="I1563">INDEX(H$5:H$67,MATCH($B1563,$B$5:$B$67,0))</f>
        <v>79.84</v>
      </c>
      <c r="J1563" s="25">
        <f t="array" ref="J1563">INDEX(I$5:I$67,MATCH($B1563,$B$5:$B$67,0))</f>
        <v>700</v>
      </c>
      <c r="K1563" s="25">
        <f t="array" ref="K1563">INDEX(J$5:J$67,MATCH($B1563,$B$5:$B$67,0))</f>
        <v>56</v>
      </c>
      <c r="L1563" s="25">
        <f t="shared" si="674"/>
        <v>16905</v>
      </c>
      <c r="M1563" s="25">
        <f t="shared" si="675"/>
        <v>3671</v>
      </c>
      <c r="N1563" s="25">
        <f t="shared" si="676"/>
        <v>4591</v>
      </c>
      <c r="O1563" s="25">
        <f t="shared" si="677"/>
        <v>3220</v>
      </c>
    </row>
    <row r="1564" ht="17.25" customHeight="1" spans="1:15">
      <c r="A1564" s="55">
        <v>1035046</v>
      </c>
      <c r="B1564" s="7" t="s">
        <v>363</v>
      </c>
      <c r="C1564" s="25">
        <f t="shared" si="673"/>
        <v>46</v>
      </c>
      <c r="D1564" s="25">
        <f t="array" ref="D1564">INDEX(C$5:C$67,MATCH($B1564,$B$5:$B$67,0))</f>
        <v>3675</v>
      </c>
      <c r="E1564" s="25">
        <f t="array" ref="E1564">INDEX(D$5:D$67,MATCH($B1564,$B$5:$B$67,0))</f>
        <v>294</v>
      </c>
      <c r="F1564" s="25">
        <f t="array" ref="F1564">INDEX(E$5:E$67,MATCH($B1564,$B$5:$B$67,0))</f>
        <v>798</v>
      </c>
      <c r="G1564" s="25">
        <f t="array" ref="G1564">INDEX(F$5:F$67,MATCH($B1564,$B$5:$B$67,0))</f>
        <v>63.84</v>
      </c>
      <c r="H1564" s="25">
        <f t="array" ref="H1564">INDEX(G$5:G$66,MATCH($B1564,$B$5:$B$67,0))</f>
        <v>998</v>
      </c>
      <c r="I1564" s="25">
        <f t="array" ref="I1564">INDEX(H$5:H$67,MATCH($B1564,$B$5:$B$67,0))</f>
        <v>79.84</v>
      </c>
      <c r="J1564" s="25">
        <f t="array" ref="J1564">INDEX(I$5:I$67,MATCH($B1564,$B$5:$B$67,0))</f>
        <v>700</v>
      </c>
      <c r="K1564" s="25">
        <f t="array" ref="K1564">INDEX(J$5:J$67,MATCH($B1564,$B$5:$B$67,0))</f>
        <v>56</v>
      </c>
      <c r="L1564" s="25">
        <f t="shared" si="674"/>
        <v>17199</v>
      </c>
      <c r="M1564" s="25">
        <f t="shared" si="675"/>
        <v>3735</v>
      </c>
      <c r="N1564" s="25">
        <f t="shared" si="676"/>
        <v>4671</v>
      </c>
      <c r="O1564" s="25">
        <f t="shared" si="677"/>
        <v>3276</v>
      </c>
    </row>
    <row r="1565" ht="17.25" customHeight="1" spans="1:15">
      <c r="A1565" s="55">
        <v>1035047</v>
      </c>
      <c r="B1565" s="7" t="s">
        <v>363</v>
      </c>
      <c r="C1565" s="25">
        <f t="shared" si="673"/>
        <v>47</v>
      </c>
      <c r="D1565" s="25">
        <f t="array" ref="D1565">INDEX(C$5:C$67,MATCH($B1565,$B$5:$B$67,0))</f>
        <v>3675</v>
      </c>
      <c r="E1565" s="25">
        <f t="array" ref="E1565">INDEX(D$5:D$67,MATCH($B1565,$B$5:$B$67,0))</f>
        <v>294</v>
      </c>
      <c r="F1565" s="25">
        <f t="array" ref="F1565">INDEX(E$5:E$67,MATCH($B1565,$B$5:$B$67,0))</f>
        <v>798</v>
      </c>
      <c r="G1565" s="25">
        <f t="array" ref="G1565">INDEX(F$5:F$67,MATCH($B1565,$B$5:$B$67,0))</f>
        <v>63.84</v>
      </c>
      <c r="H1565" s="25">
        <f t="array" ref="H1565">INDEX(G$5:G$66,MATCH($B1565,$B$5:$B$67,0))</f>
        <v>998</v>
      </c>
      <c r="I1565" s="25">
        <f t="array" ref="I1565">INDEX(H$5:H$67,MATCH($B1565,$B$5:$B$67,0))</f>
        <v>79.84</v>
      </c>
      <c r="J1565" s="25">
        <f t="array" ref="J1565">INDEX(I$5:I$67,MATCH($B1565,$B$5:$B$67,0))</f>
        <v>700</v>
      </c>
      <c r="K1565" s="25">
        <f t="array" ref="K1565">INDEX(J$5:J$67,MATCH($B1565,$B$5:$B$67,0))</f>
        <v>56</v>
      </c>
      <c r="L1565" s="25">
        <f t="shared" si="674"/>
        <v>17493</v>
      </c>
      <c r="M1565" s="25">
        <f t="shared" si="675"/>
        <v>3798</v>
      </c>
      <c r="N1565" s="25">
        <f t="shared" si="676"/>
        <v>4750</v>
      </c>
      <c r="O1565" s="25">
        <f t="shared" si="677"/>
        <v>3332</v>
      </c>
    </row>
    <row r="1566" ht="17.25" customHeight="1" spans="1:15">
      <c r="A1566" s="55">
        <v>1035048</v>
      </c>
      <c r="B1566" s="7" t="s">
        <v>363</v>
      </c>
      <c r="C1566" s="25">
        <f t="shared" si="673"/>
        <v>48</v>
      </c>
      <c r="D1566" s="25">
        <f t="array" ref="D1566">INDEX(C$5:C$67,MATCH($B1566,$B$5:$B$67,0))</f>
        <v>3675</v>
      </c>
      <c r="E1566" s="25">
        <f t="array" ref="E1566">INDEX(D$5:D$67,MATCH($B1566,$B$5:$B$67,0))</f>
        <v>294</v>
      </c>
      <c r="F1566" s="25">
        <f t="array" ref="F1566">INDEX(E$5:E$67,MATCH($B1566,$B$5:$B$67,0))</f>
        <v>798</v>
      </c>
      <c r="G1566" s="25">
        <f t="array" ref="G1566">INDEX(F$5:F$67,MATCH($B1566,$B$5:$B$67,0))</f>
        <v>63.84</v>
      </c>
      <c r="H1566" s="25">
        <f t="array" ref="H1566">INDEX(G$5:G$66,MATCH($B1566,$B$5:$B$67,0))</f>
        <v>998</v>
      </c>
      <c r="I1566" s="25">
        <f t="array" ref="I1566">INDEX(H$5:H$67,MATCH($B1566,$B$5:$B$67,0))</f>
        <v>79.84</v>
      </c>
      <c r="J1566" s="25">
        <f t="array" ref="J1566">INDEX(I$5:I$67,MATCH($B1566,$B$5:$B$67,0))</f>
        <v>700</v>
      </c>
      <c r="K1566" s="25">
        <f t="array" ref="K1566">INDEX(J$5:J$67,MATCH($B1566,$B$5:$B$67,0))</f>
        <v>56</v>
      </c>
      <c r="L1566" s="25">
        <f t="shared" si="674"/>
        <v>17787</v>
      </c>
      <c r="M1566" s="25">
        <f t="shared" si="675"/>
        <v>3862</v>
      </c>
      <c r="N1566" s="25">
        <f t="shared" si="676"/>
        <v>4830</v>
      </c>
      <c r="O1566" s="25">
        <f t="shared" si="677"/>
        <v>3388</v>
      </c>
    </row>
    <row r="1567" ht="17.25" customHeight="1" spans="1:15">
      <c r="A1567" s="55">
        <v>1035049</v>
      </c>
      <c r="B1567" s="7" t="s">
        <v>363</v>
      </c>
      <c r="C1567" s="25">
        <f t="shared" si="673"/>
        <v>49</v>
      </c>
      <c r="D1567" s="25">
        <f t="array" ref="D1567">INDEX(C$5:C$67,MATCH($B1567,$B$5:$B$67,0))</f>
        <v>3675</v>
      </c>
      <c r="E1567" s="25">
        <f t="array" ref="E1567">INDEX(D$5:D$67,MATCH($B1567,$B$5:$B$67,0))</f>
        <v>294</v>
      </c>
      <c r="F1567" s="25">
        <f t="array" ref="F1567">INDEX(E$5:E$67,MATCH($B1567,$B$5:$B$67,0))</f>
        <v>798</v>
      </c>
      <c r="G1567" s="25">
        <f t="array" ref="G1567">INDEX(F$5:F$67,MATCH($B1567,$B$5:$B$67,0))</f>
        <v>63.84</v>
      </c>
      <c r="H1567" s="25">
        <f t="array" ref="H1567">INDEX(G$5:G$66,MATCH($B1567,$B$5:$B$67,0))</f>
        <v>998</v>
      </c>
      <c r="I1567" s="25">
        <f t="array" ref="I1567">INDEX(H$5:H$67,MATCH($B1567,$B$5:$B$67,0))</f>
        <v>79.84</v>
      </c>
      <c r="J1567" s="25">
        <f t="array" ref="J1567">INDEX(I$5:I$67,MATCH($B1567,$B$5:$B$67,0))</f>
        <v>700</v>
      </c>
      <c r="K1567" s="25">
        <f t="array" ref="K1567">INDEX(J$5:J$67,MATCH($B1567,$B$5:$B$67,0))</f>
        <v>56</v>
      </c>
      <c r="L1567" s="25">
        <f t="shared" si="674"/>
        <v>18081</v>
      </c>
      <c r="M1567" s="25">
        <f t="shared" si="675"/>
        <v>3926</v>
      </c>
      <c r="N1567" s="25">
        <f t="shared" si="676"/>
        <v>4910</v>
      </c>
      <c r="O1567" s="25">
        <f t="shared" si="677"/>
        <v>3444</v>
      </c>
    </row>
    <row r="1568" ht="17.25" customHeight="1" spans="1:15">
      <c r="A1568" s="55">
        <v>1035050</v>
      </c>
      <c r="B1568" s="7" t="s">
        <v>363</v>
      </c>
      <c r="C1568" s="25">
        <f t="shared" si="673"/>
        <v>50</v>
      </c>
      <c r="D1568" s="25">
        <f t="array" ref="D1568">INDEX(C$5:C$67,MATCH($B1568,$B$5:$B$67,0))</f>
        <v>3675</v>
      </c>
      <c r="E1568" s="25">
        <f t="array" ref="E1568">INDEX(D$5:D$67,MATCH($B1568,$B$5:$B$67,0))</f>
        <v>294</v>
      </c>
      <c r="F1568" s="25">
        <f t="array" ref="F1568">INDEX(E$5:E$67,MATCH($B1568,$B$5:$B$67,0))</f>
        <v>798</v>
      </c>
      <c r="G1568" s="25">
        <f t="array" ref="G1568">INDEX(F$5:F$67,MATCH($B1568,$B$5:$B$67,0))</f>
        <v>63.84</v>
      </c>
      <c r="H1568" s="25">
        <f t="array" ref="H1568">INDEX(G$5:G$66,MATCH($B1568,$B$5:$B$67,0))</f>
        <v>998</v>
      </c>
      <c r="I1568" s="25">
        <f t="array" ref="I1568">INDEX(H$5:H$67,MATCH($B1568,$B$5:$B$67,0))</f>
        <v>79.84</v>
      </c>
      <c r="J1568" s="25">
        <f t="array" ref="J1568">INDEX(I$5:I$67,MATCH($B1568,$B$5:$B$67,0))</f>
        <v>700</v>
      </c>
      <c r="K1568" s="25">
        <f t="array" ref="K1568">INDEX(J$5:J$67,MATCH($B1568,$B$5:$B$67,0))</f>
        <v>56</v>
      </c>
      <c r="L1568" s="25">
        <f t="shared" si="674"/>
        <v>18375</v>
      </c>
      <c r="M1568" s="25">
        <f t="shared" si="675"/>
        <v>3990</v>
      </c>
      <c r="N1568" s="25">
        <f t="shared" si="676"/>
        <v>4990</v>
      </c>
      <c r="O1568" s="25">
        <f t="shared" si="677"/>
        <v>3500</v>
      </c>
    </row>
    <row r="1569" ht="17.25" customHeight="1" spans="1:15">
      <c r="A1569" s="55">
        <v>1035051</v>
      </c>
      <c r="B1569" s="7" t="s">
        <v>363</v>
      </c>
      <c r="C1569" s="25">
        <f t="shared" si="673"/>
        <v>51</v>
      </c>
      <c r="D1569" s="25">
        <f t="array" ref="D1569">INDEX(C$5:C$67,MATCH($B1569,$B$5:$B$67,0))</f>
        <v>3675</v>
      </c>
      <c r="E1569" s="25">
        <f t="array" ref="E1569">INDEX(D$5:D$67,MATCH($B1569,$B$5:$B$67,0))</f>
        <v>294</v>
      </c>
      <c r="F1569" s="25">
        <f t="array" ref="F1569">INDEX(E$5:E$67,MATCH($B1569,$B$5:$B$67,0))</f>
        <v>798</v>
      </c>
      <c r="G1569" s="25">
        <f t="array" ref="G1569">INDEX(F$5:F$67,MATCH($B1569,$B$5:$B$67,0))</f>
        <v>63.84</v>
      </c>
      <c r="H1569" s="25">
        <f t="array" ref="H1569">INDEX(G$5:G$66,MATCH($B1569,$B$5:$B$67,0))</f>
        <v>998</v>
      </c>
      <c r="I1569" s="25">
        <f t="array" ref="I1569">INDEX(H$5:H$67,MATCH($B1569,$B$5:$B$67,0))</f>
        <v>79.84</v>
      </c>
      <c r="J1569" s="25">
        <f t="array" ref="J1569">INDEX(I$5:I$67,MATCH($B1569,$B$5:$B$67,0))</f>
        <v>700</v>
      </c>
      <c r="K1569" s="25">
        <f t="array" ref="K1569">INDEX(J$5:J$67,MATCH($B1569,$B$5:$B$67,0))</f>
        <v>56</v>
      </c>
      <c r="L1569" s="25">
        <f t="shared" si="674"/>
        <v>18669</v>
      </c>
      <c r="M1569" s="25">
        <f t="shared" si="675"/>
        <v>4054</v>
      </c>
      <c r="N1569" s="25">
        <f t="shared" si="676"/>
        <v>5070</v>
      </c>
      <c r="O1569" s="25">
        <f t="shared" si="677"/>
        <v>3556</v>
      </c>
    </row>
    <row r="1570" ht="17.25" customHeight="1" spans="1:15">
      <c r="A1570" s="55">
        <v>1035052</v>
      </c>
      <c r="B1570" s="7" t="s">
        <v>363</v>
      </c>
      <c r="C1570" s="25">
        <f t="shared" si="673"/>
        <v>52</v>
      </c>
      <c r="D1570" s="25">
        <f t="array" ref="D1570">INDEX(C$5:C$67,MATCH($B1570,$B$5:$B$67,0))</f>
        <v>3675</v>
      </c>
      <c r="E1570" s="25">
        <f t="array" ref="E1570">INDEX(D$5:D$67,MATCH($B1570,$B$5:$B$67,0))</f>
        <v>294</v>
      </c>
      <c r="F1570" s="25">
        <f t="array" ref="F1570">INDEX(E$5:E$67,MATCH($B1570,$B$5:$B$67,0))</f>
        <v>798</v>
      </c>
      <c r="G1570" s="25">
        <f t="array" ref="G1570">INDEX(F$5:F$67,MATCH($B1570,$B$5:$B$67,0))</f>
        <v>63.84</v>
      </c>
      <c r="H1570" s="25">
        <f t="array" ref="H1570">INDEX(G$5:G$66,MATCH($B1570,$B$5:$B$67,0))</f>
        <v>998</v>
      </c>
      <c r="I1570" s="25">
        <f t="array" ref="I1570">INDEX(H$5:H$67,MATCH($B1570,$B$5:$B$67,0))</f>
        <v>79.84</v>
      </c>
      <c r="J1570" s="25">
        <f t="array" ref="J1570">INDEX(I$5:I$67,MATCH($B1570,$B$5:$B$67,0))</f>
        <v>700</v>
      </c>
      <c r="K1570" s="25">
        <f t="array" ref="K1570">INDEX(J$5:J$67,MATCH($B1570,$B$5:$B$67,0))</f>
        <v>56</v>
      </c>
      <c r="L1570" s="25">
        <f t="shared" si="674"/>
        <v>18963</v>
      </c>
      <c r="M1570" s="25">
        <f t="shared" si="675"/>
        <v>4118</v>
      </c>
      <c r="N1570" s="25">
        <f t="shared" si="676"/>
        <v>5150</v>
      </c>
      <c r="O1570" s="25">
        <f t="shared" si="677"/>
        <v>3612</v>
      </c>
    </row>
    <row r="1571" ht="17.25" customHeight="1" spans="1:15">
      <c r="A1571" s="55">
        <v>1035053</v>
      </c>
      <c r="B1571" s="7" t="s">
        <v>363</v>
      </c>
      <c r="C1571" s="25">
        <f t="shared" si="673"/>
        <v>53</v>
      </c>
      <c r="D1571" s="25">
        <f t="array" ref="D1571">INDEX(C$5:C$67,MATCH($B1571,$B$5:$B$67,0))</f>
        <v>3675</v>
      </c>
      <c r="E1571" s="25">
        <f t="array" ref="E1571">INDEX(D$5:D$67,MATCH($B1571,$B$5:$B$67,0))</f>
        <v>294</v>
      </c>
      <c r="F1571" s="25">
        <f t="array" ref="F1571">INDEX(E$5:E$67,MATCH($B1571,$B$5:$B$67,0))</f>
        <v>798</v>
      </c>
      <c r="G1571" s="25">
        <f t="array" ref="G1571">INDEX(F$5:F$67,MATCH($B1571,$B$5:$B$67,0))</f>
        <v>63.84</v>
      </c>
      <c r="H1571" s="25">
        <f t="array" ref="H1571">INDEX(G$5:G$66,MATCH($B1571,$B$5:$B$67,0))</f>
        <v>998</v>
      </c>
      <c r="I1571" s="25">
        <f t="array" ref="I1571">INDEX(H$5:H$67,MATCH($B1571,$B$5:$B$67,0))</f>
        <v>79.84</v>
      </c>
      <c r="J1571" s="25">
        <f t="array" ref="J1571">INDEX(I$5:I$67,MATCH($B1571,$B$5:$B$67,0))</f>
        <v>700</v>
      </c>
      <c r="K1571" s="25">
        <f t="array" ref="K1571">INDEX(J$5:J$67,MATCH($B1571,$B$5:$B$67,0))</f>
        <v>56</v>
      </c>
      <c r="L1571" s="25">
        <f t="shared" si="674"/>
        <v>19257</v>
      </c>
      <c r="M1571" s="25">
        <f t="shared" si="675"/>
        <v>4182</v>
      </c>
      <c r="N1571" s="25">
        <f t="shared" si="676"/>
        <v>5230</v>
      </c>
      <c r="O1571" s="25">
        <f t="shared" si="677"/>
        <v>3668</v>
      </c>
    </row>
    <row r="1572" ht="17.25" customHeight="1" spans="1:15">
      <c r="A1572" s="55">
        <v>1035054</v>
      </c>
      <c r="B1572" s="7" t="s">
        <v>363</v>
      </c>
      <c r="C1572" s="25">
        <f t="shared" si="673"/>
        <v>54</v>
      </c>
      <c r="D1572" s="25">
        <f t="array" ref="D1572">INDEX(C$5:C$67,MATCH($B1572,$B$5:$B$67,0))</f>
        <v>3675</v>
      </c>
      <c r="E1572" s="25">
        <f t="array" ref="E1572">INDEX(D$5:D$67,MATCH($B1572,$B$5:$B$67,0))</f>
        <v>294</v>
      </c>
      <c r="F1572" s="25">
        <f t="array" ref="F1572">INDEX(E$5:E$67,MATCH($B1572,$B$5:$B$67,0))</f>
        <v>798</v>
      </c>
      <c r="G1572" s="25">
        <f t="array" ref="G1572">INDEX(F$5:F$67,MATCH($B1572,$B$5:$B$67,0))</f>
        <v>63.84</v>
      </c>
      <c r="H1572" s="25">
        <f t="array" ref="H1572">INDEX(G$5:G$66,MATCH($B1572,$B$5:$B$67,0))</f>
        <v>998</v>
      </c>
      <c r="I1572" s="25">
        <f t="array" ref="I1572">INDEX(H$5:H$67,MATCH($B1572,$B$5:$B$67,0))</f>
        <v>79.84</v>
      </c>
      <c r="J1572" s="25">
        <f t="array" ref="J1572">INDEX(I$5:I$67,MATCH($B1572,$B$5:$B$67,0))</f>
        <v>700</v>
      </c>
      <c r="K1572" s="25">
        <f t="array" ref="K1572">INDEX(J$5:J$67,MATCH($B1572,$B$5:$B$67,0))</f>
        <v>56</v>
      </c>
      <c r="L1572" s="25">
        <f t="shared" si="674"/>
        <v>19551</v>
      </c>
      <c r="M1572" s="25">
        <f t="shared" si="675"/>
        <v>4245</v>
      </c>
      <c r="N1572" s="25">
        <f t="shared" si="676"/>
        <v>5309</v>
      </c>
      <c r="O1572" s="25">
        <f t="shared" si="677"/>
        <v>3724</v>
      </c>
    </row>
    <row r="1573" ht="17.25" customHeight="1" spans="1:15">
      <c r="A1573" s="55">
        <v>1035055</v>
      </c>
      <c r="B1573" s="7" t="s">
        <v>363</v>
      </c>
      <c r="C1573" s="25">
        <f t="shared" si="673"/>
        <v>55</v>
      </c>
      <c r="D1573" s="25">
        <f t="array" ref="D1573">INDEX(C$5:C$67,MATCH($B1573,$B$5:$B$67,0))</f>
        <v>3675</v>
      </c>
      <c r="E1573" s="25">
        <f t="array" ref="E1573">INDEX(D$5:D$67,MATCH($B1573,$B$5:$B$67,0))</f>
        <v>294</v>
      </c>
      <c r="F1573" s="25">
        <f t="array" ref="F1573">INDEX(E$5:E$67,MATCH($B1573,$B$5:$B$67,0))</f>
        <v>798</v>
      </c>
      <c r="G1573" s="25">
        <f t="array" ref="G1573">INDEX(F$5:F$67,MATCH($B1573,$B$5:$B$67,0))</f>
        <v>63.84</v>
      </c>
      <c r="H1573" s="25">
        <f t="array" ref="H1573">INDEX(G$5:G$66,MATCH($B1573,$B$5:$B$67,0))</f>
        <v>998</v>
      </c>
      <c r="I1573" s="25">
        <f t="array" ref="I1573">INDEX(H$5:H$67,MATCH($B1573,$B$5:$B$67,0))</f>
        <v>79.84</v>
      </c>
      <c r="J1573" s="25">
        <f t="array" ref="J1573">INDEX(I$5:I$67,MATCH($B1573,$B$5:$B$67,0))</f>
        <v>700</v>
      </c>
      <c r="K1573" s="25">
        <f t="array" ref="K1573">INDEX(J$5:J$67,MATCH($B1573,$B$5:$B$67,0))</f>
        <v>56</v>
      </c>
      <c r="L1573" s="25">
        <f t="shared" si="674"/>
        <v>19845</v>
      </c>
      <c r="M1573" s="25">
        <f t="shared" si="675"/>
        <v>4309</v>
      </c>
      <c r="N1573" s="25">
        <f t="shared" si="676"/>
        <v>5389</v>
      </c>
      <c r="O1573" s="25">
        <f t="shared" si="677"/>
        <v>3780</v>
      </c>
    </row>
    <row r="1574" ht="17.25" customHeight="1" spans="1:15">
      <c r="A1574" s="55">
        <v>1035056</v>
      </c>
      <c r="B1574" s="7" t="s">
        <v>363</v>
      </c>
      <c r="C1574" s="25">
        <f t="shared" si="673"/>
        <v>56</v>
      </c>
      <c r="D1574" s="25">
        <f t="array" ref="D1574">INDEX(C$5:C$67,MATCH($B1574,$B$5:$B$67,0))</f>
        <v>3675</v>
      </c>
      <c r="E1574" s="25">
        <f t="array" ref="E1574">INDEX(D$5:D$67,MATCH($B1574,$B$5:$B$67,0))</f>
        <v>294</v>
      </c>
      <c r="F1574" s="25">
        <f t="array" ref="F1574">INDEX(E$5:E$67,MATCH($B1574,$B$5:$B$67,0))</f>
        <v>798</v>
      </c>
      <c r="G1574" s="25">
        <f t="array" ref="G1574">INDEX(F$5:F$67,MATCH($B1574,$B$5:$B$67,0))</f>
        <v>63.84</v>
      </c>
      <c r="H1574" s="25">
        <f t="array" ref="H1574">INDEX(G$5:G$66,MATCH($B1574,$B$5:$B$67,0))</f>
        <v>998</v>
      </c>
      <c r="I1574" s="25">
        <f t="array" ref="I1574">INDEX(H$5:H$67,MATCH($B1574,$B$5:$B$67,0))</f>
        <v>79.84</v>
      </c>
      <c r="J1574" s="25">
        <f t="array" ref="J1574">INDEX(I$5:I$67,MATCH($B1574,$B$5:$B$67,0))</f>
        <v>700</v>
      </c>
      <c r="K1574" s="25">
        <f t="array" ref="K1574">INDEX(J$5:J$67,MATCH($B1574,$B$5:$B$67,0))</f>
        <v>56</v>
      </c>
      <c r="L1574" s="25">
        <f t="shared" si="674"/>
        <v>20139</v>
      </c>
      <c r="M1574" s="25">
        <f t="shared" si="675"/>
        <v>4373</v>
      </c>
      <c r="N1574" s="25">
        <f t="shared" si="676"/>
        <v>5469</v>
      </c>
      <c r="O1574" s="25">
        <f t="shared" si="677"/>
        <v>3836</v>
      </c>
    </row>
    <row r="1575" ht="17.25" customHeight="1" spans="1:15">
      <c r="A1575" s="55">
        <v>1035057</v>
      </c>
      <c r="B1575" s="7" t="s">
        <v>363</v>
      </c>
      <c r="C1575" s="25">
        <f t="shared" si="673"/>
        <v>57</v>
      </c>
      <c r="D1575" s="25">
        <f t="array" ref="D1575">INDEX(C$5:C$67,MATCH($B1575,$B$5:$B$67,0))</f>
        <v>3675</v>
      </c>
      <c r="E1575" s="25">
        <f t="array" ref="E1575">INDEX(D$5:D$67,MATCH($B1575,$B$5:$B$67,0))</f>
        <v>294</v>
      </c>
      <c r="F1575" s="25">
        <f t="array" ref="F1575">INDEX(E$5:E$67,MATCH($B1575,$B$5:$B$67,0))</f>
        <v>798</v>
      </c>
      <c r="G1575" s="25">
        <f t="array" ref="G1575">INDEX(F$5:F$67,MATCH($B1575,$B$5:$B$67,0))</f>
        <v>63.84</v>
      </c>
      <c r="H1575" s="25">
        <f t="array" ref="H1575">INDEX(G$5:G$66,MATCH($B1575,$B$5:$B$67,0))</f>
        <v>998</v>
      </c>
      <c r="I1575" s="25">
        <f t="array" ref="I1575">INDEX(H$5:H$67,MATCH($B1575,$B$5:$B$67,0))</f>
        <v>79.84</v>
      </c>
      <c r="J1575" s="25">
        <f t="array" ref="J1575">INDEX(I$5:I$67,MATCH($B1575,$B$5:$B$67,0))</f>
        <v>700</v>
      </c>
      <c r="K1575" s="25">
        <f t="array" ref="K1575">INDEX(J$5:J$67,MATCH($B1575,$B$5:$B$67,0))</f>
        <v>56</v>
      </c>
      <c r="L1575" s="25">
        <f t="shared" si="674"/>
        <v>20433</v>
      </c>
      <c r="M1575" s="25">
        <f t="shared" si="675"/>
        <v>4437</v>
      </c>
      <c r="N1575" s="25">
        <f t="shared" si="676"/>
        <v>5549</v>
      </c>
      <c r="O1575" s="25">
        <f t="shared" si="677"/>
        <v>3892</v>
      </c>
    </row>
    <row r="1576" ht="17.25" customHeight="1" spans="1:15">
      <c r="A1576" s="55">
        <v>1035058</v>
      </c>
      <c r="B1576" s="7" t="s">
        <v>363</v>
      </c>
      <c r="C1576" s="25">
        <f t="shared" si="673"/>
        <v>58</v>
      </c>
      <c r="D1576" s="25">
        <f t="array" ref="D1576">INDEX(C$5:C$67,MATCH($B1576,$B$5:$B$67,0))</f>
        <v>3675</v>
      </c>
      <c r="E1576" s="25">
        <f t="array" ref="E1576">INDEX(D$5:D$67,MATCH($B1576,$B$5:$B$67,0))</f>
        <v>294</v>
      </c>
      <c r="F1576" s="25">
        <f t="array" ref="F1576">INDEX(E$5:E$67,MATCH($B1576,$B$5:$B$67,0))</f>
        <v>798</v>
      </c>
      <c r="G1576" s="25">
        <f t="array" ref="G1576">INDEX(F$5:F$67,MATCH($B1576,$B$5:$B$67,0))</f>
        <v>63.84</v>
      </c>
      <c r="H1576" s="25">
        <f t="array" ref="H1576">INDEX(G$5:G$66,MATCH($B1576,$B$5:$B$67,0))</f>
        <v>998</v>
      </c>
      <c r="I1576" s="25">
        <f t="array" ref="I1576">INDEX(H$5:H$67,MATCH($B1576,$B$5:$B$67,0))</f>
        <v>79.84</v>
      </c>
      <c r="J1576" s="25">
        <f t="array" ref="J1576">INDEX(I$5:I$67,MATCH($B1576,$B$5:$B$67,0))</f>
        <v>700</v>
      </c>
      <c r="K1576" s="25">
        <f t="array" ref="K1576">INDEX(J$5:J$67,MATCH($B1576,$B$5:$B$67,0))</f>
        <v>56</v>
      </c>
      <c r="L1576" s="25">
        <f t="shared" si="674"/>
        <v>20727</v>
      </c>
      <c r="M1576" s="25">
        <f t="shared" si="675"/>
        <v>4501</v>
      </c>
      <c r="N1576" s="25">
        <f t="shared" si="676"/>
        <v>5629</v>
      </c>
      <c r="O1576" s="25">
        <f t="shared" si="677"/>
        <v>3948</v>
      </c>
    </row>
    <row r="1577" ht="17.25" customHeight="1" spans="1:15">
      <c r="A1577" s="55">
        <v>1035059</v>
      </c>
      <c r="B1577" s="7" t="s">
        <v>363</v>
      </c>
      <c r="C1577" s="25">
        <f t="shared" si="673"/>
        <v>59</v>
      </c>
      <c r="D1577" s="25">
        <f t="array" ref="D1577">INDEX(C$5:C$67,MATCH($B1577,$B$5:$B$67,0))</f>
        <v>3675</v>
      </c>
      <c r="E1577" s="25">
        <f t="array" ref="E1577">INDEX(D$5:D$67,MATCH($B1577,$B$5:$B$67,0))</f>
        <v>294</v>
      </c>
      <c r="F1577" s="25">
        <f t="array" ref="F1577">INDEX(E$5:E$67,MATCH($B1577,$B$5:$B$67,0))</f>
        <v>798</v>
      </c>
      <c r="G1577" s="25">
        <f t="array" ref="G1577">INDEX(F$5:F$67,MATCH($B1577,$B$5:$B$67,0))</f>
        <v>63.84</v>
      </c>
      <c r="H1577" s="25">
        <f t="array" ref="H1577">INDEX(G$5:G$66,MATCH($B1577,$B$5:$B$67,0))</f>
        <v>998</v>
      </c>
      <c r="I1577" s="25">
        <f t="array" ref="I1577">INDEX(H$5:H$67,MATCH($B1577,$B$5:$B$67,0))</f>
        <v>79.84</v>
      </c>
      <c r="J1577" s="25">
        <f t="array" ref="J1577">INDEX(I$5:I$67,MATCH($B1577,$B$5:$B$67,0))</f>
        <v>700</v>
      </c>
      <c r="K1577" s="25">
        <f t="array" ref="K1577">INDEX(J$5:J$67,MATCH($B1577,$B$5:$B$67,0))</f>
        <v>56</v>
      </c>
      <c r="L1577" s="25">
        <f t="shared" si="674"/>
        <v>21021</v>
      </c>
      <c r="M1577" s="25">
        <f t="shared" si="675"/>
        <v>4565</v>
      </c>
      <c r="N1577" s="25">
        <f t="shared" si="676"/>
        <v>5709</v>
      </c>
      <c r="O1577" s="25">
        <f t="shared" si="677"/>
        <v>4004</v>
      </c>
    </row>
    <row r="1578" ht="17.25" customHeight="1" spans="1:15">
      <c r="A1578" s="55">
        <v>1035060</v>
      </c>
      <c r="B1578" s="7" t="s">
        <v>363</v>
      </c>
      <c r="C1578" s="25">
        <f t="shared" si="673"/>
        <v>60</v>
      </c>
      <c r="D1578" s="25">
        <f t="array" ref="D1578">INDEX(C$5:C$67,MATCH($B1578,$B$5:$B$67,0))</f>
        <v>3675</v>
      </c>
      <c r="E1578" s="25">
        <f t="array" ref="E1578">INDEX(D$5:D$67,MATCH($B1578,$B$5:$B$67,0))</f>
        <v>294</v>
      </c>
      <c r="F1578" s="25">
        <f t="array" ref="F1578">INDEX(E$5:E$67,MATCH($B1578,$B$5:$B$67,0))</f>
        <v>798</v>
      </c>
      <c r="G1578" s="25">
        <f t="array" ref="G1578">INDEX(F$5:F$67,MATCH($B1578,$B$5:$B$67,0))</f>
        <v>63.84</v>
      </c>
      <c r="H1578" s="25">
        <f t="array" ref="H1578">INDEX(G$5:G$66,MATCH($B1578,$B$5:$B$67,0))</f>
        <v>998</v>
      </c>
      <c r="I1578" s="25">
        <f t="array" ref="I1578">INDEX(H$5:H$67,MATCH($B1578,$B$5:$B$67,0))</f>
        <v>79.84</v>
      </c>
      <c r="J1578" s="25">
        <f t="array" ref="J1578">INDEX(I$5:I$67,MATCH($B1578,$B$5:$B$67,0))</f>
        <v>700</v>
      </c>
      <c r="K1578" s="25">
        <f t="array" ref="K1578">INDEX(J$5:J$67,MATCH($B1578,$B$5:$B$67,0))</f>
        <v>56</v>
      </c>
      <c r="L1578" s="25">
        <f t="shared" si="674"/>
        <v>21315</v>
      </c>
      <c r="M1578" s="25">
        <f t="shared" si="675"/>
        <v>4628</v>
      </c>
      <c r="N1578" s="25">
        <f t="shared" si="676"/>
        <v>5788</v>
      </c>
      <c r="O1578" s="25">
        <f t="shared" si="677"/>
        <v>4060</v>
      </c>
    </row>
    <row r="1579" ht="17.25" customHeight="1" spans="1:15">
      <c r="A1579" s="55">
        <v>1036001</v>
      </c>
      <c r="B1579" s="7" t="s">
        <v>364</v>
      </c>
      <c r="C1579" s="25">
        <f t="shared" si="673"/>
        <v>1</v>
      </c>
      <c r="D1579" s="25">
        <f t="array" ref="D1579">INDEX(C$5:C$67,MATCH($B1579,$B$5:$B$67,0))</f>
        <v>2660</v>
      </c>
      <c r="E1579" s="25">
        <f t="array" ref="E1579">INDEX(D$5:D$67,MATCH($B1579,$B$5:$B$67,0))</f>
        <v>212.8</v>
      </c>
      <c r="F1579" s="25">
        <f t="array" ref="F1579">INDEX(E$5:E$67,MATCH($B1579,$B$5:$B$67,0))</f>
        <v>1008</v>
      </c>
      <c r="G1579" s="25">
        <f t="array" ref="G1579">INDEX(F$5:F$67,MATCH($B1579,$B$5:$B$67,0))</f>
        <v>80.64</v>
      </c>
      <c r="H1579" s="25">
        <f t="array" ref="H1579">INDEX(G$5:G$66,MATCH($B1579,$B$5:$B$67,0))</f>
        <v>1260</v>
      </c>
      <c r="I1579" s="25">
        <f t="array" ref="I1579">INDEX(H$5:H$67,MATCH($B1579,$B$5:$B$67,0))</f>
        <v>100.8</v>
      </c>
      <c r="J1579" s="25">
        <f t="array" ref="J1579">INDEX(I$5:I$67,MATCH($B1579,$B$5:$B$67,0))</f>
        <v>700</v>
      </c>
      <c r="K1579" s="25">
        <f t="array" ref="K1579">INDEX(J$5:J$67,MATCH($B1579,$B$5:$B$67,0))</f>
        <v>56</v>
      </c>
      <c r="L1579" s="25">
        <f t="shared" si="674"/>
        <v>2873</v>
      </c>
      <c r="M1579" s="25">
        <f t="shared" si="675"/>
        <v>1089</v>
      </c>
      <c r="N1579" s="25">
        <f t="shared" si="676"/>
        <v>1361</v>
      </c>
      <c r="O1579" s="25">
        <f t="shared" si="677"/>
        <v>756</v>
      </c>
    </row>
    <row r="1580" ht="17.25" customHeight="1" spans="1:15">
      <c r="A1580" s="55">
        <v>1036002</v>
      </c>
      <c r="B1580" s="7" t="s">
        <v>364</v>
      </c>
      <c r="C1580" s="25">
        <f t="shared" si="673"/>
        <v>2</v>
      </c>
      <c r="D1580" s="25">
        <f t="array" ref="D1580">INDEX(C$5:C$67,MATCH($B1580,$B$5:$B$67,0))</f>
        <v>2660</v>
      </c>
      <c r="E1580" s="25">
        <f t="array" ref="E1580">INDEX(D$5:D$67,MATCH($B1580,$B$5:$B$67,0))</f>
        <v>212.8</v>
      </c>
      <c r="F1580" s="25">
        <f t="array" ref="F1580">INDEX(E$5:E$67,MATCH($B1580,$B$5:$B$67,0))</f>
        <v>1008</v>
      </c>
      <c r="G1580" s="25">
        <f t="array" ref="G1580">INDEX(F$5:F$67,MATCH($B1580,$B$5:$B$67,0))</f>
        <v>80.64</v>
      </c>
      <c r="H1580" s="25">
        <f t="array" ref="H1580">INDEX(G$5:G$66,MATCH($B1580,$B$5:$B$67,0))</f>
        <v>1260</v>
      </c>
      <c r="I1580" s="25">
        <f t="array" ref="I1580">INDEX(H$5:H$67,MATCH($B1580,$B$5:$B$67,0))</f>
        <v>100.8</v>
      </c>
      <c r="J1580" s="25">
        <f t="array" ref="J1580">INDEX(I$5:I$67,MATCH($B1580,$B$5:$B$67,0))</f>
        <v>700</v>
      </c>
      <c r="K1580" s="25">
        <f t="array" ref="K1580">INDEX(J$5:J$67,MATCH($B1580,$B$5:$B$67,0))</f>
        <v>56</v>
      </c>
      <c r="L1580" s="25">
        <f t="shared" si="674"/>
        <v>3086</v>
      </c>
      <c r="M1580" s="25">
        <f t="shared" si="675"/>
        <v>1169</v>
      </c>
      <c r="N1580" s="25">
        <f t="shared" si="676"/>
        <v>1462</v>
      </c>
      <c r="O1580" s="25">
        <f t="shared" si="677"/>
        <v>812</v>
      </c>
    </row>
    <row r="1581" ht="17.25" customHeight="1" spans="1:15">
      <c r="A1581" s="55">
        <v>1036003</v>
      </c>
      <c r="B1581" s="7" t="s">
        <v>364</v>
      </c>
      <c r="C1581" s="25">
        <f t="shared" si="673"/>
        <v>3</v>
      </c>
      <c r="D1581" s="25">
        <f t="array" ref="D1581">INDEX(C$5:C$67,MATCH($B1581,$B$5:$B$67,0))</f>
        <v>2660</v>
      </c>
      <c r="E1581" s="25">
        <f t="array" ref="E1581">INDEX(D$5:D$67,MATCH($B1581,$B$5:$B$67,0))</f>
        <v>212.8</v>
      </c>
      <c r="F1581" s="25">
        <f t="array" ref="F1581">INDEX(E$5:E$67,MATCH($B1581,$B$5:$B$67,0))</f>
        <v>1008</v>
      </c>
      <c r="G1581" s="25">
        <f t="array" ref="G1581">INDEX(F$5:F$67,MATCH($B1581,$B$5:$B$67,0))</f>
        <v>80.64</v>
      </c>
      <c r="H1581" s="25">
        <f t="array" ref="H1581">INDEX(G$5:G$66,MATCH($B1581,$B$5:$B$67,0))</f>
        <v>1260</v>
      </c>
      <c r="I1581" s="25">
        <f t="array" ref="I1581">INDEX(H$5:H$67,MATCH($B1581,$B$5:$B$67,0))</f>
        <v>100.8</v>
      </c>
      <c r="J1581" s="25">
        <f t="array" ref="J1581">INDEX(I$5:I$67,MATCH($B1581,$B$5:$B$67,0))</f>
        <v>700</v>
      </c>
      <c r="K1581" s="25">
        <f t="array" ref="K1581">INDEX(J$5:J$67,MATCH($B1581,$B$5:$B$67,0))</f>
        <v>56</v>
      </c>
      <c r="L1581" s="25">
        <f t="shared" si="674"/>
        <v>3298</v>
      </c>
      <c r="M1581" s="25">
        <f t="shared" si="675"/>
        <v>1250</v>
      </c>
      <c r="N1581" s="25">
        <f t="shared" si="676"/>
        <v>1562</v>
      </c>
      <c r="O1581" s="25">
        <f t="shared" si="677"/>
        <v>868</v>
      </c>
    </row>
    <row r="1582" ht="17.25" customHeight="1" spans="1:15">
      <c r="A1582" s="55">
        <v>1036004</v>
      </c>
      <c r="B1582" s="7" t="s">
        <v>364</v>
      </c>
      <c r="C1582" s="25">
        <f t="shared" si="673"/>
        <v>4</v>
      </c>
      <c r="D1582" s="25">
        <f t="array" ref="D1582">INDEX(C$5:C$67,MATCH($B1582,$B$5:$B$67,0))</f>
        <v>2660</v>
      </c>
      <c r="E1582" s="25">
        <f t="array" ref="E1582">INDEX(D$5:D$67,MATCH($B1582,$B$5:$B$67,0))</f>
        <v>212.8</v>
      </c>
      <c r="F1582" s="25">
        <f t="array" ref="F1582">INDEX(E$5:E$67,MATCH($B1582,$B$5:$B$67,0))</f>
        <v>1008</v>
      </c>
      <c r="G1582" s="25">
        <f t="array" ref="G1582">INDEX(F$5:F$67,MATCH($B1582,$B$5:$B$67,0))</f>
        <v>80.64</v>
      </c>
      <c r="H1582" s="25">
        <f t="array" ref="H1582">INDEX(G$5:G$66,MATCH($B1582,$B$5:$B$67,0))</f>
        <v>1260</v>
      </c>
      <c r="I1582" s="25">
        <f t="array" ref="I1582">INDEX(H$5:H$67,MATCH($B1582,$B$5:$B$67,0))</f>
        <v>100.8</v>
      </c>
      <c r="J1582" s="25">
        <f t="array" ref="J1582">INDEX(I$5:I$67,MATCH($B1582,$B$5:$B$67,0))</f>
        <v>700</v>
      </c>
      <c r="K1582" s="25">
        <f t="array" ref="K1582">INDEX(J$5:J$67,MATCH($B1582,$B$5:$B$67,0))</f>
        <v>56</v>
      </c>
      <c r="L1582" s="25">
        <f t="shared" si="674"/>
        <v>3511</v>
      </c>
      <c r="M1582" s="25">
        <f t="shared" si="675"/>
        <v>1331</v>
      </c>
      <c r="N1582" s="25">
        <f t="shared" si="676"/>
        <v>1663</v>
      </c>
      <c r="O1582" s="25">
        <f t="shared" si="677"/>
        <v>924</v>
      </c>
    </row>
    <row r="1583" ht="17.25" customHeight="1" spans="1:15">
      <c r="A1583" s="55">
        <v>1036005</v>
      </c>
      <c r="B1583" s="7" t="s">
        <v>364</v>
      </c>
      <c r="C1583" s="25">
        <f t="shared" si="673"/>
        <v>5</v>
      </c>
      <c r="D1583" s="25">
        <f t="array" ref="D1583">INDEX(C$5:C$67,MATCH($B1583,$B$5:$B$67,0))</f>
        <v>2660</v>
      </c>
      <c r="E1583" s="25">
        <f t="array" ref="E1583">INDEX(D$5:D$67,MATCH($B1583,$B$5:$B$67,0))</f>
        <v>212.8</v>
      </c>
      <c r="F1583" s="25">
        <f t="array" ref="F1583">INDEX(E$5:E$67,MATCH($B1583,$B$5:$B$67,0))</f>
        <v>1008</v>
      </c>
      <c r="G1583" s="25">
        <f t="array" ref="G1583">INDEX(F$5:F$67,MATCH($B1583,$B$5:$B$67,0))</f>
        <v>80.64</v>
      </c>
      <c r="H1583" s="25">
        <f t="array" ref="H1583">INDEX(G$5:G$66,MATCH($B1583,$B$5:$B$67,0))</f>
        <v>1260</v>
      </c>
      <c r="I1583" s="25">
        <f t="array" ref="I1583">INDEX(H$5:H$67,MATCH($B1583,$B$5:$B$67,0))</f>
        <v>100.8</v>
      </c>
      <c r="J1583" s="25">
        <f t="array" ref="J1583">INDEX(I$5:I$67,MATCH($B1583,$B$5:$B$67,0))</f>
        <v>700</v>
      </c>
      <c r="K1583" s="25">
        <f t="array" ref="K1583">INDEX(J$5:J$67,MATCH($B1583,$B$5:$B$67,0))</f>
        <v>56</v>
      </c>
      <c r="L1583" s="25">
        <f t="shared" si="674"/>
        <v>3724</v>
      </c>
      <c r="M1583" s="25">
        <f t="shared" si="675"/>
        <v>1411</v>
      </c>
      <c r="N1583" s="25">
        <f t="shared" si="676"/>
        <v>1764</v>
      </c>
      <c r="O1583" s="25">
        <f t="shared" si="677"/>
        <v>980</v>
      </c>
    </row>
    <row r="1584" ht="17.25" customHeight="1" spans="1:15">
      <c r="A1584" s="55">
        <v>1036006</v>
      </c>
      <c r="B1584" s="7" t="s">
        <v>364</v>
      </c>
      <c r="C1584" s="25">
        <f t="shared" si="673"/>
        <v>6</v>
      </c>
      <c r="D1584" s="25">
        <f t="array" ref="D1584">INDEX(C$5:C$67,MATCH($B1584,$B$5:$B$67,0))</f>
        <v>2660</v>
      </c>
      <c r="E1584" s="25">
        <f t="array" ref="E1584">INDEX(D$5:D$67,MATCH($B1584,$B$5:$B$67,0))</f>
        <v>212.8</v>
      </c>
      <c r="F1584" s="25">
        <f t="array" ref="F1584">INDEX(E$5:E$67,MATCH($B1584,$B$5:$B$67,0))</f>
        <v>1008</v>
      </c>
      <c r="G1584" s="25">
        <f t="array" ref="G1584">INDEX(F$5:F$67,MATCH($B1584,$B$5:$B$67,0))</f>
        <v>80.64</v>
      </c>
      <c r="H1584" s="25">
        <f t="array" ref="H1584">INDEX(G$5:G$66,MATCH($B1584,$B$5:$B$67,0))</f>
        <v>1260</v>
      </c>
      <c r="I1584" s="25">
        <f t="array" ref="I1584">INDEX(H$5:H$67,MATCH($B1584,$B$5:$B$67,0))</f>
        <v>100.8</v>
      </c>
      <c r="J1584" s="25">
        <f t="array" ref="J1584">INDEX(I$5:I$67,MATCH($B1584,$B$5:$B$67,0))</f>
        <v>700</v>
      </c>
      <c r="K1584" s="25">
        <f t="array" ref="K1584">INDEX(J$5:J$67,MATCH($B1584,$B$5:$B$67,0))</f>
        <v>56</v>
      </c>
      <c r="L1584" s="25">
        <f t="shared" si="674"/>
        <v>3937</v>
      </c>
      <c r="M1584" s="25">
        <f t="shared" si="675"/>
        <v>1492</v>
      </c>
      <c r="N1584" s="25">
        <f t="shared" si="676"/>
        <v>1865</v>
      </c>
      <c r="O1584" s="25">
        <f t="shared" si="677"/>
        <v>1036</v>
      </c>
    </row>
    <row r="1585" ht="17.25" customHeight="1" spans="1:15">
      <c r="A1585" s="55">
        <v>1036007</v>
      </c>
      <c r="B1585" s="7" t="s">
        <v>364</v>
      </c>
      <c r="C1585" s="25">
        <f t="shared" si="673"/>
        <v>7</v>
      </c>
      <c r="D1585" s="25">
        <f t="array" ref="D1585">INDEX(C$5:C$67,MATCH($B1585,$B$5:$B$67,0))</f>
        <v>2660</v>
      </c>
      <c r="E1585" s="25">
        <f t="array" ref="E1585">INDEX(D$5:D$67,MATCH($B1585,$B$5:$B$67,0))</f>
        <v>212.8</v>
      </c>
      <c r="F1585" s="25">
        <f t="array" ref="F1585">INDEX(E$5:E$67,MATCH($B1585,$B$5:$B$67,0))</f>
        <v>1008</v>
      </c>
      <c r="G1585" s="25">
        <f t="array" ref="G1585">INDEX(F$5:F$67,MATCH($B1585,$B$5:$B$67,0))</f>
        <v>80.64</v>
      </c>
      <c r="H1585" s="25">
        <f t="array" ref="H1585">INDEX(G$5:G$66,MATCH($B1585,$B$5:$B$67,0))</f>
        <v>1260</v>
      </c>
      <c r="I1585" s="25">
        <f t="array" ref="I1585">INDEX(H$5:H$67,MATCH($B1585,$B$5:$B$67,0))</f>
        <v>100.8</v>
      </c>
      <c r="J1585" s="25">
        <f t="array" ref="J1585">INDEX(I$5:I$67,MATCH($B1585,$B$5:$B$67,0))</f>
        <v>700</v>
      </c>
      <c r="K1585" s="25">
        <f t="array" ref="K1585">INDEX(J$5:J$67,MATCH($B1585,$B$5:$B$67,0))</f>
        <v>56</v>
      </c>
      <c r="L1585" s="25">
        <f t="shared" si="674"/>
        <v>4150</v>
      </c>
      <c r="M1585" s="25">
        <f t="shared" si="675"/>
        <v>1572</v>
      </c>
      <c r="N1585" s="25">
        <f t="shared" si="676"/>
        <v>1966</v>
      </c>
      <c r="O1585" s="25">
        <f t="shared" si="677"/>
        <v>1092</v>
      </c>
    </row>
    <row r="1586" ht="17.25" customHeight="1" spans="1:15">
      <c r="A1586" s="55">
        <v>1036008</v>
      </c>
      <c r="B1586" s="7" t="s">
        <v>364</v>
      </c>
      <c r="C1586" s="25">
        <f t="shared" si="673"/>
        <v>8</v>
      </c>
      <c r="D1586" s="25">
        <f t="array" ref="D1586">INDEX(C$5:C$67,MATCH($B1586,$B$5:$B$67,0))</f>
        <v>2660</v>
      </c>
      <c r="E1586" s="25">
        <f t="array" ref="E1586">INDEX(D$5:D$67,MATCH($B1586,$B$5:$B$67,0))</f>
        <v>212.8</v>
      </c>
      <c r="F1586" s="25">
        <f t="array" ref="F1586">INDEX(E$5:E$67,MATCH($B1586,$B$5:$B$67,0))</f>
        <v>1008</v>
      </c>
      <c r="G1586" s="25">
        <f t="array" ref="G1586">INDEX(F$5:F$67,MATCH($B1586,$B$5:$B$67,0))</f>
        <v>80.64</v>
      </c>
      <c r="H1586" s="25">
        <f t="array" ref="H1586">INDEX(G$5:G$66,MATCH($B1586,$B$5:$B$67,0))</f>
        <v>1260</v>
      </c>
      <c r="I1586" s="25">
        <f t="array" ref="I1586">INDEX(H$5:H$67,MATCH($B1586,$B$5:$B$67,0))</f>
        <v>100.8</v>
      </c>
      <c r="J1586" s="25">
        <f t="array" ref="J1586">INDEX(I$5:I$67,MATCH($B1586,$B$5:$B$67,0))</f>
        <v>700</v>
      </c>
      <c r="K1586" s="25">
        <f t="array" ref="K1586">INDEX(J$5:J$67,MATCH($B1586,$B$5:$B$67,0))</f>
        <v>56</v>
      </c>
      <c r="L1586" s="25">
        <f t="shared" si="674"/>
        <v>4362</v>
      </c>
      <c r="M1586" s="25">
        <f t="shared" si="675"/>
        <v>1653</v>
      </c>
      <c r="N1586" s="25">
        <f t="shared" si="676"/>
        <v>2066</v>
      </c>
      <c r="O1586" s="25">
        <f t="shared" si="677"/>
        <v>1148</v>
      </c>
    </row>
    <row r="1587" ht="17.25" customHeight="1" spans="1:15">
      <c r="A1587" s="55">
        <v>1036009</v>
      </c>
      <c r="B1587" s="7" t="s">
        <v>364</v>
      </c>
      <c r="C1587" s="25">
        <f t="shared" si="673"/>
        <v>9</v>
      </c>
      <c r="D1587" s="25">
        <f t="array" ref="D1587">INDEX(C$5:C$67,MATCH($B1587,$B$5:$B$67,0))</f>
        <v>2660</v>
      </c>
      <c r="E1587" s="25">
        <f t="array" ref="E1587">INDEX(D$5:D$67,MATCH($B1587,$B$5:$B$67,0))</f>
        <v>212.8</v>
      </c>
      <c r="F1587" s="25">
        <f t="array" ref="F1587">INDEX(E$5:E$67,MATCH($B1587,$B$5:$B$67,0))</f>
        <v>1008</v>
      </c>
      <c r="G1587" s="25">
        <f t="array" ref="G1587">INDEX(F$5:F$67,MATCH($B1587,$B$5:$B$67,0))</f>
        <v>80.64</v>
      </c>
      <c r="H1587" s="25">
        <f t="array" ref="H1587">INDEX(G$5:G$66,MATCH($B1587,$B$5:$B$67,0))</f>
        <v>1260</v>
      </c>
      <c r="I1587" s="25">
        <f t="array" ref="I1587">INDEX(H$5:H$67,MATCH($B1587,$B$5:$B$67,0))</f>
        <v>100.8</v>
      </c>
      <c r="J1587" s="25">
        <f t="array" ref="J1587">INDEX(I$5:I$67,MATCH($B1587,$B$5:$B$67,0))</f>
        <v>700</v>
      </c>
      <c r="K1587" s="25">
        <f t="array" ref="K1587">INDEX(J$5:J$67,MATCH($B1587,$B$5:$B$67,0))</f>
        <v>56</v>
      </c>
      <c r="L1587" s="25">
        <f t="shared" si="674"/>
        <v>4575</v>
      </c>
      <c r="M1587" s="25">
        <f t="shared" si="675"/>
        <v>1734</v>
      </c>
      <c r="N1587" s="25">
        <f t="shared" si="676"/>
        <v>2167</v>
      </c>
      <c r="O1587" s="25">
        <f t="shared" si="677"/>
        <v>1204</v>
      </c>
    </row>
    <row r="1588" ht="17.25" customHeight="1" spans="1:15">
      <c r="A1588" s="55">
        <v>1036010</v>
      </c>
      <c r="B1588" s="7" t="s">
        <v>364</v>
      </c>
      <c r="C1588" s="25">
        <f t="shared" si="673"/>
        <v>10</v>
      </c>
      <c r="D1588" s="25">
        <f t="array" ref="D1588">INDEX(C$5:C$67,MATCH($B1588,$B$5:$B$67,0))</f>
        <v>2660</v>
      </c>
      <c r="E1588" s="25">
        <f t="array" ref="E1588">INDEX(D$5:D$67,MATCH($B1588,$B$5:$B$67,0))</f>
        <v>212.8</v>
      </c>
      <c r="F1588" s="25">
        <f t="array" ref="F1588">INDEX(E$5:E$67,MATCH($B1588,$B$5:$B$67,0))</f>
        <v>1008</v>
      </c>
      <c r="G1588" s="25">
        <f t="array" ref="G1588">INDEX(F$5:F$67,MATCH($B1588,$B$5:$B$67,0))</f>
        <v>80.64</v>
      </c>
      <c r="H1588" s="25">
        <f t="array" ref="H1588">INDEX(G$5:G$66,MATCH($B1588,$B$5:$B$67,0))</f>
        <v>1260</v>
      </c>
      <c r="I1588" s="25">
        <f t="array" ref="I1588">INDEX(H$5:H$67,MATCH($B1588,$B$5:$B$67,0))</f>
        <v>100.8</v>
      </c>
      <c r="J1588" s="25">
        <f t="array" ref="J1588">INDEX(I$5:I$67,MATCH($B1588,$B$5:$B$67,0))</f>
        <v>700</v>
      </c>
      <c r="K1588" s="25">
        <f t="array" ref="K1588">INDEX(J$5:J$67,MATCH($B1588,$B$5:$B$67,0))</f>
        <v>56</v>
      </c>
      <c r="L1588" s="25">
        <f t="shared" si="674"/>
        <v>4788</v>
      </c>
      <c r="M1588" s="25">
        <f t="shared" si="675"/>
        <v>1814</v>
      </c>
      <c r="N1588" s="25">
        <f t="shared" si="676"/>
        <v>2268</v>
      </c>
      <c r="O1588" s="25">
        <f t="shared" si="677"/>
        <v>1260</v>
      </c>
    </row>
    <row r="1589" ht="17.25" customHeight="1" spans="1:15">
      <c r="A1589" s="55">
        <v>1036011</v>
      </c>
      <c r="B1589" s="7" t="s">
        <v>364</v>
      </c>
      <c r="C1589" s="25">
        <f t="shared" si="673"/>
        <v>11</v>
      </c>
      <c r="D1589" s="25">
        <f t="array" ref="D1589">INDEX(C$5:C$67,MATCH($B1589,$B$5:$B$67,0))</f>
        <v>2660</v>
      </c>
      <c r="E1589" s="25">
        <f t="array" ref="E1589">INDEX(D$5:D$67,MATCH($B1589,$B$5:$B$67,0))</f>
        <v>212.8</v>
      </c>
      <c r="F1589" s="25">
        <f t="array" ref="F1589">INDEX(E$5:E$67,MATCH($B1589,$B$5:$B$67,0))</f>
        <v>1008</v>
      </c>
      <c r="G1589" s="25">
        <f t="array" ref="G1589">INDEX(F$5:F$67,MATCH($B1589,$B$5:$B$67,0))</f>
        <v>80.64</v>
      </c>
      <c r="H1589" s="25">
        <f t="array" ref="H1589">INDEX(G$5:G$66,MATCH($B1589,$B$5:$B$67,0))</f>
        <v>1260</v>
      </c>
      <c r="I1589" s="25">
        <f t="array" ref="I1589">INDEX(H$5:H$67,MATCH($B1589,$B$5:$B$67,0))</f>
        <v>100.8</v>
      </c>
      <c r="J1589" s="25">
        <f t="array" ref="J1589">INDEX(I$5:I$67,MATCH($B1589,$B$5:$B$67,0))</f>
        <v>700</v>
      </c>
      <c r="K1589" s="25">
        <f t="array" ref="K1589">INDEX(J$5:J$67,MATCH($B1589,$B$5:$B$67,0))</f>
        <v>56</v>
      </c>
      <c r="L1589" s="25">
        <f t="shared" si="674"/>
        <v>5001</v>
      </c>
      <c r="M1589" s="25">
        <f t="shared" si="675"/>
        <v>1895</v>
      </c>
      <c r="N1589" s="25">
        <f t="shared" si="676"/>
        <v>2369</v>
      </c>
      <c r="O1589" s="25">
        <f t="shared" si="677"/>
        <v>1316</v>
      </c>
    </row>
    <row r="1590" ht="17.25" customHeight="1" spans="1:15">
      <c r="A1590" s="55">
        <v>1036012</v>
      </c>
      <c r="B1590" s="7" t="s">
        <v>364</v>
      </c>
      <c r="C1590" s="25">
        <f t="shared" si="673"/>
        <v>12</v>
      </c>
      <c r="D1590" s="25">
        <f t="array" ref="D1590">INDEX(C$5:C$67,MATCH($B1590,$B$5:$B$67,0))</f>
        <v>2660</v>
      </c>
      <c r="E1590" s="25">
        <f t="array" ref="E1590">INDEX(D$5:D$67,MATCH($B1590,$B$5:$B$67,0))</f>
        <v>212.8</v>
      </c>
      <c r="F1590" s="25">
        <f t="array" ref="F1590">INDEX(E$5:E$67,MATCH($B1590,$B$5:$B$67,0))</f>
        <v>1008</v>
      </c>
      <c r="G1590" s="25">
        <f t="array" ref="G1590">INDEX(F$5:F$67,MATCH($B1590,$B$5:$B$67,0))</f>
        <v>80.64</v>
      </c>
      <c r="H1590" s="25">
        <f t="array" ref="H1590">INDEX(G$5:G$66,MATCH($B1590,$B$5:$B$67,0))</f>
        <v>1260</v>
      </c>
      <c r="I1590" s="25">
        <f t="array" ref="I1590">INDEX(H$5:H$67,MATCH($B1590,$B$5:$B$67,0))</f>
        <v>100.8</v>
      </c>
      <c r="J1590" s="25">
        <f t="array" ref="J1590">INDEX(I$5:I$67,MATCH($B1590,$B$5:$B$67,0))</f>
        <v>700</v>
      </c>
      <c r="K1590" s="25">
        <f t="array" ref="K1590">INDEX(J$5:J$67,MATCH($B1590,$B$5:$B$67,0))</f>
        <v>56</v>
      </c>
      <c r="L1590" s="25">
        <f t="shared" si="674"/>
        <v>5214</v>
      </c>
      <c r="M1590" s="25">
        <f t="shared" si="675"/>
        <v>1976</v>
      </c>
      <c r="N1590" s="25">
        <f t="shared" si="676"/>
        <v>2470</v>
      </c>
      <c r="O1590" s="25">
        <f t="shared" si="677"/>
        <v>1372</v>
      </c>
    </row>
    <row r="1591" ht="17.25" customHeight="1" spans="1:15">
      <c r="A1591" s="55">
        <v>1036013</v>
      </c>
      <c r="B1591" s="7" t="s">
        <v>364</v>
      </c>
      <c r="C1591" s="25">
        <f t="shared" si="673"/>
        <v>13</v>
      </c>
      <c r="D1591" s="25">
        <f t="array" ref="D1591">INDEX(C$5:C$67,MATCH($B1591,$B$5:$B$67,0))</f>
        <v>2660</v>
      </c>
      <c r="E1591" s="25">
        <f t="array" ref="E1591">INDEX(D$5:D$67,MATCH($B1591,$B$5:$B$67,0))</f>
        <v>212.8</v>
      </c>
      <c r="F1591" s="25">
        <f t="array" ref="F1591">INDEX(E$5:E$67,MATCH($B1591,$B$5:$B$67,0))</f>
        <v>1008</v>
      </c>
      <c r="G1591" s="25">
        <f t="array" ref="G1591">INDEX(F$5:F$67,MATCH($B1591,$B$5:$B$67,0))</f>
        <v>80.64</v>
      </c>
      <c r="H1591" s="25">
        <f t="array" ref="H1591">INDEX(G$5:G$66,MATCH($B1591,$B$5:$B$67,0))</f>
        <v>1260</v>
      </c>
      <c r="I1591" s="25">
        <f t="array" ref="I1591">INDEX(H$5:H$67,MATCH($B1591,$B$5:$B$67,0))</f>
        <v>100.8</v>
      </c>
      <c r="J1591" s="25">
        <f t="array" ref="J1591">INDEX(I$5:I$67,MATCH($B1591,$B$5:$B$67,0))</f>
        <v>700</v>
      </c>
      <c r="K1591" s="25">
        <f t="array" ref="K1591">INDEX(J$5:J$67,MATCH($B1591,$B$5:$B$67,0))</f>
        <v>56</v>
      </c>
      <c r="L1591" s="25">
        <f t="shared" si="674"/>
        <v>5426</v>
      </c>
      <c r="M1591" s="25">
        <f t="shared" si="675"/>
        <v>2056</v>
      </c>
      <c r="N1591" s="25">
        <f t="shared" si="676"/>
        <v>2570</v>
      </c>
      <c r="O1591" s="25">
        <f t="shared" si="677"/>
        <v>1428</v>
      </c>
    </row>
    <row r="1592" ht="17.25" customHeight="1" spans="1:15">
      <c r="A1592" s="55">
        <v>1036014</v>
      </c>
      <c r="B1592" s="7" t="s">
        <v>364</v>
      </c>
      <c r="C1592" s="25">
        <f t="shared" si="673"/>
        <v>14</v>
      </c>
      <c r="D1592" s="25">
        <f t="array" ref="D1592">INDEX(C$5:C$67,MATCH($B1592,$B$5:$B$67,0))</f>
        <v>2660</v>
      </c>
      <c r="E1592" s="25">
        <f t="array" ref="E1592">INDEX(D$5:D$67,MATCH($B1592,$B$5:$B$67,0))</f>
        <v>212.8</v>
      </c>
      <c r="F1592" s="25">
        <f t="array" ref="F1592">INDEX(E$5:E$67,MATCH($B1592,$B$5:$B$67,0))</f>
        <v>1008</v>
      </c>
      <c r="G1592" s="25">
        <f t="array" ref="G1592">INDEX(F$5:F$67,MATCH($B1592,$B$5:$B$67,0))</f>
        <v>80.64</v>
      </c>
      <c r="H1592" s="25">
        <f t="array" ref="H1592">INDEX(G$5:G$66,MATCH($B1592,$B$5:$B$67,0))</f>
        <v>1260</v>
      </c>
      <c r="I1592" s="25">
        <f t="array" ref="I1592">INDEX(H$5:H$67,MATCH($B1592,$B$5:$B$67,0))</f>
        <v>100.8</v>
      </c>
      <c r="J1592" s="25">
        <f t="array" ref="J1592">INDEX(I$5:I$67,MATCH($B1592,$B$5:$B$67,0))</f>
        <v>700</v>
      </c>
      <c r="K1592" s="25">
        <f t="array" ref="K1592">INDEX(J$5:J$67,MATCH($B1592,$B$5:$B$67,0))</f>
        <v>56</v>
      </c>
      <c r="L1592" s="25">
        <f t="shared" si="674"/>
        <v>5639</v>
      </c>
      <c r="M1592" s="25">
        <f t="shared" si="675"/>
        <v>2137</v>
      </c>
      <c r="N1592" s="25">
        <f t="shared" si="676"/>
        <v>2671</v>
      </c>
      <c r="O1592" s="25">
        <f t="shared" si="677"/>
        <v>1484</v>
      </c>
    </row>
    <row r="1593" ht="17.25" customHeight="1" spans="1:15">
      <c r="A1593" s="55">
        <v>1036015</v>
      </c>
      <c r="B1593" s="7" t="s">
        <v>364</v>
      </c>
      <c r="C1593" s="25">
        <f t="shared" si="673"/>
        <v>15</v>
      </c>
      <c r="D1593" s="25">
        <f t="array" ref="D1593">INDEX(C$5:C$67,MATCH($B1593,$B$5:$B$67,0))</f>
        <v>2660</v>
      </c>
      <c r="E1593" s="25">
        <f t="array" ref="E1593">INDEX(D$5:D$67,MATCH($B1593,$B$5:$B$67,0))</f>
        <v>212.8</v>
      </c>
      <c r="F1593" s="25">
        <f t="array" ref="F1593">INDEX(E$5:E$67,MATCH($B1593,$B$5:$B$67,0))</f>
        <v>1008</v>
      </c>
      <c r="G1593" s="25">
        <f t="array" ref="G1593">INDEX(F$5:F$67,MATCH($B1593,$B$5:$B$67,0))</f>
        <v>80.64</v>
      </c>
      <c r="H1593" s="25">
        <f t="array" ref="H1593">INDEX(G$5:G$66,MATCH($B1593,$B$5:$B$67,0))</f>
        <v>1260</v>
      </c>
      <c r="I1593" s="25">
        <f t="array" ref="I1593">INDEX(H$5:H$67,MATCH($B1593,$B$5:$B$67,0))</f>
        <v>100.8</v>
      </c>
      <c r="J1593" s="25">
        <f t="array" ref="J1593">INDEX(I$5:I$67,MATCH($B1593,$B$5:$B$67,0))</f>
        <v>700</v>
      </c>
      <c r="K1593" s="25">
        <f t="array" ref="K1593">INDEX(J$5:J$67,MATCH($B1593,$B$5:$B$67,0))</f>
        <v>56</v>
      </c>
      <c r="L1593" s="25">
        <f t="shared" si="674"/>
        <v>5852</v>
      </c>
      <c r="M1593" s="25">
        <f t="shared" si="675"/>
        <v>2218</v>
      </c>
      <c r="N1593" s="25">
        <f t="shared" si="676"/>
        <v>2772</v>
      </c>
      <c r="O1593" s="25">
        <f t="shared" si="677"/>
        <v>1540</v>
      </c>
    </row>
    <row r="1594" ht="17.25" customHeight="1" spans="1:15">
      <c r="A1594" s="55">
        <v>1036016</v>
      </c>
      <c r="B1594" s="7" t="s">
        <v>364</v>
      </c>
      <c r="C1594" s="25">
        <f t="shared" si="673"/>
        <v>16</v>
      </c>
      <c r="D1594" s="25">
        <f t="array" ref="D1594">INDEX(C$5:C$67,MATCH($B1594,$B$5:$B$67,0))</f>
        <v>2660</v>
      </c>
      <c r="E1594" s="25">
        <f t="array" ref="E1594">INDEX(D$5:D$67,MATCH($B1594,$B$5:$B$67,0))</f>
        <v>212.8</v>
      </c>
      <c r="F1594" s="25">
        <f t="array" ref="F1594">INDEX(E$5:E$67,MATCH($B1594,$B$5:$B$67,0))</f>
        <v>1008</v>
      </c>
      <c r="G1594" s="25">
        <f t="array" ref="G1594">INDEX(F$5:F$67,MATCH($B1594,$B$5:$B$67,0))</f>
        <v>80.64</v>
      </c>
      <c r="H1594" s="25">
        <f t="array" ref="H1594">INDEX(G$5:G$66,MATCH($B1594,$B$5:$B$67,0))</f>
        <v>1260</v>
      </c>
      <c r="I1594" s="25">
        <f t="array" ref="I1594">INDEX(H$5:H$67,MATCH($B1594,$B$5:$B$67,0))</f>
        <v>100.8</v>
      </c>
      <c r="J1594" s="25">
        <f t="array" ref="J1594">INDEX(I$5:I$67,MATCH($B1594,$B$5:$B$67,0))</f>
        <v>700</v>
      </c>
      <c r="K1594" s="25">
        <f t="array" ref="K1594">INDEX(J$5:J$67,MATCH($B1594,$B$5:$B$67,0))</f>
        <v>56</v>
      </c>
      <c r="L1594" s="25">
        <f t="shared" si="674"/>
        <v>6065</v>
      </c>
      <c r="M1594" s="25">
        <f t="shared" si="675"/>
        <v>2298</v>
      </c>
      <c r="N1594" s="25">
        <f t="shared" si="676"/>
        <v>2873</v>
      </c>
      <c r="O1594" s="25">
        <f t="shared" si="677"/>
        <v>1596</v>
      </c>
    </row>
    <row r="1595" ht="17.25" customHeight="1" spans="1:15">
      <c r="A1595" s="55">
        <v>1036017</v>
      </c>
      <c r="B1595" s="7" t="s">
        <v>364</v>
      </c>
      <c r="C1595" s="25">
        <f t="shared" si="673"/>
        <v>17</v>
      </c>
      <c r="D1595" s="25">
        <f t="array" ref="D1595">INDEX(C$5:C$67,MATCH($B1595,$B$5:$B$67,0))</f>
        <v>2660</v>
      </c>
      <c r="E1595" s="25">
        <f t="array" ref="E1595">INDEX(D$5:D$67,MATCH($B1595,$B$5:$B$67,0))</f>
        <v>212.8</v>
      </c>
      <c r="F1595" s="25">
        <f t="array" ref="F1595">INDEX(E$5:E$67,MATCH($B1595,$B$5:$B$67,0))</f>
        <v>1008</v>
      </c>
      <c r="G1595" s="25">
        <f t="array" ref="G1595">INDEX(F$5:F$67,MATCH($B1595,$B$5:$B$67,0))</f>
        <v>80.64</v>
      </c>
      <c r="H1595" s="25">
        <f t="array" ref="H1595">INDEX(G$5:G$66,MATCH($B1595,$B$5:$B$67,0))</f>
        <v>1260</v>
      </c>
      <c r="I1595" s="25">
        <f t="array" ref="I1595">INDEX(H$5:H$67,MATCH($B1595,$B$5:$B$67,0))</f>
        <v>100.8</v>
      </c>
      <c r="J1595" s="25">
        <f t="array" ref="J1595">INDEX(I$5:I$67,MATCH($B1595,$B$5:$B$67,0))</f>
        <v>700</v>
      </c>
      <c r="K1595" s="25">
        <f t="array" ref="K1595">INDEX(J$5:J$67,MATCH($B1595,$B$5:$B$67,0))</f>
        <v>56</v>
      </c>
      <c r="L1595" s="25">
        <f t="shared" si="674"/>
        <v>6278</v>
      </c>
      <c r="M1595" s="25">
        <f t="shared" si="675"/>
        <v>2379</v>
      </c>
      <c r="N1595" s="25">
        <f t="shared" si="676"/>
        <v>2974</v>
      </c>
      <c r="O1595" s="25">
        <f t="shared" si="677"/>
        <v>1652</v>
      </c>
    </row>
    <row r="1596" ht="17.25" customHeight="1" spans="1:15">
      <c r="A1596" s="55">
        <v>1036018</v>
      </c>
      <c r="B1596" s="7" t="s">
        <v>364</v>
      </c>
      <c r="C1596" s="25">
        <f t="shared" si="673"/>
        <v>18</v>
      </c>
      <c r="D1596" s="25">
        <f t="array" ref="D1596">INDEX(C$5:C$67,MATCH($B1596,$B$5:$B$67,0))</f>
        <v>2660</v>
      </c>
      <c r="E1596" s="25">
        <f t="array" ref="E1596">INDEX(D$5:D$67,MATCH($B1596,$B$5:$B$67,0))</f>
        <v>212.8</v>
      </c>
      <c r="F1596" s="25">
        <f t="array" ref="F1596">INDEX(E$5:E$67,MATCH($B1596,$B$5:$B$67,0))</f>
        <v>1008</v>
      </c>
      <c r="G1596" s="25">
        <f t="array" ref="G1596">INDEX(F$5:F$67,MATCH($B1596,$B$5:$B$67,0))</f>
        <v>80.64</v>
      </c>
      <c r="H1596" s="25">
        <f t="array" ref="H1596">INDEX(G$5:G$66,MATCH($B1596,$B$5:$B$67,0))</f>
        <v>1260</v>
      </c>
      <c r="I1596" s="25">
        <f t="array" ref="I1596">INDEX(H$5:H$67,MATCH($B1596,$B$5:$B$67,0))</f>
        <v>100.8</v>
      </c>
      <c r="J1596" s="25">
        <f t="array" ref="J1596">INDEX(I$5:I$67,MATCH($B1596,$B$5:$B$67,0))</f>
        <v>700</v>
      </c>
      <c r="K1596" s="25">
        <f t="array" ref="K1596">INDEX(J$5:J$67,MATCH($B1596,$B$5:$B$67,0))</f>
        <v>56</v>
      </c>
      <c r="L1596" s="25">
        <f t="shared" si="674"/>
        <v>6490</v>
      </c>
      <c r="M1596" s="25">
        <f t="shared" si="675"/>
        <v>2460</v>
      </c>
      <c r="N1596" s="25">
        <f t="shared" si="676"/>
        <v>3074</v>
      </c>
      <c r="O1596" s="25">
        <f t="shared" si="677"/>
        <v>1708</v>
      </c>
    </row>
    <row r="1597" ht="17.25" customHeight="1" spans="1:15">
      <c r="A1597" s="55">
        <v>1036019</v>
      </c>
      <c r="B1597" s="7" t="s">
        <v>364</v>
      </c>
      <c r="C1597" s="25">
        <f t="shared" si="673"/>
        <v>19</v>
      </c>
      <c r="D1597" s="25">
        <f t="array" ref="D1597">INDEX(C$5:C$67,MATCH($B1597,$B$5:$B$67,0))</f>
        <v>2660</v>
      </c>
      <c r="E1597" s="25">
        <f t="array" ref="E1597">INDEX(D$5:D$67,MATCH($B1597,$B$5:$B$67,0))</f>
        <v>212.8</v>
      </c>
      <c r="F1597" s="25">
        <f t="array" ref="F1597">INDEX(E$5:E$67,MATCH($B1597,$B$5:$B$67,0))</f>
        <v>1008</v>
      </c>
      <c r="G1597" s="25">
        <f t="array" ref="G1597">INDEX(F$5:F$67,MATCH($B1597,$B$5:$B$67,0))</f>
        <v>80.64</v>
      </c>
      <c r="H1597" s="25">
        <f t="array" ref="H1597">INDEX(G$5:G$66,MATCH($B1597,$B$5:$B$67,0))</f>
        <v>1260</v>
      </c>
      <c r="I1597" s="25">
        <f t="array" ref="I1597">INDEX(H$5:H$67,MATCH($B1597,$B$5:$B$67,0))</f>
        <v>100.8</v>
      </c>
      <c r="J1597" s="25">
        <f t="array" ref="J1597">INDEX(I$5:I$67,MATCH($B1597,$B$5:$B$67,0))</f>
        <v>700</v>
      </c>
      <c r="K1597" s="25">
        <f t="array" ref="K1597">INDEX(J$5:J$67,MATCH($B1597,$B$5:$B$67,0))</f>
        <v>56</v>
      </c>
      <c r="L1597" s="25">
        <f t="shared" si="674"/>
        <v>6703</v>
      </c>
      <c r="M1597" s="25">
        <f t="shared" si="675"/>
        <v>2540</v>
      </c>
      <c r="N1597" s="25">
        <f t="shared" si="676"/>
        <v>3175</v>
      </c>
      <c r="O1597" s="25">
        <f t="shared" si="677"/>
        <v>1764</v>
      </c>
    </row>
    <row r="1598" ht="17.25" customHeight="1" spans="1:15">
      <c r="A1598" s="55">
        <v>1036020</v>
      </c>
      <c r="B1598" s="7" t="s">
        <v>364</v>
      </c>
      <c r="C1598" s="25">
        <f t="shared" si="673"/>
        <v>20</v>
      </c>
      <c r="D1598" s="25">
        <f t="array" ref="D1598">INDEX(C$5:C$67,MATCH($B1598,$B$5:$B$67,0))</f>
        <v>2660</v>
      </c>
      <c r="E1598" s="25">
        <f t="array" ref="E1598">INDEX(D$5:D$67,MATCH($B1598,$B$5:$B$67,0))</f>
        <v>212.8</v>
      </c>
      <c r="F1598" s="25">
        <f t="array" ref="F1598">INDEX(E$5:E$67,MATCH($B1598,$B$5:$B$67,0))</f>
        <v>1008</v>
      </c>
      <c r="G1598" s="25">
        <f t="array" ref="G1598">INDEX(F$5:F$67,MATCH($B1598,$B$5:$B$67,0))</f>
        <v>80.64</v>
      </c>
      <c r="H1598" s="25">
        <f t="array" ref="H1598">INDEX(G$5:G$66,MATCH($B1598,$B$5:$B$67,0))</f>
        <v>1260</v>
      </c>
      <c r="I1598" s="25">
        <f t="array" ref="I1598">INDEX(H$5:H$67,MATCH($B1598,$B$5:$B$67,0))</f>
        <v>100.8</v>
      </c>
      <c r="J1598" s="25">
        <f t="array" ref="J1598">INDEX(I$5:I$67,MATCH($B1598,$B$5:$B$67,0))</f>
        <v>700</v>
      </c>
      <c r="K1598" s="25">
        <f t="array" ref="K1598">INDEX(J$5:J$67,MATCH($B1598,$B$5:$B$67,0))</f>
        <v>56</v>
      </c>
      <c r="L1598" s="25">
        <f t="shared" si="674"/>
        <v>6916</v>
      </c>
      <c r="M1598" s="25">
        <f t="shared" si="675"/>
        <v>2621</v>
      </c>
      <c r="N1598" s="25">
        <f t="shared" si="676"/>
        <v>3276</v>
      </c>
      <c r="O1598" s="25">
        <f t="shared" si="677"/>
        <v>1820</v>
      </c>
    </row>
    <row r="1599" ht="17.25" customHeight="1" spans="1:15">
      <c r="A1599" s="55">
        <v>1036021</v>
      </c>
      <c r="B1599" s="7" t="s">
        <v>364</v>
      </c>
      <c r="C1599" s="25">
        <f t="shared" si="673"/>
        <v>21</v>
      </c>
      <c r="D1599" s="25">
        <f t="array" ref="D1599">INDEX(C$5:C$67,MATCH($B1599,$B$5:$B$67,0))</f>
        <v>2660</v>
      </c>
      <c r="E1599" s="25">
        <f t="array" ref="E1599">INDEX(D$5:D$67,MATCH($B1599,$B$5:$B$67,0))</f>
        <v>212.8</v>
      </c>
      <c r="F1599" s="25">
        <f t="array" ref="F1599">INDEX(E$5:E$67,MATCH($B1599,$B$5:$B$67,0))</f>
        <v>1008</v>
      </c>
      <c r="G1599" s="25">
        <f t="array" ref="G1599">INDEX(F$5:F$67,MATCH($B1599,$B$5:$B$67,0))</f>
        <v>80.64</v>
      </c>
      <c r="H1599" s="25">
        <f t="array" ref="H1599">INDEX(G$5:G$66,MATCH($B1599,$B$5:$B$67,0))</f>
        <v>1260</v>
      </c>
      <c r="I1599" s="25">
        <f t="array" ref="I1599">INDEX(H$5:H$67,MATCH($B1599,$B$5:$B$67,0))</f>
        <v>100.8</v>
      </c>
      <c r="J1599" s="25">
        <f t="array" ref="J1599">INDEX(I$5:I$67,MATCH($B1599,$B$5:$B$67,0))</f>
        <v>700</v>
      </c>
      <c r="K1599" s="25">
        <f t="array" ref="K1599">INDEX(J$5:J$67,MATCH($B1599,$B$5:$B$67,0))</f>
        <v>56</v>
      </c>
      <c r="L1599" s="25">
        <f t="shared" si="674"/>
        <v>7129</v>
      </c>
      <c r="M1599" s="25">
        <f t="shared" si="675"/>
        <v>2701</v>
      </c>
      <c r="N1599" s="25">
        <f t="shared" si="676"/>
        <v>3377</v>
      </c>
      <c r="O1599" s="25">
        <f t="shared" si="677"/>
        <v>1876</v>
      </c>
    </row>
    <row r="1600" ht="17.25" customHeight="1" spans="1:15">
      <c r="A1600" s="55">
        <v>1036022</v>
      </c>
      <c r="B1600" s="7" t="s">
        <v>364</v>
      </c>
      <c r="C1600" s="25">
        <f t="shared" si="673"/>
        <v>22</v>
      </c>
      <c r="D1600" s="25">
        <f t="array" ref="D1600">INDEX(C$5:C$67,MATCH($B1600,$B$5:$B$67,0))</f>
        <v>2660</v>
      </c>
      <c r="E1600" s="25">
        <f t="array" ref="E1600">INDEX(D$5:D$67,MATCH($B1600,$B$5:$B$67,0))</f>
        <v>212.8</v>
      </c>
      <c r="F1600" s="25">
        <f t="array" ref="F1600">INDEX(E$5:E$67,MATCH($B1600,$B$5:$B$67,0))</f>
        <v>1008</v>
      </c>
      <c r="G1600" s="25">
        <f t="array" ref="G1600">INDEX(F$5:F$67,MATCH($B1600,$B$5:$B$67,0))</f>
        <v>80.64</v>
      </c>
      <c r="H1600" s="25">
        <f t="array" ref="H1600">INDEX(G$5:G$66,MATCH($B1600,$B$5:$B$67,0))</f>
        <v>1260</v>
      </c>
      <c r="I1600" s="25">
        <f t="array" ref="I1600">INDEX(H$5:H$67,MATCH($B1600,$B$5:$B$67,0))</f>
        <v>100.8</v>
      </c>
      <c r="J1600" s="25">
        <f t="array" ref="J1600">INDEX(I$5:I$67,MATCH($B1600,$B$5:$B$67,0))</f>
        <v>700</v>
      </c>
      <c r="K1600" s="25">
        <f t="array" ref="K1600">INDEX(J$5:J$67,MATCH($B1600,$B$5:$B$67,0))</f>
        <v>56</v>
      </c>
      <c r="L1600" s="25">
        <f t="shared" si="674"/>
        <v>7342</v>
      </c>
      <c r="M1600" s="25">
        <f t="shared" si="675"/>
        <v>2782</v>
      </c>
      <c r="N1600" s="25">
        <f t="shared" si="676"/>
        <v>3478</v>
      </c>
      <c r="O1600" s="25">
        <f t="shared" si="677"/>
        <v>1932</v>
      </c>
    </row>
    <row r="1601" ht="17.25" customHeight="1" spans="1:15">
      <c r="A1601" s="55">
        <v>1036023</v>
      </c>
      <c r="B1601" s="7" t="s">
        <v>364</v>
      </c>
      <c r="C1601" s="25">
        <f t="shared" si="673"/>
        <v>23</v>
      </c>
      <c r="D1601" s="25">
        <f t="array" ref="D1601">INDEX(C$5:C$67,MATCH($B1601,$B$5:$B$67,0))</f>
        <v>2660</v>
      </c>
      <c r="E1601" s="25">
        <f t="array" ref="E1601">INDEX(D$5:D$67,MATCH($B1601,$B$5:$B$67,0))</f>
        <v>212.8</v>
      </c>
      <c r="F1601" s="25">
        <f t="array" ref="F1601">INDEX(E$5:E$67,MATCH($B1601,$B$5:$B$67,0))</f>
        <v>1008</v>
      </c>
      <c r="G1601" s="25">
        <f t="array" ref="G1601">INDEX(F$5:F$67,MATCH($B1601,$B$5:$B$67,0))</f>
        <v>80.64</v>
      </c>
      <c r="H1601" s="25">
        <f t="array" ref="H1601">INDEX(G$5:G$66,MATCH($B1601,$B$5:$B$67,0))</f>
        <v>1260</v>
      </c>
      <c r="I1601" s="25">
        <f t="array" ref="I1601">INDEX(H$5:H$67,MATCH($B1601,$B$5:$B$67,0))</f>
        <v>100.8</v>
      </c>
      <c r="J1601" s="25">
        <f t="array" ref="J1601">INDEX(I$5:I$67,MATCH($B1601,$B$5:$B$67,0))</f>
        <v>700</v>
      </c>
      <c r="K1601" s="25">
        <f t="array" ref="K1601">INDEX(J$5:J$67,MATCH($B1601,$B$5:$B$67,0))</f>
        <v>56</v>
      </c>
      <c r="L1601" s="25">
        <f t="shared" si="674"/>
        <v>7554</v>
      </c>
      <c r="M1601" s="25">
        <f t="shared" si="675"/>
        <v>2863</v>
      </c>
      <c r="N1601" s="25">
        <f t="shared" si="676"/>
        <v>3578</v>
      </c>
      <c r="O1601" s="25">
        <f t="shared" si="677"/>
        <v>1988</v>
      </c>
    </row>
    <row r="1602" ht="17.25" customHeight="1" spans="1:15">
      <c r="A1602" s="55">
        <v>1036024</v>
      </c>
      <c r="B1602" s="7" t="s">
        <v>364</v>
      </c>
      <c r="C1602" s="25">
        <f t="shared" si="673"/>
        <v>24</v>
      </c>
      <c r="D1602" s="25">
        <f t="array" ref="D1602">INDEX(C$5:C$67,MATCH($B1602,$B$5:$B$67,0))</f>
        <v>2660</v>
      </c>
      <c r="E1602" s="25">
        <f t="array" ref="E1602">INDEX(D$5:D$67,MATCH($B1602,$B$5:$B$67,0))</f>
        <v>212.8</v>
      </c>
      <c r="F1602" s="25">
        <f t="array" ref="F1602">INDEX(E$5:E$67,MATCH($B1602,$B$5:$B$67,0))</f>
        <v>1008</v>
      </c>
      <c r="G1602" s="25">
        <f t="array" ref="G1602">INDEX(F$5:F$67,MATCH($B1602,$B$5:$B$67,0))</f>
        <v>80.64</v>
      </c>
      <c r="H1602" s="25">
        <f t="array" ref="H1602">INDEX(G$5:G$66,MATCH($B1602,$B$5:$B$67,0))</f>
        <v>1260</v>
      </c>
      <c r="I1602" s="25">
        <f t="array" ref="I1602">INDEX(H$5:H$67,MATCH($B1602,$B$5:$B$67,0))</f>
        <v>100.8</v>
      </c>
      <c r="J1602" s="25">
        <f t="array" ref="J1602">INDEX(I$5:I$67,MATCH($B1602,$B$5:$B$67,0))</f>
        <v>700</v>
      </c>
      <c r="K1602" s="25">
        <f t="array" ref="K1602">INDEX(J$5:J$67,MATCH($B1602,$B$5:$B$67,0))</f>
        <v>56</v>
      </c>
      <c r="L1602" s="25">
        <f t="shared" si="674"/>
        <v>7767</v>
      </c>
      <c r="M1602" s="25">
        <f t="shared" si="675"/>
        <v>2943</v>
      </c>
      <c r="N1602" s="25">
        <f t="shared" si="676"/>
        <v>3679</v>
      </c>
      <c r="O1602" s="25">
        <f t="shared" si="677"/>
        <v>2044</v>
      </c>
    </row>
    <row r="1603" ht="17.25" customHeight="1" spans="1:15">
      <c r="A1603" s="55">
        <v>1036025</v>
      </c>
      <c r="B1603" s="7" t="s">
        <v>364</v>
      </c>
      <c r="C1603" s="25">
        <f t="shared" si="673"/>
        <v>25</v>
      </c>
      <c r="D1603" s="25">
        <f t="array" ref="D1603">INDEX(C$5:C$67,MATCH($B1603,$B$5:$B$67,0))</f>
        <v>2660</v>
      </c>
      <c r="E1603" s="25">
        <f t="array" ref="E1603">INDEX(D$5:D$67,MATCH($B1603,$B$5:$B$67,0))</f>
        <v>212.8</v>
      </c>
      <c r="F1603" s="25">
        <f t="array" ref="F1603">INDEX(E$5:E$67,MATCH($B1603,$B$5:$B$67,0))</f>
        <v>1008</v>
      </c>
      <c r="G1603" s="25">
        <f t="array" ref="G1603">INDEX(F$5:F$67,MATCH($B1603,$B$5:$B$67,0))</f>
        <v>80.64</v>
      </c>
      <c r="H1603" s="25">
        <f t="array" ref="H1603">INDEX(G$5:G$66,MATCH($B1603,$B$5:$B$67,0))</f>
        <v>1260</v>
      </c>
      <c r="I1603" s="25">
        <f t="array" ref="I1603">INDEX(H$5:H$67,MATCH($B1603,$B$5:$B$67,0))</f>
        <v>100.8</v>
      </c>
      <c r="J1603" s="25">
        <f t="array" ref="J1603">INDEX(I$5:I$67,MATCH($B1603,$B$5:$B$67,0))</f>
        <v>700</v>
      </c>
      <c r="K1603" s="25">
        <f t="array" ref="K1603">INDEX(J$5:J$67,MATCH($B1603,$B$5:$B$67,0))</f>
        <v>56</v>
      </c>
      <c r="L1603" s="25">
        <f t="shared" si="674"/>
        <v>7980</v>
      </c>
      <c r="M1603" s="25">
        <f t="shared" si="675"/>
        <v>3024</v>
      </c>
      <c r="N1603" s="25">
        <f t="shared" si="676"/>
        <v>3780</v>
      </c>
      <c r="O1603" s="25">
        <f t="shared" si="677"/>
        <v>2100</v>
      </c>
    </row>
    <row r="1604" ht="17.25" customHeight="1" spans="1:15">
      <c r="A1604" s="55">
        <v>1036026</v>
      </c>
      <c r="B1604" s="7" t="s">
        <v>364</v>
      </c>
      <c r="C1604" s="25">
        <f t="shared" si="673"/>
        <v>26</v>
      </c>
      <c r="D1604" s="25">
        <f t="array" ref="D1604">INDEX(C$5:C$67,MATCH($B1604,$B$5:$B$67,0))</f>
        <v>2660</v>
      </c>
      <c r="E1604" s="25">
        <f t="array" ref="E1604">INDEX(D$5:D$67,MATCH($B1604,$B$5:$B$67,0))</f>
        <v>212.8</v>
      </c>
      <c r="F1604" s="25">
        <f t="array" ref="F1604">INDEX(E$5:E$67,MATCH($B1604,$B$5:$B$67,0))</f>
        <v>1008</v>
      </c>
      <c r="G1604" s="25">
        <f t="array" ref="G1604">INDEX(F$5:F$67,MATCH($B1604,$B$5:$B$67,0))</f>
        <v>80.64</v>
      </c>
      <c r="H1604" s="25">
        <f t="array" ref="H1604">INDEX(G$5:G$66,MATCH($B1604,$B$5:$B$67,0))</f>
        <v>1260</v>
      </c>
      <c r="I1604" s="25">
        <f t="array" ref="I1604">INDEX(H$5:H$67,MATCH($B1604,$B$5:$B$67,0))</f>
        <v>100.8</v>
      </c>
      <c r="J1604" s="25">
        <f t="array" ref="J1604">INDEX(I$5:I$67,MATCH($B1604,$B$5:$B$67,0))</f>
        <v>700</v>
      </c>
      <c r="K1604" s="25">
        <f t="array" ref="K1604">INDEX(J$5:J$67,MATCH($B1604,$B$5:$B$67,0))</f>
        <v>56</v>
      </c>
      <c r="L1604" s="25">
        <f t="shared" si="674"/>
        <v>8193</v>
      </c>
      <c r="M1604" s="25">
        <f t="shared" si="675"/>
        <v>3105</v>
      </c>
      <c r="N1604" s="25">
        <f t="shared" si="676"/>
        <v>3881</v>
      </c>
      <c r="O1604" s="25">
        <f t="shared" si="677"/>
        <v>2156</v>
      </c>
    </row>
    <row r="1605" ht="17.25" customHeight="1" spans="1:15">
      <c r="A1605" s="55">
        <v>1036027</v>
      </c>
      <c r="B1605" s="7" t="s">
        <v>364</v>
      </c>
      <c r="C1605" s="25">
        <f t="shared" si="673"/>
        <v>27</v>
      </c>
      <c r="D1605" s="25">
        <f t="array" ref="D1605">INDEX(C$5:C$67,MATCH($B1605,$B$5:$B$67,0))</f>
        <v>2660</v>
      </c>
      <c r="E1605" s="25">
        <f t="array" ref="E1605">INDEX(D$5:D$67,MATCH($B1605,$B$5:$B$67,0))</f>
        <v>212.8</v>
      </c>
      <c r="F1605" s="25">
        <f t="array" ref="F1605">INDEX(E$5:E$67,MATCH($B1605,$B$5:$B$67,0))</f>
        <v>1008</v>
      </c>
      <c r="G1605" s="25">
        <f t="array" ref="G1605">INDEX(F$5:F$67,MATCH($B1605,$B$5:$B$67,0))</f>
        <v>80.64</v>
      </c>
      <c r="H1605" s="25">
        <f t="array" ref="H1605">INDEX(G$5:G$66,MATCH($B1605,$B$5:$B$67,0))</f>
        <v>1260</v>
      </c>
      <c r="I1605" s="25">
        <f t="array" ref="I1605">INDEX(H$5:H$67,MATCH($B1605,$B$5:$B$67,0))</f>
        <v>100.8</v>
      </c>
      <c r="J1605" s="25">
        <f t="array" ref="J1605">INDEX(I$5:I$67,MATCH($B1605,$B$5:$B$67,0))</f>
        <v>700</v>
      </c>
      <c r="K1605" s="25">
        <f t="array" ref="K1605">INDEX(J$5:J$67,MATCH($B1605,$B$5:$B$67,0))</f>
        <v>56</v>
      </c>
      <c r="L1605" s="25">
        <f t="shared" si="674"/>
        <v>8406</v>
      </c>
      <c r="M1605" s="25">
        <f t="shared" si="675"/>
        <v>3185</v>
      </c>
      <c r="N1605" s="25">
        <f t="shared" si="676"/>
        <v>3982</v>
      </c>
      <c r="O1605" s="25">
        <f t="shared" si="677"/>
        <v>2212</v>
      </c>
    </row>
    <row r="1606" ht="17.25" customHeight="1" spans="1:15">
      <c r="A1606" s="55">
        <v>1036028</v>
      </c>
      <c r="B1606" s="7" t="s">
        <v>364</v>
      </c>
      <c r="C1606" s="25">
        <f t="shared" si="673"/>
        <v>28</v>
      </c>
      <c r="D1606" s="25">
        <f t="array" ref="D1606">INDEX(C$5:C$67,MATCH($B1606,$B$5:$B$67,0))</f>
        <v>2660</v>
      </c>
      <c r="E1606" s="25">
        <f t="array" ref="E1606">INDEX(D$5:D$67,MATCH($B1606,$B$5:$B$67,0))</f>
        <v>212.8</v>
      </c>
      <c r="F1606" s="25">
        <f t="array" ref="F1606">INDEX(E$5:E$67,MATCH($B1606,$B$5:$B$67,0))</f>
        <v>1008</v>
      </c>
      <c r="G1606" s="25">
        <f t="array" ref="G1606">INDEX(F$5:F$67,MATCH($B1606,$B$5:$B$67,0))</f>
        <v>80.64</v>
      </c>
      <c r="H1606" s="25">
        <f t="array" ref="H1606">INDEX(G$5:G$66,MATCH($B1606,$B$5:$B$67,0))</f>
        <v>1260</v>
      </c>
      <c r="I1606" s="25">
        <f t="array" ref="I1606">INDEX(H$5:H$67,MATCH($B1606,$B$5:$B$67,0))</f>
        <v>100.8</v>
      </c>
      <c r="J1606" s="25">
        <f t="array" ref="J1606">INDEX(I$5:I$67,MATCH($B1606,$B$5:$B$67,0))</f>
        <v>700</v>
      </c>
      <c r="K1606" s="25">
        <f t="array" ref="K1606">INDEX(J$5:J$67,MATCH($B1606,$B$5:$B$67,0))</f>
        <v>56</v>
      </c>
      <c r="L1606" s="25">
        <f t="shared" si="674"/>
        <v>8618</v>
      </c>
      <c r="M1606" s="25">
        <f t="shared" si="675"/>
        <v>3266</v>
      </c>
      <c r="N1606" s="25">
        <f t="shared" si="676"/>
        <v>4082</v>
      </c>
      <c r="O1606" s="25">
        <f t="shared" si="677"/>
        <v>2268</v>
      </c>
    </row>
    <row r="1607" ht="17.25" customHeight="1" spans="1:15">
      <c r="A1607" s="55">
        <v>1036029</v>
      </c>
      <c r="B1607" s="7" t="s">
        <v>364</v>
      </c>
      <c r="C1607" s="25">
        <f t="shared" si="673"/>
        <v>29</v>
      </c>
      <c r="D1607" s="25">
        <f t="array" ref="D1607">INDEX(C$5:C$67,MATCH($B1607,$B$5:$B$67,0))</f>
        <v>2660</v>
      </c>
      <c r="E1607" s="25">
        <f t="array" ref="E1607">INDEX(D$5:D$67,MATCH($B1607,$B$5:$B$67,0))</f>
        <v>212.8</v>
      </c>
      <c r="F1607" s="25">
        <f t="array" ref="F1607">INDEX(E$5:E$67,MATCH($B1607,$B$5:$B$67,0))</f>
        <v>1008</v>
      </c>
      <c r="G1607" s="25">
        <f t="array" ref="G1607">INDEX(F$5:F$67,MATCH($B1607,$B$5:$B$67,0))</f>
        <v>80.64</v>
      </c>
      <c r="H1607" s="25">
        <f t="array" ref="H1607">INDEX(G$5:G$66,MATCH($B1607,$B$5:$B$67,0))</f>
        <v>1260</v>
      </c>
      <c r="I1607" s="25">
        <f t="array" ref="I1607">INDEX(H$5:H$67,MATCH($B1607,$B$5:$B$67,0))</f>
        <v>100.8</v>
      </c>
      <c r="J1607" s="25">
        <f t="array" ref="J1607">INDEX(I$5:I$67,MATCH($B1607,$B$5:$B$67,0))</f>
        <v>700</v>
      </c>
      <c r="K1607" s="25">
        <f t="array" ref="K1607">INDEX(J$5:J$67,MATCH($B1607,$B$5:$B$67,0))</f>
        <v>56</v>
      </c>
      <c r="L1607" s="25">
        <f t="shared" si="674"/>
        <v>8831</v>
      </c>
      <c r="M1607" s="25">
        <f t="shared" si="675"/>
        <v>3347</v>
      </c>
      <c r="N1607" s="25">
        <f t="shared" si="676"/>
        <v>4183</v>
      </c>
      <c r="O1607" s="25">
        <f t="shared" si="677"/>
        <v>2324</v>
      </c>
    </row>
    <row r="1608" ht="17.25" customHeight="1" spans="1:15">
      <c r="A1608" s="55">
        <v>1036030</v>
      </c>
      <c r="B1608" s="7" t="s">
        <v>364</v>
      </c>
      <c r="C1608" s="25">
        <f t="shared" si="673"/>
        <v>30</v>
      </c>
      <c r="D1608" s="25">
        <f t="array" ref="D1608">INDEX(C$5:C$67,MATCH($B1608,$B$5:$B$67,0))</f>
        <v>2660</v>
      </c>
      <c r="E1608" s="25">
        <f t="array" ref="E1608">INDEX(D$5:D$67,MATCH($B1608,$B$5:$B$67,0))</f>
        <v>212.8</v>
      </c>
      <c r="F1608" s="25">
        <f t="array" ref="F1608">INDEX(E$5:E$67,MATCH($B1608,$B$5:$B$67,0))</f>
        <v>1008</v>
      </c>
      <c r="G1608" s="25">
        <f t="array" ref="G1608">INDEX(F$5:F$67,MATCH($B1608,$B$5:$B$67,0))</f>
        <v>80.64</v>
      </c>
      <c r="H1608" s="25">
        <f t="array" ref="H1608">INDEX(G$5:G$66,MATCH($B1608,$B$5:$B$67,0))</f>
        <v>1260</v>
      </c>
      <c r="I1608" s="25">
        <f t="array" ref="I1608">INDEX(H$5:H$67,MATCH($B1608,$B$5:$B$67,0))</f>
        <v>100.8</v>
      </c>
      <c r="J1608" s="25">
        <f t="array" ref="J1608">INDEX(I$5:I$67,MATCH($B1608,$B$5:$B$67,0))</f>
        <v>700</v>
      </c>
      <c r="K1608" s="25">
        <f t="array" ref="K1608">INDEX(J$5:J$67,MATCH($B1608,$B$5:$B$67,0))</f>
        <v>56</v>
      </c>
      <c r="L1608" s="25">
        <f t="shared" si="674"/>
        <v>9044</v>
      </c>
      <c r="M1608" s="25">
        <f t="shared" si="675"/>
        <v>3427</v>
      </c>
      <c r="N1608" s="25">
        <f t="shared" si="676"/>
        <v>4284</v>
      </c>
      <c r="O1608" s="25">
        <f t="shared" si="677"/>
        <v>2380</v>
      </c>
    </row>
    <row r="1609" ht="17.25" customHeight="1" spans="1:15">
      <c r="A1609" s="55">
        <v>1036031</v>
      </c>
      <c r="B1609" s="7" t="s">
        <v>364</v>
      </c>
      <c r="C1609" s="25">
        <f t="shared" si="673"/>
        <v>31</v>
      </c>
      <c r="D1609" s="25">
        <f t="array" ref="D1609">INDEX(C$5:C$67,MATCH($B1609,$B$5:$B$67,0))</f>
        <v>2660</v>
      </c>
      <c r="E1609" s="25">
        <f t="array" ref="E1609">INDEX(D$5:D$67,MATCH($B1609,$B$5:$B$67,0))</f>
        <v>212.8</v>
      </c>
      <c r="F1609" s="25">
        <f t="array" ref="F1609">INDEX(E$5:E$67,MATCH($B1609,$B$5:$B$67,0))</f>
        <v>1008</v>
      </c>
      <c r="G1609" s="25">
        <f t="array" ref="G1609">INDEX(F$5:F$67,MATCH($B1609,$B$5:$B$67,0))</f>
        <v>80.64</v>
      </c>
      <c r="H1609" s="25">
        <f t="array" ref="H1609">INDEX(G$5:G$66,MATCH($B1609,$B$5:$B$67,0))</f>
        <v>1260</v>
      </c>
      <c r="I1609" s="25">
        <f t="array" ref="I1609">INDEX(H$5:H$67,MATCH($B1609,$B$5:$B$67,0))</f>
        <v>100.8</v>
      </c>
      <c r="J1609" s="25">
        <f t="array" ref="J1609">INDEX(I$5:I$67,MATCH($B1609,$B$5:$B$67,0))</f>
        <v>700</v>
      </c>
      <c r="K1609" s="25">
        <f t="array" ref="K1609">INDEX(J$5:J$67,MATCH($B1609,$B$5:$B$67,0))</f>
        <v>56</v>
      </c>
      <c r="L1609" s="25">
        <f t="shared" si="674"/>
        <v>9257</v>
      </c>
      <c r="M1609" s="25">
        <f t="shared" si="675"/>
        <v>3508</v>
      </c>
      <c r="N1609" s="25">
        <f t="shared" si="676"/>
        <v>4385</v>
      </c>
      <c r="O1609" s="25">
        <f t="shared" si="677"/>
        <v>2436</v>
      </c>
    </row>
    <row r="1610" ht="17.25" customHeight="1" spans="1:15">
      <c r="A1610" s="55">
        <v>1036032</v>
      </c>
      <c r="B1610" s="7" t="s">
        <v>364</v>
      </c>
      <c r="C1610" s="25">
        <f t="shared" si="673"/>
        <v>32</v>
      </c>
      <c r="D1610" s="25">
        <f t="array" ref="D1610">INDEX(C$5:C$67,MATCH($B1610,$B$5:$B$67,0))</f>
        <v>2660</v>
      </c>
      <c r="E1610" s="25">
        <f t="array" ref="E1610">INDEX(D$5:D$67,MATCH($B1610,$B$5:$B$67,0))</f>
        <v>212.8</v>
      </c>
      <c r="F1610" s="25">
        <f t="array" ref="F1610">INDEX(E$5:E$67,MATCH($B1610,$B$5:$B$67,0))</f>
        <v>1008</v>
      </c>
      <c r="G1610" s="25">
        <f t="array" ref="G1610">INDEX(F$5:F$67,MATCH($B1610,$B$5:$B$67,0))</f>
        <v>80.64</v>
      </c>
      <c r="H1610" s="25">
        <f t="array" ref="H1610">INDEX(G$5:G$66,MATCH($B1610,$B$5:$B$67,0))</f>
        <v>1260</v>
      </c>
      <c r="I1610" s="25">
        <f t="array" ref="I1610">INDEX(H$5:H$67,MATCH($B1610,$B$5:$B$67,0))</f>
        <v>100.8</v>
      </c>
      <c r="J1610" s="25">
        <f t="array" ref="J1610">INDEX(I$5:I$67,MATCH($B1610,$B$5:$B$67,0))</f>
        <v>700</v>
      </c>
      <c r="K1610" s="25">
        <f t="array" ref="K1610">INDEX(J$5:J$67,MATCH($B1610,$B$5:$B$67,0))</f>
        <v>56</v>
      </c>
      <c r="L1610" s="25">
        <f t="shared" si="674"/>
        <v>9470</v>
      </c>
      <c r="M1610" s="25">
        <f t="shared" si="675"/>
        <v>3588</v>
      </c>
      <c r="N1610" s="25">
        <f t="shared" si="676"/>
        <v>4486</v>
      </c>
      <c r="O1610" s="25">
        <f t="shared" si="677"/>
        <v>2492</v>
      </c>
    </row>
    <row r="1611" ht="17.25" customHeight="1" spans="1:15">
      <c r="A1611" s="55">
        <v>1036033</v>
      </c>
      <c r="B1611" s="7" t="s">
        <v>364</v>
      </c>
      <c r="C1611" s="25">
        <f t="shared" ref="C1611:C1674" si="678">C1551</f>
        <v>33</v>
      </c>
      <c r="D1611" s="25">
        <f t="array" ref="D1611">INDEX(C$5:C$67,MATCH($B1611,$B$5:$B$67,0))</f>
        <v>2660</v>
      </c>
      <c r="E1611" s="25">
        <f t="array" ref="E1611">INDEX(D$5:D$67,MATCH($B1611,$B$5:$B$67,0))</f>
        <v>212.8</v>
      </c>
      <c r="F1611" s="25">
        <f t="array" ref="F1611">INDEX(E$5:E$67,MATCH($B1611,$B$5:$B$67,0))</f>
        <v>1008</v>
      </c>
      <c r="G1611" s="25">
        <f t="array" ref="G1611">INDEX(F$5:F$67,MATCH($B1611,$B$5:$B$67,0))</f>
        <v>80.64</v>
      </c>
      <c r="H1611" s="25">
        <f t="array" ref="H1611">INDEX(G$5:G$66,MATCH($B1611,$B$5:$B$67,0))</f>
        <v>1260</v>
      </c>
      <c r="I1611" s="25">
        <f t="array" ref="I1611">INDEX(H$5:H$67,MATCH($B1611,$B$5:$B$67,0))</f>
        <v>100.8</v>
      </c>
      <c r="J1611" s="25">
        <f t="array" ref="J1611">INDEX(I$5:I$67,MATCH($B1611,$B$5:$B$67,0))</f>
        <v>700</v>
      </c>
      <c r="K1611" s="25">
        <f t="array" ref="K1611">INDEX(J$5:J$67,MATCH($B1611,$B$5:$B$67,0))</f>
        <v>56</v>
      </c>
      <c r="L1611" s="25">
        <f t="shared" si="674"/>
        <v>9682</v>
      </c>
      <c r="M1611" s="25">
        <f t="shared" si="675"/>
        <v>3669</v>
      </c>
      <c r="N1611" s="25">
        <f t="shared" si="676"/>
        <v>4586</v>
      </c>
      <c r="O1611" s="25">
        <f t="shared" si="677"/>
        <v>2548</v>
      </c>
    </row>
    <row r="1612" ht="17.25" customHeight="1" spans="1:15">
      <c r="A1612" s="55">
        <v>1036034</v>
      </c>
      <c r="B1612" s="7" t="s">
        <v>364</v>
      </c>
      <c r="C1612" s="25">
        <f t="shared" si="678"/>
        <v>34</v>
      </c>
      <c r="D1612" s="25">
        <f t="array" ref="D1612">INDEX(C$5:C$67,MATCH($B1612,$B$5:$B$67,0))</f>
        <v>2660</v>
      </c>
      <c r="E1612" s="25">
        <f t="array" ref="E1612">INDEX(D$5:D$67,MATCH($B1612,$B$5:$B$67,0))</f>
        <v>212.8</v>
      </c>
      <c r="F1612" s="25">
        <f t="array" ref="F1612">INDEX(E$5:E$67,MATCH($B1612,$B$5:$B$67,0))</f>
        <v>1008</v>
      </c>
      <c r="G1612" s="25">
        <f t="array" ref="G1612">INDEX(F$5:F$67,MATCH($B1612,$B$5:$B$67,0))</f>
        <v>80.64</v>
      </c>
      <c r="H1612" s="25">
        <f t="array" ref="H1612">INDEX(G$5:G$66,MATCH($B1612,$B$5:$B$67,0))</f>
        <v>1260</v>
      </c>
      <c r="I1612" s="25">
        <f t="array" ref="I1612">INDEX(H$5:H$67,MATCH($B1612,$B$5:$B$67,0))</f>
        <v>100.8</v>
      </c>
      <c r="J1612" s="25">
        <f t="array" ref="J1612">INDEX(I$5:I$67,MATCH($B1612,$B$5:$B$67,0))</f>
        <v>700</v>
      </c>
      <c r="K1612" s="25">
        <f t="array" ref="K1612">INDEX(J$5:J$67,MATCH($B1612,$B$5:$B$67,0))</f>
        <v>56</v>
      </c>
      <c r="L1612" s="25">
        <f t="shared" si="674"/>
        <v>9895</v>
      </c>
      <c r="M1612" s="25">
        <f t="shared" si="675"/>
        <v>3750</v>
      </c>
      <c r="N1612" s="25">
        <f t="shared" si="676"/>
        <v>4687</v>
      </c>
      <c r="O1612" s="25">
        <f t="shared" si="677"/>
        <v>2604</v>
      </c>
    </row>
    <row r="1613" ht="17.25" customHeight="1" spans="1:15">
      <c r="A1613" s="55">
        <v>1036035</v>
      </c>
      <c r="B1613" s="7" t="s">
        <v>364</v>
      </c>
      <c r="C1613" s="25">
        <f t="shared" si="678"/>
        <v>35</v>
      </c>
      <c r="D1613" s="25">
        <f t="array" ref="D1613">INDEX(C$5:C$67,MATCH($B1613,$B$5:$B$67,0))</f>
        <v>2660</v>
      </c>
      <c r="E1613" s="25">
        <f t="array" ref="E1613">INDEX(D$5:D$67,MATCH($B1613,$B$5:$B$67,0))</f>
        <v>212.8</v>
      </c>
      <c r="F1613" s="25">
        <f t="array" ref="F1613">INDEX(E$5:E$67,MATCH($B1613,$B$5:$B$67,0))</f>
        <v>1008</v>
      </c>
      <c r="G1613" s="25">
        <f t="array" ref="G1613">INDEX(F$5:F$67,MATCH($B1613,$B$5:$B$67,0))</f>
        <v>80.64</v>
      </c>
      <c r="H1613" s="25">
        <f t="array" ref="H1613">INDEX(G$5:G$66,MATCH($B1613,$B$5:$B$67,0))</f>
        <v>1260</v>
      </c>
      <c r="I1613" s="25">
        <f t="array" ref="I1613">INDEX(H$5:H$67,MATCH($B1613,$B$5:$B$67,0))</f>
        <v>100.8</v>
      </c>
      <c r="J1613" s="25">
        <f t="array" ref="J1613">INDEX(I$5:I$67,MATCH($B1613,$B$5:$B$67,0))</f>
        <v>700</v>
      </c>
      <c r="K1613" s="25">
        <f t="array" ref="K1613">INDEX(J$5:J$67,MATCH($B1613,$B$5:$B$67,0))</f>
        <v>56</v>
      </c>
      <c r="L1613" s="25">
        <f t="shared" si="674"/>
        <v>10108</v>
      </c>
      <c r="M1613" s="25">
        <f t="shared" si="675"/>
        <v>3830</v>
      </c>
      <c r="N1613" s="25">
        <f t="shared" si="676"/>
        <v>4788</v>
      </c>
      <c r="O1613" s="25">
        <f t="shared" si="677"/>
        <v>2660</v>
      </c>
    </row>
    <row r="1614" ht="17.25" customHeight="1" spans="1:15">
      <c r="A1614" s="55">
        <v>1036036</v>
      </c>
      <c r="B1614" s="7" t="s">
        <v>364</v>
      </c>
      <c r="C1614" s="25">
        <f t="shared" si="678"/>
        <v>36</v>
      </c>
      <c r="D1614" s="25">
        <f t="array" ref="D1614">INDEX(C$5:C$67,MATCH($B1614,$B$5:$B$67,0))</f>
        <v>2660</v>
      </c>
      <c r="E1614" s="25">
        <f t="array" ref="E1614">INDEX(D$5:D$67,MATCH($B1614,$B$5:$B$67,0))</f>
        <v>212.8</v>
      </c>
      <c r="F1614" s="25">
        <f t="array" ref="F1614">INDEX(E$5:E$67,MATCH($B1614,$B$5:$B$67,0))</f>
        <v>1008</v>
      </c>
      <c r="G1614" s="25">
        <f t="array" ref="G1614">INDEX(F$5:F$67,MATCH($B1614,$B$5:$B$67,0))</f>
        <v>80.64</v>
      </c>
      <c r="H1614" s="25">
        <f t="array" ref="H1614">INDEX(G$5:G$66,MATCH($B1614,$B$5:$B$67,0))</f>
        <v>1260</v>
      </c>
      <c r="I1614" s="25">
        <f t="array" ref="I1614">INDEX(H$5:H$67,MATCH($B1614,$B$5:$B$67,0))</f>
        <v>100.8</v>
      </c>
      <c r="J1614" s="25">
        <f t="array" ref="J1614">INDEX(I$5:I$67,MATCH($B1614,$B$5:$B$67,0))</f>
        <v>700</v>
      </c>
      <c r="K1614" s="25">
        <f t="array" ref="K1614">INDEX(J$5:J$67,MATCH($B1614,$B$5:$B$67,0))</f>
        <v>56</v>
      </c>
      <c r="L1614" s="25">
        <f t="shared" si="674"/>
        <v>10321</v>
      </c>
      <c r="M1614" s="25">
        <f t="shared" si="675"/>
        <v>3911</v>
      </c>
      <c r="N1614" s="25">
        <f t="shared" si="676"/>
        <v>4889</v>
      </c>
      <c r="O1614" s="25">
        <f t="shared" si="677"/>
        <v>2716</v>
      </c>
    </row>
    <row r="1615" ht="17.25" customHeight="1" spans="1:15">
      <c r="A1615" s="55">
        <v>1036037</v>
      </c>
      <c r="B1615" s="7" t="s">
        <v>364</v>
      </c>
      <c r="C1615" s="25">
        <f t="shared" si="678"/>
        <v>37</v>
      </c>
      <c r="D1615" s="25">
        <f t="array" ref="D1615">INDEX(C$5:C$67,MATCH($B1615,$B$5:$B$67,0))</f>
        <v>2660</v>
      </c>
      <c r="E1615" s="25">
        <f t="array" ref="E1615">INDEX(D$5:D$67,MATCH($B1615,$B$5:$B$67,0))</f>
        <v>212.8</v>
      </c>
      <c r="F1615" s="25">
        <f t="array" ref="F1615">INDEX(E$5:E$67,MATCH($B1615,$B$5:$B$67,0))</f>
        <v>1008</v>
      </c>
      <c r="G1615" s="25">
        <f t="array" ref="G1615">INDEX(F$5:F$67,MATCH($B1615,$B$5:$B$67,0))</f>
        <v>80.64</v>
      </c>
      <c r="H1615" s="25">
        <f t="array" ref="H1615">INDEX(G$5:G$66,MATCH($B1615,$B$5:$B$67,0))</f>
        <v>1260</v>
      </c>
      <c r="I1615" s="25">
        <f t="array" ref="I1615">INDEX(H$5:H$67,MATCH($B1615,$B$5:$B$67,0))</f>
        <v>100.8</v>
      </c>
      <c r="J1615" s="25">
        <f t="array" ref="J1615">INDEX(I$5:I$67,MATCH($B1615,$B$5:$B$67,0))</f>
        <v>700</v>
      </c>
      <c r="K1615" s="25">
        <f t="array" ref="K1615">INDEX(J$5:J$67,MATCH($B1615,$B$5:$B$67,0))</f>
        <v>56</v>
      </c>
      <c r="L1615" s="25">
        <f t="shared" ref="L1615:L1678" si="679">ROUND(D1615+E1615*$C1615,0)</f>
        <v>10534</v>
      </c>
      <c r="M1615" s="25">
        <f t="shared" ref="M1615:M1678" si="680">ROUND(F1615+G1615*$C1615,0)</f>
        <v>3992</v>
      </c>
      <c r="N1615" s="25">
        <f t="shared" ref="N1615:N1678" si="681">ROUND(H1615+I1615*$C1615,0)</f>
        <v>4990</v>
      </c>
      <c r="O1615" s="25">
        <f t="shared" ref="O1615:O1678" si="682">ROUND(J1615+K1615*$C1615,0)</f>
        <v>2772</v>
      </c>
    </row>
    <row r="1616" ht="17.25" customHeight="1" spans="1:15">
      <c r="A1616" s="55">
        <v>1036038</v>
      </c>
      <c r="B1616" s="7" t="s">
        <v>364</v>
      </c>
      <c r="C1616" s="25">
        <f t="shared" si="678"/>
        <v>38</v>
      </c>
      <c r="D1616" s="25">
        <f t="array" ref="D1616">INDEX(C$5:C$67,MATCH($B1616,$B$5:$B$67,0))</f>
        <v>2660</v>
      </c>
      <c r="E1616" s="25">
        <f t="array" ref="E1616">INDEX(D$5:D$67,MATCH($B1616,$B$5:$B$67,0))</f>
        <v>212.8</v>
      </c>
      <c r="F1616" s="25">
        <f t="array" ref="F1616">INDEX(E$5:E$67,MATCH($B1616,$B$5:$B$67,0))</f>
        <v>1008</v>
      </c>
      <c r="G1616" s="25">
        <f t="array" ref="G1616">INDEX(F$5:F$67,MATCH($B1616,$B$5:$B$67,0))</f>
        <v>80.64</v>
      </c>
      <c r="H1616" s="25">
        <f t="array" ref="H1616">INDEX(G$5:G$66,MATCH($B1616,$B$5:$B$67,0))</f>
        <v>1260</v>
      </c>
      <c r="I1616" s="25">
        <f t="array" ref="I1616">INDEX(H$5:H$67,MATCH($B1616,$B$5:$B$67,0))</f>
        <v>100.8</v>
      </c>
      <c r="J1616" s="25">
        <f t="array" ref="J1616">INDEX(I$5:I$67,MATCH($B1616,$B$5:$B$67,0))</f>
        <v>700</v>
      </c>
      <c r="K1616" s="25">
        <f t="array" ref="K1616">INDEX(J$5:J$67,MATCH($B1616,$B$5:$B$67,0))</f>
        <v>56</v>
      </c>
      <c r="L1616" s="25">
        <f t="shared" si="679"/>
        <v>10746</v>
      </c>
      <c r="M1616" s="25">
        <f t="shared" si="680"/>
        <v>4072</v>
      </c>
      <c r="N1616" s="25">
        <f t="shared" si="681"/>
        <v>5090</v>
      </c>
      <c r="O1616" s="25">
        <f t="shared" si="682"/>
        <v>2828</v>
      </c>
    </row>
    <row r="1617" ht="17.25" customHeight="1" spans="1:15">
      <c r="A1617" s="55">
        <v>1036039</v>
      </c>
      <c r="B1617" s="7" t="s">
        <v>364</v>
      </c>
      <c r="C1617" s="25">
        <f t="shared" si="678"/>
        <v>39</v>
      </c>
      <c r="D1617" s="25">
        <f t="array" ref="D1617">INDEX(C$5:C$67,MATCH($B1617,$B$5:$B$67,0))</f>
        <v>2660</v>
      </c>
      <c r="E1617" s="25">
        <f t="array" ref="E1617">INDEX(D$5:D$67,MATCH($B1617,$B$5:$B$67,0))</f>
        <v>212.8</v>
      </c>
      <c r="F1617" s="25">
        <f t="array" ref="F1617">INDEX(E$5:E$67,MATCH($B1617,$B$5:$B$67,0))</f>
        <v>1008</v>
      </c>
      <c r="G1617" s="25">
        <f t="array" ref="G1617">INDEX(F$5:F$67,MATCH($B1617,$B$5:$B$67,0))</f>
        <v>80.64</v>
      </c>
      <c r="H1617" s="25">
        <f t="array" ref="H1617">INDEX(G$5:G$66,MATCH($B1617,$B$5:$B$67,0))</f>
        <v>1260</v>
      </c>
      <c r="I1617" s="25">
        <f t="array" ref="I1617">INDEX(H$5:H$67,MATCH($B1617,$B$5:$B$67,0))</f>
        <v>100.8</v>
      </c>
      <c r="J1617" s="25">
        <f t="array" ref="J1617">INDEX(I$5:I$67,MATCH($B1617,$B$5:$B$67,0))</f>
        <v>700</v>
      </c>
      <c r="K1617" s="25">
        <f t="array" ref="K1617">INDEX(J$5:J$67,MATCH($B1617,$B$5:$B$67,0))</f>
        <v>56</v>
      </c>
      <c r="L1617" s="25">
        <f t="shared" si="679"/>
        <v>10959</v>
      </c>
      <c r="M1617" s="25">
        <f t="shared" si="680"/>
        <v>4153</v>
      </c>
      <c r="N1617" s="25">
        <f t="shared" si="681"/>
        <v>5191</v>
      </c>
      <c r="O1617" s="25">
        <f t="shared" si="682"/>
        <v>2884</v>
      </c>
    </row>
    <row r="1618" ht="17.25" customHeight="1" spans="1:15">
      <c r="A1618" s="55">
        <v>1036040</v>
      </c>
      <c r="B1618" s="7" t="s">
        <v>364</v>
      </c>
      <c r="C1618" s="25">
        <f t="shared" si="678"/>
        <v>40</v>
      </c>
      <c r="D1618" s="25">
        <f t="array" ref="D1618">INDEX(C$5:C$67,MATCH($B1618,$B$5:$B$67,0))</f>
        <v>2660</v>
      </c>
      <c r="E1618" s="25">
        <f t="array" ref="E1618">INDEX(D$5:D$67,MATCH($B1618,$B$5:$B$67,0))</f>
        <v>212.8</v>
      </c>
      <c r="F1618" s="25">
        <f t="array" ref="F1618">INDEX(E$5:E$67,MATCH($B1618,$B$5:$B$67,0))</f>
        <v>1008</v>
      </c>
      <c r="G1618" s="25">
        <f t="array" ref="G1618">INDEX(F$5:F$67,MATCH($B1618,$B$5:$B$67,0))</f>
        <v>80.64</v>
      </c>
      <c r="H1618" s="25">
        <f t="array" ref="H1618">INDEX(G$5:G$66,MATCH($B1618,$B$5:$B$67,0))</f>
        <v>1260</v>
      </c>
      <c r="I1618" s="25">
        <f t="array" ref="I1618">INDEX(H$5:H$67,MATCH($B1618,$B$5:$B$67,0))</f>
        <v>100.8</v>
      </c>
      <c r="J1618" s="25">
        <f t="array" ref="J1618">INDEX(I$5:I$67,MATCH($B1618,$B$5:$B$67,0))</f>
        <v>700</v>
      </c>
      <c r="K1618" s="25">
        <f t="array" ref="K1618">INDEX(J$5:J$67,MATCH($B1618,$B$5:$B$67,0))</f>
        <v>56</v>
      </c>
      <c r="L1618" s="25">
        <f t="shared" si="679"/>
        <v>11172</v>
      </c>
      <c r="M1618" s="25">
        <f t="shared" si="680"/>
        <v>4234</v>
      </c>
      <c r="N1618" s="25">
        <f t="shared" si="681"/>
        <v>5292</v>
      </c>
      <c r="O1618" s="25">
        <f t="shared" si="682"/>
        <v>2940</v>
      </c>
    </row>
    <row r="1619" ht="17.25" customHeight="1" spans="1:15">
      <c r="A1619" s="55">
        <v>1036041</v>
      </c>
      <c r="B1619" s="7" t="s">
        <v>364</v>
      </c>
      <c r="C1619" s="25">
        <f t="shared" si="678"/>
        <v>41</v>
      </c>
      <c r="D1619" s="25">
        <f t="array" ref="D1619">INDEX(C$5:C$67,MATCH($B1619,$B$5:$B$67,0))</f>
        <v>2660</v>
      </c>
      <c r="E1619" s="25">
        <f t="array" ref="E1619">INDEX(D$5:D$67,MATCH($B1619,$B$5:$B$67,0))</f>
        <v>212.8</v>
      </c>
      <c r="F1619" s="25">
        <f t="array" ref="F1619">INDEX(E$5:E$67,MATCH($B1619,$B$5:$B$67,0))</f>
        <v>1008</v>
      </c>
      <c r="G1619" s="25">
        <f t="array" ref="G1619">INDEX(F$5:F$67,MATCH($B1619,$B$5:$B$67,0))</f>
        <v>80.64</v>
      </c>
      <c r="H1619" s="25">
        <f t="array" ref="H1619">INDEX(G$5:G$66,MATCH($B1619,$B$5:$B$67,0))</f>
        <v>1260</v>
      </c>
      <c r="I1619" s="25">
        <f t="array" ref="I1619">INDEX(H$5:H$67,MATCH($B1619,$B$5:$B$67,0))</f>
        <v>100.8</v>
      </c>
      <c r="J1619" s="25">
        <f t="array" ref="J1619">INDEX(I$5:I$67,MATCH($B1619,$B$5:$B$67,0))</f>
        <v>700</v>
      </c>
      <c r="K1619" s="25">
        <f t="array" ref="K1619">INDEX(J$5:J$67,MATCH($B1619,$B$5:$B$67,0))</f>
        <v>56</v>
      </c>
      <c r="L1619" s="25">
        <f t="shared" si="679"/>
        <v>11385</v>
      </c>
      <c r="M1619" s="25">
        <f t="shared" si="680"/>
        <v>4314</v>
      </c>
      <c r="N1619" s="25">
        <f t="shared" si="681"/>
        <v>5393</v>
      </c>
      <c r="O1619" s="25">
        <f t="shared" si="682"/>
        <v>2996</v>
      </c>
    </row>
    <row r="1620" ht="17.25" customHeight="1" spans="1:15">
      <c r="A1620" s="55">
        <v>1036042</v>
      </c>
      <c r="B1620" s="7" t="s">
        <v>364</v>
      </c>
      <c r="C1620" s="25">
        <f t="shared" si="678"/>
        <v>42</v>
      </c>
      <c r="D1620" s="25">
        <f t="array" ref="D1620">INDEX(C$5:C$67,MATCH($B1620,$B$5:$B$67,0))</f>
        <v>2660</v>
      </c>
      <c r="E1620" s="25">
        <f t="array" ref="E1620">INDEX(D$5:D$67,MATCH($B1620,$B$5:$B$67,0))</f>
        <v>212.8</v>
      </c>
      <c r="F1620" s="25">
        <f t="array" ref="F1620">INDEX(E$5:E$67,MATCH($B1620,$B$5:$B$67,0))</f>
        <v>1008</v>
      </c>
      <c r="G1620" s="25">
        <f t="array" ref="G1620">INDEX(F$5:F$67,MATCH($B1620,$B$5:$B$67,0))</f>
        <v>80.64</v>
      </c>
      <c r="H1620" s="25">
        <f t="array" ref="H1620">INDEX(G$5:G$66,MATCH($B1620,$B$5:$B$67,0))</f>
        <v>1260</v>
      </c>
      <c r="I1620" s="25">
        <f t="array" ref="I1620">INDEX(H$5:H$67,MATCH($B1620,$B$5:$B$67,0))</f>
        <v>100.8</v>
      </c>
      <c r="J1620" s="25">
        <f t="array" ref="J1620">INDEX(I$5:I$67,MATCH($B1620,$B$5:$B$67,0))</f>
        <v>700</v>
      </c>
      <c r="K1620" s="25">
        <f t="array" ref="K1620">INDEX(J$5:J$67,MATCH($B1620,$B$5:$B$67,0))</f>
        <v>56</v>
      </c>
      <c r="L1620" s="25">
        <f t="shared" si="679"/>
        <v>11598</v>
      </c>
      <c r="M1620" s="25">
        <f t="shared" si="680"/>
        <v>4395</v>
      </c>
      <c r="N1620" s="25">
        <f t="shared" si="681"/>
        <v>5494</v>
      </c>
      <c r="O1620" s="25">
        <f t="shared" si="682"/>
        <v>3052</v>
      </c>
    </row>
    <row r="1621" ht="17.25" customHeight="1" spans="1:15">
      <c r="A1621" s="55">
        <v>1036043</v>
      </c>
      <c r="B1621" s="7" t="s">
        <v>364</v>
      </c>
      <c r="C1621" s="25">
        <f t="shared" si="678"/>
        <v>43</v>
      </c>
      <c r="D1621" s="25">
        <f t="array" ref="D1621">INDEX(C$5:C$67,MATCH($B1621,$B$5:$B$67,0))</f>
        <v>2660</v>
      </c>
      <c r="E1621" s="25">
        <f t="array" ref="E1621">INDEX(D$5:D$67,MATCH($B1621,$B$5:$B$67,0))</f>
        <v>212.8</v>
      </c>
      <c r="F1621" s="25">
        <f t="array" ref="F1621">INDEX(E$5:E$67,MATCH($B1621,$B$5:$B$67,0))</f>
        <v>1008</v>
      </c>
      <c r="G1621" s="25">
        <f t="array" ref="G1621">INDEX(F$5:F$67,MATCH($B1621,$B$5:$B$67,0))</f>
        <v>80.64</v>
      </c>
      <c r="H1621" s="25">
        <f t="array" ref="H1621">INDEX(G$5:G$66,MATCH($B1621,$B$5:$B$67,0))</f>
        <v>1260</v>
      </c>
      <c r="I1621" s="25">
        <f t="array" ref="I1621">INDEX(H$5:H$67,MATCH($B1621,$B$5:$B$67,0))</f>
        <v>100.8</v>
      </c>
      <c r="J1621" s="25">
        <f t="array" ref="J1621">INDEX(I$5:I$67,MATCH($B1621,$B$5:$B$67,0))</f>
        <v>700</v>
      </c>
      <c r="K1621" s="25">
        <f t="array" ref="K1621">INDEX(J$5:J$67,MATCH($B1621,$B$5:$B$67,0))</f>
        <v>56</v>
      </c>
      <c r="L1621" s="25">
        <f t="shared" si="679"/>
        <v>11810</v>
      </c>
      <c r="M1621" s="25">
        <f t="shared" si="680"/>
        <v>4476</v>
      </c>
      <c r="N1621" s="25">
        <f t="shared" si="681"/>
        <v>5594</v>
      </c>
      <c r="O1621" s="25">
        <f t="shared" si="682"/>
        <v>3108</v>
      </c>
    </row>
    <row r="1622" ht="17.25" customHeight="1" spans="1:15">
      <c r="A1622" s="55">
        <v>1036044</v>
      </c>
      <c r="B1622" s="7" t="s">
        <v>364</v>
      </c>
      <c r="C1622" s="25">
        <f t="shared" si="678"/>
        <v>44</v>
      </c>
      <c r="D1622" s="25">
        <f t="array" ref="D1622">INDEX(C$5:C$67,MATCH($B1622,$B$5:$B$67,0))</f>
        <v>2660</v>
      </c>
      <c r="E1622" s="25">
        <f t="array" ref="E1622">INDEX(D$5:D$67,MATCH($B1622,$B$5:$B$67,0))</f>
        <v>212.8</v>
      </c>
      <c r="F1622" s="25">
        <f t="array" ref="F1622">INDEX(E$5:E$67,MATCH($B1622,$B$5:$B$67,0))</f>
        <v>1008</v>
      </c>
      <c r="G1622" s="25">
        <f t="array" ref="G1622">INDEX(F$5:F$67,MATCH($B1622,$B$5:$B$67,0))</f>
        <v>80.64</v>
      </c>
      <c r="H1622" s="25">
        <f t="array" ref="H1622">INDEX(G$5:G$66,MATCH($B1622,$B$5:$B$67,0))</f>
        <v>1260</v>
      </c>
      <c r="I1622" s="25">
        <f t="array" ref="I1622">INDEX(H$5:H$67,MATCH($B1622,$B$5:$B$67,0))</f>
        <v>100.8</v>
      </c>
      <c r="J1622" s="25">
        <f t="array" ref="J1622">INDEX(I$5:I$67,MATCH($B1622,$B$5:$B$67,0))</f>
        <v>700</v>
      </c>
      <c r="K1622" s="25">
        <f t="array" ref="K1622">INDEX(J$5:J$67,MATCH($B1622,$B$5:$B$67,0))</f>
        <v>56</v>
      </c>
      <c r="L1622" s="25">
        <f t="shared" si="679"/>
        <v>12023</v>
      </c>
      <c r="M1622" s="25">
        <f t="shared" si="680"/>
        <v>4556</v>
      </c>
      <c r="N1622" s="25">
        <f t="shared" si="681"/>
        <v>5695</v>
      </c>
      <c r="O1622" s="25">
        <f t="shared" si="682"/>
        <v>3164</v>
      </c>
    </row>
    <row r="1623" ht="17.25" customHeight="1" spans="1:15">
      <c r="A1623" s="55">
        <v>1036045</v>
      </c>
      <c r="B1623" s="7" t="s">
        <v>364</v>
      </c>
      <c r="C1623" s="25">
        <f t="shared" si="678"/>
        <v>45</v>
      </c>
      <c r="D1623" s="25">
        <f t="array" ref="D1623">INDEX(C$5:C$67,MATCH($B1623,$B$5:$B$67,0))</f>
        <v>2660</v>
      </c>
      <c r="E1623" s="25">
        <f t="array" ref="E1623">INDEX(D$5:D$67,MATCH($B1623,$B$5:$B$67,0))</f>
        <v>212.8</v>
      </c>
      <c r="F1623" s="25">
        <f t="array" ref="F1623">INDEX(E$5:E$67,MATCH($B1623,$B$5:$B$67,0))</f>
        <v>1008</v>
      </c>
      <c r="G1623" s="25">
        <f t="array" ref="G1623">INDEX(F$5:F$67,MATCH($B1623,$B$5:$B$67,0))</f>
        <v>80.64</v>
      </c>
      <c r="H1623" s="25">
        <f t="array" ref="H1623">INDEX(G$5:G$66,MATCH($B1623,$B$5:$B$67,0))</f>
        <v>1260</v>
      </c>
      <c r="I1623" s="25">
        <f t="array" ref="I1623">INDEX(H$5:H$67,MATCH($B1623,$B$5:$B$67,0))</f>
        <v>100.8</v>
      </c>
      <c r="J1623" s="25">
        <f t="array" ref="J1623">INDEX(I$5:I$67,MATCH($B1623,$B$5:$B$67,0))</f>
        <v>700</v>
      </c>
      <c r="K1623" s="25">
        <f t="array" ref="K1623">INDEX(J$5:J$67,MATCH($B1623,$B$5:$B$67,0))</f>
        <v>56</v>
      </c>
      <c r="L1623" s="25">
        <f t="shared" si="679"/>
        <v>12236</v>
      </c>
      <c r="M1623" s="25">
        <f t="shared" si="680"/>
        <v>4637</v>
      </c>
      <c r="N1623" s="25">
        <f t="shared" si="681"/>
        <v>5796</v>
      </c>
      <c r="O1623" s="25">
        <f t="shared" si="682"/>
        <v>3220</v>
      </c>
    </row>
    <row r="1624" ht="17.25" customHeight="1" spans="1:15">
      <c r="A1624" s="55">
        <v>1036046</v>
      </c>
      <c r="B1624" s="7" t="s">
        <v>364</v>
      </c>
      <c r="C1624" s="25">
        <f t="shared" si="678"/>
        <v>46</v>
      </c>
      <c r="D1624" s="25">
        <f t="array" ref="D1624">INDEX(C$5:C$67,MATCH($B1624,$B$5:$B$67,0))</f>
        <v>2660</v>
      </c>
      <c r="E1624" s="25">
        <f t="array" ref="E1624">INDEX(D$5:D$67,MATCH($B1624,$B$5:$B$67,0))</f>
        <v>212.8</v>
      </c>
      <c r="F1624" s="25">
        <f t="array" ref="F1624">INDEX(E$5:E$67,MATCH($B1624,$B$5:$B$67,0))</f>
        <v>1008</v>
      </c>
      <c r="G1624" s="25">
        <f t="array" ref="G1624">INDEX(F$5:F$67,MATCH($B1624,$B$5:$B$67,0))</f>
        <v>80.64</v>
      </c>
      <c r="H1624" s="25">
        <f t="array" ref="H1624">INDEX(G$5:G$66,MATCH($B1624,$B$5:$B$67,0))</f>
        <v>1260</v>
      </c>
      <c r="I1624" s="25">
        <f t="array" ref="I1624">INDEX(H$5:H$67,MATCH($B1624,$B$5:$B$67,0))</f>
        <v>100.8</v>
      </c>
      <c r="J1624" s="25">
        <f t="array" ref="J1624">INDEX(I$5:I$67,MATCH($B1624,$B$5:$B$67,0))</f>
        <v>700</v>
      </c>
      <c r="K1624" s="25">
        <f t="array" ref="K1624">INDEX(J$5:J$67,MATCH($B1624,$B$5:$B$67,0))</f>
        <v>56</v>
      </c>
      <c r="L1624" s="25">
        <f t="shared" si="679"/>
        <v>12449</v>
      </c>
      <c r="M1624" s="25">
        <f t="shared" si="680"/>
        <v>4717</v>
      </c>
      <c r="N1624" s="25">
        <f t="shared" si="681"/>
        <v>5897</v>
      </c>
      <c r="O1624" s="25">
        <f t="shared" si="682"/>
        <v>3276</v>
      </c>
    </row>
    <row r="1625" ht="17.25" customHeight="1" spans="1:15">
      <c r="A1625" s="55">
        <v>1036047</v>
      </c>
      <c r="B1625" s="7" t="s">
        <v>364</v>
      </c>
      <c r="C1625" s="25">
        <f t="shared" si="678"/>
        <v>47</v>
      </c>
      <c r="D1625" s="25">
        <f t="array" ref="D1625">INDEX(C$5:C$67,MATCH($B1625,$B$5:$B$67,0))</f>
        <v>2660</v>
      </c>
      <c r="E1625" s="25">
        <f t="array" ref="E1625">INDEX(D$5:D$67,MATCH($B1625,$B$5:$B$67,0))</f>
        <v>212.8</v>
      </c>
      <c r="F1625" s="25">
        <f t="array" ref="F1625">INDEX(E$5:E$67,MATCH($B1625,$B$5:$B$67,0))</f>
        <v>1008</v>
      </c>
      <c r="G1625" s="25">
        <f t="array" ref="G1625">INDEX(F$5:F$67,MATCH($B1625,$B$5:$B$67,0))</f>
        <v>80.64</v>
      </c>
      <c r="H1625" s="25">
        <f t="array" ref="H1625">INDEX(G$5:G$66,MATCH($B1625,$B$5:$B$67,0))</f>
        <v>1260</v>
      </c>
      <c r="I1625" s="25">
        <f t="array" ref="I1625">INDEX(H$5:H$67,MATCH($B1625,$B$5:$B$67,0))</f>
        <v>100.8</v>
      </c>
      <c r="J1625" s="25">
        <f t="array" ref="J1625">INDEX(I$5:I$67,MATCH($B1625,$B$5:$B$67,0))</f>
        <v>700</v>
      </c>
      <c r="K1625" s="25">
        <f t="array" ref="K1625">INDEX(J$5:J$67,MATCH($B1625,$B$5:$B$67,0))</f>
        <v>56</v>
      </c>
      <c r="L1625" s="25">
        <f t="shared" si="679"/>
        <v>12662</v>
      </c>
      <c r="M1625" s="25">
        <f t="shared" si="680"/>
        <v>4798</v>
      </c>
      <c r="N1625" s="25">
        <f t="shared" si="681"/>
        <v>5998</v>
      </c>
      <c r="O1625" s="25">
        <f t="shared" si="682"/>
        <v>3332</v>
      </c>
    </row>
    <row r="1626" ht="17.25" customHeight="1" spans="1:15">
      <c r="A1626" s="55">
        <v>1036048</v>
      </c>
      <c r="B1626" s="7" t="s">
        <v>364</v>
      </c>
      <c r="C1626" s="25">
        <f t="shared" si="678"/>
        <v>48</v>
      </c>
      <c r="D1626" s="25">
        <f t="array" ref="D1626">INDEX(C$5:C$67,MATCH($B1626,$B$5:$B$67,0))</f>
        <v>2660</v>
      </c>
      <c r="E1626" s="25">
        <f t="array" ref="E1626">INDEX(D$5:D$67,MATCH($B1626,$B$5:$B$67,0))</f>
        <v>212.8</v>
      </c>
      <c r="F1626" s="25">
        <f t="array" ref="F1626">INDEX(E$5:E$67,MATCH($B1626,$B$5:$B$67,0))</f>
        <v>1008</v>
      </c>
      <c r="G1626" s="25">
        <f t="array" ref="G1626">INDEX(F$5:F$67,MATCH($B1626,$B$5:$B$67,0))</f>
        <v>80.64</v>
      </c>
      <c r="H1626" s="25">
        <f t="array" ref="H1626">INDEX(G$5:G$66,MATCH($B1626,$B$5:$B$67,0))</f>
        <v>1260</v>
      </c>
      <c r="I1626" s="25">
        <f t="array" ref="I1626">INDEX(H$5:H$67,MATCH($B1626,$B$5:$B$67,0))</f>
        <v>100.8</v>
      </c>
      <c r="J1626" s="25">
        <f t="array" ref="J1626">INDEX(I$5:I$67,MATCH($B1626,$B$5:$B$67,0))</f>
        <v>700</v>
      </c>
      <c r="K1626" s="25">
        <f t="array" ref="K1626">INDEX(J$5:J$67,MATCH($B1626,$B$5:$B$67,0))</f>
        <v>56</v>
      </c>
      <c r="L1626" s="25">
        <f t="shared" si="679"/>
        <v>12874</v>
      </c>
      <c r="M1626" s="25">
        <f t="shared" si="680"/>
        <v>4879</v>
      </c>
      <c r="N1626" s="25">
        <f t="shared" si="681"/>
        <v>6098</v>
      </c>
      <c r="O1626" s="25">
        <f t="shared" si="682"/>
        <v>3388</v>
      </c>
    </row>
    <row r="1627" ht="17.25" customHeight="1" spans="1:15">
      <c r="A1627" s="55">
        <v>1036049</v>
      </c>
      <c r="B1627" s="7" t="s">
        <v>364</v>
      </c>
      <c r="C1627" s="25">
        <f t="shared" si="678"/>
        <v>49</v>
      </c>
      <c r="D1627" s="25">
        <f t="array" ref="D1627">INDEX(C$5:C$67,MATCH($B1627,$B$5:$B$67,0))</f>
        <v>2660</v>
      </c>
      <c r="E1627" s="25">
        <f t="array" ref="E1627">INDEX(D$5:D$67,MATCH($B1627,$B$5:$B$67,0))</f>
        <v>212.8</v>
      </c>
      <c r="F1627" s="25">
        <f t="array" ref="F1627">INDEX(E$5:E$67,MATCH($B1627,$B$5:$B$67,0))</f>
        <v>1008</v>
      </c>
      <c r="G1627" s="25">
        <f t="array" ref="G1627">INDEX(F$5:F$67,MATCH($B1627,$B$5:$B$67,0))</f>
        <v>80.64</v>
      </c>
      <c r="H1627" s="25">
        <f t="array" ref="H1627">INDEX(G$5:G$66,MATCH($B1627,$B$5:$B$67,0))</f>
        <v>1260</v>
      </c>
      <c r="I1627" s="25">
        <f t="array" ref="I1627">INDEX(H$5:H$67,MATCH($B1627,$B$5:$B$67,0))</f>
        <v>100.8</v>
      </c>
      <c r="J1627" s="25">
        <f t="array" ref="J1627">INDEX(I$5:I$67,MATCH($B1627,$B$5:$B$67,0))</f>
        <v>700</v>
      </c>
      <c r="K1627" s="25">
        <f t="array" ref="K1627">INDEX(J$5:J$67,MATCH($B1627,$B$5:$B$67,0))</f>
        <v>56</v>
      </c>
      <c r="L1627" s="25">
        <f t="shared" si="679"/>
        <v>13087</v>
      </c>
      <c r="M1627" s="25">
        <f t="shared" si="680"/>
        <v>4959</v>
      </c>
      <c r="N1627" s="25">
        <f t="shared" si="681"/>
        <v>6199</v>
      </c>
      <c r="O1627" s="25">
        <f t="shared" si="682"/>
        <v>3444</v>
      </c>
    </row>
    <row r="1628" ht="17.25" customHeight="1" spans="1:15">
      <c r="A1628" s="55">
        <v>1036050</v>
      </c>
      <c r="B1628" s="7" t="s">
        <v>364</v>
      </c>
      <c r="C1628" s="25">
        <f t="shared" si="678"/>
        <v>50</v>
      </c>
      <c r="D1628" s="25">
        <f t="array" ref="D1628">INDEX(C$5:C$67,MATCH($B1628,$B$5:$B$67,0))</f>
        <v>2660</v>
      </c>
      <c r="E1628" s="25">
        <f t="array" ref="E1628">INDEX(D$5:D$67,MATCH($B1628,$B$5:$B$67,0))</f>
        <v>212.8</v>
      </c>
      <c r="F1628" s="25">
        <f t="array" ref="F1628">INDEX(E$5:E$67,MATCH($B1628,$B$5:$B$67,0))</f>
        <v>1008</v>
      </c>
      <c r="G1628" s="25">
        <f t="array" ref="G1628">INDEX(F$5:F$67,MATCH($B1628,$B$5:$B$67,0))</f>
        <v>80.64</v>
      </c>
      <c r="H1628" s="25">
        <f t="array" ref="H1628">INDEX(G$5:G$66,MATCH($B1628,$B$5:$B$67,0))</f>
        <v>1260</v>
      </c>
      <c r="I1628" s="25">
        <f t="array" ref="I1628">INDEX(H$5:H$67,MATCH($B1628,$B$5:$B$67,0))</f>
        <v>100.8</v>
      </c>
      <c r="J1628" s="25">
        <f t="array" ref="J1628">INDEX(I$5:I$67,MATCH($B1628,$B$5:$B$67,0))</f>
        <v>700</v>
      </c>
      <c r="K1628" s="25">
        <f t="array" ref="K1628">INDEX(J$5:J$67,MATCH($B1628,$B$5:$B$67,0))</f>
        <v>56</v>
      </c>
      <c r="L1628" s="25">
        <f t="shared" si="679"/>
        <v>13300</v>
      </c>
      <c r="M1628" s="25">
        <f t="shared" si="680"/>
        <v>5040</v>
      </c>
      <c r="N1628" s="25">
        <f t="shared" si="681"/>
        <v>6300</v>
      </c>
      <c r="O1628" s="25">
        <f t="shared" si="682"/>
        <v>3500</v>
      </c>
    </row>
    <row r="1629" ht="17.25" customHeight="1" spans="1:15">
      <c r="A1629" s="55">
        <v>1036051</v>
      </c>
      <c r="B1629" s="7" t="s">
        <v>364</v>
      </c>
      <c r="C1629" s="25">
        <f t="shared" si="678"/>
        <v>51</v>
      </c>
      <c r="D1629" s="25">
        <f t="array" ref="D1629">INDEX(C$5:C$67,MATCH($B1629,$B$5:$B$67,0))</f>
        <v>2660</v>
      </c>
      <c r="E1629" s="25">
        <f t="array" ref="E1629">INDEX(D$5:D$67,MATCH($B1629,$B$5:$B$67,0))</f>
        <v>212.8</v>
      </c>
      <c r="F1629" s="25">
        <f t="array" ref="F1629">INDEX(E$5:E$67,MATCH($B1629,$B$5:$B$67,0))</f>
        <v>1008</v>
      </c>
      <c r="G1629" s="25">
        <f t="array" ref="G1629">INDEX(F$5:F$67,MATCH($B1629,$B$5:$B$67,0))</f>
        <v>80.64</v>
      </c>
      <c r="H1629" s="25">
        <f t="array" ref="H1629">INDEX(G$5:G$66,MATCH($B1629,$B$5:$B$67,0))</f>
        <v>1260</v>
      </c>
      <c r="I1629" s="25">
        <f t="array" ref="I1629">INDEX(H$5:H$67,MATCH($B1629,$B$5:$B$67,0))</f>
        <v>100.8</v>
      </c>
      <c r="J1629" s="25">
        <f t="array" ref="J1629">INDEX(I$5:I$67,MATCH($B1629,$B$5:$B$67,0))</f>
        <v>700</v>
      </c>
      <c r="K1629" s="25">
        <f t="array" ref="K1629">INDEX(J$5:J$67,MATCH($B1629,$B$5:$B$67,0))</f>
        <v>56</v>
      </c>
      <c r="L1629" s="25">
        <f t="shared" si="679"/>
        <v>13513</v>
      </c>
      <c r="M1629" s="25">
        <f t="shared" si="680"/>
        <v>5121</v>
      </c>
      <c r="N1629" s="25">
        <f t="shared" si="681"/>
        <v>6401</v>
      </c>
      <c r="O1629" s="25">
        <f t="shared" si="682"/>
        <v>3556</v>
      </c>
    </row>
    <row r="1630" ht="17.25" customHeight="1" spans="1:15">
      <c r="A1630" s="55">
        <v>1036052</v>
      </c>
      <c r="B1630" s="7" t="s">
        <v>364</v>
      </c>
      <c r="C1630" s="25">
        <f t="shared" si="678"/>
        <v>52</v>
      </c>
      <c r="D1630" s="25">
        <f t="array" ref="D1630">INDEX(C$5:C$67,MATCH($B1630,$B$5:$B$67,0))</f>
        <v>2660</v>
      </c>
      <c r="E1630" s="25">
        <f t="array" ref="E1630">INDEX(D$5:D$67,MATCH($B1630,$B$5:$B$67,0))</f>
        <v>212.8</v>
      </c>
      <c r="F1630" s="25">
        <f t="array" ref="F1630">INDEX(E$5:E$67,MATCH($B1630,$B$5:$B$67,0))</f>
        <v>1008</v>
      </c>
      <c r="G1630" s="25">
        <f t="array" ref="G1630">INDEX(F$5:F$67,MATCH($B1630,$B$5:$B$67,0))</f>
        <v>80.64</v>
      </c>
      <c r="H1630" s="25">
        <f t="array" ref="H1630">INDEX(G$5:G$66,MATCH($B1630,$B$5:$B$67,0))</f>
        <v>1260</v>
      </c>
      <c r="I1630" s="25">
        <f t="array" ref="I1630">INDEX(H$5:H$67,MATCH($B1630,$B$5:$B$67,0))</f>
        <v>100.8</v>
      </c>
      <c r="J1630" s="25">
        <f t="array" ref="J1630">INDEX(I$5:I$67,MATCH($B1630,$B$5:$B$67,0))</f>
        <v>700</v>
      </c>
      <c r="K1630" s="25">
        <f t="array" ref="K1630">INDEX(J$5:J$67,MATCH($B1630,$B$5:$B$67,0))</f>
        <v>56</v>
      </c>
      <c r="L1630" s="25">
        <f t="shared" si="679"/>
        <v>13726</v>
      </c>
      <c r="M1630" s="25">
        <f t="shared" si="680"/>
        <v>5201</v>
      </c>
      <c r="N1630" s="25">
        <f t="shared" si="681"/>
        <v>6502</v>
      </c>
      <c r="O1630" s="25">
        <f t="shared" si="682"/>
        <v>3612</v>
      </c>
    </row>
    <row r="1631" ht="17.25" customHeight="1" spans="1:15">
      <c r="A1631" s="55">
        <v>1036053</v>
      </c>
      <c r="B1631" s="7" t="s">
        <v>364</v>
      </c>
      <c r="C1631" s="25">
        <f t="shared" si="678"/>
        <v>53</v>
      </c>
      <c r="D1631" s="25">
        <f t="array" ref="D1631">INDEX(C$5:C$67,MATCH($B1631,$B$5:$B$67,0))</f>
        <v>2660</v>
      </c>
      <c r="E1631" s="25">
        <f t="array" ref="E1631">INDEX(D$5:D$67,MATCH($B1631,$B$5:$B$67,0))</f>
        <v>212.8</v>
      </c>
      <c r="F1631" s="25">
        <f t="array" ref="F1631">INDEX(E$5:E$67,MATCH($B1631,$B$5:$B$67,0))</f>
        <v>1008</v>
      </c>
      <c r="G1631" s="25">
        <f t="array" ref="G1631">INDEX(F$5:F$67,MATCH($B1631,$B$5:$B$67,0))</f>
        <v>80.64</v>
      </c>
      <c r="H1631" s="25">
        <f t="array" ref="H1631">INDEX(G$5:G$66,MATCH($B1631,$B$5:$B$67,0))</f>
        <v>1260</v>
      </c>
      <c r="I1631" s="25">
        <f t="array" ref="I1631">INDEX(H$5:H$67,MATCH($B1631,$B$5:$B$67,0))</f>
        <v>100.8</v>
      </c>
      <c r="J1631" s="25">
        <f t="array" ref="J1631">INDEX(I$5:I$67,MATCH($B1631,$B$5:$B$67,0))</f>
        <v>700</v>
      </c>
      <c r="K1631" s="25">
        <f t="array" ref="K1631">INDEX(J$5:J$67,MATCH($B1631,$B$5:$B$67,0))</f>
        <v>56</v>
      </c>
      <c r="L1631" s="25">
        <f t="shared" si="679"/>
        <v>13938</v>
      </c>
      <c r="M1631" s="25">
        <f t="shared" si="680"/>
        <v>5282</v>
      </c>
      <c r="N1631" s="25">
        <f t="shared" si="681"/>
        <v>6602</v>
      </c>
      <c r="O1631" s="25">
        <f t="shared" si="682"/>
        <v>3668</v>
      </c>
    </row>
    <row r="1632" ht="17.25" customHeight="1" spans="1:15">
      <c r="A1632" s="55">
        <v>1036054</v>
      </c>
      <c r="B1632" s="7" t="s">
        <v>364</v>
      </c>
      <c r="C1632" s="25">
        <f t="shared" si="678"/>
        <v>54</v>
      </c>
      <c r="D1632" s="25">
        <f t="array" ref="D1632">INDEX(C$5:C$67,MATCH($B1632,$B$5:$B$67,0))</f>
        <v>2660</v>
      </c>
      <c r="E1632" s="25">
        <f t="array" ref="E1632">INDEX(D$5:D$67,MATCH($B1632,$B$5:$B$67,0))</f>
        <v>212.8</v>
      </c>
      <c r="F1632" s="25">
        <f t="array" ref="F1632">INDEX(E$5:E$67,MATCH($B1632,$B$5:$B$67,0))</f>
        <v>1008</v>
      </c>
      <c r="G1632" s="25">
        <f t="array" ref="G1632">INDEX(F$5:F$67,MATCH($B1632,$B$5:$B$67,0))</f>
        <v>80.64</v>
      </c>
      <c r="H1632" s="25">
        <f t="array" ref="H1632">INDEX(G$5:G$66,MATCH($B1632,$B$5:$B$67,0))</f>
        <v>1260</v>
      </c>
      <c r="I1632" s="25">
        <f t="array" ref="I1632">INDEX(H$5:H$67,MATCH($B1632,$B$5:$B$67,0))</f>
        <v>100.8</v>
      </c>
      <c r="J1632" s="25">
        <f t="array" ref="J1632">INDEX(I$5:I$67,MATCH($B1632,$B$5:$B$67,0))</f>
        <v>700</v>
      </c>
      <c r="K1632" s="25">
        <f t="array" ref="K1632">INDEX(J$5:J$67,MATCH($B1632,$B$5:$B$67,0))</f>
        <v>56</v>
      </c>
      <c r="L1632" s="25">
        <f t="shared" si="679"/>
        <v>14151</v>
      </c>
      <c r="M1632" s="25">
        <f t="shared" si="680"/>
        <v>5363</v>
      </c>
      <c r="N1632" s="25">
        <f t="shared" si="681"/>
        <v>6703</v>
      </c>
      <c r="O1632" s="25">
        <f t="shared" si="682"/>
        <v>3724</v>
      </c>
    </row>
    <row r="1633" ht="17.25" customHeight="1" spans="1:15">
      <c r="A1633" s="55">
        <v>1036055</v>
      </c>
      <c r="B1633" s="7" t="s">
        <v>364</v>
      </c>
      <c r="C1633" s="25">
        <f t="shared" si="678"/>
        <v>55</v>
      </c>
      <c r="D1633" s="25">
        <f t="array" ref="D1633">INDEX(C$5:C$67,MATCH($B1633,$B$5:$B$67,0))</f>
        <v>2660</v>
      </c>
      <c r="E1633" s="25">
        <f t="array" ref="E1633">INDEX(D$5:D$67,MATCH($B1633,$B$5:$B$67,0))</f>
        <v>212.8</v>
      </c>
      <c r="F1633" s="25">
        <f t="array" ref="F1633">INDEX(E$5:E$67,MATCH($B1633,$B$5:$B$67,0))</f>
        <v>1008</v>
      </c>
      <c r="G1633" s="25">
        <f t="array" ref="G1633">INDEX(F$5:F$67,MATCH($B1633,$B$5:$B$67,0))</f>
        <v>80.64</v>
      </c>
      <c r="H1633" s="25">
        <f t="array" ref="H1633">INDEX(G$5:G$66,MATCH($B1633,$B$5:$B$67,0))</f>
        <v>1260</v>
      </c>
      <c r="I1633" s="25">
        <f t="array" ref="I1633">INDEX(H$5:H$67,MATCH($B1633,$B$5:$B$67,0))</f>
        <v>100.8</v>
      </c>
      <c r="J1633" s="25">
        <f t="array" ref="J1633">INDEX(I$5:I$67,MATCH($B1633,$B$5:$B$67,0))</f>
        <v>700</v>
      </c>
      <c r="K1633" s="25">
        <f t="array" ref="K1633">INDEX(J$5:J$67,MATCH($B1633,$B$5:$B$67,0))</f>
        <v>56</v>
      </c>
      <c r="L1633" s="25">
        <f t="shared" si="679"/>
        <v>14364</v>
      </c>
      <c r="M1633" s="25">
        <f t="shared" si="680"/>
        <v>5443</v>
      </c>
      <c r="N1633" s="25">
        <f t="shared" si="681"/>
        <v>6804</v>
      </c>
      <c r="O1633" s="25">
        <f t="shared" si="682"/>
        <v>3780</v>
      </c>
    </row>
    <row r="1634" ht="17.25" customHeight="1" spans="1:15">
      <c r="A1634" s="55">
        <v>1036056</v>
      </c>
      <c r="B1634" s="7" t="s">
        <v>364</v>
      </c>
      <c r="C1634" s="25">
        <f t="shared" si="678"/>
        <v>56</v>
      </c>
      <c r="D1634" s="25">
        <f t="array" ref="D1634">INDEX(C$5:C$67,MATCH($B1634,$B$5:$B$67,0))</f>
        <v>2660</v>
      </c>
      <c r="E1634" s="25">
        <f t="array" ref="E1634">INDEX(D$5:D$67,MATCH($B1634,$B$5:$B$67,0))</f>
        <v>212.8</v>
      </c>
      <c r="F1634" s="25">
        <f t="array" ref="F1634">INDEX(E$5:E$67,MATCH($B1634,$B$5:$B$67,0))</f>
        <v>1008</v>
      </c>
      <c r="G1634" s="25">
        <f t="array" ref="G1634">INDEX(F$5:F$67,MATCH($B1634,$B$5:$B$67,0))</f>
        <v>80.64</v>
      </c>
      <c r="H1634" s="25">
        <f t="array" ref="H1634">INDEX(G$5:G$66,MATCH($B1634,$B$5:$B$67,0))</f>
        <v>1260</v>
      </c>
      <c r="I1634" s="25">
        <f t="array" ref="I1634">INDEX(H$5:H$67,MATCH($B1634,$B$5:$B$67,0))</f>
        <v>100.8</v>
      </c>
      <c r="J1634" s="25">
        <f t="array" ref="J1634">INDEX(I$5:I$67,MATCH($B1634,$B$5:$B$67,0))</f>
        <v>700</v>
      </c>
      <c r="K1634" s="25">
        <f t="array" ref="K1634">INDEX(J$5:J$67,MATCH($B1634,$B$5:$B$67,0))</f>
        <v>56</v>
      </c>
      <c r="L1634" s="25">
        <f t="shared" si="679"/>
        <v>14577</v>
      </c>
      <c r="M1634" s="25">
        <f t="shared" si="680"/>
        <v>5524</v>
      </c>
      <c r="N1634" s="25">
        <f t="shared" si="681"/>
        <v>6905</v>
      </c>
      <c r="O1634" s="25">
        <f t="shared" si="682"/>
        <v>3836</v>
      </c>
    </row>
    <row r="1635" ht="17.25" customHeight="1" spans="1:15">
      <c r="A1635" s="55">
        <v>1036057</v>
      </c>
      <c r="B1635" s="7" t="s">
        <v>364</v>
      </c>
      <c r="C1635" s="25">
        <f t="shared" si="678"/>
        <v>57</v>
      </c>
      <c r="D1635" s="25">
        <f t="array" ref="D1635">INDEX(C$5:C$67,MATCH($B1635,$B$5:$B$67,0))</f>
        <v>2660</v>
      </c>
      <c r="E1635" s="25">
        <f t="array" ref="E1635">INDEX(D$5:D$67,MATCH($B1635,$B$5:$B$67,0))</f>
        <v>212.8</v>
      </c>
      <c r="F1635" s="25">
        <f t="array" ref="F1635">INDEX(E$5:E$67,MATCH($B1635,$B$5:$B$67,0))</f>
        <v>1008</v>
      </c>
      <c r="G1635" s="25">
        <f t="array" ref="G1635">INDEX(F$5:F$67,MATCH($B1635,$B$5:$B$67,0))</f>
        <v>80.64</v>
      </c>
      <c r="H1635" s="25">
        <f t="array" ref="H1635">INDEX(G$5:G$66,MATCH($B1635,$B$5:$B$67,0))</f>
        <v>1260</v>
      </c>
      <c r="I1635" s="25">
        <f t="array" ref="I1635">INDEX(H$5:H$67,MATCH($B1635,$B$5:$B$67,0))</f>
        <v>100.8</v>
      </c>
      <c r="J1635" s="25">
        <f t="array" ref="J1635">INDEX(I$5:I$67,MATCH($B1635,$B$5:$B$67,0))</f>
        <v>700</v>
      </c>
      <c r="K1635" s="25">
        <f t="array" ref="K1635">INDEX(J$5:J$67,MATCH($B1635,$B$5:$B$67,0))</f>
        <v>56</v>
      </c>
      <c r="L1635" s="25">
        <f t="shared" si="679"/>
        <v>14790</v>
      </c>
      <c r="M1635" s="25">
        <f t="shared" si="680"/>
        <v>5604</v>
      </c>
      <c r="N1635" s="25">
        <f t="shared" si="681"/>
        <v>7006</v>
      </c>
      <c r="O1635" s="25">
        <f t="shared" si="682"/>
        <v>3892</v>
      </c>
    </row>
    <row r="1636" ht="17.25" customHeight="1" spans="1:15">
      <c r="A1636" s="55">
        <v>1036058</v>
      </c>
      <c r="B1636" s="7" t="s">
        <v>364</v>
      </c>
      <c r="C1636" s="25">
        <f t="shared" si="678"/>
        <v>58</v>
      </c>
      <c r="D1636" s="25">
        <f t="array" ref="D1636">INDEX(C$5:C$67,MATCH($B1636,$B$5:$B$67,0))</f>
        <v>2660</v>
      </c>
      <c r="E1636" s="25">
        <f t="array" ref="E1636">INDEX(D$5:D$67,MATCH($B1636,$B$5:$B$67,0))</f>
        <v>212.8</v>
      </c>
      <c r="F1636" s="25">
        <f t="array" ref="F1636">INDEX(E$5:E$67,MATCH($B1636,$B$5:$B$67,0))</f>
        <v>1008</v>
      </c>
      <c r="G1636" s="25">
        <f t="array" ref="G1636">INDEX(F$5:F$67,MATCH($B1636,$B$5:$B$67,0))</f>
        <v>80.64</v>
      </c>
      <c r="H1636" s="25">
        <f t="array" ref="H1636">INDEX(G$5:G$66,MATCH($B1636,$B$5:$B$67,0))</f>
        <v>1260</v>
      </c>
      <c r="I1636" s="25">
        <f t="array" ref="I1636">INDEX(H$5:H$67,MATCH($B1636,$B$5:$B$67,0))</f>
        <v>100.8</v>
      </c>
      <c r="J1636" s="25">
        <f t="array" ref="J1636">INDEX(I$5:I$67,MATCH($B1636,$B$5:$B$67,0))</f>
        <v>700</v>
      </c>
      <c r="K1636" s="25">
        <f t="array" ref="K1636">INDEX(J$5:J$67,MATCH($B1636,$B$5:$B$67,0))</f>
        <v>56</v>
      </c>
      <c r="L1636" s="25">
        <f t="shared" si="679"/>
        <v>15002</v>
      </c>
      <c r="M1636" s="25">
        <f t="shared" si="680"/>
        <v>5685</v>
      </c>
      <c r="N1636" s="25">
        <f t="shared" si="681"/>
        <v>7106</v>
      </c>
      <c r="O1636" s="25">
        <f t="shared" si="682"/>
        <v>3948</v>
      </c>
    </row>
    <row r="1637" ht="17.25" customHeight="1" spans="1:15">
      <c r="A1637" s="55">
        <v>1036059</v>
      </c>
      <c r="B1637" s="7" t="s">
        <v>364</v>
      </c>
      <c r="C1637" s="25">
        <f t="shared" si="678"/>
        <v>59</v>
      </c>
      <c r="D1637" s="25">
        <f t="array" ref="D1637">INDEX(C$5:C$67,MATCH($B1637,$B$5:$B$67,0))</f>
        <v>2660</v>
      </c>
      <c r="E1637" s="25">
        <f t="array" ref="E1637">INDEX(D$5:D$67,MATCH($B1637,$B$5:$B$67,0))</f>
        <v>212.8</v>
      </c>
      <c r="F1637" s="25">
        <f t="array" ref="F1637">INDEX(E$5:E$67,MATCH($B1637,$B$5:$B$67,0))</f>
        <v>1008</v>
      </c>
      <c r="G1637" s="25">
        <f t="array" ref="G1637">INDEX(F$5:F$67,MATCH($B1637,$B$5:$B$67,0))</f>
        <v>80.64</v>
      </c>
      <c r="H1637" s="25">
        <f t="array" ref="H1637">INDEX(G$5:G$66,MATCH($B1637,$B$5:$B$67,0))</f>
        <v>1260</v>
      </c>
      <c r="I1637" s="25">
        <f t="array" ref="I1637">INDEX(H$5:H$67,MATCH($B1637,$B$5:$B$67,0))</f>
        <v>100.8</v>
      </c>
      <c r="J1637" s="25">
        <f t="array" ref="J1637">INDEX(I$5:I$67,MATCH($B1637,$B$5:$B$67,0))</f>
        <v>700</v>
      </c>
      <c r="K1637" s="25">
        <f t="array" ref="K1637">INDEX(J$5:J$67,MATCH($B1637,$B$5:$B$67,0))</f>
        <v>56</v>
      </c>
      <c r="L1637" s="25">
        <f t="shared" si="679"/>
        <v>15215</v>
      </c>
      <c r="M1637" s="25">
        <f t="shared" si="680"/>
        <v>5766</v>
      </c>
      <c r="N1637" s="25">
        <f t="shared" si="681"/>
        <v>7207</v>
      </c>
      <c r="O1637" s="25">
        <f t="shared" si="682"/>
        <v>4004</v>
      </c>
    </row>
    <row r="1638" ht="17.25" customHeight="1" spans="1:15">
      <c r="A1638" s="55">
        <v>1036060</v>
      </c>
      <c r="B1638" s="7" t="s">
        <v>364</v>
      </c>
      <c r="C1638" s="25">
        <f t="shared" si="678"/>
        <v>60</v>
      </c>
      <c r="D1638" s="25">
        <f t="array" ref="D1638">INDEX(C$5:C$67,MATCH($B1638,$B$5:$B$67,0))</f>
        <v>2660</v>
      </c>
      <c r="E1638" s="25">
        <f t="array" ref="E1638">INDEX(D$5:D$67,MATCH($B1638,$B$5:$B$67,0))</f>
        <v>212.8</v>
      </c>
      <c r="F1638" s="25">
        <f t="array" ref="F1638">INDEX(E$5:E$67,MATCH($B1638,$B$5:$B$67,0))</f>
        <v>1008</v>
      </c>
      <c r="G1638" s="25">
        <f t="array" ref="G1638">INDEX(F$5:F$67,MATCH($B1638,$B$5:$B$67,0))</f>
        <v>80.64</v>
      </c>
      <c r="H1638" s="25">
        <f t="array" ref="H1638">INDEX(G$5:G$66,MATCH($B1638,$B$5:$B$67,0))</f>
        <v>1260</v>
      </c>
      <c r="I1638" s="25">
        <f t="array" ref="I1638">INDEX(H$5:H$67,MATCH($B1638,$B$5:$B$67,0))</f>
        <v>100.8</v>
      </c>
      <c r="J1638" s="25">
        <f t="array" ref="J1638">INDEX(I$5:I$67,MATCH($B1638,$B$5:$B$67,0))</f>
        <v>700</v>
      </c>
      <c r="K1638" s="25">
        <f t="array" ref="K1638">INDEX(J$5:J$67,MATCH($B1638,$B$5:$B$67,0))</f>
        <v>56</v>
      </c>
      <c r="L1638" s="25">
        <f t="shared" si="679"/>
        <v>15428</v>
      </c>
      <c r="M1638" s="25">
        <f t="shared" si="680"/>
        <v>5846</v>
      </c>
      <c r="N1638" s="25">
        <f t="shared" si="681"/>
        <v>7308</v>
      </c>
      <c r="O1638" s="25">
        <f t="shared" si="682"/>
        <v>4060</v>
      </c>
    </row>
    <row r="1639" ht="17.25" customHeight="1" spans="1:15">
      <c r="A1639" s="55">
        <v>1037001</v>
      </c>
      <c r="B1639" s="7" t="s">
        <v>365</v>
      </c>
      <c r="C1639" s="25">
        <f t="shared" si="678"/>
        <v>1</v>
      </c>
      <c r="D1639" s="25">
        <f t="array" ref="D1639">INDEX(C$5:C$67,MATCH($B1639,$B$5:$B$67,0))</f>
        <v>3859</v>
      </c>
      <c r="E1639" s="25">
        <f t="array" ref="E1639">INDEX(D$5:D$67,MATCH($B1639,$B$5:$B$67,0))</f>
        <v>308.72</v>
      </c>
      <c r="F1639" s="25">
        <f t="array" ref="F1639">INDEX(E$5:E$67,MATCH($B1639,$B$5:$B$67,0))</f>
        <v>1047</v>
      </c>
      <c r="G1639" s="25">
        <f t="array" ref="G1639">INDEX(F$5:F$67,MATCH($B1639,$B$5:$B$67,0))</f>
        <v>83.76</v>
      </c>
      <c r="H1639" s="25">
        <f t="array" ref="H1639">INDEX(G$5:G$66,MATCH($B1639,$B$5:$B$67,0))</f>
        <v>758</v>
      </c>
      <c r="I1639" s="25">
        <f t="array" ref="I1639">INDEX(H$5:H$67,MATCH($B1639,$B$5:$B$67,0))</f>
        <v>60.64</v>
      </c>
      <c r="J1639" s="25">
        <f t="array" ref="J1639">INDEX(I$5:I$67,MATCH($B1639,$B$5:$B$67,0))</f>
        <v>665</v>
      </c>
      <c r="K1639" s="25">
        <f t="array" ref="K1639">INDEX(J$5:J$67,MATCH($B1639,$B$5:$B$67,0))</f>
        <v>53.2</v>
      </c>
      <c r="L1639" s="25">
        <f t="shared" si="679"/>
        <v>4168</v>
      </c>
      <c r="M1639" s="25">
        <f t="shared" si="680"/>
        <v>1131</v>
      </c>
      <c r="N1639" s="25">
        <f t="shared" si="681"/>
        <v>819</v>
      </c>
      <c r="O1639" s="25">
        <f t="shared" si="682"/>
        <v>718</v>
      </c>
    </row>
    <row r="1640" ht="17.25" customHeight="1" spans="1:15">
      <c r="A1640" s="55">
        <v>1037002</v>
      </c>
      <c r="B1640" s="7" t="s">
        <v>365</v>
      </c>
      <c r="C1640" s="25">
        <f t="shared" si="678"/>
        <v>2</v>
      </c>
      <c r="D1640" s="25">
        <f t="array" ref="D1640">INDEX(C$5:C$67,MATCH($B1640,$B$5:$B$67,0))</f>
        <v>3859</v>
      </c>
      <c r="E1640" s="25">
        <f t="array" ref="E1640">INDEX(D$5:D$67,MATCH($B1640,$B$5:$B$67,0))</f>
        <v>308.72</v>
      </c>
      <c r="F1640" s="25">
        <f t="array" ref="F1640">INDEX(E$5:E$67,MATCH($B1640,$B$5:$B$67,0))</f>
        <v>1047</v>
      </c>
      <c r="G1640" s="25">
        <f t="array" ref="G1640">INDEX(F$5:F$67,MATCH($B1640,$B$5:$B$67,0))</f>
        <v>83.76</v>
      </c>
      <c r="H1640" s="25">
        <f t="array" ref="H1640">INDEX(G$5:G$66,MATCH($B1640,$B$5:$B$67,0))</f>
        <v>758</v>
      </c>
      <c r="I1640" s="25">
        <f t="array" ref="I1640">INDEX(H$5:H$67,MATCH($B1640,$B$5:$B$67,0))</f>
        <v>60.64</v>
      </c>
      <c r="J1640" s="25">
        <f t="array" ref="J1640">INDEX(I$5:I$67,MATCH($B1640,$B$5:$B$67,0))</f>
        <v>665</v>
      </c>
      <c r="K1640" s="25">
        <f t="array" ref="K1640">INDEX(J$5:J$67,MATCH($B1640,$B$5:$B$67,0))</f>
        <v>53.2</v>
      </c>
      <c r="L1640" s="25">
        <f t="shared" si="679"/>
        <v>4476</v>
      </c>
      <c r="M1640" s="25">
        <f t="shared" si="680"/>
        <v>1215</v>
      </c>
      <c r="N1640" s="25">
        <f t="shared" si="681"/>
        <v>879</v>
      </c>
      <c r="O1640" s="25">
        <f t="shared" si="682"/>
        <v>771</v>
      </c>
    </row>
    <row r="1641" ht="17.25" customHeight="1" spans="1:15">
      <c r="A1641" s="55">
        <v>1037003</v>
      </c>
      <c r="B1641" s="7" t="s">
        <v>365</v>
      </c>
      <c r="C1641" s="25">
        <f t="shared" si="678"/>
        <v>3</v>
      </c>
      <c r="D1641" s="25">
        <f t="array" ref="D1641">INDEX(C$5:C$67,MATCH($B1641,$B$5:$B$67,0))</f>
        <v>3859</v>
      </c>
      <c r="E1641" s="25">
        <f t="array" ref="E1641">INDEX(D$5:D$67,MATCH($B1641,$B$5:$B$67,0))</f>
        <v>308.72</v>
      </c>
      <c r="F1641" s="25">
        <f t="array" ref="F1641">INDEX(E$5:E$67,MATCH($B1641,$B$5:$B$67,0))</f>
        <v>1047</v>
      </c>
      <c r="G1641" s="25">
        <f t="array" ref="G1641">INDEX(F$5:F$67,MATCH($B1641,$B$5:$B$67,0))</f>
        <v>83.76</v>
      </c>
      <c r="H1641" s="25">
        <f t="array" ref="H1641">INDEX(G$5:G$66,MATCH($B1641,$B$5:$B$67,0))</f>
        <v>758</v>
      </c>
      <c r="I1641" s="25">
        <f t="array" ref="I1641">INDEX(H$5:H$67,MATCH($B1641,$B$5:$B$67,0))</f>
        <v>60.64</v>
      </c>
      <c r="J1641" s="25">
        <f t="array" ref="J1641">INDEX(I$5:I$67,MATCH($B1641,$B$5:$B$67,0))</f>
        <v>665</v>
      </c>
      <c r="K1641" s="25">
        <f t="array" ref="K1641">INDEX(J$5:J$67,MATCH($B1641,$B$5:$B$67,0))</f>
        <v>53.2</v>
      </c>
      <c r="L1641" s="25">
        <f t="shared" si="679"/>
        <v>4785</v>
      </c>
      <c r="M1641" s="25">
        <f t="shared" si="680"/>
        <v>1298</v>
      </c>
      <c r="N1641" s="25">
        <f t="shared" si="681"/>
        <v>940</v>
      </c>
      <c r="O1641" s="25">
        <f t="shared" si="682"/>
        <v>825</v>
      </c>
    </row>
    <row r="1642" ht="17.25" customHeight="1" spans="1:15">
      <c r="A1642" s="55">
        <v>1037004</v>
      </c>
      <c r="B1642" s="7" t="s">
        <v>365</v>
      </c>
      <c r="C1642" s="25">
        <f t="shared" si="678"/>
        <v>4</v>
      </c>
      <c r="D1642" s="25">
        <f t="array" ref="D1642">INDEX(C$5:C$67,MATCH($B1642,$B$5:$B$67,0))</f>
        <v>3859</v>
      </c>
      <c r="E1642" s="25">
        <f t="array" ref="E1642">INDEX(D$5:D$67,MATCH($B1642,$B$5:$B$67,0))</f>
        <v>308.72</v>
      </c>
      <c r="F1642" s="25">
        <f t="array" ref="F1642">INDEX(E$5:E$67,MATCH($B1642,$B$5:$B$67,0))</f>
        <v>1047</v>
      </c>
      <c r="G1642" s="25">
        <f t="array" ref="G1642">INDEX(F$5:F$67,MATCH($B1642,$B$5:$B$67,0))</f>
        <v>83.76</v>
      </c>
      <c r="H1642" s="25">
        <f t="array" ref="H1642">INDEX(G$5:G$66,MATCH($B1642,$B$5:$B$67,0))</f>
        <v>758</v>
      </c>
      <c r="I1642" s="25">
        <f t="array" ref="I1642">INDEX(H$5:H$67,MATCH($B1642,$B$5:$B$67,0))</f>
        <v>60.64</v>
      </c>
      <c r="J1642" s="25">
        <f t="array" ref="J1642">INDEX(I$5:I$67,MATCH($B1642,$B$5:$B$67,0))</f>
        <v>665</v>
      </c>
      <c r="K1642" s="25">
        <f t="array" ref="K1642">INDEX(J$5:J$67,MATCH($B1642,$B$5:$B$67,0))</f>
        <v>53.2</v>
      </c>
      <c r="L1642" s="25">
        <f t="shared" si="679"/>
        <v>5094</v>
      </c>
      <c r="M1642" s="25">
        <f t="shared" si="680"/>
        <v>1382</v>
      </c>
      <c r="N1642" s="25">
        <f t="shared" si="681"/>
        <v>1001</v>
      </c>
      <c r="O1642" s="25">
        <f t="shared" si="682"/>
        <v>878</v>
      </c>
    </row>
    <row r="1643" ht="17.25" customHeight="1" spans="1:15">
      <c r="A1643" s="55">
        <v>1037005</v>
      </c>
      <c r="B1643" s="7" t="s">
        <v>365</v>
      </c>
      <c r="C1643" s="25">
        <f t="shared" si="678"/>
        <v>5</v>
      </c>
      <c r="D1643" s="25">
        <f t="array" ref="D1643">INDEX(C$5:C$67,MATCH($B1643,$B$5:$B$67,0))</f>
        <v>3859</v>
      </c>
      <c r="E1643" s="25">
        <f t="array" ref="E1643">INDEX(D$5:D$67,MATCH($B1643,$B$5:$B$67,0))</f>
        <v>308.72</v>
      </c>
      <c r="F1643" s="25">
        <f t="array" ref="F1643">INDEX(E$5:E$67,MATCH($B1643,$B$5:$B$67,0))</f>
        <v>1047</v>
      </c>
      <c r="G1643" s="25">
        <f t="array" ref="G1643">INDEX(F$5:F$67,MATCH($B1643,$B$5:$B$67,0))</f>
        <v>83.76</v>
      </c>
      <c r="H1643" s="25">
        <f t="array" ref="H1643">INDEX(G$5:G$66,MATCH($B1643,$B$5:$B$67,0))</f>
        <v>758</v>
      </c>
      <c r="I1643" s="25">
        <f t="array" ref="I1643">INDEX(H$5:H$67,MATCH($B1643,$B$5:$B$67,0))</f>
        <v>60.64</v>
      </c>
      <c r="J1643" s="25">
        <f t="array" ref="J1643">INDEX(I$5:I$67,MATCH($B1643,$B$5:$B$67,0))</f>
        <v>665</v>
      </c>
      <c r="K1643" s="25">
        <f t="array" ref="K1643">INDEX(J$5:J$67,MATCH($B1643,$B$5:$B$67,0))</f>
        <v>53.2</v>
      </c>
      <c r="L1643" s="25">
        <f t="shared" si="679"/>
        <v>5403</v>
      </c>
      <c r="M1643" s="25">
        <f t="shared" si="680"/>
        <v>1466</v>
      </c>
      <c r="N1643" s="25">
        <f t="shared" si="681"/>
        <v>1061</v>
      </c>
      <c r="O1643" s="25">
        <f t="shared" si="682"/>
        <v>931</v>
      </c>
    </row>
    <row r="1644" ht="17.25" customHeight="1" spans="1:15">
      <c r="A1644" s="55">
        <v>1037006</v>
      </c>
      <c r="B1644" s="7" t="s">
        <v>365</v>
      </c>
      <c r="C1644" s="25">
        <f t="shared" si="678"/>
        <v>6</v>
      </c>
      <c r="D1644" s="25">
        <f t="array" ref="D1644">INDEX(C$5:C$67,MATCH($B1644,$B$5:$B$67,0))</f>
        <v>3859</v>
      </c>
      <c r="E1644" s="25">
        <f t="array" ref="E1644">INDEX(D$5:D$67,MATCH($B1644,$B$5:$B$67,0))</f>
        <v>308.72</v>
      </c>
      <c r="F1644" s="25">
        <f t="array" ref="F1644">INDEX(E$5:E$67,MATCH($B1644,$B$5:$B$67,0))</f>
        <v>1047</v>
      </c>
      <c r="G1644" s="25">
        <f t="array" ref="G1644">INDEX(F$5:F$67,MATCH($B1644,$B$5:$B$67,0))</f>
        <v>83.76</v>
      </c>
      <c r="H1644" s="25">
        <f t="array" ref="H1644">INDEX(G$5:G$66,MATCH($B1644,$B$5:$B$67,0))</f>
        <v>758</v>
      </c>
      <c r="I1644" s="25">
        <f t="array" ref="I1644">INDEX(H$5:H$67,MATCH($B1644,$B$5:$B$67,0))</f>
        <v>60.64</v>
      </c>
      <c r="J1644" s="25">
        <f t="array" ref="J1644">INDEX(I$5:I$67,MATCH($B1644,$B$5:$B$67,0))</f>
        <v>665</v>
      </c>
      <c r="K1644" s="25">
        <f t="array" ref="K1644">INDEX(J$5:J$67,MATCH($B1644,$B$5:$B$67,0))</f>
        <v>53.2</v>
      </c>
      <c r="L1644" s="25">
        <f t="shared" si="679"/>
        <v>5711</v>
      </c>
      <c r="M1644" s="25">
        <f t="shared" si="680"/>
        <v>1550</v>
      </c>
      <c r="N1644" s="25">
        <f t="shared" si="681"/>
        <v>1122</v>
      </c>
      <c r="O1644" s="25">
        <f t="shared" si="682"/>
        <v>984</v>
      </c>
    </row>
    <row r="1645" ht="17.25" customHeight="1" spans="1:15">
      <c r="A1645" s="55">
        <v>1037007</v>
      </c>
      <c r="B1645" s="7" t="s">
        <v>365</v>
      </c>
      <c r="C1645" s="25">
        <f t="shared" si="678"/>
        <v>7</v>
      </c>
      <c r="D1645" s="25">
        <f t="array" ref="D1645">INDEX(C$5:C$67,MATCH($B1645,$B$5:$B$67,0))</f>
        <v>3859</v>
      </c>
      <c r="E1645" s="25">
        <f t="array" ref="E1645">INDEX(D$5:D$67,MATCH($B1645,$B$5:$B$67,0))</f>
        <v>308.72</v>
      </c>
      <c r="F1645" s="25">
        <f t="array" ref="F1645">INDEX(E$5:E$67,MATCH($B1645,$B$5:$B$67,0))</f>
        <v>1047</v>
      </c>
      <c r="G1645" s="25">
        <f t="array" ref="G1645">INDEX(F$5:F$67,MATCH($B1645,$B$5:$B$67,0))</f>
        <v>83.76</v>
      </c>
      <c r="H1645" s="25">
        <f t="array" ref="H1645">INDEX(G$5:G$66,MATCH($B1645,$B$5:$B$67,0))</f>
        <v>758</v>
      </c>
      <c r="I1645" s="25">
        <f t="array" ref="I1645">INDEX(H$5:H$67,MATCH($B1645,$B$5:$B$67,0))</f>
        <v>60.64</v>
      </c>
      <c r="J1645" s="25">
        <f t="array" ref="J1645">INDEX(I$5:I$67,MATCH($B1645,$B$5:$B$67,0))</f>
        <v>665</v>
      </c>
      <c r="K1645" s="25">
        <f t="array" ref="K1645">INDEX(J$5:J$67,MATCH($B1645,$B$5:$B$67,0))</f>
        <v>53.2</v>
      </c>
      <c r="L1645" s="25">
        <f t="shared" si="679"/>
        <v>6020</v>
      </c>
      <c r="M1645" s="25">
        <f t="shared" si="680"/>
        <v>1633</v>
      </c>
      <c r="N1645" s="25">
        <f t="shared" si="681"/>
        <v>1182</v>
      </c>
      <c r="O1645" s="25">
        <f t="shared" si="682"/>
        <v>1037</v>
      </c>
    </row>
    <row r="1646" ht="17.25" customHeight="1" spans="1:15">
      <c r="A1646" s="55">
        <v>1037008</v>
      </c>
      <c r="B1646" s="7" t="s">
        <v>365</v>
      </c>
      <c r="C1646" s="25">
        <f t="shared" si="678"/>
        <v>8</v>
      </c>
      <c r="D1646" s="25">
        <f t="array" ref="D1646">INDEX(C$5:C$67,MATCH($B1646,$B$5:$B$67,0))</f>
        <v>3859</v>
      </c>
      <c r="E1646" s="25">
        <f t="array" ref="E1646">INDEX(D$5:D$67,MATCH($B1646,$B$5:$B$67,0))</f>
        <v>308.72</v>
      </c>
      <c r="F1646" s="25">
        <f t="array" ref="F1646">INDEX(E$5:E$67,MATCH($B1646,$B$5:$B$67,0))</f>
        <v>1047</v>
      </c>
      <c r="G1646" s="25">
        <f t="array" ref="G1646">INDEX(F$5:F$67,MATCH($B1646,$B$5:$B$67,0))</f>
        <v>83.76</v>
      </c>
      <c r="H1646" s="25">
        <f t="array" ref="H1646">INDEX(G$5:G$66,MATCH($B1646,$B$5:$B$67,0))</f>
        <v>758</v>
      </c>
      <c r="I1646" s="25">
        <f t="array" ref="I1646">INDEX(H$5:H$67,MATCH($B1646,$B$5:$B$67,0))</f>
        <v>60.64</v>
      </c>
      <c r="J1646" s="25">
        <f t="array" ref="J1646">INDEX(I$5:I$67,MATCH($B1646,$B$5:$B$67,0))</f>
        <v>665</v>
      </c>
      <c r="K1646" s="25">
        <f t="array" ref="K1646">INDEX(J$5:J$67,MATCH($B1646,$B$5:$B$67,0))</f>
        <v>53.2</v>
      </c>
      <c r="L1646" s="25">
        <f t="shared" si="679"/>
        <v>6329</v>
      </c>
      <c r="M1646" s="25">
        <f t="shared" si="680"/>
        <v>1717</v>
      </c>
      <c r="N1646" s="25">
        <f t="shared" si="681"/>
        <v>1243</v>
      </c>
      <c r="O1646" s="25">
        <f t="shared" si="682"/>
        <v>1091</v>
      </c>
    </row>
    <row r="1647" ht="17.25" customHeight="1" spans="1:15">
      <c r="A1647" s="55">
        <v>1037009</v>
      </c>
      <c r="B1647" s="7" t="s">
        <v>365</v>
      </c>
      <c r="C1647" s="25">
        <f t="shared" si="678"/>
        <v>9</v>
      </c>
      <c r="D1647" s="25">
        <f t="array" ref="D1647">INDEX(C$5:C$67,MATCH($B1647,$B$5:$B$67,0))</f>
        <v>3859</v>
      </c>
      <c r="E1647" s="25">
        <f t="array" ref="E1647">INDEX(D$5:D$67,MATCH($B1647,$B$5:$B$67,0))</f>
        <v>308.72</v>
      </c>
      <c r="F1647" s="25">
        <f t="array" ref="F1647">INDEX(E$5:E$67,MATCH($B1647,$B$5:$B$67,0))</f>
        <v>1047</v>
      </c>
      <c r="G1647" s="25">
        <f t="array" ref="G1647">INDEX(F$5:F$67,MATCH($B1647,$B$5:$B$67,0))</f>
        <v>83.76</v>
      </c>
      <c r="H1647" s="25">
        <f t="array" ref="H1647">INDEX(G$5:G$66,MATCH($B1647,$B$5:$B$67,0))</f>
        <v>758</v>
      </c>
      <c r="I1647" s="25">
        <f t="array" ref="I1647">INDEX(H$5:H$67,MATCH($B1647,$B$5:$B$67,0))</f>
        <v>60.64</v>
      </c>
      <c r="J1647" s="25">
        <f t="array" ref="J1647">INDEX(I$5:I$67,MATCH($B1647,$B$5:$B$67,0))</f>
        <v>665</v>
      </c>
      <c r="K1647" s="25">
        <f t="array" ref="K1647">INDEX(J$5:J$67,MATCH($B1647,$B$5:$B$67,0))</f>
        <v>53.2</v>
      </c>
      <c r="L1647" s="25">
        <f t="shared" si="679"/>
        <v>6637</v>
      </c>
      <c r="M1647" s="25">
        <f t="shared" si="680"/>
        <v>1801</v>
      </c>
      <c r="N1647" s="25">
        <f t="shared" si="681"/>
        <v>1304</v>
      </c>
      <c r="O1647" s="25">
        <f t="shared" si="682"/>
        <v>1144</v>
      </c>
    </row>
    <row r="1648" ht="17.25" customHeight="1" spans="1:15">
      <c r="A1648" s="55">
        <v>1037010</v>
      </c>
      <c r="B1648" s="7" t="s">
        <v>365</v>
      </c>
      <c r="C1648" s="25">
        <f t="shared" si="678"/>
        <v>10</v>
      </c>
      <c r="D1648" s="25">
        <f t="array" ref="D1648">INDEX(C$5:C$67,MATCH($B1648,$B$5:$B$67,0))</f>
        <v>3859</v>
      </c>
      <c r="E1648" s="25">
        <f t="array" ref="E1648">INDEX(D$5:D$67,MATCH($B1648,$B$5:$B$67,0))</f>
        <v>308.72</v>
      </c>
      <c r="F1648" s="25">
        <f t="array" ref="F1648">INDEX(E$5:E$67,MATCH($B1648,$B$5:$B$67,0))</f>
        <v>1047</v>
      </c>
      <c r="G1648" s="25">
        <f t="array" ref="G1648">INDEX(F$5:F$67,MATCH($B1648,$B$5:$B$67,0))</f>
        <v>83.76</v>
      </c>
      <c r="H1648" s="25">
        <f t="array" ref="H1648">INDEX(G$5:G$66,MATCH($B1648,$B$5:$B$67,0))</f>
        <v>758</v>
      </c>
      <c r="I1648" s="25">
        <f t="array" ref="I1648">INDEX(H$5:H$67,MATCH($B1648,$B$5:$B$67,0))</f>
        <v>60.64</v>
      </c>
      <c r="J1648" s="25">
        <f t="array" ref="J1648">INDEX(I$5:I$67,MATCH($B1648,$B$5:$B$67,0))</f>
        <v>665</v>
      </c>
      <c r="K1648" s="25">
        <f t="array" ref="K1648">INDEX(J$5:J$67,MATCH($B1648,$B$5:$B$67,0))</f>
        <v>53.2</v>
      </c>
      <c r="L1648" s="25">
        <f t="shared" si="679"/>
        <v>6946</v>
      </c>
      <c r="M1648" s="25">
        <f t="shared" si="680"/>
        <v>1885</v>
      </c>
      <c r="N1648" s="25">
        <f t="shared" si="681"/>
        <v>1364</v>
      </c>
      <c r="O1648" s="25">
        <f t="shared" si="682"/>
        <v>1197</v>
      </c>
    </row>
    <row r="1649" ht="17.25" customHeight="1" spans="1:15">
      <c r="A1649" s="55">
        <v>1037011</v>
      </c>
      <c r="B1649" s="7" t="s">
        <v>365</v>
      </c>
      <c r="C1649" s="25">
        <f t="shared" si="678"/>
        <v>11</v>
      </c>
      <c r="D1649" s="25">
        <f t="array" ref="D1649">INDEX(C$5:C$67,MATCH($B1649,$B$5:$B$67,0))</f>
        <v>3859</v>
      </c>
      <c r="E1649" s="25">
        <f t="array" ref="E1649">INDEX(D$5:D$67,MATCH($B1649,$B$5:$B$67,0))</f>
        <v>308.72</v>
      </c>
      <c r="F1649" s="25">
        <f t="array" ref="F1649">INDEX(E$5:E$67,MATCH($B1649,$B$5:$B$67,0))</f>
        <v>1047</v>
      </c>
      <c r="G1649" s="25">
        <f t="array" ref="G1649">INDEX(F$5:F$67,MATCH($B1649,$B$5:$B$67,0))</f>
        <v>83.76</v>
      </c>
      <c r="H1649" s="25">
        <f t="array" ref="H1649">INDEX(G$5:G$66,MATCH($B1649,$B$5:$B$67,0))</f>
        <v>758</v>
      </c>
      <c r="I1649" s="25">
        <f t="array" ref="I1649">INDEX(H$5:H$67,MATCH($B1649,$B$5:$B$67,0))</f>
        <v>60.64</v>
      </c>
      <c r="J1649" s="25">
        <f t="array" ref="J1649">INDEX(I$5:I$67,MATCH($B1649,$B$5:$B$67,0))</f>
        <v>665</v>
      </c>
      <c r="K1649" s="25">
        <f t="array" ref="K1649">INDEX(J$5:J$67,MATCH($B1649,$B$5:$B$67,0))</f>
        <v>53.2</v>
      </c>
      <c r="L1649" s="25">
        <f t="shared" si="679"/>
        <v>7255</v>
      </c>
      <c r="M1649" s="25">
        <f t="shared" si="680"/>
        <v>1968</v>
      </c>
      <c r="N1649" s="25">
        <f t="shared" si="681"/>
        <v>1425</v>
      </c>
      <c r="O1649" s="25">
        <f t="shared" si="682"/>
        <v>1250</v>
      </c>
    </row>
    <row r="1650" ht="17.25" customHeight="1" spans="1:15">
      <c r="A1650" s="55">
        <v>1037012</v>
      </c>
      <c r="B1650" s="7" t="s">
        <v>365</v>
      </c>
      <c r="C1650" s="25">
        <f t="shared" si="678"/>
        <v>12</v>
      </c>
      <c r="D1650" s="25">
        <f t="array" ref="D1650">INDEX(C$5:C$67,MATCH($B1650,$B$5:$B$67,0))</f>
        <v>3859</v>
      </c>
      <c r="E1650" s="25">
        <f t="array" ref="E1650">INDEX(D$5:D$67,MATCH($B1650,$B$5:$B$67,0))</f>
        <v>308.72</v>
      </c>
      <c r="F1650" s="25">
        <f t="array" ref="F1650">INDEX(E$5:E$67,MATCH($B1650,$B$5:$B$67,0))</f>
        <v>1047</v>
      </c>
      <c r="G1650" s="25">
        <f t="array" ref="G1650">INDEX(F$5:F$67,MATCH($B1650,$B$5:$B$67,0))</f>
        <v>83.76</v>
      </c>
      <c r="H1650" s="25">
        <f t="array" ref="H1650">INDEX(G$5:G$66,MATCH($B1650,$B$5:$B$67,0))</f>
        <v>758</v>
      </c>
      <c r="I1650" s="25">
        <f t="array" ref="I1650">INDEX(H$5:H$67,MATCH($B1650,$B$5:$B$67,0))</f>
        <v>60.64</v>
      </c>
      <c r="J1650" s="25">
        <f t="array" ref="J1650">INDEX(I$5:I$67,MATCH($B1650,$B$5:$B$67,0))</f>
        <v>665</v>
      </c>
      <c r="K1650" s="25">
        <f t="array" ref="K1650">INDEX(J$5:J$67,MATCH($B1650,$B$5:$B$67,0))</f>
        <v>53.2</v>
      </c>
      <c r="L1650" s="25">
        <f t="shared" si="679"/>
        <v>7564</v>
      </c>
      <c r="M1650" s="25">
        <f t="shared" si="680"/>
        <v>2052</v>
      </c>
      <c r="N1650" s="25">
        <f t="shared" si="681"/>
        <v>1486</v>
      </c>
      <c r="O1650" s="25">
        <f t="shared" si="682"/>
        <v>1303</v>
      </c>
    </row>
    <row r="1651" ht="17.25" customHeight="1" spans="1:15">
      <c r="A1651" s="55">
        <v>1037013</v>
      </c>
      <c r="B1651" s="7" t="s">
        <v>365</v>
      </c>
      <c r="C1651" s="25">
        <f t="shared" si="678"/>
        <v>13</v>
      </c>
      <c r="D1651" s="25">
        <f t="array" ref="D1651">INDEX(C$5:C$67,MATCH($B1651,$B$5:$B$67,0))</f>
        <v>3859</v>
      </c>
      <c r="E1651" s="25">
        <f t="array" ref="E1651">INDEX(D$5:D$67,MATCH($B1651,$B$5:$B$67,0))</f>
        <v>308.72</v>
      </c>
      <c r="F1651" s="25">
        <f t="array" ref="F1651">INDEX(E$5:E$67,MATCH($B1651,$B$5:$B$67,0))</f>
        <v>1047</v>
      </c>
      <c r="G1651" s="25">
        <f t="array" ref="G1651">INDEX(F$5:F$67,MATCH($B1651,$B$5:$B$67,0))</f>
        <v>83.76</v>
      </c>
      <c r="H1651" s="25">
        <f t="array" ref="H1651">INDEX(G$5:G$66,MATCH($B1651,$B$5:$B$67,0))</f>
        <v>758</v>
      </c>
      <c r="I1651" s="25">
        <f t="array" ref="I1651">INDEX(H$5:H$67,MATCH($B1651,$B$5:$B$67,0))</f>
        <v>60.64</v>
      </c>
      <c r="J1651" s="25">
        <f t="array" ref="J1651">INDEX(I$5:I$67,MATCH($B1651,$B$5:$B$67,0))</f>
        <v>665</v>
      </c>
      <c r="K1651" s="25">
        <f t="array" ref="K1651">INDEX(J$5:J$67,MATCH($B1651,$B$5:$B$67,0))</f>
        <v>53.2</v>
      </c>
      <c r="L1651" s="25">
        <f t="shared" si="679"/>
        <v>7872</v>
      </c>
      <c r="M1651" s="25">
        <f t="shared" si="680"/>
        <v>2136</v>
      </c>
      <c r="N1651" s="25">
        <f t="shared" si="681"/>
        <v>1546</v>
      </c>
      <c r="O1651" s="25">
        <f t="shared" si="682"/>
        <v>1357</v>
      </c>
    </row>
    <row r="1652" ht="17.25" customHeight="1" spans="1:15">
      <c r="A1652" s="55">
        <v>1037014</v>
      </c>
      <c r="B1652" s="7" t="s">
        <v>365</v>
      </c>
      <c r="C1652" s="25">
        <f t="shared" si="678"/>
        <v>14</v>
      </c>
      <c r="D1652" s="25">
        <f t="array" ref="D1652">INDEX(C$5:C$67,MATCH($B1652,$B$5:$B$67,0))</f>
        <v>3859</v>
      </c>
      <c r="E1652" s="25">
        <f t="array" ref="E1652">INDEX(D$5:D$67,MATCH($B1652,$B$5:$B$67,0))</f>
        <v>308.72</v>
      </c>
      <c r="F1652" s="25">
        <f t="array" ref="F1652">INDEX(E$5:E$67,MATCH($B1652,$B$5:$B$67,0))</f>
        <v>1047</v>
      </c>
      <c r="G1652" s="25">
        <f t="array" ref="G1652">INDEX(F$5:F$67,MATCH($B1652,$B$5:$B$67,0))</f>
        <v>83.76</v>
      </c>
      <c r="H1652" s="25">
        <f t="array" ref="H1652">INDEX(G$5:G$66,MATCH($B1652,$B$5:$B$67,0))</f>
        <v>758</v>
      </c>
      <c r="I1652" s="25">
        <f t="array" ref="I1652">INDEX(H$5:H$67,MATCH($B1652,$B$5:$B$67,0))</f>
        <v>60.64</v>
      </c>
      <c r="J1652" s="25">
        <f t="array" ref="J1652">INDEX(I$5:I$67,MATCH($B1652,$B$5:$B$67,0))</f>
        <v>665</v>
      </c>
      <c r="K1652" s="25">
        <f t="array" ref="K1652">INDEX(J$5:J$67,MATCH($B1652,$B$5:$B$67,0))</f>
        <v>53.2</v>
      </c>
      <c r="L1652" s="25">
        <f t="shared" si="679"/>
        <v>8181</v>
      </c>
      <c r="M1652" s="25">
        <f t="shared" si="680"/>
        <v>2220</v>
      </c>
      <c r="N1652" s="25">
        <f t="shared" si="681"/>
        <v>1607</v>
      </c>
      <c r="O1652" s="25">
        <f t="shared" si="682"/>
        <v>1410</v>
      </c>
    </row>
    <row r="1653" ht="17.25" customHeight="1" spans="1:15">
      <c r="A1653" s="55">
        <v>1037015</v>
      </c>
      <c r="B1653" s="7" t="s">
        <v>365</v>
      </c>
      <c r="C1653" s="25">
        <f t="shared" si="678"/>
        <v>15</v>
      </c>
      <c r="D1653" s="25">
        <f t="array" ref="D1653">INDEX(C$5:C$67,MATCH($B1653,$B$5:$B$67,0))</f>
        <v>3859</v>
      </c>
      <c r="E1653" s="25">
        <f t="array" ref="E1653">INDEX(D$5:D$67,MATCH($B1653,$B$5:$B$67,0))</f>
        <v>308.72</v>
      </c>
      <c r="F1653" s="25">
        <f t="array" ref="F1653">INDEX(E$5:E$67,MATCH($B1653,$B$5:$B$67,0))</f>
        <v>1047</v>
      </c>
      <c r="G1653" s="25">
        <f t="array" ref="G1653">INDEX(F$5:F$67,MATCH($B1653,$B$5:$B$67,0))</f>
        <v>83.76</v>
      </c>
      <c r="H1653" s="25">
        <f t="array" ref="H1653">INDEX(G$5:G$66,MATCH($B1653,$B$5:$B$67,0))</f>
        <v>758</v>
      </c>
      <c r="I1653" s="25">
        <f t="array" ref="I1653">INDEX(H$5:H$67,MATCH($B1653,$B$5:$B$67,0))</f>
        <v>60.64</v>
      </c>
      <c r="J1653" s="25">
        <f t="array" ref="J1653">INDEX(I$5:I$67,MATCH($B1653,$B$5:$B$67,0))</f>
        <v>665</v>
      </c>
      <c r="K1653" s="25">
        <f t="array" ref="K1653">INDEX(J$5:J$67,MATCH($B1653,$B$5:$B$67,0))</f>
        <v>53.2</v>
      </c>
      <c r="L1653" s="25">
        <f t="shared" si="679"/>
        <v>8490</v>
      </c>
      <c r="M1653" s="25">
        <f t="shared" si="680"/>
        <v>2303</v>
      </c>
      <c r="N1653" s="25">
        <f t="shared" si="681"/>
        <v>1668</v>
      </c>
      <c r="O1653" s="25">
        <f t="shared" si="682"/>
        <v>1463</v>
      </c>
    </row>
    <row r="1654" ht="17.25" customHeight="1" spans="1:15">
      <c r="A1654" s="55">
        <v>1037016</v>
      </c>
      <c r="B1654" s="7" t="s">
        <v>365</v>
      </c>
      <c r="C1654" s="25">
        <f t="shared" si="678"/>
        <v>16</v>
      </c>
      <c r="D1654" s="25">
        <f t="array" ref="D1654">INDEX(C$5:C$67,MATCH($B1654,$B$5:$B$67,0))</f>
        <v>3859</v>
      </c>
      <c r="E1654" s="25">
        <f t="array" ref="E1654">INDEX(D$5:D$67,MATCH($B1654,$B$5:$B$67,0))</f>
        <v>308.72</v>
      </c>
      <c r="F1654" s="25">
        <f t="array" ref="F1654">INDEX(E$5:E$67,MATCH($B1654,$B$5:$B$67,0))</f>
        <v>1047</v>
      </c>
      <c r="G1654" s="25">
        <f t="array" ref="G1654">INDEX(F$5:F$67,MATCH($B1654,$B$5:$B$67,0))</f>
        <v>83.76</v>
      </c>
      <c r="H1654" s="25">
        <f t="array" ref="H1654">INDEX(G$5:G$66,MATCH($B1654,$B$5:$B$67,0))</f>
        <v>758</v>
      </c>
      <c r="I1654" s="25">
        <f t="array" ref="I1654">INDEX(H$5:H$67,MATCH($B1654,$B$5:$B$67,0))</f>
        <v>60.64</v>
      </c>
      <c r="J1654" s="25">
        <f t="array" ref="J1654">INDEX(I$5:I$67,MATCH($B1654,$B$5:$B$67,0))</f>
        <v>665</v>
      </c>
      <c r="K1654" s="25">
        <f t="array" ref="K1654">INDEX(J$5:J$67,MATCH($B1654,$B$5:$B$67,0))</f>
        <v>53.2</v>
      </c>
      <c r="L1654" s="25">
        <f t="shared" si="679"/>
        <v>8799</v>
      </c>
      <c r="M1654" s="25">
        <f t="shared" si="680"/>
        <v>2387</v>
      </c>
      <c r="N1654" s="25">
        <f t="shared" si="681"/>
        <v>1728</v>
      </c>
      <c r="O1654" s="25">
        <f t="shared" si="682"/>
        <v>1516</v>
      </c>
    </row>
    <row r="1655" ht="17.25" customHeight="1" spans="1:15">
      <c r="A1655" s="55">
        <v>1037017</v>
      </c>
      <c r="B1655" s="7" t="s">
        <v>365</v>
      </c>
      <c r="C1655" s="25">
        <f t="shared" si="678"/>
        <v>17</v>
      </c>
      <c r="D1655" s="25">
        <f t="array" ref="D1655">INDEX(C$5:C$67,MATCH($B1655,$B$5:$B$67,0))</f>
        <v>3859</v>
      </c>
      <c r="E1655" s="25">
        <f t="array" ref="E1655">INDEX(D$5:D$67,MATCH($B1655,$B$5:$B$67,0))</f>
        <v>308.72</v>
      </c>
      <c r="F1655" s="25">
        <f t="array" ref="F1655">INDEX(E$5:E$67,MATCH($B1655,$B$5:$B$67,0))</f>
        <v>1047</v>
      </c>
      <c r="G1655" s="25">
        <f t="array" ref="G1655">INDEX(F$5:F$67,MATCH($B1655,$B$5:$B$67,0))</f>
        <v>83.76</v>
      </c>
      <c r="H1655" s="25">
        <f t="array" ref="H1655">INDEX(G$5:G$66,MATCH($B1655,$B$5:$B$67,0))</f>
        <v>758</v>
      </c>
      <c r="I1655" s="25">
        <f t="array" ref="I1655">INDEX(H$5:H$67,MATCH($B1655,$B$5:$B$67,0))</f>
        <v>60.64</v>
      </c>
      <c r="J1655" s="25">
        <f t="array" ref="J1655">INDEX(I$5:I$67,MATCH($B1655,$B$5:$B$67,0))</f>
        <v>665</v>
      </c>
      <c r="K1655" s="25">
        <f t="array" ref="K1655">INDEX(J$5:J$67,MATCH($B1655,$B$5:$B$67,0))</f>
        <v>53.2</v>
      </c>
      <c r="L1655" s="25">
        <f t="shared" si="679"/>
        <v>9107</v>
      </c>
      <c r="M1655" s="25">
        <f t="shared" si="680"/>
        <v>2471</v>
      </c>
      <c r="N1655" s="25">
        <f t="shared" si="681"/>
        <v>1789</v>
      </c>
      <c r="O1655" s="25">
        <f t="shared" si="682"/>
        <v>1569</v>
      </c>
    </row>
    <row r="1656" ht="17.25" customHeight="1" spans="1:15">
      <c r="A1656" s="55">
        <v>1037018</v>
      </c>
      <c r="B1656" s="7" t="s">
        <v>365</v>
      </c>
      <c r="C1656" s="25">
        <f t="shared" si="678"/>
        <v>18</v>
      </c>
      <c r="D1656" s="25">
        <f t="array" ref="D1656">INDEX(C$5:C$67,MATCH($B1656,$B$5:$B$67,0))</f>
        <v>3859</v>
      </c>
      <c r="E1656" s="25">
        <f t="array" ref="E1656">INDEX(D$5:D$67,MATCH($B1656,$B$5:$B$67,0))</f>
        <v>308.72</v>
      </c>
      <c r="F1656" s="25">
        <f t="array" ref="F1656">INDEX(E$5:E$67,MATCH($B1656,$B$5:$B$67,0))</f>
        <v>1047</v>
      </c>
      <c r="G1656" s="25">
        <f t="array" ref="G1656">INDEX(F$5:F$67,MATCH($B1656,$B$5:$B$67,0))</f>
        <v>83.76</v>
      </c>
      <c r="H1656" s="25">
        <f t="array" ref="H1656">INDEX(G$5:G$66,MATCH($B1656,$B$5:$B$67,0))</f>
        <v>758</v>
      </c>
      <c r="I1656" s="25">
        <f t="array" ref="I1656">INDEX(H$5:H$67,MATCH($B1656,$B$5:$B$67,0))</f>
        <v>60.64</v>
      </c>
      <c r="J1656" s="25">
        <f t="array" ref="J1656">INDEX(I$5:I$67,MATCH($B1656,$B$5:$B$67,0))</f>
        <v>665</v>
      </c>
      <c r="K1656" s="25">
        <f t="array" ref="K1656">INDEX(J$5:J$67,MATCH($B1656,$B$5:$B$67,0))</f>
        <v>53.2</v>
      </c>
      <c r="L1656" s="25">
        <f t="shared" si="679"/>
        <v>9416</v>
      </c>
      <c r="M1656" s="25">
        <f t="shared" si="680"/>
        <v>2555</v>
      </c>
      <c r="N1656" s="25">
        <f t="shared" si="681"/>
        <v>1850</v>
      </c>
      <c r="O1656" s="25">
        <f t="shared" si="682"/>
        <v>1623</v>
      </c>
    </row>
    <row r="1657" ht="17.25" customHeight="1" spans="1:15">
      <c r="A1657" s="55">
        <v>1037019</v>
      </c>
      <c r="B1657" s="7" t="s">
        <v>365</v>
      </c>
      <c r="C1657" s="25">
        <f t="shared" si="678"/>
        <v>19</v>
      </c>
      <c r="D1657" s="25">
        <f t="array" ref="D1657">INDEX(C$5:C$67,MATCH($B1657,$B$5:$B$67,0))</f>
        <v>3859</v>
      </c>
      <c r="E1657" s="25">
        <f t="array" ref="E1657">INDEX(D$5:D$67,MATCH($B1657,$B$5:$B$67,0))</f>
        <v>308.72</v>
      </c>
      <c r="F1657" s="25">
        <f t="array" ref="F1657">INDEX(E$5:E$67,MATCH($B1657,$B$5:$B$67,0))</f>
        <v>1047</v>
      </c>
      <c r="G1657" s="25">
        <f t="array" ref="G1657">INDEX(F$5:F$67,MATCH($B1657,$B$5:$B$67,0))</f>
        <v>83.76</v>
      </c>
      <c r="H1657" s="25">
        <f t="array" ref="H1657">INDEX(G$5:G$66,MATCH($B1657,$B$5:$B$67,0))</f>
        <v>758</v>
      </c>
      <c r="I1657" s="25">
        <f t="array" ref="I1657">INDEX(H$5:H$67,MATCH($B1657,$B$5:$B$67,0))</f>
        <v>60.64</v>
      </c>
      <c r="J1657" s="25">
        <f t="array" ref="J1657">INDEX(I$5:I$67,MATCH($B1657,$B$5:$B$67,0))</f>
        <v>665</v>
      </c>
      <c r="K1657" s="25">
        <f t="array" ref="K1657">INDEX(J$5:J$67,MATCH($B1657,$B$5:$B$67,0))</f>
        <v>53.2</v>
      </c>
      <c r="L1657" s="25">
        <f t="shared" si="679"/>
        <v>9725</v>
      </c>
      <c r="M1657" s="25">
        <f t="shared" si="680"/>
        <v>2638</v>
      </c>
      <c r="N1657" s="25">
        <f t="shared" si="681"/>
        <v>1910</v>
      </c>
      <c r="O1657" s="25">
        <f t="shared" si="682"/>
        <v>1676</v>
      </c>
    </row>
    <row r="1658" ht="17.25" customHeight="1" spans="1:15">
      <c r="A1658" s="55">
        <v>1037020</v>
      </c>
      <c r="B1658" s="7" t="s">
        <v>365</v>
      </c>
      <c r="C1658" s="25">
        <f t="shared" si="678"/>
        <v>20</v>
      </c>
      <c r="D1658" s="25">
        <f t="array" ref="D1658">INDEX(C$5:C$67,MATCH($B1658,$B$5:$B$67,0))</f>
        <v>3859</v>
      </c>
      <c r="E1658" s="25">
        <f t="array" ref="E1658">INDEX(D$5:D$67,MATCH($B1658,$B$5:$B$67,0))</f>
        <v>308.72</v>
      </c>
      <c r="F1658" s="25">
        <f t="array" ref="F1658">INDEX(E$5:E$67,MATCH($B1658,$B$5:$B$67,0))</f>
        <v>1047</v>
      </c>
      <c r="G1658" s="25">
        <f t="array" ref="G1658">INDEX(F$5:F$67,MATCH($B1658,$B$5:$B$67,0))</f>
        <v>83.76</v>
      </c>
      <c r="H1658" s="25">
        <f t="array" ref="H1658">INDEX(G$5:G$66,MATCH($B1658,$B$5:$B$67,0))</f>
        <v>758</v>
      </c>
      <c r="I1658" s="25">
        <f t="array" ref="I1658">INDEX(H$5:H$67,MATCH($B1658,$B$5:$B$67,0))</f>
        <v>60.64</v>
      </c>
      <c r="J1658" s="25">
        <f t="array" ref="J1658">INDEX(I$5:I$67,MATCH($B1658,$B$5:$B$67,0))</f>
        <v>665</v>
      </c>
      <c r="K1658" s="25">
        <f t="array" ref="K1658">INDEX(J$5:J$67,MATCH($B1658,$B$5:$B$67,0))</f>
        <v>53.2</v>
      </c>
      <c r="L1658" s="25">
        <f t="shared" si="679"/>
        <v>10033</v>
      </c>
      <c r="M1658" s="25">
        <f t="shared" si="680"/>
        <v>2722</v>
      </c>
      <c r="N1658" s="25">
        <f t="shared" si="681"/>
        <v>1971</v>
      </c>
      <c r="O1658" s="25">
        <f t="shared" si="682"/>
        <v>1729</v>
      </c>
    </row>
    <row r="1659" ht="17.25" customHeight="1" spans="1:15">
      <c r="A1659" s="55">
        <v>1037021</v>
      </c>
      <c r="B1659" s="7" t="s">
        <v>365</v>
      </c>
      <c r="C1659" s="25">
        <f t="shared" si="678"/>
        <v>21</v>
      </c>
      <c r="D1659" s="25">
        <f t="array" ref="D1659">INDEX(C$5:C$67,MATCH($B1659,$B$5:$B$67,0))</f>
        <v>3859</v>
      </c>
      <c r="E1659" s="25">
        <f t="array" ref="E1659">INDEX(D$5:D$67,MATCH($B1659,$B$5:$B$67,0))</f>
        <v>308.72</v>
      </c>
      <c r="F1659" s="25">
        <f t="array" ref="F1659">INDEX(E$5:E$67,MATCH($B1659,$B$5:$B$67,0))</f>
        <v>1047</v>
      </c>
      <c r="G1659" s="25">
        <f t="array" ref="G1659">INDEX(F$5:F$67,MATCH($B1659,$B$5:$B$67,0))</f>
        <v>83.76</v>
      </c>
      <c r="H1659" s="25">
        <f t="array" ref="H1659">INDEX(G$5:G$66,MATCH($B1659,$B$5:$B$67,0))</f>
        <v>758</v>
      </c>
      <c r="I1659" s="25">
        <f t="array" ref="I1659">INDEX(H$5:H$67,MATCH($B1659,$B$5:$B$67,0))</f>
        <v>60.64</v>
      </c>
      <c r="J1659" s="25">
        <f t="array" ref="J1659">INDEX(I$5:I$67,MATCH($B1659,$B$5:$B$67,0))</f>
        <v>665</v>
      </c>
      <c r="K1659" s="25">
        <f t="array" ref="K1659">INDEX(J$5:J$67,MATCH($B1659,$B$5:$B$67,0))</f>
        <v>53.2</v>
      </c>
      <c r="L1659" s="25">
        <f t="shared" si="679"/>
        <v>10342</v>
      </c>
      <c r="M1659" s="25">
        <f t="shared" si="680"/>
        <v>2806</v>
      </c>
      <c r="N1659" s="25">
        <f t="shared" si="681"/>
        <v>2031</v>
      </c>
      <c r="O1659" s="25">
        <f t="shared" si="682"/>
        <v>1782</v>
      </c>
    </row>
    <row r="1660" ht="17.25" customHeight="1" spans="1:15">
      <c r="A1660" s="55">
        <v>1037022</v>
      </c>
      <c r="B1660" s="7" t="s">
        <v>365</v>
      </c>
      <c r="C1660" s="25">
        <f t="shared" si="678"/>
        <v>22</v>
      </c>
      <c r="D1660" s="25">
        <f t="array" ref="D1660">INDEX(C$5:C$67,MATCH($B1660,$B$5:$B$67,0))</f>
        <v>3859</v>
      </c>
      <c r="E1660" s="25">
        <f t="array" ref="E1660">INDEX(D$5:D$67,MATCH($B1660,$B$5:$B$67,0))</f>
        <v>308.72</v>
      </c>
      <c r="F1660" s="25">
        <f t="array" ref="F1660">INDEX(E$5:E$67,MATCH($B1660,$B$5:$B$67,0))</f>
        <v>1047</v>
      </c>
      <c r="G1660" s="25">
        <f t="array" ref="G1660">INDEX(F$5:F$67,MATCH($B1660,$B$5:$B$67,0))</f>
        <v>83.76</v>
      </c>
      <c r="H1660" s="25">
        <f t="array" ref="H1660">INDEX(G$5:G$66,MATCH($B1660,$B$5:$B$67,0))</f>
        <v>758</v>
      </c>
      <c r="I1660" s="25">
        <f t="array" ref="I1660">INDEX(H$5:H$67,MATCH($B1660,$B$5:$B$67,0))</f>
        <v>60.64</v>
      </c>
      <c r="J1660" s="25">
        <f t="array" ref="J1660">INDEX(I$5:I$67,MATCH($B1660,$B$5:$B$67,0))</f>
        <v>665</v>
      </c>
      <c r="K1660" s="25">
        <f t="array" ref="K1660">INDEX(J$5:J$67,MATCH($B1660,$B$5:$B$67,0))</f>
        <v>53.2</v>
      </c>
      <c r="L1660" s="25">
        <f t="shared" si="679"/>
        <v>10651</v>
      </c>
      <c r="M1660" s="25">
        <f t="shared" si="680"/>
        <v>2890</v>
      </c>
      <c r="N1660" s="25">
        <f t="shared" si="681"/>
        <v>2092</v>
      </c>
      <c r="O1660" s="25">
        <f t="shared" si="682"/>
        <v>1835</v>
      </c>
    </row>
    <row r="1661" ht="17.25" customHeight="1" spans="1:15">
      <c r="A1661" s="55">
        <v>1037023</v>
      </c>
      <c r="B1661" s="7" t="s">
        <v>365</v>
      </c>
      <c r="C1661" s="25">
        <f t="shared" si="678"/>
        <v>23</v>
      </c>
      <c r="D1661" s="25">
        <f t="array" ref="D1661">INDEX(C$5:C$67,MATCH($B1661,$B$5:$B$67,0))</f>
        <v>3859</v>
      </c>
      <c r="E1661" s="25">
        <f t="array" ref="E1661">INDEX(D$5:D$67,MATCH($B1661,$B$5:$B$67,0))</f>
        <v>308.72</v>
      </c>
      <c r="F1661" s="25">
        <f t="array" ref="F1661">INDEX(E$5:E$67,MATCH($B1661,$B$5:$B$67,0))</f>
        <v>1047</v>
      </c>
      <c r="G1661" s="25">
        <f t="array" ref="G1661">INDEX(F$5:F$67,MATCH($B1661,$B$5:$B$67,0))</f>
        <v>83.76</v>
      </c>
      <c r="H1661" s="25">
        <f t="array" ref="H1661">INDEX(G$5:G$66,MATCH($B1661,$B$5:$B$67,0))</f>
        <v>758</v>
      </c>
      <c r="I1661" s="25">
        <f t="array" ref="I1661">INDEX(H$5:H$67,MATCH($B1661,$B$5:$B$67,0))</f>
        <v>60.64</v>
      </c>
      <c r="J1661" s="25">
        <f t="array" ref="J1661">INDEX(I$5:I$67,MATCH($B1661,$B$5:$B$67,0))</f>
        <v>665</v>
      </c>
      <c r="K1661" s="25">
        <f t="array" ref="K1661">INDEX(J$5:J$67,MATCH($B1661,$B$5:$B$67,0))</f>
        <v>53.2</v>
      </c>
      <c r="L1661" s="25">
        <f t="shared" si="679"/>
        <v>10960</v>
      </c>
      <c r="M1661" s="25">
        <f t="shared" si="680"/>
        <v>2973</v>
      </c>
      <c r="N1661" s="25">
        <f t="shared" si="681"/>
        <v>2153</v>
      </c>
      <c r="O1661" s="25">
        <f t="shared" si="682"/>
        <v>1889</v>
      </c>
    </row>
    <row r="1662" ht="17.25" customHeight="1" spans="1:15">
      <c r="A1662" s="55">
        <v>1037024</v>
      </c>
      <c r="B1662" s="7" t="s">
        <v>365</v>
      </c>
      <c r="C1662" s="25">
        <f t="shared" si="678"/>
        <v>24</v>
      </c>
      <c r="D1662" s="25">
        <f t="array" ref="D1662">INDEX(C$5:C$67,MATCH($B1662,$B$5:$B$67,0))</f>
        <v>3859</v>
      </c>
      <c r="E1662" s="25">
        <f t="array" ref="E1662">INDEX(D$5:D$67,MATCH($B1662,$B$5:$B$67,0))</f>
        <v>308.72</v>
      </c>
      <c r="F1662" s="25">
        <f t="array" ref="F1662">INDEX(E$5:E$67,MATCH($B1662,$B$5:$B$67,0))</f>
        <v>1047</v>
      </c>
      <c r="G1662" s="25">
        <f t="array" ref="G1662">INDEX(F$5:F$67,MATCH($B1662,$B$5:$B$67,0))</f>
        <v>83.76</v>
      </c>
      <c r="H1662" s="25">
        <f t="array" ref="H1662">INDEX(G$5:G$66,MATCH($B1662,$B$5:$B$67,0))</f>
        <v>758</v>
      </c>
      <c r="I1662" s="25">
        <f t="array" ref="I1662">INDEX(H$5:H$67,MATCH($B1662,$B$5:$B$67,0))</f>
        <v>60.64</v>
      </c>
      <c r="J1662" s="25">
        <f t="array" ref="J1662">INDEX(I$5:I$67,MATCH($B1662,$B$5:$B$67,0))</f>
        <v>665</v>
      </c>
      <c r="K1662" s="25">
        <f t="array" ref="K1662">INDEX(J$5:J$67,MATCH($B1662,$B$5:$B$67,0))</f>
        <v>53.2</v>
      </c>
      <c r="L1662" s="25">
        <f t="shared" si="679"/>
        <v>11268</v>
      </c>
      <c r="M1662" s="25">
        <f t="shared" si="680"/>
        <v>3057</v>
      </c>
      <c r="N1662" s="25">
        <f t="shared" si="681"/>
        <v>2213</v>
      </c>
      <c r="O1662" s="25">
        <f t="shared" si="682"/>
        <v>1942</v>
      </c>
    </row>
    <row r="1663" ht="17.25" customHeight="1" spans="1:15">
      <c r="A1663" s="55">
        <v>1037025</v>
      </c>
      <c r="B1663" s="7" t="s">
        <v>365</v>
      </c>
      <c r="C1663" s="25">
        <f t="shared" si="678"/>
        <v>25</v>
      </c>
      <c r="D1663" s="25">
        <f t="array" ref="D1663">INDEX(C$5:C$67,MATCH($B1663,$B$5:$B$67,0))</f>
        <v>3859</v>
      </c>
      <c r="E1663" s="25">
        <f t="array" ref="E1663">INDEX(D$5:D$67,MATCH($B1663,$B$5:$B$67,0))</f>
        <v>308.72</v>
      </c>
      <c r="F1663" s="25">
        <f t="array" ref="F1663">INDEX(E$5:E$67,MATCH($B1663,$B$5:$B$67,0))</f>
        <v>1047</v>
      </c>
      <c r="G1663" s="25">
        <f t="array" ref="G1663">INDEX(F$5:F$67,MATCH($B1663,$B$5:$B$67,0))</f>
        <v>83.76</v>
      </c>
      <c r="H1663" s="25">
        <f t="array" ref="H1663">INDEX(G$5:G$66,MATCH($B1663,$B$5:$B$67,0))</f>
        <v>758</v>
      </c>
      <c r="I1663" s="25">
        <f t="array" ref="I1663">INDEX(H$5:H$67,MATCH($B1663,$B$5:$B$67,0))</f>
        <v>60.64</v>
      </c>
      <c r="J1663" s="25">
        <f t="array" ref="J1663">INDEX(I$5:I$67,MATCH($B1663,$B$5:$B$67,0))</f>
        <v>665</v>
      </c>
      <c r="K1663" s="25">
        <f t="array" ref="K1663">INDEX(J$5:J$67,MATCH($B1663,$B$5:$B$67,0))</f>
        <v>53.2</v>
      </c>
      <c r="L1663" s="25">
        <f t="shared" si="679"/>
        <v>11577</v>
      </c>
      <c r="M1663" s="25">
        <f t="shared" si="680"/>
        <v>3141</v>
      </c>
      <c r="N1663" s="25">
        <f t="shared" si="681"/>
        <v>2274</v>
      </c>
      <c r="O1663" s="25">
        <f t="shared" si="682"/>
        <v>1995</v>
      </c>
    </row>
    <row r="1664" ht="17.25" customHeight="1" spans="1:15">
      <c r="A1664" s="55">
        <v>1037026</v>
      </c>
      <c r="B1664" s="7" t="s">
        <v>365</v>
      </c>
      <c r="C1664" s="25">
        <f t="shared" si="678"/>
        <v>26</v>
      </c>
      <c r="D1664" s="25">
        <f t="array" ref="D1664">INDEX(C$5:C$67,MATCH($B1664,$B$5:$B$67,0))</f>
        <v>3859</v>
      </c>
      <c r="E1664" s="25">
        <f t="array" ref="E1664">INDEX(D$5:D$67,MATCH($B1664,$B$5:$B$67,0))</f>
        <v>308.72</v>
      </c>
      <c r="F1664" s="25">
        <f t="array" ref="F1664">INDEX(E$5:E$67,MATCH($B1664,$B$5:$B$67,0))</f>
        <v>1047</v>
      </c>
      <c r="G1664" s="25">
        <f t="array" ref="G1664">INDEX(F$5:F$67,MATCH($B1664,$B$5:$B$67,0))</f>
        <v>83.76</v>
      </c>
      <c r="H1664" s="25">
        <f t="array" ref="H1664">INDEX(G$5:G$66,MATCH($B1664,$B$5:$B$67,0))</f>
        <v>758</v>
      </c>
      <c r="I1664" s="25">
        <f t="array" ref="I1664">INDEX(H$5:H$67,MATCH($B1664,$B$5:$B$67,0))</f>
        <v>60.64</v>
      </c>
      <c r="J1664" s="25">
        <f t="array" ref="J1664">INDEX(I$5:I$67,MATCH($B1664,$B$5:$B$67,0))</f>
        <v>665</v>
      </c>
      <c r="K1664" s="25">
        <f t="array" ref="K1664">INDEX(J$5:J$67,MATCH($B1664,$B$5:$B$67,0))</f>
        <v>53.2</v>
      </c>
      <c r="L1664" s="25">
        <f t="shared" si="679"/>
        <v>11886</v>
      </c>
      <c r="M1664" s="25">
        <f t="shared" si="680"/>
        <v>3225</v>
      </c>
      <c r="N1664" s="25">
        <f t="shared" si="681"/>
        <v>2335</v>
      </c>
      <c r="O1664" s="25">
        <f t="shared" si="682"/>
        <v>2048</v>
      </c>
    </row>
    <row r="1665" ht="17.25" customHeight="1" spans="1:15">
      <c r="A1665" s="55">
        <v>1037027</v>
      </c>
      <c r="B1665" s="7" t="s">
        <v>365</v>
      </c>
      <c r="C1665" s="25">
        <f t="shared" si="678"/>
        <v>27</v>
      </c>
      <c r="D1665" s="25">
        <f t="array" ref="D1665">INDEX(C$5:C$67,MATCH($B1665,$B$5:$B$67,0))</f>
        <v>3859</v>
      </c>
      <c r="E1665" s="25">
        <f t="array" ref="E1665">INDEX(D$5:D$67,MATCH($B1665,$B$5:$B$67,0))</f>
        <v>308.72</v>
      </c>
      <c r="F1665" s="25">
        <f t="array" ref="F1665">INDEX(E$5:E$67,MATCH($B1665,$B$5:$B$67,0))</f>
        <v>1047</v>
      </c>
      <c r="G1665" s="25">
        <f t="array" ref="G1665">INDEX(F$5:F$67,MATCH($B1665,$B$5:$B$67,0))</f>
        <v>83.76</v>
      </c>
      <c r="H1665" s="25">
        <f t="array" ref="H1665">INDEX(G$5:G$66,MATCH($B1665,$B$5:$B$67,0))</f>
        <v>758</v>
      </c>
      <c r="I1665" s="25">
        <f t="array" ref="I1665">INDEX(H$5:H$67,MATCH($B1665,$B$5:$B$67,0))</f>
        <v>60.64</v>
      </c>
      <c r="J1665" s="25">
        <f t="array" ref="J1665">INDEX(I$5:I$67,MATCH($B1665,$B$5:$B$67,0))</f>
        <v>665</v>
      </c>
      <c r="K1665" s="25">
        <f t="array" ref="K1665">INDEX(J$5:J$67,MATCH($B1665,$B$5:$B$67,0))</f>
        <v>53.2</v>
      </c>
      <c r="L1665" s="25">
        <f t="shared" si="679"/>
        <v>12194</v>
      </c>
      <c r="M1665" s="25">
        <f t="shared" si="680"/>
        <v>3309</v>
      </c>
      <c r="N1665" s="25">
        <f t="shared" si="681"/>
        <v>2395</v>
      </c>
      <c r="O1665" s="25">
        <f t="shared" si="682"/>
        <v>2101</v>
      </c>
    </row>
    <row r="1666" ht="17.25" customHeight="1" spans="1:15">
      <c r="A1666" s="55">
        <v>1037028</v>
      </c>
      <c r="B1666" s="7" t="s">
        <v>365</v>
      </c>
      <c r="C1666" s="25">
        <f t="shared" si="678"/>
        <v>28</v>
      </c>
      <c r="D1666" s="25">
        <f t="array" ref="D1666">INDEX(C$5:C$67,MATCH($B1666,$B$5:$B$67,0))</f>
        <v>3859</v>
      </c>
      <c r="E1666" s="25">
        <f t="array" ref="E1666">INDEX(D$5:D$67,MATCH($B1666,$B$5:$B$67,0))</f>
        <v>308.72</v>
      </c>
      <c r="F1666" s="25">
        <f t="array" ref="F1666">INDEX(E$5:E$67,MATCH($B1666,$B$5:$B$67,0))</f>
        <v>1047</v>
      </c>
      <c r="G1666" s="25">
        <f t="array" ref="G1666">INDEX(F$5:F$67,MATCH($B1666,$B$5:$B$67,0))</f>
        <v>83.76</v>
      </c>
      <c r="H1666" s="25">
        <f t="array" ref="H1666">INDEX(G$5:G$66,MATCH($B1666,$B$5:$B$67,0))</f>
        <v>758</v>
      </c>
      <c r="I1666" s="25">
        <f t="array" ref="I1666">INDEX(H$5:H$67,MATCH($B1666,$B$5:$B$67,0))</f>
        <v>60.64</v>
      </c>
      <c r="J1666" s="25">
        <f t="array" ref="J1666">INDEX(I$5:I$67,MATCH($B1666,$B$5:$B$67,0))</f>
        <v>665</v>
      </c>
      <c r="K1666" s="25">
        <f t="array" ref="K1666">INDEX(J$5:J$67,MATCH($B1666,$B$5:$B$67,0))</f>
        <v>53.2</v>
      </c>
      <c r="L1666" s="25">
        <f t="shared" si="679"/>
        <v>12503</v>
      </c>
      <c r="M1666" s="25">
        <f t="shared" si="680"/>
        <v>3392</v>
      </c>
      <c r="N1666" s="25">
        <f t="shared" si="681"/>
        <v>2456</v>
      </c>
      <c r="O1666" s="25">
        <f t="shared" si="682"/>
        <v>2155</v>
      </c>
    </row>
    <row r="1667" ht="17.25" customHeight="1" spans="1:15">
      <c r="A1667" s="55">
        <v>1037029</v>
      </c>
      <c r="B1667" s="7" t="s">
        <v>365</v>
      </c>
      <c r="C1667" s="25">
        <f t="shared" si="678"/>
        <v>29</v>
      </c>
      <c r="D1667" s="25">
        <f t="array" ref="D1667">INDEX(C$5:C$67,MATCH($B1667,$B$5:$B$67,0))</f>
        <v>3859</v>
      </c>
      <c r="E1667" s="25">
        <f t="array" ref="E1667">INDEX(D$5:D$67,MATCH($B1667,$B$5:$B$67,0))</f>
        <v>308.72</v>
      </c>
      <c r="F1667" s="25">
        <f t="array" ref="F1667">INDEX(E$5:E$67,MATCH($B1667,$B$5:$B$67,0))</f>
        <v>1047</v>
      </c>
      <c r="G1667" s="25">
        <f t="array" ref="G1667">INDEX(F$5:F$67,MATCH($B1667,$B$5:$B$67,0))</f>
        <v>83.76</v>
      </c>
      <c r="H1667" s="25">
        <f t="array" ref="H1667">INDEX(G$5:G$66,MATCH($B1667,$B$5:$B$67,0))</f>
        <v>758</v>
      </c>
      <c r="I1667" s="25">
        <f t="array" ref="I1667">INDEX(H$5:H$67,MATCH($B1667,$B$5:$B$67,0))</f>
        <v>60.64</v>
      </c>
      <c r="J1667" s="25">
        <f t="array" ref="J1667">INDEX(I$5:I$67,MATCH($B1667,$B$5:$B$67,0))</f>
        <v>665</v>
      </c>
      <c r="K1667" s="25">
        <f t="array" ref="K1667">INDEX(J$5:J$67,MATCH($B1667,$B$5:$B$67,0))</f>
        <v>53.2</v>
      </c>
      <c r="L1667" s="25">
        <f t="shared" si="679"/>
        <v>12812</v>
      </c>
      <c r="M1667" s="25">
        <f t="shared" si="680"/>
        <v>3476</v>
      </c>
      <c r="N1667" s="25">
        <f t="shared" si="681"/>
        <v>2517</v>
      </c>
      <c r="O1667" s="25">
        <f t="shared" si="682"/>
        <v>2208</v>
      </c>
    </row>
    <row r="1668" ht="17.25" customHeight="1" spans="1:15">
      <c r="A1668" s="55">
        <v>1037030</v>
      </c>
      <c r="B1668" s="7" t="s">
        <v>365</v>
      </c>
      <c r="C1668" s="25">
        <f t="shared" si="678"/>
        <v>30</v>
      </c>
      <c r="D1668" s="25">
        <f t="array" ref="D1668">INDEX(C$5:C$67,MATCH($B1668,$B$5:$B$67,0))</f>
        <v>3859</v>
      </c>
      <c r="E1668" s="25">
        <f t="array" ref="E1668">INDEX(D$5:D$67,MATCH($B1668,$B$5:$B$67,0))</f>
        <v>308.72</v>
      </c>
      <c r="F1668" s="25">
        <f t="array" ref="F1668">INDEX(E$5:E$67,MATCH($B1668,$B$5:$B$67,0))</f>
        <v>1047</v>
      </c>
      <c r="G1668" s="25">
        <f t="array" ref="G1668">INDEX(F$5:F$67,MATCH($B1668,$B$5:$B$67,0))</f>
        <v>83.76</v>
      </c>
      <c r="H1668" s="25">
        <f t="array" ref="H1668">INDEX(G$5:G$66,MATCH($B1668,$B$5:$B$67,0))</f>
        <v>758</v>
      </c>
      <c r="I1668" s="25">
        <f t="array" ref="I1668">INDEX(H$5:H$67,MATCH($B1668,$B$5:$B$67,0))</f>
        <v>60.64</v>
      </c>
      <c r="J1668" s="25">
        <f t="array" ref="J1668">INDEX(I$5:I$67,MATCH($B1668,$B$5:$B$67,0))</f>
        <v>665</v>
      </c>
      <c r="K1668" s="25">
        <f t="array" ref="K1668">INDEX(J$5:J$67,MATCH($B1668,$B$5:$B$67,0))</f>
        <v>53.2</v>
      </c>
      <c r="L1668" s="25">
        <f t="shared" si="679"/>
        <v>13121</v>
      </c>
      <c r="M1668" s="25">
        <f t="shared" si="680"/>
        <v>3560</v>
      </c>
      <c r="N1668" s="25">
        <f t="shared" si="681"/>
        <v>2577</v>
      </c>
      <c r="O1668" s="25">
        <f t="shared" si="682"/>
        <v>2261</v>
      </c>
    </row>
    <row r="1669" ht="17.25" customHeight="1" spans="1:15">
      <c r="A1669" s="55">
        <v>1037031</v>
      </c>
      <c r="B1669" s="7" t="s">
        <v>365</v>
      </c>
      <c r="C1669" s="25">
        <f t="shared" si="678"/>
        <v>31</v>
      </c>
      <c r="D1669" s="25">
        <f t="array" ref="D1669">INDEX(C$5:C$67,MATCH($B1669,$B$5:$B$67,0))</f>
        <v>3859</v>
      </c>
      <c r="E1669" s="25">
        <f t="array" ref="E1669">INDEX(D$5:D$67,MATCH($B1669,$B$5:$B$67,0))</f>
        <v>308.72</v>
      </c>
      <c r="F1669" s="25">
        <f t="array" ref="F1669">INDEX(E$5:E$67,MATCH($B1669,$B$5:$B$67,0))</f>
        <v>1047</v>
      </c>
      <c r="G1669" s="25">
        <f t="array" ref="G1669">INDEX(F$5:F$67,MATCH($B1669,$B$5:$B$67,0))</f>
        <v>83.76</v>
      </c>
      <c r="H1669" s="25">
        <f t="array" ref="H1669">INDEX(G$5:G$66,MATCH($B1669,$B$5:$B$67,0))</f>
        <v>758</v>
      </c>
      <c r="I1669" s="25">
        <f t="array" ref="I1669">INDEX(H$5:H$67,MATCH($B1669,$B$5:$B$67,0))</f>
        <v>60.64</v>
      </c>
      <c r="J1669" s="25">
        <f t="array" ref="J1669">INDEX(I$5:I$67,MATCH($B1669,$B$5:$B$67,0))</f>
        <v>665</v>
      </c>
      <c r="K1669" s="25">
        <f t="array" ref="K1669">INDEX(J$5:J$67,MATCH($B1669,$B$5:$B$67,0))</f>
        <v>53.2</v>
      </c>
      <c r="L1669" s="25">
        <f t="shared" si="679"/>
        <v>13429</v>
      </c>
      <c r="M1669" s="25">
        <f t="shared" si="680"/>
        <v>3644</v>
      </c>
      <c r="N1669" s="25">
        <f t="shared" si="681"/>
        <v>2638</v>
      </c>
      <c r="O1669" s="25">
        <f t="shared" si="682"/>
        <v>2314</v>
      </c>
    </row>
    <row r="1670" ht="17.25" customHeight="1" spans="1:15">
      <c r="A1670" s="55">
        <v>1037032</v>
      </c>
      <c r="B1670" s="7" t="s">
        <v>365</v>
      </c>
      <c r="C1670" s="25">
        <f t="shared" si="678"/>
        <v>32</v>
      </c>
      <c r="D1670" s="25">
        <f t="array" ref="D1670">INDEX(C$5:C$67,MATCH($B1670,$B$5:$B$67,0))</f>
        <v>3859</v>
      </c>
      <c r="E1670" s="25">
        <f t="array" ref="E1670">INDEX(D$5:D$67,MATCH($B1670,$B$5:$B$67,0))</f>
        <v>308.72</v>
      </c>
      <c r="F1670" s="25">
        <f t="array" ref="F1670">INDEX(E$5:E$67,MATCH($B1670,$B$5:$B$67,0))</f>
        <v>1047</v>
      </c>
      <c r="G1670" s="25">
        <f t="array" ref="G1670">INDEX(F$5:F$67,MATCH($B1670,$B$5:$B$67,0))</f>
        <v>83.76</v>
      </c>
      <c r="H1670" s="25">
        <f t="array" ref="H1670">INDEX(G$5:G$66,MATCH($B1670,$B$5:$B$67,0))</f>
        <v>758</v>
      </c>
      <c r="I1670" s="25">
        <f t="array" ref="I1670">INDEX(H$5:H$67,MATCH($B1670,$B$5:$B$67,0))</f>
        <v>60.64</v>
      </c>
      <c r="J1670" s="25">
        <f t="array" ref="J1670">INDEX(I$5:I$67,MATCH($B1670,$B$5:$B$67,0))</f>
        <v>665</v>
      </c>
      <c r="K1670" s="25">
        <f t="array" ref="K1670">INDEX(J$5:J$67,MATCH($B1670,$B$5:$B$67,0))</f>
        <v>53.2</v>
      </c>
      <c r="L1670" s="25">
        <f t="shared" si="679"/>
        <v>13738</v>
      </c>
      <c r="M1670" s="25">
        <f t="shared" si="680"/>
        <v>3727</v>
      </c>
      <c r="N1670" s="25">
        <f t="shared" si="681"/>
        <v>2698</v>
      </c>
      <c r="O1670" s="25">
        <f t="shared" si="682"/>
        <v>2367</v>
      </c>
    </row>
    <row r="1671" ht="17.25" customHeight="1" spans="1:15">
      <c r="A1671" s="55">
        <v>1037033</v>
      </c>
      <c r="B1671" s="7" t="s">
        <v>365</v>
      </c>
      <c r="C1671" s="25">
        <f t="shared" si="678"/>
        <v>33</v>
      </c>
      <c r="D1671" s="25">
        <f t="array" ref="D1671">INDEX(C$5:C$67,MATCH($B1671,$B$5:$B$67,0))</f>
        <v>3859</v>
      </c>
      <c r="E1671" s="25">
        <f t="array" ref="E1671">INDEX(D$5:D$67,MATCH($B1671,$B$5:$B$67,0))</f>
        <v>308.72</v>
      </c>
      <c r="F1671" s="25">
        <f t="array" ref="F1671">INDEX(E$5:E$67,MATCH($B1671,$B$5:$B$67,0))</f>
        <v>1047</v>
      </c>
      <c r="G1671" s="25">
        <f t="array" ref="G1671">INDEX(F$5:F$67,MATCH($B1671,$B$5:$B$67,0))</f>
        <v>83.76</v>
      </c>
      <c r="H1671" s="25">
        <f t="array" ref="H1671">INDEX(G$5:G$66,MATCH($B1671,$B$5:$B$67,0))</f>
        <v>758</v>
      </c>
      <c r="I1671" s="25">
        <f t="array" ref="I1671">INDEX(H$5:H$67,MATCH($B1671,$B$5:$B$67,0))</f>
        <v>60.64</v>
      </c>
      <c r="J1671" s="25">
        <f t="array" ref="J1671">INDEX(I$5:I$67,MATCH($B1671,$B$5:$B$67,0))</f>
        <v>665</v>
      </c>
      <c r="K1671" s="25">
        <f t="array" ref="K1671">INDEX(J$5:J$67,MATCH($B1671,$B$5:$B$67,0))</f>
        <v>53.2</v>
      </c>
      <c r="L1671" s="25">
        <f t="shared" si="679"/>
        <v>14047</v>
      </c>
      <c r="M1671" s="25">
        <f t="shared" si="680"/>
        <v>3811</v>
      </c>
      <c r="N1671" s="25">
        <f t="shared" si="681"/>
        <v>2759</v>
      </c>
      <c r="O1671" s="25">
        <f t="shared" si="682"/>
        <v>2421</v>
      </c>
    </row>
    <row r="1672" ht="17.25" customHeight="1" spans="1:15">
      <c r="A1672" s="55">
        <v>1037034</v>
      </c>
      <c r="B1672" s="7" t="s">
        <v>365</v>
      </c>
      <c r="C1672" s="25">
        <f t="shared" si="678"/>
        <v>34</v>
      </c>
      <c r="D1672" s="25">
        <f t="array" ref="D1672">INDEX(C$5:C$67,MATCH($B1672,$B$5:$B$67,0))</f>
        <v>3859</v>
      </c>
      <c r="E1672" s="25">
        <f t="array" ref="E1672">INDEX(D$5:D$67,MATCH($B1672,$B$5:$B$67,0))</f>
        <v>308.72</v>
      </c>
      <c r="F1672" s="25">
        <f t="array" ref="F1672">INDEX(E$5:E$67,MATCH($B1672,$B$5:$B$67,0))</f>
        <v>1047</v>
      </c>
      <c r="G1672" s="25">
        <f t="array" ref="G1672">INDEX(F$5:F$67,MATCH($B1672,$B$5:$B$67,0))</f>
        <v>83.76</v>
      </c>
      <c r="H1672" s="25">
        <f t="array" ref="H1672">INDEX(G$5:G$66,MATCH($B1672,$B$5:$B$67,0))</f>
        <v>758</v>
      </c>
      <c r="I1672" s="25">
        <f t="array" ref="I1672">INDEX(H$5:H$67,MATCH($B1672,$B$5:$B$67,0))</f>
        <v>60.64</v>
      </c>
      <c r="J1672" s="25">
        <f t="array" ref="J1672">INDEX(I$5:I$67,MATCH($B1672,$B$5:$B$67,0))</f>
        <v>665</v>
      </c>
      <c r="K1672" s="25">
        <f t="array" ref="K1672">INDEX(J$5:J$67,MATCH($B1672,$B$5:$B$67,0))</f>
        <v>53.2</v>
      </c>
      <c r="L1672" s="25">
        <f t="shared" si="679"/>
        <v>14355</v>
      </c>
      <c r="M1672" s="25">
        <f t="shared" si="680"/>
        <v>3895</v>
      </c>
      <c r="N1672" s="25">
        <f t="shared" si="681"/>
        <v>2820</v>
      </c>
      <c r="O1672" s="25">
        <f t="shared" si="682"/>
        <v>2474</v>
      </c>
    </row>
    <row r="1673" ht="17.25" customHeight="1" spans="1:15">
      <c r="A1673" s="55">
        <v>1037035</v>
      </c>
      <c r="B1673" s="7" t="s">
        <v>365</v>
      </c>
      <c r="C1673" s="25">
        <f t="shared" si="678"/>
        <v>35</v>
      </c>
      <c r="D1673" s="25">
        <f t="array" ref="D1673">INDEX(C$5:C$67,MATCH($B1673,$B$5:$B$67,0))</f>
        <v>3859</v>
      </c>
      <c r="E1673" s="25">
        <f t="array" ref="E1673">INDEX(D$5:D$67,MATCH($B1673,$B$5:$B$67,0))</f>
        <v>308.72</v>
      </c>
      <c r="F1673" s="25">
        <f t="array" ref="F1673">INDEX(E$5:E$67,MATCH($B1673,$B$5:$B$67,0))</f>
        <v>1047</v>
      </c>
      <c r="G1673" s="25">
        <f t="array" ref="G1673">INDEX(F$5:F$67,MATCH($B1673,$B$5:$B$67,0))</f>
        <v>83.76</v>
      </c>
      <c r="H1673" s="25">
        <f t="array" ref="H1673">INDEX(G$5:G$66,MATCH($B1673,$B$5:$B$67,0))</f>
        <v>758</v>
      </c>
      <c r="I1673" s="25">
        <f t="array" ref="I1673">INDEX(H$5:H$67,MATCH($B1673,$B$5:$B$67,0))</f>
        <v>60.64</v>
      </c>
      <c r="J1673" s="25">
        <f t="array" ref="J1673">INDEX(I$5:I$67,MATCH($B1673,$B$5:$B$67,0))</f>
        <v>665</v>
      </c>
      <c r="K1673" s="25">
        <f t="array" ref="K1673">INDEX(J$5:J$67,MATCH($B1673,$B$5:$B$67,0))</f>
        <v>53.2</v>
      </c>
      <c r="L1673" s="25">
        <f t="shared" si="679"/>
        <v>14664</v>
      </c>
      <c r="M1673" s="25">
        <f t="shared" si="680"/>
        <v>3979</v>
      </c>
      <c r="N1673" s="25">
        <f t="shared" si="681"/>
        <v>2880</v>
      </c>
      <c r="O1673" s="25">
        <f t="shared" si="682"/>
        <v>2527</v>
      </c>
    </row>
    <row r="1674" ht="17.25" customHeight="1" spans="1:15">
      <c r="A1674" s="55">
        <v>1037036</v>
      </c>
      <c r="B1674" s="7" t="s">
        <v>365</v>
      </c>
      <c r="C1674" s="25">
        <f t="shared" si="678"/>
        <v>36</v>
      </c>
      <c r="D1674" s="25">
        <f t="array" ref="D1674">INDEX(C$5:C$67,MATCH($B1674,$B$5:$B$67,0))</f>
        <v>3859</v>
      </c>
      <c r="E1674" s="25">
        <f t="array" ref="E1674">INDEX(D$5:D$67,MATCH($B1674,$B$5:$B$67,0))</f>
        <v>308.72</v>
      </c>
      <c r="F1674" s="25">
        <f t="array" ref="F1674">INDEX(E$5:E$67,MATCH($B1674,$B$5:$B$67,0))</f>
        <v>1047</v>
      </c>
      <c r="G1674" s="25">
        <f t="array" ref="G1674">INDEX(F$5:F$67,MATCH($B1674,$B$5:$B$67,0))</f>
        <v>83.76</v>
      </c>
      <c r="H1674" s="25">
        <f t="array" ref="H1674">INDEX(G$5:G$66,MATCH($B1674,$B$5:$B$67,0))</f>
        <v>758</v>
      </c>
      <c r="I1674" s="25">
        <f t="array" ref="I1674">INDEX(H$5:H$67,MATCH($B1674,$B$5:$B$67,0))</f>
        <v>60.64</v>
      </c>
      <c r="J1674" s="25">
        <f t="array" ref="J1674">INDEX(I$5:I$67,MATCH($B1674,$B$5:$B$67,0))</f>
        <v>665</v>
      </c>
      <c r="K1674" s="25">
        <f t="array" ref="K1674">INDEX(J$5:J$67,MATCH($B1674,$B$5:$B$67,0))</f>
        <v>53.2</v>
      </c>
      <c r="L1674" s="25">
        <f t="shared" si="679"/>
        <v>14973</v>
      </c>
      <c r="M1674" s="25">
        <f t="shared" si="680"/>
        <v>4062</v>
      </c>
      <c r="N1674" s="25">
        <f t="shared" si="681"/>
        <v>2941</v>
      </c>
      <c r="O1674" s="25">
        <f t="shared" si="682"/>
        <v>2580</v>
      </c>
    </row>
    <row r="1675" ht="17.25" customHeight="1" spans="1:15">
      <c r="A1675" s="55">
        <v>1037037</v>
      </c>
      <c r="B1675" s="7" t="s">
        <v>365</v>
      </c>
      <c r="C1675" s="25">
        <f t="shared" ref="C1675:C1738" si="683">C1615</f>
        <v>37</v>
      </c>
      <c r="D1675" s="25">
        <f t="array" ref="D1675">INDEX(C$5:C$67,MATCH($B1675,$B$5:$B$67,0))</f>
        <v>3859</v>
      </c>
      <c r="E1675" s="25">
        <f t="array" ref="E1675">INDEX(D$5:D$67,MATCH($B1675,$B$5:$B$67,0))</f>
        <v>308.72</v>
      </c>
      <c r="F1675" s="25">
        <f t="array" ref="F1675">INDEX(E$5:E$67,MATCH($B1675,$B$5:$B$67,0))</f>
        <v>1047</v>
      </c>
      <c r="G1675" s="25">
        <f t="array" ref="G1675">INDEX(F$5:F$67,MATCH($B1675,$B$5:$B$67,0))</f>
        <v>83.76</v>
      </c>
      <c r="H1675" s="25">
        <f t="array" ref="H1675">INDEX(G$5:G$66,MATCH($B1675,$B$5:$B$67,0))</f>
        <v>758</v>
      </c>
      <c r="I1675" s="25">
        <f t="array" ref="I1675">INDEX(H$5:H$67,MATCH($B1675,$B$5:$B$67,0))</f>
        <v>60.64</v>
      </c>
      <c r="J1675" s="25">
        <f t="array" ref="J1675">INDEX(I$5:I$67,MATCH($B1675,$B$5:$B$67,0))</f>
        <v>665</v>
      </c>
      <c r="K1675" s="25">
        <f t="array" ref="K1675">INDEX(J$5:J$67,MATCH($B1675,$B$5:$B$67,0))</f>
        <v>53.2</v>
      </c>
      <c r="L1675" s="25">
        <f t="shared" si="679"/>
        <v>15282</v>
      </c>
      <c r="M1675" s="25">
        <f t="shared" si="680"/>
        <v>4146</v>
      </c>
      <c r="N1675" s="25">
        <f t="shared" si="681"/>
        <v>3002</v>
      </c>
      <c r="O1675" s="25">
        <f t="shared" si="682"/>
        <v>2633</v>
      </c>
    </row>
    <row r="1676" ht="17.25" customHeight="1" spans="1:15">
      <c r="A1676" s="55">
        <v>1037038</v>
      </c>
      <c r="B1676" s="7" t="s">
        <v>365</v>
      </c>
      <c r="C1676" s="25">
        <f t="shared" si="683"/>
        <v>38</v>
      </c>
      <c r="D1676" s="25">
        <f t="array" ref="D1676">INDEX(C$5:C$67,MATCH($B1676,$B$5:$B$67,0))</f>
        <v>3859</v>
      </c>
      <c r="E1676" s="25">
        <f t="array" ref="E1676">INDEX(D$5:D$67,MATCH($B1676,$B$5:$B$67,0))</f>
        <v>308.72</v>
      </c>
      <c r="F1676" s="25">
        <f t="array" ref="F1676">INDEX(E$5:E$67,MATCH($B1676,$B$5:$B$67,0))</f>
        <v>1047</v>
      </c>
      <c r="G1676" s="25">
        <f t="array" ref="G1676">INDEX(F$5:F$67,MATCH($B1676,$B$5:$B$67,0))</f>
        <v>83.76</v>
      </c>
      <c r="H1676" s="25">
        <f t="array" ref="H1676">INDEX(G$5:G$66,MATCH($B1676,$B$5:$B$67,0))</f>
        <v>758</v>
      </c>
      <c r="I1676" s="25">
        <f t="array" ref="I1676">INDEX(H$5:H$67,MATCH($B1676,$B$5:$B$67,0))</f>
        <v>60.64</v>
      </c>
      <c r="J1676" s="25">
        <f t="array" ref="J1676">INDEX(I$5:I$67,MATCH($B1676,$B$5:$B$67,0))</f>
        <v>665</v>
      </c>
      <c r="K1676" s="25">
        <f t="array" ref="K1676">INDEX(J$5:J$67,MATCH($B1676,$B$5:$B$67,0))</f>
        <v>53.2</v>
      </c>
      <c r="L1676" s="25">
        <f t="shared" si="679"/>
        <v>15590</v>
      </c>
      <c r="M1676" s="25">
        <f t="shared" si="680"/>
        <v>4230</v>
      </c>
      <c r="N1676" s="25">
        <f t="shared" si="681"/>
        <v>3062</v>
      </c>
      <c r="O1676" s="25">
        <f t="shared" si="682"/>
        <v>2687</v>
      </c>
    </row>
    <row r="1677" ht="17.25" customHeight="1" spans="1:15">
      <c r="A1677" s="55">
        <v>1037039</v>
      </c>
      <c r="B1677" s="7" t="s">
        <v>365</v>
      </c>
      <c r="C1677" s="25">
        <f t="shared" si="683"/>
        <v>39</v>
      </c>
      <c r="D1677" s="25">
        <f t="array" ref="D1677">INDEX(C$5:C$67,MATCH($B1677,$B$5:$B$67,0))</f>
        <v>3859</v>
      </c>
      <c r="E1677" s="25">
        <f t="array" ref="E1677">INDEX(D$5:D$67,MATCH($B1677,$B$5:$B$67,0))</f>
        <v>308.72</v>
      </c>
      <c r="F1677" s="25">
        <f t="array" ref="F1677">INDEX(E$5:E$67,MATCH($B1677,$B$5:$B$67,0))</f>
        <v>1047</v>
      </c>
      <c r="G1677" s="25">
        <f t="array" ref="G1677">INDEX(F$5:F$67,MATCH($B1677,$B$5:$B$67,0))</f>
        <v>83.76</v>
      </c>
      <c r="H1677" s="25">
        <f t="array" ref="H1677">INDEX(G$5:G$66,MATCH($B1677,$B$5:$B$67,0))</f>
        <v>758</v>
      </c>
      <c r="I1677" s="25">
        <f t="array" ref="I1677">INDEX(H$5:H$67,MATCH($B1677,$B$5:$B$67,0))</f>
        <v>60.64</v>
      </c>
      <c r="J1677" s="25">
        <f t="array" ref="J1677">INDEX(I$5:I$67,MATCH($B1677,$B$5:$B$67,0))</f>
        <v>665</v>
      </c>
      <c r="K1677" s="25">
        <f t="array" ref="K1677">INDEX(J$5:J$67,MATCH($B1677,$B$5:$B$67,0))</f>
        <v>53.2</v>
      </c>
      <c r="L1677" s="25">
        <f t="shared" si="679"/>
        <v>15899</v>
      </c>
      <c r="M1677" s="25">
        <f t="shared" si="680"/>
        <v>4314</v>
      </c>
      <c r="N1677" s="25">
        <f t="shared" si="681"/>
        <v>3123</v>
      </c>
      <c r="O1677" s="25">
        <f t="shared" si="682"/>
        <v>2740</v>
      </c>
    </row>
    <row r="1678" ht="17.25" customHeight="1" spans="1:15">
      <c r="A1678" s="55">
        <v>1037040</v>
      </c>
      <c r="B1678" s="7" t="s">
        <v>365</v>
      </c>
      <c r="C1678" s="25">
        <f t="shared" si="683"/>
        <v>40</v>
      </c>
      <c r="D1678" s="25">
        <f t="array" ref="D1678">INDEX(C$5:C$67,MATCH($B1678,$B$5:$B$67,0))</f>
        <v>3859</v>
      </c>
      <c r="E1678" s="25">
        <f t="array" ref="E1678">INDEX(D$5:D$67,MATCH($B1678,$B$5:$B$67,0))</f>
        <v>308.72</v>
      </c>
      <c r="F1678" s="25">
        <f t="array" ref="F1678">INDEX(E$5:E$67,MATCH($B1678,$B$5:$B$67,0))</f>
        <v>1047</v>
      </c>
      <c r="G1678" s="25">
        <f t="array" ref="G1678">INDEX(F$5:F$67,MATCH($B1678,$B$5:$B$67,0))</f>
        <v>83.76</v>
      </c>
      <c r="H1678" s="25">
        <f t="array" ref="H1678">INDEX(G$5:G$66,MATCH($B1678,$B$5:$B$67,0))</f>
        <v>758</v>
      </c>
      <c r="I1678" s="25">
        <f t="array" ref="I1678">INDEX(H$5:H$67,MATCH($B1678,$B$5:$B$67,0))</f>
        <v>60.64</v>
      </c>
      <c r="J1678" s="25">
        <f t="array" ref="J1678">INDEX(I$5:I$67,MATCH($B1678,$B$5:$B$67,0))</f>
        <v>665</v>
      </c>
      <c r="K1678" s="25">
        <f t="array" ref="K1678">INDEX(J$5:J$67,MATCH($B1678,$B$5:$B$67,0))</f>
        <v>53.2</v>
      </c>
      <c r="L1678" s="25">
        <f t="shared" si="679"/>
        <v>16208</v>
      </c>
      <c r="M1678" s="25">
        <f t="shared" si="680"/>
        <v>4397</v>
      </c>
      <c r="N1678" s="25">
        <f t="shared" si="681"/>
        <v>3184</v>
      </c>
      <c r="O1678" s="25">
        <f t="shared" si="682"/>
        <v>2793</v>
      </c>
    </row>
    <row r="1679" ht="17.25" customHeight="1" spans="1:15">
      <c r="A1679" s="55">
        <v>1037041</v>
      </c>
      <c r="B1679" s="7" t="s">
        <v>365</v>
      </c>
      <c r="C1679" s="25">
        <f t="shared" si="683"/>
        <v>41</v>
      </c>
      <c r="D1679" s="25">
        <f t="array" ref="D1679">INDEX(C$5:C$67,MATCH($B1679,$B$5:$B$67,0))</f>
        <v>3859</v>
      </c>
      <c r="E1679" s="25">
        <f t="array" ref="E1679">INDEX(D$5:D$67,MATCH($B1679,$B$5:$B$67,0))</f>
        <v>308.72</v>
      </c>
      <c r="F1679" s="25">
        <f t="array" ref="F1679">INDEX(E$5:E$67,MATCH($B1679,$B$5:$B$67,0))</f>
        <v>1047</v>
      </c>
      <c r="G1679" s="25">
        <f t="array" ref="G1679">INDEX(F$5:F$67,MATCH($B1679,$B$5:$B$67,0))</f>
        <v>83.76</v>
      </c>
      <c r="H1679" s="25">
        <f t="array" ref="H1679">INDEX(G$5:G$66,MATCH($B1679,$B$5:$B$67,0))</f>
        <v>758</v>
      </c>
      <c r="I1679" s="25">
        <f t="array" ref="I1679">INDEX(H$5:H$67,MATCH($B1679,$B$5:$B$67,0))</f>
        <v>60.64</v>
      </c>
      <c r="J1679" s="25">
        <f t="array" ref="J1679">INDEX(I$5:I$67,MATCH($B1679,$B$5:$B$67,0))</f>
        <v>665</v>
      </c>
      <c r="K1679" s="25">
        <f t="array" ref="K1679">INDEX(J$5:J$67,MATCH($B1679,$B$5:$B$67,0))</f>
        <v>53.2</v>
      </c>
      <c r="L1679" s="25">
        <f t="shared" ref="L1679:L1742" si="684">ROUND(D1679+E1679*$C1679,0)</f>
        <v>16517</v>
      </c>
      <c r="M1679" s="25">
        <f t="shared" ref="M1679:M1742" si="685">ROUND(F1679+G1679*$C1679,0)</f>
        <v>4481</v>
      </c>
      <c r="N1679" s="25">
        <f t="shared" ref="N1679:N1742" si="686">ROUND(H1679+I1679*$C1679,0)</f>
        <v>3244</v>
      </c>
      <c r="O1679" s="25">
        <f t="shared" ref="O1679:O1742" si="687">ROUND(J1679+K1679*$C1679,0)</f>
        <v>2846</v>
      </c>
    </row>
    <row r="1680" ht="17.25" customHeight="1" spans="1:15">
      <c r="A1680" s="55">
        <v>1037042</v>
      </c>
      <c r="B1680" s="7" t="s">
        <v>365</v>
      </c>
      <c r="C1680" s="25">
        <f t="shared" si="683"/>
        <v>42</v>
      </c>
      <c r="D1680" s="25">
        <f t="array" ref="D1680">INDEX(C$5:C$67,MATCH($B1680,$B$5:$B$67,0))</f>
        <v>3859</v>
      </c>
      <c r="E1680" s="25">
        <f t="array" ref="E1680">INDEX(D$5:D$67,MATCH($B1680,$B$5:$B$67,0))</f>
        <v>308.72</v>
      </c>
      <c r="F1680" s="25">
        <f t="array" ref="F1680">INDEX(E$5:E$67,MATCH($B1680,$B$5:$B$67,0))</f>
        <v>1047</v>
      </c>
      <c r="G1680" s="25">
        <f t="array" ref="G1680">INDEX(F$5:F$67,MATCH($B1680,$B$5:$B$67,0))</f>
        <v>83.76</v>
      </c>
      <c r="H1680" s="25">
        <f t="array" ref="H1680">INDEX(G$5:G$66,MATCH($B1680,$B$5:$B$67,0))</f>
        <v>758</v>
      </c>
      <c r="I1680" s="25">
        <f t="array" ref="I1680">INDEX(H$5:H$67,MATCH($B1680,$B$5:$B$67,0))</f>
        <v>60.64</v>
      </c>
      <c r="J1680" s="25">
        <f t="array" ref="J1680">INDEX(I$5:I$67,MATCH($B1680,$B$5:$B$67,0))</f>
        <v>665</v>
      </c>
      <c r="K1680" s="25">
        <f t="array" ref="K1680">INDEX(J$5:J$67,MATCH($B1680,$B$5:$B$67,0))</f>
        <v>53.2</v>
      </c>
      <c r="L1680" s="25">
        <f t="shared" si="684"/>
        <v>16825</v>
      </c>
      <c r="M1680" s="25">
        <f t="shared" si="685"/>
        <v>4565</v>
      </c>
      <c r="N1680" s="25">
        <f t="shared" si="686"/>
        <v>3305</v>
      </c>
      <c r="O1680" s="25">
        <f t="shared" si="687"/>
        <v>2899</v>
      </c>
    </row>
    <row r="1681" ht="17.25" customHeight="1" spans="1:15">
      <c r="A1681" s="55">
        <v>1037043</v>
      </c>
      <c r="B1681" s="7" t="s">
        <v>365</v>
      </c>
      <c r="C1681" s="25">
        <f t="shared" si="683"/>
        <v>43</v>
      </c>
      <c r="D1681" s="25">
        <f t="array" ref="D1681">INDEX(C$5:C$67,MATCH($B1681,$B$5:$B$67,0))</f>
        <v>3859</v>
      </c>
      <c r="E1681" s="25">
        <f t="array" ref="E1681">INDEX(D$5:D$67,MATCH($B1681,$B$5:$B$67,0))</f>
        <v>308.72</v>
      </c>
      <c r="F1681" s="25">
        <f t="array" ref="F1681">INDEX(E$5:E$67,MATCH($B1681,$B$5:$B$67,0))</f>
        <v>1047</v>
      </c>
      <c r="G1681" s="25">
        <f t="array" ref="G1681">INDEX(F$5:F$67,MATCH($B1681,$B$5:$B$67,0))</f>
        <v>83.76</v>
      </c>
      <c r="H1681" s="25">
        <f t="array" ref="H1681">INDEX(G$5:G$66,MATCH($B1681,$B$5:$B$67,0))</f>
        <v>758</v>
      </c>
      <c r="I1681" s="25">
        <f t="array" ref="I1681">INDEX(H$5:H$67,MATCH($B1681,$B$5:$B$67,0))</f>
        <v>60.64</v>
      </c>
      <c r="J1681" s="25">
        <f t="array" ref="J1681">INDEX(I$5:I$67,MATCH($B1681,$B$5:$B$67,0))</f>
        <v>665</v>
      </c>
      <c r="K1681" s="25">
        <f t="array" ref="K1681">INDEX(J$5:J$67,MATCH($B1681,$B$5:$B$67,0))</f>
        <v>53.2</v>
      </c>
      <c r="L1681" s="25">
        <f t="shared" si="684"/>
        <v>17134</v>
      </c>
      <c r="M1681" s="25">
        <f t="shared" si="685"/>
        <v>4649</v>
      </c>
      <c r="N1681" s="25">
        <f t="shared" si="686"/>
        <v>3366</v>
      </c>
      <c r="O1681" s="25">
        <f t="shared" si="687"/>
        <v>2953</v>
      </c>
    </row>
    <row r="1682" ht="17.25" customHeight="1" spans="1:15">
      <c r="A1682" s="55">
        <v>1037044</v>
      </c>
      <c r="B1682" s="7" t="s">
        <v>365</v>
      </c>
      <c r="C1682" s="25">
        <f t="shared" si="683"/>
        <v>44</v>
      </c>
      <c r="D1682" s="25">
        <f t="array" ref="D1682">INDEX(C$5:C$67,MATCH($B1682,$B$5:$B$67,0))</f>
        <v>3859</v>
      </c>
      <c r="E1682" s="25">
        <f t="array" ref="E1682">INDEX(D$5:D$67,MATCH($B1682,$B$5:$B$67,0))</f>
        <v>308.72</v>
      </c>
      <c r="F1682" s="25">
        <f t="array" ref="F1682">INDEX(E$5:E$67,MATCH($B1682,$B$5:$B$67,0))</f>
        <v>1047</v>
      </c>
      <c r="G1682" s="25">
        <f t="array" ref="G1682">INDEX(F$5:F$67,MATCH($B1682,$B$5:$B$67,0))</f>
        <v>83.76</v>
      </c>
      <c r="H1682" s="25">
        <f t="array" ref="H1682">INDEX(G$5:G$66,MATCH($B1682,$B$5:$B$67,0))</f>
        <v>758</v>
      </c>
      <c r="I1682" s="25">
        <f t="array" ref="I1682">INDEX(H$5:H$67,MATCH($B1682,$B$5:$B$67,0))</f>
        <v>60.64</v>
      </c>
      <c r="J1682" s="25">
        <f t="array" ref="J1682">INDEX(I$5:I$67,MATCH($B1682,$B$5:$B$67,0))</f>
        <v>665</v>
      </c>
      <c r="K1682" s="25">
        <f t="array" ref="K1682">INDEX(J$5:J$67,MATCH($B1682,$B$5:$B$67,0))</f>
        <v>53.2</v>
      </c>
      <c r="L1682" s="25">
        <f t="shared" si="684"/>
        <v>17443</v>
      </c>
      <c r="M1682" s="25">
        <f t="shared" si="685"/>
        <v>4732</v>
      </c>
      <c r="N1682" s="25">
        <f t="shared" si="686"/>
        <v>3426</v>
      </c>
      <c r="O1682" s="25">
        <f t="shared" si="687"/>
        <v>3006</v>
      </c>
    </row>
    <row r="1683" ht="17.25" customHeight="1" spans="1:15">
      <c r="A1683" s="55">
        <v>1037045</v>
      </c>
      <c r="B1683" s="7" t="s">
        <v>365</v>
      </c>
      <c r="C1683" s="25">
        <f t="shared" si="683"/>
        <v>45</v>
      </c>
      <c r="D1683" s="25">
        <f t="array" ref="D1683">INDEX(C$5:C$67,MATCH($B1683,$B$5:$B$67,0))</f>
        <v>3859</v>
      </c>
      <c r="E1683" s="25">
        <f t="array" ref="E1683">INDEX(D$5:D$67,MATCH($B1683,$B$5:$B$67,0))</f>
        <v>308.72</v>
      </c>
      <c r="F1683" s="25">
        <f t="array" ref="F1683">INDEX(E$5:E$67,MATCH($B1683,$B$5:$B$67,0))</f>
        <v>1047</v>
      </c>
      <c r="G1683" s="25">
        <f t="array" ref="G1683">INDEX(F$5:F$67,MATCH($B1683,$B$5:$B$67,0))</f>
        <v>83.76</v>
      </c>
      <c r="H1683" s="25">
        <f t="array" ref="H1683">INDEX(G$5:G$66,MATCH($B1683,$B$5:$B$67,0))</f>
        <v>758</v>
      </c>
      <c r="I1683" s="25">
        <f t="array" ref="I1683">INDEX(H$5:H$67,MATCH($B1683,$B$5:$B$67,0))</f>
        <v>60.64</v>
      </c>
      <c r="J1683" s="25">
        <f t="array" ref="J1683">INDEX(I$5:I$67,MATCH($B1683,$B$5:$B$67,0))</f>
        <v>665</v>
      </c>
      <c r="K1683" s="25">
        <f t="array" ref="K1683">INDEX(J$5:J$67,MATCH($B1683,$B$5:$B$67,0))</f>
        <v>53.2</v>
      </c>
      <c r="L1683" s="25">
        <f t="shared" si="684"/>
        <v>17751</v>
      </c>
      <c r="M1683" s="25">
        <f t="shared" si="685"/>
        <v>4816</v>
      </c>
      <c r="N1683" s="25">
        <f t="shared" si="686"/>
        <v>3487</v>
      </c>
      <c r="O1683" s="25">
        <f t="shared" si="687"/>
        <v>3059</v>
      </c>
    </row>
    <row r="1684" ht="17.25" customHeight="1" spans="1:15">
      <c r="A1684" s="55">
        <v>1037046</v>
      </c>
      <c r="B1684" s="7" t="s">
        <v>365</v>
      </c>
      <c r="C1684" s="25">
        <f t="shared" si="683"/>
        <v>46</v>
      </c>
      <c r="D1684" s="25">
        <f t="array" ref="D1684">INDEX(C$5:C$67,MATCH($B1684,$B$5:$B$67,0))</f>
        <v>3859</v>
      </c>
      <c r="E1684" s="25">
        <f t="array" ref="E1684">INDEX(D$5:D$67,MATCH($B1684,$B$5:$B$67,0))</f>
        <v>308.72</v>
      </c>
      <c r="F1684" s="25">
        <f t="array" ref="F1684">INDEX(E$5:E$67,MATCH($B1684,$B$5:$B$67,0))</f>
        <v>1047</v>
      </c>
      <c r="G1684" s="25">
        <f t="array" ref="G1684">INDEX(F$5:F$67,MATCH($B1684,$B$5:$B$67,0))</f>
        <v>83.76</v>
      </c>
      <c r="H1684" s="25">
        <f t="array" ref="H1684">INDEX(G$5:G$66,MATCH($B1684,$B$5:$B$67,0))</f>
        <v>758</v>
      </c>
      <c r="I1684" s="25">
        <f t="array" ref="I1684">INDEX(H$5:H$67,MATCH($B1684,$B$5:$B$67,0))</f>
        <v>60.64</v>
      </c>
      <c r="J1684" s="25">
        <f t="array" ref="J1684">INDEX(I$5:I$67,MATCH($B1684,$B$5:$B$67,0))</f>
        <v>665</v>
      </c>
      <c r="K1684" s="25">
        <f t="array" ref="K1684">INDEX(J$5:J$67,MATCH($B1684,$B$5:$B$67,0))</f>
        <v>53.2</v>
      </c>
      <c r="L1684" s="25">
        <f t="shared" si="684"/>
        <v>18060</v>
      </c>
      <c r="M1684" s="25">
        <f t="shared" si="685"/>
        <v>4900</v>
      </c>
      <c r="N1684" s="25">
        <f t="shared" si="686"/>
        <v>3547</v>
      </c>
      <c r="O1684" s="25">
        <f t="shared" si="687"/>
        <v>3112</v>
      </c>
    </row>
    <row r="1685" ht="17.25" customHeight="1" spans="1:15">
      <c r="A1685" s="55">
        <v>1037047</v>
      </c>
      <c r="B1685" s="7" t="s">
        <v>365</v>
      </c>
      <c r="C1685" s="25">
        <f t="shared" si="683"/>
        <v>47</v>
      </c>
      <c r="D1685" s="25">
        <f t="array" ref="D1685">INDEX(C$5:C$67,MATCH($B1685,$B$5:$B$67,0))</f>
        <v>3859</v>
      </c>
      <c r="E1685" s="25">
        <f t="array" ref="E1685">INDEX(D$5:D$67,MATCH($B1685,$B$5:$B$67,0))</f>
        <v>308.72</v>
      </c>
      <c r="F1685" s="25">
        <f t="array" ref="F1685">INDEX(E$5:E$67,MATCH($B1685,$B$5:$B$67,0))</f>
        <v>1047</v>
      </c>
      <c r="G1685" s="25">
        <f t="array" ref="G1685">INDEX(F$5:F$67,MATCH($B1685,$B$5:$B$67,0))</f>
        <v>83.76</v>
      </c>
      <c r="H1685" s="25">
        <f t="array" ref="H1685">INDEX(G$5:G$66,MATCH($B1685,$B$5:$B$67,0))</f>
        <v>758</v>
      </c>
      <c r="I1685" s="25">
        <f t="array" ref="I1685">INDEX(H$5:H$67,MATCH($B1685,$B$5:$B$67,0))</f>
        <v>60.64</v>
      </c>
      <c r="J1685" s="25">
        <f t="array" ref="J1685">INDEX(I$5:I$67,MATCH($B1685,$B$5:$B$67,0))</f>
        <v>665</v>
      </c>
      <c r="K1685" s="25">
        <f t="array" ref="K1685">INDEX(J$5:J$67,MATCH($B1685,$B$5:$B$67,0))</f>
        <v>53.2</v>
      </c>
      <c r="L1685" s="25">
        <f t="shared" si="684"/>
        <v>18369</v>
      </c>
      <c r="M1685" s="25">
        <f t="shared" si="685"/>
        <v>4984</v>
      </c>
      <c r="N1685" s="25">
        <f t="shared" si="686"/>
        <v>3608</v>
      </c>
      <c r="O1685" s="25">
        <f t="shared" si="687"/>
        <v>3165</v>
      </c>
    </row>
    <row r="1686" ht="17.25" customHeight="1" spans="1:15">
      <c r="A1686" s="55">
        <v>1037048</v>
      </c>
      <c r="B1686" s="7" t="s">
        <v>365</v>
      </c>
      <c r="C1686" s="25">
        <f t="shared" si="683"/>
        <v>48</v>
      </c>
      <c r="D1686" s="25">
        <f t="array" ref="D1686">INDEX(C$5:C$67,MATCH($B1686,$B$5:$B$67,0))</f>
        <v>3859</v>
      </c>
      <c r="E1686" s="25">
        <f t="array" ref="E1686">INDEX(D$5:D$67,MATCH($B1686,$B$5:$B$67,0))</f>
        <v>308.72</v>
      </c>
      <c r="F1686" s="25">
        <f t="array" ref="F1686">INDEX(E$5:E$67,MATCH($B1686,$B$5:$B$67,0))</f>
        <v>1047</v>
      </c>
      <c r="G1686" s="25">
        <f t="array" ref="G1686">INDEX(F$5:F$67,MATCH($B1686,$B$5:$B$67,0))</f>
        <v>83.76</v>
      </c>
      <c r="H1686" s="25">
        <f t="array" ref="H1686">INDEX(G$5:G$66,MATCH($B1686,$B$5:$B$67,0))</f>
        <v>758</v>
      </c>
      <c r="I1686" s="25">
        <f t="array" ref="I1686">INDEX(H$5:H$67,MATCH($B1686,$B$5:$B$67,0))</f>
        <v>60.64</v>
      </c>
      <c r="J1686" s="25">
        <f t="array" ref="J1686">INDEX(I$5:I$67,MATCH($B1686,$B$5:$B$67,0))</f>
        <v>665</v>
      </c>
      <c r="K1686" s="25">
        <f t="array" ref="K1686">INDEX(J$5:J$67,MATCH($B1686,$B$5:$B$67,0))</f>
        <v>53.2</v>
      </c>
      <c r="L1686" s="25">
        <f t="shared" si="684"/>
        <v>18678</v>
      </c>
      <c r="M1686" s="25">
        <f t="shared" si="685"/>
        <v>5067</v>
      </c>
      <c r="N1686" s="25">
        <f t="shared" si="686"/>
        <v>3669</v>
      </c>
      <c r="O1686" s="25">
        <f t="shared" si="687"/>
        <v>3219</v>
      </c>
    </row>
    <row r="1687" ht="17.25" customHeight="1" spans="1:15">
      <c r="A1687" s="55">
        <v>1037049</v>
      </c>
      <c r="B1687" s="7" t="s">
        <v>365</v>
      </c>
      <c r="C1687" s="25">
        <f t="shared" si="683"/>
        <v>49</v>
      </c>
      <c r="D1687" s="25">
        <f t="array" ref="D1687">INDEX(C$5:C$67,MATCH($B1687,$B$5:$B$67,0))</f>
        <v>3859</v>
      </c>
      <c r="E1687" s="25">
        <f t="array" ref="E1687">INDEX(D$5:D$67,MATCH($B1687,$B$5:$B$67,0))</f>
        <v>308.72</v>
      </c>
      <c r="F1687" s="25">
        <f t="array" ref="F1687">INDEX(E$5:E$67,MATCH($B1687,$B$5:$B$67,0))</f>
        <v>1047</v>
      </c>
      <c r="G1687" s="25">
        <f t="array" ref="G1687">INDEX(F$5:F$67,MATCH($B1687,$B$5:$B$67,0))</f>
        <v>83.76</v>
      </c>
      <c r="H1687" s="25">
        <f t="array" ref="H1687">INDEX(G$5:G$66,MATCH($B1687,$B$5:$B$67,0))</f>
        <v>758</v>
      </c>
      <c r="I1687" s="25">
        <f t="array" ref="I1687">INDEX(H$5:H$67,MATCH($B1687,$B$5:$B$67,0))</f>
        <v>60.64</v>
      </c>
      <c r="J1687" s="25">
        <f t="array" ref="J1687">INDEX(I$5:I$67,MATCH($B1687,$B$5:$B$67,0))</f>
        <v>665</v>
      </c>
      <c r="K1687" s="25">
        <f t="array" ref="K1687">INDEX(J$5:J$67,MATCH($B1687,$B$5:$B$67,0))</f>
        <v>53.2</v>
      </c>
      <c r="L1687" s="25">
        <f t="shared" si="684"/>
        <v>18986</v>
      </c>
      <c r="M1687" s="25">
        <f t="shared" si="685"/>
        <v>5151</v>
      </c>
      <c r="N1687" s="25">
        <f t="shared" si="686"/>
        <v>3729</v>
      </c>
      <c r="O1687" s="25">
        <f t="shared" si="687"/>
        <v>3272</v>
      </c>
    </row>
    <row r="1688" ht="17.25" customHeight="1" spans="1:15">
      <c r="A1688" s="55">
        <v>1037050</v>
      </c>
      <c r="B1688" s="7" t="s">
        <v>365</v>
      </c>
      <c r="C1688" s="25">
        <f t="shared" si="683"/>
        <v>50</v>
      </c>
      <c r="D1688" s="25">
        <f t="array" ref="D1688">INDEX(C$5:C$67,MATCH($B1688,$B$5:$B$67,0))</f>
        <v>3859</v>
      </c>
      <c r="E1688" s="25">
        <f t="array" ref="E1688">INDEX(D$5:D$67,MATCH($B1688,$B$5:$B$67,0))</f>
        <v>308.72</v>
      </c>
      <c r="F1688" s="25">
        <f t="array" ref="F1688">INDEX(E$5:E$67,MATCH($B1688,$B$5:$B$67,0))</f>
        <v>1047</v>
      </c>
      <c r="G1688" s="25">
        <f t="array" ref="G1688">INDEX(F$5:F$67,MATCH($B1688,$B$5:$B$67,0))</f>
        <v>83.76</v>
      </c>
      <c r="H1688" s="25">
        <f t="array" ref="H1688">INDEX(G$5:G$66,MATCH($B1688,$B$5:$B$67,0))</f>
        <v>758</v>
      </c>
      <c r="I1688" s="25">
        <f t="array" ref="I1688">INDEX(H$5:H$67,MATCH($B1688,$B$5:$B$67,0))</f>
        <v>60.64</v>
      </c>
      <c r="J1688" s="25">
        <f t="array" ref="J1688">INDEX(I$5:I$67,MATCH($B1688,$B$5:$B$67,0))</f>
        <v>665</v>
      </c>
      <c r="K1688" s="25">
        <f t="array" ref="K1688">INDEX(J$5:J$67,MATCH($B1688,$B$5:$B$67,0))</f>
        <v>53.2</v>
      </c>
      <c r="L1688" s="25">
        <f t="shared" si="684"/>
        <v>19295</v>
      </c>
      <c r="M1688" s="25">
        <f t="shared" si="685"/>
        <v>5235</v>
      </c>
      <c r="N1688" s="25">
        <f t="shared" si="686"/>
        <v>3790</v>
      </c>
      <c r="O1688" s="25">
        <f t="shared" si="687"/>
        <v>3325</v>
      </c>
    </row>
    <row r="1689" ht="17.25" customHeight="1" spans="1:15">
      <c r="A1689" s="55">
        <v>1037051</v>
      </c>
      <c r="B1689" s="7" t="s">
        <v>365</v>
      </c>
      <c r="C1689" s="25">
        <f t="shared" si="683"/>
        <v>51</v>
      </c>
      <c r="D1689" s="25">
        <f t="array" ref="D1689">INDEX(C$5:C$67,MATCH($B1689,$B$5:$B$67,0))</f>
        <v>3859</v>
      </c>
      <c r="E1689" s="25">
        <f t="array" ref="E1689">INDEX(D$5:D$67,MATCH($B1689,$B$5:$B$67,0))</f>
        <v>308.72</v>
      </c>
      <c r="F1689" s="25">
        <f t="array" ref="F1689">INDEX(E$5:E$67,MATCH($B1689,$B$5:$B$67,0))</f>
        <v>1047</v>
      </c>
      <c r="G1689" s="25">
        <f t="array" ref="G1689">INDEX(F$5:F$67,MATCH($B1689,$B$5:$B$67,0))</f>
        <v>83.76</v>
      </c>
      <c r="H1689" s="25">
        <f t="array" ref="H1689">INDEX(G$5:G$66,MATCH($B1689,$B$5:$B$67,0))</f>
        <v>758</v>
      </c>
      <c r="I1689" s="25">
        <f t="array" ref="I1689">INDEX(H$5:H$67,MATCH($B1689,$B$5:$B$67,0))</f>
        <v>60.64</v>
      </c>
      <c r="J1689" s="25">
        <f t="array" ref="J1689">INDEX(I$5:I$67,MATCH($B1689,$B$5:$B$67,0))</f>
        <v>665</v>
      </c>
      <c r="K1689" s="25">
        <f t="array" ref="K1689">INDEX(J$5:J$67,MATCH($B1689,$B$5:$B$67,0))</f>
        <v>53.2</v>
      </c>
      <c r="L1689" s="25">
        <f t="shared" si="684"/>
        <v>19604</v>
      </c>
      <c r="M1689" s="25">
        <f t="shared" si="685"/>
        <v>5319</v>
      </c>
      <c r="N1689" s="25">
        <f t="shared" si="686"/>
        <v>3851</v>
      </c>
      <c r="O1689" s="25">
        <f t="shared" si="687"/>
        <v>3378</v>
      </c>
    </row>
    <row r="1690" ht="17.25" customHeight="1" spans="1:15">
      <c r="A1690" s="55">
        <v>1037052</v>
      </c>
      <c r="B1690" s="7" t="s">
        <v>365</v>
      </c>
      <c r="C1690" s="25">
        <f t="shared" si="683"/>
        <v>52</v>
      </c>
      <c r="D1690" s="25">
        <f t="array" ref="D1690">INDEX(C$5:C$67,MATCH($B1690,$B$5:$B$67,0))</f>
        <v>3859</v>
      </c>
      <c r="E1690" s="25">
        <f t="array" ref="E1690">INDEX(D$5:D$67,MATCH($B1690,$B$5:$B$67,0))</f>
        <v>308.72</v>
      </c>
      <c r="F1690" s="25">
        <f t="array" ref="F1690">INDEX(E$5:E$67,MATCH($B1690,$B$5:$B$67,0))</f>
        <v>1047</v>
      </c>
      <c r="G1690" s="25">
        <f t="array" ref="G1690">INDEX(F$5:F$67,MATCH($B1690,$B$5:$B$67,0))</f>
        <v>83.76</v>
      </c>
      <c r="H1690" s="25">
        <f t="array" ref="H1690">INDEX(G$5:G$66,MATCH($B1690,$B$5:$B$67,0))</f>
        <v>758</v>
      </c>
      <c r="I1690" s="25">
        <f t="array" ref="I1690">INDEX(H$5:H$67,MATCH($B1690,$B$5:$B$67,0))</f>
        <v>60.64</v>
      </c>
      <c r="J1690" s="25">
        <f t="array" ref="J1690">INDEX(I$5:I$67,MATCH($B1690,$B$5:$B$67,0))</f>
        <v>665</v>
      </c>
      <c r="K1690" s="25">
        <f t="array" ref="K1690">INDEX(J$5:J$67,MATCH($B1690,$B$5:$B$67,0))</f>
        <v>53.2</v>
      </c>
      <c r="L1690" s="25">
        <f t="shared" si="684"/>
        <v>19912</v>
      </c>
      <c r="M1690" s="25">
        <f t="shared" si="685"/>
        <v>5403</v>
      </c>
      <c r="N1690" s="25">
        <f t="shared" si="686"/>
        <v>3911</v>
      </c>
      <c r="O1690" s="25">
        <f t="shared" si="687"/>
        <v>3431</v>
      </c>
    </row>
    <row r="1691" ht="17.25" customHeight="1" spans="1:15">
      <c r="A1691" s="55">
        <v>1037053</v>
      </c>
      <c r="B1691" s="7" t="s">
        <v>365</v>
      </c>
      <c r="C1691" s="25">
        <f t="shared" si="683"/>
        <v>53</v>
      </c>
      <c r="D1691" s="25">
        <f t="array" ref="D1691">INDEX(C$5:C$67,MATCH($B1691,$B$5:$B$67,0))</f>
        <v>3859</v>
      </c>
      <c r="E1691" s="25">
        <f t="array" ref="E1691">INDEX(D$5:D$67,MATCH($B1691,$B$5:$B$67,0))</f>
        <v>308.72</v>
      </c>
      <c r="F1691" s="25">
        <f t="array" ref="F1691">INDEX(E$5:E$67,MATCH($B1691,$B$5:$B$67,0))</f>
        <v>1047</v>
      </c>
      <c r="G1691" s="25">
        <f t="array" ref="G1691">INDEX(F$5:F$67,MATCH($B1691,$B$5:$B$67,0))</f>
        <v>83.76</v>
      </c>
      <c r="H1691" s="25">
        <f t="array" ref="H1691">INDEX(G$5:G$66,MATCH($B1691,$B$5:$B$67,0))</f>
        <v>758</v>
      </c>
      <c r="I1691" s="25">
        <f t="array" ref="I1691">INDEX(H$5:H$67,MATCH($B1691,$B$5:$B$67,0))</f>
        <v>60.64</v>
      </c>
      <c r="J1691" s="25">
        <f t="array" ref="J1691">INDEX(I$5:I$67,MATCH($B1691,$B$5:$B$67,0))</f>
        <v>665</v>
      </c>
      <c r="K1691" s="25">
        <f t="array" ref="K1691">INDEX(J$5:J$67,MATCH($B1691,$B$5:$B$67,0))</f>
        <v>53.2</v>
      </c>
      <c r="L1691" s="25">
        <f t="shared" si="684"/>
        <v>20221</v>
      </c>
      <c r="M1691" s="25">
        <f t="shared" si="685"/>
        <v>5486</v>
      </c>
      <c r="N1691" s="25">
        <f t="shared" si="686"/>
        <v>3972</v>
      </c>
      <c r="O1691" s="25">
        <f t="shared" si="687"/>
        <v>3485</v>
      </c>
    </row>
    <row r="1692" ht="17.25" customHeight="1" spans="1:15">
      <c r="A1692" s="55">
        <v>1037054</v>
      </c>
      <c r="B1692" s="7" t="s">
        <v>365</v>
      </c>
      <c r="C1692" s="25">
        <f t="shared" si="683"/>
        <v>54</v>
      </c>
      <c r="D1692" s="25">
        <f t="array" ref="D1692">INDEX(C$5:C$67,MATCH($B1692,$B$5:$B$67,0))</f>
        <v>3859</v>
      </c>
      <c r="E1692" s="25">
        <f t="array" ref="E1692">INDEX(D$5:D$67,MATCH($B1692,$B$5:$B$67,0))</f>
        <v>308.72</v>
      </c>
      <c r="F1692" s="25">
        <f t="array" ref="F1692">INDEX(E$5:E$67,MATCH($B1692,$B$5:$B$67,0))</f>
        <v>1047</v>
      </c>
      <c r="G1692" s="25">
        <f t="array" ref="G1692">INDEX(F$5:F$67,MATCH($B1692,$B$5:$B$67,0))</f>
        <v>83.76</v>
      </c>
      <c r="H1692" s="25">
        <f t="array" ref="H1692">INDEX(G$5:G$66,MATCH($B1692,$B$5:$B$67,0))</f>
        <v>758</v>
      </c>
      <c r="I1692" s="25">
        <f t="array" ref="I1692">INDEX(H$5:H$67,MATCH($B1692,$B$5:$B$67,0))</f>
        <v>60.64</v>
      </c>
      <c r="J1692" s="25">
        <f t="array" ref="J1692">INDEX(I$5:I$67,MATCH($B1692,$B$5:$B$67,0))</f>
        <v>665</v>
      </c>
      <c r="K1692" s="25">
        <f t="array" ref="K1692">INDEX(J$5:J$67,MATCH($B1692,$B$5:$B$67,0))</f>
        <v>53.2</v>
      </c>
      <c r="L1692" s="25">
        <f t="shared" si="684"/>
        <v>20530</v>
      </c>
      <c r="M1692" s="25">
        <f t="shared" si="685"/>
        <v>5570</v>
      </c>
      <c r="N1692" s="25">
        <f t="shared" si="686"/>
        <v>4033</v>
      </c>
      <c r="O1692" s="25">
        <f t="shared" si="687"/>
        <v>3538</v>
      </c>
    </row>
    <row r="1693" ht="17.25" customHeight="1" spans="1:15">
      <c r="A1693" s="55">
        <v>1037055</v>
      </c>
      <c r="B1693" s="7" t="s">
        <v>365</v>
      </c>
      <c r="C1693" s="25">
        <f t="shared" si="683"/>
        <v>55</v>
      </c>
      <c r="D1693" s="25">
        <f t="array" ref="D1693">INDEX(C$5:C$67,MATCH($B1693,$B$5:$B$67,0))</f>
        <v>3859</v>
      </c>
      <c r="E1693" s="25">
        <f t="array" ref="E1693">INDEX(D$5:D$67,MATCH($B1693,$B$5:$B$67,0))</f>
        <v>308.72</v>
      </c>
      <c r="F1693" s="25">
        <f t="array" ref="F1693">INDEX(E$5:E$67,MATCH($B1693,$B$5:$B$67,0))</f>
        <v>1047</v>
      </c>
      <c r="G1693" s="25">
        <f t="array" ref="G1693">INDEX(F$5:F$67,MATCH($B1693,$B$5:$B$67,0))</f>
        <v>83.76</v>
      </c>
      <c r="H1693" s="25">
        <f t="array" ref="H1693">INDEX(G$5:G$66,MATCH($B1693,$B$5:$B$67,0))</f>
        <v>758</v>
      </c>
      <c r="I1693" s="25">
        <f t="array" ref="I1693">INDEX(H$5:H$67,MATCH($B1693,$B$5:$B$67,0))</f>
        <v>60.64</v>
      </c>
      <c r="J1693" s="25">
        <f t="array" ref="J1693">INDEX(I$5:I$67,MATCH($B1693,$B$5:$B$67,0))</f>
        <v>665</v>
      </c>
      <c r="K1693" s="25">
        <f t="array" ref="K1693">INDEX(J$5:J$67,MATCH($B1693,$B$5:$B$67,0))</f>
        <v>53.2</v>
      </c>
      <c r="L1693" s="25">
        <f t="shared" si="684"/>
        <v>20839</v>
      </c>
      <c r="M1693" s="25">
        <f t="shared" si="685"/>
        <v>5654</v>
      </c>
      <c r="N1693" s="25">
        <f t="shared" si="686"/>
        <v>4093</v>
      </c>
      <c r="O1693" s="25">
        <f t="shared" si="687"/>
        <v>3591</v>
      </c>
    </row>
    <row r="1694" ht="17.25" customHeight="1" spans="1:15">
      <c r="A1694" s="55">
        <v>1037056</v>
      </c>
      <c r="B1694" s="7" t="s">
        <v>365</v>
      </c>
      <c r="C1694" s="25">
        <f t="shared" si="683"/>
        <v>56</v>
      </c>
      <c r="D1694" s="25">
        <f t="array" ref="D1694">INDEX(C$5:C$67,MATCH($B1694,$B$5:$B$67,0))</f>
        <v>3859</v>
      </c>
      <c r="E1694" s="25">
        <f t="array" ref="E1694">INDEX(D$5:D$67,MATCH($B1694,$B$5:$B$67,0))</f>
        <v>308.72</v>
      </c>
      <c r="F1694" s="25">
        <f t="array" ref="F1694">INDEX(E$5:E$67,MATCH($B1694,$B$5:$B$67,0))</f>
        <v>1047</v>
      </c>
      <c r="G1694" s="25">
        <f t="array" ref="G1694">INDEX(F$5:F$67,MATCH($B1694,$B$5:$B$67,0))</f>
        <v>83.76</v>
      </c>
      <c r="H1694" s="25">
        <f t="array" ref="H1694">INDEX(G$5:G$66,MATCH($B1694,$B$5:$B$67,0))</f>
        <v>758</v>
      </c>
      <c r="I1694" s="25">
        <f t="array" ref="I1694">INDEX(H$5:H$67,MATCH($B1694,$B$5:$B$67,0))</f>
        <v>60.64</v>
      </c>
      <c r="J1694" s="25">
        <f t="array" ref="J1694">INDEX(I$5:I$67,MATCH($B1694,$B$5:$B$67,0))</f>
        <v>665</v>
      </c>
      <c r="K1694" s="25">
        <f t="array" ref="K1694">INDEX(J$5:J$67,MATCH($B1694,$B$5:$B$67,0))</f>
        <v>53.2</v>
      </c>
      <c r="L1694" s="25">
        <f t="shared" si="684"/>
        <v>21147</v>
      </c>
      <c r="M1694" s="25">
        <f t="shared" si="685"/>
        <v>5738</v>
      </c>
      <c r="N1694" s="25">
        <f t="shared" si="686"/>
        <v>4154</v>
      </c>
      <c r="O1694" s="25">
        <f t="shared" si="687"/>
        <v>3644</v>
      </c>
    </row>
    <row r="1695" ht="17.25" customHeight="1" spans="1:15">
      <c r="A1695" s="55">
        <v>1037057</v>
      </c>
      <c r="B1695" s="7" t="s">
        <v>365</v>
      </c>
      <c r="C1695" s="25">
        <f t="shared" si="683"/>
        <v>57</v>
      </c>
      <c r="D1695" s="25">
        <f t="array" ref="D1695">INDEX(C$5:C$67,MATCH($B1695,$B$5:$B$67,0))</f>
        <v>3859</v>
      </c>
      <c r="E1695" s="25">
        <f t="array" ref="E1695">INDEX(D$5:D$67,MATCH($B1695,$B$5:$B$67,0))</f>
        <v>308.72</v>
      </c>
      <c r="F1695" s="25">
        <f t="array" ref="F1695">INDEX(E$5:E$67,MATCH($B1695,$B$5:$B$67,0))</f>
        <v>1047</v>
      </c>
      <c r="G1695" s="25">
        <f t="array" ref="G1695">INDEX(F$5:F$67,MATCH($B1695,$B$5:$B$67,0))</f>
        <v>83.76</v>
      </c>
      <c r="H1695" s="25">
        <f t="array" ref="H1695">INDEX(G$5:G$66,MATCH($B1695,$B$5:$B$67,0))</f>
        <v>758</v>
      </c>
      <c r="I1695" s="25">
        <f t="array" ref="I1695">INDEX(H$5:H$67,MATCH($B1695,$B$5:$B$67,0))</f>
        <v>60.64</v>
      </c>
      <c r="J1695" s="25">
        <f t="array" ref="J1695">INDEX(I$5:I$67,MATCH($B1695,$B$5:$B$67,0))</f>
        <v>665</v>
      </c>
      <c r="K1695" s="25">
        <f t="array" ref="K1695">INDEX(J$5:J$67,MATCH($B1695,$B$5:$B$67,0))</f>
        <v>53.2</v>
      </c>
      <c r="L1695" s="25">
        <f t="shared" si="684"/>
        <v>21456</v>
      </c>
      <c r="M1695" s="25">
        <f t="shared" si="685"/>
        <v>5821</v>
      </c>
      <c r="N1695" s="25">
        <f t="shared" si="686"/>
        <v>4214</v>
      </c>
      <c r="O1695" s="25">
        <f t="shared" si="687"/>
        <v>3697</v>
      </c>
    </row>
    <row r="1696" ht="17.25" customHeight="1" spans="1:15">
      <c r="A1696" s="55">
        <v>1037058</v>
      </c>
      <c r="B1696" s="7" t="s">
        <v>365</v>
      </c>
      <c r="C1696" s="25">
        <f t="shared" si="683"/>
        <v>58</v>
      </c>
      <c r="D1696" s="25">
        <f t="array" ref="D1696">INDEX(C$5:C$67,MATCH($B1696,$B$5:$B$67,0))</f>
        <v>3859</v>
      </c>
      <c r="E1696" s="25">
        <f t="array" ref="E1696">INDEX(D$5:D$67,MATCH($B1696,$B$5:$B$67,0))</f>
        <v>308.72</v>
      </c>
      <c r="F1696" s="25">
        <f t="array" ref="F1696">INDEX(E$5:E$67,MATCH($B1696,$B$5:$B$67,0))</f>
        <v>1047</v>
      </c>
      <c r="G1696" s="25">
        <f t="array" ref="G1696">INDEX(F$5:F$67,MATCH($B1696,$B$5:$B$67,0))</f>
        <v>83.76</v>
      </c>
      <c r="H1696" s="25">
        <f t="array" ref="H1696">INDEX(G$5:G$66,MATCH($B1696,$B$5:$B$67,0))</f>
        <v>758</v>
      </c>
      <c r="I1696" s="25">
        <f t="array" ref="I1696">INDEX(H$5:H$67,MATCH($B1696,$B$5:$B$67,0))</f>
        <v>60.64</v>
      </c>
      <c r="J1696" s="25">
        <f t="array" ref="J1696">INDEX(I$5:I$67,MATCH($B1696,$B$5:$B$67,0))</f>
        <v>665</v>
      </c>
      <c r="K1696" s="25">
        <f t="array" ref="K1696">INDEX(J$5:J$67,MATCH($B1696,$B$5:$B$67,0))</f>
        <v>53.2</v>
      </c>
      <c r="L1696" s="25">
        <f t="shared" si="684"/>
        <v>21765</v>
      </c>
      <c r="M1696" s="25">
        <f t="shared" si="685"/>
        <v>5905</v>
      </c>
      <c r="N1696" s="25">
        <f t="shared" si="686"/>
        <v>4275</v>
      </c>
      <c r="O1696" s="25">
        <f t="shared" si="687"/>
        <v>3751</v>
      </c>
    </row>
    <row r="1697" ht="17.25" customHeight="1" spans="1:15">
      <c r="A1697" s="55">
        <v>1037059</v>
      </c>
      <c r="B1697" s="7" t="s">
        <v>365</v>
      </c>
      <c r="C1697" s="25">
        <f t="shared" si="683"/>
        <v>59</v>
      </c>
      <c r="D1697" s="25">
        <f t="array" ref="D1697">INDEX(C$5:C$67,MATCH($B1697,$B$5:$B$67,0))</f>
        <v>3859</v>
      </c>
      <c r="E1697" s="25">
        <f t="array" ref="E1697">INDEX(D$5:D$67,MATCH($B1697,$B$5:$B$67,0))</f>
        <v>308.72</v>
      </c>
      <c r="F1697" s="25">
        <f t="array" ref="F1697">INDEX(E$5:E$67,MATCH($B1697,$B$5:$B$67,0))</f>
        <v>1047</v>
      </c>
      <c r="G1697" s="25">
        <f t="array" ref="G1697">INDEX(F$5:F$67,MATCH($B1697,$B$5:$B$67,0))</f>
        <v>83.76</v>
      </c>
      <c r="H1697" s="25">
        <f t="array" ref="H1697">INDEX(G$5:G$66,MATCH($B1697,$B$5:$B$67,0))</f>
        <v>758</v>
      </c>
      <c r="I1697" s="25">
        <f t="array" ref="I1697">INDEX(H$5:H$67,MATCH($B1697,$B$5:$B$67,0))</f>
        <v>60.64</v>
      </c>
      <c r="J1697" s="25">
        <f t="array" ref="J1697">INDEX(I$5:I$67,MATCH($B1697,$B$5:$B$67,0))</f>
        <v>665</v>
      </c>
      <c r="K1697" s="25">
        <f t="array" ref="K1697">INDEX(J$5:J$67,MATCH($B1697,$B$5:$B$67,0))</f>
        <v>53.2</v>
      </c>
      <c r="L1697" s="25">
        <f t="shared" si="684"/>
        <v>22073</v>
      </c>
      <c r="M1697" s="25">
        <f t="shared" si="685"/>
        <v>5989</v>
      </c>
      <c r="N1697" s="25">
        <f t="shared" si="686"/>
        <v>4336</v>
      </c>
      <c r="O1697" s="25">
        <f t="shared" si="687"/>
        <v>3804</v>
      </c>
    </row>
    <row r="1698" ht="17.25" customHeight="1" spans="1:15">
      <c r="A1698" s="55">
        <v>1037060</v>
      </c>
      <c r="B1698" s="7" t="s">
        <v>365</v>
      </c>
      <c r="C1698" s="25">
        <f t="shared" si="683"/>
        <v>60</v>
      </c>
      <c r="D1698" s="25">
        <f t="array" ref="D1698">INDEX(C$5:C$67,MATCH($B1698,$B$5:$B$67,0))</f>
        <v>3859</v>
      </c>
      <c r="E1698" s="25">
        <f t="array" ref="E1698">INDEX(D$5:D$67,MATCH($B1698,$B$5:$B$67,0))</f>
        <v>308.72</v>
      </c>
      <c r="F1698" s="25">
        <f t="array" ref="F1698">INDEX(E$5:E$67,MATCH($B1698,$B$5:$B$67,0))</f>
        <v>1047</v>
      </c>
      <c r="G1698" s="25">
        <f t="array" ref="G1698">INDEX(F$5:F$67,MATCH($B1698,$B$5:$B$67,0))</f>
        <v>83.76</v>
      </c>
      <c r="H1698" s="25">
        <f t="array" ref="H1698">INDEX(G$5:G$66,MATCH($B1698,$B$5:$B$67,0))</f>
        <v>758</v>
      </c>
      <c r="I1698" s="25">
        <f t="array" ref="I1698">INDEX(H$5:H$67,MATCH($B1698,$B$5:$B$67,0))</f>
        <v>60.64</v>
      </c>
      <c r="J1698" s="25">
        <f t="array" ref="J1698">INDEX(I$5:I$67,MATCH($B1698,$B$5:$B$67,0))</f>
        <v>665</v>
      </c>
      <c r="K1698" s="25">
        <f t="array" ref="K1698">INDEX(J$5:J$67,MATCH($B1698,$B$5:$B$67,0))</f>
        <v>53.2</v>
      </c>
      <c r="L1698" s="25">
        <f t="shared" si="684"/>
        <v>22382</v>
      </c>
      <c r="M1698" s="25">
        <f t="shared" si="685"/>
        <v>6073</v>
      </c>
      <c r="N1698" s="25">
        <f t="shared" si="686"/>
        <v>4396</v>
      </c>
      <c r="O1698" s="25">
        <f t="shared" si="687"/>
        <v>3857</v>
      </c>
    </row>
    <row r="1699" ht="17.25" customHeight="1" spans="1:15">
      <c r="A1699" s="55">
        <v>1038001</v>
      </c>
      <c r="B1699" s="7" t="s">
        <v>366</v>
      </c>
      <c r="C1699" s="25">
        <f t="shared" si="683"/>
        <v>1</v>
      </c>
      <c r="D1699" s="25">
        <f t="array" ref="D1699">INDEX(C$5:C$67,MATCH($B1699,$B$5:$B$67,0))</f>
        <v>4200</v>
      </c>
      <c r="E1699" s="25">
        <f t="array" ref="E1699">INDEX(D$5:D$67,MATCH($B1699,$B$5:$B$67,0))</f>
        <v>336</v>
      </c>
      <c r="F1699" s="25">
        <f t="array" ref="F1699">INDEX(E$5:E$67,MATCH($B1699,$B$5:$B$67,0))</f>
        <v>630</v>
      </c>
      <c r="G1699" s="25">
        <f t="array" ref="G1699">INDEX(F$5:F$67,MATCH($B1699,$B$5:$B$67,0))</f>
        <v>50.4</v>
      </c>
      <c r="H1699" s="25">
        <f t="array" ref="H1699">INDEX(G$5:G$66,MATCH($B1699,$B$5:$B$67,0))</f>
        <v>504</v>
      </c>
      <c r="I1699" s="25">
        <f t="array" ref="I1699">INDEX(H$5:H$67,MATCH($B1699,$B$5:$B$67,0))</f>
        <v>40.32</v>
      </c>
      <c r="J1699" s="25">
        <f t="array" ref="J1699">INDEX(I$5:I$67,MATCH($B1699,$B$5:$B$67,0))</f>
        <v>840</v>
      </c>
      <c r="K1699" s="25">
        <f t="array" ref="K1699">INDEX(J$5:J$67,MATCH($B1699,$B$5:$B$67,0))</f>
        <v>67.2</v>
      </c>
      <c r="L1699" s="25">
        <f t="shared" si="684"/>
        <v>4536</v>
      </c>
      <c r="M1699" s="25">
        <f t="shared" si="685"/>
        <v>680</v>
      </c>
      <c r="N1699" s="25">
        <f t="shared" si="686"/>
        <v>544</v>
      </c>
      <c r="O1699" s="25">
        <f t="shared" si="687"/>
        <v>907</v>
      </c>
    </row>
    <row r="1700" ht="17.25" customHeight="1" spans="1:15">
      <c r="A1700" s="55">
        <v>1038002</v>
      </c>
      <c r="B1700" s="7" t="s">
        <v>366</v>
      </c>
      <c r="C1700" s="25">
        <f t="shared" si="683"/>
        <v>2</v>
      </c>
      <c r="D1700" s="25">
        <f t="array" ref="D1700">INDEX(C$5:C$67,MATCH($B1700,$B$5:$B$67,0))</f>
        <v>4200</v>
      </c>
      <c r="E1700" s="25">
        <f t="array" ref="E1700">INDEX(D$5:D$67,MATCH($B1700,$B$5:$B$67,0))</f>
        <v>336</v>
      </c>
      <c r="F1700" s="25">
        <f t="array" ref="F1700">INDEX(E$5:E$67,MATCH($B1700,$B$5:$B$67,0))</f>
        <v>630</v>
      </c>
      <c r="G1700" s="25">
        <f t="array" ref="G1700">INDEX(F$5:F$67,MATCH($B1700,$B$5:$B$67,0))</f>
        <v>50.4</v>
      </c>
      <c r="H1700" s="25">
        <f t="array" ref="H1700">INDEX(G$5:G$66,MATCH($B1700,$B$5:$B$67,0))</f>
        <v>504</v>
      </c>
      <c r="I1700" s="25">
        <f t="array" ref="I1700">INDEX(H$5:H$67,MATCH($B1700,$B$5:$B$67,0))</f>
        <v>40.32</v>
      </c>
      <c r="J1700" s="25">
        <f t="array" ref="J1700">INDEX(I$5:I$67,MATCH($B1700,$B$5:$B$67,0))</f>
        <v>840</v>
      </c>
      <c r="K1700" s="25">
        <f t="array" ref="K1700">INDEX(J$5:J$67,MATCH($B1700,$B$5:$B$67,0))</f>
        <v>67.2</v>
      </c>
      <c r="L1700" s="25">
        <f t="shared" si="684"/>
        <v>4872</v>
      </c>
      <c r="M1700" s="25">
        <f t="shared" si="685"/>
        <v>731</v>
      </c>
      <c r="N1700" s="25">
        <f t="shared" si="686"/>
        <v>585</v>
      </c>
      <c r="O1700" s="25">
        <f t="shared" si="687"/>
        <v>974</v>
      </c>
    </row>
    <row r="1701" ht="17.25" customHeight="1" spans="1:15">
      <c r="A1701" s="55">
        <v>1038003</v>
      </c>
      <c r="B1701" s="7" t="s">
        <v>366</v>
      </c>
      <c r="C1701" s="25">
        <f t="shared" si="683"/>
        <v>3</v>
      </c>
      <c r="D1701" s="25">
        <f t="array" ref="D1701">INDEX(C$5:C$67,MATCH($B1701,$B$5:$B$67,0))</f>
        <v>4200</v>
      </c>
      <c r="E1701" s="25">
        <f t="array" ref="E1701">INDEX(D$5:D$67,MATCH($B1701,$B$5:$B$67,0))</f>
        <v>336</v>
      </c>
      <c r="F1701" s="25">
        <f t="array" ref="F1701">INDEX(E$5:E$67,MATCH($B1701,$B$5:$B$67,0))</f>
        <v>630</v>
      </c>
      <c r="G1701" s="25">
        <f t="array" ref="G1701">INDEX(F$5:F$67,MATCH($B1701,$B$5:$B$67,0))</f>
        <v>50.4</v>
      </c>
      <c r="H1701" s="25">
        <f t="array" ref="H1701">INDEX(G$5:G$66,MATCH($B1701,$B$5:$B$67,0))</f>
        <v>504</v>
      </c>
      <c r="I1701" s="25">
        <f t="array" ref="I1701">INDEX(H$5:H$67,MATCH($B1701,$B$5:$B$67,0))</f>
        <v>40.32</v>
      </c>
      <c r="J1701" s="25">
        <f t="array" ref="J1701">INDEX(I$5:I$67,MATCH($B1701,$B$5:$B$67,0))</f>
        <v>840</v>
      </c>
      <c r="K1701" s="25">
        <f t="array" ref="K1701">INDEX(J$5:J$67,MATCH($B1701,$B$5:$B$67,0))</f>
        <v>67.2</v>
      </c>
      <c r="L1701" s="25">
        <f t="shared" si="684"/>
        <v>5208</v>
      </c>
      <c r="M1701" s="25">
        <f t="shared" si="685"/>
        <v>781</v>
      </c>
      <c r="N1701" s="25">
        <f t="shared" si="686"/>
        <v>625</v>
      </c>
      <c r="O1701" s="25">
        <f t="shared" si="687"/>
        <v>1042</v>
      </c>
    </row>
    <row r="1702" ht="17.25" customHeight="1" spans="1:15">
      <c r="A1702" s="55">
        <v>1038004</v>
      </c>
      <c r="B1702" s="7" t="s">
        <v>366</v>
      </c>
      <c r="C1702" s="25">
        <f t="shared" si="683"/>
        <v>4</v>
      </c>
      <c r="D1702" s="25">
        <f t="array" ref="D1702">INDEX(C$5:C$67,MATCH($B1702,$B$5:$B$67,0))</f>
        <v>4200</v>
      </c>
      <c r="E1702" s="25">
        <f t="array" ref="E1702">INDEX(D$5:D$67,MATCH($B1702,$B$5:$B$67,0))</f>
        <v>336</v>
      </c>
      <c r="F1702" s="25">
        <f t="array" ref="F1702">INDEX(E$5:E$67,MATCH($B1702,$B$5:$B$67,0))</f>
        <v>630</v>
      </c>
      <c r="G1702" s="25">
        <f t="array" ref="G1702">INDEX(F$5:F$67,MATCH($B1702,$B$5:$B$67,0))</f>
        <v>50.4</v>
      </c>
      <c r="H1702" s="25">
        <f t="array" ref="H1702">INDEX(G$5:G$66,MATCH($B1702,$B$5:$B$67,0))</f>
        <v>504</v>
      </c>
      <c r="I1702" s="25">
        <f t="array" ref="I1702">INDEX(H$5:H$67,MATCH($B1702,$B$5:$B$67,0))</f>
        <v>40.32</v>
      </c>
      <c r="J1702" s="25">
        <f t="array" ref="J1702">INDEX(I$5:I$67,MATCH($B1702,$B$5:$B$67,0))</f>
        <v>840</v>
      </c>
      <c r="K1702" s="25">
        <f t="array" ref="K1702">INDEX(J$5:J$67,MATCH($B1702,$B$5:$B$67,0))</f>
        <v>67.2</v>
      </c>
      <c r="L1702" s="25">
        <f t="shared" si="684"/>
        <v>5544</v>
      </c>
      <c r="M1702" s="25">
        <f t="shared" si="685"/>
        <v>832</v>
      </c>
      <c r="N1702" s="25">
        <f t="shared" si="686"/>
        <v>665</v>
      </c>
      <c r="O1702" s="25">
        <f t="shared" si="687"/>
        <v>1109</v>
      </c>
    </row>
    <row r="1703" ht="17.25" customHeight="1" spans="1:15">
      <c r="A1703" s="55">
        <v>1038005</v>
      </c>
      <c r="B1703" s="7" t="s">
        <v>366</v>
      </c>
      <c r="C1703" s="25">
        <f t="shared" si="683"/>
        <v>5</v>
      </c>
      <c r="D1703" s="25">
        <f t="array" ref="D1703">INDEX(C$5:C$67,MATCH($B1703,$B$5:$B$67,0))</f>
        <v>4200</v>
      </c>
      <c r="E1703" s="25">
        <f t="array" ref="E1703">INDEX(D$5:D$67,MATCH($B1703,$B$5:$B$67,0))</f>
        <v>336</v>
      </c>
      <c r="F1703" s="25">
        <f t="array" ref="F1703">INDEX(E$5:E$67,MATCH($B1703,$B$5:$B$67,0))</f>
        <v>630</v>
      </c>
      <c r="G1703" s="25">
        <f t="array" ref="G1703">INDEX(F$5:F$67,MATCH($B1703,$B$5:$B$67,0))</f>
        <v>50.4</v>
      </c>
      <c r="H1703" s="25">
        <f t="array" ref="H1703">INDEX(G$5:G$66,MATCH($B1703,$B$5:$B$67,0))</f>
        <v>504</v>
      </c>
      <c r="I1703" s="25">
        <f t="array" ref="I1703">INDEX(H$5:H$67,MATCH($B1703,$B$5:$B$67,0))</f>
        <v>40.32</v>
      </c>
      <c r="J1703" s="25">
        <f t="array" ref="J1703">INDEX(I$5:I$67,MATCH($B1703,$B$5:$B$67,0))</f>
        <v>840</v>
      </c>
      <c r="K1703" s="25">
        <f t="array" ref="K1703">INDEX(J$5:J$67,MATCH($B1703,$B$5:$B$67,0))</f>
        <v>67.2</v>
      </c>
      <c r="L1703" s="25">
        <f t="shared" si="684"/>
        <v>5880</v>
      </c>
      <c r="M1703" s="25">
        <f t="shared" si="685"/>
        <v>882</v>
      </c>
      <c r="N1703" s="25">
        <f t="shared" si="686"/>
        <v>706</v>
      </c>
      <c r="O1703" s="25">
        <f t="shared" si="687"/>
        <v>1176</v>
      </c>
    </row>
    <row r="1704" ht="17.25" customHeight="1" spans="1:15">
      <c r="A1704" s="55">
        <v>1038006</v>
      </c>
      <c r="B1704" s="7" t="s">
        <v>366</v>
      </c>
      <c r="C1704" s="25">
        <f t="shared" si="683"/>
        <v>6</v>
      </c>
      <c r="D1704" s="25">
        <f t="array" ref="D1704">INDEX(C$5:C$67,MATCH($B1704,$B$5:$B$67,0))</f>
        <v>4200</v>
      </c>
      <c r="E1704" s="25">
        <f t="array" ref="E1704">INDEX(D$5:D$67,MATCH($B1704,$B$5:$B$67,0))</f>
        <v>336</v>
      </c>
      <c r="F1704" s="25">
        <f t="array" ref="F1704">INDEX(E$5:E$67,MATCH($B1704,$B$5:$B$67,0))</f>
        <v>630</v>
      </c>
      <c r="G1704" s="25">
        <f t="array" ref="G1704">INDEX(F$5:F$67,MATCH($B1704,$B$5:$B$67,0))</f>
        <v>50.4</v>
      </c>
      <c r="H1704" s="25">
        <f t="array" ref="H1704">INDEX(G$5:G$66,MATCH($B1704,$B$5:$B$67,0))</f>
        <v>504</v>
      </c>
      <c r="I1704" s="25">
        <f t="array" ref="I1704">INDEX(H$5:H$67,MATCH($B1704,$B$5:$B$67,0))</f>
        <v>40.32</v>
      </c>
      <c r="J1704" s="25">
        <f t="array" ref="J1704">INDEX(I$5:I$67,MATCH($B1704,$B$5:$B$67,0))</f>
        <v>840</v>
      </c>
      <c r="K1704" s="25">
        <f t="array" ref="K1704">INDEX(J$5:J$67,MATCH($B1704,$B$5:$B$67,0))</f>
        <v>67.2</v>
      </c>
      <c r="L1704" s="25">
        <f t="shared" si="684"/>
        <v>6216</v>
      </c>
      <c r="M1704" s="25">
        <f t="shared" si="685"/>
        <v>932</v>
      </c>
      <c r="N1704" s="25">
        <f t="shared" si="686"/>
        <v>746</v>
      </c>
      <c r="O1704" s="25">
        <f t="shared" si="687"/>
        <v>1243</v>
      </c>
    </row>
    <row r="1705" ht="17.25" customHeight="1" spans="1:15">
      <c r="A1705" s="55">
        <v>1038007</v>
      </c>
      <c r="B1705" s="7" t="s">
        <v>366</v>
      </c>
      <c r="C1705" s="25">
        <f t="shared" si="683"/>
        <v>7</v>
      </c>
      <c r="D1705" s="25">
        <f t="array" ref="D1705">INDEX(C$5:C$67,MATCH($B1705,$B$5:$B$67,0))</f>
        <v>4200</v>
      </c>
      <c r="E1705" s="25">
        <f t="array" ref="E1705">INDEX(D$5:D$67,MATCH($B1705,$B$5:$B$67,0))</f>
        <v>336</v>
      </c>
      <c r="F1705" s="25">
        <f t="array" ref="F1705">INDEX(E$5:E$67,MATCH($B1705,$B$5:$B$67,0))</f>
        <v>630</v>
      </c>
      <c r="G1705" s="25">
        <f t="array" ref="G1705">INDEX(F$5:F$67,MATCH($B1705,$B$5:$B$67,0))</f>
        <v>50.4</v>
      </c>
      <c r="H1705" s="25">
        <f t="array" ref="H1705">INDEX(G$5:G$66,MATCH($B1705,$B$5:$B$67,0))</f>
        <v>504</v>
      </c>
      <c r="I1705" s="25">
        <f t="array" ref="I1705">INDEX(H$5:H$67,MATCH($B1705,$B$5:$B$67,0))</f>
        <v>40.32</v>
      </c>
      <c r="J1705" s="25">
        <f t="array" ref="J1705">INDEX(I$5:I$67,MATCH($B1705,$B$5:$B$67,0))</f>
        <v>840</v>
      </c>
      <c r="K1705" s="25">
        <f t="array" ref="K1705">INDEX(J$5:J$67,MATCH($B1705,$B$5:$B$67,0))</f>
        <v>67.2</v>
      </c>
      <c r="L1705" s="25">
        <f t="shared" si="684"/>
        <v>6552</v>
      </c>
      <c r="M1705" s="25">
        <f t="shared" si="685"/>
        <v>983</v>
      </c>
      <c r="N1705" s="25">
        <f t="shared" si="686"/>
        <v>786</v>
      </c>
      <c r="O1705" s="25">
        <f t="shared" si="687"/>
        <v>1310</v>
      </c>
    </row>
    <row r="1706" ht="17.25" customHeight="1" spans="1:15">
      <c r="A1706" s="55">
        <v>1038008</v>
      </c>
      <c r="B1706" s="7" t="s">
        <v>366</v>
      </c>
      <c r="C1706" s="25">
        <f t="shared" si="683"/>
        <v>8</v>
      </c>
      <c r="D1706" s="25">
        <f t="array" ref="D1706">INDEX(C$5:C$67,MATCH($B1706,$B$5:$B$67,0))</f>
        <v>4200</v>
      </c>
      <c r="E1706" s="25">
        <f t="array" ref="E1706">INDEX(D$5:D$67,MATCH($B1706,$B$5:$B$67,0))</f>
        <v>336</v>
      </c>
      <c r="F1706" s="25">
        <f t="array" ref="F1706">INDEX(E$5:E$67,MATCH($B1706,$B$5:$B$67,0))</f>
        <v>630</v>
      </c>
      <c r="G1706" s="25">
        <f t="array" ref="G1706">INDEX(F$5:F$67,MATCH($B1706,$B$5:$B$67,0))</f>
        <v>50.4</v>
      </c>
      <c r="H1706" s="25">
        <f t="array" ref="H1706">INDEX(G$5:G$66,MATCH($B1706,$B$5:$B$67,0))</f>
        <v>504</v>
      </c>
      <c r="I1706" s="25">
        <f t="array" ref="I1706">INDEX(H$5:H$67,MATCH($B1706,$B$5:$B$67,0))</f>
        <v>40.32</v>
      </c>
      <c r="J1706" s="25">
        <f t="array" ref="J1706">INDEX(I$5:I$67,MATCH($B1706,$B$5:$B$67,0))</f>
        <v>840</v>
      </c>
      <c r="K1706" s="25">
        <f t="array" ref="K1706">INDEX(J$5:J$67,MATCH($B1706,$B$5:$B$67,0))</f>
        <v>67.2</v>
      </c>
      <c r="L1706" s="25">
        <f t="shared" si="684"/>
        <v>6888</v>
      </c>
      <c r="M1706" s="25">
        <f t="shared" si="685"/>
        <v>1033</v>
      </c>
      <c r="N1706" s="25">
        <f t="shared" si="686"/>
        <v>827</v>
      </c>
      <c r="O1706" s="25">
        <f t="shared" si="687"/>
        <v>1378</v>
      </c>
    </row>
    <row r="1707" ht="17.25" customHeight="1" spans="1:15">
      <c r="A1707" s="55">
        <v>1038009</v>
      </c>
      <c r="B1707" s="7" t="s">
        <v>366</v>
      </c>
      <c r="C1707" s="25">
        <f t="shared" si="683"/>
        <v>9</v>
      </c>
      <c r="D1707" s="25">
        <f t="array" ref="D1707">INDEX(C$5:C$67,MATCH($B1707,$B$5:$B$67,0))</f>
        <v>4200</v>
      </c>
      <c r="E1707" s="25">
        <f t="array" ref="E1707">INDEX(D$5:D$67,MATCH($B1707,$B$5:$B$67,0))</f>
        <v>336</v>
      </c>
      <c r="F1707" s="25">
        <f t="array" ref="F1707">INDEX(E$5:E$67,MATCH($B1707,$B$5:$B$67,0))</f>
        <v>630</v>
      </c>
      <c r="G1707" s="25">
        <f t="array" ref="G1707">INDEX(F$5:F$67,MATCH($B1707,$B$5:$B$67,0))</f>
        <v>50.4</v>
      </c>
      <c r="H1707" s="25">
        <f t="array" ref="H1707">INDEX(G$5:G$66,MATCH($B1707,$B$5:$B$67,0))</f>
        <v>504</v>
      </c>
      <c r="I1707" s="25">
        <f t="array" ref="I1707">INDEX(H$5:H$67,MATCH($B1707,$B$5:$B$67,0))</f>
        <v>40.32</v>
      </c>
      <c r="J1707" s="25">
        <f t="array" ref="J1707">INDEX(I$5:I$67,MATCH($B1707,$B$5:$B$67,0))</f>
        <v>840</v>
      </c>
      <c r="K1707" s="25">
        <f t="array" ref="K1707">INDEX(J$5:J$67,MATCH($B1707,$B$5:$B$67,0))</f>
        <v>67.2</v>
      </c>
      <c r="L1707" s="25">
        <f t="shared" si="684"/>
        <v>7224</v>
      </c>
      <c r="M1707" s="25">
        <f t="shared" si="685"/>
        <v>1084</v>
      </c>
      <c r="N1707" s="25">
        <f t="shared" si="686"/>
        <v>867</v>
      </c>
      <c r="O1707" s="25">
        <f t="shared" si="687"/>
        <v>1445</v>
      </c>
    </row>
    <row r="1708" ht="17.25" customHeight="1" spans="1:15">
      <c r="A1708" s="55">
        <v>1038010</v>
      </c>
      <c r="B1708" s="7" t="s">
        <v>366</v>
      </c>
      <c r="C1708" s="25">
        <f t="shared" si="683"/>
        <v>10</v>
      </c>
      <c r="D1708" s="25">
        <f t="array" ref="D1708">INDEX(C$5:C$67,MATCH($B1708,$B$5:$B$67,0))</f>
        <v>4200</v>
      </c>
      <c r="E1708" s="25">
        <f t="array" ref="E1708">INDEX(D$5:D$67,MATCH($B1708,$B$5:$B$67,0))</f>
        <v>336</v>
      </c>
      <c r="F1708" s="25">
        <f t="array" ref="F1708">INDEX(E$5:E$67,MATCH($B1708,$B$5:$B$67,0))</f>
        <v>630</v>
      </c>
      <c r="G1708" s="25">
        <f t="array" ref="G1708">INDEX(F$5:F$67,MATCH($B1708,$B$5:$B$67,0))</f>
        <v>50.4</v>
      </c>
      <c r="H1708" s="25">
        <f t="array" ref="H1708">INDEX(G$5:G$66,MATCH($B1708,$B$5:$B$67,0))</f>
        <v>504</v>
      </c>
      <c r="I1708" s="25">
        <f t="array" ref="I1708">INDEX(H$5:H$67,MATCH($B1708,$B$5:$B$67,0))</f>
        <v>40.32</v>
      </c>
      <c r="J1708" s="25">
        <f t="array" ref="J1708">INDEX(I$5:I$67,MATCH($B1708,$B$5:$B$67,0))</f>
        <v>840</v>
      </c>
      <c r="K1708" s="25">
        <f t="array" ref="K1708">INDEX(J$5:J$67,MATCH($B1708,$B$5:$B$67,0))</f>
        <v>67.2</v>
      </c>
      <c r="L1708" s="25">
        <f t="shared" si="684"/>
        <v>7560</v>
      </c>
      <c r="M1708" s="25">
        <f t="shared" si="685"/>
        <v>1134</v>
      </c>
      <c r="N1708" s="25">
        <f t="shared" si="686"/>
        <v>907</v>
      </c>
      <c r="O1708" s="25">
        <f t="shared" si="687"/>
        <v>1512</v>
      </c>
    </row>
    <row r="1709" ht="17.25" customHeight="1" spans="1:15">
      <c r="A1709" s="55">
        <v>1038011</v>
      </c>
      <c r="B1709" s="7" t="s">
        <v>366</v>
      </c>
      <c r="C1709" s="25">
        <f t="shared" si="683"/>
        <v>11</v>
      </c>
      <c r="D1709" s="25">
        <f t="array" ref="D1709">INDEX(C$5:C$67,MATCH($B1709,$B$5:$B$67,0))</f>
        <v>4200</v>
      </c>
      <c r="E1709" s="25">
        <f t="array" ref="E1709">INDEX(D$5:D$67,MATCH($B1709,$B$5:$B$67,0))</f>
        <v>336</v>
      </c>
      <c r="F1709" s="25">
        <f t="array" ref="F1709">INDEX(E$5:E$67,MATCH($B1709,$B$5:$B$67,0))</f>
        <v>630</v>
      </c>
      <c r="G1709" s="25">
        <f t="array" ref="G1709">INDEX(F$5:F$67,MATCH($B1709,$B$5:$B$67,0))</f>
        <v>50.4</v>
      </c>
      <c r="H1709" s="25">
        <f t="array" ref="H1709">INDEX(G$5:G$66,MATCH($B1709,$B$5:$B$67,0))</f>
        <v>504</v>
      </c>
      <c r="I1709" s="25">
        <f t="array" ref="I1709">INDEX(H$5:H$67,MATCH($B1709,$B$5:$B$67,0))</f>
        <v>40.32</v>
      </c>
      <c r="J1709" s="25">
        <f t="array" ref="J1709">INDEX(I$5:I$67,MATCH($B1709,$B$5:$B$67,0))</f>
        <v>840</v>
      </c>
      <c r="K1709" s="25">
        <f t="array" ref="K1709">INDEX(J$5:J$67,MATCH($B1709,$B$5:$B$67,0))</f>
        <v>67.2</v>
      </c>
      <c r="L1709" s="25">
        <f t="shared" si="684"/>
        <v>7896</v>
      </c>
      <c r="M1709" s="25">
        <f t="shared" si="685"/>
        <v>1184</v>
      </c>
      <c r="N1709" s="25">
        <f t="shared" si="686"/>
        <v>948</v>
      </c>
      <c r="O1709" s="25">
        <f t="shared" si="687"/>
        <v>1579</v>
      </c>
    </row>
    <row r="1710" ht="17.25" customHeight="1" spans="1:15">
      <c r="A1710" s="55">
        <v>1038012</v>
      </c>
      <c r="B1710" s="7" t="s">
        <v>366</v>
      </c>
      <c r="C1710" s="25">
        <f t="shared" si="683"/>
        <v>12</v>
      </c>
      <c r="D1710" s="25">
        <f t="array" ref="D1710">INDEX(C$5:C$67,MATCH($B1710,$B$5:$B$67,0))</f>
        <v>4200</v>
      </c>
      <c r="E1710" s="25">
        <f t="array" ref="E1710">INDEX(D$5:D$67,MATCH($B1710,$B$5:$B$67,0))</f>
        <v>336</v>
      </c>
      <c r="F1710" s="25">
        <f t="array" ref="F1710">INDEX(E$5:E$67,MATCH($B1710,$B$5:$B$67,0))</f>
        <v>630</v>
      </c>
      <c r="G1710" s="25">
        <f t="array" ref="G1710">INDEX(F$5:F$67,MATCH($B1710,$B$5:$B$67,0))</f>
        <v>50.4</v>
      </c>
      <c r="H1710" s="25">
        <f t="array" ref="H1710">INDEX(G$5:G$66,MATCH($B1710,$B$5:$B$67,0))</f>
        <v>504</v>
      </c>
      <c r="I1710" s="25">
        <f t="array" ref="I1710">INDEX(H$5:H$67,MATCH($B1710,$B$5:$B$67,0))</f>
        <v>40.32</v>
      </c>
      <c r="J1710" s="25">
        <f t="array" ref="J1710">INDEX(I$5:I$67,MATCH($B1710,$B$5:$B$67,0))</f>
        <v>840</v>
      </c>
      <c r="K1710" s="25">
        <f t="array" ref="K1710">INDEX(J$5:J$67,MATCH($B1710,$B$5:$B$67,0))</f>
        <v>67.2</v>
      </c>
      <c r="L1710" s="25">
        <f t="shared" si="684"/>
        <v>8232</v>
      </c>
      <c r="M1710" s="25">
        <f t="shared" si="685"/>
        <v>1235</v>
      </c>
      <c r="N1710" s="25">
        <f t="shared" si="686"/>
        <v>988</v>
      </c>
      <c r="O1710" s="25">
        <f t="shared" si="687"/>
        <v>1646</v>
      </c>
    </row>
    <row r="1711" ht="17.25" customHeight="1" spans="1:15">
      <c r="A1711" s="55">
        <v>1038013</v>
      </c>
      <c r="B1711" s="7" t="s">
        <v>366</v>
      </c>
      <c r="C1711" s="25">
        <f t="shared" si="683"/>
        <v>13</v>
      </c>
      <c r="D1711" s="25">
        <f t="array" ref="D1711">INDEX(C$5:C$67,MATCH($B1711,$B$5:$B$67,0))</f>
        <v>4200</v>
      </c>
      <c r="E1711" s="25">
        <f t="array" ref="E1711">INDEX(D$5:D$67,MATCH($B1711,$B$5:$B$67,0))</f>
        <v>336</v>
      </c>
      <c r="F1711" s="25">
        <f t="array" ref="F1711">INDEX(E$5:E$67,MATCH($B1711,$B$5:$B$67,0))</f>
        <v>630</v>
      </c>
      <c r="G1711" s="25">
        <f t="array" ref="G1711">INDEX(F$5:F$67,MATCH($B1711,$B$5:$B$67,0))</f>
        <v>50.4</v>
      </c>
      <c r="H1711" s="25">
        <f t="array" ref="H1711">INDEX(G$5:G$66,MATCH($B1711,$B$5:$B$67,0))</f>
        <v>504</v>
      </c>
      <c r="I1711" s="25">
        <f t="array" ref="I1711">INDEX(H$5:H$67,MATCH($B1711,$B$5:$B$67,0))</f>
        <v>40.32</v>
      </c>
      <c r="J1711" s="25">
        <f t="array" ref="J1711">INDEX(I$5:I$67,MATCH($B1711,$B$5:$B$67,0))</f>
        <v>840</v>
      </c>
      <c r="K1711" s="25">
        <f t="array" ref="K1711">INDEX(J$5:J$67,MATCH($B1711,$B$5:$B$67,0))</f>
        <v>67.2</v>
      </c>
      <c r="L1711" s="25">
        <f t="shared" si="684"/>
        <v>8568</v>
      </c>
      <c r="M1711" s="25">
        <f t="shared" si="685"/>
        <v>1285</v>
      </c>
      <c r="N1711" s="25">
        <f t="shared" si="686"/>
        <v>1028</v>
      </c>
      <c r="O1711" s="25">
        <f t="shared" si="687"/>
        <v>1714</v>
      </c>
    </row>
    <row r="1712" ht="17.25" customHeight="1" spans="1:15">
      <c r="A1712" s="55">
        <v>1038014</v>
      </c>
      <c r="B1712" s="7" t="s">
        <v>366</v>
      </c>
      <c r="C1712" s="25">
        <f t="shared" si="683"/>
        <v>14</v>
      </c>
      <c r="D1712" s="25">
        <f t="array" ref="D1712">INDEX(C$5:C$67,MATCH($B1712,$B$5:$B$67,0))</f>
        <v>4200</v>
      </c>
      <c r="E1712" s="25">
        <f t="array" ref="E1712">INDEX(D$5:D$67,MATCH($B1712,$B$5:$B$67,0))</f>
        <v>336</v>
      </c>
      <c r="F1712" s="25">
        <f t="array" ref="F1712">INDEX(E$5:E$67,MATCH($B1712,$B$5:$B$67,0))</f>
        <v>630</v>
      </c>
      <c r="G1712" s="25">
        <f t="array" ref="G1712">INDEX(F$5:F$67,MATCH($B1712,$B$5:$B$67,0))</f>
        <v>50.4</v>
      </c>
      <c r="H1712" s="25">
        <f t="array" ref="H1712">INDEX(G$5:G$66,MATCH($B1712,$B$5:$B$67,0))</f>
        <v>504</v>
      </c>
      <c r="I1712" s="25">
        <f t="array" ref="I1712">INDEX(H$5:H$67,MATCH($B1712,$B$5:$B$67,0))</f>
        <v>40.32</v>
      </c>
      <c r="J1712" s="25">
        <f t="array" ref="J1712">INDEX(I$5:I$67,MATCH($B1712,$B$5:$B$67,0))</f>
        <v>840</v>
      </c>
      <c r="K1712" s="25">
        <f t="array" ref="K1712">INDEX(J$5:J$67,MATCH($B1712,$B$5:$B$67,0))</f>
        <v>67.2</v>
      </c>
      <c r="L1712" s="25">
        <f t="shared" si="684"/>
        <v>8904</v>
      </c>
      <c r="M1712" s="25">
        <f t="shared" si="685"/>
        <v>1336</v>
      </c>
      <c r="N1712" s="25">
        <f t="shared" si="686"/>
        <v>1068</v>
      </c>
      <c r="O1712" s="25">
        <f t="shared" si="687"/>
        <v>1781</v>
      </c>
    </row>
    <row r="1713" ht="17.25" customHeight="1" spans="1:15">
      <c r="A1713" s="55">
        <v>1038015</v>
      </c>
      <c r="B1713" s="7" t="s">
        <v>366</v>
      </c>
      <c r="C1713" s="25">
        <f t="shared" si="683"/>
        <v>15</v>
      </c>
      <c r="D1713" s="25">
        <f t="array" ref="D1713">INDEX(C$5:C$67,MATCH($B1713,$B$5:$B$67,0))</f>
        <v>4200</v>
      </c>
      <c r="E1713" s="25">
        <f t="array" ref="E1713">INDEX(D$5:D$67,MATCH($B1713,$B$5:$B$67,0))</f>
        <v>336</v>
      </c>
      <c r="F1713" s="25">
        <f t="array" ref="F1713">INDEX(E$5:E$67,MATCH($B1713,$B$5:$B$67,0))</f>
        <v>630</v>
      </c>
      <c r="G1713" s="25">
        <f t="array" ref="G1713">INDEX(F$5:F$67,MATCH($B1713,$B$5:$B$67,0))</f>
        <v>50.4</v>
      </c>
      <c r="H1713" s="25">
        <f t="array" ref="H1713">INDEX(G$5:G$66,MATCH($B1713,$B$5:$B$67,0))</f>
        <v>504</v>
      </c>
      <c r="I1713" s="25">
        <f t="array" ref="I1713">INDEX(H$5:H$67,MATCH($B1713,$B$5:$B$67,0))</f>
        <v>40.32</v>
      </c>
      <c r="J1713" s="25">
        <f t="array" ref="J1713">INDEX(I$5:I$67,MATCH($B1713,$B$5:$B$67,0))</f>
        <v>840</v>
      </c>
      <c r="K1713" s="25">
        <f t="array" ref="K1713">INDEX(J$5:J$67,MATCH($B1713,$B$5:$B$67,0))</f>
        <v>67.2</v>
      </c>
      <c r="L1713" s="25">
        <f t="shared" si="684"/>
        <v>9240</v>
      </c>
      <c r="M1713" s="25">
        <f t="shared" si="685"/>
        <v>1386</v>
      </c>
      <c r="N1713" s="25">
        <f t="shared" si="686"/>
        <v>1109</v>
      </c>
      <c r="O1713" s="25">
        <f t="shared" si="687"/>
        <v>1848</v>
      </c>
    </row>
    <row r="1714" ht="17.25" customHeight="1" spans="1:15">
      <c r="A1714" s="55">
        <v>1038016</v>
      </c>
      <c r="B1714" s="7" t="s">
        <v>366</v>
      </c>
      <c r="C1714" s="25">
        <f t="shared" si="683"/>
        <v>16</v>
      </c>
      <c r="D1714" s="25">
        <f t="array" ref="D1714">INDEX(C$5:C$67,MATCH($B1714,$B$5:$B$67,0))</f>
        <v>4200</v>
      </c>
      <c r="E1714" s="25">
        <f t="array" ref="E1714">INDEX(D$5:D$67,MATCH($B1714,$B$5:$B$67,0))</f>
        <v>336</v>
      </c>
      <c r="F1714" s="25">
        <f t="array" ref="F1714">INDEX(E$5:E$67,MATCH($B1714,$B$5:$B$67,0))</f>
        <v>630</v>
      </c>
      <c r="G1714" s="25">
        <f t="array" ref="G1714">INDEX(F$5:F$67,MATCH($B1714,$B$5:$B$67,0))</f>
        <v>50.4</v>
      </c>
      <c r="H1714" s="25">
        <f t="array" ref="H1714">INDEX(G$5:G$66,MATCH($B1714,$B$5:$B$67,0))</f>
        <v>504</v>
      </c>
      <c r="I1714" s="25">
        <f t="array" ref="I1714">INDEX(H$5:H$67,MATCH($B1714,$B$5:$B$67,0))</f>
        <v>40.32</v>
      </c>
      <c r="J1714" s="25">
        <f t="array" ref="J1714">INDEX(I$5:I$67,MATCH($B1714,$B$5:$B$67,0))</f>
        <v>840</v>
      </c>
      <c r="K1714" s="25">
        <f t="array" ref="K1714">INDEX(J$5:J$67,MATCH($B1714,$B$5:$B$67,0))</f>
        <v>67.2</v>
      </c>
      <c r="L1714" s="25">
        <f t="shared" si="684"/>
        <v>9576</v>
      </c>
      <c r="M1714" s="25">
        <f t="shared" si="685"/>
        <v>1436</v>
      </c>
      <c r="N1714" s="25">
        <f t="shared" si="686"/>
        <v>1149</v>
      </c>
      <c r="O1714" s="25">
        <f t="shared" si="687"/>
        <v>1915</v>
      </c>
    </row>
    <row r="1715" ht="17.25" customHeight="1" spans="1:15">
      <c r="A1715" s="55">
        <v>1038017</v>
      </c>
      <c r="B1715" s="7" t="s">
        <v>366</v>
      </c>
      <c r="C1715" s="25">
        <f t="shared" si="683"/>
        <v>17</v>
      </c>
      <c r="D1715" s="25">
        <f t="array" ref="D1715">INDEX(C$5:C$67,MATCH($B1715,$B$5:$B$67,0))</f>
        <v>4200</v>
      </c>
      <c r="E1715" s="25">
        <f t="array" ref="E1715">INDEX(D$5:D$67,MATCH($B1715,$B$5:$B$67,0))</f>
        <v>336</v>
      </c>
      <c r="F1715" s="25">
        <f t="array" ref="F1715">INDEX(E$5:E$67,MATCH($B1715,$B$5:$B$67,0))</f>
        <v>630</v>
      </c>
      <c r="G1715" s="25">
        <f t="array" ref="G1715">INDEX(F$5:F$67,MATCH($B1715,$B$5:$B$67,0))</f>
        <v>50.4</v>
      </c>
      <c r="H1715" s="25">
        <f t="array" ref="H1715">INDEX(G$5:G$66,MATCH($B1715,$B$5:$B$67,0))</f>
        <v>504</v>
      </c>
      <c r="I1715" s="25">
        <f t="array" ref="I1715">INDEX(H$5:H$67,MATCH($B1715,$B$5:$B$67,0))</f>
        <v>40.32</v>
      </c>
      <c r="J1715" s="25">
        <f t="array" ref="J1715">INDEX(I$5:I$67,MATCH($B1715,$B$5:$B$67,0))</f>
        <v>840</v>
      </c>
      <c r="K1715" s="25">
        <f t="array" ref="K1715">INDEX(J$5:J$67,MATCH($B1715,$B$5:$B$67,0))</f>
        <v>67.2</v>
      </c>
      <c r="L1715" s="25">
        <f t="shared" si="684"/>
        <v>9912</v>
      </c>
      <c r="M1715" s="25">
        <f t="shared" si="685"/>
        <v>1487</v>
      </c>
      <c r="N1715" s="25">
        <f t="shared" si="686"/>
        <v>1189</v>
      </c>
      <c r="O1715" s="25">
        <f t="shared" si="687"/>
        <v>1982</v>
      </c>
    </row>
    <row r="1716" ht="17.25" customHeight="1" spans="1:15">
      <c r="A1716" s="55">
        <v>1038018</v>
      </c>
      <c r="B1716" s="7" t="s">
        <v>366</v>
      </c>
      <c r="C1716" s="25">
        <f t="shared" si="683"/>
        <v>18</v>
      </c>
      <c r="D1716" s="25">
        <f t="array" ref="D1716">INDEX(C$5:C$67,MATCH($B1716,$B$5:$B$67,0))</f>
        <v>4200</v>
      </c>
      <c r="E1716" s="25">
        <f t="array" ref="E1716">INDEX(D$5:D$67,MATCH($B1716,$B$5:$B$67,0))</f>
        <v>336</v>
      </c>
      <c r="F1716" s="25">
        <f t="array" ref="F1716">INDEX(E$5:E$67,MATCH($B1716,$B$5:$B$67,0))</f>
        <v>630</v>
      </c>
      <c r="G1716" s="25">
        <f t="array" ref="G1716">INDEX(F$5:F$67,MATCH($B1716,$B$5:$B$67,0))</f>
        <v>50.4</v>
      </c>
      <c r="H1716" s="25">
        <f t="array" ref="H1716">INDEX(G$5:G$66,MATCH($B1716,$B$5:$B$67,0))</f>
        <v>504</v>
      </c>
      <c r="I1716" s="25">
        <f t="array" ref="I1716">INDEX(H$5:H$67,MATCH($B1716,$B$5:$B$67,0))</f>
        <v>40.32</v>
      </c>
      <c r="J1716" s="25">
        <f t="array" ref="J1716">INDEX(I$5:I$67,MATCH($B1716,$B$5:$B$67,0))</f>
        <v>840</v>
      </c>
      <c r="K1716" s="25">
        <f t="array" ref="K1716">INDEX(J$5:J$67,MATCH($B1716,$B$5:$B$67,0))</f>
        <v>67.2</v>
      </c>
      <c r="L1716" s="25">
        <f t="shared" si="684"/>
        <v>10248</v>
      </c>
      <c r="M1716" s="25">
        <f t="shared" si="685"/>
        <v>1537</v>
      </c>
      <c r="N1716" s="25">
        <f t="shared" si="686"/>
        <v>1230</v>
      </c>
      <c r="O1716" s="25">
        <f t="shared" si="687"/>
        <v>2050</v>
      </c>
    </row>
    <row r="1717" ht="17.25" customHeight="1" spans="1:15">
      <c r="A1717" s="55">
        <v>1038019</v>
      </c>
      <c r="B1717" s="7" t="s">
        <v>366</v>
      </c>
      <c r="C1717" s="25">
        <f t="shared" si="683"/>
        <v>19</v>
      </c>
      <c r="D1717" s="25">
        <f t="array" ref="D1717">INDEX(C$5:C$67,MATCH($B1717,$B$5:$B$67,0))</f>
        <v>4200</v>
      </c>
      <c r="E1717" s="25">
        <f t="array" ref="E1717">INDEX(D$5:D$67,MATCH($B1717,$B$5:$B$67,0))</f>
        <v>336</v>
      </c>
      <c r="F1717" s="25">
        <f t="array" ref="F1717">INDEX(E$5:E$67,MATCH($B1717,$B$5:$B$67,0))</f>
        <v>630</v>
      </c>
      <c r="G1717" s="25">
        <f t="array" ref="G1717">INDEX(F$5:F$67,MATCH($B1717,$B$5:$B$67,0))</f>
        <v>50.4</v>
      </c>
      <c r="H1717" s="25">
        <f t="array" ref="H1717">INDEX(G$5:G$66,MATCH($B1717,$B$5:$B$67,0))</f>
        <v>504</v>
      </c>
      <c r="I1717" s="25">
        <f t="array" ref="I1717">INDEX(H$5:H$67,MATCH($B1717,$B$5:$B$67,0))</f>
        <v>40.32</v>
      </c>
      <c r="J1717" s="25">
        <f t="array" ref="J1717">INDEX(I$5:I$67,MATCH($B1717,$B$5:$B$67,0))</f>
        <v>840</v>
      </c>
      <c r="K1717" s="25">
        <f t="array" ref="K1717">INDEX(J$5:J$67,MATCH($B1717,$B$5:$B$67,0))</f>
        <v>67.2</v>
      </c>
      <c r="L1717" s="25">
        <f t="shared" si="684"/>
        <v>10584</v>
      </c>
      <c r="M1717" s="25">
        <f t="shared" si="685"/>
        <v>1588</v>
      </c>
      <c r="N1717" s="25">
        <f t="shared" si="686"/>
        <v>1270</v>
      </c>
      <c r="O1717" s="25">
        <f t="shared" si="687"/>
        <v>2117</v>
      </c>
    </row>
    <row r="1718" ht="17.25" customHeight="1" spans="1:15">
      <c r="A1718" s="55">
        <v>1038020</v>
      </c>
      <c r="B1718" s="7" t="s">
        <v>366</v>
      </c>
      <c r="C1718" s="25">
        <f t="shared" si="683"/>
        <v>20</v>
      </c>
      <c r="D1718" s="25">
        <f t="array" ref="D1718">INDEX(C$5:C$67,MATCH($B1718,$B$5:$B$67,0))</f>
        <v>4200</v>
      </c>
      <c r="E1718" s="25">
        <f t="array" ref="E1718">INDEX(D$5:D$67,MATCH($B1718,$B$5:$B$67,0))</f>
        <v>336</v>
      </c>
      <c r="F1718" s="25">
        <f t="array" ref="F1718">INDEX(E$5:E$67,MATCH($B1718,$B$5:$B$67,0))</f>
        <v>630</v>
      </c>
      <c r="G1718" s="25">
        <f t="array" ref="G1718">INDEX(F$5:F$67,MATCH($B1718,$B$5:$B$67,0))</f>
        <v>50.4</v>
      </c>
      <c r="H1718" s="25">
        <f t="array" ref="H1718">INDEX(G$5:G$66,MATCH($B1718,$B$5:$B$67,0))</f>
        <v>504</v>
      </c>
      <c r="I1718" s="25">
        <f t="array" ref="I1718">INDEX(H$5:H$67,MATCH($B1718,$B$5:$B$67,0))</f>
        <v>40.32</v>
      </c>
      <c r="J1718" s="25">
        <f t="array" ref="J1718">INDEX(I$5:I$67,MATCH($B1718,$B$5:$B$67,0))</f>
        <v>840</v>
      </c>
      <c r="K1718" s="25">
        <f t="array" ref="K1718">INDEX(J$5:J$67,MATCH($B1718,$B$5:$B$67,0))</f>
        <v>67.2</v>
      </c>
      <c r="L1718" s="25">
        <f t="shared" si="684"/>
        <v>10920</v>
      </c>
      <c r="M1718" s="25">
        <f t="shared" si="685"/>
        <v>1638</v>
      </c>
      <c r="N1718" s="25">
        <f t="shared" si="686"/>
        <v>1310</v>
      </c>
      <c r="O1718" s="25">
        <f t="shared" si="687"/>
        <v>2184</v>
      </c>
    </row>
    <row r="1719" ht="17.25" customHeight="1" spans="1:15">
      <c r="A1719" s="55">
        <v>1038021</v>
      </c>
      <c r="B1719" s="7" t="s">
        <v>366</v>
      </c>
      <c r="C1719" s="25">
        <f t="shared" si="683"/>
        <v>21</v>
      </c>
      <c r="D1719" s="25">
        <f t="array" ref="D1719">INDEX(C$5:C$67,MATCH($B1719,$B$5:$B$67,0))</f>
        <v>4200</v>
      </c>
      <c r="E1719" s="25">
        <f t="array" ref="E1719">INDEX(D$5:D$67,MATCH($B1719,$B$5:$B$67,0))</f>
        <v>336</v>
      </c>
      <c r="F1719" s="25">
        <f t="array" ref="F1719">INDEX(E$5:E$67,MATCH($B1719,$B$5:$B$67,0))</f>
        <v>630</v>
      </c>
      <c r="G1719" s="25">
        <f t="array" ref="G1719">INDEX(F$5:F$67,MATCH($B1719,$B$5:$B$67,0))</f>
        <v>50.4</v>
      </c>
      <c r="H1719" s="25">
        <f t="array" ref="H1719">INDEX(G$5:G$66,MATCH($B1719,$B$5:$B$67,0))</f>
        <v>504</v>
      </c>
      <c r="I1719" s="25">
        <f t="array" ref="I1719">INDEX(H$5:H$67,MATCH($B1719,$B$5:$B$67,0))</f>
        <v>40.32</v>
      </c>
      <c r="J1719" s="25">
        <f t="array" ref="J1719">INDEX(I$5:I$67,MATCH($B1719,$B$5:$B$67,0))</f>
        <v>840</v>
      </c>
      <c r="K1719" s="25">
        <f t="array" ref="K1719">INDEX(J$5:J$67,MATCH($B1719,$B$5:$B$67,0))</f>
        <v>67.2</v>
      </c>
      <c r="L1719" s="25">
        <f t="shared" si="684"/>
        <v>11256</v>
      </c>
      <c r="M1719" s="25">
        <f t="shared" si="685"/>
        <v>1688</v>
      </c>
      <c r="N1719" s="25">
        <f t="shared" si="686"/>
        <v>1351</v>
      </c>
      <c r="O1719" s="25">
        <f t="shared" si="687"/>
        <v>2251</v>
      </c>
    </row>
    <row r="1720" ht="17.25" customHeight="1" spans="1:15">
      <c r="A1720" s="55">
        <v>1038022</v>
      </c>
      <c r="B1720" s="7" t="s">
        <v>366</v>
      </c>
      <c r="C1720" s="25">
        <f t="shared" si="683"/>
        <v>22</v>
      </c>
      <c r="D1720" s="25">
        <f t="array" ref="D1720">INDEX(C$5:C$67,MATCH($B1720,$B$5:$B$67,0))</f>
        <v>4200</v>
      </c>
      <c r="E1720" s="25">
        <f t="array" ref="E1720">INDEX(D$5:D$67,MATCH($B1720,$B$5:$B$67,0))</f>
        <v>336</v>
      </c>
      <c r="F1720" s="25">
        <f t="array" ref="F1720">INDEX(E$5:E$67,MATCH($B1720,$B$5:$B$67,0))</f>
        <v>630</v>
      </c>
      <c r="G1720" s="25">
        <f t="array" ref="G1720">INDEX(F$5:F$67,MATCH($B1720,$B$5:$B$67,0))</f>
        <v>50.4</v>
      </c>
      <c r="H1720" s="25">
        <f t="array" ref="H1720">INDEX(G$5:G$66,MATCH($B1720,$B$5:$B$67,0))</f>
        <v>504</v>
      </c>
      <c r="I1720" s="25">
        <f t="array" ref="I1720">INDEX(H$5:H$67,MATCH($B1720,$B$5:$B$67,0))</f>
        <v>40.32</v>
      </c>
      <c r="J1720" s="25">
        <f t="array" ref="J1720">INDEX(I$5:I$67,MATCH($B1720,$B$5:$B$67,0))</f>
        <v>840</v>
      </c>
      <c r="K1720" s="25">
        <f t="array" ref="K1720">INDEX(J$5:J$67,MATCH($B1720,$B$5:$B$67,0))</f>
        <v>67.2</v>
      </c>
      <c r="L1720" s="25">
        <f t="shared" si="684"/>
        <v>11592</v>
      </c>
      <c r="M1720" s="25">
        <f t="shared" si="685"/>
        <v>1739</v>
      </c>
      <c r="N1720" s="25">
        <f t="shared" si="686"/>
        <v>1391</v>
      </c>
      <c r="O1720" s="25">
        <f t="shared" si="687"/>
        <v>2318</v>
      </c>
    </row>
    <row r="1721" ht="17.25" customHeight="1" spans="1:15">
      <c r="A1721" s="55">
        <v>1038023</v>
      </c>
      <c r="B1721" s="7" t="s">
        <v>366</v>
      </c>
      <c r="C1721" s="25">
        <f t="shared" si="683"/>
        <v>23</v>
      </c>
      <c r="D1721" s="25">
        <f t="array" ref="D1721">INDEX(C$5:C$67,MATCH($B1721,$B$5:$B$67,0))</f>
        <v>4200</v>
      </c>
      <c r="E1721" s="25">
        <f t="array" ref="E1721">INDEX(D$5:D$67,MATCH($B1721,$B$5:$B$67,0))</f>
        <v>336</v>
      </c>
      <c r="F1721" s="25">
        <f t="array" ref="F1721">INDEX(E$5:E$67,MATCH($B1721,$B$5:$B$67,0))</f>
        <v>630</v>
      </c>
      <c r="G1721" s="25">
        <f t="array" ref="G1721">INDEX(F$5:F$67,MATCH($B1721,$B$5:$B$67,0))</f>
        <v>50.4</v>
      </c>
      <c r="H1721" s="25">
        <f t="array" ref="H1721">INDEX(G$5:G$66,MATCH($B1721,$B$5:$B$67,0))</f>
        <v>504</v>
      </c>
      <c r="I1721" s="25">
        <f t="array" ref="I1721">INDEX(H$5:H$67,MATCH($B1721,$B$5:$B$67,0))</f>
        <v>40.32</v>
      </c>
      <c r="J1721" s="25">
        <f t="array" ref="J1721">INDEX(I$5:I$67,MATCH($B1721,$B$5:$B$67,0))</f>
        <v>840</v>
      </c>
      <c r="K1721" s="25">
        <f t="array" ref="K1721">INDEX(J$5:J$67,MATCH($B1721,$B$5:$B$67,0))</f>
        <v>67.2</v>
      </c>
      <c r="L1721" s="25">
        <f t="shared" si="684"/>
        <v>11928</v>
      </c>
      <c r="M1721" s="25">
        <f t="shared" si="685"/>
        <v>1789</v>
      </c>
      <c r="N1721" s="25">
        <f t="shared" si="686"/>
        <v>1431</v>
      </c>
      <c r="O1721" s="25">
        <f t="shared" si="687"/>
        <v>2386</v>
      </c>
    </row>
    <row r="1722" ht="17.25" customHeight="1" spans="1:15">
      <c r="A1722" s="55">
        <v>1038024</v>
      </c>
      <c r="B1722" s="7" t="s">
        <v>366</v>
      </c>
      <c r="C1722" s="25">
        <f t="shared" si="683"/>
        <v>24</v>
      </c>
      <c r="D1722" s="25">
        <f t="array" ref="D1722">INDEX(C$5:C$67,MATCH($B1722,$B$5:$B$67,0))</f>
        <v>4200</v>
      </c>
      <c r="E1722" s="25">
        <f t="array" ref="E1722">INDEX(D$5:D$67,MATCH($B1722,$B$5:$B$67,0))</f>
        <v>336</v>
      </c>
      <c r="F1722" s="25">
        <f t="array" ref="F1722">INDEX(E$5:E$67,MATCH($B1722,$B$5:$B$67,0))</f>
        <v>630</v>
      </c>
      <c r="G1722" s="25">
        <f t="array" ref="G1722">INDEX(F$5:F$67,MATCH($B1722,$B$5:$B$67,0))</f>
        <v>50.4</v>
      </c>
      <c r="H1722" s="25">
        <f t="array" ref="H1722">INDEX(G$5:G$66,MATCH($B1722,$B$5:$B$67,0))</f>
        <v>504</v>
      </c>
      <c r="I1722" s="25">
        <f t="array" ref="I1722">INDEX(H$5:H$67,MATCH($B1722,$B$5:$B$67,0))</f>
        <v>40.32</v>
      </c>
      <c r="J1722" s="25">
        <f t="array" ref="J1722">INDEX(I$5:I$67,MATCH($B1722,$B$5:$B$67,0))</f>
        <v>840</v>
      </c>
      <c r="K1722" s="25">
        <f t="array" ref="K1722">INDEX(J$5:J$67,MATCH($B1722,$B$5:$B$67,0))</f>
        <v>67.2</v>
      </c>
      <c r="L1722" s="25">
        <f t="shared" si="684"/>
        <v>12264</v>
      </c>
      <c r="M1722" s="25">
        <f t="shared" si="685"/>
        <v>1840</v>
      </c>
      <c r="N1722" s="25">
        <f t="shared" si="686"/>
        <v>1472</v>
      </c>
      <c r="O1722" s="25">
        <f t="shared" si="687"/>
        <v>2453</v>
      </c>
    </row>
    <row r="1723" ht="17.25" customHeight="1" spans="1:15">
      <c r="A1723" s="55">
        <v>1038025</v>
      </c>
      <c r="B1723" s="7" t="s">
        <v>366</v>
      </c>
      <c r="C1723" s="25">
        <f t="shared" si="683"/>
        <v>25</v>
      </c>
      <c r="D1723" s="25">
        <f t="array" ref="D1723">INDEX(C$5:C$67,MATCH($B1723,$B$5:$B$67,0))</f>
        <v>4200</v>
      </c>
      <c r="E1723" s="25">
        <f t="array" ref="E1723">INDEX(D$5:D$67,MATCH($B1723,$B$5:$B$67,0))</f>
        <v>336</v>
      </c>
      <c r="F1723" s="25">
        <f t="array" ref="F1723">INDEX(E$5:E$67,MATCH($B1723,$B$5:$B$67,0))</f>
        <v>630</v>
      </c>
      <c r="G1723" s="25">
        <f t="array" ref="G1723">INDEX(F$5:F$67,MATCH($B1723,$B$5:$B$67,0))</f>
        <v>50.4</v>
      </c>
      <c r="H1723" s="25">
        <f t="array" ref="H1723">INDEX(G$5:G$66,MATCH($B1723,$B$5:$B$67,0))</f>
        <v>504</v>
      </c>
      <c r="I1723" s="25">
        <f t="array" ref="I1723">INDEX(H$5:H$67,MATCH($B1723,$B$5:$B$67,0))</f>
        <v>40.32</v>
      </c>
      <c r="J1723" s="25">
        <f t="array" ref="J1723">INDEX(I$5:I$67,MATCH($B1723,$B$5:$B$67,0))</f>
        <v>840</v>
      </c>
      <c r="K1723" s="25">
        <f t="array" ref="K1723">INDEX(J$5:J$67,MATCH($B1723,$B$5:$B$67,0))</f>
        <v>67.2</v>
      </c>
      <c r="L1723" s="25">
        <f t="shared" si="684"/>
        <v>12600</v>
      </c>
      <c r="M1723" s="25">
        <f t="shared" si="685"/>
        <v>1890</v>
      </c>
      <c r="N1723" s="25">
        <f t="shared" si="686"/>
        <v>1512</v>
      </c>
      <c r="O1723" s="25">
        <f t="shared" si="687"/>
        <v>2520</v>
      </c>
    </row>
    <row r="1724" ht="17.25" customHeight="1" spans="1:15">
      <c r="A1724" s="55">
        <v>1038026</v>
      </c>
      <c r="B1724" s="7" t="s">
        <v>366</v>
      </c>
      <c r="C1724" s="25">
        <f t="shared" si="683"/>
        <v>26</v>
      </c>
      <c r="D1724" s="25">
        <f t="array" ref="D1724">INDEX(C$5:C$67,MATCH($B1724,$B$5:$B$67,0))</f>
        <v>4200</v>
      </c>
      <c r="E1724" s="25">
        <f t="array" ref="E1724">INDEX(D$5:D$67,MATCH($B1724,$B$5:$B$67,0))</f>
        <v>336</v>
      </c>
      <c r="F1724" s="25">
        <f t="array" ref="F1724">INDEX(E$5:E$67,MATCH($B1724,$B$5:$B$67,0))</f>
        <v>630</v>
      </c>
      <c r="G1724" s="25">
        <f t="array" ref="G1724">INDEX(F$5:F$67,MATCH($B1724,$B$5:$B$67,0))</f>
        <v>50.4</v>
      </c>
      <c r="H1724" s="25">
        <f t="array" ref="H1724">INDEX(G$5:G$66,MATCH($B1724,$B$5:$B$67,0))</f>
        <v>504</v>
      </c>
      <c r="I1724" s="25">
        <f t="array" ref="I1724">INDEX(H$5:H$67,MATCH($B1724,$B$5:$B$67,0))</f>
        <v>40.32</v>
      </c>
      <c r="J1724" s="25">
        <f t="array" ref="J1724">INDEX(I$5:I$67,MATCH($B1724,$B$5:$B$67,0))</f>
        <v>840</v>
      </c>
      <c r="K1724" s="25">
        <f t="array" ref="K1724">INDEX(J$5:J$67,MATCH($B1724,$B$5:$B$67,0))</f>
        <v>67.2</v>
      </c>
      <c r="L1724" s="25">
        <f t="shared" si="684"/>
        <v>12936</v>
      </c>
      <c r="M1724" s="25">
        <f t="shared" si="685"/>
        <v>1940</v>
      </c>
      <c r="N1724" s="25">
        <f t="shared" si="686"/>
        <v>1552</v>
      </c>
      <c r="O1724" s="25">
        <f t="shared" si="687"/>
        <v>2587</v>
      </c>
    </row>
    <row r="1725" ht="17.25" customHeight="1" spans="1:15">
      <c r="A1725" s="55">
        <v>1038027</v>
      </c>
      <c r="B1725" s="7" t="s">
        <v>366</v>
      </c>
      <c r="C1725" s="25">
        <f t="shared" si="683"/>
        <v>27</v>
      </c>
      <c r="D1725" s="25">
        <f t="array" ref="D1725">INDEX(C$5:C$67,MATCH($B1725,$B$5:$B$67,0))</f>
        <v>4200</v>
      </c>
      <c r="E1725" s="25">
        <f t="array" ref="E1725">INDEX(D$5:D$67,MATCH($B1725,$B$5:$B$67,0))</f>
        <v>336</v>
      </c>
      <c r="F1725" s="25">
        <f t="array" ref="F1725">INDEX(E$5:E$67,MATCH($B1725,$B$5:$B$67,0))</f>
        <v>630</v>
      </c>
      <c r="G1725" s="25">
        <f t="array" ref="G1725">INDEX(F$5:F$67,MATCH($B1725,$B$5:$B$67,0))</f>
        <v>50.4</v>
      </c>
      <c r="H1725" s="25">
        <f t="array" ref="H1725">INDEX(G$5:G$66,MATCH($B1725,$B$5:$B$67,0))</f>
        <v>504</v>
      </c>
      <c r="I1725" s="25">
        <f t="array" ref="I1725">INDEX(H$5:H$67,MATCH($B1725,$B$5:$B$67,0))</f>
        <v>40.32</v>
      </c>
      <c r="J1725" s="25">
        <f t="array" ref="J1725">INDEX(I$5:I$67,MATCH($B1725,$B$5:$B$67,0))</f>
        <v>840</v>
      </c>
      <c r="K1725" s="25">
        <f t="array" ref="K1725">INDEX(J$5:J$67,MATCH($B1725,$B$5:$B$67,0))</f>
        <v>67.2</v>
      </c>
      <c r="L1725" s="25">
        <f t="shared" si="684"/>
        <v>13272</v>
      </c>
      <c r="M1725" s="25">
        <f t="shared" si="685"/>
        <v>1991</v>
      </c>
      <c r="N1725" s="25">
        <f t="shared" si="686"/>
        <v>1593</v>
      </c>
      <c r="O1725" s="25">
        <f t="shared" si="687"/>
        <v>2654</v>
      </c>
    </row>
    <row r="1726" ht="17.25" customHeight="1" spans="1:15">
      <c r="A1726" s="55">
        <v>1038028</v>
      </c>
      <c r="B1726" s="7" t="s">
        <v>366</v>
      </c>
      <c r="C1726" s="25">
        <f t="shared" si="683"/>
        <v>28</v>
      </c>
      <c r="D1726" s="25">
        <f t="array" ref="D1726">INDEX(C$5:C$67,MATCH($B1726,$B$5:$B$67,0))</f>
        <v>4200</v>
      </c>
      <c r="E1726" s="25">
        <f t="array" ref="E1726">INDEX(D$5:D$67,MATCH($B1726,$B$5:$B$67,0))</f>
        <v>336</v>
      </c>
      <c r="F1726" s="25">
        <f t="array" ref="F1726">INDEX(E$5:E$67,MATCH($B1726,$B$5:$B$67,0))</f>
        <v>630</v>
      </c>
      <c r="G1726" s="25">
        <f t="array" ref="G1726">INDEX(F$5:F$67,MATCH($B1726,$B$5:$B$67,0))</f>
        <v>50.4</v>
      </c>
      <c r="H1726" s="25">
        <f t="array" ref="H1726">INDEX(G$5:G$66,MATCH($B1726,$B$5:$B$67,0))</f>
        <v>504</v>
      </c>
      <c r="I1726" s="25">
        <f t="array" ref="I1726">INDEX(H$5:H$67,MATCH($B1726,$B$5:$B$67,0))</f>
        <v>40.32</v>
      </c>
      <c r="J1726" s="25">
        <f t="array" ref="J1726">INDEX(I$5:I$67,MATCH($B1726,$B$5:$B$67,0))</f>
        <v>840</v>
      </c>
      <c r="K1726" s="25">
        <f t="array" ref="K1726">INDEX(J$5:J$67,MATCH($B1726,$B$5:$B$67,0))</f>
        <v>67.2</v>
      </c>
      <c r="L1726" s="25">
        <f t="shared" si="684"/>
        <v>13608</v>
      </c>
      <c r="M1726" s="25">
        <f t="shared" si="685"/>
        <v>2041</v>
      </c>
      <c r="N1726" s="25">
        <f t="shared" si="686"/>
        <v>1633</v>
      </c>
      <c r="O1726" s="25">
        <f t="shared" si="687"/>
        <v>2722</v>
      </c>
    </row>
    <row r="1727" ht="17.25" customHeight="1" spans="1:15">
      <c r="A1727" s="55">
        <v>1038029</v>
      </c>
      <c r="B1727" s="7" t="s">
        <v>366</v>
      </c>
      <c r="C1727" s="25">
        <f t="shared" si="683"/>
        <v>29</v>
      </c>
      <c r="D1727" s="25">
        <f t="array" ref="D1727">INDEX(C$5:C$67,MATCH($B1727,$B$5:$B$67,0))</f>
        <v>4200</v>
      </c>
      <c r="E1727" s="25">
        <f t="array" ref="E1727">INDEX(D$5:D$67,MATCH($B1727,$B$5:$B$67,0))</f>
        <v>336</v>
      </c>
      <c r="F1727" s="25">
        <f t="array" ref="F1727">INDEX(E$5:E$67,MATCH($B1727,$B$5:$B$67,0))</f>
        <v>630</v>
      </c>
      <c r="G1727" s="25">
        <f t="array" ref="G1727">INDEX(F$5:F$67,MATCH($B1727,$B$5:$B$67,0))</f>
        <v>50.4</v>
      </c>
      <c r="H1727" s="25">
        <f t="array" ref="H1727">INDEX(G$5:G$66,MATCH($B1727,$B$5:$B$67,0))</f>
        <v>504</v>
      </c>
      <c r="I1727" s="25">
        <f t="array" ref="I1727">INDEX(H$5:H$67,MATCH($B1727,$B$5:$B$67,0))</f>
        <v>40.32</v>
      </c>
      <c r="J1727" s="25">
        <f t="array" ref="J1727">INDEX(I$5:I$67,MATCH($B1727,$B$5:$B$67,0))</f>
        <v>840</v>
      </c>
      <c r="K1727" s="25">
        <f t="array" ref="K1727">INDEX(J$5:J$67,MATCH($B1727,$B$5:$B$67,0))</f>
        <v>67.2</v>
      </c>
      <c r="L1727" s="25">
        <f t="shared" si="684"/>
        <v>13944</v>
      </c>
      <c r="M1727" s="25">
        <f t="shared" si="685"/>
        <v>2092</v>
      </c>
      <c r="N1727" s="25">
        <f t="shared" si="686"/>
        <v>1673</v>
      </c>
      <c r="O1727" s="25">
        <f t="shared" si="687"/>
        <v>2789</v>
      </c>
    </row>
    <row r="1728" ht="17.25" customHeight="1" spans="1:15">
      <c r="A1728" s="55">
        <v>1038030</v>
      </c>
      <c r="B1728" s="7" t="s">
        <v>366</v>
      </c>
      <c r="C1728" s="25">
        <f t="shared" si="683"/>
        <v>30</v>
      </c>
      <c r="D1728" s="25">
        <f t="array" ref="D1728">INDEX(C$5:C$67,MATCH($B1728,$B$5:$B$67,0))</f>
        <v>4200</v>
      </c>
      <c r="E1728" s="25">
        <f t="array" ref="E1728">INDEX(D$5:D$67,MATCH($B1728,$B$5:$B$67,0))</f>
        <v>336</v>
      </c>
      <c r="F1728" s="25">
        <f t="array" ref="F1728">INDEX(E$5:E$67,MATCH($B1728,$B$5:$B$67,0))</f>
        <v>630</v>
      </c>
      <c r="G1728" s="25">
        <f t="array" ref="G1728">INDEX(F$5:F$67,MATCH($B1728,$B$5:$B$67,0))</f>
        <v>50.4</v>
      </c>
      <c r="H1728" s="25">
        <f t="array" ref="H1728">INDEX(G$5:G$66,MATCH($B1728,$B$5:$B$67,0))</f>
        <v>504</v>
      </c>
      <c r="I1728" s="25">
        <f t="array" ref="I1728">INDEX(H$5:H$67,MATCH($B1728,$B$5:$B$67,0))</f>
        <v>40.32</v>
      </c>
      <c r="J1728" s="25">
        <f t="array" ref="J1728">INDEX(I$5:I$67,MATCH($B1728,$B$5:$B$67,0))</f>
        <v>840</v>
      </c>
      <c r="K1728" s="25">
        <f t="array" ref="K1728">INDEX(J$5:J$67,MATCH($B1728,$B$5:$B$67,0))</f>
        <v>67.2</v>
      </c>
      <c r="L1728" s="25">
        <f t="shared" si="684"/>
        <v>14280</v>
      </c>
      <c r="M1728" s="25">
        <f t="shared" si="685"/>
        <v>2142</v>
      </c>
      <c r="N1728" s="25">
        <f t="shared" si="686"/>
        <v>1714</v>
      </c>
      <c r="O1728" s="25">
        <f t="shared" si="687"/>
        <v>2856</v>
      </c>
    </row>
    <row r="1729" ht="17.25" customHeight="1" spans="1:15">
      <c r="A1729" s="55">
        <v>1038031</v>
      </c>
      <c r="B1729" s="7" t="s">
        <v>366</v>
      </c>
      <c r="C1729" s="25">
        <f t="shared" si="683"/>
        <v>31</v>
      </c>
      <c r="D1729" s="25">
        <f t="array" ref="D1729">INDEX(C$5:C$67,MATCH($B1729,$B$5:$B$67,0))</f>
        <v>4200</v>
      </c>
      <c r="E1729" s="25">
        <f t="array" ref="E1729">INDEX(D$5:D$67,MATCH($B1729,$B$5:$B$67,0))</f>
        <v>336</v>
      </c>
      <c r="F1729" s="25">
        <f t="array" ref="F1729">INDEX(E$5:E$67,MATCH($B1729,$B$5:$B$67,0))</f>
        <v>630</v>
      </c>
      <c r="G1729" s="25">
        <f t="array" ref="G1729">INDEX(F$5:F$67,MATCH($B1729,$B$5:$B$67,0))</f>
        <v>50.4</v>
      </c>
      <c r="H1729" s="25">
        <f t="array" ref="H1729">INDEX(G$5:G$66,MATCH($B1729,$B$5:$B$67,0))</f>
        <v>504</v>
      </c>
      <c r="I1729" s="25">
        <f t="array" ref="I1729">INDEX(H$5:H$67,MATCH($B1729,$B$5:$B$67,0))</f>
        <v>40.32</v>
      </c>
      <c r="J1729" s="25">
        <f t="array" ref="J1729">INDEX(I$5:I$67,MATCH($B1729,$B$5:$B$67,0))</f>
        <v>840</v>
      </c>
      <c r="K1729" s="25">
        <f t="array" ref="K1729">INDEX(J$5:J$67,MATCH($B1729,$B$5:$B$67,0))</f>
        <v>67.2</v>
      </c>
      <c r="L1729" s="25">
        <f t="shared" si="684"/>
        <v>14616</v>
      </c>
      <c r="M1729" s="25">
        <f t="shared" si="685"/>
        <v>2192</v>
      </c>
      <c r="N1729" s="25">
        <f t="shared" si="686"/>
        <v>1754</v>
      </c>
      <c r="O1729" s="25">
        <f t="shared" si="687"/>
        <v>2923</v>
      </c>
    </row>
    <row r="1730" ht="17.25" customHeight="1" spans="1:15">
      <c r="A1730" s="55">
        <v>1038032</v>
      </c>
      <c r="B1730" s="7" t="s">
        <v>366</v>
      </c>
      <c r="C1730" s="25">
        <f t="shared" si="683"/>
        <v>32</v>
      </c>
      <c r="D1730" s="25">
        <f t="array" ref="D1730">INDEX(C$5:C$67,MATCH($B1730,$B$5:$B$67,0))</f>
        <v>4200</v>
      </c>
      <c r="E1730" s="25">
        <f t="array" ref="E1730">INDEX(D$5:D$67,MATCH($B1730,$B$5:$B$67,0))</f>
        <v>336</v>
      </c>
      <c r="F1730" s="25">
        <f t="array" ref="F1730">INDEX(E$5:E$67,MATCH($B1730,$B$5:$B$67,0))</f>
        <v>630</v>
      </c>
      <c r="G1730" s="25">
        <f t="array" ref="G1730">INDEX(F$5:F$67,MATCH($B1730,$B$5:$B$67,0))</f>
        <v>50.4</v>
      </c>
      <c r="H1730" s="25">
        <f t="array" ref="H1730">INDEX(G$5:G$66,MATCH($B1730,$B$5:$B$67,0))</f>
        <v>504</v>
      </c>
      <c r="I1730" s="25">
        <f t="array" ref="I1730">INDEX(H$5:H$67,MATCH($B1730,$B$5:$B$67,0))</f>
        <v>40.32</v>
      </c>
      <c r="J1730" s="25">
        <f t="array" ref="J1730">INDEX(I$5:I$67,MATCH($B1730,$B$5:$B$67,0))</f>
        <v>840</v>
      </c>
      <c r="K1730" s="25">
        <f t="array" ref="K1730">INDEX(J$5:J$67,MATCH($B1730,$B$5:$B$67,0))</f>
        <v>67.2</v>
      </c>
      <c r="L1730" s="25">
        <f t="shared" si="684"/>
        <v>14952</v>
      </c>
      <c r="M1730" s="25">
        <f t="shared" si="685"/>
        <v>2243</v>
      </c>
      <c r="N1730" s="25">
        <f t="shared" si="686"/>
        <v>1794</v>
      </c>
      <c r="O1730" s="25">
        <f t="shared" si="687"/>
        <v>2990</v>
      </c>
    </row>
    <row r="1731" ht="17.25" customHeight="1" spans="1:15">
      <c r="A1731" s="55">
        <v>1038033</v>
      </c>
      <c r="B1731" s="7" t="s">
        <v>366</v>
      </c>
      <c r="C1731" s="25">
        <f t="shared" si="683"/>
        <v>33</v>
      </c>
      <c r="D1731" s="25">
        <f t="array" ref="D1731">INDEX(C$5:C$67,MATCH($B1731,$B$5:$B$67,0))</f>
        <v>4200</v>
      </c>
      <c r="E1731" s="25">
        <f t="array" ref="E1731">INDEX(D$5:D$67,MATCH($B1731,$B$5:$B$67,0))</f>
        <v>336</v>
      </c>
      <c r="F1731" s="25">
        <f t="array" ref="F1731">INDEX(E$5:E$67,MATCH($B1731,$B$5:$B$67,0))</f>
        <v>630</v>
      </c>
      <c r="G1731" s="25">
        <f t="array" ref="G1731">INDEX(F$5:F$67,MATCH($B1731,$B$5:$B$67,0))</f>
        <v>50.4</v>
      </c>
      <c r="H1731" s="25">
        <f t="array" ref="H1731">INDEX(G$5:G$66,MATCH($B1731,$B$5:$B$67,0))</f>
        <v>504</v>
      </c>
      <c r="I1731" s="25">
        <f t="array" ref="I1731">INDEX(H$5:H$67,MATCH($B1731,$B$5:$B$67,0))</f>
        <v>40.32</v>
      </c>
      <c r="J1731" s="25">
        <f t="array" ref="J1731">INDEX(I$5:I$67,MATCH($B1731,$B$5:$B$67,0))</f>
        <v>840</v>
      </c>
      <c r="K1731" s="25">
        <f t="array" ref="K1731">INDEX(J$5:J$67,MATCH($B1731,$B$5:$B$67,0))</f>
        <v>67.2</v>
      </c>
      <c r="L1731" s="25">
        <f t="shared" si="684"/>
        <v>15288</v>
      </c>
      <c r="M1731" s="25">
        <f t="shared" si="685"/>
        <v>2293</v>
      </c>
      <c r="N1731" s="25">
        <f t="shared" si="686"/>
        <v>1835</v>
      </c>
      <c r="O1731" s="25">
        <f t="shared" si="687"/>
        <v>3058</v>
      </c>
    </row>
    <row r="1732" ht="17.25" customHeight="1" spans="1:15">
      <c r="A1732" s="55">
        <v>1038034</v>
      </c>
      <c r="B1732" s="7" t="s">
        <v>366</v>
      </c>
      <c r="C1732" s="25">
        <f t="shared" si="683"/>
        <v>34</v>
      </c>
      <c r="D1732" s="25">
        <f t="array" ref="D1732">INDEX(C$5:C$67,MATCH($B1732,$B$5:$B$67,0))</f>
        <v>4200</v>
      </c>
      <c r="E1732" s="25">
        <f t="array" ref="E1732">INDEX(D$5:D$67,MATCH($B1732,$B$5:$B$67,0))</f>
        <v>336</v>
      </c>
      <c r="F1732" s="25">
        <f t="array" ref="F1732">INDEX(E$5:E$67,MATCH($B1732,$B$5:$B$67,0))</f>
        <v>630</v>
      </c>
      <c r="G1732" s="25">
        <f t="array" ref="G1732">INDEX(F$5:F$67,MATCH($B1732,$B$5:$B$67,0))</f>
        <v>50.4</v>
      </c>
      <c r="H1732" s="25">
        <f t="array" ref="H1732">INDEX(G$5:G$66,MATCH($B1732,$B$5:$B$67,0))</f>
        <v>504</v>
      </c>
      <c r="I1732" s="25">
        <f t="array" ref="I1732">INDEX(H$5:H$67,MATCH($B1732,$B$5:$B$67,0))</f>
        <v>40.32</v>
      </c>
      <c r="J1732" s="25">
        <f t="array" ref="J1732">INDEX(I$5:I$67,MATCH($B1732,$B$5:$B$67,0))</f>
        <v>840</v>
      </c>
      <c r="K1732" s="25">
        <f t="array" ref="K1732">INDEX(J$5:J$67,MATCH($B1732,$B$5:$B$67,0))</f>
        <v>67.2</v>
      </c>
      <c r="L1732" s="25">
        <f t="shared" si="684"/>
        <v>15624</v>
      </c>
      <c r="M1732" s="25">
        <f t="shared" si="685"/>
        <v>2344</v>
      </c>
      <c r="N1732" s="25">
        <f t="shared" si="686"/>
        <v>1875</v>
      </c>
      <c r="O1732" s="25">
        <f t="shared" si="687"/>
        <v>3125</v>
      </c>
    </row>
    <row r="1733" ht="17.25" customHeight="1" spans="1:15">
      <c r="A1733" s="55">
        <v>1038035</v>
      </c>
      <c r="B1733" s="7" t="s">
        <v>366</v>
      </c>
      <c r="C1733" s="25">
        <f t="shared" si="683"/>
        <v>35</v>
      </c>
      <c r="D1733" s="25">
        <f t="array" ref="D1733">INDEX(C$5:C$67,MATCH($B1733,$B$5:$B$67,0))</f>
        <v>4200</v>
      </c>
      <c r="E1733" s="25">
        <f t="array" ref="E1733">INDEX(D$5:D$67,MATCH($B1733,$B$5:$B$67,0))</f>
        <v>336</v>
      </c>
      <c r="F1733" s="25">
        <f t="array" ref="F1733">INDEX(E$5:E$67,MATCH($B1733,$B$5:$B$67,0))</f>
        <v>630</v>
      </c>
      <c r="G1733" s="25">
        <f t="array" ref="G1733">INDEX(F$5:F$67,MATCH($B1733,$B$5:$B$67,0))</f>
        <v>50.4</v>
      </c>
      <c r="H1733" s="25">
        <f t="array" ref="H1733">INDEX(G$5:G$66,MATCH($B1733,$B$5:$B$67,0))</f>
        <v>504</v>
      </c>
      <c r="I1733" s="25">
        <f t="array" ref="I1733">INDEX(H$5:H$67,MATCH($B1733,$B$5:$B$67,0))</f>
        <v>40.32</v>
      </c>
      <c r="J1733" s="25">
        <f t="array" ref="J1733">INDEX(I$5:I$67,MATCH($B1733,$B$5:$B$67,0))</f>
        <v>840</v>
      </c>
      <c r="K1733" s="25">
        <f t="array" ref="K1733">INDEX(J$5:J$67,MATCH($B1733,$B$5:$B$67,0))</f>
        <v>67.2</v>
      </c>
      <c r="L1733" s="25">
        <f t="shared" si="684"/>
        <v>15960</v>
      </c>
      <c r="M1733" s="25">
        <f t="shared" si="685"/>
        <v>2394</v>
      </c>
      <c r="N1733" s="25">
        <f t="shared" si="686"/>
        <v>1915</v>
      </c>
      <c r="O1733" s="25">
        <f t="shared" si="687"/>
        <v>3192</v>
      </c>
    </row>
    <row r="1734" ht="17.25" customHeight="1" spans="1:15">
      <c r="A1734" s="55">
        <v>1038036</v>
      </c>
      <c r="B1734" s="7" t="s">
        <v>366</v>
      </c>
      <c r="C1734" s="25">
        <f t="shared" si="683"/>
        <v>36</v>
      </c>
      <c r="D1734" s="25">
        <f t="array" ref="D1734">INDEX(C$5:C$67,MATCH($B1734,$B$5:$B$67,0))</f>
        <v>4200</v>
      </c>
      <c r="E1734" s="25">
        <f t="array" ref="E1734">INDEX(D$5:D$67,MATCH($B1734,$B$5:$B$67,0))</f>
        <v>336</v>
      </c>
      <c r="F1734" s="25">
        <f t="array" ref="F1734">INDEX(E$5:E$67,MATCH($B1734,$B$5:$B$67,0))</f>
        <v>630</v>
      </c>
      <c r="G1734" s="25">
        <f t="array" ref="G1734">INDEX(F$5:F$67,MATCH($B1734,$B$5:$B$67,0))</f>
        <v>50.4</v>
      </c>
      <c r="H1734" s="25">
        <f t="array" ref="H1734">INDEX(G$5:G$66,MATCH($B1734,$B$5:$B$67,0))</f>
        <v>504</v>
      </c>
      <c r="I1734" s="25">
        <f t="array" ref="I1734">INDEX(H$5:H$67,MATCH($B1734,$B$5:$B$67,0))</f>
        <v>40.32</v>
      </c>
      <c r="J1734" s="25">
        <f t="array" ref="J1734">INDEX(I$5:I$67,MATCH($B1734,$B$5:$B$67,0))</f>
        <v>840</v>
      </c>
      <c r="K1734" s="25">
        <f t="array" ref="K1734">INDEX(J$5:J$67,MATCH($B1734,$B$5:$B$67,0))</f>
        <v>67.2</v>
      </c>
      <c r="L1734" s="25">
        <f t="shared" si="684"/>
        <v>16296</v>
      </c>
      <c r="M1734" s="25">
        <f t="shared" si="685"/>
        <v>2444</v>
      </c>
      <c r="N1734" s="25">
        <f t="shared" si="686"/>
        <v>1956</v>
      </c>
      <c r="O1734" s="25">
        <f t="shared" si="687"/>
        <v>3259</v>
      </c>
    </row>
    <row r="1735" ht="17.25" customHeight="1" spans="1:15">
      <c r="A1735" s="55">
        <v>1038037</v>
      </c>
      <c r="B1735" s="7" t="s">
        <v>366</v>
      </c>
      <c r="C1735" s="25">
        <f t="shared" si="683"/>
        <v>37</v>
      </c>
      <c r="D1735" s="25">
        <f t="array" ref="D1735">INDEX(C$5:C$67,MATCH($B1735,$B$5:$B$67,0))</f>
        <v>4200</v>
      </c>
      <c r="E1735" s="25">
        <f t="array" ref="E1735">INDEX(D$5:D$67,MATCH($B1735,$B$5:$B$67,0))</f>
        <v>336</v>
      </c>
      <c r="F1735" s="25">
        <f t="array" ref="F1735">INDEX(E$5:E$67,MATCH($B1735,$B$5:$B$67,0))</f>
        <v>630</v>
      </c>
      <c r="G1735" s="25">
        <f t="array" ref="G1735">INDEX(F$5:F$67,MATCH($B1735,$B$5:$B$67,0))</f>
        <v>50.4</v>
      </c>
      <c r="H1735" s="25">
        <f t="array" ref="H1735">INDEX(G$5:G$66,MATCH($B1735,$B$5:$B$67,0))</f>
        <v>504</v>
      </c>
      <c r="I1735" s="25">
        <f t="array" ref="I1735">INDEX(H$5:H$67,MATCH($B1735,$B$5:$B$67,0))</f>
        <v>40.32</v>
      </c>
      <c r="J1735" s="25">
        <f t="array" ref="J1735">INDEX(I$5:I$67,MATCH($B1735,$B$5:$B$67,0))</f>
        <v>840</v>
      </c>
      <c r="K1735" s="25">
        <f t="array" ref="K1735">INDEX(J$5:J$67,MATCH($B1735,$B$5:$B$67,0))</f>
        <v>67.2</v>
      </c>
      <c r="L1735" s="25">
        <f t="shared" si="684"/>
        <v>16632</v>
      </c>
      <c r="M1735" s="25">
        <f t="shared" si="685"/>
        <v>2495</v>
      </c>
      <c r="N1735" s="25">
        <f t="shared" si="686"/>
        <v>1996</v>
      </c>
      <c r="O1735" s="25">
        <f t="shared" si="687"/>
        <v>3326</v>
      </c>
    </row>
    <row r="1736" ht="17.25" customHeight="1" spans="1:15">
      <c r="A1736" s="55">
        <v>1038038</v>
      </c>
      <c r="B1736" s="7" t="s">
        <v>366</v>
      </c>
      <c r="C1736" s="25">
        <f t="shared" si="683"/>
        <v>38</v>
      </c>
      <c r="D1736" s="25">
        <f t="array" ref="D1736">INDEX(C$5:C$67,MATCH($B1736,$B$5:$B$67,0))</f>
        <v>4200</v>
      </c>
      <c r="E1736" s="25">
        <f t="array" ref="E1736">INDEX(D$5:D$67,MATCH($B1736,$B$5:$B$67,0))</f>
        <v>336</v>
      </c>
      <c r="F1736" s="25">
        <f t="array" ref="F1736">INDEX(E$5:E$67,MATCH($B1736,$B$5:$B$67,0))</f>
        <v>630</v>
      </c>
      <c r="G1736" s="25">
        <f t="array" ref="G1736">INDEX(F$5:F$67,MATCH($B1736,$B$5:$B$67,0))</f>
        <v>50.4</v>
      </c>
      <c r="H1736" s="25">
        <f t="array" ref="H1736">INDEX(G$5:G$66,MATCH($B1736,$B$5:$B$67,0))</f>
        <v>504</v>
      </c>
      <c r="I1736" s="25">
        <f t="array" ref="I1736">INDEX(H$5:H$67,MATCH($B1736,$B$5:$B$67,0))</f>
        <v>40.32</v>
      </c>
      <c r="J1736" s="25">
        <f t="array" ref="J1736">INDEX(I$5:I$67,MATCH($B1736,$B$5:$B$67,0))</f>
        <v>840</v>
      </c>
      <c r="K1736" s="25">
        <f t="array" ref="K1736">INDEX(J$5:J$67,MATCH($B1736,$B$5:$B$67,0))</f>
        <v>67.2</v>
      </c>
      <c r="L1736" s="25">
        <f t="shared" si="684"/>
        <v>16968</v>
      </c>
      <c r="M1736" s="25">
        <f t="shared" si="685"/>
        <v>2545</v>
      </c>
      <c r="N1736" s="25">
        <f t="shared" si="686"/>
        <v>2036</v>
      </c>
      <c r="O1736" s="25">
        <f t="shared" si="687"/>
        <v>3394</v>
      </c>
    </row>
    <row r="1737" ht="17.25" customHeight="1" spans="1:15">
      <c r="A1737" s="55">
        <v>1038039</v>
      </c>
      <c r="B1737" s="7" t="s">
        <v>366</v>
      </c>
      <c r="C1737" s="25">
        <f t="shared" si="683"/>
        <v>39</v>
      </c>
      <c r="D1737" s="25">
        <f t="array" ref="D1737">INDEX(C$5:C$67,MATCH($B1737,$B$5:$B$67,0))</f>
        <v>4200</v>
      </c>
      <c r="E1737" s="25">
        <f t="array" ref="E1737">INDEX(D$5:D$67,MATCH($B1737,$B$5:$B$67,0))</f>
        <v>336</v>
      </c>
      <c r="F1737" s="25">
        <f t="array" ref="F1737">INDEX(E$5:E$67,MATCH($B1737,$B$5:$B$67,0))</f>
        <v>630</v>
      </c>
      <c r="G1737" s="25">
        <f t="array" ref="G1737">INDEX(F$5:F$67,MATCH($B1737,$B$5:$B$67,0))</f>
        <v>50.4</v>
      </c>
      <c r="H1737" s="25">
        <f t="array" ref="H1737">INDEX(G$5:G$66,MATCH($B1737,$B$5:$B$67,0))</f>
        <v>504</v>
      </c>
      <c r="I1737" s="25">
        <f t="array" ref="I1737">INDEX(H$5:H$67,MATCH($B1737,$B$5:$B$67,0))</f>
        <v>40.32</v>
      </c>
      <c r="J1737" s="25">
        <f t="array" ref="J1737">INDEX(I$5:I$67,MATCH($B1737,$B$5:$B$67,0))</f>
        <v>840</v>
      </c>
      <c r="K1737" s="25">
        <f t="array" ref="K1737">INDEX(J$5:J$67,MATCH($B1737,$B$5:$B$67,0))</f>
        <v>67.2</v>
      </c>
      <c r="L1737" s="25">
        <f t="shared" si="684"/>
        <v>17304</v>
      </c>
      <c r="M1737" s="25">
        <f t="shared" si="685"/>
        <v>2596</v>
      </c>
      <c r="N1737" s="25">
        <f t="shared" si="686"/>
        <v>2076</v>
      </c>
      <c r="O1737" s="25">
        <f t="shared" si="687"/>
        <v>3461</v>
      </c>
    </row>
    <row r="1738" ht="17.25" customHeight="1" spans="1:15">
      <c r="A1738" s="55">
        <v>1038040</v>
      </c>
      <c r="B1738" s="7" t="s">
        <v>366</v>
      </c>
      <c r="C1738" s="25">
        <f t="shared" si="683"/>
        <v>40</v>
      </c>
      <c r="D1738" s="25">
        <f t="array" ref="D1738">INDEX(C$5:C$67,MATCH($B1738,$B$5:$B$67,0))</f>
        <v>4200</v>
      </c>
      <c r="E1738" s="25">
        <f t="array" ref="E1738">INDEX(D$5:D$67,MATCH($B1738,$B$5:$B$67,0))</f>
        <v>336</v>
      </c>
      <c r="F1738" s="25">
        <f t="array" ref="F1738">INDEX(E$5:E$67,MATCH($B1738,$B$5:$B$67,0))</f>
        <v>630</v>
      </c>
      <c r="G1738" s="25">
        <f t="array" ref="G1738">INDEX(F$5:F$67,MATCH($B1738,$B$5:$B$67,0))</f>
        <v>50.4</v>
      </c>
      <c r="H1738" s="25">
        <f t="array" ref="H1738">INDEX(G$5:G$66,MATCH($B1738,$B$5:$B$67,0))</f>
        <v>504</v>
      </c>
      <c r="I1738" s="25">
        <f t="array" ref="I1738">INDEX(H$5:H$67,MATCH($B1738,$B$5:$B$67,0))</f>
        <v>40.32</v>
      </c>
      <c r="J1738" s="25">
        <f t="array" ref="J1738">INDEX(I$5:I$67,MATCH($B1738,$B$5:$B$67,0))</f>
        <v>840</v>
      </c>
      <c r="K1738" s="25">
        <f t="array" ref="K1738">INDEX(J$5:J$67,MATCH($B1738,$B$5:$B$67,0))</f>
        <v>67.2</v>
      </c>
      <c r="L1738" s="25">
        <f t="shared" si="684"/>
        <v>17640</v>
      </c>
      <c r="M1738" s="25">
        <f t="shared" si="685"/>
        <v>2646</v>
      </c>
      <c r="N1738" s="25">
        <f t="shared" si="686"/>
        <v>2117</v>
      </c>
      <c r="O1738" s="25">
        <f t="shared" si="687"/>
        <v>3528</v>
      </c>
    </row>
    <row r="1739" ht="17.25" customHeight="1" spans="1:15">
      <c r="A1739" s="55">
        <v>1038041</v>
      </c>
      <c r="B1739" s="7" t="s">
        <v>366</v>
      </c>
      <c r="C1739" s="25">
        <f t="shared" ref="C1739:C1802" si="688">C1679</f>
        <v>41</v>
      </c>
      <c r="D1739" s="25">
        <f t="array" ref="D1739">INDEX(C$5:C$67,MATCH($B1739,$B$5:$B$67,0))</f>
        <v>4200</v>
      </c>
      <c r="E1739" s="25">
        <f t="array" ref="E1739">INDEX(D$5:D$67,MATCH($B1739,$B$5:$B$67,0))</f>
        <v>336</v>
      </c>
      <c r="F1739" s="25">
        <f t="array" ref="F1739">INDEX(E$5:E$67,MATCH($B1739,$B$5:$B$67,0))</f>
        <v>630</v>
      </c>
      <c r="G1739" s="25">
        <f t="array" ref="G1739">INDEX(F$5:F$67,MATCH($B1739,$B$5:$B$67,0))</f>
        <v>50.4</v>
      </c>
      <c r="H1739" s="25">
        <f t="array" ref="H1739">INDEX(G$5:G$66,MATCH($B1739,$B$5:$B$67,0))</f>
        <v>504</v>
      </c>
      <c r="I1739" s="25">
        <f t="array" ref="I1739">INDEX(H$5:H$67,MATCH($B1739,$B$5:$B$67,0))</f>
        <v>40.32</v>
      </c>
      <c r="J1739" s="25">
        <f t="array" ref="J1739">INDEX(I$5:I$67,MATCH($B1739,$B$5:$B$67,0))</f>
        <v>840</v>
      </c>
      <c r="K1739" s="25">
        <f t="array" ref="K1739">INDEX(J$5:J$67,MATCH($B1739,$B$5:$B$67,0))</f>
        <v>67.2</v>
      </c>
      <c r="L1739" s="25">
        <f t="shared" si="684"/>
        <v>17976</v>
      </c>
      <c r="M1739" s="25">
        <f t="shared" si="685"/>
        <v>2696</v>
      </c>
      <c r="N1739" s="25">
        <f t="shared" si="686"/>
        <v>2157</v>
      </c>
      <c r="O1739" s="25">
        <f t="shared" si="687"/>
        <v>3595</v>
      </c>
    </row>
    <row r="1740" ht="17.25" customHeight="1" spans="1:15">
      <c r="A1740" s="55">
        <v>1038042</v>
      </c>
      <c r="B1740" s="7" t="s">
        <v>366</v>
      </c>
      <c r="C1740" s="25">
        <f t="shared" si="688"/>
        <v>42</v>
      </c>
      <c r="D1740" s="25">
        <f t="array" ref="D1740">INDEX(C$5:C$67,MATCH($B1740,$B$5:$B$67,0))</f>
        <v>4200</v>
      </c>
      <c r="E1740" s="25">
        <f t="array" ref="E1740">INDEX(D$5:D$67,MATCH($B1740,$B$5:$B$67,0))</f>
        <v>336</v>
      </c>
      <c r="F1740" s="25">
        <f t="array" ref="F1740">INDEX(E$5:E$67,MATCH($B1740,$B$5:$B$67,0))</f>
        <v>630</v>
      </c>
      <c r="G1740" s="25">
        <f t="array" ref="G1740">INDEX(F$5:F$67,MATCH($B1740,$B$5:$B$67,0))</f>
        <v>50.4</v>
      </c>
      <c r="H1740" s="25">
        <f t="array" ref="H1740">INDEX(G$5:G$66,MATCH($B1740,$B$5:$B$67,0))</f>
        <v>504</v>
      </c>
      <c r="I1740" s="25">
        <f t="array" ref="I1740">INDEX(H$5:H$67,MATCH($B1740,$B$5:$B$67,0))</f>
        <v>40.32</v>
      </c>
      <c r="J1740" s="25">
        <f t="array" ref="J1740">INDEX(I$5:I$67,MATCH($B1740,$B$5:$B$67,0))</f>
        <v>840</v>
      </c>
      <c r="K1740" s="25">
        <f t="array" ref="K1740">INDEX(J$5:J$67,MATCH($B1740,$B$5:$B$67,0))</f>
        <v>67.2</v>
      </c>
      <c r="L1740" s="25">
        <f t="shared" si="684"/>
        <v>18312</v>
      </c>
      <c r="M1740" s="25">
        <f t="shared" si="685"/>
        <v>2747</v>
      </c>
      <c r="N1740" s="25">
        <f t="shared" si="686"/>
        <v>2197</v>
      </c>
      <c r="O1740" s="25">
        <f t="shared" si="687"/>
        <v>3662</v>
      </c>
    </row>
    <row r="1741" ht="17.25" customHeight="1" spans="1:15">
      <c r="A1741" s="55">
        <v>1038043</v>
      </c>
      <c r="B1741" s="7" t="s">
        <v>366</v>
      </c>
      <c r="C1741" s="25">
        <f t="shared" si="688"/>
        <v>43</v>
      </c>
      <c r="D1741" s="25">
        <f t="array" ref="D1741">INDEX(C$5:C$67,MATCH($B1741,$B$5:$B$67,0))</f>
        <v>4200</v>
      </c>
      <c r="E1741" s="25">
        <f t="array" ref="E1741">INDEX(D$5:D$67,MATCH($B1741,$B$5:$B$67,0))</f>
        <v>336</v>
      </c>
      <c r="F1741" s="25">
        <f t="array" ref="F1741">INDEX(E$5:E$67,MATCH($B1741,$B$5:$B$67,0))</f>
        <v>630</v>
      </c>
      <c r="G1741" s="25">
        <f t="array" ref="G1741">INDEX(F$5:F$67,MATCH($B1741,$B$5:$B$67,0))</f>
        <v>50.4</v>
      </c>
      <c r="H1741" s="25">
        <f t="array" ref="H1741">INDEX(G$5:G$66,MATCH($B1741,$B$5:$B$67,0))</f>
        <v>504</v>
      </c>
      <c r="I1741" s="25">
        <f t="array" ref="I1741">INDEX(H$5:H$67,MATCH($B1741,$B$5:$B$67,0))</f>
        <v>40.32</v>
      </c>
      <c r="J1741" s="25">
        <f t="array" ref="J1741">INDEX(I$5:I$67,MATCH($B1741,$B$5:$B$67,0))</f>
        <v>840</v>
      </c>
      <c r="K1741" s="25">
        <f t="array" ref="K1741">INDEX(J$5:J$67,MATCH($B1741,$B$5:$B$67,0))</f>
        <v>67.2</v>
      </c>
      <c r="L1741" s="25">
        <f t="shared" si="684"/>
        <v>18648</v>
      </c>
      <c r="M1741" s="25">
        <f t="shared" si="685"/>
        <v>2797</v>
      </c>
      <c r="N1741" s="25">
        <f t="shared" si="686"/>
        <v>2238</v>
      </c>
      <c r="O1741" s="25">
        <f t="shared" si="687"/>
        <v>3730</v>
      </c>
    </row>
    <row r="1742" ht="17.25" customHeight="1" spans="1:15">
      <c r="A1742" s="55">
        <v>1038044</v>
      </c>
      <c r="B1742" s="7" t="s">
        <v>366</v>
      </c>
      <c r="C1742" s="25">
        <f t="shared" si="688"/>
        <v>44</v>
      </c>
      <c r="D1742" s="25">
        <f t="array" ref="D1742">INDEX(C$5:C$67,MATCH($B1742,$B$5:$B$67,0))</f>
        <v>4200</v>
      </c>
      <c r="E1742" s="25">
        <f t="array" ref="E1742">INDEX(D$5:D$67,MATCH($B1742,$B$5:$B$67,0))</f>
        <v>336</v>
      </c>
      <c r="F1742" s="25">
        <f t="array" ref="F1742">INDEX(E$5:E$67,MATCH($B1742,$B$5:$B$67,0))</f>
        <v>630</v>
      </c>
      <c r="G1742" s="25">
        <f t="array" ref="G1742">INDEX(F$5:F$67,MATCH($B1742,$B$5:$B$67,0))</f>
        <v>50.4</v>
      </c>
      <c r="H1742" s="25">
        <f t="array" ref="H1742">INDEX(G$5:G$66,MATCH($B1742,$B$5:$B$67,0))</f>
        <v>504</v>
      </c>
      <c r="I1742" s="25">
        <f t="array" ref="I1742">INDEX(H$5:H$67,MATCH($B1742,$B$5:$B$67,0))</f>
        <v>40.32</v>
      </c>
      <c r="J1742" s="25">
        <f t="array" ref="J1742">INDEX(I$5:I$67,MATCH($B1742,$B$5:$B$67,0))</f>
        <v>840</v>
      </c>
      <c r="K1742" s="25">
        <f t="array" ref="K1742">INDEX(J$5:J$67,MATCH($B1742,$B$5:$B$67,0))</f>
        <v>67.2</v>
      </c>
      <c r="L1742" s="25">
        <f t="shared" si="684"/>
        <v>18984</v>
      </c>
      <c r="M1742" s="25">
        <f t="shared" si="685"/>
        <v>2848</v>
      </c>
      <c r="N1742" s="25">
        <f t="shared" si="686"/>
        <v>2278</v>
      </c>
      <c r="O1742" s="25">
        <f t="shared" si="687"/>
        <v>3797</v>
      </c>
    </row>
    <row r="1743" ht="17.25" customHeight="1" spans="1:15">
      <c r="A1743" s="55">
        <v>1038045</v>
      </c>
      <c r="B1743" s="7" t="s">
        <v>366</v>
      </c>
      <c r="C1743" s="25">
        <f t="shared" si="688"/>
        <v>45</v>
      </c>
      <c r="D1743" s="25">
        <f t="array" ref="D1743">INDEX(C$5:C$67,MATCH($B1743,$B$5:$B$67,0))</f>
        <v>4200</v>
      </c>
      <c r="E1743" s="25">
        <f t="array" ref="E1743">INDEX(D$5:D$67,MATCH($B1743,$B$5:$B$67,0))</f>
        <v>336</v>
      </c>
      <c r="F1743" s="25">
        <f t="array" ref="F1743">INDEX(E$5:E$67,MATCH($B1743,$B$5:$B$67,0))</f>
        <v>630</v>
      </c>
      <c r="G1743" s="25">
        <f t="array" ref="G1743">INDEX(F$5:F$67,MATCH($B1743,$B$5:$B$67,0))</f>
        <v>50.4</v>
      </c>
      <c r="H1743" s="25">
        <f t="array" ref="H1743">INDEX(G$5:G$66,MATCH($B1743,$B$5:$B$67,0))</f>
        <v>504</v>
      </c>
      <c r="I1743" s="25">
        <f t="array" ref="I1743">INDEX(H$5:H$67,MATCH($B1743,$B$5:$B$67,0))</f>
        <v>40.32</v>
      </c>
      <c r="J1743" s="25">
        <f t="array" ref="J1743">INDEX(I$5:I$67,MATCH($B1743,$B$5:$B$67,0))</f>
        <v>840</v>
      </c>
      <c r="K1743" s="25">
        <f t="array" ref="K1743">INDEX(J$5:J$67,MATCH($B1743,$B$5:$B$67,0))</f>
        <v>67.2</v>
      </c>
      <c r="L1743" s="25">
        <f t="shared" ref="L1743:L1806" si="689">ROUND(D1743+E1743*$C1743,0)</f>
        <v>19320</v>
      </c>
      <c r="M1743" s="25">
        <f t="shared" ref="M1743:M1806" si="690">ROUND(F1743+G1743*$C1743,0)</f>
        <v>2898</v>
      </c>
      <c r="N1743" s="25">
        <f t="shared" ref="N1743:N1806" si="691">ROUND(H1743+I1743*$C1743,0)</f>
        <v>2318</v>
      </c>
      <c r="O1743" s="25">
        <f t="shared" ref="O1743:O1806" si="692">ROUND(J1743+K1743*$C1743,0)</f>
        <v>3864</v>
      </c>
    </row>
    <row r="1744" ht="17.25" customHeight="1" spans="1:15">
      <c r="A1744" s="55">
        <v>1038046</v>
      </c>
      <c r="B1744" s="7" t="s">
        <v>366</v>
      </c>
      <c r="C1744" s="25">
        <f t="shared" si="688"/>
        <v>46</v>
      </c>
      <c r="D1744" s="25">
        <f t="array" ref="D1744">INDEX(C$5:C$67,MATCH($B1744,$B$5:$B$67,0))</f>
        <v>4200</v>
      </c>
      <c r="E1744" s="25">
        <f t="array" ref="E1744">INDEX(D$5:D$67,MATCH($B1744,$B$5:$B$67,0))</f>
        <v>336</v>
      </c>
      <c r="F1744" s="25">
        <f t="array" ref="F1744">INDEX(E$5:E$67,MATCH($B1744,$B$5:$B$67,0))</f>
        <v>630</v>
      </c>
      <c r="G1744" s="25">
        <f t="array" ref="G1744">INDEX(F$5:F$67,MATCH($B1744,$B$5:$B$67,0))</f>
        <v>50.4</v>
      </c>
      <c r="H1744" s="25">
        <f t="array" ref="H1744">INDEX(G$5:G$66,MATCH($B1744,$B$5:$B$67,0))</f>
        <v>504</v>
      </c>
      <c r="I1744" s="25">
        <f t="array" ref="I1744">INDEX(H$5:H$67,MATCH($B1744,$B$5:$B$67,0))</f>
        <v>40.32</v>
      </c>
      <c r="J1744" s="25">
        <f t="array" ref="J1744">INDEX(I$5:I$67,MATCH($B1744,$B$5:$B$67,0))</f>
        <v>840</v>
      </c>
      <c r="K1744" s="25">
        <f t="array" ref="K1744">INDEX(J$5:J$67,MATCH($B1744,$B$5:$B$67,0))</f>
        <v>67.2</v>
      </c>
      <c r="L1744" s="25">
        <f t="shared" si="689"/>
        <v>19656</v>
      </c>
      <c r="M1744" s="25">
        <f t="shared" si="690"/>
        <v>2948</v>
      </c>
      <c r="N1744" s="25">
        <f t="shared" si="691"/>
        <v>2359</v>
      </c>
      <c r="O1744" s="25">
        <f t="shared" si="692"/>
        <v>3931</v>
      </c>
    </row>
    <row r="1745" ht="17.25" customHeight="1" spans="1:15">
      <c r="A1745" s="55">
        <v>1038047</v>
      </c>
      <c r="B1745" s="7" t="s">
        <v>366</v>
      </c>
      <c r="C1745" s="25">
        <f t="shared" si="688"/>
        <v>47</v>
      </c>
      <c r="D1745" s="25">
        <f t="array" ref="D1745">INDEX(C$5:C$67,MATCH($B1745,$B$5:$B$67,0))</f>
        <v>4200</v>
      </c>
      <c r="E1745" s="25">
        <f t="array" ref="E1745">INDEX(D$5:D$67,MATCH($B1745,$B$5:$B$67,0))</f>
        <v>336</v>
      </c>
      <c r="F1745" s="25">
        <f t="array" ref="F1745">INDEX(E$5:E$67,MATCH($B1745,$B$5:$B$67,0))</f>
        <v>630</v>
      </c>
      <c r="G1745" s="25">
        <f t="array" ref="G1745">INDEX(F$5:F$67,MATCH($B1745,$B$5:$B$67,0))</f>
        <v>50.4</v>
      </c>
      <c r="H1745" s="25">
        <f t="array" ref="H1745">INDEX(G$5:G$66,MATCH($B1745,$B$5:$B$67,0))</f>
        <v>504</v>
      </c>
      <c r="I1745" s="25">
        <f t="array" ref="I1745">INDEX(H$5:H$67,MATCH($B1745,$B$5:$B$67,0))</f>
        <v>40.32</v>
      </c>
      <c r="J1745" s="25">
        <f t="array" ref="J1745">INDEX(I$5:I$67,MATCH($B1745,$B$5:$B$67,0))</f>
        <v>840</v>
      </c>
      <c r="K1745" s="25">
        <f t="array" ref="K1745">INDEX(J$5:J$67,MATCH($B1745,$B$5:$B$67,0))</f>
        <v>67.2</v>
      </c>
      <c r="L1745" s="25">
        <f t="shared" si="689"/>
        <v>19992</v>
      </c>
      <c r="M1745" s="25">
        <f t="shared" si="690"/>
        <v>2999</v>
      </c>
      <c r="N1745" s="25">
        <f t="shared" si="691"/>
        <v>2399</v>
      </c>
      <c r="O1745" s="25">
        <f t="shared" si="692"/>
        <v>3998</v>
      </c>
    </row>
    <row r="1746" ht="17.25" customHeight="1" spans="1:15">
      <c r="A1746" s="55">
        <v>1038048</v>
      </c>
      <c r="B1746" s="7" t="s">
        <v>366</v>
      </c>
      <c r="C1746" s="25">
        <f t="shared" si="688"/>
        <v>48</v>
      </c>
      <c r="D1746" s="25">
        <f t="array" ref="D1746">INDEX(C$5:C$67,MATCH($B1746,$B$5:$B$67,0))</f>
        <v>4200</v>
      </c>
      <c r="E1746" s="25">
        <f t="array" ref="E1746">INDEX(D$5:D$67,MATCH($B1746,$B$5:$B$67,0))</f>
        <v>336</v>
      </c>
      <c r="F1746" s="25">
        <f t="array" ref="F1746">INDEX(E$5:E$67,MATCH($B1746,$B$5:$B$67,0))</f>
        <v>630</v>
      </c>
      <c r="G1746" s="25">
        <f t="array" ref="G1746">INDEX(F$5:F$67,MATCH($B1746,$B$5:$B$67,0))</f>
        <v>50.4</v>
      </c>
      <c r="H1746" s="25">
        <f t="array" ref="H1746">INDEX(G$5:G$66,MATCH($B1746,$B$5:$B$67,0))</f>
        <v>504</v>
      </c>
      <c r="I1746" s="25">
        <f t="array" ref="I1746">INDEX(H$5:H$67,MATCH($B1746,$B$5:$B$67,0))</f>
        <v>40.32</v>
      </c>
      <c r="J1746" s="25">
        <f t="array" ref="J1746">INDEX(I$5:I$67,MATCH($B1746,$B$5:$B$67,0))</f>
        <v>840</v>
      </c>
      <c r="K1746" s="25">
        <f t="array" ref="K1746">INDEX(J$5:J$67,MATCH($B1746,$B$5:$B$67,0))</f>
        <v>67.2</v>
      </c>
      <c r="L1746" s="25">
        <f t="shared" si="689"/>
        <v>20328</v>
      </c>
      <c r="M1746" s="25">
        <f t="shared" si="690"/>
        <v>3049</v>
      </c>
      <c r="N1746" s="25">
        <f t="shared" si="691"/>
        <v>2439</v>
      </c>
      <c r="O1746" s="25">
        <f t="shared" si="692"/>
        <v>4066</v>
      </c>
    </row>
    <row r="1747" ht="17.25" customHeight="1" spans="1:15">
      <c r="A1747" s="55">
        <v>1038049</v>
      </c>
      <c r="B1747" s="7" t="s">
        <v>366</v>
      </c>
      <c r="C1747" s="25">
        <f t="shared" si="688"/>
        <v>49</v>
      </c>
      <c r="D1747" s="25">
        <f t="array" ref="D1747">INDEX(C$5:C$67,MATCH($B1747,$B$5:$B$67,0))</f>
        <v>4200</v>
      </c>
      <c r="E1747" s="25">
        <f t="array" ref="E1747">INDEX(D$5:D$67,MATCH($B1747,$B$5:$B$67,0))</f>
        <v>336</v>
      </c>
      <c r="F1747" s="25">
        <f t="array" ref="F1747">INDEX(E$5:E$67,MATCH($B1747,$B$5:$B$67,0))</f>
        <v>630</v>
      </c>
      <c r="G1747" s="25">
        <f t="array" ref="G1747">INDEX(F$5:F$67,MATCH($B1747,$B$5:$B$67,0))</f>
        <v>50.4</v>
      </c>
      <c r="H1747" s="25">
        <f t="array" ref="H1747">INDEX(G$5:G$66,MATCH($B1747,$B$5:$B$67,0))</f>
        <v>504</v>
      </c>
      <c r="I1747" s="25">
        <f t="array" ref="I1747">INDEX(H$5:H$67,MATCH($B1747,$B$5:$B$67,0))</f>
        <v>40.32</v>
      </c>
      <c r="J1747" s="25">
        <f t="array" ref="J1747">INDEX(I$5:I$67,MATCH($B1747,$B$5:$B$67,0))</f>
        <v>840</v>
      </c>
      <c r="K1747" s="25">
        <f t="array" ref="K1747">INDEX(J$5:J$67,MATCH($B1747,$B$5:$B$67,0))</f>
        <v>67.2</v>
      </c>
      <c r="L1747" s="25">
        <f t="shared" si="689"/>
        <v>20664</v>
      </c>
      <c r="M1747" s="25">
        <f t="shared" si="690"/>
        <v>3100</v>
      </c>
      <c r="N1747" s="25">
        <f t="shared" si="691"/>
        <v>2480</v>
      </c>
      <c r="O1747" s="25">
        <f t="shared" si="692"/>
        <v>4133</v>
      </c>
    </row>
    <row r="1748" ht="17.25" customHeight="1" spans="1:15">
      <c r="A1748" s="55">
        <v>1038050</v>
      </c>
      <c r="B1748" s="7" t="s">
        <v>366</v>
      </c>
      <c r="C1748" s="25">
        <f t="shared" si="688"/>
        <v>50</v>
      </c>
      <c r="D1748" s="25">
        <f t="array" ref="D1748">INDEX(C$5:C$67,MATCH($B1748,$B$5:$B$67,0))</f>
        <v>4200</v>
      </c>
      <c r="E1748" s="25">
        <f t="array" ref="E1748">INDEX(D$5:D$67,MATCH($B1748,$B$5:$B$67,0))</f>
        <v>336</v>
      </c>
      <c r="F1748" s="25">
        <f t="array" ref="F1748">INDEX(E$5:E$67,MATCH($B1748,$B$5:$B$67,0))</f>
        <v>630</v>
      </c>
      <c r="G1748" s="25">
        <f t="array" ref="G1748">INDEX(F$5:F$67,MATCH($B1748,$B$5:$B$67,0))</f>
        <v>50.4</v>
      </c>
      <c r="H1748" s="25">
        <f t="array" ref="H1748">INDEX(G$5:G$66,MATCH($B1748,$B$5:$B$67,0))</f>
        <v>504</v>
      </c>
      <c r="I1748" s="25">
        <f t="array" ref="I1748">INDEX(H$5:H$67,MATCH($B1748,$B$5:$B$67,0))</f>
        <v>40.32</v>
      </c>
      <c r="J1748" s="25">
        <f t="array" ref="J1748">INDEX(I$5:I$67,MATCH($B1748,$B$5:$B$67,0))</f>
        <v>840</v>
      </c>
      <c r="K1748" s="25">
        <f t="array" ref="K1748">INDEX(J$5:J$67,MATCH($B1748,$B$5:$B$67,0))</f>
        <v>67.2</v>
      </c>
      <c r="L1748" s="25">
        <f t="shared" si="689"/>
        <v>21000</v>
      </c>
      <c r="M1748" s="25">
        <f t="shared" si="690"/>
        <v>3150</v>
      </c>
      <c r="N1748" s="25">
        <f t="shared" si="691"/>
        <v>2520</v>
      </c>
      <c r="O1748" s="25">
        <f t="shared" si="692"/>
        <v>4200</v>
      </c>
    </row>
    <row r="1749" ht="17.25" customHeight="1" spans="1:15">
      <c r="A1749" s="55">
        <v>1038051</v>
      </c>
      <c r="B1749" s="7" t="s">
        <v>366</v>
      </c>
      <c r="C1749" s="25">
        <f t="shared" si="688"/>
        <v>51</v>
      </c>
      <c r="D1749" s="25">
        <f t="array" ref="D1749">INDEX(C$5:C$67,MATCH($B1749,$B$5:$B$67,0))</f>
        <v>4200</v>
      </c>
      <c r="E1749" s="25">
        <f t="array" ref="E1749">INDEX(D$5:D$67,MATCH($B1749,$B$5:$B$67,0))</f>
        <v>336</v>
      </c>
      <c r="F1749" s="25">
        <f t="array" ref="F1749">INDEX(E$5:E$67,MATCH($B1749,$B$5:$B$67,0))</f>
        <v>630</v>
      </c>
      <c r="G1749" s="25">
        <f t="array" ref="G1749">INDEX(F$5:F$67,MATCH($B1749,$B$5:$B$67,0))</f>
        <v>50.4</v>
      </c>
      <c r="H1749" s="25">
        <f t="array" ref="H1749">INDEX(G$5:G$66,MATCH($B1749,$B$5:$B$67,0))</f>
        <v>504</v>
      </c>
      <c r="I1749" s="25">
        <f t="array" ref="I1749">INDEX(H$5:H$67,MATCH($B1749,$B$5:$B$67,0))</f>
        <v>40.32</v>
      </c>
      <c r="J1749" s="25">
        <f t="array" ref="J1749">INDEX(I$5:I$67,MATCH($B1749,$B$5:$B$67,0))</f>
        <v>840</v>
      </c>
      <c r="K1749" s="25">
        <f t="array" ref="K1749">INDEX(J$5:J$67,MATCH($B1749,$B$5:$B$67,0))</f>
        <v>67.2</v>
      </c>
      <c r="L1749" s="25">
        <f t="shared" si="689"/>
        <v>21336</v>
      </c>
      <c r="M1749" s="25">
        <f t="shared" si="690"/>
        <v>3200</v>
      </c>
      <c r="N1749" s="25">
        <f t="shared" si="691"/>
        <v>2560</v>
      </c>
      <c r="O1749" s="25">
        <f t="shared" si="692"/>
        <v>4267</v>
      </c>
    </row>
    <row r="1750" ht="17.25" customHeight="1" spans="1:15">
      <c r="A1750" s="55">
        <v>1038052</v>
      </c>
      <c r="B1750" s="7" t="s">
        <v>366</v>
      </c>
      <c r="C1750" s="25">
        <f t="shared" si="688"/>
        <v>52</v>
      </c>
      <c r="D1750" s="25">
        <f t="array" ref="D1750">INDEX(C$5:C$67,MATCH($B1750,$B$5:$B$67,0))</f>
        <v>4200</v>
      </c>
      <c r="E1750" s="25">
        <f t="array" ref="E1750">INDEX(D$5:D$67,MATCH($B1750,$B$5:$B$67,0))</f>
        <v>336</v>
      </c>
      <c r="F1750" s="25">
        <f t="array" ref="F1750">INDEX(E$5:E$67,MATCH($B1750,$B$5:$B$67,0))</f>
        <v>630</v>
      </c>
      <c r="G1750" s="25">
        <f t="array" ref="G1750">INDEX(F$5:F$67,MATCH($B1750,$B$5:$B$67,0))</f>
        <v>50.4</v>
      </c>
      <c r="H1750" s="25">
        <f t="array" ref="H1750">INDEX(G$5:G$66,MATCH($B1750,$B$5:$B$67,0))</f>
        <v>504</v>
      </c>
      <c r="I1750" s="25">
        <f t="array" ref="I1750">INDEX(H$5:H$67,MATCH($B1750,$B$5:$B$67,0))</f>
        <v>40.32</v>
      </c>
      <c r="J1750" s="25">
        <f t="array" ref="J1750">INDEX(I$5:I$67,MATCH($B1750,$B$5:$B$67,0))</f>
        <v>840</v>
      </c>
      <c r="K1750" s="25">
        <f t="array" ref="K1750">INDEX(J$5:J$67,MATCH($B1750,$B$5:$B$67,0))</f>
        <v>67.2</v>
      </c>
      <c r="L1750" s="25">
        <f t="shared" si="689"/>
        <v>21672</v>
      </c>
      <c r="M1750" s="25">
        <f t="shared" si="690"/>
        <v>3251</v>
      </c>
      <c r="N1750" s="25">
        <f t="shared" si="691"/>
        <v>2601</v>
      </c>
      <c r="O1750" s="25">
        <f t="shared" si="692"/>
        <v>4334</v>
      </c>
    </row>
    <row r="1751" ht="17.25" customHeight="1" spans="1:15">
      <c r="A1751" s="55">
        <v>1038053</v>
      </c>
      <c r="B1751" s="7" t="s">
        <v>366</v>
      </c>
      <c r="C1751" s="25">
        <f t="shared" si="688"/>
        <v>53</v>
      </c>
      <c r="D1751" s="25">
        <f t="array" ref="D1751">INDEX(C$5:C$67,MATCH($B1751,$B$5:$B$67,0))</f>
        <v>4200</v>
      </c>
      <c r="E1751" s="25">
        <f t="array" ref="E1751">INDEX(D$5:D$67,MATCH($B1751,$B$5:$B$67,0))</f>
        <v>336</v>
      </c>
      <c r="F1751" s="25">
        <f t="array" ref="F1751">INDEX(E$5:E$67,MATCH($B1751,$B$5:$B$67,0))</f>
        <v>630</v>
      </c>
      <c r="G1751" s="25">
        <f t="array" ref="G1751">INDEX(F$5:F$67,MATCH($B1751,$B$5:$B$67,0))</f>
        <v>50.4</v>
      </c>
      <c r="H1751" s="25">
        <f t="array" ref="H1751">INDEX(G$5:G$66,MATCH($B1751,$B$5:$B$67,0))</f>
        <v>504</v>
      </c>
      <c r="I1751" s="25">
        <f t="array" ref="I1751">INDEX(H$5:H$67,MATCH($B1751,$B$5:$B$67,0))</f>
        <v>40.32</v>
      </c>
      <c r="J1751" s="25">
        <f t="array" ref="J1751">INDEX(I$5:I$67,MATCH($B1751,$B$5:$B$67,0))</f>
        <v>840</v>
      </c>
      <c r="K1751" s="25">
        <f t="array" ref="K1751">INDEX(J$5:J$67,MATCH($B1751,$B$5:$B$67,0))</f>
        <v>67.2</v>
      </c>
      <c r="L1751" s="25">
        <f t="shared" si="689"/>
        <v>22008</v>
      </c>
      <c r="M1751" s="25">
        <f t="shared" si="690"/>
        <v>3301</v>
      </c>
      <c r="N1751" s="25">
        <f t="shared" si="691"/>
        <v>2641</v>
      </c>
      <c r="O1751" s="25">
        <f t="shared" si="692"/>
        <v>4402</v>
      </c>
    </row>
    <row r="1752" ht="17.25" customHeight="1" spans="1:15">
      <c r="A1752" s="55">
        <v>1038054</v>
      </c>
      <c r="B1752" s="7" t="s">
        <v>366</v>
      </c>
      <c r="C1752" s="25">
        <f t="shared" si="688"/>
        <v>54</v>
      </c>
      <c r="D1752" s="25">
        <f t="array" ref="D1752">INDEX(C$5:C$67,MATCH($B1752,$B$5:$B$67,0))</f>
        <v>4200</v>
      </c>
      <c r="E1752" s="25">
        <f t="array" ref="E1752">INDEX(D$5:D$67,MATCH($B1752,$B$5:$B$67,0))</f>
        <v>336</v>
      </c>
      <c r="F1752" s="25">
        <f t="array" ref="F1752">INDEX(E$5:E$67,MATCH($B1752,$B$5:$B$67,0))</f>
        <v>630</v>
      </c>
      <c r="G1752" s="25">
        <f t="array" ref="G1752">INDEX(F$5:F$67,MATCH($B1752,$B$5:$B$67,0))</f>
        <v>50.4</v>
      </c>
      <c r="H1752" s="25">
        <f t="array" ref="H1752">INDEX(G$5:G$66,MATCH($B1752,$B$5:$B$67,0))</f>
        <v>504</v>
      </c>
      <c r="I1752" s="25">
        <f t="array" ref="I1752">INDEX(H$5:H$67,MATCH($B1752,$B$5:$B$67,0))</f>
        <v>40.32</v>
      </c>
      <c r="J1752" s="25">
        <f t="array" ref="J1752">INDEX(I$5:I$67,MATCH($B1752,$B$5:$B$67,0))</f>
        <v>840</v>
      </c>
      <c r="K1752" s="25">
        <f t="array" ref="K1752">INDEX(J$5:J$67,MATCH($B1752,$B$5:$B$67,0))</f>
        <v>67.2</v>
      </c>
      <c r="L1752" s="25">
        <f t="shared" si="689"/>
        <v>22344</v>
      </c>
      <c r="M1752" s="25">
        <f t="shared" si="690"/>
        <v>3352</v>
      </c>
      <c r="N1752" s="25">
        <f t="shared" si="691"/>
        <v>2681</v>
      </c>
      <c r="O1752" s="25">
        <f t="shared" si="692"/>
        <v>4469</v>
      </c>
    </row>
    <row r="1753" ht="17.25" customHeight="1" spans="1:15">
      <c r="A1753" s="55">
        <v>1038055</v>
      </c>
      <c r="B1753" s="7" t="s">
        <v>366</v>
      </c>
      <c r="C1753" s="25">
        <f t="shared" si="688"/>
        <v>55</v>
      </c>
      <c r="D1753" s="25">
        <f t="array" ref="D1753">INDEX(C$5:C$67,MATCH($B1753,$B$5:$B$67,0))</f>
        <v>4200</v>
      </c>
      <c r="E1753" s="25">
        <f t="array" ref="E1753">INDEX(D$5:D$67,MATCH($B1753,$B$5:$B$67,0))</f>
        <v>336</v>
      </c>
      <c r="F1753" s="25">
        <f t="array" ref="F1753">INDEX(E$5:E$67,MATCH($B1753,$B$5:$B$67,0))</f>
        <v>630</v>
      </c>
      <c r="G1753" s="25">
        <f t="array" ref="G1753">INDEX(F$5:F$67,MATCH($B1753,$B$5:$B$67,0))</f>
        <v>50.4</v>
      </c>
      <c r="H1753" s="25">
        <f t="array" ref="H1753">INDEX(G$5:G$66,MATCH($B1753,$B$5:$B$67,0))</f>
        <v>504</v>
      </c>
      <c r="I1753" s="25">
        <f t="array" ref="I1753">INDEX(H$5:H$67,MATCH($B1753,$B$5:$B$67,0))</f>
        <v>40.32</v>
      </c>
      <c r="J1753" s="25">
        <f t="array" ref="J1753">INDEX(I$5:I$67,MATCH($B1753,$B$5:$B$67,0))</f>
        <v>840</v>
      </c>
      <c r="K1753" s="25">
        <f t="array" ref="K1753">INDEX(J$5:J$67,MATCH($B1753,$B$5:$B$67,0))</f>
        <v>67.2</v>
      </c>
      <c r="L1753" s="25">
        <f t="shared" si="689"/>
        <v>22680</v>
      </c>
      <c r="M1753" s="25">
        <f t="shared" si="690"/>
        <v>3402</v>
      </c>
      <c r="N1753" s="25">
        <f t="shared" si="691"/>
        <v>2722</v>
      </c>
      <c r="O1753" s="25">
        <f t="shared" si="692"/>
        <v>4536</v>
      </c>
    </row>
    <row r="1754" ht="17.25" customHeight="1" spans="1:15">
      <c r="A1754" s="55">
        <v>1038056</v>
      </c>
      <c r="B1754" s="7" t="s">
        <v>366</v>
      </c>
      <c r="C1754" s="25">
        <f t="shared" si="688"/>
        <v>56</v>
      </c>
      <c r="D1754" s="25">
        <f t="array" ref="D1754">INDEX(C$5:C$67,MATCH($B1754,$B$5:$B$67,0))</f>
        <v>4200</v>
      </c>
      <c r="E1754" s="25">
        <f t="array" ref="E1754">INDEX(D$5:D$67,MATCH($B1754,$B$5:$B$67,0))</f>
        <v>336</v>
      </c>
      <c r="F1754" s="25">
        <f t="array" ref="F1754">INDEX(E$5:E$67,MATCH($B1754,$B$5:$B$67,0))</f>
        <v>630</v>
      </c>
      <c r="G1754" s="25">
        <f t="array" ref="G1754">INDEX(F$5:F$67,MATCH($B1754,$B$5:$B$67,0))</f>
        <v>50.4</v>
      </c>
      <c r="H1754" s="25">
        <f t="array" ref="H1754">INDEX(G$5:G$66,MATCH($B1754,$B$5:$B$67,0))</f>
        <v>504</v>
      </c>
      <c r="I1754" s="25">
        <f t="array" ref="I1754">INDEX(H$5:H$67,MATCH($B1754,$B$5:$B$67,0))</f>
        <v>40.32</v>
      </c>
      <c r="J1754" s="25">
        <f t="array" ref="J1754">INDEX(I$5:I$67,MATCH($B1754,$B$5:$B$67,0))</f>
        <v>840</v>
      </c>
      <c r="K1754" s="25">
        <f t="array" ref="K1754">INDEX(J$5:J$67,MATCH($B1754,$B$5:$B$67,0))</f>
        <v>67.2</v>
      </c>
      <c r="L1754" s="25">
        <f t="shared" si="689"/>
        <v>23016</v>
      </c>
      <c r="M1754" s="25">
        <f t="shared" si="690"/>
        <v>3452</v>
      </c>
      <c r="N1754" s="25">
        <f t="shared" si="691"/>
        <v>2762</v>
      </c>
      <c r="O1754" s="25">
        <f t="shared" si="692"/>
        <v>4603</v>
      </c>
    </row>
    <row r="1755" ht="17.25" customHeight="1" spans="1:15">
      <c r="A1755" s="55">
        <v>1038057</v>
      </c>
      <c r="B1755" s="7" t="s">
        <v>366</v>
      </c>
      <c r="C1755" s="25">
        <f t="shared" si="688"/>
        <v>57</v>
      </c>
      <c r="D1755" s="25">
        <f t="array" ref="D1755">INDEX(C$5:C$67,MATCH($B1755,$B$5:$B$67,0))</f>
        <v>4200</v>
      </c>
      <c r="E1755" s="25">
        <f t="array" ref="E1755">INDEX(D$5:D$67,MATCH($B1755,$B$5:$B$67,0))</f>
        <v>336</v>
      </c>
      <c r="F1755" s="25">
        <f t="array" ref="F1755">INDEX(E$5:E$67,MATCH($B1755,$B$5:$B$67,0))</f>
        <v>630</v>
      </c>
      <c r="G1755" s="25">
        <f t="array" ref="G1755">INDEX(F$5:F$67,MATCH($B1755,$B$5:$B$67,0))</f>
        <v>50.4</v>
      </c>
      <c r="H1755" s="25">
        <f t="array" ref="H1755">INDEX(G$5:G$66,MATCH($B1755,$B$5:$B$67,0))</f>
        <v>504</v>
      </c>
      <c r="I1755" s="25">
        <f t="array" ref="I1755">INDEX(H$5:H$67,MATCH($B1755,$B$5:$B$67,0))</f>
        <v>40.32</v>
      </c>
      <c r="J1755" s="25">
        <f t="array" ref="J1755">INDEX(I$5:I$67,MATCH($B1755,$B$5:$B$67,0))</f>
        <v>840</v>
      </c>
      <c r="K1755" s="25">
        <f t="array" ref="K1755">INDEX(J$5:J$67,MATCH($B1755,$B$5:$B$67,0))</f>
        <v>67.2</v>
      </c>
      <c r="L1755" s="25">
        <f t="shared" si="689"/>
        <v>23352</v>
      </c>
      <c r="M1755" s="25">
        <f t="shared" si="690"/>
        <v>3503</v>
      </c>
      <c r="N1755" s="25">
        <f t="shared" si="691"/>
        <v>2802</v>
      </c>
      <c r="O1755" s="25">
        <f t="shared" si="692"/>
        <v>4670</v>
      </c>
    </row>
    <row r="1756" ht="17.25" customHeight="1" spans="1:15">
      <c r="A1756" s="55">
        <v>1038058</v>
      </c>
      <c r="B1756" s="7" t="s">
        <v>366</v>
      </c>
      <c r="C1756" s="25">
        <f t="shared" si="688"/>
        <v>58</v>
      </c>
      <c r="D1756" s="25">
        <f t="array" ref="D1756">INDEX(C$5:C$67,MATCH($B1756,$B$5:$B$67,0))</f>
        <v>4200</v>
      </c>
      <c r="E1756" s="25">
        <f t="array" ref="E1756">INDEX(D$5:D$67,MATCH($B1756,$B$5:$B$67,0))</f>
        <v>336</v>
      </c>
      <c r="F1756" s="25">
        <f t="array" ref="F1756">INDEX(E$5:E$67,MATCH($B1756,$B$5:$B$67,0))</f>
        <v>630</v>
      </c>
      <c r="G1756" s="25">
        <f t="array" ref="G1756">INDEX(F$5:F$67,MATCH($B1756,$B$5:$B$67,0))</f>
        <v>50.4</v>
      </c>
      <c r="H1756" s="25">
        <f t="array" ref="H1756">INDEX(G$5:G$66,MATCH($B1756,$B$5:$B$67,0))</f>
        <v>504</v>
      </c>
      <c r="I1756" s="25">
        <f t="array" ref="I1756">INDEX(H$5:H$67,MATCH($B1756,$B$5:$B$67,0))</f>
        <v>40.32</v>
      </c>
      <c r="J1756" s="25">
        <f t="array" ref="J1756">INDEX(I$5:I$67,MATCH($B1756,$B$5:$B$67,0))</f>
        <v>840</v>
      </c>
      <c r="K1756" s="25">
        <f t="array" ref="K1756">INDEX(J$5:J$67,MATCH($B1756,$B$5:$B$67,0))</f>
        <v>67.2</v>
      </c>
      <c r="L1756" s="25">
        <f t="shared" si="689"/>
        <v>23688</v>
      </c>
      <c r="M1756" s="25">
        <f t="shared" si="690"/>
        <v>3553</v>
      </c>
      <c r="N1756" s="25">
        <f t="shared" si="691"/>
        <v>2843</v>
      </c>
      <c r="O1756" s="25">
        <f t="shared" si="692"/>
        <v>4738</v>
      </c>
    </row>
    <row r="1757" ht="17.25" customHeight="1" spans="1:15">
      <c r="A1757" s="55">
        <v>1038059</v>
      </c>
      <c r="B1757" s="7" t="s">
        <v>366</v>
      </c>
      <c r="C1757" s="25">
        <f t="shared" si="688"/>
        <v>59</v>
      </c>
      <c r="D1757" s="25">
        <f t="array" ref="D1757">INDEX(C$5:C$67,MATCH($B1757,$B$5:$B$67,0))</f>
        <v>4200</v>
      </c>
      <c r="E1757" s="25">
        <f t="array" ref="E1757">INDEX(D$5:D$67,MATCH($B1757,$B$5:$B$67,0))</f>
        <v>336</v>
      </c>
      <c r="F1757" s="25">
        <f t="array" ref="F1757">INDEX(E$5:E$67,MATCH($B1757,$B$5:$B$67,0))</f>
        <v>630</v>
      </c>
      <c r="G1757" s="25">
        <f t="array" ref="G1757">INDEX(F$5:F$67,MATCH($B1757,$B$5:$B$67,0))</f>
        <v>50.4</v>
      </c>
      <c r="H1757" s="25">
        <f t="array" ref="H1757">INDEX(G$5:G$66,MATCH($B1757,$B$5:$B$67,0))</f>
        <v>504</v>
      </c>
      <c r="I1757" s="25">
        <f t="array" ref="I1757">INDEX(H$5:H$67,MATCH($B1757,$B$5:$B$67,0))</f>
        <v>40.32</v>
      </c>
      <c r="J1757" s="25">
        <f t="array" ref="J1757">INDEX(I$5:I$67,MATCH($B1757,$B$5:$B$67,0))</f>
        <v>840</v>
      </c>
      <c r="K1757" s="25">
        <f t="array" ref="K1757">INDEX(J$5:J$67,MATCH($B1757,$B$5:$B$67,0))</f>
        <v>67.2</v>
      </c>
      <c r="L1757" s="25">
        <f t="shared" si="689"/>
        <v>24024</v>
      </c>
      <c r="M1757" s="25">
        <f t="shared" si="690"/>
        <v>3604</v>
      </c>
      <c r="N1757" s="25">
        <f t="shared" si="691"/>
        <v>2883</v>
      </c>
      <c r="O1757" s="25">
        <f t="shared" si="692"/>
        <v>4805</v>
      </c>
    </row>
    <row r="1758" ht="17.25" customHeight="1" spans="1:15">
      <c r="A1758" s="55">
        <v>1038060</v>
      </c>
      <c r="B1758" s="7" t="s">
        <v>366</v>
      </c>
      <c r="C1758" s="25">
        <f t="shared" si="688"/>
        <v>60</v>
      </c>
      <c r="D1758" s="25">
        <f t="array" ref="D1758">INDEX(C$5:C$67,MATCH($B1758,$B$5:$B$67,0))</f>
        <v>4200</v>
      </c>
      <c r="E1758" s="25">
        <f t="array" ref="E1758">INDEX(D$5:D$67,MATCH($B1758,$B$5:$B$67,0))</f>
        <v>336</v>
      </c>
      <c r="F1758" s="25">
        <f t="array" ref="F1758">INDEX(E$5:E$67,MATCH($B1758,$B$5:$B$67,0))</f>
        <v>630</v>
      </c>
      <c r="G1758" s="25">
        <f t="array" ref="G1758">INDEX(F$5:F$67,MATCH($B1758,$B$5:$B$67,0))</f>
        <v>50.4</v>
      </c>
      <c r="H1758" s="25">
        <f t="array" ref="H1758">INDEX(G$5:G$66,MATCH($B1758,$B$5:$B$67,0))</f>
        <v>504</v>
      </c>
      <c r="I1758" s="25">
        <f t="array" ref="I1758">INDEX(H$5:H$67,MATCH($B1758,$B$5:$B$67,0))</f>
        <v>40.32</v>
      </c>
      <c r="J1758" s="25">
        <f t="array" ref="J1758">INDEX(I$5:I$67,MATCH($B1758,$B$5:$B$67,0))</f>
        <v>840</v>
      </c>
      <c r="K1758" s="25">
        <f t="array" ref="K1758">INDEX(J$5:J$67,MATCH($B1758,$B$5:$B$67,0))</f>
        <v>67.2</v>
      </c>
      <c r="L1758" s="25">
        <f t="shared" si="689"/>
        <v>24360</v>
      </c>
      <c r="M1758" s="25">
        <f t="shared" si="690"/>
        <v>3654</v>
      </c>
      <c r="N1758" s="25">
        <f t="shared" si="691"/>
        <v>2923</v>
      </c>
      <c r="O1758" s="25">
        <f t="shared" si="692"/>
        <v>4872</v>
      </c>
    </row>
    <row r="1759" ht="17.25" customHeight="1" spans="1:15">
      <c r="A1759" s="55">
        <v>1039001</v>
      </c>
      <c r="B1759" s="7" t="s">
        <v>367</v>
      </c>
      <c r="C1759" s="25">
        <f t="shared" si="688"/>
        <v>1</v>
      </c>
      <c r="D1759" s="25">
        <f t="array" ref="D1759">INDEX(C$5:C$67,MATCH($B1759,$B$5:$B$67,0))</f>
        <v>3150</v>
      </c>
      <c r="E1759" s="25">
        <f t="array" ref="E1759">INDEX(D$5:D$67,MATCH($B1759,$B$5:$B$67,0))</f>
        <v>252</v>
      </c>
      <c r="F1759" s="25">
        <f t="array" ref="F1759">INDEX(E$5:E$67,MATCH($B1759,$B$5:$B$67,0))</f>
        <v>1155</v>
      </c>
      <c r="G1759" s="25">
        <f t="array" ref="G1759">INDEX(F$5:F$67,MATCH($B1759,$B$5:$B$67,0))</f>
        <v>92.4</v>
      </c>
      <c r="H1759" s="25">
        <f t="array" ref="H1759">INDEX(G$5:G$66,MATCH($B1759,$B$5:$B$67,0))</f>
        <v>924</v>
      </c>
      <c r="I1759" s="25">
        <f t="array" ref="I1759">INDEX(H$5:H$67,MATCH($B1759,$B$5:$B$67,0))</f>
        <v>73.92</v>
      </c>
      <c r="J1759" s="25">
        <f t="array" ref="J1759">INDEX(I$5:I$67,MATCH($B1759,$B$5:$B$67,0))</f>
        <v>700</v>
      </c>
      <c r="K1759" s="25">
        <f t="array" ref="K1759">INDEX(J$5:J$67,MATCH($B1759,$B$5:$B$67,0))</f>
        <v>56</v>
      </c>
      <c r="L1759" s="25">
        <f t="shared" si="689"/>
        <v>3402</v>
      </c>
      <c r="M1759" s="25">
        <f t="shared" si="690"/>
        <v>1247</v>
      </c>
      <c r="N1759" s="25">
        <f t="shared" si="691"/>
        <v>998</v>
      </c>
      <c r="O1759" s="25">
        <f t="shared" si="692"/>
        <v>756</v>
      </c>
    </row>
    <row r="1760" ht="17.25" customHeight="1" spans="1:15">
      <c r="A1760" s="55">
        <v>1039002</v>
      </c>
      <c r="B1760" s="7" t="s">
        <v>367</v>
      </c>
      <c r="C1760" s="25">
        <f t="shared" si="688"/>
        <v>2</v>
      </c>
      <c r="D1760" s="25">
        <f t="array" ref="D1760">INDEX(C$5:C$67,MATCH($B1760,$B$5:$B$67,0))</f>
        <v>3150</v>
      </c>
      <c r="E1760" s="25">
        <f t="array" ref="E1760">INDEX(D$5:D$67,MATCH($B1760,$B$5:$B$67,0))</f>
        <v>252</v>
      </c>
      <c r="F1760" s="25">
        <f t="array" ref="F1760">INDEX(E$5:E$67,MATCH($B1760,$B$5:$B$67,0))</f>
        <v>1155</v>
      </c>
      <c r="G1760" s="25">
        <f t="array" ref="G1760">INDEX(F$5:F$67,MATCH($B1760,$B$5:$B$67,0))</f>
        <v>92.4</v>
      </c>
      <c r="H1760" s="25">
        <f t="array" ref="H1760">INDEX(G$5:G$66,MATCH($B1760,$B$5:$B$67,0))</f>
        <v>924</v>
      </c>
      <c r="I1760" s="25">
        <f t="array" ref="I1760">INDEX(H$5:H$67,MATCH($B1760,$B$5:$B$67,0))</f>
        <v>73.92</v>
      </c>
      <c r="J1760" s="25">
        <f t="array" ref="J1760">INDEX(I$5:I$67,MATCH($B1760,$B$5:$B$67,0))</f>
        <v>700</v>
      </c>
      <c r="K1760" s="25">
        <f t="array" ref="K1760">INDEX(J$5:J$67,MATCH($B1760,$B$5:$B$67,0))</f>
        <v>56</v>
      </c>
      <c r="L1760" s="25">
        <f t="shared" si="689"/>
        <v>3654</v>
      </c>
      <c r="M1760" s="25">
        <f t="shared" si="690"/>
        <v>1340</v>
      </c>
      <c r="N1760" s="25">
        <f t="shared" si="691"/>
        <v>1072</v>
      </c>
      <c r="O1760" s="25">
        <f t="shared" si="692"/>
        <v>812</v>
      </c>
    </row>
    <row r="1761" ht="17.25" customHeight="1" spans="1:15">
      <c r="A1761" s="55">
        <v>1039003</v>
      </c>
      <c r="B1761" s="7" t="s">
        <v>367</v>
      </c>
      <c r="C1761" s="25">
        <f t="shared" si="688"/>
        <v>3</v>
      </c>
      <c r="D1761" s="25">
        <f t="array" ref="D1761">INDEX(C$5:C$67,MATCH($B1761,$B$5:$B$67,0))</f>
        <v>3150</v>
      </c>
      <c r="E1761" s="25">
        <f t="array" ref="E1761">INDEX(D$5:D$67,MATCH($B1761,$B$5:$B$67,0))</f>
        <v>252</v>
      </c>
      <c r="F1761" s="25">
        <f t="array" ref="F1761">INDEX(E$5:E$67,MATCH($B1761,$B$5:$B$67,0))</f>
        <v>1155</v>
      </c>
      <c r="G1761" s="25">
        <f t="array" ref="G1761">INDEX(F$5:F$67,MATCH($B1761,$B$5:$B$67,0))</f>
        <v>92.4</v>
      </c>
      <c r="H1761" s="25">
        <f t="array" ref="H1761">INDEX(G$5:G$66,MATCH($B1761,$B$5:$B$67,0))</f>
        <v>924</v>
      </c>
      <c r="I1761" s="25">
        <f t="array" ref="I1761">INDEX(H$5:H$67,MATCH($B1761,$B$5:$B$67,0))</f>
        <v>73.92</v>
      </c>
      <c r="J1761" s="25">
        <f t="array" ref="J1761">INDEX(I$5:I$67,MATCH($B1761,$B$5:$B$67,0))</f>
        <v>700</v>
      </c>
      <c r="K1761" s="25">
        <f t="array" ref="K1761">INDEX(J$5:J$67,MATCH($B1761,$B$5:$B$67,0))</f>
        <v>56</v>
      </c>
      <c r="L1761" s="25">
        <f t="shared" si="689"/>
        <v>3906</v>
      </c>
      <c r="M1761" s="25">
        <f t="shared" si="690"/>
        <v>1432</v>
      </c>
      <c r="N1761" s="25">
        <f t="shared" si="691"/>
        <v>1146</v>
      </c>
      <c r="O1761" s="25">
        <f t="shared" si="692"/>
        <v>868</v>
      </c>
    </row>
    <row r="1762" ht="17.25" customHeight="1" spans="1:15">
      <c r="A1762" s="55">
        <v>1039004</v>
      </c>
      <c r="B1762" s="7" t="s">
        <v>367</v>
      </c>
      <c r="C1762" s="25">
        <f t="shared" si="688"/>
        <v>4</v>
      </c>
      <c r="D1762" s="25">
        <f t="array" ref="D1762">INDEX(C$5:C$67,MATCH($B1762,$B$5:$B$67,0))</f>
        <v>3150</v>
      </c>
      <c r="E1762" s="25">
        <f t="array" ref="E1762">INDEX(D$5:D$67,MATCH($B1762,$B$5:$B$67,0))</f>
        <v>252</v>
      </c>
      <c r="F1762" s="25">
        <f t="array" ref="F1762">INDEX(E$5:E$67,MATCH($B1762,$B$5:$B$67,0))</f>
        <v>1155</v>
      </c>
      <c r="G1762" s="25">
        <f t="array" ref="G1762">INDEX(F$5:F$67,MATCH($B1762,$B$5:$B$67,0))</f>
        <v>92.4</v>
      </c>
      <c r="H1762" s="25">
        <f t="array" ref="H1762">INDEX(G$5:G$66,MATCH($B1762,$B$5:$B$67,0))</f>
        <v>924</v>
      </c>
      <c r="I1762" s="25">
        <f t="array" ref="I1762">INDEX(H$5:H$67,MATCH($B1762,$B$5:$B$67,0))</f>
        <v>73.92</v>
      </c>
      <c r="J1762" s="25">
        <f t="array" ref="J1762">INDEX(I$5:I$67,MATCH($B1762,$B$5:$B$67,0))</f>
        <v>700</v>
      </c>
      <c r="K1762" s="25">
        <f t="array" ref="K1762">INDEX(J$5:J$67,MATCH($B1762,$B$5:$B$67,0))</f>
        <v>56</v>
      </c>
      <c r="L1762" s="25">
        <f t="shared" si="689"/>
        <v>4158</v>
      </c>
      <c r="M1762" s="25">
        <f t="shared" si="690"/>
        <v>1525</v>
      </c>
      <c r="N1762" s="25">
        <f t="shared" si="691"/>
        <v>1220</v>
      </c>
      <c r="O1762" s="25">
        <f t="shared" si="692"/>
        <v>924</v>
      </c>
    </row>
    <row r="1763" ht="17.25" customHeight="1" spans="1:15">
      <c r="A1763" s="55">
        <v>1039005</v>
      </c>
      <c r="B1763" s="7" t="s">
        <v>367</v>
      </c>
      <c r="C1763" s="25">
        <f t="shared" si="688"/>
        <v>5</v>
      </c>
      <c r="D1763" s="25">
        <f t="array" ref="D1763">INDEX(C$5:C$67,MATCH($B1763,$B$5:$B$67,0))</f>
        <v>3150</v>
      </c>
      <c r="E1763" s="25">
        <f t="array" ref="E1763">INDEX(D$5:D$67,MATCH($B1763,$B$5:$B$67,0))</f>
        <v>252</v>
      </c>
      <c r="F1763" s="25">
        <f t="array" ref="F1763">INDEX(E$5:E$67,MATCH($B1763,$B$5:$B$67,0))</f>
        <v>1155</v>
      </c>
      <c r="G1763" s="25">
        <f t="array" ref="G1763">INDEX(F$5:F$67,MATCH($B1763,$B$5:$B$67,0))</f>
        <v>92.4</v>
      </c>
      <c r="H1763" s="25">
        <f t="array" ref="H1763">INDEX(G$5:G$66,MATCH($B1763,$B$5:$B$67,0))</f>
        <v>924</v>
      </c>
      <c r="I1763" s="25">
        <f t="array" ref="I1763">INDEX(H$5:H$67,MATCH($B1763,$B$5:$B$67,0))</f>
        <v>73.92</v>
      </c>
      <c r="J1763" s="25">
        <f t="array" ref="J1763">INDEX(I$5:I$67,MATCH($B1763,$B$5:$B$67,0))</f>
        <v>700</v>
      </c>
      <c r="K1763" s="25">
        <f t="array" ref="K1763">INDEX(J$5:J$67,MATCH($B1763,$B$5:$B$67,0))</f>
        <v>56</v>
      </c>
      <c r="L1763" s="25">
        <f t="shared" si="689"/>
        <v>4410</v>
      </c>
      <c r="M1763" s="25">
        <f t="shared" si="690"/>
        <v>1617</v>
      </c>
      <c r="N1763" s="25">
        <f t="shared" si="691"/>
        <v>1294</v>
      </c>
      <c r="O1763" s="25">
        <f t="shared" si="692"/>
        <v>980</v>
      </c>
    </row>
    <row r="1764" ht="17.25" customHeight="1" spans="1:15">
      <c r="A1764" s="55">
        <v>1039006</v>
      </c>
      <c r="B1764" s="7" t="s">
        <v>367</v>
      </c>
      <c r="C1764" s="25">
        <f t="shared" si="688"/>
        <v>6</v>
      </c>
      <c r="D1764" s="25">
        <f t="array" ref="D1764">INDEX(C$5:C$67,MATCH($B1764,$B$5:$B$67,0))</f>
        <v>3150</v>
      </c>
      <c r="E1764" s="25">
        <f t="array" ref="E1764">INDEX(D$5:D$67,MATCH($B1764,$B$5:$B$67,0))</f>
        <v>252</v>
      </c>
      <c r="F1764" s="25">
        <f t="array" ref="F1764">INDEX(E$5:E$67,MATCH($B1764,$B$5:$B$67,0))</f>
        <v>1155</v>
      </c>
      <c r="G1764" s="25">
        <f t="array" ref="G1764">INDEX(F$5:F$67,MATCH($B1764,$B$5:$B$67,0))</f>
        <v>92.4</v>
      </c>
      <c r="H1764" s="25">
        <f t="array" ref="H1764">INDEX(G$5:G$66,MATCH($B1764,$B$5:$B$67,0))</f>
        <v>924</v>
      </c>
      <c r="I1764" s="25">
        <f t="array" ref="I1764">INDEX(H$5:H$67,MATCH($B1764,$B$5:$B$67,0))</f>
        <v>73.92</v>
      </c>
      <c r="J1764" s="25">
        <f t="array" ref="J1764">INDEX(I$5:I$67,MATCH($B1764,$B$5:$B$67,0))</f>
        <v>700</v>
      </c>
      <c r="K1764" s="25">
        <f t="array" ref="K1764">INDEX(J$5:J$67,MATCH($B1764,$B$5:$B$67,0))</f>
        <v>56</v>
      </c>
      <c r="L1764" s="25">
        <f t="shared" si="689"/>
        <v>4662</v>
      </c>
      <c r="M1764" s="25">
        <f t="shared" si="690"/>
        <v>1709</v>
      </c>
      <c r="N1764" s="25">
        <f t="shared" si="691"/>
        <v>1368</v>
      </c>
      <c r="O1764" s="25">
        <f t="shared" si="692"/>
        <v>1036</v>
      </c>
    </row>
    <row r="1765" ht="17.25" customHeight="1" spans="1:15">
      <c r="A1765" s="55">
        <v>1039007</v>
      </c>
      <c r="B1765" s="7" t="s">
        <v>367</v>
      </c>
      <c r="C1765" s="25">
        <f t="shared" si="688"/>
        <v>7</v>
      </c>
      <c r="D1765" s="25">
        <f t="array" ref="D1765">INDEX(C$5:C$67,MATCH($B1765,$B$5:$B$67,0))</f>
        <v>3150</v>
      </c>
      <c r="E1765" s="25">
        <f t="array" ref="E1765">INDEX(D$5:D$67,MATCH($B1765,$B$5:$B$67,0))</f>
        <v>252</v>
      </c>
      <c r="F1765" s="25">
        <f t="array" ref="F1765">INDEX(E$5:E$67,MATCH($B1765,$B$5:$B$67,0))</f>
        <v>1155</v>
      </c>
      <c r="G1765" s="25">
        <f t="array" ref="G1765">INDEX(F$5:F$67,MATCH($B1765,$B$5:$B$67,0))</f>
        <v>92.4</v>
      </c>
      <c r="H1765" s="25">
        <f t="array" ref="H1765">INDEX(G$5:G$66,MATCH($B1765,$B$5:$B$67,0))</f>
        <v>924</v>
      </c>
      <c r="I1765" s="25">
        <f t="array" ref="I1765">INDEX(H$5:H$67,MATCH($B1765,$B$5:$B$67,0))</f>
        <v>73.92</v>
      </c>
      <c r="J1765" s="25">
        <f t="array" ref="J1765">INDEX(I$5:I$67,MATCH($B1765,$B$5:$B$67,0))</f>
        <v>700</v>
      </c>
      <c r="K1765" s="25">
        <f t="array" ref="K1765">INDEX(J$5:J$67,MATCH($B1765,$B$5:$B$67,0))</f>
        <v>56</v>
      </c>
      <c r="L1765" s="25">
        <f t="shared" si="689"/>
        <v>4914</v>
      </c>
      <c r="M1765" s="25">
        <f t="shared" si="690"/>
        <v>1802</v>
      </c>
      <c r="N1765" s="25">
        <f t="shared" si="691"/>
        <v>1441</v>
      </c>
      <c r="O1765" s="25">
        <f t="shared" si="692"/>
        <v>1092</v>
      </c>
    </row>
    <row r="1766" ht="17.25" customHeight="1" spans="1:15">
      <c r="A1766" s="55">
        <v>1039008</v>
      </c>
      <c r="B1766" s="7" t="s">
        <v>367</v>
      </c>
      <c r="C1766" s="25">
        <f t="shared" si="688"/>
        <v>8</v>
      </c>
      <c r="D1766" s="25">
        <f t="array" ref="D1766">INDEX(C$5:C$67,MATCH($B1766,$B$5:$B$67,0))</f>
        <v>3150</v>
      </c>
      <c r="E1766" s="25">
        <f t="array" ref="E1766">INDEX(D$5:D$67,MATCH($B1766,$B$5:$B$67,0))</f>
        <v>252</v>
      </c>
      <c r="F1766" s="25">
        <f t="array" ref="F1766">INDEX(E$5:E$67,MATCH($B1766,$B$5:$B$67,0))</f>
        <v>1155</v>
      </c>
      <c r="G1766" s="25">
        <f t="array" ref="G1766">INDEX(F$5:F$67,MATCH($B1766,$B$5:$B$67,0))</f>
        <v>92.4</v>
      </c>
      <c r="H1766" s="25">
        <f t="array" ref="H1766">INDEX(G$5:G$66,MATCH($B1766,$B$5:$B$67,0))</f>
        <v>924</v>
      </c>
      <c r="I1766" s="25">
        <f t="array" ref="I1766">INDEX(H$5:H$67,MATCH($B1766,$B$5:$B$67,0))</f>
        <v>73.92</v>
      </c>
      <c r="J1766" s="25">
        <f t="array" ref="J1766">INDEX(I$5:I$67,MATCH($B1766,$B$5:$B$67,0))</f>
        <v>700</v>
      </c>
      <c r="K1766" s="25">
        <f t="array" ref="K1766">INDEX(J$5:J$67,MATCH($B1766,$B$5:$B$67,0))</f>
        <v>56</v>
      </c>
      <c r="L1766" s="25">
        <f t="shared" si="689"/>
        <v>5166</v>
      </c>
      <c r="M1766" s="25">
        <f t="shared" si="690"/>
        <v>1894</v>
      </c>
      <c r="N1766" s="25">
        <f t="shared" si="691"/>
        <v>1515</v>
      </c>
      <c r="O1766" s="25">
        <f t="shared" si="692"/>
        <v>1148</v>
      </c>
    </row>
    <row r="1767" ht="17.25" customHeight="1" spans="1:15">
      <c r="A1767" s="55">
        <v>1039009</v>
      </c>
      <c r="B1767" s="7" t="s">
        <v>367</v>
      </c>
      <c r="C1767" s="25">
        <f t="shared" si="688"/>
        <v>9</v>
      </c>
      <c r="D1767" s="25">
        <f t="array" ref="D1767">INDEX(C$5:C$67,MATCH($B1767,$B$5:$B$67,0))</f>
        <v>3150</v>
      </c>
      <c r="E1767" s="25">
        <f t="array" ref="E1767">INDEX(D$5:D$67,MATCH($B1767,$B$5:$B$67,0))</f>
        <v>252</v>
      </c>
      <c r="F1767" s="25">
        <f t="array" ref="F1767">INDEX(E$5:E$67,MATCH($B1767,$B$5:$B$67,0))</f>
        <v>1155</v>
      </c>
      <c r="G1767" s="25">
        <f t="array" ref="G1767">INDEX(F$5:F$67,MATCH($B1767,$B$5:$B$67,0))</f>
        <v>92.4</v>
      </c>
      <c r="H1767" s="25">
        <f t="array" ref="H1767">INDEX(G$5:G$66,MATCH($B1767,$B$5:$B$67,0))</f>
        <v>924</v>
      </c>
      <c r="I1767" s="25">
        <f t="array" ref="I1767">INDEX(H$5:H$67,MATCH($B1767,$B$5:$B$67,0))</f>
        <v>73.92</v>
      </c>
      <c r="J1767" s="25">
        <f t="array" ref="J1767">INDEX(I$5:I$67,MATCH($B1767,$B$5:$B$67,0))</f>
        <v>700</v>
      </c>
      <c r="K1767" s="25">
        <f t="array" ref="K1767">INDEX(J$5:J$67,MATCH($B1767,$B$5:$B$67,0))</f>
        <v>56</v>
      </c>
      <c r="L1767" s="25">
        <f t="shared" si="689"/>
        <v>5418</v>
      </c>
      <c r="M1767" s="25">
        <f t="shared" si="690"/>
        <v>1987</v>
      </c>
      <c r="N1767" s="25">
        <f t="shared" si="691"/>
        <v>1589</v>
      </c>
      <c r="O1767" s="25">
        <f t="shared" si="692"/>
        <v>1204</v>
      </c>
    </row>
    <row r="1768" ht="17.25" customHeight="1" spans="1:15">
      <c r="A1768" s="55">
        <v>1039010</v>
      </c>
      <c r="B1768" s="7" t="s">
        <v>367</v>
      </c>
      <c r="C1768" s="25">
        <f t="shared" si="688"/>
        <v>10</v>
      </c>
      <c r="D1768" s="25">
        <f t="array" ref="D1768">INDEX(C$5:C$67,MATCH($B1768,$B$5:$B$67,0))</f>
        <v>3150</v>
      </c>
      <c r="E1768" s="25">
        <f t="array" ref="E1768">INDEX(D$5:D$67,MATCH($B1768,$B$5:$B$67,0))</f>
        <v>252</v>
      </c>
      <c r="F1768" s="25">
        <f t="array" ref="F1768">INDEX(E$5:E$67,MATCH($B1768,$B$5:$B$67,0))</f>
        <v>1155</v>
      </c>
      <c r="G1768" s="25">
        <f t="array" ref="G1768">INDEX(F$5:F$67,MATCH($B1768,$B$5:$B$67,0))</f>
        <v>92.4</v>
      </c>
      <c r="H1768" s="25">
        <f t="array" ref="H1768">INDEX(G$5:G$66,MATCH($B1768,$B$5:$B$67,0))</f>
        <v>924</v>
      </c>
      <c r="I1768" s="25">
        <f t="array" ref="I1768">INDEX(H$5:H$67,MATCH($B1768,$B$5:$B$67,0))</f>
        <v>73.92</v>
      </c>
      <c r="J1768" s="25">
        <f t="array" ref="J1768">INDEX(I$5:I$67,MATCH($B1768,$B$5:$B$67,0))</f>
        <v>700</v>
      </c>
      <c r="K1768" s="25">
        <f t="array" ref="K1768">INDEX(J$5:J$67,MATCH($B1768,$B$5:$B$67,0))</f>
        <v>56</v>
      </c>
      <c r="L1768" s="25">
        <f t="shared" si="689"/>
        <v>5670</v>
      </c>
      <c r="M1768" s="25">
        <f t="shared" si="690"/>
        <v>2079</v>
      </c>
      <c r="N1768" s="25">
        <f t="shared" si="691"/>
        <v>1663</v>
      </c>
      <c r="O1768" s="25">
        <f t="shared" si="692"/>
        <v>1260</v>
      </c>
    </row>
    <row r="1769" ht="17.25" customHeight="1" spans="1:15">
      <c r="A1769" s="55">
        <v>1039011</v>
      </c>
      <c r="B1769" s="7" t="s">
        <v>367</v>
      </c>
      <c r="C1769" s="25">
        <f t="shared" si="688"/>
        <v>11</v>
      </c>
      <c r="D1769" s="25">
        <f t="array" ref="D1769">INDEX(C$5:C$67,MATCH($B1769,$B$5:$B$67,0))</f>
        <v>3150</v>
      </c>
      <c r="E1769" s="25">
        <f t="array" ref="E1769">INDEX(D$5:D$67,MATCH($B1769,$B$5:$B$67,0))</f>
        <v>252</v>
      </c>
      <c r="F1769" s="25">
        <f t="array" ref="F1769">INDEX(E$5:E$67,MATCH($B1769,$B$5:$B$67,0))</f>
        <v>1155</v>
      </c>
      <c r="G1769" s="25">
        <f t="array" ref="G1769">INDEX(F$5:F$67,MATCH($B1769,$B$5:$B$67,0))</f>
        <v>92.4</v>
      </c>
      <c r="H1769" s="25">
        <f t="array" ref="H1769">INDEX(G$5:G$66,MATCH($B1769,$B$5:$B$67,0))</f>
        <v>924</v>
      </c>
      <c r="I1769" s="25">
        <f t="array" ref="I1769">INDEX(H$5:H$67,MATCH($B1769,$B$5:$B$67,0))</f>
        <v>73.92</v>
      </c>
      <c r="J1769" s="25">
        <f t="array" ref="J1769">INDEX(I$5:I$67,MATCH($B1769,$B$5:$B$67,0))</f>
        <v>700</v>
      </c>
      <c r="K1769" s="25">
        <f t="array" ref="K1769">INDEX(J$5:J$67,MATCH($B1769,$B$5:$B$67,0))</f>
        <v>56</v>
      </c>
      <c r="L1769" s="25">
        <f t="shared" si="689"/>
        <v>5922</v>
      </c>
      <c r="M1769" s="25">
        <f t="shared" si="690"/>
        <v>2171</v>
      </c>
      <c r="N1769" s="25">
        <f t="shared" si="691"/>
        <v>1737</v>
      </c>
      <c r="O1769" s="25">
        <f t="shared" si="692"/>
        <v>1316</v>
      </c>
    </row>
    <row r="1770" ht="17.25" customHeight="1" spans="1:15">
      <c r="A1770" s="55">
        <v>1039012</v>
      </c>
      <c r="B1770" s="7" t="s">
        <v>367</v>
      </c>
      <c r="C1770" s="25">
        <f t="shared" si="688"/>
        <v>12</v>
      </c>
      <c r="D1770" s="25">
        <f t="array" ref="D1770">INDEX(C$5:C$67,MATCH($B1770,$B$5:$B$67,0))</f>
        <v>3150</v>
      </c>
      <c r="E1770" s="25">
        <f t="array" ref="E1770">INDEX(D$5:D$67,MATCH($B1770,$B$5:$B$67,0))</f>
        <v>252</v>
      </c>
      <c r="F1770" s="25">
        <f t="array" ref="F1770">INDEX(E$5:E$67,MATCH($B1770,$B$5:$B$67,0))</f>
        <v>1155</v>
      </c>
      <c r="G1770" s="25">
        <f t="array" ref="G1770">INDEX(F$5:F$67,MATCH($B1770,$B$5:$B$67,0))</f>
        <v>92.4</v>
      </c>
      <c r="H1770" s="25">
        <f t="array" ref="H1770">INDEX(G$5:G$66,MATCH($B1770,$B$5:$B$67,0))</f>
        <v>924</v>
      </c>
      <c r="I1770" s="25">
        <f t="array" ref="I1770">INDEX(H$5:H$67,MATCH($B1770,$B$5:$B$67,0))</f>
        <v>73.92</v>
      </c>
      <c r="J1770" s="25">
        <f t="array" ref="J1770">INDEX(I$5:I$67,MATCH($B1770,$B$5:$B$67,0))</f>
        <v>700</v>
      </c>
      <c r="K1770" s="25">
        <f t="array" ref="K1770">INDEX(J$5:J$67,MATCH($B1770,$B$5:$B$67,0))</f>
        <v>56</v>
      </c>
      <c r="L1770" s="25">
        <f t="shared" si="689"/>
        <v>6174</v>
      </c>
      <c r="M1770" s="25">
        <f t="shared" si="690"/>
        <v>2264</v>
      </c>
      <c r="N1770" s="25">
        <f t="shared" si="691"/>
        <v>1811</v>
      </c>
      <c r="O1770" s="25">
        <f t="shared" si="692"/>
        <v>1372</v>
      </c>
    </row>
    <row r="1771" ht="17.25" customHeight="1" spans="1:15">
      <c r="A1771" s="55">
        <v>1039013</v>
      </c>
      <c r="B1771" s="7" t="s">
        <v>367</v>
      </c>
      <c r="C1771" s="25">
        <f t="shared" si="688"/>
        <v>13</v>
      </c>
      <c r="D1771" s="25">
        <f t="array" ref="D1771">INDEX(C$5:C$67,MATCH($B1771,$B$5:$B$67,0))</f>
        <v>3150</v>
      </c>
      <c r="E1771" s="25">
        <f t="array" ref="E1771">INDEX(D$5:D$67,MATCH($B1771,$B$5:$B$67,0))</f>
        <v>252</v>
      </c>
      <c r="F1771" s="25">
        <f t="array" ref="F1771">INDEX(E$5:E$67,MATCH($B1771,$B$5:$B$67,0))</f>
        <v>1155</v>
      </c>
      <c r="G1771" s="25">
        <f t="array" ref="G1771">INDEX(F$5:F$67,MATCH($B1771,$B$5:$B$67,0))</f>
        <v>92.4</v>
      </c>
      <c r="H1771" s="25">
        <f t="array" ref="H1771">INDEX(G$5:G$66,MATCH($B1771,$B$5:$B$67,0))</f>
        <v>924</v>
      </c>
      <c r="I1771" s="25">
        <f t="array" ref="I1771">INDEX(H$5:H$67,MATCH($B1771,$B$5:$B$67,0))</f>
        <v>73.92</v>
      </c>
      <c r="J1771" s="25">
        <f t="array" ref="J1771">INDEX(I$5:I$67,MATCH($B1771,$B$5:$B$67,0))</f>
        <v>700</v>
      </c>
      <c r="K1771" s="25">
        <f t="array" ref="K1771">INDEX(J$5:J$67,MATCH($B1771,$B$5:$B$67,0))</f>
        <v>56</v>
      </c>
      <c r="L1771" s="25">
        <f t="shared" si="689"/>
        <v>6426</v>
      </c>
      <c r="M1771" s="25">
        <f t="shared" si="690"/>
        <v>2356</v>
      </c>
      <c r="N1771" s="25">
        <f t="shared" si="691"/>
        <v>1885</v>
      </c>
      <c r="O1771" s="25">
        <f t="shared" si="692"/>
        <v>1428</v>
      </c>
    </row>
    <row r="1772" ht="17.25" customHeight="1" spans="1:15">
      <c r="A1772" s="55">
        <v>1039014</v>
      </c>
      <c r="B1772" s="7" t="s">
        <v>367</v>
      </c>
      <c r="C1772" s="25">
        <f t="shared" si="688"/>
        <v>14</v>
      </c>
      <c r="D1772" s="25">
        <f t="array" ref="D1772">INDEX(C$5:C$67,MATCH($B1772,$B$5:$B$67,0))</f>
        <v>3150</v>
      </c>
      <c r="E1772" s="25">
        <f t="array" ref="E1772">INDEX(D$5:D$67,MATCH($B1772,$B$5:$B$67,0))</f>
        <v>252</v>
      </c>
      <c r="F1772" s="25">
        <f t="array" ref="F1772">INDEX(E$5:E$67,MATCH($B1772,$B$5:$B$67,0))</f>
        <v>1155</v>
      </c>
      <c r="G1772" s="25">
        <f t="array" ref="G1772">INDEX(F$5:F$67,MATCH($B1772,$B$5:$B$67,0))</f>
        <v>92.4</v>
      </c>
      <c r="H1772" s="25">
        <f t="array" ref="H1772">INDEX(G$5:G$66,MATCH($B1772,$B$5:$B$67,0))</f>
        <v>924</v>
      </c>
      <c r="I1772" s="25">
        <f t="array" ref="I1772">INDEX(H$5:H$67,MATCH($B1772,$B$5:$B$67,0))</f>
        <v>73.92</v>
      </c>
      <c r="J1772" s="25">
        <f t="array" ref="J1772">INDEX(I$5:I$67,MATCH($B1772,$B$5:$B$67,0))</f>
        <v>700</v>
      </c>
      <c r="K1772" s="25">
        <f t="array" ref="K1772">INDEX(J$5:J$67,MATCH($B1772,$B$5:$B$67,0))</f>
        <v>56</v>
      </c>
      <c r="L1772" s="25">
        <f t="shared" si="689"/>
        <v>6678</v>
      </c>
      <c r="M1772" s="25">
        <f t="shared" si="690"/>
        <v>2449</v>
      </c>
      <c r="N1772" s="25">
        <f t="shared" si="691"/>
        <v>1959</v>
      </c>
      <c r="O1772" s="25">
        <f t="shared" si="692"/>
        <v>1484</v>
      </c>
    </row>
    <row r="1773" ht="17.25" customHeight="1" spans="1:15">
      <c r="A1773" s="55">
        <v>1039015</v>
      </c>
      <c r="B1773" s="7" t="s">
        <v>367</v>
      </c>
      <c r="C1773" s="25">
        <f t="shared" si="688"/>
        <v>15</v>
      </c>
      <c r="D1773" s="25">
        <f t="array" ref="D1773">INDEX(C$5:C$67,MATCH($B1773,$B$5:$B$67,0))</f>
        <v>3150</v>
      </c>
      <c r="E1773" s="25">
        <f t="array" ref="E1773">INDEX(D$5:D$67,MATCH($B1773,$B$5:$B$67,0))</f>
        <v>252</v>
      </c>
      <c r="F1773" s="25">
        <f t="array" ref="F1773">INDEX(E$5:E$67,MATCH($B1773,$B$5:$B$67,0))</f>
        <v>1155</v>
      </c>
      <c r="G1773" s="25">
        <f t="array" ref="G1773">INDEX(F$5:F$67,MATCH($B1773,$B$5:$B$67,0))</f>
        <v>92.4</v>
      </c>
      <c r="H1773" s="25">
        <f t="array" ref="H1773">INDEX(G$5:G$66,MATCH($B1773,$B$5:$B$67,0))</f>
        <v>924</v>
      </c>
      <c r="I1773" s="25">
        <f t="array" ref="I1773">INDEX(H$5:H$67,MATCH($B1773,$B$5:$B$67,0))</f>
        <v>73.92</v>
      </c>
      <c r="J1773" s="25">
        <f t="array" ref="J1773">INDEX(I$5:I$67,MATCH($B1773,$B$5:$B$67,0))</f>
        <v>700</v>
      </c>
      <c r="K1773" s="25">
        <f t="array" ref="K1773">INDEX(J$5:J$67,MATCH($B1773,$B$5:$B$67,0))</f>
        <v>56</v>
      </c>
      <c r="L1773" s="25">
        <f t="shared" si="689"/>
        <v>6930</v>
      </c>
      <c r="M1773" s="25">
        <f t="shared" si="690"/>
        <v>2541</v>
      </c>
      <c r="N1773" s="25">
        <f t="shared" si="691"/>
        <v>2033</v>
      </c>
      <c r="O1773" s="25">
        <f t="shared" si="692"/>
        <v>1540</v>
      </c>
    </row>
    <row r="1774" ht="17.25" customHeight="1" spans="1:15">
      <c r="A1774" s="55">
        <v>1039016</v>
      </c>
      <c r="B1774" s="7" t="s">
        <v>367</v>
      </c>
      <c r="C1774" s="25">
        <f t="shared" si="688"/>
        <v>16</v>
      </c>
      <c r="D1774" s="25">
        <f t="array" ref="D1774">INDEX(C$5:C$67,MATCH($B1774,$B$5:$B$67,0))</f>
        <v>3150</v>
      </c>
      <c r="E1774" s="25">
        <f t="array" ref="E1774">INDEX(D$5:D$67,MATCH($B1774,$B$5:$B$67,0))</f>
        <v>252</v>
      </c>
      <c r="F1774" s="25">
        <f t="array" ref="F1774">INDEX(E$5:E$67,MATCH($B1774,$B$5:$B$67,0))</f>
        <v>1155</v>
      </c>
      <c r="G1774" s="25">
        <f t="array" ref="G1774">INDEX(F$5:F$67,MATCH($B1774,$B$5:$B$67,0))</f>
        <v>92.4</v>
      </c>
      <c r="H1774" s="25">
        <f t="array" ref="H1774">INDEX(G$5:G$66,MATCH($B1774,$B$5:$B$67,0))</f>
        <v>924</v>
      </c>
      <c r="I1774" s="25">
        <f t="array" ref="I1774">INDEX(H$5:H$67,MATCH($B1774,$B$5:$B$67,0))</f>
        <v>73.92</v>
      </c>
      <c r="J1774" s="25">
        <f t="array" ref="J1774">INDEX(I$5:I$67,MATCH($B1774,$B$5:$B$67,0))</f>
        <v>700</v>
      </c>
      <c r="K1774" s="25">
        <f t="array" ref="K1774">INDEX(J$5:J$67,MATCH($B1774,$B$5:$B$67,0))</f>
        <v>56</v>
      </c>
      <c r="L1774" s="25">
        <f t="shared" si="689"/>
        <v>7182</v>
      </c>
      <c r="M1774" s="25">
        <f t="shared" si="690"/>
        <v>2633</v>
      </c>
      <c r="N1774" s="25">
        <f t="shared" si="691"/>
        <v>2107</v>
      </c>
      <c r="O1774" s="25">
        <f t="shared" si="692"/>
        <v>1596</v>
      </c>
    </row>
    <row r="1775" ht="17.25" customHeight="1" spans="1:15">
      <c r="A1775" s="55">
        <v>1039017</v>
      </c>
      <c r="B1775" s="7" t="s">
        <v>367</v>
      </c>
      <c r="C1775" s="25">
        <f t="shared" si="688"/>
        <v>17</v>
      </c>
      <c r="D1775" s="25">
        <f t="array" ref="D1775">INDEX(C$5:C$67,MATCH($B1775,$B$5:$B$67,0))</f>
        <v>3150</v>
      </c>
      <c r="E1775" s="25">
        <f t="array" ref="E1775">INDEX(D$5:D$67,MATCH($B1775,$B$5:$B$67,0))</f>
        <v>252</v>
      </c>
      <c r="F1775" s="25">
        <f t="array" ref="F1775">INDEX(E$5:E$67,MATCH($B1775,$B$5:$B$67,0))</f>
        <v>1155</v>
      </c>
      <c r="G1775" s="25">
        <f t="array" ref="G1775">INDEX(F$5:F$67,MATCH($B1775,$B$5:$B$67,0))</f>
        <v>92.4</v>
      </c>
      <c r="H1775" s="25">
        <f t="array" ref="H1775">INDEX(G$5:G$66,MATCH($B1775,$B$5:$B$67,0))</f>
        <v>924</v>
      </c>
      <c r="I1775" s="25">
        <f t="array" ref="I1775">INDEX(H$5:H$67,MATCH($B1775,$B$5:$B$67,0))</f>
        <v>73.92</v>
      </c>
      <c r="J1775" s="25">
        <f t="array" ref="J1775">INDEX(I$5:I$67,MATCH($B1775,$B$5:$B$67,0))</f>
        <v>700</v>
      </c>
      <c r="K1775" s="25">
        <f t="array" ref="K1775">INDEX(J$5:J$67,MATCH($B1775,$B$5:$B$67,0))</f>
        <v>56</v>
      </c>
      <c r="L1775" s="25">
        <f t="shared" si="689"/>
        <v>7434</v>
      </c>
      <c r="M1775" s="25">
        <f t="shared" si="690"/>
        <v>2726</v>
      </c>
      <c r="N1775" s="25">
        <f t="shared" si="691"/>
        <v>2181</v>
      </c>
      <c r="O1775" s="25">
        <f t="shared" si="692"/>
        <v>1652</v>
      </c>
    </row>
    <row r="1776" ht="17.25" customHeight="1" spans="1:15">
      <c r="A1776" s="55">
        <v>1039018</v>
      </c>
      <c r="B1776" s="7" t="s">
        <v>367</v>
      </c>
      <c r="C1776" s="25">
        <f t="shared" si="688"/>
        <v>18</v>
      </c>
      <c r="D1776" s="25">
        <f t="array" ref="D1776">INDEX(C$5:C$67,MATCH($B1776,$B$5:$B$67,0))</f>
        <v>3150</v>
      </c>
      <c r="E1776" s="25">
        <f t="array" ref="E1776">INDEX(D$5:D$67,MATCH($B1776,$B$5:$B$67,0))</f>
        <v>252</v>
      </c>
      <c r="F1776" s="25">
        <f t="array" ref="F1776">INDEX(E$5:E$67,MATCH($B1776,$B$5:$B$67,0))</f>
        <v>1155</v>
      </c>
      <c r="G1776" s="25">
        <f t="array" ref="G1776">INDEX(F$5:F$67,MATCH($B1776,$B$5:$B$67,0))</f>
        <v>92.4</v>
      </c>
      <c r="H1776" s="25">
        <f t="array" ref="H1776">INDEX(G$5:G$66,MATCH($B1776,$B$5:$B$67,0))</f>
        <v>924</v>
      </c>
      <c r="I1776" s="25">
        <f t="array" ref="I1776">INDEX(H$5:H$67,MATCH($B1776,$B$5:$B$67,0))</f>
        <v>73.92</v>
      </c>
      <c r="J1776" s="25">
        <f t="array" ref="J1776">INDEX(I$5:I$67,MATCH($B1776,$B$5:$B$67,0))</f>
        <v>700</v>
      </c>
      <c r="K1776" s="25">
        <f t="array" ref="K1776">INDEX(J$5:J$67,MATCH($B1776,$B$5:$B$67,0))</f>
        <v>56</v>
      </c>
      <c r="L1776" s="25">
        <f t="shared" si="689"/>
        <v>7686</v>
      </c>
      <c r="M1776" s="25">
        <f t="shared" si="690"/>
        <v>2818</v>
      </c>
      <c r="N1776" s="25">
        <f t="shared" si="691"/>
        <v>2255</v>
      </c>
      <c r="O1776" s="25">
        <f t="shared" si="692"/>
        <v>1708</v>
      </c>
    </row>
    <row r="1777" ht="17.25" customHeight="1" spans="1:15">
      <c r="A1777" s="55">
        <v>1039019</v>
      </c>
      <c r="B1777" s="7" t="s">
        <v>367</v>
      </c>
      <c r="C1777" s="25">
        <f t="shared" si="688"/>
        <v>19</v>
      </c>
      <c r="D1777" s="25">
        <f t="array" ref="D1777">INDEX(C$5:C$67,MATCH($B1777,$B$5:$B$67,0))</f>
        <v>3150</v>
      </c>
      <c r="E1777" s="25">
        <f t="array" ref="E1777">INDEX(D$5:D$67,MATCH($B1777,$B$5:$B$67,0))</f>
        <v>252</v>
      </c>
      <c r="F1777" s="25">
        <f t="array" ref="F1777">INDEX(E$5:E$67,MATCH($B1777,$B$5:$B$67,0))</f>
        <v>1155</v>
      </c>
      <c r="G1777" s="25">
        <f t="array" ref="G1777">INDEX(F$5:F$67,MATCH($B1777,$B$5:$B$67,0))</f>
        <v>92.4</v>
      </c>
      <c r="H1777" s="25">
        <f t="array" ref="H1777">INDEX(G$5:G$66,MATCH($B1777,$B$5:$B$67,0))</f>
        <v>924</v>
      </c>
      <c r="I1777" s="25">
        <f t="array" ref="I1777">INDEX(H$5:H$67,MATCH($B1777,$B$5:$B$67,0))</f>
        <v>73.92</v>
      </c>
      <c r="J1777" s="25">
        <f t="array" ref="J1777">INDEX(I$5:I$67,MATCH($B1777,$B$5:$B$67,0))</f>
        <v>700</v>
      </c>
      <c r="K1777" s="25">
        <f t="array" ref="K1777">INDEX(J$5:J$67,MATCH($B1777,$B$5:$B$67,0))</f>
        <v>56</v>
      </c>
      <c r="L1777" s="25">
        <f t="shared" si="689"/>
        <v>7938</v>
      </c>
      <c r="M1777" s="25">
        <f t="shared" si="690"/>
        <v>2911</v>
      </c>
      <c r="N1777" s="25">
        <f t="shared" si="691"/>
        <v>2328</v>
      </c>
      <c r="O1777" s="25">
        <f t="shared" si="692"/>
        <v>1764</v>
      </c>
    </row>
    <row r="1778" ht="17.25" customHeight="1" spans="1:15">
      <c r="A1778" s="55">
        <v>1039020</v>
      </c>
      <c r="B1778" s="7" t="s">
        <v>367</v>
      </c>
      <c r="C1778" s="25">
        <f t="shared" si="688"/>
        <v>20</v>
      </c>
      <c r="D1778" s="25">
        <f t="array" ref="D1778">INDEX(C$5:C$67,MATCH($B1778,$B$5:$B$67,0))</f>
        <v>3150</v>
      </c>
      <c r="E1778" s="25">
        <f t="array" ref="E1778">INDEX(D$5:D$67,MATCH($B1778,$B$5:$B$67,0))</f>
        <v>252</v>
      </c>
      <c r="F1778" s="25">
        <f t="array" ref="F1778">INDEX(E$5:E$67,MATCH($B1778,$B$5:$B$67,0))</f>
        <v>1155</v>
      </c>
      <c r="G1778" s="25">
        <f t="array" ref="G1778">INDEX(F$5:F$67,MATCH($B1778,$B$5:$B$67,0))</f>
        <v>92.4</v>
      </c>
      <c r="H1778" s="25">
        <f t="array" ref="H1778">INDEX(G$5:G$66,MATCH($B1778,$B$5:$B$67,0))</f>
        <v>924</v>
      </c>
      <c r="I1778" s="25">
        <f t="array" ref="I1778">INDEX(H$5:H$67,MATCH($B1778,$B$5:$B$67,0))</f>
        <v>73.92</v>
      </c>
      <c r="J1778" s="25">
        <f t="array" ref="J1778">INDEX(I$5:I$67,MATCH($B1778,$B$5:$B$67,0))</f>
        <v>700</v>
      </c>
      <c r="K1778" s="25">
        <f t="array" ref="K1778">INDEX(J$5:J$67,MATCH($B1778,$B$5:$B$67,0))</f>
        <v>56</v>
      </c>
      <c r="L1778" s="25">
        <f t="shared" si="689"/>
        <v>8190</v>
      </c>
      <c r="M1778" s="25">
        <f t="shared" si="690"/>
        <v>3003</v>
      </c>
      <c r="N1778" s="25">
        <f t="shared" si="691"/>
        <v>2402</v>
      </c>
      <c r="O1778" s="25">
        <f t="shared" si="692"/>
        <v>1820</v>
      </c>
    </row>
    <row r="1779" ht="17.25" customHeight="1" spans="1:15">
      <c r="A1779" s="55">
        <v>1039021</v>
      </c>
      <c r="B1779" s="7" t="s">
        <v>367</v>
      </c>
      <c r="C1779" s="25">
        <f t="shared" si="688"/>
        <v>21</v>
      </c>
      <c r="D1779" s="25">
        <f t="array" ref="D1779">INDEX(C$5:C$67,MATCH($B1779,$B$5:$B$67,0))</f>
        <v>3150</v>
      </c>
      <c r="E1779" s="25">
        <f t="array" ref="E1779">INDEX(D$5:D$67,MATCH($B1779,$B$5:$B$67,0))</f>
        <v>252</v>
      </c>
      <c r="F1779" s="25">
        <f t="array" ref="F1779">INDEX(E$5:E$67,MATCH($B1779,$B$5:$B$67,0))</f>
        <v>1155</v>
      </c>
      <c r="G1779" s="25">
        <f t="array" ref="G1779">INDEX(F$5:F$67,MATCH($B1779,$B$5:$B$67,0))</f>
        <v>92.4</v>
      </c>
      <c r="H1779" s="25">
        <f t="array" ref="H1779">INDEX(G$5:G$66,MATCH($B1779,$B$5:$B$67,0))</f>
        <v>924</v>
      </c>
      <c r="I1779" s="25">
        <f t="array" ref="I1779">INDEX(H$5:H$67,MATCH($B1779,$B$5:$B$67,0))</f>
        <v>73.92</v>
      </c>
      <c r="J1779" s="25">
        <f t="array" ref="J1779">INDEX(I$5:I$67,MATCH($B1779,$B$5:$B$67,0))</f>
        <v>700</v>
      </c>
      <c r="K1779" s="25">
        <f t="array" ref="K1779">INDEX(J$5:J$67,MATCH($B1779,$B$5:$B$67,0))</f>
        <v>56</v>
      </c>
      <c r="L1779" s="25">
        <f t="shared" si="689"/>
        <v>8442</v>
      </c>
      <c r="M1779" s="25">
        <f t="shared" si="690"/>
        <v>3095</v>
      </c>
      <c r="N1779" s="25">
        <f t="shared" si="691"/>
        <v>2476</v>
      </c>
      <c r="O1779" s="25">
        <f t="shared" si="692"/>
        <v>1876</v>
      </c>
    </row>
    <row r="1780" ht="17.25" customHeight="1" spans="1:15">
      <c r="A1780" s="55">
        <v>1039022</v>
      </c>
      <c r="B1780" s="7" t="s">
        <v>367</v>
      </c>
      <c r="C1780" s="25">
        <f t="shared" si="688"/>
        <v>22</v>
      </c>
      <c r="D1780" s="25">
        <f t="array" ref="D1780">INDEX(C$5:C$67,MATCH($B1780,$B$5:$B$67,0))</f>
        <v>3150</v>
      </c>
      <c r="E1780" s="25">
        <f t="array" ref="E1780">INDEX(D$5:D$67,MATCH($B1780,$B$5:$B$67,0))</f>
        <v>252</v>
      </c>
      <c r="F1780" s="25">
        <f t="array" ref="F1780">INDEX(E$5:E$67,MATCH($B1780,$B$5:$B$67,0))</f>
        <v>1155</v>
      </c>
      <c r="G1780" s="25">
        <f t="array" ref="G1780">INDEX(F$5:F$67,MATCH($B1780,$B$5:$B$67,0))</f>
        <v>92.4</v>
      </c>
      <c r="H1780" s="25">
        <f t="array" ref="H1780">INDEX(G$5:G$66,MATCH($B1780,$B$5:$B$67,0))</f>
        <v>924</v>
      </c>
      <c r="I1780" s="25">
        <f t="array" ref="I1780">INDEX(H$5:H$67,MATCH($B1780,$B$5:$B$67,0))</f>
        <v>73.92</v>
      </c>
      <c r="J1780" s="25">
        <f t="array" ref="J1780">INDEX(I$5:I$67,MATCH($B1780,$B$5:$B$67,0))</f>
        <v>700</v>
      </c>
      <c r="K1780" s="25">
        <f t="array" ref="K1780">INDEX(J$5:J$67,MATCH($B1780,$B$5:$B$67,0))</f>
        <v>56</v>
      </c>
      <c r="L1780" s="25">
        <f t="shared" si="689"/>
        <v>8694</v>
      </c>
      <c r="M1780" s="25">
        <f t="shared" si="690"/>
        <v>3188</v>
      </c>
      <c r="N1780" s="25">
        <f t="shared" si="691"/>
        <v>2550</v>
      </c>
      <c r="O1780" s="25">
        <f t="shared" si="692"/>
        <v>1932</v>
      </c>
    </row>
    <row r="1781" ht="17.25" customHeight="1" spans="1:15">
      <c r="A1781" s="55">
        <v>1039023</v>
      </c>
      <c r="B1781" s="7" t="s">
        <v>367</v>
      </c>
      <c r="C1781" s="25">
        <f t="shared" si="688"/>
        <v>23</v>
      </c>
      <c r="D1781" s="25">
        <f t="array" ref="D1781">INDEX(C$5:C$67,MATCH($B1781,$B$5:$B$67,0))</f>
        <v>3150</v>
      </c>
      <c r="E1781" s="25">
        <f t="array" ref="E1781">INDEX(D$5:D$67,MATCH($B1781,$B$5:$B$67,0))</f>
        <v>252</v>
      </c>
      <c r="F1781" s="25">
        <f t="array" ref="F1781">INDEX(E$5:E$67,MATCH($B1781,$B$5:$B$67,0))</f>
        <v>1155</v>
      </c>
      <c r="G1781" s="25">
        <f t="array" ref="G1781">INDEX(F$5:F$67,MATCH($B1781,$B$5:$B$67,0))</f>
        <v>92.4</v>
      </c>
      <c r="H1781" s="25">
        <f t="array" ref="H1781">INDEX(G$5:G$66,MATCH($B1781,$B$5:$B$67,0))</f>
        <v>924</v>
      </c>
      <c r="I1781" s="25">
        <f t="array" ref="I1781">INDEX(H$5:H$67,MATCH($B1781,$B$5:$B$67,0))</f>
        <v>73.92</v>
      </c>
      <c r="J1781" s="25">
        <f t="array" ref="J1781">INDEX(I$5:I$67,MATCH($B1781,$B$5:$B$67,0))</f>
        <v>700</v>
      </c>
      <c r="K1781" s="25">
        <f t="array" ref="K1781">INDEX(J$5:J$67,MATCH($B1781,$B$5:$B$67,0))</f>
        <v>56</v>
      </c>
      <c r="L1781" s="25">
        <f t="shared" si="689"/>
        <v>8946</v>
      </c>
      <c r="M1781" s="25">
        <f t="shared" si="690"/>
        <v>3280</v>
      </c>
      <c r="N1781" s="25">
        <f t="shared" si="691"/>
        <v>2624</v>
      </c>
      <c r="O1781" s="25">
        <f t="shared" si="692"/>
        <v>1988</v>
      </c>
    </row>
    <row r="1782" ht="17.25" customHeight="1" spans="1:15">
      <c r="A1782" s="55">
        <v>1039024</v>
      </c>
      <c r="B1782" s="7" t="s">
        <v>367</v>
      </c>
      <c r="C1782" s="25">
        <f t="shared" si="688"/>
        <v>24</v>
      </c>
      <c r="D1782" s="25">
        <f t="array" ref="D1782">INDEX(C$5:C$67,MATCH($B1782,$B$5:$B$67,0))</f>
        <v>3150</v>
      </c>
      <c r="E1782" s="25">
        <f t="array" ref="E1782">INDEX(D$5:D$67,MATCH($B1782,$B$5:$B$67,0))</f>
        <v>252</v>
      </c>
      <c r="F1782" s="25">
        <f t="array" ref="F1782">INDEX(E$5:E$67,MATCH($B1782,$B$5:$B$67,0))</f>
        <v>1155</v>
      </c>
      <c r="G1782" s="25">
        <f t="array" ref="G1782">INDEX(F$5:F$67,MATCH($B1782,$B$5:$B$67,0))</f>
        <v>92.4</v>
      </c>
      <c r="H1782" s="25">
        <f t="array" ref="H1782">INDEX(G$5:G$66,MATCH($B1782,$B$5:$B$67,0))</f>
        <v>924</v>
      </c>
      <c r="I1782" s="25">
        <f t="array" ref="I1782">INDEX(H$5:H$67,MATCH($B1782,$B$5:$B$67,0))</f>
        <v>73.92</v>
      </c>
      <c r="J1782" s="25">
        <f t="array" ref="J1782">INDEX(I$5:I$67,MATCH($B1782,$B$5:$B$67,0))</f>
        <v>700</v>
      </c>
      <c r="K1782" s="25">
        <f t="array" ref="K1782">INDEX(J$5:J$67,MATCH($B1782,$B$5:$B$67,0))</f>
        <v>56</v>
      </c>
      <c r="L1782" s="25">
        <f t="shared" si="689"/>
        <v>9198</v>
      </c>
      <c r="M1782" s="25">
        <f t="shared" si="690"/>
        <v>3373</v>
      </c>
      <c r="N1782" s="25">
        <f t="shared" si="691"/>
        <v>2698</v>
      </c>
      <c r="O1782" s="25">
        <f t="shared" si="692"/>
        <v>2044</v>
      </c>
    </row>
    <row r="1783" ht="17.25" customHeight="1" spans="1:15">
      <c r="A1783" s="55">
        <v>1039025</v>
      </c>
      <c r="B1783" s="7" t="s">
        <v>367</v>
      </c>
      <c r="C1783" s="25">
        <f t="shared" si="688"/>
        <v>25</v>
      </c>
      <c r="D1783" s="25">
        <f t="array" ref="D1783">INDEX(C$5:C$67,MATCH($B1783,$B$5:$B$67,0))</f>
        <v>3150</v>
      </c>
      <c r="E1783" s="25">
        <f t="array" ref="E1783">INDEX(D$5:D$67,MATCH($B1783,$B$5:$B$67,0))</f>
        <v>252</v>
      </c>
      <c r="F1783" s="25">
        <f t="array" ref="F1783">INDEX(E$5:E$67,MATCH($B1783,$B$5:$B$67,0))</f>
        <v>1155</v>
      </c>
      <c r="G1783" s="25">
        <f t="array" ref="G1783">INDEX(F$5:F$67,MATCH($B1783,$B$5:$B$67,0))</f>
        <v>92.4</v>
      </c>
      <c r="H1783" s="25">
        <f t="array" ref="H1783">INDEX(G$5:G$66,MATCH($B1783,$B$5:$B$67,0))</f>
        <v>924</v>
      </c>
      <c r="I1783" s="25">
        <f t="array" ref="I1783">INDEX(H$5:H$67,MATCH($B1783,$B$5:$B$67,0))</f>
        <v>73.92</v>
      </c>
      <c r="J1783" s="25">
        <f t="array" ref="J1783">INDEX(I$5:I$67,MATCH($B1783,$B$5:$B$67,0))</f>
        <v>700</v>
      </c>
      <c r="K1783" s="25">
        <f t="array" ref="K1783">INDEX(J$5:J$67,MATCH($B1783,$B$5:$B$67,0))</f>
        <v>56</v>
      </c>
      <c r="L1783" s="25">
        <f t="shared" si="689"/>
        <v>9450</v>
      </c>
      <c r="M1783" s="25">
        <f t="shared" si="690"/>
        <v>3465</v>
      </c>
      <c r="N1783" s="25">
        <f t="shared" si="691"/>
        <v>2772</v>
      </c>
      <c r="O1783" s="25">
        <f t="shared" si="692"/>
        <v>2100</v>
      </c>
    </row>
    <row r="1784" ht="17.25" customHeight="1" spans="1:15">
      <c r="A1784" s="55">
        <v>1039026</v>
      </c>
      <c r="B1784" s="7" t="s">
        <v>367</v>
      </c>
      <c r="C1784" s="25">
        <f t="shared" si="688"/>
        <v>26</v>
      </c>
      <c r="D1784" s="25">
        <f t="array" ref="D1784">INDEX(C$5:C$67,MATCH($B1784,$B$5:$B$67,0))</f>
        <v>3150</v>
      </c>
      <c r="E1784" s="25">
        <f t="array" ref="E1784">INDEX(D$5:D$67,MATCH($B1784,$B$5:$B$67,0))</f>
        <v>252</v>
      </c>
      <c r="F1784" s="25">
        <f t="array" ref="F1784">INDEX(E$5:E$67,MATCH($B1784,$B$5:$B$67,0))</f>
        <v>1155</v>
      </c>
      <c r="G1784" s="25">
        <f t="array" ref="G1784">INDEX(F$5:F$67,MATCH($B1784,$B$5:$B$67,0))</f>
        <v>92.4</v>
      </c>
      <c r="H1784" s="25">
        <f t="array" ref="H1784">INDEX(G$5:G$66,MATCH($B1784,$B$5:$B$67,0))</f>
        <v>924</v>
      </c>
      <c r="I1784" s="25">
        <f t="array" ref="I1784">INDEX(H$5:H$67,MATCH($B1784,$B$5:$B$67,0))</f>
        <v>73.92</v>
      </c>
      <c r="J1784" s="25">
        <f t="array" ref="J1784">INDEX(I$5:I$67,MATCH($B1784,$B$5:$B$67,0))</f>
        <v>700</v>
      </c>
      <c r="K1784" s="25">
        <f t="array" ref="K1784">INDEX(J$5:J$67,MATCH($B1784,$B$5:$B$67,0))</f>
        <v>56</v>
      </c>
      <c r="L1784" s="25">
        <f t="shared" si="689"/>
        <v>9702</v>
      </c>
      <c r="M1784" s="25">
        <f t="shared" si="690"/>
        <v>3557</v>
      </c>
      <c r="N1784" s="25">
        <f t="shared" si="691"/>
        <v>2846</v>
      </c>
      <c r="O1784" s="25">
        <f t="shared" si="692"/>
        <v>2156</v>
      </c>
    </row>
    <row r="1785" ht="17.25" customHeight="1" spans="1:15">
      <c r="A1785" s="55">
        <v>1039027</v>
      </c>
      <c r="B1785" s="7" t="s">
        <v>367</v>
      </c>
      <c r="C1785" s="25">
        <f t="shared" si="688"/>
        <v>27</v>
      </c>
      <c r="D1785" s="25">
        <f t="array" ref="D1785">INDEX(C$5:C$67,MATCH($B1785,$B$5:$B$67,0))</f>
        <v>3150</v>
      </c>
      <c r="E1785" s="25">
        <f t="array" ref="E1785">INDEX(D$5:D$67,MATCH($B1785,$B$5:$B$67,0))</f>
        <v>252</v>
      </c>
      <c r="F1785" s="25">
        <f t="array" ref="F1785">INDEX(E$5:E$67,MATCH($B1785,$B$5:$B$67,0))</f>
        <v>1155</v>
      </c>
      <c r="G1785" s="25">
        <f t="array" ref="G1785">INDEX(F$5:F$67,MATCH($B1785,$B$5:$B$67,0))</f>
        <v>92.4</v>
      </c>
      <c r="H1785" s="25">
        <f t="array" ref="H1785">INDEX(G$5:G$66,MATCH($B1785,$B$5:$B$67,0))</f>
        <v>924</v>
      </c>
      <c r="I1785" s="25">
        <f t="array" ref="I1785">INDEX(H$5:H$67,MATCH($B1785,$B$5:$B$67,0))</f>
        <v>73.92</v>
      </c>
      <c r="J1785" s="25">
        <f t="array" ref="J1785">INDEX(I$5:I$67,MATCH($B1785,$B$5:$B$67,0))</f>
        <v>700</v>
      </c>
      <c r="K1785" s="25">
        <f t="array" ref="K1785">INDEX(J$5:J$67,MATCH($B1785,$B$5:$B$67,0))</f>
        <v>56</v>
      </c>
      <c r="L1785" s="25">
        <f t="shared" si="689"/>
        <v>9954</v>
      </c>
      <c r="M1785" s="25">
        <f t="shared" si="690"/>
        <v>3650</v>
      </c>
      <c r="N1785" s="25">
        <f t="shared" si="691"/>
        <v>2920</v>
      </c>
      <c r="O1785" s="25">
        <f t="shared" si="692"/>
        <v>2212</v>
      </c>
    </row>
    <row r="1786" ht="17.25" customHeight="1" spans="1:15">
      <c r="A1786" s="55">
        <v>1039028</v>
      </c>
      <c r="B1786" s="7" t="s">
        <v>367</v>
      </c>
      <c r="C1786" s="25">
        <f t="shared" si="688"/>
        <v>28</v>
      </c>
      <c r="D1786" s="25">
        <f t="array" ref="D1786">INDEX(C$5:C$67,MATCH($B1786,$B$5:$B$67,0))</f>
        <v>3150</v>
      </c>
      <c r="E1786" s="25">
        <f t="array" ref="E1786">INDEX(D$5:D$67,MATCH($B1786,$B$5:$B$67,0))</f>
        <v>252</v>
      </c>
      <c r="F1786" s="25">
        <f t="array" ref="F1786">INDEX(E$5:E$67,MATCH($B1786,$B$5:$B$67,0))</f>
        <v>1155</v>
      </c>
      <c r="G1786" s="25">
        <f t="array" ref="G1786">INDEX(F$5:F$67,MATCH($B1786,$B$5:$B$67,0))</f>
        <v>92.4</v>
      </c>
      <c r="H1786" s="25">
        <f t="array" ref="H1786">INDEX(G$5:G$66,MATCH($B1786,$B$5:$B$67,0))</f>
        <v>924</v>
      </c>
      <c r="I1786" s="25">
        <f t="array" ref="I1786">INDEX(H$5:H$67,MATCH($B1786,$B$5:$B$67,0))</f>
        <v>73.92</v>
      </c>
      <c r="J1786" s="25">
        <f t="array" ref="J1786">INDEX(I$5:I$67,MATCH($B1786,$B$5:$B$67,0))</f>
        <v>700</v>
      </c>
      <c r="K1786" s="25">
        <f t="array" ref="K1786">INDEX(J$5:J$67,MATCH($B1786,$B$5:$B$67,0))</f>
        <v>56</v>
      </c>
      <c r="L1786" s="25">
        <f t="shared" si="689"/>
        <v>10206</v>
      </c>
      <c r="M1786" s="25">
        <f t="shared" si="690"/>
        <v>3742</v>
      </c>
      <c r="N1786" s="25">
        <f t="shared" si="691"/>
        <v>2994</v>
      </c>
      <c r="O1786" s="25">
        <f t="shared" si="692"/>
        <v>2268</v>
      </c>
    </row>
    <row r="1787" ht="17.25" customHeight="1" spans="1:15">
      <c r="A1787" s="55">
        <v>1039029</v>
      </c>
      <c r="B1787" s="7" t="s">
        <v>367</v>
      </c>
      <c r="C1787" s="25">
        <f t="shared" si="688"/>
        <v>29</v>
      </c>
      <c r="D1787" s="25">
        <f t="array" ref="D1787">INDEX(C$5:C$67,MATCH($B1787,$B$5:$B$67,0))</f>
        <v>3150</v>
      </c>
      <c r="E1787" s="25">
        <f t="array" ref="E1787">INDEX(D$5:D$67,MATCH($B1787,$B$5:$B$67,0))</f>
        <v>252</v>
      </c>
      <c r="F1787" s="25">
        <f t="array" ref="F1787">INDEX(E$5:E$67,MATCH($B1787,$B$5:$B$67,0))</f>
        <v>1155</v>
      </c>
      <c r="G1787" s="25">
        <f t="array" ref="G1787">INDEX(F$5:F$67,MATCH($B1787,$B$5:$B$67,0))</f>
        <v>92.4</v>
      </c>
      <c r="H1787" s="25">
        <f t="array" ref="H1787">INDEX(G$5:G$66,MATCH($B1787,$B$5:$B$67,0))</f>
        <v>924</v>
      </c>
      <c r="I1787" s="25">
        <f t="array" ref="I1787">INDEX(H$5:H$67,MATCH($B1787,$B$5:$B$67,0))</f>
        <v>73.92</v>
      </c>
      <c r="J1787" s="25">
        <f t="array" ref="J1787">INDEX(I$5:I$67,MATCH($B1787,$B$5:$B$67,0))</f>
        <v>700</v>
      </c>
      <c r="K1787" s="25">
        <f t="array" ref="K1787">INDEX(J$5:J$67,MATCH($B1787,$B$5:$B$67,0))</f>
        <v>56</v>
      </c>
      <c r="L1787" s="25">
        <f t="shared" si="689"/>
        <v>10458</v>
      </c>
      <c r="M1787" s="25">
        <f t="shared" si="690"/>
        <v>3835</v>
      </c>
      <c r="N1787" s="25">
        <f t="shared" si="691"/>
        <v>3068</v>
      </c>
      <c r="O1787" s="25">
        <f t="shared" si="692"/>
        <v>2324</v>
      </c>
    </row>
    <row r="1788" ht="17.25" customHeight="1" spans="1:15">
      <c r="A1788" s="55">
        <v>1039030</v>
      </c>
      <c r="B1788" s="7" t="s">
        <v>367</v>
      </c>
      <c r="C1788" s="25">
        <f t="shared" si="688"/>
        <v>30</v>
      </c>
      <c r="D1788" s="25">
        <f t="array" ref="D1788">INDEX(C$5:C$67,MATCH($B1788,$B$5:$B$67,0))</f>
        <v>3150</v>
      </c>
      <c r="E1788" s="25">
        <f t="array" ref="E1788">INDEX(D$5:D$67,MATCH($B1788,$B$5:$B$67,0))</f>
        <v>252</v>
      </c>
      <c r="F1788" s="25">
        <f t="array" ref="F1788">INDEX(E$5:E$67,MATCH($B1788,$B$5:$B$67,0))</f>
        <v>1155</v>
      </c>
      <c r="G1788" s="25">
        <f t="array" ref="G1788">INDEX(F$5:F$67,MATCH($B1788,$B$5:$B$67,0))</f>
        <v>92.4</v>
      </c>
      <c r="H1788" s="25">
        <f t="array" ref="H1788">INDEX(G$5:G$66,MATCH($B1788,$B$5:$B$67,0))</f>
        <v>924</v>
      </c>
      <c r="I1788" s="25">
        <f t="array" ref="I1788">INDEX(H$5:H$67,MATCH($B1788,$B$5:$B$67,0))</f>
        <v>73.92</v>
      </c>
      <c r="J1788" s="25">
        <f t="array" ref="J1788">INDEX(I$5:I$67,MATCH($B1788,$B$5:$B$67,0))</f>
        <v>700</v>
      </c>
      <c r="K1788" s="25">
        <f t="array" ref="K1788">INDEX(J$5:J$67,MATCH($B1788,$B$5:$B$67,0))</f>
        <v>56</v>
      </c>
      <c r="L1788" s="25">
        <f t="shared" si="689"/>
        <v>10710</v>
      </c>
      <c r="M1788" s="25">
        <f t="shared" si="690"/>
        <v>3927</v>
      </c>
      <c r="N1788" s="25">
        <f t="shared" si="691"/>
        <v>3142</v>
      </c>
      <c r="O1788" s="25">
        <f t="shared" si="692"/>
        <v>2380</v>
      </c>
    </row>
    <row r="1789" ht="17.25" customHeight="1" spans="1:15">
      <c r="A1789" s="55">
        <v>1039031</v>
      </c>
      <c r="B1789" s="7" t="s">
        <v>367</v>
      </c>
      <c r="C1789" s="25">
        <f t="shared" si="688"/>
        <v>31</v>
      </c>
      <c r="D1789" s="25">
        <f t="array" ref="D1789">INDEX(C$5:C$67,MATCH($B1789,$B$5:$B$67,0))</f>
        <v>3150</v>
      </c>
      <c r="E1789" s="25">
        <f t="array" ref="E1789">INDEX(D$5:D$67,MATCH($B1789,$B$5:$B$67,0))</f>
        <v>252</v>
      </c>
      <c r="F1789" s="25">
        <f t="array" ref="F1789">INDEX(E$5:E$67,MATCH($B1789,$B$5:$B$67,0))</f>
        <v>1155</v>
      </c>
      <c r="G1789" s="25">
        <f t="array" ref="G1789">INDEX(F$5:F$67,MATCH($B1789,$B$5:$B$67,0))</f>
        <v>92.4</v>
      </c>
      <c r="H1789" s="25">
        <f t="array" ref="H1789">INDEX(G$5:G$66,MATCH($B1789,$B$5:$B$67,0))</f>
        <v>924</v>
      </c>
      <c r="I1789" s="25">
        <f t="array" ref="I1789">INDEX(H$5:H$67,MATCH($B1789,$B$5:$B$67,0))</f>
        <v>73.92</v>
      </c>
      <c r="J1789" s="25">
        <f t="array" ref="J1789">INDEX(I$5:I$67,MATCH($B1789,$B$5:$B$67,0))</f>
        <v>700</v>
      </c>
      <c r="K1789" s="25">
        <f t="array" ref="K1789">INDEX(J$5:J$67,MATCH($B1789,$B$5:$B$67,0))</f>
        <v>56</v>
      </c>
      <c r="L1789" s="25">
        <f t="shared" si="689"/>
        <v>10962</v>
      </c>
      <c r="M1789" s="25">
        <f t="shared" si="690"/>
        <v>4019</v>
      </c>
      <c r="N1789" s="25">
        <f t="shared" si="691"/>
        <v>3216</v>
      </c>
      <c r="O1789" s="25">
        <f t="shared" si="692"/>
        <v>2436</v>
      </c>
    </row>
    <row r="1790" ht="17.25" customHeight="1" spans="1:15">
      <c r="A1790" s="55">
        <v>1039032</v>
      </c>
      <c r="B1790" s="7" t="s">
        <v>367</v>
      </c>
      <c r="C1790" s="25">
        <f t="shared" si="688"/>
        <v>32</v>
      </c>
      <c r="D1790" s="25">
        <f t="array" ref="D1790">INDEX(C$5:C$67,MATCH($B1790,$B$5:$B$67,0))</f>
        <v>3150</v>
      </c>
      <c r="E1790" s="25">
        <f t="array" ref="E1790">INDEX(D$5:D$67,MATCH($B1790,$B$5:$B$67,0))</f>
        <v>252</v>
      </c>
      <c r="F1790" s="25">
        <f t="array" ref="F1790">INDEX(E$5:E$67,MATCH($B1790,$B$5:$B$67,0))</f>
        <v>1155</v>
      </c>
      <c r="G1790" s="25">
        <f t="array" ref="G1790">INDEX(F$5:F$67,MATCH($B1790,$B$5:$B$67,0))</f>
        <v>92.4</v>
      </c>
      <c r="H1790" s="25">
        <f t="array" ref="H1790">INDEX(G$5:G$66,MATCH($B1790,$B$5:$B$67,0))</f>
        <v>924</v>
      </c>
      <c r="I1790" s="25">
        <f t="array" ref="I1790">INDEX(H$5:H$67,MATCH($B1790,$B$5:$B$67,0))</f>
        <v>73.92</v>
      </c>
      <c r="J1790" s="25">
        <f t="array" ref="J1790">INDEX(I$5:I$67,MATCH($B1790,$B$5:$B$67,0))</f>
        <v>700</v>
      </c>
      <c r="K1790" s="25">
        <f t="array" ref="K1790">INDEX(J$5:J$67,MATCH($B1790,$B$5:$B$67,0))</f>
        <v>56</v>
      </c>
      <c r="L1790" s="25">
        <f t="shared" si="689"/>
        <v>11214</v>
      </c>
      <c r="M1790" s="25">
        <f t="shared" si="690"/>
        <v>4112</v>
      </c>
      <c r="N1790" s="25">
        <f t="shared" si="691"/>
        <v>3289</v>
      </c>
      <c r="O1790" s="25">
        <f t="shared" si="692"/>
        <v>2492</v>
      </c>
    </row>
    <row r="1791" ht="17.25" customHeight="1" spans="1:15">
      <c r="A1791" s="55">
        <v>1039033</v>
      </c>
      <c r="B1791" s="7" t="s">
        <v>367</v>
      </c>
      <c r="C1791" s="25">
        <f t="shared" si="688"/>
        <v>33</v>
      </c>
      <c r="D1791" s="25">
        <f t="array" ref="D1791">INDEX(C$5:C$67,MATCH($B1791,$B$5:$B$67,0))</f>
        <v>3150</v>
      </c>
      <c r="E1791" s="25">
        <f t="array" ref="E1791">INDEX(D$5:D$67,MATCH($B1791,$B$5:$B$67,0))</f>
        <v>252</v>
      </c>
      <c r="F1791" s="25">
        <f t="array" ref="F1791">INDEX(E$5:E$67,MATCH($B1791,$B$5:$B$67,0))</f>
        <v>1155</v>
      </c>
      <c r="G1791" s="25">
        <f t="array" ref="G1791">INDEX(F$5:F$67,MATCH($B1791,$B$5:$B$67,0))</f>
        <v>92.4</v>
      </c>
      <c r="H1791" s="25">
        <f t="array" ref="H1791">INDEX(G$5:G$66,MATCH($B1791,$B$5:$B$67,0))</f>
        <v>924</v>
      </c>
      <c r="I1791" s="25">
        <f t="array" ref="I1791">INDEX(H$5:H$67,MATCH($B1791,$B$5:$B$67,0))</f>
        <v>73.92</v>
      </c>
      <c r="J1791" s="25">
        <f t="array" ref="J1791">INDEX(I$5:I$67,MATCH($B1791,$B$5:$B$67,0))</f>
        <v>700</v>
      </c>
      <c r="K1791" s="25">
        <f t="array" ref="K1791">INDEX(J$5:J$67,MATCH($B1791,$B$5:$B$67,0))</f>
        <v>56</v>
      </c>
      <c r="L1791" s="25">
        <f t="shared" si="689"/>
        <v>11466</v>
      </c>
      <c r="M1791" s="25">
        <f t="shared" si="690"/>
        <v>4204</v>
      </c>
      <c r="N1791" s="25">
        <f t="shared" si="691"/>
        <v>3363</v>
      </c>
      <c r="O1791" s="25">
        <f t="shared" si="692"/>
        <v>2548</v>
      </c>
    </row>
    <row r="1792" ht="17.25" customHeight="1" spans="1:15">
      <c r="A1792" s="55">
        <v>1039034</v>
      </c>
      <c r="B1792" s="7" t="s">
        <v>367</v>
      </c>
      <c r="C1792" s="25">
        <f t="shared" si="688"/>
        <v>34</v>
      </c>
      <c r="D1792" s="25">
        <f t="array" ref="D1792">INDEX(C$5:C$67,MATCH($B1792,$B$5:$B$67,0))</f>
        <v>3150</v>
      </c>
      <c r="E1792" s="25">
        <f t="array" ref="E1792">INDEX(D$5:D$67,MATCH($B1792,$B$5:$B$67,0))</f>
        <v>252</v>
      </c>
      <c r="F1792" s="25">
        <f t="array" ref="F1792">INDEX(E$5:E$67,MATCH($B1792,$B$5:$B$67,0))</f>
        <v>1155</v>
      </c>
      <c r="G1792" s="25">
        <f t="array" ref="G1792">INDEX(F$5:F$67,MATCH($B1792,$B$5:$B$67,0))</f>
        <v>92.4</v>
      </c>
      <c r="H1792" s="25">
        <f t="array" ref="H1792">INDEX(G$5:G$66,MATCH($B1792,$B$5:$B$67,0))</f>
        <v>924</v>
      </c>
      <c r="I1792" s="25">
        <f t="array" ref="I1792">INDEX(H$5:H$67,MATCH($B1792,$B$5:$B$67,0))</f>
        <v>73.92</v>
      </c>
      <c r="J1792" s="25">
        <f t="array" ref="J1792">INDEX(I$5:I$67,MATCH($B1792,$B$5:$B$67,0))</f>
        <v>700</v>
      </c>
      <c r="K1792" s="25">
        <f t="array" ref="K1792">INDEX(J$5:J$67,MATCH($B1792,$B$5:$B$67,0))</f>
        <v>56</v>
      </c>
      <c r="L1792" s="25">
        <f t="shared" si="689"/>
        <v>11718</v>
      </c>
      <c r="M1792" s="25">
        <f t="shared" si="690"/>
        <v>4297</v>
      </c>
      <c r="N1792" s="25">
        <f t="shared" si="691"/>
        <v>3437</v>
      </c>
      <c r="O1792" s="25">
        <f t="shared" si="692"/>
        <v>2604</v>
      </c>
    </row>
    <row r="1793" ht="17.25" customHeight="1" spans="1:15">
      <c r="A1793" s="55">
        <v>1039035</v>
      </c>
      <c r="B1793" s="7" t="s">
        <v>367</v>
      </c>
      <c r="C1793" s="25">
        <f t="shared" si="688"/>
        <v>35</v>
      </c>
      <c r="D1793" s="25">
        <f t="array" ref="D1793">INDEX(C$5:C$67,MATCH($B1793,$B$5:$B$67,0))</f>
        <v>3150</v>
      </c>
      <c r="E1793" s="25">
        <f t="array" ref="E1793">INDEX(D$5:D$67,MATCH($B1793,$B$5:$B$67,0))</f>
        <v>252</v>
      </c>
      <c r="F1793" s="25">
        <f t="array" ref="F1793">INDEX(E$5:E$67,MATCH($B1793,$B$5:$B$67,0))</f>
        <v>1155</v>
      </c>
      <c r="G1793" s="25">
        <f t="array" ref="G1793">INDEX(F$5:F$67,MATCH($B1793,$B$5:$B$67,0))</f>
        <v>92.4</v>
      </c>
      <c r="H1793" s="25">
        <f t="array" ref="H1793">INDEX(G$5:G$66,MATCH($B1793,$B$5:$B$67,0))</f>
        <v>924</v>
      </c>
      <c r="I1793" s="25">
        <f t="array" ref="I1793">INDEX(H$5:H$67,MATCH($B1793,$B$5:$B$67,0))</f>
        <v>73.92</v>
      </c>
      <c r="J1793" s="25">
        <f t="array" ref="J1793">INDEX(I$5:I$67,MATCH($B1793,$B$5:$B$67,0))</f>
        <v>700</v>
      </c>
      <c r="K1793" s="25">
        <f t="array" ref="K1793">INDEX(J$5:J$67,MATCH($B1793,$B$5:$B$67,0))</f>
        <v>56</v>
      </c>
      <c r="L1793" s="25">
        <f t="shared" si="689"/>
        <v>11970</v>
      </c>
      <c r="M1793" s="25">
        <f t="shared" si="690"/>
        <v>4389</v>
      </c>
      <c r="N1793" s="25">
        <f t="shared" si="691"/>
        <v>3511</v>
      </c>
      <c r="O1793" s="25">
        <f t="shared" si="692"/>
        <v>2660</v>
      </c>
    </row>
    <row r="1794" ht="17.25" customHeight="1" spans="1:15">
      <c r="A1794" s="55">
        <v>1039036</v>
      </c>
      <c r="B1794" s="7" t="s">
        <v>367</v>
      </c>
      <c r="C1794" s="25">
        <f t="shared" si="688"/>
        <v>36</v>
      </c>
      <c r="D1794" s="25">
        <f t="array" ref="D1794">INDEX(C$5:C$67,MATCH($B1794,$B$5:$B$67,0))</f>
        <v>3150</v>
      </c>
      <c r="E1794" s="25">
        <f t="array" ref="E1794">INDEX(D$5:D$67,MATCH($B1794,$B$5:$B$67,0))</f>
        <v>252</v>
      </c>
      <c r="F1794" s="25">
        <f t="array" ref="F1794">INDEX(E$5:E$67,MATCH($B1794,$B$5:$B$67,0))</f>
        <v>1155</v>
      </c>
      <c r="G1794" s="25">
        <f t="array" ref="G1794">INDEX(F$5:F$67,MATCH($B1794,$B$5:$B$67,0))</f>
        <v>92.4</v>
      </c>
      <c r="H1794" s="25">
        <f t="array" ref="H1794">INDEX(G$5:G$66,MATCH($B1794,$B$5:$B$67,0))</f>
        <v>924</v>
      </c>
      <c r="I1794" s="25">
        <f t="array" ref="I1794">INDEX(H$5:H$67,MATCH($B1794,$B$5:$B$67,0))</f>
        <v>73.92</v>
      </c>
      <c r="J1794" s="25">
        <f t="array" ref="J1794">INDEX(I$5:I$67,MATCH($B1794,$B$5:$B$67,0))</f>
        <v>700</v>
      </c>
      <c r="K1794" s="25">
        <f t="array" ref="K1794">INDEX(J$5:J$67,MATCH($B1794,$B$5:$B$67,0))</f>
        <v>56</v>
      </c>
      <c r="L1794" s="25">
        <f t="shared" si="689"/>
        <v>12222</v>
      </c>
      <c r="M1794" s="25">
        <f t="shared" si="690"/>
        <v>4481</v>
      </c>
      <c r="N1794" s="25">
        <f t="shared" si="691"/>
        <v>3585</v>
      </c>
      <c r="O1794" s="25">
        <f t="shared" si="692"/>
        <v>2716</v>
      </c>
    </row>
    <row r="1795" ht="17.25" customHeight="1" spans="1:15">
      <c r="A1795" s="55">
        <v>1039037</v>
      </c>
      <c r="B1795" s="7" t="s">
        <v>367</v>
      </c>
      <c r="C1795" s="25">
        <f t="shared" si="688"/>
        <v>37</v>
      </c>
      <c r="D1795" s="25">
        <f t="array" ref="D1795">INDEX(C$5:C$67,MATCH($B1795,$B$5:$B$67,0))</f>
        <v>3150</v>
      </c>
      <c r="E1795" s="25">
        <f t="array" ref="E1795">INDEX(D$5:D$67,MATCH($B1795,$B$5:$B$67,0))</f>
        <v>252</v>
      </c>
      <c r="F1795" s="25">
        <f t="array" ref="F1795">INDEX(E$5:E$67,MATCH($B1795,$B$5:$B$67,0))</f>
        <v>1155</v>
      </c>
      <c r="G1795" s="25">
        <f t="array" ref="G1795">INDEX(F$5:F$67,MATCH($B1795,$B$5:$B$67,0))</f>
        <v>92.4</v>
      </c>
      <c r="H1795" s="25">
        <f t="array" ref="H1795">INDEX(G$5:G$66,MATCH($B1795,$B$5:$B$67,0))</f>
        <v>924</v>
      </c>
      <c r="I1795" s="25">
        <f t="array" ref="I1795">INDEX(H$5:H$67,MATCH($B1795,$B$5:$B$67,0))</f>
        <v>73.92</v>
      </c>
      <c r="J1795" s="25">
        <f t="array" ref="J1795">INDEX(I$5:I$67,MATCH($B1795,$B$5:$B$67,0))</f>
        <v>700</v>
      </c>
      <c r="K1795" s="25">
        <f t="array" ref="K1795">INDEX(J$5:J$67,MATCH($B1795,$B$5:$B$67,0))</f>
        <v>56</v>
      </c>
      <c r="L1795" s="25">
        <f t="shared" si="689"/>
        <v>12474</v>
      </c>
      <c r="M1795" s="25">
        <f t="shared" si="690"/>
        <v>4574</v>
      </c>
      <c r="N1795" s="25">
        <f t="shared" si="691"/>
        <v>3659</v>
      </c>
      <c r="O1795" s="25">
        <f t="shared" si="692"/>
        <v>2772</v>
      </c>
    </row>
    <row r="1796" ht="17.25" customHeight="1" spans="1:15">
      <c r="A1796" s="55">
        <v>1039038</v>
      </c>
      <c r="B1796" s="7" t="s">
        <v>367</v>
      </c>
      <c r="C1796" s="25">
        <f t="shared" si="688"/>
        <v>38</v>
      </c>
      <c r="D1796" s="25">
        <f t="array" ref="D1796">INDEX(C$5:C$67,MATCH($B1796,$B$5:$B$67,0))</f>
        <v>3150</v>
      </c>
      <c r="E1796" s="25">
        <f t="array" ref="E1796">INDEX(D$5:D$67,MATCH($B1796,$B$5:$B$67,0))</f>
        <v>252</v>
      </c>
      <c r="F1796" s="25">
        <f t="array" ref="F1796">INDEX(E$5:E$67,MATCH($B1796,$B$5:$B$67,0))</f>
        <v>1155</v>
      </c>
      <c r="G1796" s="25">
        <f t="array" ref="G1796">INDEX(F$5:F$67,MATCH($B1796,$B$5:$B$67,0))</f>
        <v>92.4</v>
      </c>
      <c r="H1796" s="25">
        <f t="array" ref="H1796">INDEX(G$5:G$66,MATCH($B1796,$B$5:$B$67,0))</f>
        <v>924</v>
      </c>
      <c r="I1796" s="25">
        <f t="array" ref="I1796">INDEX(H$5:H$67,MATCH($B1796,$B$5:$B$67,0))</f>
        <v>73.92</v>
      </c>
      <c r="J1796" s="25">
        <f t="array" ref="J1796">INDEX(I$5:I$67,MATCH($B1796,$B$5:$B$67,0))</f>
        <v>700</v>
      </c>
      <c r="K1796" s="25">
        <f t="array" ref="K1796">INDEX(J$5:J$67,MATCH($B1796,$B$5:$B$67,0))</f>
        <v>56</v>
      </c>
      <c r="L1796" s="25">
        <f t="shared" si="689"/>
        <v>12726</v>
      </c>
      <c r="M1796" s="25">
        <f t="shared" si="690"/>
        <v>4666</v>
      </c>
      <c r="N1796" s="25">
        <f t="shared" si="691"/>
        <v>3733</v>
      </c>
      <c r="O1796" s="25">
        <f t="shared" si="692"/>
        <v>2828</v>
      </c>
    </row>
    <row r="1797" ht="17.25" customHeight="1" spans="1:15">
      <c r="A1797" s="55">
        <v>1039039</v>
      </c>
      <c r="B1797" s="7" t="s">
        <v>367</v>
      </c>
      <c r="C1797" s="25">
        <f t="shared" si="688"/>
        <v>39</v>
      </c>
      <c r="D1797" s="25">
        <f t="array" ref="D1797">INDEX(C$5:C$67,MATCH($B1797,$B$5:$B$67,0))</f>
        <v>3150</v>
      </c>
      <c r="E1797" s="25">
        <f t="array" ref="E1797">INDEX(D$5:D$67,MATCH($B1797,$B$5:$B$67,0))</f>
        <v>252</v>
      </c>
      <c r="F1797" s="25">
        <f t="array" ref="F1797">INDEX(E$5:E$67,MATCH($B1797,$B$5:$B$67,0))</f>
        <v>1155</v>
      </c>
      <c r="G1797" s="25">
        <f t="array" ref="G1797">INDEX(F$5:F$67,MATCH($B1797,$B$5:$B$67,0))</f>
        <v>92.4</v>
      </c>
      <c r="H1797" s="25">
        <f t="array" ref="H1797">INDEX(G$5:G$66,MATCH($B1797,$B$5:$B$67,0))</f>
        <v>924</v>
      </c>
      <c r="I1797" s="25">
        <f t="array" ref="I1797">INDEX(H$5:H$67,MATCH($B1797,$B$5:$B$67,0))</f>
        <v>73.92</v>
      </c>
      <c r="J1797" s="25">
        <f t="array" ref="J1797">INDEX(I$5:I$67,MATCH($B1797,$B$5:$B$67,0))</f>
        <v>700</v>
      </c>
      <c r="K1797" s="25">
        <f t="array" ref="K1797">INDEX(J$5:J$67,MATCH($B1797,$B$5:$B$67,0))</f>
        <v>56</v>
      </c>
      <c r="L1797" s="25">
        <f t="shared" si="689"/>
        <v>12978</v>
      </c>
      <c r="M1797" s="25">
        <f t="shared" si="690"/>
        <v>4759</v>
      </c>
      <c r="N1797" s="25">
        <f t="shared" si="691"/>
        <v>3807</v>
      </c>
      <c r="O1797" s="25">
        <f t="shared" si="692"/>
        <v>2884</v>
      </c>
    </row>
    <row r="1798" ht="17.25" customHeight="1" spans="1:15">
      <c r="A1798" s="55">
        <v>1039040</v>
      </c>
      <c r="B1798" s="7" t="s">
        <v>367</v>
      </c>
      <c r="C1798" s="25">
        <f t="shared" si="688"/>
        <v>40</v>
      </c>
      <c r="D1798" s="25">
        <f t="array" ref="D1798">INDEX(C$5:C$67,MATCH($B1798,$B$5:$B$67,0))</f>
        <v>3150</v>
      </c>
      <c r="E1798" s="25">
        <f t="array" ref="E1798">INDEX(D$5:D$67,MATCH($B1798,$B$5:$B$67,0))</f>
        <v>252</v>
      </c>
      <c r="F1798" s="25">
        <f t="array" ref="F1798">INDEX(E$5:E$67,MATCH($B1798,$B$5:$B$67,0))</f>
        <v>1155</v>
      </c>
      <c r="G1798" s="25">
        <f t="array" ref="G1798">INDEX(F$5:F$67,MATCH($B1798,$B$5:$B$67,0))</f>
        <v>92.4</v>
      </c>
      <c r="H1798" s="25">
        <f t="array" ref="H1798">INDEX(G$5:G$66,MATCH($B1798,$B$5:$B$67,0))</f>
        <v>924</v>
      </c>
      <c r="I1798" s="25">
        <f t="array" ref="I1798">INDEX(H$5:H$67,MATCH($B1798,$B$5:$B$67,0))</f>
        <v>73.92</v>
      </c>
      <c r="J1798" s="25">
        <f t="array" ref="J1798">INDEX(I$5:I$67,MATCH($B1798,$B$5:$B$67,0))</f>
        <v>700</v>
      </c>
      <c r="K1798" s="25">
        <f t="array" ref="K1798">INDEX(J$5:J$67,MATCH($B1798,$B$5:$B$67,0))</f>
        <v>56</v>
      </c>
      <c r="L1798" s="25">
        <f t="shared" si="689"/>
        <v>13230</v>
      </c>
      <c r="M1798" s="25">
        <f t="shared" si="690"/>
        <v>4851</v>
      </c>
      <c r="N1798" s="25">
        <f t="shared" si="691"/>
        <v>3881</v>
      </c>
      <c r="O1798" s="25">
        <f t="shared" si="692"/>
        <v>2940</v>
      </c>
    </row>
    <row r="1799" ht="17.25" customHeight="1" spans="1:15">
      <c r="A1799" s="55">
        <v>1039041</v>
      </c>
      <c r="B1799" s="7" t="s">
        <v>367</v>
      </c>
      <c r="C1799" s="25">
        <f t="shared" si="688"/>
        <v>41</v>
      </c>
      <c r="D1799" s="25">
        <f t="array" ref="D1799">INDEX(C$5:C$67,MATCH($B1799,$B$5:$B$67,0))</f>
        <v>3150</v>
      </c>
      <c r="E1799" s="25">
        <f t="array" ref="E1799">INDEX(D$5:D$67,MATCH($B1799,$B$5:$B$67,0))</f>
        <v>252</v>
      </c>
      <c r="F1799" s="25">
        <f t="array" ref="F1799">INDEX(E$5:E$67,MATCH($B1799,$B$5:$B$67,0))</f>
        <v>1155</v>
      </c>
      <c r="G1799" s="25">
        <f t="array" ref="G1799">INDEX(F$5:F$67,MATCH($B1799,$B$5:$B$67,0))</f>
        <v>92.4</v>
      </c>
      <c r="H1799" s="25">
        <f t="array" ref="H1799">INDEX(G$5:G$66,MATCH($B1799,$B$5:$B$67,0))</f>
        <v>924</v>
      </c>
      <c r="I1799" s="25">
        <f t="array" ref="I1799">INDEX(H$5:H$67,MATCH($B1799,$B$5:$B$67,0))</f>
        <v>73.92</v>
      </c>
      <c r="J1799" s="25">
        <f t="array" ref="J1799">INDEX(I$5:I$67,MATCH($B1799,$B$5:$B$67,0))</f>
        <v>700</v>
      </c>
      <c r="K1799" s="25">
        <f t="array" ref="K1799">INDEX(J$5:J$67,MATCH($B1799,$B$5:$B$67,0))</f>
        <v>56</v>
      </c>
      <c r="L1799" s="25">
        <f t="shared" si="689"/>
        <v>13482</v>
      </c>
      <c r="M1799" s="25">
        <f t="shared" si="690"/>
        <v>4943</v>
      </c>
      <c r="N1799" s="25">
        <f t="shared" si="691"/>
        <v>3955</v>
      </c>
      <c r="O1799" s="25">
        <f t="shared" si="692"/>
        <v>2996</v>
      </c>
    </row>
    <row r="1800" ht="17.25" customHeight="1" spans="1:15">
      <c r="A1800" s="55">
        <v>1039042</v>
      </c>
      <c r="B1800" s="7" t="s">
        <v>367</v>
      </c>
      <c r="C1800" s="25">
        <f t="shared" si="688"/>
        <v>42</v>
      </c>
      <c r="D1800" s="25">
        <f t="array" ref="D1800">INDEX(C$5:C$67,MATCH($B1800,$B$5:$B$67,0))</f>
        <v>3150</v>
      </c>
      <c r="E1800" s="25">
        <f t="array" ref="E1800">INDEX(D$5:D$67,MATCH($B1800,$B$5:$B$67,0))</f>
        <v>252</v>
      </c>
      <c r="F1800" s="25">
        <f t="array" ref="F1800">INDEX(E$5:E$67,MATCH($B1800,$B$5:$B$67,0))</f>
        <v>1155</v>
      </c>
      <c r="G1800" s="25">
        <f t="array" ref="G1800">INDEX(F$5:F$67,MATCH($B1800,$B$5:$B$67,0))</f>
        <v>92.4</v>
      </c>
      <c r="H1800" s="25">
        <f t="array" ref="H1800">INDEX(G$5:G$66,MATCH($B1800,$B$5:$B$67,0))</f>
        <v>924</v>
      </c>
      <c r="I1800" s="25">
        <f t="array" ref="I1800">INDEX(H$5:H$67,MATCH($B1800,$B$5:$B$67,0))</f>
        <v>73.92</v>
      </c>
      <c r="J1800" s="25">
        <f t="array" ref="J1800">INDEX(I$5:I$67,MATCH($B1800,$B$5:$B$67,0))</f>
        <v>700</v>
      </c>
      <c r="K1800" s="25">
        <f t="array" ref="K1800">INDEX(J$5:J$67,MATCH($B1800,$B$5:$B$67,0))</f>
        <v>56</v>
      </c>
      <c r="L1800" s="25">
        <f t="shared" si="689"/>
        <v>13734</v>
      </c>
      <c r="M1800" s="25">
        <f t="shared" si="690"/>
        <v>5036</v>
      </c>
      <c r="N1800" s="25">
        <f t="shared" si="691"/>
        <v>4029</v>
      </c>
      <c r="O1800" s="25">
        <f t="shared" si="692"/>
        <v>3052</v>
      </c>
    </row>
    <row r="1801" ht="17.25" customHeight="1" spans="1:15">
      <c r="A1801" s="55">
        <v>1039043</v>
      </c>
      <c r="B1801" s="7" t="s">
        <v>367</v>
      </c>
      <c r="C1801" s="25">
        <f t="shared" si="688"/>
        <v>43</v>
      </c>
      <c r="D1801" s="25">
        <f t="array" ref="D1801">INDEX(C$5:C$67,MATCH($B1801,$B$5:$B$67,0))</f>
        <v>3150</v>
      </c>
      <c r="E1801" s="25">
        <f t="array" ref="E1801">INDEX(D$5:D$67,MATCH($B1801,$B$5:$B$67,0))</f>
        <v>252</v>
      </c>
      <c r="F1801" s="25">
        <f t="array" ref="F1801">INDEX(E$5:E$67,MATCH($B1801,$B$5:$B$67,0))</f>
        <v>1155</v>
      </c>
      <c r="G1801" s="25">
        <f t="array" ref="G1801">INDEX(F$5:F$67,MATCH($B1801,$B$5:$B$67,0))</f>
        <v>92.4</v>
      </c>
      <c r="H1801" s="25">
        <f t="array" ref="H1801">INDEX(G$5:G$66,MATCH($B1801,$B$5:$B$67,0))</f>
        <v>924</v>
      </c>
      <c r="I1801" s="25">
        <f t="array" ref="I1801">INDEX(H$5:H$67,MATCH($B1801,$B$5:$B$67,0))</f>
        <v>73.92</v>
      </c>
      <c r="J1801" s="25">
        <f t="array" ref="J1801">INDEX(I$5:I$67,MATCH($B1801,$B$5:$B$67,0))</f>
        <v>700</v>
      </c>
      <c r="K1801" s="25">
        <f t="array" ref="K1801">INDEX(J$5:J$67,MATCH($B1801,$B$5:$B$67,0))</f>
        <v>56</v>
      </c>
      <c r="L1801" s="25">
        <f t="shared" si="689"/>
        <v>13986</v>
      </c>
      <c r="M1801" s="25">
        <f t="shared" si="690"/>
        <v>5128</v>
      </c>
      <c r="N1801" s="25">
        <f t="shared" si="691"/>
        <v>4103</v>
      </c>
      <c r="O1801" s="25">
        <f t="shared" si="692"/>
        <v>3108</v>
      </c>
    </row>
    <row r="1802" ht="17.25" customHeight="1" spans="1:15">
      <c r="A1802" s="55">
        <v>1039044</v>
      </c>
      <c r="B1802" s="7" t="s">
        <v>367</v>
      </c>
      <c r="C1802" s="25">
        <f t="shared" si="688"/>
        <v>44</v>
      </c>
      <c r="D1802" s="25">
        <f t="array" ref="D1802">INDEX(C$5:C$67,MATCH($B1802,$B$5:$B$67,0))</f>
        <v>3150</v>
      </c>
      <c r="E1802" s="25">
        <f t="array" ref="E1802">INDEX(D$5:D$67,MATCH($B1802,$B$5:$B$67,0))</f>
        <v>252</v>
      </c>
      <c r="F1802" s="25">
        <f t="array" ref="F1802">INDEX(E$5:E$67,MATCH($B1802,$B$5:$B$67,0))</f>
        <v>1155</v>
      </c>
      <c r="G1802" s="25">
        <f t="array" ref="G1802">INDEX(F$5:F$67,MATCH($B1802,$B$5:$B$67,0))</f>
        <v>92.4</v>
      </c>
      <c r="H1802" s="25">
        <f t="array" ref="H1802">INDEX(G$5:G$66,MATCH($B1802,$B$5:$B$67,0))</f>
        <v>924</v>
      </c>
      <c r="I1802" s="25">
        <f t="array" ref="I1802">INDEX(H$5:H$67,MATCH($B1802,$B$5:$B$67,0))</f>
        <v>73.92</v>
      </c>
      <c r="J1802" s="25">
        <f t="array" ref="J1802">INDEX(I$5:I$67,MATCH($B1802,$B$5:$B$67,0))</f>
        <v>700</v>
      </c>
      <c r="K1802" s="25">
        <f t="array" ref="K1802">INDEX(J$5:J$67,MATCH($B1802,$B$5:$B$67,0))</f>
        <v>56</v>
      </c>
      <c r="L1802" s="25">
        <f t="shared" si="689"/>
        <v>14238</v>
      </c>
      <c r="M1802" s="25">
        <f t="shared" si="690"/>
        <v>5221</v>
      </c>
      <c r="N1802" s="25">
        <f t="shared" si="691"/>
        <v>4176</v>
      </c>
      <c r="O1802" s="25">
        <f t="shared" si="692"/>
        <v>3164</v>
      </c>
    </row>
    <row r="1803" ht="17.25" customHeight="1" spans="1:15">
      <c r="A1803" s="55">
        <v>1039045</v>
      </c>
      <c r="B1803" s="7" t="s">
        <v>367</v>
      </c>
      <c r="C1803" s="25">
        <f t="shared" ref="C1803:C1866" si="693">C1743</f>
        <v>45</v>
      </c>
      <c r="D1803" s="25">
        <f t="array" ref="D1803">INDEX(C$5:C$67,MATCH($B1803,$B$5:$B$67,0))</f>
        <v>3150</v>
      </c>
      <c r="E1803" s="25">
        <f t="array" ref="E1803">INDEX(D$5:D$67,MATCH($B1803,$B$5:$B$67,0))</f>
        <v>252</v>
      </c>
      <c r="F1803" s="25">
        <f t="array" ref="F1803">INDEX(E$5:E$67,MATCH($B1803,$B$5:$B$67,0))</f>
        <v>1155</v>
      </c>
      <c r="G1803" s="25">
        <f t="array" ref="G1803">INDEX(F$5:F$67,MATCH($B1803,$B$5:$B$67,0))</f>
        <v>92.4</v>
      </c>
      <c r="H1803" s="25">
        <f t="array" ref="H1803">INDEX(G$5:G$66,MATCH($B1803,$B$5:$B$67,0))</f>
        <v>924</v>
      </c>
      <c r="I1803" s="25">
        <f t="array" ref="I1803">INDEX(H$5:H$67,MATCH($B1803,$B$5:$B$67,0))</f>
        <v>73.92</v>
      </c>
      <c r="J1803" s="25">
        <f t="array" ref="J1803">INDEX(I$5:I$67,MATCH($B1803,$B$5:$B$67,0))</f>
        <v>700</v>
      </c>
      <c r="K1803" s="25">
        <f t="array" ref="K1803">INDEX(J$5:J$67,MATCH($B1803,$B$5:$B$67,0))</f>
        <v>56</v>
      </c>
      <c r="L1803" s="25">
        <f t="shared" si="689"/>
        <v>14490</v>
      </c>
      <c r="M1803" s="25">
        <f t="shared" si="690"/>
        <v>5313</v>
      </c>
      <c r="N1803" s="25">
        <f t="shared" si="691"/>
        <v>4250</v>
      </c>
      <c r="O1803" s="25">
        <f t="shared" si="692"/>
        <v>3220</v>
      </c>
    </row>
    <row r="1804" ht="17.25" customHeight="1" spans="1:15">
      <c r="A1804" s="55">
        <v>1039046</v>
      </c>
      <c r="B1804" s="7" t="s">
        <v>367</v>
      </c>
      <c r="C1804" s="25">
        <f t="shared" si="693"/>
        <v>46</v>
      </c>
      <c r="D1804" s="25">
        <f t="array" ref="D1804">INDEX(C$5:C$67,MATCH($B1804,$B$5:$B$67,0))</f>
        <v>3150</v>
      </c>
      <c r="E1804" s="25">
        <f t="array" ref="E1804">INDEX(D$5:D$67,MATCH($B1804,$B$5:$B$67,0))</f>
        <v>252</v>
      </c>
      <c r="F1804" s="25">
        <f t="array" ref="F1804">INDEX(E$5:E$67,MATCH($B1804,$B$5:$B$67,0))</f>
        <v>1155</v>
      </c>
      <c r="G1804" s="25">
        <f t="array" ref="G1804">INDEX(F$5:F$67,MATCH($B1804,$B$5:$B$67,0))</f>
        <v>92.4</v>
      </c>
      <c r="H1804" s="25">
        <f t="array" ref="H1804">INDEX(G$5:G$66,MATCH($B1804,$B$5:$B$67,0))</f>
        <v>924</v>
      </c>
      <c r="I1804" s="25">
        <f t="array" ref="I1804">INDEX(H$5:H$67,MATCH($B1804,$B$5:$B$67,0))</f>
        <v>73.92</v>
      </c>
      <c r="J1804" s="25">
        <f t="array" ref="J1804">INDEX(I$5:I$67,MATCH($B1804,$B$5:$B$67,0))</f>
        <v>700</v>
      </c>
      <c r="K1804" s="25">
        <f t="array" ref="K1804">INDEX(J$5:J$67,MATCH($B1804,$B$5:$B$67,0))</f>
        <v>56</v>
      </c>
      <c r="L1804" s="25">
        <f t="shared" si="689"/>
        <v>14742</v>
      </c>
      <c r="M1804" s="25">
        <f t="shared" si="690"/>
        <v>5405</v>
      </c>
      <c r="N1804" s="25">
        <f t="shared" si="691"/>
        <v>4324</v>
      </c>
      <c r="O1804" s="25">
        <f t="shared" si="692"/>
        <v>3276</v>
      </c>
    </row>
    <row r="1805" ht="17.25" customHeight="1" spans="1:15">
      <c r="A1805" s="55">
        <v>1039047</v>
      </c>
      <c r="B1805" s="7" t="s">
        <v>367</v>
      </c>
      <c r="C1805" s="25">
        <f t="shared" si="693"/>
        <v>47</v>
      </c>
      <c r="D1805" s="25">
        <f t="array" ref="D1805">INDEX(C$5:C$67,MATCH($B1805,$B$5:$B$67,0))</f>
        <v>3150</v>
      </c>
      <c r="E1805" s="25">
        <f t="array" ref="E1805">INDEX(D$5:D$67,MATCH($B1805,$B$5:$B$67,0))</f>
        <v>252</v>
      </c>
      <c r="F1805" s="25">
        <f t="array" ref="F1805">INDEX(E$5:E$67,MATCH($B1805,$B$5:$B$67,0))</f>
        <v>1155</v>
      </c>
      <c r="G1805" s="25">
        <f t="array" ref="G1805">INDEX(F$5:F$67,MATCH($B1805,$B$5:$B$67,0))</f>
        <v>92.4</v>
      </c>
      <c r="H1805" s="25">
        <f t="array" ref="H1805">INDEX(G$5:G$66,MATCH($B1805,$B$5:$B$67,0))</f>
        <v>924</v>
      </c>
      <c r="I1805" s="25">
        <f t="array" ref="I1805">INDEX(H$5:H$67,MATCH($B1805,$B$5:$B$67,0))</f>
        <v>73.92</v>
      </c>
      <c r="J1805" s="25">
        <f t="array" ref="J1805">INDEX(I$5:I$67,MATCH($B1805,$B$5:$B$67,0))</f>
        <v>700</v>
      </c>
      <c r="K1805" s="25">
        <f t="array" ref="K1805">INDEX(J$5:J$67,MATCH($B1805,$B$5:$B$67,0))</f>
        <v>56</v>
      </c>
      <c r="L1805" s="25">
        <f t="shared" si="689"/>
        <v>14994</v>
      </c>
      <c r="M1805" s="25">
        <f t="shared" si="690"/>
        <v>5498</v>
      </c>
      <c r="N1805" s="25">
        <f t="shared" si="691"/>
        <v>4398</v>
      </c>
      <c r="O1805" s="25">
        <f t="shared" si="692"/>
        <v>3332</v>
      </c>
    </row>
    <row r="1806" ht="17.25" customHeight="1" spans="1:15">
      <c r="A1806" s="55">
        <v>1039048</v>
      </c>
      <c r="B1806" s="7" t="s">
        <v>367</v>
      </c>
      <c r="C1806" s="25">
        <f t="shared" si="693"/>
        <v>48</v>
      </c>
      <c r="D1806" s="25">
        <f t="array" ref="D1806">INDEX(C$5:C$67,MATCH($B1806,$B$5:$B$67,0))</f>
        <v>3150</v>
      </c>
      <c r="E1806" s="25">
        <f t="array" ref="E1806">INDEX(D$5:D$67,MATCH($B1806,$B$5:$B$67,0))</f>
        <v>252</v>
      </c>
      <c r="F1806" s="25">
        <f t="array" ref="F1806">INDEX(E$5:E$67,MATCH($B1806,$B$5:$B$67,0))</f>
        <v>1155</v>
      </c>
      <c r="G1806" s="25">
        <f t="array" ref="G1806">INDEX(F$5:F$67,MATCH($B1806,$B$5:$B$67,0))</f>
        <v>92.4</v>
      </c>
      <c r="H1806" s="25">
        <f t="array" ref="H1806">INDEX(G$5:G$66,MATCH($B1806,$B$5:$B$67,0))</f>
        <v>924</v>
      </c>
      <c r="I1806" s="25">
        <f t="array" ref="I1806">INDEX(H$5:H$67,MATCH($B1806,$B$5:$B$67,0))</f>
        <v>73.92</v>
      </c>
      <c r="J1806" s="25">
        <f t="array" ref="J1806">INDEX(I$5:I$67,MATCH($B1806,$B$5:$B$67,0))</f>
        <v>700</v>
      </c>
      <c r="K1806" s="25">
        <f t="array" ref="K1806">INDEX(J$5:J$67,MATCH($B1806,$B$5:$B$67,0))</f>
        <v>56</v>
      </c>
      <c r="L1806" s="25">
        <f t="shared" si="689"/>
        <v>15246</v>
      </c>
      <c r="M1806" s="25">
        <f t="shared" si="690"/>
        <v>5590</v>
      </c>
      <c r="N1806" s="25">
        <f t="shared" si="691"/>
        <v>4472</v>
      </c>
      <c r="O1806" s="25">
        <f t="shared" si="692"/>
        <v>3388</v>
      </c>
    </row>
    <row r="1807" ht="17.25" customHeight="1" spans="1:15">
      <c r="A1807" s="55">
        <v>1039049</v>
      </c>
      <c r="B1807" s="7" t="s">
        <v>367</v>
      </c>
      <c r="C1807" s="25">
        <f t="shared" si="693"/>
        <v>49</v>
      </c>
      <c r="D1807" s="25">
        <f t="array" ref="D1807">INDEX(C$5:C$67,MATCH($B1807,$B$5:$B$67,0))</f>
        <v>3150</v>
      </c>
      <c r="E1807" s="25">
        <f t="array" ref="E1807">INDEX(D$5:D$67,MATCH($B1807,$B$5:$B$67,0))</f>
        <v>252</v>
      </c>
      <c r="F1807" s="25">
        <f t="array" ref="F1807">INDEX(E$5:E$67,MATCH($B1807,$B$5:$B$67,0))</f>
        <v>1155</v>
      </c>
      <c r="G1807" s="25">
        <f t="array" ref="G1807">INDEX(F$5:F$67,MATCH($B1807,$B$5:$B$67,0))</f>
        <v>92.4</v>
      </c>
      <c r="H1807" s="25">
        <f t="array" ref="H1807">INDEX(G$5:G$66,MATCH($B1807,$B$5:$B$67,0))</f>
        <v>924</v>
      </c>
      <c r="I1807" s="25">
        <f t="array" ref="I1807">INDEX(H$5:H$67,MATCH($B1807,$B$5:$B$67,0))</f>
        <v>73.92</v>
      </c>
      <c r="J1807" s="25">
        <f t="array" ref="J1807">INDEX(I$5:I$67,MATCH($B1807,$B$5:$B$67,0))</f>
        <v>700</v>
      </c>
      <c r="K1807" s="25">
        <f t="array" ref="K1807">INDEX(J$5:J$67,MATCH($B1807,$B$5:$B$67,0))</f>
        <v>56</v>
      </c>
      <c r="L1807" s="25">
        <f t="shared" ref="L1807:L1870" si="694">ROUND(D1807+E1807*$C1807,0)</f>
        <v>15498</v>
      </c>
      <c r="M1807" s="25">
        <f t="shared" ref="M1807:M1870" si="695">ROUND(F1807+G1807*$C1807,0)</f>
        <v>5683</v>
      </c>
      <c r="N1807" s="25">
        <f t="shared" ref="N1807:N1870" si="696">ROUND(H1807+I1807*$C1807,0)</f>
        <v>4546</v>
      </c>
      <c r="O1807" s="25">
        <f t="shared" ref="O1807:O1870" si="697">ROUND(J1807+K1807*$C1807,0)</f>
        <v>3444</v>
      </c>
    </row>
    <row r="1808" ht="17.25" customHeight="1" spans="1:15">
      <c r="A1808" s="55">
        <v>1039050</v>
      </c>
      <c r="B1808" s="7" t="s">
        <v>367</v>
      </c>
      <c r="C1808" s="25">
        <f t="shared" si="693"/>
        <v>50</v>
      </c>
      <c r="D1808" s="25">
        <f t="array" ref="D1808">INDEX(C$5:C$67,MATCH($B1808,$B$5:$B$67,0))</f>
        <v>3150</v>
      </c>
      <c r="E1808" s="25">
        <f t="array" ref="E1808">INDEX(D$5:D$67,MATCH($B1808,$B$5:$B$67,0))</f>
        <v>252</v>
      </c>
      <c r="F1808" s="25">
        <f t="array" ref="F1808">INDEX(E$5:E$67,MATCH($B1808,$B$5:$B$67,0))</f>
        <v>1155</v>
      </c>
      <c r="G1808" s="25">
        <f t="array" ref="G1808">INDEX(F$5:F$67,MATCH($B1808,$B$5:$B$67,0))</f>
        <v>92.4</v>
      </c>
      <c r="H1808" s="25">
        <f t="array" ref="H1808">INDEX(G$5:G$66,MATCH($B1808,$B$5:$B$67,0))</f>
        <v>924</v>
      </c>
      <c r="I1808" s="25">
        <f t="array" ref="I1808">INDEX(H$5:H$67,MATCH($B1808,$B$5:$B$67,0))</f>
        <v>73.92</v>
      </c>
      <c r="J1808" s="25">
        <f t="array" ref="J1808">INDEX(I$5:I$67,MATCH($B1808,$B$5:$B$67,0))</f>
        <v>700</v>
      </c>
      <c r="K1808" s="25">
        <f t="array" ref="K1808">INDEX(J$5:J$67,MATCH($B1808,$B$5:$B$67,0))</f>
        <v>56</v>
      </c>
      <c r="L1808" s="25">
        <f t="shared" si="694"/>
        <v>15750</v>
      </c>
      <c r="M1808" s="25">
        <f t="shared" si="695"/>
        <v>5775</v>
      </c>
      <c r="N1808" s="25">
        <f t="shared" si="696"/>
        <v>4620</v>
      </c>
      <c r="O1808" s="25">
        <f t="shared" si="697"/>
        <v>3500</v>
      </c>
    </row>
    <row r="1809" ht="17.25" customHeight="1" spans="1:15">
      <c r="A1809" s="55">
        <v>1039051</v>
      </c>
      <c r="B1809" s="7" t="s">
        <v>367</v>
      </c>
      <c r="C1809" s="25">
        <f t="shared" si="693"/>
        <v>51</v>
      </c>
      <c r="D1809" s="25">
        <f t="array" ref="D1809">INDEX(C$5:C$67,MATCH($B1809,$B$5:$B$67,0))</f>
        <v>3150</v>
      </c>
      <c r="E1809" s="25">
        <f t="array" ref="E1809">INDEX(D$5:D$67,MATCH($B1809,$B$5:$B$67,0))</f>
        <v>252</v>
      </c>
      <c r="F1809" s="25">
        <f t="array" ref="F1809">INDEX(E$5:E$67,MATCH($B1809,$B$5:$B$67,0))</f>
        <v>1155</v>
      </c>
      <c r="G1809" s="25">
        <f t="array" ref="G1809">INDEX(F$5:F$67,MATCH($B1809,$B$5:$B$67,0))</f>
        <v>92.4</v>
      </c>
      <c r="H1809" s="25">
        <f t="array" ref="H1809">INDEX(G$5:G$66,MATCH($B1809,$B$5:$B$67,0))</f>
        <v>924</v>
      </c>
      <c r="I1809" s="25">
        <f t="array" ref="I1809">INDEX(H$5:H$67,MATCH($B1809,$B$5:$B$67,0))</f>
        <v>73.92</v>
      </c>
      <c r="J1809" s="25">
        <f t="array" ref="J1809">INDEX(I$5:I$67,MATCH($B1809,$B$5:$B$67,0))</f>
        <v>700</v>
      </c>
      <c r="K1809" s="25">
        <f t="array" ref="K1809">INDEX(J$5:J$67,MATCH($B1809,$B$5:$B$67,0))</f>
        <v>56</v>
      </c>
      <c r="L1809" s="25">
        <f t="shared" si="694"/>
        <v>16002</v>
      </c>
      <c r="M1809" s="25">
        <f t="shared" si="695"/>
        <v>5867</v>
      </c>
      <c r="N1809" s="25">
        <f t="shared" si="696"/>
        <v>4694</v>
      </c>
      <c r="O1809" s="25">
        <f t="shared" si="697"/>
        <v>3556</v>
      </c>
    </row>
    <row r="1810" ht="17.25" customHeight="1" spans="1:15">
      <c r="A1810" s="55">
        <v>1039052</v>
      </c>
      <c r="B1810" s="7" t="s">
        <v>367</v>
      </c>
      <c r="C1810" s="25">
        <f t="shared" si="693"/>
        <v>52</v>
      </c>
      <c r="D1810" s="25">
        <f t="array" ref="D1810">INDEX(C$5:C$67,MATCH($B1810,$B$5:$B$67,0))</f>
        <v>3150</v>
      </c>
      <c r="E1810" s="25">
        <f t="array" ref="E1810">INDEX(D$5:D$67,MATCH($B1810,$B$5:$B$67,0))</f>
        <v>252</v>
      </c>
      <c r="F1810" s="25">
        <f t="array" ref="F1810">INDEX(E$5:E$67,MATCH($B1810,$B$5:$B$67,0))</f>
        <v>1155</v>
      </c>
      <c r="G1810" s="25">
        <f t="array" ref="G1810">INDEX(F$5:F$67,MATCH($B1810,$B$5:$B$67,0))</f>
        <v>92.4</v>
      </c>
      <c r="H1810" s="25">
        <f t="array" ref="H1810">INDEX(G$5:G$66,MATCH($B1810,$B$5:$B$67,0))</f>
        <v>924</v>
      </c>
      <c r="I1810" s="25">
        <f t="array" ref="I1810">INDEX(H$5:H$67,MATCH($B1810,$B$5:$B$67,0))</f>
        <v>73.92</v>
      </c>
      <c r="J1810" s="25">
        <f t="array" ref="J1810">INDEX(I$5:I$67,MATCH($B1810,$B$5:$B$67,0))</f>
        <v>700</v>
      </c>
      <c r="K1810" s="25">
        <f t="array" ref="K1810">INDEX(J$5:J$67,MATCH($B1810,$B$5:$B$67,0))</f>
        <v>56</v>
      </c>
      <c r="L1810" s="25">
        <f t="shared" si="694"/>
        <v>16254</v>
      </c>
      <c r="M1810" s="25">
        <f t="shared" si="695"/>
        <v>5960</v>
      </c>
      <c r="N1810" s="25">
        <f t="shared" si="696"/>
        <v>4768</v>
      </c>
      <c r="O1810" s="25">
        <f t="shared" si="697"/>
        <v>3612</v>
      </c>
    </row>
    <row r="1811" ht="17.25" customHeight="1" spans="1:15">
      <c r="A1811" s="55">
        <v>1039053</v>
      </c>
      <c r="B1811" s="7" t="s">
        <v>367</v>
      </c>
      <c r="C1811" s="25">
        <f t="shared" si="693"/>
        <v>53</v>
      </c>
      <c r="D1811" s="25">
        <f t="array" ref="D1811">INDEX(C$5:C$67,MATCH($B1811,$B$5:$B$67,0))</f>
        <v>3150</v>
      </c>
      <c r="E1811" s="25">
        <f t="array" ref="E1811">INDEX(D$5:D$67,MATCH($B1811,$B$5:$B$67,0))</f>
        <v>252</v>
      </c>
      <c r="F1811" s="25">
        <f t="array" ref="F1811">INDEX(E$5:E$67,MATCH($B1811,$B$5:$B$67,0))</f>
        <v>1155</v>
      </c>
      <c r="G1811" s="25">
        <f t="array" ref="G1811">INDEX(F$5:F$67,MATCH($B1811,$B$5:$B$67,0))</f>
        <v>92.4</v>
      </c>
      <c r="H1811" s="25">
        <f t="array" ref="H1811">INDEX(G$5:G$66,MATCH($B1811,$B$5:$B$67,0))</f>
        <v>924</v>
      </c>
      <c r="I1811" s="25">
        <f t="array" ref="I1811">INDEX(H$5:H$67,MATCH($B1811,$B$5:$B$67,0))</f>
        <v>73.92</v>
      </c>
      <c r="J1811" s="25">
        <f t="array" ref="J1811">INDEX(I$5:I$67,MATCH($B1811,$B$5:$B$67,0))</f>
        <v>700</v>
      </c>
      <c r="K1811" s="25">
        <f t="array" ref="K1811">INDEX(J$5:J$67,MATCH($B1811,$B$5:$B$67,0))</f>
        <v>56</v>
      </c>
      <c r="L1811" s="25">
        <f t="shared" si="694"/>
        <v>16506</v>
      </c>
      <c r="M1811" s="25">
        <f t="shared" si="695"/>
        <v>6052</v>
      </c>
      <c r="N1811" s="25">
        <f t="shared" si="696"/>
        <v>4842</v>
      </c>
      <c r="O1811" s="25">
        <f t="shared" si="697"/>
        <v>3668</v>
      </c>
    </row>
    <row r="1812" ht="17.25" customHeight="1" spans="1:15">
      <c r="A1812" s="55">
        <v>1039054</v>
      </c>
      <c r="B1812" s="7" t="s">
        <v>367</v>
      </c>
      <c r="C1812" s="25">
        <f t="shared" si="693"/>
        <v>54</v>
      </c>
      <c r="D1812" s="25">
        <f t="array" ref="D1812">INDEX(C$5:C$67,MATCH($B1812,$B$5:$B$67,0))</f>
        <v>3150</v>
      </c>
      <c r="E1812" s="25">
        <f t="array" ref="E1812">INDEX(D$5:D$67,MATCH($B1812,$B$5:$B$67,0))</f>
        <v>252</v>
      </c>
      <c r="F1812" s="25">
        <f t="array" ref="F1812">INDEX(E$5:E$67,MATCH($B1812,$B$5:$B$67,0))</f>
        <v>1155</v>
      </c>
      <c r="G1812" s="25">
        <f t="array" ref="G1812">INDEX(F$5:F$67,MATCH($B1812,$B$5:$B$67,0))</f>
        <v>92.4</v>
      </c>
      <c r="H1812" s="25">
        <f t="array" ref="H1812">INDEX(G$5:G$66,MATCH($B1812,$B$5:$B$67,0))</f>
        <v>924</v>
      </c>
      <c r="I1812" s="25">
        <f t="array" ref="I1812">INDEX(H$5:H$67,MATCH($B1812,$B$5:$B$67,0))</f>
        <v>73.92</v>
      </c>
      <c r="J1812" s="25">
        <f t="array" ref="J1812">INDEX(I$5:I$67,MATCH($B1812,$B$5:$B$67,0))</f>
        <v>700</v>
      </c>
      <c r="K1812" s="25">
        <f t="array" ref="K1812">INDEX(J$5:J$67,MATCH($B1812,$B$5:$B$67,0))</f>
        <v>56</v>
      </c>
      <c r="L1812" s="25">
        <f t="shared" si="694"/>
        <v>16758</v>
      </c>
      <c r="M1812" s="25">
        <f t="shared" si="695"/>
        <v>6145</v>
      </c>
      <c r="N1812" s="25">
        <f t="shared" si="696"/>
        <v>4916</v>
      </c>
      <c r="O1812" s="25">
        <f t="shared" si="697"/>
        <v>3724</v>
      </c>
    </row>
    <row r="1813" ht="17.25" customHeight="1" spans="1:15">
      <c r="A1813" s="55">
        <v>1039055</v>
      </c>
      <c r="B1813" s="7" t="s">
        <v>367</v>
      </c>
      <c r="C1813" s="25">
        <f t="shared" si="693"/>
        <v>55</v>
      </c>
      <c r="D1813" s="25">
        <f t="array" ref="D1813">INDEX(C$5:C$67,MATCH($B1813,$B$5:$B$67,0))</f>
        <v>3150</v>
      </c>
      <c r="E1813" s="25">
        <f t="array" ref="E1813">INDEX(D$5:D$67,MATCH($B1813,$B$5:$B$67,0))</f>
        <v>252</v>
      </c>
      <c r="F1813" s="25">
        <f t="array" ref="F1813">INDEX(E$5:E$67,MATCH($B1813,$B$5:$B$67,0))</f>
        <v>1155</v>
      </c>
      <c r="G1813" s="25">
        <f t="array" ref="G1813">INDEX(F$5:F$67,MATCH($B1813,$B$5:$B$67,0))</f>
        <v>92.4</v>
      </c>
      <c r="H1813" s="25">
        <f t="array" ref="H1813">INDEX(G$5:G$66,MATCH($B1813,$B$5:$B$67,0))</f>
        <v>924</v>
      </c>
      <c r="I1813" s="25">
        <f t="array" ref="I1813">INDEX(H$5:H$67,MATCH($B1813,$B$5:$B$67,0))</f>
        <v>73.92</v>
      </c>
      <c r="J1813" s="25">
        <f t="array" ref="J1813">INDEX(I$5:I$67,MATCH($B1813,$B$5:$B$67,0))</f>
        <v>700</v>
      </c>
      <c r="K1813" s="25">
        <f t="array" ref="K1813">INDEX(J$5:J$67,MATCH($B1813,$B$5:$B$67,0))</f>
        <v>56</v>
      </c>
      <c r="L1813" s="25">
        <f t="shared" si="694"/>
        <v>17010</v>
      </c>
      <c r="M1813" s="25">
        <f t="shared" si="695"/>
        <v>6237</v>
      </c>
      <c r="N1813" s="25">
        <f t="shared" si="696"/>
        <v>4990</v>
      </c>
      <c r="O1813" s="25">
        <f t="shared" si="697"/>
        <v>3780</v>
      </c>
    </row>
    <row r="1814" ht="17.25" customHeight="1" spans="1:15">
      <c r="A1814" s="55">
        <v>1039056</v>
      </c>
      <c r="B1814" s="7" t="s">
        <v>367</v>
      </c>
      <c r="C1814" s="25">
        <f t="shared" si="693"/>
        <v>56</v>
      </c>
      <c r="D1814" s="25">
        <f t="array" ref="D1814">INDEX(C$5:C$67,MATCH($B1814,$B$5:$B$67,0))</f>
        <v>3150</v>
      </c>
      <c r="E1814" s="25">
        <f t="array" ref="E1814">INDEX(D$5:D$67,MATCH($B1814,$B$5:$B$67,0))</f>
        <v>252</v>
      </c>
      <c r="F1814" s="25">
        <f t="array" ref="F1814">INDEX(E$5:E$67,MATCH($B1814,$B$5:$B$67,0))</f>
        <v>1155</v>
      </c>
      <c r="G1814" s="25">
        <f t="array" ref="G1814">INDEX(F$5:F$67,MATCH($B1814,$B$5:$B$67,0))</f>
        <v>92.4</v>
      </c>
      <c r="H1814" s="25">
        <f t="array" ref="H1814">INDEX(G$5:G$66,MATCH($B1814,$B$5:$B$67,0))</f>
        <v>924</v>
      </c>
      <c r="I1814" s="25">
        <f t="array" ref="I1814">INDEX(H$5:H$67,MATCH($B1814,$B$5:$B$67,0))</f>
        <v>73.92</v>
      </c>
      <c r="J1814" s="25">
        <f t="array" ref="J1814">INDEX(I$5:I$67,MATCH($B1814,$B$5:$B$67,0))</f>
        <v>700</v>
      </c>
      <c r="K1814" s="25">
        <f t="array" ref="K1814">INDEX(J$5:J$67,MATCH($B1814,$B$5:$B$67,0))</f>
        <v>56</v>
      </c>
      <c r="L1814" s="25">
        <f t="shared" si="694"/>
        <v>17262</v>
      </c>
      <c r="M1814" s="25">
        <f t="shared" si="695"/>
        <v>6329</v>
      </c>
      <c r="N1814" s="25">
        <f t="shared" si="696"/>
        <v>5064</v>
      </c>
      <c r="O1814" s="25">
        <f t="shared" si="697"/>
        <v>3836</v>
      </c>
    </row>
    <row r="1815" ht="17.25" customHeight="1" spans="1:15">
      <c r="A1815" s="55">
        <v>1039057</v>
      </c>
      <c r="B1815" s="7" t="s">
        <v>367</v>
      </c>
      <c r="C1815" s="25">
        <f t="shared" si="693"/>
        <v>57</v>
      </c>
      <c r="D1815" s="25">
        <f t="array" ref="D1815">INDEX(C$5:C$67,MATCH($B1815,$B$5:$B$67,0))</f>
        <v>3150</v>
      </c>
      <c r="E1815" s="25">
        <f t="array" ref="E1815">INDEX(D$5:D$67,MATCH($B1815,$B$5:$B$67,0))</f>
        <v>252</v>
      </c>
      <c r="F1815" s="25">
        <f t="array" ref="F1815">INDEX(E$5:E$67,MATCH($B1815,$B$5:$B$67,0))</f>
        <v>1155</v>
      </c>
      <c r="G1815" s="25">
        <f t="array" ref="G1815">INDEX(F$5:F$67,MATCH($B1815,$B$5:$B$67,0))</f>
        <v>92.4</v>
      </c>
      <c r="H1815" s="25">
        <f t="array" ref="H1815">INDEX(G$5:G$66,MATCH($B1815,$B$5:$B$67,0))</f>
        <v>924</v>
      </c>
      <c r="I1815" s="25">
        <f t="array" ref="I1815">INDEX(H$5:H$67,MATCH($B1815,$B$5:$B$67,0))</f>
        <v>73.92</v>
      </c>
      <c r="J1815" s="25">
        <f t="array" ref="J1815">INDEX(I$5:I$67,MATCH($B1815,$B$5:$B$67,0))</f>
        <v>700</v>
      </c>
      <c r="K1815" s="25">
        <f t="array" ref="K1815">INDEX(J$5:J$67,MATCH($B1815,$B$5:$B$67,0))</f>
        <v>56</v>
      </c>
      <c r="L1815" s="25">
        <f t="shared" si="694"/>
        <v>17514</v>
      </c>
      <c r="M1815" s="25">
        <f t="shared" si="695"/>
        <v>6422</v>
      </c>
      <c r="N1815" s="25">
        <f t="shared" si="696"/>
        <v>5137</v>
      </c>
      <c r="O1815" s="25">
        <f t="shared" si="697"/>
        <v>3892</v>
      </c>
    </row>
    <row r="1816" ht="17.25" customHeight="1" spans="1:15">
      <c r="A1816" s="55">
        <v>1039058</v>
      </c>
      <c r="B1816" s="7" t="s">
        <v>367</v>
      </c>
      <c r="C1816" s="25">
        <f t="shared" si="693"/>
        <v>58</v>
      </c>
      <c r="D1816" s="25">
        <f t="array" ref="D1816">INDEX(C$5:C$67,MATCH($B1816,$B$5:$B$67,0))</f>
        <v>3150</v>
      </c>
      <c r="E1816" s="25">
        <f t="array" ref="E1816">INDEX(D$5:D$67,MATCH($B1816,$B$5:$B$67,0))</f>
        <v>252</v>
      </c>
      <c r="F1816" s="25">
        <f t="array" ref="F1816">INDEX(E$5:E$67,MATCH($B1816,$B$5:$B$67,0))</f>
        <v>1155</v>
      </c>
      <c r="G1816" s="25">
        <f t="array" ref="G1816">INDEX(F$5:F$67,MATCH($B1816,$B$5:$B$67,0))</f>
        <v>92.4</v>
      </c>
      <c r="H1816" s="25">
        <f t="array" ref="H1816">INDEX(G$5:G$66,MATCH($B1816,$B$5:$B$67,0))</f>
        <v>924</v>
      </c>
      <c r="I1816" s="25">
        <f t="array" ref="I1816">INDEX(H$5:H$67,MATCH($B1816,$B$5:$B$67,0))</f>
        <v>73.92</v>
      </c>
      <c r="J1816" s="25">
        <f t="array" ref="J1816">INDEX(I$5:I$67,MATCH($B1816,$B$5:$B$67,0))</f>
        <v>700</v>
      </c>
      <c r="K1816" s="25">
        <f t="array" ref="K1816">INDEX(J$5:J$67,MATCH($B1816,$B$5:$B$67,0))</f>
        <v>56</v>
      </c>
      <c r="L1816" s="25">
        <f t="shared" si="694"/>
        <v>17766</v>
      </c>
      <c r="M1816" s="25">
        <f t="shared" si="695"/>
        <v>6514</v>
      </c>
      <c r="N1816" s="25">
        <f t="shared" si="696"/>
        <v>5211</v>
      </c>
      <c r="O1816" s="25">
        <f t="shared" si="697"/>
        <v>3948</v>
      </c>
    </row>
    <row r="1817" ht="17.25" customHeight="1" spans="1:15">
      <c r="A1817" s="55">
        <v>1039059</v>
      </c>
      <c r="B1817" s="7" t="s">
        <v>367</v>
      </c>
      <c r="C1817" s="25">
        <f t="shared" si="693"/>
        <v>59</v>
      </c>
      <c r="D1817" s="25">
        <f t="array" ref="D1817">INDEX(C$5:C$67,MATCH($B1817,$B$5:$B$67,0))</f>
        <v>3150</v>
      </c>
      <c r="E1817" s="25">
        <f t="array" ref="E1817">INDEX(D$5:D$67,MATCH($B1817,$B$5:$B$67,0))</f>
        <v>252</v>
      </c>
      <c r="F1817" s="25">
        <f t="array" ref="F1817">INDEX(E$5:E$67,MATCH($B1817,$B$5:$B$67,0))</f>
        <v>1155</v>
      </c>
      <c r="G1817" s="25">
        <f t="array" ref="G1817">INDEX(F$5:F$67,MATCH($B1817,$B$5:$B$67,0))</f>
        <v>92.4</v>
      </c>
      <c r="H1817" s="25">
        <f t="array" ref="H1817">INDEX(G$5:G$66,MATCH($B1817,$B$5:$B$67,0))</f>
        <v>924</v>
      </c>
      <c r="I1817" s="25">
        <f t="array" ref="I1817">INDEX(H$5:H$67,MATCH($B1817,$B$5:$B$67,0))</f>
        <v>73.92</v>
      </c>
      <c r="J1817" s="25">
        <f t="array" ref="J1817">INDEX(I$5:I$67,MATCH($B1817,$B$5:$B$67,0))</f>
        <v>700</v>
      </c>
      <c r="K1817" s="25">
        <f t="array" ref="K1817">INDEX(J$5:J$67,MATCH($B1817,$B$5:$B$67,0))</f>
        <v>56</v>
      </c>
      <c r="L1817" s="25">
        <f t="shared" si="694"/>
        <v>18018</v>
      </c>
      <c r="M1817" s="25">
        <f t="shared" si="695"/>
        <v>6607</v>
      </c>
      <c r="N1817" s="25">
        <f t="shared" si="696"/>
        <v>5285</v>
      </c>
      <c r="O1817" s="25">
        <f t="shared" si="697"/>
        <v>4004</v>
      </c>
    </row>
    <row r="1818" ht="17.25" customHeight="1" spans="1:15">
      <c r="A1818" s="55">
        <v>1039060</v>
      </c>
      <c r="B1818" s="7" t="s">
        <v>367</v>
      </c>
      <c r="C1818" s="25">
        <f t="shared" si="693"/>
        <v>60</v>
      </c>
      <c r="D1818" s="25">
        <f t="array" ref="D1818">INDEX(C$5:C$67,MATCH($B1818,$B$5:$B$67,0))</f>
        <v>3150</v>
      </c>
      <c r="E1818" s="25">
        <f t="array" ref="E1818">INDEX(D$5:D$67,MATCH($B1818,$B$5:$B$67,0))</f>
        <v>252</v>
      </c>
      <c r="F1818" s="25">
        <f t="array" ref="F1818">INDEX(E$5:E$67,MATCH($B1818,$B$5:$B$67,0))</f>
        <v>1155</v>
      </c>
      <c r="G1818" s="25">
        <f t="array" ref="G1818">INDEX(F$5:F$67,MATCH($B1818,$B$5:$B$67,0))</f>
        <v>92.4</v>
      </c>
      <c r="H1818" s="25">
        <f t="array" ref="H1818">INDEX(G$5:G$66,MATCH($B1818,$B$5:$B$67,0))</f>
        <v>924</v>
      </c>
      <c r="I1818" s="25">
        <f t="array" ref="I1818">INDEX(H$5:H$67,MATCH($B1818,$B$5:$B$67,0))</f>
        <v>73.92</v>
      </c>
      <c r="J1818" s="25">
        <f t="array" ref="J1818">INDEX(I$5:I$67,MATCH($B1818,$B$5:$B$67,0))</f>
        <v>700</v>
      </c>
      <c r="K1818" s="25">
        <f t="array" ref="K1818">INDEX(J$5:J$67,MATCH($B1818,$B$5:$B$67,0))</f>
        <v>56</v>
      </c>
      <c r="L1818" s="25">
        <f t="shared" si="694"/>
        <v>18270</v>
      </c>
      <c r="M1818" s="25">
        <f t="shared" si="695"/>
        <v>6699</v>
      </c>
      <c r="N1818" s="25">
        <f t="shared" si="696"/>
        <v>5359</v>
      </c>
      <c r="O1818" s="25">
        <f t="shared" si="697"/>
        <v>4060</v>
      </c>
    </row>
    <row r="1819" ht="17.25" customHeight="1" spans="1:15">
      <c r="A1819" s="55">
        <v>1040001</v>
      </c>
      <c r="B1819" s="7" t="s">
        <v>368</v>
      </c>
      <c r="C1819" s="25">
        <f t="shared" si="693"/>
        <v>1</v>
      </c>
      <c r="D1819" s="25">
        <f t="array" ref="D1819">INDEX(C$5:C$67,MATCH($B1819,$B$5:$B$67,0))</f>
        <v>4000</v>
      </c>
      <c r="E1819" s="25">
        <f t="array" ref="E1819">INDEX(D$5:D$67,MATCH($B1819,$B$5:$B$67,0))</f>
        <v>320</v>
      </c>
      <c r="F1819" s="25">
        <f t="array" ref="F1819">INDEX(E$5:E$67,MATCH($B1819,$B$5:$B$67,0))</f>
        <v>881</v>
      </c>
      <c r="G1819" s="25">
        <f t="array" ref="G1819">INDEX(F$5:F$67,MATCH($B1819,$B$5:$B$67,0))</f>
        <v>70.48</v>
      </c>
      <c r="H1819" s="25">
        <f t="array" ref="H1819">INDEX(G$5:G$66,MATCH($B1819,$B$5:$B$67,0))</f>
        <v>1058</v>
      </c>
      <c r="I1819" s="25">
        <f t="array" ref="I1819">INDEX(H$5:H$67,MATCH($B1819,$B$5:$B$67,0))</f>
        <v>84.64</v>
      </c>
      <c r="J1819" s="25">
        <f t="array" ref="J1819">INDEX(I$5:I$67,MATCH($B1819,$B$5:$B$67,0))</f>
        <v>880</v>
      </c>
      <c r="K1819" s="25">
        <f t="array" ref="K1819">INDEX(J$5:J$67,MATCH($B1819,$B$5:$B$67,0))</f>
        <v>70.4</v>
      </c>
      <c r="L1819" s="25">
        <f t="shared" si="694"/>
        <v>4320</v>
      </c>
      <c r="M1819" s="25">
        <f t="shared" si="695"/>
        <v>951</v>
      </c>
      <c r="N1819" s="25">
        <f t="shared" si="696"/>
        <v>1143</v>
      </c>
      <c r="O1819" s="25">
        <f t="shared" si="697"/>
        <v>950</v>
      </c>
    </row>
    <row r="1820" ht="17.25" customHeight="1" spans="1:15">
      <c r="A1820" s="55">
        <v>1040002</v>
      </c>
      <c r="B1820" s="7" t="s">
        <v>368</v>
      </c>
      <c r="C1820" s="25">
        <f t="shared" si="693"/>
        <v>2</v>
      </c>
      <c r="D1820" s="25">
        <f t="array" ref="D1820">INDEX(C$5:C$67,MATCH($B1820,$B$5:$B$67,0))</f>
        <v>4000</v>
      </c>
      <c r="E1820" s="25">
        <f t="array" ref="E1820">INDEX(D$5:D$67,MATCH($B1820,$B$5:$B$67,0))</f>
        <v>320</v>
      </c>
      <c r="F1820" s="25">
        <f t="array" ref="F1820">INDEX(E$5:E$67,MATCH($B1820,$B$5:$B$67,0))</f>
        <v>881</v>
      </c>
      <c r="G1820" s="25">
        <f t="array" ref="G1820">INDEX(F$5:F$67,MATCH($B1820,$B$5:$B$67,0))</f>
        <v>70.48</v>
      </c>
      <c r="H1820" s="25">
        <f t="array" ref="H1820">INDEX(G$5:G$66,MATCH($B1820,$B$5:$B$67,0))</f>
        <v>1058</v>
      </c>
      <c r="I1820" s="25">
        <f t="array" ref="I1820">INDEX(H$5:H$67,MATCH($B1820,$B$5:$B$67,0))</f>
        <v>84.64</v>
      </c>
      <c r="J1820" s="25">
        <f t="array" ref="J1820">INDEX(I$5:I$67,MATCH($B1820,$B$5:$B$67,0))</f>
        <v>880</v>
      </c>
      <c r="K1820" s="25">
        <f t="array" ref="K1820">INDEX(J$5:J$67,MATCH($B1820,$B$5:$B$67,0))</f>
        <v>70.4</v>
      </c>
      <c r="L1820" s="25">
        <f t="shared" si="694"/>
        <v>4640</v>
      </c>
      <c r="M1820" s="25">
        <f t="shared" si="695"/>
        <v>1022</v>
      </c>
      <c r="N1820" s="25">
        <f t="shared" si="696"/>
        <v>1227</v>
      </c>
      <c r="O1820" s="25">
        <f t="shared" si="697"/>
        <v>1021</v>
      </c>
    </row>
    <row r="1821" ht="17.25" customHeight="1" spans="1:15">
      <c r="A1821" s="55">
        <v>1040003</v>
      </c>
      <c r="B1821" s="7" t="s">
        <v>368</v>
      </c>
      <c r="C1821" s="25">
        <f t="shared" si="693"/>
        <v>3</v>
      </c>
      <c r="D1821" s="25">
        <f t="array" ref="D1821">INDEX(C$5:C$67,MATCH($B1821,$B$5:$B$67,0))</f>
        <v>4000</v>
      </c>
      <c r="E1821" s="25">
        <f t="array" ref="E1821">INDEX(D$5:D$67,MATCH($B1821,$B$5:$B$67,0))</f>
        <v>320</v>
      </c>
      <c r="F1821" s="25">
        <f t="array" ref="F1821">INDEX(E$5:E$67,MATCH($B1821,$B$5:$B$67,0))</f>
        <v>881</v>
      </c>
      <c r="G1821" s="25">
        <f t="array" ref="G1821">INDEX(F$5:F$67,MATCH($B1821,$B$5:$B$67,0))</f>
        <v>70.48</v>
      </c>
      <c r="H1821" s="25">
        <f t="array" ref="H1821">INDEX(G$5:G$66,MATCH($B1821,$B$5:$B$67,0))</f>
        <v>1058</v>
      </c>
      <c r="I1821" s="25">
        <f t="array" ref="I1821">INDEX(H$5:H$67,MATCH($B1821,$B$5:$B$67,0))</f>
        <v>84.64</v>
      </c>
      <c r="J1821" s="25">
        <f t="array" ref="J1821">INDEX(I$5:I$67,MATCH($B1821,$B$5:$B$67,0))</f>
        <v>880</v>
      </c>
      <c r="K1821" s="25">
        <f t="array" ref="K1821">INDEX(J$5:J$67,MATCH($B1821,$B$5:$B$67,0))</f>
        <v>70.4</v>
      </c>
      <c r="L1821" s="25">
        <f t="shared" si="694"/>
        <v>4960</v>
      </c>
      <c r="M1821" s="25">
        <f t="shared" si="695"/>
        <v>1092</v>
      </c>
      <c r="N1821" s="25">
        <f t="shared" si="696"/>
        <v>1312</v>
      </c>
      <c r="O1821" s="25">
        <f t="shared" si="697"/>
        <v>1091</v>
      </c>
    </row>
    <row r="1822" ht="17.25" customHeight="1" spans="1:15">
      <c r="A1822" s="55">
        <v>1040004</v>
      </c>
      <c r="B1822" s="7" t="s">
        <v>368</v>
      </c>
      <c r="C1822" s="25">
        <f t="shared" si="693"/>
        <v>4</v>
      </c>
      <c r="D1822" s="25">
        <f t="array" ref="D1822">INDEX(C$5:C$67,MATCH($B1822,$B$5:$B$67,0))</f>
        <v>4000</v>
      </c>
      <c r="E1822" s="25">
        <f t="array" ref="E1822">INDEX(D$5:D$67,MATCH($B1822,$B$5:$B$67,0))</f>
        <v>320</v>
      </c>
      <c r="F1822" s="25">
        <f t="array" ref="F1822">INDEX(E$5:E$67,MATCH($B1822,$B$5:$B$67,0))</f>
        <v>881</v>
      </c>
      <c r="G1822" s="25">
        <f t="array" ref="G1822">INDEX(F$5:F$67,MATCH($B1822,$B$5:$B$67,0))</f>
        <v>70.48</v>
      </c>
      <c r="H1822" s="25">
        <f t="array" ref="H1822">INDEX(G$5:G$66,MATCH($B1822,$B$5:$B$67,0))</f>
        <v>1058</v>
      </c>
      <c r="I1822" s="25">
        <f t="array" ref="I1822">INDEX(H$5:H$67,MATCH($B1822,$B$5:$B$67,0))</f>
        <v>84.64</v>
      </c>
      <c r="J1822" s="25">
        <f t="array" ref="J1822">INDEX(I$5:I$67,MATCH($B1822,$B$5:$B$67,0))</f>
        <v>880</v>
      </c>
      <c r="K1822" s="25">
        <f t="array" ref="K1822">INDEX(J$5:J$67,MATCH($B1822,$B$5:$B$67,0))</f>
        <v>70.4</v>
      </c>
      <c r="L1822" s="25">
        <f t="shared" si="694"/>
        <v>5280</v>
      </c>
      <c r="M1822" s="25">
        <f t="shared" si="695"/>
        <v>1163</v>
      </c>
      <c r="N1822" s="25">
        <f t="shared" si="696"/>
        <v>1397</v>
      </c>
      <c r="O1822" s="25">
        <f t="shared" si="697"/>
        <v>1162</v>
      </c>
    </row>
    <row r="1823" ht="17.25" customHeight="1" spans="1:15">
      <c r="A1823" s="55">
        <v>1040005</v>
      </c>
      <c r="B1823" s="7" t="s">
        <v>368</v>
      </c>
      <c r="C1823" s="25">
        <f t="shared" si="693"/>
        <v>5</v>
      </c>
      <c r="D1823" s="25">
        <f t="array" ref="D1823">INDEX(C$5:C$67,MATCH($B1823,$B$5:$B$67,0))</f>
        <v>4000</v>
      </c>
      <c r="E1823" s="25">
        <f t="array" ref="E1823">INDEX(D$5:D$67,MATCH($B1823,$B$5:$B$67,0))</f>
        <v>320</v>
      </c>
      <c r="F1823" s="25">
        <f t="array" ref="F1823">INDEX(E$5:E$67,MATCH($B1823,$B$5:$B$67,0))</f>
        <v>881</v>
      </c>
      <c r="G1823" s="25">
        <f t="array" ref="G1823">INDEX(F$5:F$67,MATCH($B1823,$B$5:$B$67,0))</f>
        <v>70.48</v>
      </c>
      <c r="H1823" s="25">
        <f t="array" ref="H1823">INDEX(G$5:G$66,MATCH($B1823,$B$5:$B$67,0))</f>
        <v>1058</v>
      </c>
      <c r="I1823" s="25">
        <f t="array" ref="I1823">INDEX(H$5:H$67,MATCH($B1823,$B$5:$B$67,0))</f>
        <v>84.64</v>
      </c>
      <c r="J1823" s="25">
        <f t="array" ref="J1823">INDEX(I$5:I$67,MATCH($B1823,$B$5:$B$67,0))</f>
        <v>880</v>
      </c>
      <c r="K1823" s="25">
        <f t="array" ref="K1823">INDEX(J$5:J$67,MATCH($B1823,$B$5:$B$67,0))</f>
        <v>70.4</v>
      </c>
      <c r="L1823" s="25">
        <f t="shared" si="694"/>
        <v>5600</v>
      </c>
      <c r="M1823" s="25">
        <f t="shared" si="695"/>
        <v>1233</v>
      </c>
      <c r="N1823" s="25">
        <f t="shared" si="696"/>
        <v>1481</v>
      </c>
      <c r="O1823" s="25">
        <f t="shared" si="697"/>
        <v>1232</v>
      </c>
    </row>
    <row r="1824" ht="17.25" customHeight="1" spans="1:15">
      <c r="A1824" s="55">
        <v>1040006</v>
      </c>
      <c r="B1824" s="7" t="s">
        <v>368</v>
      </c>
      <c r="C1824" s="25">
        <f t="shared" si="693"/>
        <v>6</v>
      </c>
      <c r="D1824" s="25">
        <f t="array" ref="D1824">INDEX(C$5:C$67,MATCH($B1824,$B$5:$B$67,0))</f>
        <v>4000</v>
      </c>
      <c r="E1824" s="25">
        <f t="array" ref="E1824">INDEX(D$5:D$67,MATCH($B1824,$B$5:$B$67,0))</f>
        <v>320</v>
      </c>
      <c r="F1824" s="25">
        <f t="array" ref="F1824">INDEX(E$5:E$67,MATCH($B1824,$B$5:$B$67,0))</f>
        <v>881</v>
      </c>
      <c r="G1824" s="25">
        <f t="array" ref="G1824">INDEX(F$5:F$67,MATCH($B1824,$B$5:$B$67,0))</f>
        <v>70.48</v>
      </c>
      <c r="H1824" s="25">
        <f t="array" ref="H1824">INDEX(G$5:G$66,MATCH($B1824,$B$5:$B$67,0))</f>
        <v>1058</v>
      </c>
      <c r="I1824" s="25">
        <f t="array" ref="I1824">INDEX(H$5:H$67,MATCH($B1824,$B$5:$B$67,0))</f>
        <v>84.64</v>
      </c>
      <c r="J1824" s="25">
        <f t="array" ref="J1824">INDEX(I$5:I$67,MATCH($B1824,$B$5:$B$67,0))</f>
        <v>880</v>
      </c>
      <c r="K1824" s="25">
        <f t="array" ref="K1824">INDEX(J$5:J$67,MATCH($B1824,$B$5:$B$67,0))</f>
        <v>70.4</v>
      </c>
      <c r="L1824" s="25">
        <f t="shared" si="694"/>
        <v>5920</v>
      </c>
      <c r="M1824" s="25">
        <f t="shared" si="695"/>
        <v>1304</v>
      </c>
      <c r="N1824" s="25">
        <f t="shared" si="696"/>
        <v>1566</v>
      </c>
      <c r="O1824" s="25">
        <f t="shared" si="697"/>
        <v>1302</v>
      </c>
    </row>
    <row r="1825" ht="17.25" customHeight="1" spans="1:15">
      <c r="A1825" s="55">
        <v>1040007</v>
      </c>
      <c r="B1825" s="7" t="s">
        <v>368</v>
      </c>
      <c r="C1825" s="25">
        <f t="shared" si="693"/>
        <v>7</v>
      </c>
      <c r="D1825" s="25">
        <f t="array" ref="D1825">INDEX(C$5:C$67,MATCH($B1825,$B$5:$B$67,0))</f>
        <v>4000</v>
      </c>
      <c r="E1825" s="25">
        <f t="array" ref="E1825">INDEX(D$5:D$67,MATCH($B1825,$B$5:$B$67,0))</f>
        <v>320</v>
      </c>
      <c r="F1825" s="25">
        <f t="array" ref="F1825">INDEX(E$5:E$67,MATCH($B1825,$B$5:$B$67,0))</f>
        <v>881</v>
      </c>
      <c r="G1825" s="25">
        <f t="array" ref="G1825">INDEX(F$5:F$67,MATCH($B1825,$B$5:$B$67,0))</f>
        <v>70.48</v>
      </c>
      <c r="H1825" s="25">
        <f t="array" ref="H1825">INDEX(G$5:G$66,MATCH($B1825,$B$5:$B$67,0))</f>
        <v>1058</v>
      </c>
      <c r="I1825" s="25">
        <f t="array" ref="I1825">INDEX(H$5:H$67,MATCH($B1825,$B$5:$B$67,0))</f>
        <v>84.64</v>
      </c>
      <c r="J1825" s="25">
        <f t="array" ref="J1825">INDEX(I$5:I$67,MATCH($B1825,$B$5:$B$67,0))</f>
        <v>880</v>
      </c>
      <c r="K1825" s="25">
        <f t="array" ref="K1825">INDEX(J$5:J$67,MATCH($B1825,$B$5:$B$67,0))</f>
        <v>70.4</v>
      </c>
      <c r="L1825" s="25">
        <f t="shared" si="694"/>
        <v>6240</v>
      </c>
      <c r="M1825" s="25">
        <f t="shared" si="695"/>
        <v>1374</v>
      </c>
      <c r="N1825" s="25">
        <f t="shared" si="696"/>
        <v>1650</v>
      </c>
      <c r="O1825" s="25">
        <f t="shared" si="697"/>
        <v>1373</v>
      </c>
    </row>
    <row r="1826" ht="17.25" customHeight="1" spans="1:15">
      <c r="A1826" s="55">
        <v>1040008</v>
      </c>
      <c r="B1826" s="7" t="s">
        <v>368</v>
      </c>
      <c r="C1826" s="25">
        <f t="shared" si="693"/>
        <v>8</v>
      </c>
      <c r="D1826" s="25">
        <f t="array" ref="D1826">INDEX(C$5:C$67,MATCH($B1826,$B$5:$B$67,0))</f>
        <v>4000</v>
      </c>
      <c r="E1826" s="25">
        <f t="array" ref="E1826">INDEX(D$5:D$67,MATCH($B1826,$B$5:$B$67,0))</f>
        <v>320</v>
      </c>
      <c r="F1826" s="25">
        <f t="array" ref="F1826">INDEX(E$5:E$67,MATCH($B1826,$B$5:$B$67,0))</f>
        <v>881</v>
      </c>
      <c r="G1826" s="25">
        <f t="array" ref="G1826">INDEX(F$5:F$67,MATCH($B1826,$B$5:$B$67,0))</f>
        <v>70.48</v>
      </c>
      <c r="H1826" s="25">
        <f t="array" ref="H1826">INDEX(G$5:G$66,MATCH($B1826,$B$5:$B$67,0))</f>
        <v>1058</v>
      </c>
      <c r="I1826" s="25">
        <f t="array" ref="I1826">INDEX(H$5:H$67,MATCH($B1826,$B$5:$B$67,0))</f>
        <v>84.64</v>
      </c>
      <c r="J1826" s="25">
        <f t="array" ref="J1826">INDEX(I$5:I$67,MATCH($B1826,$B$5:$B$67,0))</f>
        <v>880</v>
      </c>
      <c r="K1826" s="25">
        <f t="array" ref="K1826">INDEX(J$5:J$67,MATCH($B1826,$B$5:$B$67,0))</f>
        <v>70.4</v>
      </c>
      <c r="L1826" s="25">
        <f t="shared" si="694"/>
        <v>6560</v>
      </c>
      <c r="M1826" s="25">
        <f t="shared" si="695"/>
        <v>1445</v>
      </c>
      <c r="N1826" s="25">
        <f t="shared" si="696"/>
        <v>1735</v>
      </c>
      <c r="O1826" s="25">
        <f t="shared" si="697"/>
        <v>1443</v>
      </c>
    </row>
    <row r="1827" ht="17.25" customHeight="1" spans="1:15">
      <c r="A1827" s="55">
        <v>1040009</v>
      </c>
      <c r="B1827" s="7" t="s">
        <v>368</v>
      </c>
      <c r="C1827" s="25">
        <f t="shared" si="693"/>
        <v>9</v>
      </c>
      <c r="D1827" s="25">
        <f t="array" ref="D1827">INDEX(C$5:C$67,MATCH($B1827,$B$5:$B$67,0))</f>
        <v>4000</v>
      </c>
      <c r="E1827" s="25">
        <f t="array" ref="E1827">INDEX(D$5:D$67,MATCH($B1827,$B$5:$B$67,0))</f>
        <v>320</v>
      </c>
      <c r="F1827" s="25">
        <f t="array" ref="F1827">INDEX(E$5:E$67,MATCH($B1827,$B$5:$B$67,0))</f>
        <v>881</v>
      </c>
      <c r="G1827" s="25">
        <f t="array" ref="G1827">INDEX(F$5:F$67,MATCH($B1827,$B$5:$B$67,0))</f>
        <v>70.48</v>
      </c>
      <c r="H1827" s="25">
        <f t="array" ref="H1827">INDEX(G$5:G$66,MATCH($B1827,$B$5:$B$67,0))</f>
        <v>1058</v>
      </c>
      <c r="I1827" s="25">
        <f t="array" ref="I1827">INDEX(H$5:H$67,MATCH($B1827,$B$5:$B$67,0))</f>
        <v>84.64</v>
      </c>
      <c r="J1827" s="25">
        <f t="array" ref="J1827">INDEX(I$5:I$67,MATCH($B1827,$B$5:$B$67,0))</f>
        <v>880</v>
      </c>
      <c r="K1827" s="25">
        <f t="array" ref="K1827">INDEX(J$5:J$67,MATCH($B1827,$B$5:$B$67,0))</f>
        <v>70.4</v>
      </c>
      <c r="L1827" s="25">
        <f t="shared" si="694"/>
        <v>6880</v>
      </c>
      <c r="M1827" s="25">
        <f t="shared" si="695"/>
        <v>1515</v>
      </c>
      <c r="N1827" s="25">
        <f t="shared" si="696"/>
        <v>1820</v>
      </c>
      <c r="O1827" s="25">
        <f t="shared" si="697"/>
        <v>1514</v>
      </c>
    </row>
    <row r="1828" ht="17.25" customHeight="1" spans="1:15">
      <c r="A1828" s="55">
        <v>1040010</v>
      </c>
      <c r="B1828" s="7" t="s">
        <v>368</v>
      </c>
      <c r="C1828" s="25">
        <f t="shared" si="693"/>
        <v>10</v>
      </c>
      <c r="D1828" s="25">
        <f t="array" ref="D1828">INDEX(C$5:C$67,MATCH($B1828,$B$5:$B$67,0))</f>
        <v>4000</v>
      </c>
      <c r="E1828" s="25">
        <f t="array" ref="E1828">INDEX(D$5:D$67,MATCH($B1828,$B$5:$B$67,0))</f>
        <v>320</v>
      </c>
      <c r="F1828" s="25">
        <f t="array" ref="F1828">INDEX(E$5:E$67,MATCH($B1828,$B$5:$B$67,0))</f>
        <v>881</v>
      </c>
      <c r="G1828" s="25">
        <f t="array" ref="G1828">INDEX(F$5:F$67,MATCH($B1828,$B$5:$B$67,0))</f>
        <v>70.48</v>
      </c>
      <c r="H1828" s="25">
        <f t="array" ref="H1828">INDEX(G$5:G$66,MATCH($B1828,$B$5:$B$67,0))</f>
        <v>1058</v>
      </c>
      <c r="I1828" s="25">
        <f t="array" ref="I1828">INDEX(H$5:H$67,MATCH($B1828,$B$5:$B$67,0))</f>
        <v>84.64</v>
      </c>
      <c r="J1828" s="25">
        <f t="array" ref="J1828">INDEX(I$5:I$67,MATCH($B1828,$B$5:$B$67,0))</f>
        <v>880</v>
      </c>
      <c r="K1828" s="25">
        <f t="array" ref="K1828">INDEX(J$5:J$67,MATCH($B1828,$B$5:$B$67,0))</f>
        <v>70.4</v>
      </c>
      <c r="L1828" s="25">
        <f t="shared" si="694"/>
        <v>7200</v>
      </c>
      <c r="M1828" s="25">
        <f t="shared" si="695"/>
        <v>1586</v>
      </c>
      <c r="N1828" s="25">
        <f t="shared" si="696"/>
        <v>1904</v>
      </c>
      <c r="O1828" s="25">
        <f t="shared" si="697"/>
        <v>1584</v>
      </c>
    </row>
    <row r="1829" ht="17.25" customHeight="1" spans="1:15">
      <c r="A1829" s="55">
        <v>1040011</v>
      </c>
      <c r="B1829" s="7" t="s">
        <v>368</v>
      </c>
      <c r="C1829" s="25">
        <f t="shared" si="693"/>
        <v>11</v>
      </c>
      <c r="D1829" s="25">
        <f t="array" ref="D1829">INDEX(C$5:C$67,MATCH($B1829,$B$5:$B$67,0))</f>
        <v>4000</v>
      </c>
      <c r="E1829" s="25">
        <f t="array" ref="E1829">INDEX(D$5:D$67,MATCH($B1829,$B$5:$B$67,0))</f>
        <v>320</v>
      </c>
      <c r="F1829" s="25">
        <f t="array" ref="F1829">INDEX(E$5:E$67,MATCH($B1829,$B$5:$B$67,0))</f>
        <v>881</v>
      </c>
      <c r="G1829" s="25">
        <f t="array" ref="G1829">INDEX(F$5:F$67,MATCH($B1829,$B$5:$B$67,0))</f>
        <v>70.48</v>
      </c>
      <c r="H1829" s="25">
        <f t="array" ref="H1829">INDEX(G$5:G$66,MATCH($B1829,$B$5:$B$67,0))</f>
        <v>1058</v>
      </c>
      <c r="I1829" s="25">
        <f t="array" ref="I1829">INDEX(H$5:H$67,MATCH($B1829,$B$5:$B$67,0))</f>
        <v>84.64</v>
      </c>
      <c r="J1829" s="25">
        <f t="array" ref="J1829">INDEX(I$5:I$67,MATCH($B1829,$B$5:$B$67,0))</f>
        <v>880</v>
      </c>
      <c r="K1829" s="25">
        <f t="array" ref="K1829">INDEX(J$5:J$67,MATCH($B1829,$B$5:$B$67,0))</f>
        <v>70.4</v>
      </c>
      <c r="L1829" s="25">
        <f t="shared" si="694"/>
        <v>7520</v>
      </c>
      <c r="M1829" s="25">
        <f t="shared" si="695"/>
        <v>1656</v>
      </c>
      <c r="N1829" s="25">
        <f t="shared" si="696"/>
        <v>1989</v>
      </c>
      <c r="O1829" s="25">
        <f t="shared" si="697"/>
        <v>1654</v>
      </c>
    </row>
    <row r="1830" ht="17.25" customHeight="1" spans="1:15">
      <c r="A1830" s="55">
        <v>1040012</v>
      </c>
      <c r="B1830" s="7" t="s">
        <v>368</v>
      </c>
      <c r="C1830" s="25">
        <f t="shared" si="693"/>
        <v>12</v>
      </c>
      <c r="D1830" s="25">
        <f t="array" ref="D1830">INDEX(C$5:C$67,MATCH($B1830,$B$5:$B$67,0))</f>
        <v>4000</v>
      </c>
      <c r="E1830" s="25">
        <f t="array" ref="E1830">INDEX(D$5:D$67,MATCH($B1830,$B$5:$B$67,0))</f>
        <v>320</v>
      </c>
      <c r="F1830" s="25">
        <f t="array" ref="F1830">INDEX(E$5:E$67,MATCH($B1830,$B$5:$B$67,0))</f>
        <v>881</v>
      </c>
      <c r="G1830" s="25">
        <f t="array" ref="G1830">INDEX(F$5:F$67,MATCH($B1830,$B$5:$B$67,0))</f>
        <v>70.48</v>
      </c>
      <c r="H1830" s="25">
        <f t="array" ref="H1830">INDEX(G$5:G$66,MATCH($B1830,$B$5:$B$67,0))</f>
        <v>1058</v>
      </c>
      <c r="I1830" s="25">
        <f t="array" ref="I1830">INDEX(H$5:H$67,MATCH($B1830,$B$5:$B$67,0))</f>
        <v>84.64</v>
      </c>
      <c r="J1830" s="25">
        <f t="array" ref="J1830">INDEX(I$5:I$67,MATCH($B1830,$B$5:$B$67,0))</f>
        <v>880</v>
      </c>
      <c r="K1830" s="25">
        <f t="array" ref="K1830">INDEX(J$5:J$67,MATCH($B1830,$B$5:$B$67,0))</f>
        <v>70.4</v>
      </c>
      <c r="L1830" s="25">
        <f t="shared" si="694"/>
        <v>7840</v>
      </c>
      <c r="M1830" s="25">
        <f t="shared" si="695"/>
        <v>1727</v>
      </c>
      <c r="N1830" s="25">
        <f t="shared" si="696"/>
        <v>2074</v>
      </c>
      <c r="O1830" s="25">
        <f t="shared" si="697"/>
        <v>1725</v>
      </c>
    </row>
    <row r="1831" ht="17.25" customHeight="1" spans="1:15">
      <c r="A1831" s="55">
        <v>1040013</v>
      </c>
      <c r="B1831" s="7" t="s">
        <v>368</v>
      </c>
      <c r="C1831" s="25">
        <f t="shared" si="693"/>
        <v>13</v>
      </c>
      <c r="D1831" s="25">
        <f t="array" ref="D1831">INDEX(C$5:C$67,MATCH($B1831,$B$5:$B$67,0))</f>
        <v>4000</v>
      </c>
      <c r="E1831" s="25">
        <f t="array" ref="E1831">INDEX(D$5:D$67,MATCH($B1831,$B$5:$B$67,0))</f>
        <v>320</v>
      </c>
      <c r="F1831" s="25">
        <f t="array" ref="F1831">INDEX(E$5:E$67,MATCH($B1831,$B$5:$B$67,0))</f>
        <v>881</v>
      </c>
      <c r="G1831" s="25">
        <f t="array" ref="G1831">INDEX(F$5:F$67,MATCH($B1831,$B$5:$B$67,0))</f>
        <v>70.48</v>
      </c>
      <c r="H1831" s="25">
        <f t="array" ref="H1831">INDEX(G$5:G$66,MATCH($B1831,$B$5:$B$67,0))</f>
        <v>1058</v>
      </c>
      <c r="I1831" s="25">
        <f t="array" ref="I1831">INDEX(H$5:H$67,MATCH($B1831,$B$5:$B$67,0))</f>
        <v>84.64</v>
      </c>
      <c r="J1831" s="25">
        <f t="array" ref="J1831">INDEX(I$5:I$67,MATCH($B1831,$B$5:$B$67,0))</f>
        <v>880</v>
      </c>
      <c r="K1831" s="25">
        <f t="array" ref="K1831">INDEX(J$5:J$67,MATCH($B1831,$B$5:$B$67,0))</f>
        <v>70.4</v>
      </c>
      <c r="L1831" s="25">
        <f t="shared" si="694"/>
        <v>8160</v>
      </c>
      <c r="M1831" s="25">
        <f t="shared" si="695"/>
        <v>1797</v>
      </c>
      <c r="N1831" s="25">
        <f t="shared" si="696"/>
        <v>2158</v>
      </c>
      <c r="O1831" s="25">
        <f t="shared" si="697"/>
        <v>1795</v>
      </c>
    </row>
    <row r="1832" ht="17.25" customHeight="1" spans="1:15">
      <c r="A1832" s="55">
        <v>1040014</v>
      </c>
      <c r="B1832" s="7" t="s">
        <v>368</v>
      </c>
      <c r="C1832" s="25">
        <f t="shared" si="693"/>
        <v>14</v>
      </c>
      <c r="D1832" s="25">
        <f t="array" ref="D1832">INDEX(C$5:C$67,MATCH($B1832,$B$5:$B$67,0))</f>
        <v>4000</v>
      </c>
      <c r="E1832" s="25">
        <f t="array" ref="E1832">INDEX(D$5:D$67,MATCH($B1832,$B$5:$B$67,0))</f>
        <v>320</v>
      </c>
      <c r="F1832" s="25">
        <f t="array" ref="F1832">INDEX(E$5:E$67,MATCH($B1832,$B$5:$B$67,0))</f>
        <v>881</v>
      </c>
      <c r="G1832" s="25">
        <f t="array" ref="G1832">INDEX(F$5:F$67,MATCH($B1832,$B$5:$B$67,0))</f>
        <v>70.48</v>
      </c>
      <c r="H1832" s="25">
        <f t="array" ref="H1832">INDEX(G$5:G$66,MATCH($B1832,$B$5:$B$67,0))</f>
        <v>1058</v>
      </c>
      <c r="I1832" s="25">
        <f t="array" ref="I1832">INDEX(H$5:H$67,MATCH($B1832,$B$5:$B$67,0))</f>
        <v>84.64</v>
      </c>
      <c r="J1832" s="25">
        <f t="array" ref="J1832">INDEX(I$5:I$67,MATCH($B1832,$B$5:$B$67,0))</f>
        <v>880</v>
      </c>
      <c r="K1832" s="25">
        <f t="array" ref="K1832">INDEX(J$5:J$67,MATCH($B1832,$B$5:$B$67,0))</f>
        <v>70.4</v>
      </c>
      <c r="L1832" s="25">
        <f t="shared" si="694"/>
        <v>8480</v>
      </c>
      <c r="M1832" s="25">
        <f t="shared" si="695"/>
        <v>1868</v>
      </c>
      <c r="N1832" s="25">
        <f t="shared" si="696"/>
        <v>2243</v>
      </c>
      <c r="O1832" s="25">
        <f t="shared" si="697"/>
        <v>1866</v>
      </c>
    </row>
    <row r="1833" ht="17.25" customHeight="1" spans="1:15">
      <c r="A1833" s="55">
        <v>1040015</v>
      </c>
      <c r="B1833" s="7" t="s">
        <v>368</v>
      </c>
      <c r="C1833" s="25">
        <f t="shared" si="693"/>
        <v>15</v>
      </c>
      <c r="D1833" s="25">
        <f t="array" ref="D1833">INDEX(C$5:C$67,MATCH($B1833,$B$5:$B$67,0))</f>
        <v>4000</v>
      </c>
      <c r="E1833" s="25">
        <f t="array" ref="E1833">INDEX(D$5:D$67,MATCH($B1833,$B$5:$B$67,0))</f>
        <v>320</v>
      </c>
      <c r="F1833" s="25">
        <f t="array" ref="F1833">INDEX(E$5:E$67,MATCH($B1833,$B$5:$B$67,0))</f>
        <v>881</v>
      </c>
      <c r="G1833" s="25">
        <f t="array" ref="G1833">INDEX(F$5:F$67,MATCH($B1833,$B$5:$B$67,0))</f>
        <v>70.48</v>
      </c>
      <c r="H1833" s="25">
        <f t="array" ref="H1833">INDEX(G$5:G$66,MATCH($B1833,$B$5:$B$67,0))</f>
        <v>1058</v>
      </c>
      <c r="I1833" s="25">
        <f t="array" ref="I1833">INDEX(H$5:H$67,MATCH($B1833,$B$5:$B$67,0))</f>
        <v>84.64</v>
      </c>
      <c r="J1833" s="25">
        <f t="array" ref="J1833">INDEX(I$5:I$67,MATCH($B1833,$B$5:$B$67,0))</f>
        <v>880</v>
      </c>
      <c r="K1833" s="25">
        <f t="array" ref="K1833">INDEX(J$5:J$67,MATCH($B1833,$B$5:$B$67,0))</f>
        <v>70.4</v>
      </c>
      <c r="L1833" s="25">
        <f t="shared" si="694"/>
        <v>8800</v>
      </c>
      <c r="M1833" s="25">
        <f t="shared" si="695"/>
        <v>1938</v>
      </c>
      <c r="N1833" s="25">
        <f t="shared" si="696"/>
        <v>2328</v>
      </c>
      <c r="O1833" s="25">
        <f t="shared" si="697"/>
        <v>1936</v>
      </c>
    </row>
    <row r="1834" ht="17.25" customHeight="1" spans="1:15">
      <c r="A1834" s="55">
        <v>1040016</v>
      </c>
      <c r="B1834" s="7" t="s">
        <v>368</v>
      </c>
      <c r="C1834" s="25">
        <f t="shared" si="693"/>
        <v>16</v>
      </c>
      <c r="D1834" s="25">
        <f t="array" ref="D1834">INDEX(C$5:C$67,MATCH($B1834,$B$5:$B$67,0))</f>
        <v>4000</v>
      </c>
      <c r="E1834" s="25">
        <f t="array" ref="E1834">INDEX(D$5:D$67,MATCH($B1834,$B$5:$B$67,0))</f>
        <v>320</v>
      </c>
      <c r="F1834" s="25">
        <f t="array" ref="F1834">INDEX(E$5:E$67,MATCH($B1834,$B$5:$B$67,0))</f>
        <v>881</v>
      </c>
      <c r="G1834" s="25">
        <f t="array" ref="G1834">INDEX(F$5:F$67,MATCH($B1834,$B$5:$B$67,0))</f>
        <v>70.48</v>
      </c>
      <c r="H1834" s="25">
        <f t="array" ref="H1834">INDEX(G$5:G$66,MATCH($B1834,$B$5:$B$67,0))</f>
        <v>1058</v>
      </c>
      <c r="I1834" s="25">
        <f t="array" ref="I1834">INDEX(H$5:H$67,MATCH($B1834,$B$5:$B$67,0))</f>
        <v>84.64</v>
      </c>
      <c r="J1834" s="25">
        <f t="array" ref="J1834">INDEX(I$5:I$67,MATCH($B1834,$B$5:$B$67,0))</f>
        <v>880</v>
      </c>
      <c r="K1834" s="25">
        <f t="array" ref="K1834">INDEX(J$5:J$67,MATCH($B1834,$B$5:$B$67,0))</f>
        <v>70.4</v>
      </c>
      <c r="L1834" s="25">
        <f t="shared" si="694"/>
        <v>9120</v>
      </c>
      <c r="M1834" s="25">
        <f t="shared" si="695"/>
        <v>2009</v>
      </c>
      <c r="N1834" s="25">
        <f t="shared" si="696"/>
        <v>2412</v>
      </c>
      <c r="O1834" s="25">
        <f t="shared" si="697"/>
        <v>2006</v>
      </c>
    </row>
    <row r="1835" ht="17.25" customHeight="1" spans="1:15">
      <c r="A1835" s="55">
        <v>1040017</v>
      </c>
      <c r="B1835" s="7" t="s">
        <v>368</v>
      </c>
      <c r="C1835" s="25">
        <f t="shared" si="693"/>
        <v>17</v>
      </c>
      <c r="D1835" s="25">
        <f t="array" ref="D1835">INDEX(C$5:C$67,MATCH($B1835,$B$5:$B$67,0))</f>
        <v>4000</v>
      </c>
      <c r="E1835" s="25">
        <f t="array" ref="E1835">INDEX(D$5:D$67,MATCH($B1835,$B$5:$B$67,0))</f>
        <v>320</v>
      </c>
      <c r="F1835" s="25">
        <f t="array" ref="F1835">INDEX(E$5:E$67,MATCH($B1835,$B$5:$B$67,0))</f>
        <v>881</v>
      </c>
      <c r="G1835" s="25">
        <f t="array" ref="G1835">INDEX(F$5:F$67,MATCH($B1835,$B$5:$B$67,0))</f>
        <v>70.48</v>
      </c>
      <c r="H1835" s="25">
        <f t="array" ref="H1835">INDEX(G$5:G$66,MATCH($B1835,$B$5:$B$67,0))</f>
        <v>1058</v>
      </c>
      <c r="I1835" s="25">
        <f t="array" ref="I1835">INDEX(H$5:H$67,MATCH($B1835,$B$5:$B$67,0))</f>
        <v>84.64</v>
      </c>
      <c r="J1835" s="25">
        <f t="array" ref="J1835">INDEX(I$5:I$67,MATCH($B1835,$B$5:$B$67,0))</f>
        <v>880</v>
      </c>
      <c r="K1835" s="25">
        <f t="array" ref="K1835">INDEX(J$5:J$67,MATCH($B1835,$B$5:$B$67,0))</f>
        <v>70.4</v>
      </c>
      <c r="L1835" s="25">
        <f t="shared" si="694"/>
        <v>9440</v>
      </c>
      <c r="M1835" s="25">
        <f t="shared" si="695"/>
        <v>2079</v>
      </c>
      <c r="N1835" s="25">
        <f t="shared" si="696"/>
        <v>2497</v>
      </c>
      <c r="O1835" s="25">
        <f t="shared" si="697"/>
        <v>2077</v>
      </c>
    </row>
    <row r="1836" ht="17.25" customHeight="1" spans="1:15">
      <c r="A1836" s="55">
        <v>1040018</v>
      </c>
      <c r="B1836" s="7" t="s">
        <v>368</v>
      </c>
      <c r="C1836" s="25">
        <f t="shared" si="693"/>
        <v>18</v>
      </c>
      <c r="D1836" s="25">
        <f t="array" ref="D1836">INDEX(C$5:C$67,MATCH($B1836,$B$5:$B$67,0))</f>
        <v>4000</v>
      </c>
      <c r="E1836" s="25">
        <f t="array" ref="E1836">INDEX(D$5:D$67,MATCH($B1836,$B$5:$B$67,0))</f>
        <v>320</v>
      </c>
      <c r="F1836" s="25">
        <f t="array" ref="F1836">INDEX(E$5:E$67,MATCH($B1836,$B$5:$B$67,0))</f>
        <v>881</v>
      </c>
      <c r="G1836" s="25">
        <f t="array" ref="G1836">INDEX(F$5:F$67,MATCH($B1836,$B$5:$B$67,0))</f>
        <v>70.48</v>
      </c>
      <c r="H1836" s="25">
        <f t="array" ref="H1836">INDEX(G$5:G$66,MATCH($B1836,$B$5:$B$67,0))</f>
        <v>1058</v>
      </c>
      <c r="I1836" s="25">
        <f t="array" ref="I1836">INDEX(H$5:H$67,MATCH($B1836,$B$5:$B$67,0))</f>
        <v>84.64</v>
      </c>
      <c r="J1836" s="25">
        <f t="array" ref="J1836">INDEX(I$5:I$67,MATCH($B1836,$B$5:$B$67,0))</f>
        <v>880</v>
      </c>
      <c r="K1836" s="25">
        <f t="array" ref="K1836">INDEX(J$5:J$67,MATCH($B1836,$B$5:$B$67,0))</f>
        <v>70.4</v>
      </c>
      <c r="L1836" s="25">
        <f t="shared" si="694"/>
        <v>9760</v>
      </c>
      <c r="M1836" s="25">
        <f t="shared" si="695"/>
        <v>2150</v>
      </c>
      <c r="N1836" s="25">
        <f t="shared" si="696"/>
        <v>2582</v>
      </c>
      <c r="O1836" s="25">
        <f t="shared" si="697"/>
        <v>2147</v>
      </c>
    </row>
    <row r="1837" ht="17.25" customHeight="1" spans="1:15">
      <c r="A1837" s="55">
        <v>1040019</v>
      </c>
      <c r="B1837" s="7" t="s">
        <v>368</v>
      </c>
      <c r="C1837" s="25">
        <f t="shared" si="693"/>
        <v>19</v>
      </c>
      <c r="D1837" s="25">
        <f t="array" ref="D1837">INDEX(C$5:C$67,MATCH($B1837,$B$5:$B$67,0))</f>
        <v>4000</v>
      </c>
      <c r="E1837" s="25">
        <f t="array" ref="E1837">INDEX(D$5:D$67,MATCH($B1837,$B$5:$B$67,0))</f>
        <v>320</v>
      </c>
      <c r="F1837" s="25">
        <f t="array" ref="F1837">INDEX(E$5:E$67,MATCH($B1837,$B$5:$B$67,0))</f>
        <v>881</v>
      </c>
      <c r="G1837" s="25">
        <f t="array" ref="G1837">INDEX(F$5:F$67,MATCH($B1837,$B$5:$B$67,0))</f>
        <v>70.48</v>
      </c>
      <c r="H1837" s="25">
        <f t="array" ref="H1837">INDEX(G$5:G$66,MATCH($B1837,$B$5:$B$67,0))</f>
        <v>1058</v>
      </c>
      <c r="I1837" s="25">
        <f t="array" ref="I1837">INDEX(H$5:H$67,MATCH($B1837,$B$5:$B$67,0))</f>
        <v>84.64</v>
      </c>
      <c r="J1837" s="25">
        <f t="array" ref="J1837">INDEX(I$5:I$67,MATCH($B1837,$B$5:$B$67,0))</f>
        <v>880</v>
      </c>
      <c r="K1837" s="25">
        <f t="array" ref="K1837">INDEX(J$5:J$67,MATCH($B1837,$B$5:$B$67,0))</f>
        <v>70.4</v>
      </c>
      <c r="L1837" s="25">
        <f t="shared" si="694"/>
        <v>10080</v>
      </c>
      <c r="M1837" s="25">
        <f t="shared" si="695"/>
        <v>2220</v>
      </c>
      <c r="N1837" s="25">
        <f t="shared" si="696"/>
        <v>2666</v>
      </c>
      <c r="O1837" s="25">
        <f t="shared" si="697"/>
        <v>2218</v>
      </c>
    </row>
    <row r="1838" ht="17.25" customHeight="1" spans="1:15">
      <c r="A1838" s="55">
        <v>1040020</v>
      </c>
      <c r="B1838" s="7" t="s">
        <v>368</v>
      </c>
      <c r="C1838" s="25">
        <f t="shared" si="693"/>
        <v>20</v>
      </c>
      <c r="D1838" s="25">
        <f t="array" ref="D1838">INDEX(C$5:C$67,MATCH($B1838,$B$5:$B$67,0))</f>
        <v>4000</v>
      </c>
      <c r="E1838" s="25">
        <f t="array" ref="E1838">INDEX(D$5:D$67,MATCH($B1838,$B$5:$B$67,0))</f>
        <v>320</v>
      </c>
      <c r="F1838" s="25">
        <f t="array" ref="F1838">INDEX(E$5:E$67,MATCH($B1838,$B$5:$B$67,0))</f>
        <v>881</v>
      </c>
      <c r="G1838" s="25">
        <f t="array" ref="G1838">INDEX(F$5:F$67,MATCH($B1838,$B$5:$B$67,0))</f>
        <v>70.48</v>
      </c>
      <c r="H1838" s="25">
        <f t="array" ref="H1838">INDEX(G$5:G$66,MATCH($B1838,$B$5:$B$67,0))</f>
        <v>1058</v>
      </c>
      <c r="I1838" s="25">
        <f t="array" ref="I1838">INDEX(H$5:H$67,MATCH($B1838,$B$5:$B$67,0))</f>
        <v>84.64</v>
      </c>
      <c r="J1838" s="25">
        <f t="array" ref="J1838">INDEX(I$5:I$67,MATCH($B1838,$B$5:$B$67,0))</f>
        <v>880</v>
      </c>
      <c r="K1838" s="25">
        <f t="array" ref="K1838">INDEX(J$5:J$67,MATCH($B1838,$B$5:$B$67,0))</f>
        <v>70.4</v>
      </c>
      <c r="L1838" s="25">
        <f t="shared" si="694"/>
        <v>10400</v>
      </c>
      <c r="M1838" s="25">
        <f t="shared" si="695"/>
        <v>2291</v>
      </c>
      <c r="N1838" s="25">
        <f t="shared" si="696"/>
        <v>2751</v>
      </c>
      <c r="O1838" s="25">
        <f t="shared" si="697"/>
        <v>2288</v>
      </c>
    </row>
    <row r="1839" ht="17.25" customHeight="1" spans="1:15">
      <c r="A1839" s="55">
        <v>1040021</v>
      </c>
      <c r="B1839" s="7" t="s">
        <v>368</v>
      </c>
      <c r="C1839" s="25">
        <f t="shared" si="693"/>
        <v>21</v>
      </c>
      <c r="D1839" s="25">
        <f t="array" ref="D1839">INDEX(C$5:C$67,MATCH($B1839,$B$5:$B$67,0))</f>
        <v>4000</v>
      </c>
      <c r="E1839" s="25">
        <f t="array" ref="E1839">INDEX(D$5:D$67,MATCH($B1839,$B$5:$B$67,0))</f>
        <v>320</v>
      </c>
      <c r="F1839" s="25">
        <f t="array" ref="F1839">INDEX(E$5:E$67,MATCH($B1839,$B$5:$B$67,0))</f>
        <v>881</v>
      </c>
      <c r="G1839" s="25">
        <f t="array" ref="G1839">INDEX(F$5:F$67,MATCH($B1839,$B$5:$B$67,0))</f>
        <v>70.48</v>
      </c>
      <c r="H1839" s="25">
        <f t="array" ref="H1839">INDEX(G$5:G$66,MATCH($B1839,$B$5:$B$67,0))</f>
        <v>1058</v>
      </c>
      <c r="I1839" s="25">
        <f t="array" ref="I1839">INDEX(H$5:H$67,MATCH($B1839,$B$5:$B$67,0))</f>
        <v>84.64</v>
      </c>
      <c r="J1839" s="25">
        <f t="array" ref="J1839">INDEX(I$5:I$67,MATCH($B1839,$B$5:$B$67,0))</f>
        <v>880</v>
      </c>
      <c r="K1839" s="25">
        <f t="array" ref="K1839">INDEX(J$5:J$67,MATCH($B1839,$B$5:$B$67,0))</f>
        <v>70.4</v>
      </c>
      <c r="L1839" s="25">
        <f t="shared" si="694"/>
        <v>10720</v>
      </c>
      <c r="M1839" s="25">
        <f t="shared" si="695"/>
        <v>2361</v>
      </c>
      <c r="N1839" s="25">
        <f t="shared" si="696"/>
        <v>2835</v>
      </c>
      <c r="O1839" s="25">
        <f t="shared" si="697"/>
        <v>2358</v>
      </c>
    </row>
    <row r="1840" ht="17.25" customHeight="1" spans="1:15">
      <c r="A1840" s="55">
        <v>1040022</v>
      </c>
      <c r="B1840" s="7" t="s">
        <v>368</v>
      </c>
      <c r="C1840" s="25">
        <f t="shared" si="693"/>
        <v>22</v>
      </c>
      <c r="D1840" s="25">
        <f t="array" ref="D1840">INDEX(C$5:C$67,MATCH($B1840,$B$5:$B$67,0))</f>
        <v>4000</v>
      </c>
      <c r="E1840" s="25">
        <f t="array" ref="E1840">INDEX(D$5:D$67,MATCH($B1840,$B$5:$B$67,0))</f>
        <v>320</v>
      </c>
      <c r="F1840" s="25">
        <f t="array" ref="F1840">INDEX(E$5:E$67,MATCH($B1840,$B$5:$B$67,0))</f>
        <v>881</v>
      </c>
      <c r="G1840" s="25">
        <f t="array" ref="G1840">INDEX(F$5:F$67,MATCH($B1840,$B$5:$B$67,0))</f>
        <v>70.48</v>
      </c>
      <c r="H1840" s="25">
        <f t="array" ref="H1840">INDEX(G$5:G$66,MATCH($B1840,$B$5:$B$67,0))</f>
        <v>1058</v>
      </c>
      <c r="I1840" s="25">
        <f t="array" ref="I1840">INDEX(H$5:H$67,MATCH($B1840,$B$5:$B$67,0))</f>
        <v>84.64</v>
      </c>
      <c r="J1840" s="25">
        <f t="array" ref="J1840">INDEX(I$5:I$67,MATCH($B1840,$B$5:$B$67,0))</f>
        <v>880</v>
      </c>
      <c r="K1840" s="25">
        <f t="array" ref="K1840">INDEX(J$5:J$67,MATCH($B1840,$B$5:$B$67,0))</f>
        <v>70.4</v>
      </c>
      <c r="L1840" s="25">
        <f t="shared" si="694"/>
        <v>11040</v>
      </c>
      <c r="M1840" s="25">
        <f t="shared" si="695"/>
        <v>2432</v>
      </c>
      <c r="N1840" s="25">
        <f t="shared" si="696"/>
        <v>2920</v>
      </c>
      <c r="O1840" s="25">
        <f t="shared" si="697"/>
        <v>2429</v>
      </c>
    </row>
    <row r="1841" ht="17.25" customHeight="1" spans="1:15">
      <c r="A1841" s="55">
        <v>1040023</v>
      </c>
      <c r="B1841" s="7" t="s">
        <v>368</v>
      </c>
      <c r="C1841" s="25">
        <f t="shared" si="693"/>
        <v>23</v>
      </c>
      <c r="D1841" s="25">
        <f t="array" ref="D1841">INDEX(C$5:C$67,MATCH($B1841,$B$5:$B$67,0))</f>
        <v>4000</v>
      </c>
      <c r="E1841" s="25">
        <f t="array" ref="E1841">INDEX(D$5:D$67,MATCH($B1841,$B$5:$B$67,0))</f>
        <v>320</v>
      </c>
      <c r="F1841" s="25">
        <f t="array" ref="F1841">INDEX(E$5:E$67,MATCH($B1841,$B$5:$B$67,0))</f>
        <v>881</v>
      </c>
      <c r="G1841" s="25">
        <f t="array" ref="G1841">INDEX(F$5:F$67,MATCH($B1841,$B$5:$B$67,0))</f>
        <v>70.48</v>
      </c>
      <c r="H1841" s="25">
        <f t="array" ref="H1841">INDEX(G$5:G$66,MATCH($B1841,$B$5:$B$67,0))</f>
        <v>1058</v>
      </c>
      <c r="I1841" s="25">
        <f t="array" ref="I1841">INDEX(H$5:H$67,MATCH($B1841,$B$5:$B$67,0))</f>
        <v>84.64</v>
      </c>
      <c r="J1841" s="25">
        <f t="array" ref="J1841">INDEX(I$5:I$67,MATCH($B1841,$B$5:$B$67,0))</f>
        <v>880</v>
      </c>
      <c r="K1841" s="25">
        <f t="array" ref="K1841">INDEX(J$5:J$67,MATCH($B1841,$B$5:$B$67,0))</f>
        <v>70.4</v>
      </c>
      <c r="L1841" s="25">
        <f t="shared" si="694"/>
        <v>11360</v>
      </c>
      <c r="M1841" s="25">
        <f t="shared" si="695"/>
        <v>2502</v>
      </c>
      <c r="N1841" s="25">
        <f t="shared" si="696"/>
        <v>3005</v>
      </c>
      <c r="O1841" s="25">
        <f t="shared" si="697"/>
        <v>2499</v>
      </c>
    </row>
    <row r="1842" ht="17.25" customHeight="1" spans="1:15">
      <c r="A1842" s="55">
        <v>1040024</v>
      </c>
      <c r="B1842" s="7" t="s">
        <v>368</v>
      </c>
      <c r="C1842" s="25">
        <f t="shared" si="693"/>
        <v>24</v>
      </c>
      <c r="D1842" s="25">
        <f t="array" ref="D1842">INDEX(C$5:C$67,MATCH($B1842,$B$5:$B$67,0))</f>
        <v>4000</v>
      </c>
      <c r="E1842" s="25">
        <f t="array" ref="E1842">INDEX(D$5:D$67,MATCH($B1842,$B$5:$B$67,0))</f>
        <v>320</v>
      </c>
      <c r="F1842" s="25">
        <f t="array" ref="F1842">INDEX(E$5:E$67,MATCH($B1842,$B$5:$B$67,0))</f>
        <v>881</v>
      </c>
      <c r="G1842" s="25">
        <f t="array" ref="G1842">INDEX(F$5:F$67,MATCH($B1842,$B$5:$B$67,0))</f>
        <v>70.48</v>
      </c>
      <c r="H1842" s="25">
        <f t="array" ref="H1842">INDEX(G$5:G$66,MATCH($B1842,$B$5:$B$67,0))</f>
        <v>1058</v>
      </c>
      <c r="I1842" s="25">
        <f t="array" ref="I1842">INDEX(H$5:H$67,MATCH($B1842,$B$5:$B$67,0))</f>
        <v>84.64</v>
      </c>
      <c r="J1842" s="25">
        <f t="array" ref="J1842">INDEX(I$5:I$67,MATCH($B1842,$B$5:$B$67,0))</f>
        <v>880</v>
      </c>
      <c r="K1842" s="25">
        <f t="array" ref="K1842">INDEX(J$5:J$67,MATCH($B1842,$B$5:$B$67,0))</f>
        <v>70.4</v>
      </c>
      <c r="L1842" s="25">
        <f t="shared" si="694"/>
        <v>11680</v>
      </c>
      <c r="M1842" s="25">
        <f t="shared" si="695"/>
        <v>2573</v>
      </c>
      <c r="N1842" s="25">
        <f t="shared" si="696"/>
        <v>3089</v>
      </c>
      <c r="O1842" s="25">
        <f t="shared" si="697"/>
        <v>2570</v>
      </c>
    </row>
    <row r="1843" ht="17.25" customHeight="1" spans="1:15">
      <c r="A1843" s="55">
        <v>1040025</v>
      </c>
      <c r="B1843" s="7" t="s">
        <v>368</v>
      </c>
      <c r="C1843" s="25">
        <f t="shared" si="693"/>
        <v>25</v>
      </c>
      <c r="D1843" s="25">
        <f t="array" ref="D1843">INDEX(C$5:C$67,MATCH($B1843,$B$5:$B$67,0))</f>
        <v>4000</v>
      </c>
      <c r="E1843" s="25">
        <f t="array" ref="E1843">INDEX(D$5:D$67,MATCH($B1843,$B$5:$B$67,0))</f>
        <v>320</v>
      </c>
      <c r="F1843" s="25">
        <f t="array" ref="F1843">INDEX(E$5:E$67,MATCH($B1843,$B$5:$B$67,0))</f>
        <v>881</v>
      </c>
      <c r="G1843" s="25">
        <f t="array" ref="G1843">INDEX(F$5:F$67,MATCH($B1843,$B$5:$B$67,0))</f>
        <v>70.48</v>
      </c>
      <c r="H1843" s="25">
        <f t="array" ref="H1843">INDEX(G$5:G$66,MATCH($B1843,$B$5:$B$67,0))</f>
        <v>1058</v>
      </c>
      <c r="I1843" s="25">
        <f t="array" ref="I1843">INDEX(H$5:H$67,MATCH($B1843,$B$5:$B$67,0))</f>
        <v>84.64</v>
      </c>
      <c r="J1843" s="25">
        <f t="array" ref="J1843">INDEX(I$5:I$67,MATCH($B1843,$B$5:$B$67,0))</f>
        <v>880</v>
      </c>
      <c r="K1843" s="25">
        <f t="array" ref="K1843">INDEX(J$5:J$67,MATCH($B1843,$B$5:$B$67,0))</f>
        <v>70.4</v>
      </c>
      <c r="L1843" s="25">
        <f t="shared" si="694"/>
        <v>12000</v>
      </c>
      <c r="M1843" s="25">
        <f t="shared" si="695"/>
        <v>2643</v>
      </c>
      <c r="N1843" s="25">
        <f t="shared" si="696"/>
        <v>3174</v>
      </c>
      <c r="O1843" s="25">
        <f t="shared" si="697"/>
        <v>2640</v>
      </c>
    </row>
    <row r="1844" ht="17.25" customHeight="1" spans="1:15">
      <c r="A1844" s="55">
        <v>1040026</v>
      </c>
      <c r="B1844" s="7" t="s">
        <v>368</v>
      </c>
      <c r="C1844" s="25">
        <f t="shared" si="693"/>
        <v>26</v>
      </c>
      <c r="D1844" s="25">
        <f t="array" ref="D1844">INDEX(C$5:C$67,MATCH($B1844,$B$5:$B$67,0))</f>
        <v>4000</v>
      </c>
      <c r="E1844" s="25">
        <f t="array" ref="E1844">INDEX(D$5:D$67,MATCH($B1844,$B$5:$B$67,0))</f>
        <v>320</v>
      </c>
      <c r="F1844" s="25">
        <f t="array" ref="F1844">INDEX(E$5:E$67,MATCH($B1844,$B$5:$B$67,0))</f>
        <v>881</v>
      </c>
      <c r="G1844" s="25">
        <f t="array" ref="G1844">INDEX(F$5:F$67,MATCH($B1844,$B$5:$B$67,0))</f>
        <v>70.48</v>
      </c>
      <c r="H1844" s="25">
        <f t="array" ref="H1844">INDEX(G$5:G$66,MATCH($B1844,$B$5:$B$67,0))</f>
        <v>1058</v>
      </c>
      <c r="I1844" s="25">
        <f t="array" ref="I1844">INDEX(H$5:H$67,MATCH($B1844,$B$5:$B$67,0))</f>
        <v>84.64</v>
      </c>
      <c r="J1844" s="25">
        <f t="array" ref="J1844">INDEX(I$5:I$67,MATCH($B1844,$B$5:$B$67,0))</f>
        <v>880</v>
      </c>
      <c r="K1844" s="25">
        <f t="array" ref="K1844">INDEX(J$5:J$67,MATCH($B1844,$B$5:$B$67,0))</f>
        <v>70.4</v>
      </c>
      <c r="L1844" s="25">
        <f t="shared" si="694"/>
        <v>12320</v>
      </c>
      <c r="M1844" s="25">
        <f t="shared" si="695"/>
        <v>2713</v>
      </c>
      <c r="N1844" s="25">
        <f t="shared" si="696"/>
        <v>3259</v>
      </c>
      <c r="O1844" s="25">
        <f t="shared" si="697"/>
        <v>2710</v>
      </c>
    </row>
    <row r="1845" ht="17.25" customHeight="1" spans="1:15">
      <c r="A1845" s="55">
        <v>1040027</v>
      </c>
      <c r="B1845" s="7" t="s">
        <v>368</v>
      </c>
      <c r="C1845" s="25">
        <f t="shared" si="693"/>
        <v>27</v>
      </c>
      <c r="D1845" s="25">
        <f t="array" ref="D1845">INDEX(C$5:C$67,MATCH($B1845,$B$5:$B$67,0))</f>
        <v>4000</v>
      </c>
      <c r="E1845" s="25">
        <f t="array" ref="E1845">INDEX(D$5:D$67,MATCH($B1845,$B$5:$B$67,0))</f>
        <v>320</v>
      </c>
      <c r="F1845" s="25">
        <f t="array" ref="F1845">INDEX(E$5:E$67,MATCH($B1845,$B$5:$B$67,0))</f>
        <v>881</v>
      </c>
      <c r="G1845" s="25">
        <f t="array" ref="G1845">INDEX(F$5:F$67,MATCH($B1845,$B$5:$B$67,0))</f>
        <v>70.48</v>
      </c>
      <c r="H1845" s="25">
        <f t="array" ref="H1845">INDEX(G$5:G$66,MATCH($B1845,$B$5:$B$67,0))</f>
        <v>1058</v>
      </c>
      <c r="I1845" s="25">
        <f t="array" ref="I1845">INDEX(H$5:H$67,MATCH($B1845,$B$5:$B$67,0))</f>
        <v>84.64</v>
      </c>
      <c r="J1845" s="25">
        <f t="array" ref="J1845">INDEX(I$5:I$67,MATCH($B1845,$B$5:$B$67,0))</f>
        <v>880</v>
      </c>
      <c r="K1845" s="25">
        <f t="array" ref="K1845">INDEX(J$5:J$67,MATCH($B1845,$B$5:$B$67,0))</f>
        <v>70.4</v>
      </c>
      <c r="L1845" s="25">
        <f t="shared" si="694"/>
        <v>12640</v>
      </c>
      <c r="M1845" s="25">
        <f t="shared" si="695"/>
        <v>2784</v>
      </c>
      <c r="N1845" s="25">
        <f t="shared" si="696"/>
        <v>3343</v>
      </c>
      <c r="O1845" s="25">
        <f t="shared" si="697"/>
        <v>2781</v>
      </c>
    </row>
    <row r="1846" ht="17.25" customHeight="1" spans="1:15">
      <c r="A1846" s="55">
        <v>1040028</v>
      </c>
      <c r="B1846" s="7" t="s">
        <v>368</v>
      </c>
      <c r="C1846" s="25">
        <f t="shared" si="693"/>
        <v>28</v>
      </c>
      <c r="D1846" s="25">
        <f t="array" ref="D1846">INDEX(C$5:C$67,MATCH($B1846,$B$5:$B$67,0))</f>
        <v>4000</v>
      </c>
      <c r="E1846" s="25">
        <f t="array" ref="E1846">INDEX(D$5:D$67,MATCH($B1846,$B$5:$B$67,0))</f>
        <v>320</v>
      </c>
      <c r="F1846" s="25">
        <f t="array" ref="F1846">INDEX(E$5:E$67,MATCH($B1846,$B$5:$B$67,0))</f>
        <v>881</v>
      </c>
      <c r="G1846" s="25">
        <f t="array" ref="G1846">INDEX(F$5:F$67,MATCH($B1846,$B$5:$B$67,0))</f>
        <v>70.48</v>
      </c>
      <c r="H1846" s="25">
        <f t="array" ref="H1846">INDEX(G$5:G$66,MATCH($B1846,$B$5:$B$67,0))</f>
        <v>1058</v>
      </c>
      <c r="I1846" s="25">
        <f t="array" ref="I1846">INDEX(H$5:H$67,MATCH($B1846,$B$5:$B$67,0))</f>
        <v>84.64</v>
      </c>
      <c r="J1846" s="25">
        <f t="array" ref="J1846">INDEX(I$5:I$67,MATCH($B1846,$B$5:$B$67,0))</f>
        <v>880</v>
      </c>
      <c r="K1846" s="25">
        <f t="array" ref="K1846">INDEX(J$5:J$67,MATCH($B1846,$B$5:$B$67,0))</f>
        <v>70.4</v>
      </c>
      <c r="L1846" s="25">
        <f t="shared" si="694"/>
        <v>12960</v>
      </c>
      <c r="M1846" s="25">
        <f t="shared" si="695"/>
        <v>2854</v>
      </c>
      <c r="N1846" s="25">
        <f t="shared" si="696"/>
        <v>3428</v>
      </c>
      <c r="O1846" s="25">
        <f t="shared" si="697"/>
        <v>2851</v>
      </c>
    </row>
    <row r="1847" ht="17.25" customHeight="1" spans="1:15">
      <c r="A1847" s="55">
        <v>1040029</v>
      </c>
      <c r="B1847" s="7" t="s">
        <v>368</v>
      </c>
      <c r="C1847" s="25">
        <f t="shared" si="693"/>
        <v>29</v>
      </c>
      <c r="D1847" s="25">
        <f t="array" ref="D1847">INDEX(C$5:C$67,MATCH($B1847,$B$5:$B$67,0))</f>
        <v>4000</v>
      </c>
      <c r="E1847" s="25">
        <f t="array" ref="E1847">INDEX(D$5:D$67,MATCH($B1847,$B$5:$B$67,0))</f>
        <v>320</v>
      </c>
      <c r="F1847" s="25">
        <f t="array" ref="F1847">INDEX(E$5:E$67,MATCH($B1847,$B$5:$B$67,0))</f>
        <v>881</v>
      </c>
      <c r="G1847" s="25">
        <f t="array" ref="G1847">INDEX(F$5:F$67,MATCH($B1847,$B$5:$B$67,0))</f>
        <v>70.48</v>
      </c>
      <c r="H1847" s="25">
        <f t="array" ref="H1847">INDEX(G$5:G$66,MATCH($B1847,$B$5:$B$67,0))</f>
        <v>1058</v>
      </c>
      <c r="I1847" s="25">
        <f t="array" ref="I1847">INDEX(H$5:H$67,MATCH($B1847,$B$5:$B$67,0))</f>
        <v>84.64</v>
      </c>
      <c r="J1847" s="25">
        <f t="array" ref="J1847">INDEX(I$5:I$67,MATCH($B1847,$B$5:$B$67,0))</f>
        <v>880</v>
      </c>
      <c r="K1847" s="25">
        <f t="array" ref="K1847">INDEX(J$5:J$67,MATCH($B1847,$B$5:$B$67,0))</f>
        <v>70.4</v>
      </c>
      <c r="L1847" s="25">
        <f t="shared" si="694"/>
        <v>13280</v>
      </c>
      <c r="M1847" s="25">
        <f t="shared" si="695"/>
        <v>2925</v>
      </c>
      <c r="N1847" s="25">
        <f t="shared" si="696"/>
        <v>3513</v>
      </c>
      <c r="O1847" s="25">
        <f t="shared" si="697"/>
        <v>2922</v>
      </c>
    </row>
    <row r="1848" ht="17.25" customHeight="1" spans="1:15">
      <c r="A1848" s="55">
        <v>1040030</v>
      </c>
      <c r="B1848" s="7" t="s">
        <v>368</v>
      </c>
      <c r="C1848" s="25">
        <f t="shared" si="693"/>
        <v>30</v>
      </c>
      <c r="D1848" s="25">
        <f t="array" ref="D1848">INDEX(C$5:C$67,MATCH($B1848,$B$5:$B$67,0))</f>
        <v>4000</v>
      </c>
      <c r="E1848" s="25">
        <f t="array" ref="E1848">INDEX(D$5:D$67,MATCH($B1848,$B$5:$B$67,0))</f>
        <v>320</v>
      </c>
      <c r="F1848" s="25">
        <f t="array" ref="F1848">INDEX(E$5:E$67,MATCH($B1848,$B$5:$B$67,0))</f>
        <v>881</v>
      </c>
      <c r="G1848" s="25">
        <f t="array" ref="G1848">INDEX(F$5:F$67,MATCH($B1848,$B$5:$B$67,0))</f>
        <v>70.48</v>
      </c>
      <c r="H1848" s="25">
        <f t="array" ref="H1848">INDEX(G$5:G$66,MATCH($B1848,$B$5:$B$67,0))</f>
        <v>1058</v>
      </c>
      <c r="I1848" s="25">
        <f t="array" ref="I1848">INDEX(H$5:H$67,MATCH($B1848,$B$5:$B$67,0))</f>
        <v>84.64</v>
      </c>
      <c r="J1848" s="25">
        <f t="array" ref="J1848">INDEX(I$5:I$67,MATCH($B1848,$B$5:$B$67,0))</f>
        <v>880</v>
      </c>
      <c r="K1848" s="25">
        <f t="array" ref="K1848">INDEX(J$5:J$67,MATCH($B1848,$B$5:$B$67,0))</f>
        <v>70.4</v>
      </c>
      <c r="L1848" s="25">
        <f t="shared" si="694"/>
        <v>13600</v>
      </c>
      <c r="M1848" s="25">
        <f t="shared" si="695"/>
        <v>2995</v>
      </c>
      <c r="N1848" s="25">
        <f t="shared" si="696"/>
        <v>3597</v>
      </c>
      <c r="O1848" s="25">
        <f t="shared" si="697"/>
        <v>2992</v>
      </c>
    </row>
    <row r="1849" ht="17.25" customHeight="1" spans="1:15">
      <c r="A1849" s="55">
        <v>1040031</v>
      </c>
      <c r="B1849" s="7" t="s">
        <v>368</v>
      </c>
      <c r="C1849" s="25">
        <f t="shared" si="693"/>
        <v>31</v>
      </c>
      <c r="D1849" s="25">
        <f t="array" ref="D1849">INDEX(C$5:C$67,MATCH($B1849,$B$5:$B$67,0))</f>
        <v>4000</v>
      </c>
      <c r="E1849" s="25">
        <f t="array" ref="E1849">INDEX(D$5:D$67,MATCH($B1849,$B$5:$B$67,0))</f>
        <v>320</v>
      </c>
      <c r="F1849" s="25">
        <f t="array" ref="F1849">INDEX(E$5:E$67,MATCH($B1849,$B$5:$B$67,0))</f>
        <v>881</v>
      </c>
      <c r="G1849" s="25">
        <f t="array" ref="G1849">INDEX(F$5:F$67,MATCH($B1849,$B$5:$B$67,0))</f>
        <v>70.48</v>
      </c>
      <c r="H1849" s="25">
        <f t="array" ref="H1849">INDEX(G$5:G$66,MATCH($B1849,$B$5:$B$67,0))</f>
        <v>1058</v>
      </c>
      <c r="I1849" s="25">
        <f t="array" ref="I1849">INDEX(H$5:H$67,MATCH($B1849,$B$5:$B$67,0))</f>
        <v>84.64</v>
      </c>
      <c r="J1849" s="25">
        <f t="array" ref="J1849">INDEX(I$5:I$67,MATCH($B1849,$B$5:$B$67,0))</f>
        <v>880</v>
      </c>
      <c r="K1849" s="25">
        <f t="array" ref="K1849">INDEX(J$5:J$67,MATCH($B1849,$B$5:$B$67,0))</f>
        <v>70.4</v>
      </c>
      <c r="L1849" s="25">
        <f t="shared" si="694"/>
        <v>13920</v>
      </c>
      <c r="M1849" s="25">
        <f t="shared" si="695"/>
        <v>3066</v>
      </c>
      <c r="N1849" s="25">
        <f t="shared" si="696"/>
        <v>3682</v>
      </c>
      <c r="O1849" s="25">
        <f t="shared" si="697"/>
        <v>3062</v>
      </c>
    </row>
    <row r="1850" ht="17.25" customHeight="1" spans="1:15">
      <c r="A1850" s="55">
        <v>1040032</v>
      </c>
      <c r="B1850" s="7" t="s">
        <v>368</v>
      </c>
      <c r="C1850" s="25">
        <f t="shared" si="693"/>
        <v>32</v>
      </c>
      <c r="D1850" s="25">
        <f t="array" ref="D1850">INDEX(C$5:C$67,MATCH($B1850,$B$5:$B$67,0))</f>
        <v>4000</v>
      </c>
      <c r="E1850" s="25">
        <f t="array" ref="E1850">INDEX(D$5:D$67,MATCH($B1850,$B$5:$B$67,0))</f>
        <v>320</v>
      </c>
      <c r="F1850" s="25">
        <f t="array" ref="F1850">INDEX(E$5:E$67,MATCH($B1850,$B$5:$B$67,0))</f>
        <v>881</v>
      </c>
      <c r="G1850" s="25">
        <f t="array" ref="G1850">INDEX(F$5:F$67,MATCH($B1850,$B$5:$B$67,0))</f>
        <v>70.48</v>
      </c>
      <c r="H1850" s="25">
        <f t="array" ref="H1850">INDEX(G$5:G$66,MATCH($B1850,$B$5:$B$67,0))</f>
        <v>1058</v>
      </c>
      <c r="I1850" s="25">
        <f t="array" ref="I1850">INDEX(H$5:H$67,MATCH($B1850,$B$5:$B$67,0))</f>
        <v>84.64</v>
      </c>
      <c r="J1850" s="25">
        <f t="array" ref="J1850">INDEX(I$5:I$67,MATCH($B1850,$B$5:$B$67,0))</f>
        <v>880</v>
      </c>
      <c r="K1850" s="25">
        <f t="array" ref="K1850">INDEX(J$5:J$67,MATCH($B1850,$B$5:$B$67,0))</f>
        <v>70.4</v>
      </c>
      <c r="L1850" s="25">
        <f t="shared" si="694"/>
        <v>14240</v>
      </c>
      <c r="M1850" s="25">
        <f t="shared" si="695"/>
        <v>3136</v>
      </c>
      <c r="N1850" s="25">
        <f t="shared" si="696"/>
        <v>3766</v>
      </c>
      <c r="O1850" s="25">
        <f t="shared" si="697"/>
        <v>3133</v>
      </c>
    </row>
    <row r="1851" ht="17.25" customHeight="1" spans="1:15">
      <c r="A1851" s="55">
        <v>1040033</v>
      </c>
      <c r="B1851" s="7" t="s">
        <v>368</v>
      </c>
      <c r="C1851" s="25">
        <f t="shared" si="693"/>
        <v>33</v>
      </c>
      <c r="D1851" s="25">
        <f t="array" ref="D1851">INDEX(C$5:C$67,MATCH($B1851,$B$5:$B$67,0))</f>
        <v>4000</v>
      </c>
      <c r="E1851" s="25">
        <f t="array" ref="E1851">INDEX(D$5:D$67,MATCH($B1851,$B$5:$B$67,0))</f>
        <v>320</v>
      </c>
      <c r="F1851" s="25">
        <f t="array" ref="F1851">INDEX(E$5:E$67,MATCH($B1851,$B$5:$B$67,0))</f>
        <v>881</v>
      </c>
      <c r="G1851" s="25">
        <f t="array" ref="G1851">INDEX(F$5:F$67,MATCH($B1851,$B$5:$B$67,0))</f>
        <v>70.48</v>
      </c>
      <c r="H1851" s="25">
        <f t="array" ref="H1851">INDEX(G$5:G$66,MATCH($B1851,$B$5:$B$67,0))</f>
        <v>1058</v>
      </c>
      <c r="I1851" s="25">
        <f t="array" ref="I1851">INDEX(H$5:H$67,MATCH($B1851,$B$5:$B$67,0))</f>
        <v>84.64</v>
      </c>
      <c r="J1851" s="25">
        <f t="array" ref="J1851">INDEX(I$5:I$67,MATCH($B1851,$B$5:$B$67,0))</f>
        <v>880</v>
      </c>
      <c r="K1851" s="25">
        <f t="array" ref="K1851">INDEX(J$5:J$67,MATCH($B1851,$B$5:$B$67,0))</f>
        <v>70.4</v>
      </c>
      <c r="L1851" s="25">
        <f t="shared" si="694"/>
        <v>14560</v>
      </c>
      <c r="M1851" s="25">
        <f t="shared" si="695"/>
        <v>3207</v>
      </c>
      <c r="N1851" s="25">
        <f t="shared" si="696"/>
        <v>3851</v>
      </c>
      <c r="O1851" s="25">
        <f t="shared" si="697"/>
        <v>3203</v>
      </c>
    </row>
    <row r="1852" ht="17.25" customHeight="1" spans="1:15">
      <c r="A1852" s="55">
        <v>1040034</v>
      </c>
      <c r="B1852" s="7" t="s">
        <v>368</v>
      </c>
      <c r="C1852" s="25">
        <f t="shared" si="693"/>
        <v>34</v>
      </c>
      <c r="D1852" s="25">
        <f t="array" ref="D1852">INDEX(C$5:C$67,MATCH($B1852,$B$5:$B$67,0))</f>
        <v>4000</v>
      </c>
      <c r="E1852" s="25">
        <f t="array" ref="E1852">INDEX(D$5:D$67,MATCH($B1852,$B$5:$B$67,0))</f>
        <v>320</v>
      </c>
      <c r="F1852" s="25">
        <f t="array" ref="F1852">INDEX(E$5:E$67,MATCH($B1852,$B$5:$B$67,0))</f>
        <v>881</v>
      </c>
      <c r="G1852" s="25">
        <f t="array" ref="G1852">INDEX(F$5:F$67,MATCH($B1852,$B$5:$B$67,0))</f>
        <v>70.48</v>
      </c>
      <c r="H1852" s="25">
        <f t="array" ref="H1852">INDEX(G$5:G$66,MATCH($B1852,$B$5:$B$67,0))</f>
        <v>1058</v>
      </c>
      <c r="I1852" s="25">
        <f t="array" ref="I1852">INDEX(H$5:H$67,MATCH($B1852,$B$5:$B$67,0))</f>
        <v>84.64</v>
      </c>
      <c r="J1852" s="25">
        <f t="array" ref="J1852">INDEX(I$5:I$67,MATCH($B1852,$B$5:$B$67,0))</f>
        <v>880</v>
      </c>
      <c r="K1852" s="25">
        <f t="array" ref="K1852">INDEX(J$5:J$67,MATCH($B1852,$B$5:$B$67,0))</f>
        <v>70.4</v>
      </c>
      <c r="L1852" s="25">
        <f t="shared" si="694"/>
        <v>14880</v>
      </c>
      <c r="M1852" s="25">
        <f t="shared" si="695"/>
        <v>3277</v>
      </c>
      <c r="N1852" s="25">
        <f t="shared" si="696"/>
        <v>3936</v>
      </c>
      <c r="O1852" s="25">
        <f t="shared" si="697"/>
        <v>3274</v>
      </c>
    </row>
    <row r="1853" ht="17.25" customHeight="1" spans="1:15">
      <c r="A1853" s="55">
        <v>1040035</v>
      </c>
      <c r="B1853" s="7" t="s">
        <v>368</v>
      </c>
      <c r="C1853" s="25">
        <f t="shared" si="693"/>
        <v>35</v>
      </c>
      <c r="D1853" s="25">
        <f t="array" ref="D1853">INDEX(C$5:C$67,MATCH($B1853,$B$5:$B$67,0))</f>
        <v>4000</v>
      </c>
      <c r="E1853" s="25">
        <f t="array" ref="E1853">INDEX(D$5:D$67,MATCH($B1853,$B$5:$B$67,0))</f>
        <v>320</v>
      </c>
      <c r="F1853" s="25">
        <f t="array" ref="F1853">INDEX(E$5:E$67,MATCH($B1853,$B$5:$B$67,0))</f>
        <v>881</v>
      </c>
      <c r="G1853" s="25">
        <f t="array" ref="G1853">INDEX(F$5:F$67,MATCH($B1853,$B$5:$B$67,0))</f>
        <v>70.48</v>
      </c>
      <c r="H1853" s="25">
        <f t="array" ref="H1853">INDEX(G$5:G$66,MATCH($B1853,$B$5:$B$67,0))</f>
        <v>1058</v>
      </c>
      <c r="I1853" s="25">
        <f t="array" ref="I1853">INDEX(H$5:H$67,MATCH($B1853,$B$5:$B$67,0))</f>
        <v>84.64</v>
      </c>
      <c r="J1853" s="25">
        <f t="array" ref="J1853">INDEX(I$5:I$67,MATCH($B1853,$B$5:$B$67,0))</f>
        <v>880</v>
      </c>
      <c r="K1853" s="25">
        <f t="array" ref="K1853">INDEX(J$5:J$67,MATCH($B1853,$B$5:$B$67,0))</f>
        <v>70.4</v>
      </c>
      <c r="L1853" s="25">
        <f t="shared" si="694"/>
        <v>15200</v>
      </c>
      <c r="M1853" s="25">
        <f t="shared" si="695"/>
        <v>3348</v>
      </c>
      <c r="N1853" s="25">
        <f t="shared" si="696"/>
        <v>4020</v>
      </c>
      <c r="O1853" s="25">
        <f t="shared" si="697"/>
        <v>3344</v>
      </c>
    </row>
    <row r="1854" ht="17.25" customHeight="1" spans="1:15">
      <c r="A1854" s="55">
        <v>1040036</v>
      </c>
      <c r="B1854" s="7" t="s">
        <v>368</v>
      </c>
      <c r="C1854" s="25">
        <f t="shared" si="693"/>
        <v>36</v>
      </c>
      <c r="D1854" s="25">
        <f t="array" ref="D1854">INDEX(C$5:C$67,MATCH($B1854,$B$5:$B$67,0))</f>
        <v>4000</v>
      </c>
      <c r="E1854" s="25">
        <f t="array" ref="E1854">INDEX(D$5:D$67,MATCH($B1854,$B$5:$B$67,0))</f>
        <v>320</v>
      </c>
      <c r="F1854" s="25">
        <f t="array" ref="F1854">INDEX(E$5:E$67,MATCH($B1854,$B$5:$B$67,0))</f>
        <v>881</v>
      </c>
      <c r="G1854" s="25">
        <f t="array" ref="G1854">INDEX(F$5:F$67,MATCH($B1854,$B$5:$B$67,0))</f>
        <v>70.48</v>
      </c>
      <c r="H1854" s="25">
        <f t="array" ref="H1854">INDEX(G$5:G$66,MATCH($B1854,$B$5:$B$67,0))</f>
        <v>1058</v>
      </c>
      <c r="I1854" s="25">
        <f t="array" ref="I1854">INDEX(H$5:H$67,MATCH($B1854,$B$5:$B$67,0))</f>
        <v>84.64</v>
      </c>
      <c r="J1854" s="25">
        <f t="array" ref="J1854">INDEX(I$5:I$67,MATCH($B1854,$B$5:$B$67,0))</f>
        <v>880</v>
      </c>
      <c r="K1854" s="25">
        <f t="array" ref="K1854">INDEX(J$5:J$67,MATCH($B1854,$B$5:$B$67,0))</f>
        <v>70.4</v>
      </c>
      <c r="L1854" s="25">
        <f t="shared" si="694"/>
        <v>15520</v>
      </c>
      <c r="M1854" s="25">
        <f t="shared" si="695"/>
        <v>3418</v>
      </c>
      <c r="N1854" s="25">
        <f t="shared" si="696"/>
        <v>4105</v>
      </c>
      <c r="O1854" s="25">
        <f t="shared" si="697"/>
        <v>3414</v>
      </c>
    </row>
    <row r="1855" ht="17.25" customHeight="1" spans="1:15">
      <c r="A1855" s="55">
        <v>1040037</v>
      </c>
      <c r="B1855" s="7" t="s">
        <v>368</v>
      </c>
      <c r="C1855" s="25">
        <f t="shared" si="693"/>
        <v>37</v>
      </c>
      <c r="D1855" s="25">
        <f t="array" ref="D1855">INDEX(C$5:C$67,MATCH($B1855,$B$5:$B$67,0))</f>
        <v>4000</v>
      </c>
      <c r="E1855" s="25">
        <f t="array" ref="E1855">INDEX(D$5:D$67,MATCH($B1855,$B$5:$B$67,0))</f>
        <v>320</v>
      </c>
      <c r="F1855" s="25">
        <f t="array" ref="F1855">INDEX(E$5:E$67,MATCH($B1855,$B$5:$B$67,0))</f>
        <v>881</v>
      </c>
      <c r="G1855" s="25">
        <f t="array" ref="G1855">INDEX(F$5:F$67,MATCH($B1855,$B$5:$B$67,0))</f>
        <v>70.48</v>
      </c>
      <c r="H1855" s="25">
        <f t="array" ref="H1855">INDEX(G$5:G$66,MATCH($B1855,$B$5:$B$67,0))</f>
        <v>1058</v>
      </c>
      <c r="I1855" s="25">
        <f t="array" ref="I1855">INDEX(H$5:H$67,MATCH($B1855,$B$5:$B$67,0))</f>
        <v>84.64</v>
      </c>
      <c r="J1855" s="25">
        <f t="array" ref="J1855">INDEX(I$5:I$67,MATCH($B1855,$B$5:$B$67,0))</f>
        <v>880</v>
      </c>
      <c r="K1855" s="25">
        <f t="array" ref="K1855">INDEX(J$5:J$67,MATCH($B1855,$B$5:$B$67,0))</f>
        <v>70.4</v>
      </c>
      <c r="L1855" s="25">
        <f t="shared" si="694"/>
        <v>15840</v>
      </c>
      <c r="M1855" s="25">
        <f t="shared" si="695"/>
        <v>3489</v>
      </c>
      <c r="N1855" s="25">
        <f t="shared" si="696"/>
        <v>4190</v>
      </c>
      <c r="O1855" s="25">
        <f t="shared" si="697"/>
        <v>3485</v>
      </c>
    </row>
    <row r="1856" ht="17.25" customHeight="1" spans="1:15">
      <c r="A1856" s="55">
        <v>1040038</v>
      </c>
      <c r="B1856" s="7" t="s">
        <v>368</v>
      </c>
      <c r="C1856" s="25">
        <f t="shared" si="693"/>
        <v>38</v>
      </c>
      <c r="D1856" s="25">
        <f t="array" ref="D1856">INDEX(C$5:C$67,MATCH($B1856,$B$5:$B$67,0))</f>
        <v>4000</v>
      </c>
      <c r="E1856" s="25">
        <f t="array" ref="E1856">INDEX(D$5:D$67,MATCH($B1856,$B$5:$B$67,0))</f>
        <v>320</v>
      </c>
      <c r="F1856" s="25">
        <f t="array" ref="F1856">INDEX(E$5:E$67,MATCH($B1856,$B$5:$B$67,0))</f>
        <v>881</v>
      </c>
      <c r="G1856" s="25">
        <f t="array" ref="G1856">INDEX(F$5:F$67,MATCH($B1856,$B$5:$B$67,0))</f>
        <v>70.48</v>
      </c>
      <c r="H1856" s="25">
        <f t="array" ref="H1856">INDEX(G$5:G$66,MATCH($B1856,$B$5:$B$67,0))</f>
        <v>1058</v>
      </c>
      <c r="I1856" s="25">
        <f t="array" ref="I1856">INDEX(H$5:H$67,MATCH($B1856,$B$5:$B$67,0))</f>
        <v>84.64</v>
      </c>
      <c r="J1856" s="25">
        <f t="array" ref="J1856">INDEX(I$5:I$67,MATCH($B1856,$B$5:$B$67,0))</f>
        <v>880</v>
      </c>
      <c r="K1856" s="25">
        <f t="array" ref="K1856">INDEX(J$5:J$67,MATCH($B1856,$B$5:$B$67,0))</f>
        <v>70.4</v>
      </c>
      <c r="L1856" s="25">
        <f t="shared" si="694"/>
        <v>16160</v>
      </c>
      <c r="M1856" s="25">
        <f t="shared" si="695"/>
        <v>3559</v>
      </c>
      <c r="N1856" s="25">
        <f t="shared" si="696"/>
        <v>4274</v>
      </c>
      <c r="O1856" s="25">
        <f t="shared" si="697"/>
        <v>3555</v>
      </c>
    </row>
    <row r="1857" ht="17.25" customHeight="1" spans="1:15">
      <c r="A1857" s="55">
        <v>1040039</v>
      </c>
      <c r="B1857" s="7" t="s">
        <v>368</v>
      </c>
      <c r="C1857" s="25">
        <f t="shared" si="693"/>
        <v>39</v>
      </c>
      <c r="D1857" s="25">
        <f t="array" ref="D1857">INDEX(C$5:C$67,MATCH($B1857,$B$5:$B$67,0))</f>
        <v>4000</v>
      </c>
      <c r="E1857" s="25">
        <f t="array" ref="E1857">INDEX(D$5:D$67,MATCH($B1857,$B$5:$B$67,0))</f>
        <v>320</v>
      </c>
      <c r="F1857" s="25">
        <f t="array" ref="F1857">INDEX(E$5:E$67,MATCH($B1857,$B$5:$B$67,0))</f>
        <v>881</v>
      </c>
      <c r="G1857" s="25">
        <f t="array" ref="G1857">INDEX(F$5:F$67,MATCH($B1857,$B$5:$B$67,0))</f>
        <v>70.48</v>
      </c>
      <c r="H1857" s="25">
        <f t="array" ref="H1857">INDEX(G$5:G$66,MATCH($B1857,$B$5:$B$67,0))</f>
        <v>1058</v>
      </c>
      <c r="I1857" s="25">
        <f t="array" ref="I1857">INDEX(H$5:H$67,MATCH($B1857,$B$5:$B$67,0))</f>
        <v>84.64</v>
      </c>
      <c r="J1857" s="25">
        <f t="array" ref="J1857">INDEX(I$5:I$67,MATCH($B1857,$B$5:$B$67,0))</f>
        <v>880</v>
      </c>
      <c r="K1857" s="25">
        <f t="array" ref="K1857">INDEX(J$5:J$67,MATCH($B1857,$B$5:$B$67,0))</f>
        <v>70.4</v>
      </c>
      <c r="L1857" s="25">
        <f t="shared" si="694"/>
        <v>16480</v>
      </c>
      <c r="M1857" s="25">
        <f t="shared" si="695"/>
        <v>3630</v>
      </c>
      <c r="N1857" s="25">
        <f t="shared" si="696"/>
        <v>4359</v>
      </c>
      <c r="O1857" s="25">
        <f t="shared" si="697"/>
        <v>3626</v>
      </c>
    </row>
    <row r="1858" ht="17.25" customHeight="1" spans="1:15">
      <c r="A1858" s="55">
        <v>1040040</v>
      </c>
      <c r="B1858" s="7" t="s">
        <v>368</v>
      </c>
      <c r="C1858" s="25">
        <f t="shared" si="693"/>
        <v>40</v>
      </c>
      <c r="D1858" s="25">
        <f t="array" ref="D1858">INDEX(C$5:C$67,MATCH($B1858,$B$5:$B$67,0))</f>
        <v>4000</v>
      </c>
      <c r="E1858" s="25">
        <f t="array" ref="E1858">INDEX(D$5:D$67,MATCH($B1858,$B$5:$B$67,0))</f>
        <v>320</v>
      </c>
      <c r="F1858" s="25">
        <f t="array" ref="F1858">INDEX(E$5:E$67,MATCH($B1858,$B$5:$B$67,0))</f>
        <v>881</v>
      </c>
      <c r="G1858" s="25">
        <f t="array" ref="G1858">INDEX(F$5:F$67,MATCH($B1858,$B$5:$B$67,0))</f>
        <v>70.48</v>
      </c>
      <c r="H1858" s="25">
        <f t="array" ref="H1858">INDEX(G$5:G$66,MATCH($B1858,$B$5:$B$67,0))</f>
        <v>1058</v>
      </c>
      <c r="I1858" s="25">
        <f t="array" ref="I1858">INDEX(H$5:H$67,MATCH($B1858,$B$5:$B$67,0))</f>
        <v>84.64</v>
      </c>
      <c r="J1858" s="25">
        <f t="array" ref="J1858">INDEX(I$5:I$67,MATCH($B1858,$B$5:$B$67,0))</f>
        <v>880</v>
      </c>
      <c r="K1858" s="25">
        <f t="array" ref="K1858">INDEX(J$5:J$67,MATCH($B1858,$B$5:$B$67,0))</f>
        <v>70.4</v>
      </c>
      <c r="L1858" s="25">
        <f t="shared" si="694"/>
        <v>16800</v>
      </c>
      <c r="M1858" s="25">
        <f t="shared" si="695"/>
        <v>3700</v>
      </c>
      <c r="N1858" s="25">
        <f t="shared" si="696"/>
        <v>4444</v>
      </c>
      <c r="O1858" s="25">
        <f t="shared" si="697"/>
        <v>3696</v>
      </c>
    </row>
    <row r="1859" ht="17.25" customHeight="1" spans="1:15">
      <c r="A1859" s="55">
        <v>1040041</v>
      </c>
      <c r="B1859" s="7" t="s">
        <v>368</v>
      </c>
      <c r="C1859" s="25">
        <f t="shared" si="693"/>
        <v>41</v>
      </c>
      <c r="D1859" s="25">
        <f t="array" ref="D1859">INDEX(C$5:C$67,MATCH($B1859,$B$5:$B$67,0))</f>
        <v>4000</v>
      </c>
      <c r="E1859" s="25">
        <f t="array" ref="E1859">INDEX(D$5:D$67,MATCH($B1859,$B$5:$B$67,0))</f>
        <v>320</v>
      </c>
      <c r="F1859" s="25">
        <f t="array" ref="F1859">INDEX(E$5:E$67,MATCH($B1859,$B$5:$B$67,0))</f>
        <v>881</v>
      </c>
      <c r="G1859" s="25">
        <f t="array" ref="G1859">INDEX(F$5:F$67,MATCH($B1859,$B$5:$B$67,0))</f>
        <v>70.48</v>
      </c>
      <c r="H1859" s="25">
        <f t="array" ref="H1859">INDEX(G$5:G$66,MATCH($B1859,$B$5:$B$67,0))</f>
        <v>1058</v>
      </c>
      <c r="I1859" s="25">
        <f t="array" ref="I1859">INDEX(H$5:H$67,MATCH($B1859,$B$5:$B$67,0))</f>
        <v>84.64</v>
      </c>
      <c r="J1859" s="25">
        <f t="array" ref="J1859">INDEX(I$5:I$67,MATCH($B1859,$B$5:$B$67,0))</f>
        <v>880</v>
      </c>
      <c r="K1859" s="25">
        <f t="array" ref="K1859">INDEX(J$5:J$67,MATCH($B1859,$B$5:$B$67,0))</f>
        <v>70.4</v>
      </c>
      <c r="L1859" s="25">
        <f t="shared" si="694"/>
        <v>17120</v>
      </c>
      <c r="M1859" s="25">
        <f t="shared" si="695"/>
        <v>3771</v>
      </c>
      <c r="N1859" s="25">
        <f t="shared" si="696"/>
        <v>4528</v>
      </c>
      <c r="O1859" s="25">
        <f t="shared" si="697"/>
        <v>3766</v>
      </c>
    </row>
    <row r="1860" ht="17.25" customHeight="1" spans="1:15">
      <c r="A1860" s="55">
        <v>1040042</v>
      </c>
      <c r="B1860" s="7" t="s">
        <v>368</v>
      </c>
      <c r="C1860" s="25">
        <f t="shared" si="693"/>
        <v>42</v>
      </c>
      <c r="D1860" s="25">
        <f t="array" ref="D1860">INDEX(C$5:C$67,MATCH($B1860,$B$5:$B$67,0))</f>
        <v>4000</v>
      </c>
      <c r="E1860" s="25">
        <f t="array" ref="E1860">INDEX(D$5:D$67,MATCH($B1860,$B$5:$B$67,0))</f>
        <v>320</v>
      </c>
      <c r="F1860" s="25">
        <f t="array" ref="F1860">INDEX(E$5:E$67,MATCH($B1860,$B$5:$B$67,0))</f>
        <v>881</v>
      </c>
      <c r="G1860" s="25">
        <f t="array" ref="G1860">INDEX(F$5:F$67,MATCH($B1860,$B$5:$B$67,0))</f>
        <v>70.48</v>
      </c>
      <c r="H1860" s="25">
        <f t="array" ref="H1860">INDEX(G$5:G$66,MATCH($B1860,$B$5:$B$67,0))</f>
        <v>1058</v>
      </c>
      <c r="I1860" s="25">
        <f t="array" ref="I1860">INDEX(H$5:H$67,MATCH($B1860,$B$5:$B$67,0))</f>
        <v>84.64</v>
      </c>
      <c r="J1860" s="25">
        <f t="array" ref="J1860">INDEX(I$5:I$67,MATCH($B1860,$B$5:$B$67,0))</f>
        <v>880</v>
      </c>
      <c r="K1860" s="25">
        <f t="array" ref="K1860">INDEX(J$5:J$67,MATCH($B1860,$B$5:$B$67,0))</f>
        <v>70.4</v>
      </c>
      <c r="L1860" s="25">
        <f t="shared" si="694"/>
        <v>17440</v>
      </c>
      <c r="M1860" s="25">
        <f t="shared" si="695"/>
        <v>3841</v>
      </c>
      <c r="N1860" s="25">
        <f t="shared" si="696"/>
        <v>4613</v>
      </c>
      <c r="O1860" s="25">
        <f t="shared" si="697"/>
        <v>3837</v>
      </c>
    </row>
    <row r="1861" ht="17.25" customHeight="1" spans="1:15">
      <c r="A1861" s="55">
        <v>1040043</v>
      </c>
      <c r="B1861" s="7" t="s">
        <v>368</v>
      </c>
      <c r="C1861" s="25">
        <f t="shared" si="693"/>
        <v>43</v>
      </c>
      <c r="D1861" s="25">
        <f t="array" ref="D1861">INDEX(C$5:C$67,MATCH($B1861,$B$5:$B$67,0))</f>
        <v>4000</v>
      </c>
      <c r="E1861" s="25">
        <f t="array" ref="E1861">INDEX(D$5:D$67,MATCH($B1861,$B$5:$B$67,0))</f>
        <v>320</v>
      </c>
      <c r="F1861" s="25">
        <f t="array" ref="F1861">INDEX(E$5:E$67,MATCH($B1861,$B$5:$B$67,0))</f>
        <v>881</v>
      </c>
      <c r="G1861" s="25">
        <f t="array" ref="G1861">INDEX(F$5:F$67,MATCH($B1861,$B$5:$B$67,0))</f>
        <v>70.48</v>
      </c>
      <c r="H1861" s="25">
        <f t="array" ref="H1861">INDEX(G$5:G$66,MATCH($B1861,$B$5:$B$67,0))</f>
        <v>1058</v>
      </c>
      <c r="I1861" s="25">
        <f t="array" ref="I1861">INDEX(H$5:H$67,MATCH($B1861,$B$5:$B$67,0))</f>
        <v>84.64</v>
      </c>
      <c r="J1861" s="25">
        <f t="array" ref="J1861">INDEX(I$5:I$67,MATCH($B1861,$B$5:$B$67,0))</f>
        <v>880</v>
      </c>
      <c r="K1861" s="25">
        <f t="array" ref="K1861">INDEX(J$5:J$67,MATCH($B1861,$B$5:$B$67,0))</f>
        <v>70.4</v>
      </c>
      <c r="L1861" s="25">
        <f t="shared" si="694"/>
        <v>17760</v>
      </c>
      <c r="M1861" s="25">
        <f t="shared" si="695"/>
        <v>3912</v>
      </c>
      <c r="N1861" s="25">
        <f t="shared" si="696"/>
        <v>4698</v>
      </c>
      <c r="O1861" s="25">
        <f t="shared" si="697"/>
        <v>3907</v>
      </c>
    </row>
    <row r="1862" ht="17.25" customHeight="1" spans="1:15">
      <c r="A1862" s="55">
        <v>1040044</v>
      </c>
      <c r="B1862" s="7" t="s">
        <v>368</v>
      </c>
      <c r="C1862" s="25">
        <f t="shared" si="693"/>
        <v>44</v>
      </c>
      <c r="D1862" s="25">
        <f t="array" ref="D1862">INDEX(C$5:C$67,MATCH($B1862,$B$5:$B$67,0))</f>
        <v>4000</v>
      </c>
      <c r="E1862" s="25">
        <f t="array" ref="E1862">INDEX(D$5:D$67,MATCH($B1862,$B$5:$B$67,0))</f>
        <v>320</v>
      </c>
      <c r="F1862" s="25">
        <f t="array" ref="F1862">INDEX(E$5:E$67,MATCH($B1862,$B$5:$B$67,0))</f>
        <v>881</v>
      </c>
      <c r="G1862" s="25">
        <f t="array" ref="G1862">INDEX(F$5:F$67,MATCH($B1862,$B$5:$B$67,0))</f>
        <v>70.48</v>
      </c>
      <c r="H1862" s="25">
        <f t="array" ref="H1862">INDEX(G$5:G$66,MATCH($B1862,$B$5:$B$67,0))</f>
        <v>1058</v>
      </c>
      <c r="I1862" s="25">
        <f t="array" ref="I1862">INDEX(H$5:H$67,MATCH($B1862,$B$5:$B$67,0))</f>
        <v>84.64</v>
      </c>
      <c r="J1862" s="25">
        <f t="array" ref="J1862">INDEX(I$5:I$67,MATCH($B1862,$B$5:$B$67,0))</f>
        <v>880</v>
      </c>
      <c r="K1862" s="25">
        <f t="array" ref="K1862">INDEX(J$5:J$67,MATCH($B1862,$B$5:$B$67,0))</f>
        <v>70.4</v>
      </c>
      <c r="L1862" s="25">
        <f t="shared" si="694"/>
        <v>18080</v>
      </c>
      <c r="M1862" s="25">
        <f t="shared" si="695"/>
        <v>3982</v>
      </c>
      <c r="N1862" s="25">
        <f t="shared" si="696"/>
        <v>4782</v>
      </c>
      <c r="O1862" s="25">
        <f t="shared" si="697"/>
        <v>3978</v>
      </c>
    </row>
    <row r="1863" ht="17.25" customHeight="1" spans="1:15">
      <c r="A1863" s="55">
        <v>1040045</v>
      </c>
      <c r="B1863" s="7" t="s">
        <v>368</v>
      </c>
      <c r="C1863" s="25">
        <f t="shared" si="693"/>
        <v>45</v>
      </c>
      <c r="D1863" s="25">
        <f t="array" ref="D1863">INDEX(C$5:C$67,MATCH($B1863,$B$5:$B$67,0))</f>
        <v>4000</v>
      </c>
      <c r="E1863" s="25">
        <f t="array" ref="E1863">INDEX(D$5:D$67,MATCH($B1863,$B$5:$B$67,0))</f>
        <v>320</v>
      </c>
      <c r="F1863" s="25">
        <f t="array" ref="F1863">INDEX(E$5:E$67,MATCH($B1863,$B$5:$B$67,0))</f>
        <v>881</v>
      </c>
      <c r="G1863" s="25">
        <f t="array" ref="G1863">INDEX(F$5:F$67,MATCH($B1863,$B$5:$B$67,0))</f>
        <v>70.48</v>
      </c>
      <c r="H1863" s="25">
        <f t="array" ref="H1863">INDEX(G$5:G$66,MATCH($B1863,$B$5:$B$67,0))</f>
        <v>1058</v>
      </c>
      <c r="I1863" s="25">
        <f t="array" ref="I1863">INDEX(H$5:H$67,MATCH($B1863,$B$5:$B$67,0))</f>
        <v>84.64</v>
      </c>
      <c r="J1863" s="25">
        <f t="array" ref="J1863">INDEX(I$5:I$67,MATCH($B1863,$B$5:$B$67,0))</f>
        <v>880</v>
      </c>
      <c r="K1863" s="25">
        <f t="array" ref="K1863">INDEX(J$5:J$67,MATCH($B1863,$B$5:$B$67,0))</f>
        <v>70.4</v>
      </c>
      <c r="L1863" s="25">
        <f t="shared" si="694"/>
        <v>18400</v>
      </c>
      <c r="M1863" s="25">
        <f t="shared" si="695"/>
        <v>4053</v>
      </c>
      <c r="N1863" s="25">
        <f t="shared" si="696"/>
        <v>4867</v>
      </c>
      <c r="O1863" s="25">
        <f t="shared" si="697"/>
        <v>4048</v>
      </c>
    </row>
    <row r="1864" ht="17.25" customHeight="1" spans="1:15">
      <c r="A1864" s="55">
        <v>1040046</v>
      </c>
      <c r="B1864" s="7" t="s">
        <v>368</v>
      </c>
      <c r="C1864" s="25">
        <f t="shared" si="693"/>
        <v>46</v>
      </c>
      <c r="D1864" s="25">
        <f t="array" ref="D1864">INDEX(C$5:C$67,MATCH($B1864,$B$5:$B$67,0))</f>
        <v>4000</v>
      </c>
      <c r="E1864" s="25">
        <f t="array" ref="E1864">INDEX(D$5:D$67,MATCH($B1864,$B$5:$B$67,0))</f>
        <v>320</v>
      </c>
      <c r="F1864" s="25">
        <f t="array" ref="F1864">INDEX(E$5:E$67,MATCH($B1864,$B$5:$B$67,0))</f>
        <v>881</v>
      </c>
      <c r="G1864" s="25">
        <f t="array" ref="G1864">INDEX(F$5:F$67,MATCH($B1864,$B$5:$B$67,0))</f>
        <v>70.48</v>
      </c>
      <c r="H1864" s="25">
        <f t="array" ref="H1864">INDEX(G$5:G$66,MATCH($B1864,$B$5:$B$67,0))</f>
        <v>1058</v>
      </c>
      <c r="I1864" s="25">
        <f t="array" ref="I1864">INDEX(H$5:H$67,MATCH($B1864,$B$5:$B$67,0))</f>
        <v>84.64</v>
      </c>
      <c r="J1864" s="25">
        <f t="array" ref="J1864">INDEX(I$5:I$67,MATCH($B1864,$B$5:$B$67,0))</f>
        <v>880</v>
      </c>
      <c r="K1864" s="25">
        <f t="array" ref="K1864">INDEX(J$5:J$67,MATCH($B1864,$B$5:$B$67,0))</f>
        <v>70.4</v>
      </c>
      <c r="L1864" s="25">
        <f t="shared" si="694"/>
        <v>18720</v>
      </c>
      <c r="M1864" s="25">
        <f t="shared" si="695"/>
        <v>4123</v>
      </c>
      <c r="N1864" s="25">
        <f t="shared" si="696"/>
        <v>4951</v>
      </c>
      <c r="O1864" s="25">
        <f t="shared" si="697"/>
        <v>4118</v>
      </c>
    </row>
    <row r="1865" ht="17.25" customHeight="1" spans="1:15">
      <c r="A1865" s="55">
        <v>1040047</v>
      </c>
      <c r="B1865" s="7" t="s">
        <v>368</v>
      </c>
      <c r="C1865" s="25">
        <f t="shared" si="693"/>
        <v>47</v>
      </c>
      <c r="D1865" s="25">
        <f t="array" ref="D1865">INDEX(C$5:C$67,MATCH($B1865,$B$5:$B$67,0))</f>
        <v>4000</v>
      </c>
      <c r="E1865" s="25">
        <f t="array" ref="E1865">INDEX(D$5:D$67,MATCH($B1865,$B$5:$B$67,0))</f>
        <v>320</v>
      </c>
      <c r="F1865" s="25">
        <f t="array" ref="F1865">INDEX(E$5:E$67,MATCH($B1865,$B$5:$B$67,0))</f>
        <v>881</v>
      </c>
      <c r="G1865" s="25">
        <f t="array" ref="G1865">INDEX(F$5:F$67,MATCH($B1865,$B$5:$B$67,0))</f>
        <v>70.48</v>
      </c>
      <c r="H1865" s="25">
        <f t="array" ref="H1865">INDEX(G$5:G$66,MATCH($B1865,$B$5:$B$67,0))</f>
        <v>1058</v>
      </c>
      <c r="I1865" s="25">
        <f t="array" ref="I1865">INDEX(H$5:H$67,MATCH($B1865,$B$5:$B$67,0))</f>
        <v>84.64</v>
      </c>
      <c r="J1865" s="25">
        <f t="array" ref="J1865">INDEX(I$5:I$67,MATCH($B1865,$B$5:$B$67,0))</f>
        <v>880</v>
      </c>
      <c r="K1865" s="25">
        <f t="array" ref="K1865">INDEX(J$5:J$67,MATCH($B1865,$B$5:$B$67,0))</f>
        <v>70.4</v>
      </c>
      <c r="L1865" s="25">
        <f t="shared" si="694"/>
        <v>19040</v>
      </c>
      <c r="M1865" s="25">
        <f t="shared" si="695"/>
        <v>4194</v>
      </c>
      <c r="N1865" s="25">
        <f t="shared" si="696"/>
        <v>5036</v>
      </c>
      <c r="O1865" s="25">
        <f t="shared" si="697"/>
        <v>4189</v>
      </c>
    </row>
    <row r="1866" ht="17.25" customHeight="1" spans="1:15">
      <c r="A1866" s="55">
        <v>1040048</v>
      </c>
      <c r="B1866" s="7" t="s">
        <v>368</v>
      </c>
      <c r="C1866" s="25">
        <f t="shared" si="693"/>
        <v>48</v>
      </c>
      <c r="D1866" s="25">
        <f t="array" ref="D1866">INDEX(C$5:C$67,MATCH($B1866,$B$5:$B$67,0))</f>
        <v>4000</v>
      </c>
      <c r="E1866" s="25">
        <f t="array" ref="E1866">INDEX(D$5:D$67,MATCH($B1866,$B$5:$B$67,0))</f>
        <v>320</v>
      </c>
      <c r="F1866" s="25">
        <f t="array" ref="F1866">INDEX(E$5:E$67,MATCH($B1866,$B$5:$B$67,0))</f>
        <v>881</v>
      </c>
      <c r="G1866" s="25">
        <f t="array" ref="G1866">INDEX(F$5:F$67,MATCH($B1866,$B$5:$B$67,0))</f>
        <v>70.48</v>
      </c>
      <c r="H1866" s="25">
        <f t="array" ref="H1866">INDEX(G$5:G$66,MATCH($B1866,$B$5:$B$67,0))</f>
        <v>1058</v>
      </c>
      <c r="I1866" s="25">
        <f t="array" ref="I1866">INDEX(H$5:H$67,MATCH($B1866,$B$5:$B$67,0))</f>
        <v>84.64</v>
      </c>
      <c r="J1866" s="25">
        <f t="array" ref="J1866">INDEX(I$5:I$67,MATCH($B1866,$B$5:$B$67,0))</f>
        <v>880</v>
      </c>
      <c r="K1866" s="25">
        <f t="array" ref="K1866">INDEX(J$5:J$67,MATCH($B1866,$B$5:$B$67,0))</f>
        <v>70.4</v>
      </c>
      <c r="L1866" s="25">
        <f t="shared" si="694"/>
        <v>19360</v>
      </c>
      <c r="M1866" s="25">
        <f t="shared" si="695"/>
        <v>4264</v>
      </c>
      <c r="N1866" s="25">
        <f t="shared" si="696"/>
        <v>5121</v>
      </c>
      <c r="O1866" s="25">
        <f t="shared" si="697"/>
        <v>4259</v>
      </c>
    </row>
    <row r="1867" ht="17.25" customHeight="1" spans="1:15">
      <c r="A1867" s="55">
        <v>1040049</v>
      </c>
      <c r="B1867" s="7" t="s">
        <v>368</v>
      </c>
      <c r="C1867" s="25">
        <f t="shared" ref="C1867:C1878" si="698">C1807</f>
        <v>49</v>
      </c>
      <c r="D1867" s="25">
        <f t="array" ref="D1867">INDEX(C$5:C$67,MATCH($B1867,$B$5:$B$67,0))</f>
        <v>4000</v>
      </c>
      <c r="E1867" s="25">
        <f t="array" ref="E1867">INDEX(D$5:D$67,MATCH($B1867,$B$5:$B$67,0))</f>
        <v>320</v>
      </c>
      <c r="F1867" s="25">
        <f t="array" ref="F1867">INDEX(E$5:E$67,MATCH($B1867,$B$5:$B$67,0))</f>
        <v>881</v>
      </c>
      <c r="G1867" s="25">
        <f t="array" ref="G1867">INDEX(F$5:F$67,MATCH($B1867,$B$5:$B$67,0))</f>
        <v>70.48</v>
      </c>
      <c r="H1867" s="25">
        <f t="array" ref="H1867">INDEX(G$5:G$66,MATCH($B1867,$B$5:$B$67,0))</f>
        <v>1058</v>
      </c>
      <c r="I1867" s="25">
        <f t="array" ref="I1867">INDEX(H$5:H$67,MATCH($B1867,$B$5:$B$67,0))</f>
        <v>84.64</v>
      </c>
      <c r="J1867" s="25">
        <f t="array" ref="J1867">INDEX(I$5:I$67,MATCH($B1867,$B$5:$B$67,0))</f>
        <v>880</v>
      </c>
      <c r="K1867" s="25">
        <f t="array" ref="K1867">INDEX(J$5:J$67,MATCH($B1867,$B$5:$B$67,0))</f>
        <v>70.4</v>
      </c>
      <c r="L1867" s="25">
        <f t="shared" si="694"/>
        <v>19680</v>
      </c>
      <c r="M1867" s="25">
        <f t="shared" si="695"/>
        <v>4335</v>
      </c>
      <c r="N1867" s="25">
        <f t="shared" si="696"/>
        <v>5205</v>
      </c>
      <c r="O1867" s="25">
        <f t="shared" si="697"/>
        <v>4330</v>
      </c>
    </row>
    <row r="1868" ht="17.25" customHeight="1" spans="1:15">
      <c r="A1868" s="55">
        <v>1040050</v>
      </c>
      <c r="B1868" s="7" t="s">
        <v>368</v>
      </c>
      <c r="C1868" s="25">
        <f t="shared" si="698"/>
        <v>50</v>
      </c>
      <c r="D1868" s="25">
        <f t="array" ref="D1868">INDEX(C$5:C$67,MATCH($B1868,$B$5:$B$67,0))</f>
        <v>4000</v>
      </c>
      <c r="E1868" s="25">
        <f t="array" ref="E1868">INDEX(D$5:D$67,MATCH($B1868,$B$5:$B$67,0))</f>
        <v>320</v>
      </c>
      <c r="F1868" s="25">
        <f t="array" ref="F1868">INDEX(E$5:E$67,MATCH($B1868,$B$5:$B$67,0))</f>
        <v>881</v>
      </c>
      <c r="G1868" s="25">
        <f t="array" ref="G1868">INDEX(F$5:F$67,MATCH($B1868,$B$5:$B$67,0))</f>
        <v>70.48</v>
      </c>
      <c r="H1868" s="25">
        <f t="array" ref="H1868">INDEX(G$5:G$66,MATCH($B1868,$B$5:$B$67,0))</f>
        <v>1058</v>
      </c>
      <c r="I1868" s="25">
        <f t="array" ref="I1868">INDEX(H$5:H$67,MATCH($B1868,$B$5:$B$67,0))</f>
        <v>84.64</v>
      </c>
      <c r="J1868" s="25">
        <f t="array" ref="J1868">INDEX(I$5:I$67,MATCH($B1868,$B$5:$B$67,0))</f>
        <v>880</v>
      </c>
      <c r="K1868" s="25">
        <f t="array" ref="K1868">INDEX(J$5:J$67,MATCH($B1868,$B$5:$B$67,0))</f>
        <v>70.4</v>
      </c>
      <c r="L1868" s="25">
        <f t="shared" si="694"/>
        <v>20000</v>
      </c>
      <c r="M1868" s="25">
        <f t="shared" si="695"/>
        <v>4405</v>
      </c>
      <c r="N1868" s="25">
        <f t="shared" si="696"/>
        <v>5290</v>
      </c>
      <c r="O1868" s="25">
        <f t="shared" si="697"/>
        <v>4400</v>
      </c>
    </row>
    <row r="1869" ht="17.25" customHeight="1" spans="1:15">
      <c r="A1869" s="55">
        <v>1040051</v>
      </c>
      <c r="B1869" s="7" t="s">
        <v>368</v>
      </c>
      <c r="C1869" s="25">
        <f t="shared" si="698"/>
        <v>51</v>
      </c>
      <c r="D1869" s="25">
        <f t="array" ref="D1869">INDEX(C$5:C$67,MATCH($B1869,$B$5:$B$67,0))</f>
        <v>4000</v>
      </c>
      <c r="E1869" s="25">
        <f t="array" ref="E1869">INDEX(D$5:D$67,MATCH($B1869,$B$5:$B$67,0))</f>
        <v>320</v>
      </c>
      <c r="F1869" s="25">
        <f t="array" ref="F1869">INDEX(E$5:E$67,MATCH($B1869,$B$5:$B$67,0))</f>
        <v>881</v>
      </c>
      <c r="G1869" s="25">
        <f t="array" ref="G1869">INDEX(F$5:F$67,MATCH($B1869,$B$5:$B$67,0))</f>
        <v>70.48</v>
      </c>
      <c r="H1869" s="25">
        <f t="array" ref="H1869">INDEX(G$5:G$66,MATCH($B1869,$B$5:$B$67,0))</f>
        <v>1058</v>
      </c>
      <c r="I1869" s="25">
        <f t="array" ref="I1869">INDEX(H$5:H$67,MATCH($B1869,$B$5:$B$67,0))</f>
        <v>84.64</v>
      </c>
      <c r="J1869" s="25">
        <f t="array" ref="J1869">INDEX(I$5:I$67,MATCH($B1869,$B$5:$B$67,0))</f>
        <v>880</v>
      </c>
      <c r="K1869" s="25">
        <f t="array" ref="K1869">INDEX(J$5:J$67,MATCH($B1869,$B$5:$B$67,0))</f>
        <v>70.4</v>
      </c>
      <c r="L1869" s="25">
        <f t="shared" si="694"/>
        <v>20320</v>
      </c>
      <c r="M1869" s="25">
        <f t="shared" si="695"/>
        <v>4475</v>
      </c>
      <c r="N1869" s="25">
        <f t="shared" si="696"/>
        <v>5375</v>
      </c>
      <c r="O1869" s="25">
        <f t="shared" si="697"/>
        <v>4470</v>
      </c>
    </row>
    <row r="1870" ht="17.25" customHeight="1" spans="1:15">
      <c r="A1870" s="55">
        <v>1040052</v>
      </c>
      <c r="B1870" s="7" t="s">
        <v>368</v>
      </c>
      <c r="C1870" s="25">
        <f t="shared" si="698"/>
        <v>52</v>
      </c>
      <c r="D1870" s="25">
        <f t="array" ref="D1870">INDEX(C$5:C$67,MATCH($B1870,$B$5:$B$67,0))</f>
        <v>4000</v>
      </c>
      <c r="E1870" s="25">
        <f t="array" ref="E1870">INDEX(D$5:D$67,MATCH($B1870,$B$5:$B$67,0))</f>
        <v>320</v>
      </c>
      <c r="F1870" s="25">
        <f t="array" ref="F1870">INDEX(E$5:E$67,MATCH($B1870,$B$5:$B$67,0))</f>
        <v>881</v>
      </c>
      <c r="G1870" s="25">
        <f t="array" ref="G1870">INDEX(F$5:F$67,MATCH($B1870,$B$5:$B$67,0))</f>
        <v>70.48</v>
      </c>
      <c r="H1870" s="25">
        <f t="array" ref="H1870">INDEX(G$5:G$66,MATCH($B1870,$B$5:$B$67,0))</f>
        <v>1058</v>
      </c>
      <c r="I1870" s="25">
        <f t="array" ref="I1870">INDEX(H$5:H$67,MATCH($B1870,$B$5:$B$67,0))</f>
        <v>84.64</v>
      </c>
      <c r="J1870" s="25">
        <f t="array" ref="J1870">INDEX(I$5:I$67,MATCH($B1870,$B$5:$B$67,0))</f>
        <v>880</v>
      </c>
      <c r="K1870" s="25">
        <f t="array" ref="K1870">INDEX(J$5:J$67,MATCH($B1870,$B$5:$B$67,0))</f>
        <v>70.4</v>
      </c>
      <c r="L1870" s="25">
        <f t="shared" si="694"/>
        <v>20640</v>
      </c>
      <c r="M1870" s="25">
        <f t="shared" si="695"/>
        <v>4546</v>
      </c>
      <c r="N1870" s="25">
        <f t="shared" si="696"/>
        <v>5459</v>
      </c>
      <c r="O1870" s="25">
        <f t="shared" si="697"/>
        <v>4541</v>
      </c>
    </row>
    <row r="1871" ht="17.25" customHeight="1" spans="1:15">
      <c r="A1871" s="55">
        <v>1040053</v>
      </c>
      <c r="B1871" s="7" t="s">
        <v>368</v>
      </c>
      <c r="C1871" s="25">
        <f t="shared" si="698"/>
        <v>53</v>
      </c>
      <c r="D1871" s="25">
        <f t="array" ref="D1871">INDEX(C$5:C$67,MATCH($B1871,$B$5:$B$67,0))</f>
        <v>4000</v>
      </c>
      <c r="E1871" s="25">
        <f t="array" ref="E1871">INDEX(D$5:D$67,MATCH($B1871,$B$5:$B$67,0))</f>
        <v>320</v>
      </c>
      <c r="F1871" s="25">
        <f t="array" ref="F1871">INDEX(E$5:E$67,MATCH($B1871,$B$5:$B$67,0))</f>
        <v>881</v>
      </c>
      <c r="G1871" s="25">
        <f t="array" ref="G1871">INDEX(F$5:F$67,MATCH($B1871,$B$5:$B$67,0))</f>
        <v>70.48</v>
      </c>
      <c r="H1871" s="25">
        <f t="array" ref="H1871">INDEX(G$5:G$66,MATCH($B1871,$B$5:$B$67,0))</f>
        <v>1058</v>
      </c>
      <c r="I1871" s="25">
        <f t="array" ref="I1871">INDEX(H$5:H$67,MATCH($B1871,$B$5:$B$67,0))</f>
        <v>84.64</v>
      </c>
      <c r="J1871" s="25">
        <f t="array" ref="J1871">INDEX(I$5:I$67,MATCH($B1871,$B$5:$B$67,0))</f>
        <v>880</v>
      </c>
      <c r="K1871" s="25">
        <f t="array" ref="K1871">INDEX(J$5:J$67,MATCH($B1871,$B$5:$B$67,0))</f>
        <v>70.4</v>
      </c>
      <c r="L1871" s="25">
        <f t="shared" ref="L1871:L1878" si="699">ROUND(D1871+E1871*$C1871,0)</f>
        <v>20960</v>
      </c>
      <c r="M1871" s="25">
        <f t="shared" ref="M1871:M1878" si="700">ROUND(F1871+G1871*$C1871,0)</f>
        <v>4616</v>
      </c>
      <c r="N1871" s="25">
        <f t="shared" ref="N1871:N1878" si="701">ROUND(H1871+I1871*$C1871,0)</f>
        <v>5544</v>
      </c>
      <c r="O1871" s="25">
        <f t="shared" ref="O1871:O1878" si="702">ROUND(J1871+K1871*$C1871,0)</f>
        <v>4611</v>
      </c>
    </row>
    <row r="1872" ht="17.25" customHeight="1" spans="1:15">
      <c r="A1872" s="55">
        <v>1040054</v>
      </c>
      <c r="B1872" s="7" t="s">
        <v>368</v>
      </c>
      <c r="C1872" s="25">
        <f t="shared" si="698"/>
        <v>54</v>
      </c>
      <c r="D1872" s="25">
        <f t="array" ref="D1872">INDEX(C$5:C$67,MATCH($B1872,$B$5:$B$67,0))</f>
        <v>4000</v>
      </c>
      <c r="E1872" s="25">
        <f t="array" ref="E1872">INDEX(D$5:D$67,MATCH($B1872,$B$5:$B$67,0))</f>
        <v>320</v>
      </c>
      <c r="F1872" s="25">
        <f t="array" ref="F1872">INDEX(E$5:E$67,MATCH($B1872,$B$5:$B$67,0))</f>
        <v>881</v>
      </c>
      <c r="G1872" s="25">
        <f t="array" ref="G1872">INDEX(F$5:F$67,MATCH($B1872,$B$5:$B$67,0))</f>
        <v>70.48</v>
      </c>
      <c r="H1872" s="25">
        <f t="array" ref="H1872">INDEX(G$5:G$66,MATCH($B1872,$B$5:$B$67,0))</f>
        <v>1058</v>
      </c>
      <c r="I1872" s="25">
        <f t="array" ref="I1872">INDEX(H$5:H$67,MATCH($B1872,$B$5:$B$67,0))</f>
        <v>84.64</v>
      </c>
      <c r="J1872" s="25">
        <f t="array" ref="J1872">INDEX(I$5:I$67,MATCH($B1872,$B$5:$B$67,0))</f>
        <v>880</v>
      </c>
      <c r="K1872" s="25">
        <f t="array" ref="K1872">INDEX(J$5:J$67,MATCH($B1872,$B$5:$B$67,0))</f>
        <v>70.4</v>
      </c>
      <c r="L1872" s="25">
        <f t="shared" si="699"/>
        <v>21280</v>
      </c>
      <c r="M1872" s="25">
        <f t="shared" si="700"/>
        <v>4687</v>
      </c>
      <c r="N1872" s="25">
        <f t="shared" si="701"/>
        <v>5629</v>
      </c>
      <c r="O1872" s="25">
        <f t="shared" si="702"/>
        <v>4682</v>
      </c>
    </row>
    <row r="1873" ht="17.25" customHeight="1" spans="1:15">
      <c r="A1873" s="55">
        <v>1040055</v>
      </c>
      <c r="B1873" s="7" t="s">
        <v>368</v>
      </c>
      <c r="C1873" s="25">
        <f t="shared" si="698"/>
        <v>55</v>
      </c>
      <c r="D1873" s="25">
        <f t="array" ref="D1873">INDEX(C$5:C$67,MATCH($B1873,$B$5:$B$67,0))</f>
        <v>4000</v>
      </c>
      <c r="E1873" s="25">
        <f t="array" ref="E1873">INDEX(D$5:D$67,MATCH($B1873,$B$5:$B$67,0))</f>
        <v>320</v>
      </c>
      <c r="F1873" s="25">
        <f t="array" ref="F1873">INDEX(E$5:E$67,MATCH($B1873,$B$5:$B$67,0))</f>
        <v>881</v>
      </c>
      <c r="G1873" s="25">
        <f t="array" ref="G1873">INDEX(F$5:F$67,MATCH($B1873,$B$5:$B$67,0))</f>
        <v>70.48</v>
      </c>
      <c r="H1873" s="25">
        <f t="array" ref="H1873">INDEX(G$5:G$66,MATCH($B1873,$B$5:$B$67,0))</f>
        <v>1058</v>
      </c>
      <c r="I1873" s="25">
        <f t="array" ref="I1873">INDEX(H$5:H$67,MATCH($B1873,$B$5:$B$67,0))</f>
        <v>84.64</v>
      </c>
      <c r="J1873" s="25">
        <f t="array" ref="J1873">INDEX(I$5:I$67,MATCH($B1873,$B$5:$B$67,0))</f>
        <v>880</v>
      </c>
      <c r="K1873" s="25">
        <f t="array" ref="K1873">INDEX(J$5:J$67,MATCH($B1873,$B$5:$B$67,0))</f>
        <v>70.4</v>
      </c>
      <c r="L1873" s="25">
        <f t="shared" si="699"/>
        <v>21600</v>
      </c>
      <c r="M1873" s="25">
        <f t="shared" si="700"/>
        <v>4757</v>
      </c>
      <c r="N1873" s="25">
        <f t="shared" si="701"/>
        <v>5713</v>
      </c>
      <c r="O1873" s="25">
        <f t="shared" si="702"/>
        <v>4752</v>
      </c>
    </row>
    <row r="1874" ht="17.25" customHeight="1" spans="1:15">
      <c r="A1874" s="55">
        <v>1040056</v>
      </c>
      <c r="B1874" s="7" t="s">
        <v>368</v>
      </c>
      <c r="C1874" s="25">
        <f t="shared" si="698"/>
        <v>56</v>
      </c>
      <c r="D1874" s="25">
        <f t="array" ref="D1874">INDEX(C$5:C$67,MATCH($B1874,$B$5:$B$67,0))</f>
        <v>4000</v>
      </c>
      <c r="E1874" s="25">
        <f t="array" ref="E1874">INDEX(D$5:D$67,MATCH($B1874,$B$5:$B$67,0))</f>
        <v>320</v>
      </c>
      <c r="F1874" s="25">
        <f t="array" ref="F1874">INDEX(E$5:E$67,MATCH($B1874,$B$5:$B$67,0))</f>
        <v>881</v>
      </c>
      <c r="G1874" s="25">
        <f t="array" ref="G1874">INDEX(F$5:F$67,MATCH($B1874,$B$5:$B$67,0))</f>
        <v>70.48</v>
      </c>
      <c r="H1874" s="25">
        <f t="array" ref="H1874">INDEX(G$5:G$66,MATCH($B1874,$B$5:$B$67,0))</f>
        <v>1058</v>
      </c>
      <c r="I1874" s="25">
        <f t="array" ref="I1874">INDEX(H$5:H$67,MATCH($B1874,$B$5:$B$67,0))</f>
        <v>84.64</v>
      </c>
      <c r="J1874" s="25">
        <f t="array" ref="J1874">INDEX(I$5:I$67,MATCH($B1874,$B$5:$B$67,0))</f>
        <v>880</v>
      </c>
      <c r="K1874" s="25">
        <f t="array" ref="K1874">INDEX(J$5:J$67,MATCH($B1874,$B$5:$B$67,0))</f>
        <v>70.4</v>
      </c>
      <c r="L1874" s="25">
        <f t="shared" si="699"/>
        <v>21920</v>
      </c>
      <c r="M1874" s="25">
        <f t="shared" si="700"/>
        <v>4828</v>
      </c>
      <c r="N1874" s="25">
        <f t="shared" si="701"/>
        <v>5798</v>
      </c>
      <c r="O1874" s="25">
        <f t="shared" si="702"/>
        <v>4822</v>
      </c>
    </row>
    <row r="1875" ht="17.25" customHeight="1" spans="1:15">
      <c r="A1875" s="55">
        <v>1040057</v>
      </c>
      <c r="B1875" s="7" t="s">
        <v>368</v>
      </c>
      <c r="C1875" s="25">
        <f t="shared" si="698"/>
        <v>57</v>
      </c>
      <c r="D1875" s="25">
        <f t="array" ref="D1875">INDEX(C$5:C$67,MATCH($B1875,$B$5:$B$67,0))</f>
        <v>4000</v>
      </c>
      <c r="E1875" s="25">
        <f t="array" ref="E1875">INDEX(D$5:D$67,MATCH($B1875,$B$5:$B$67,0))</f>
        <v>320</v>
      </c>
      <c r="F1875" s="25">
        <f t="array" ref="F1875">INDEX(E$5:E$67,MATCH($B1875,$B$5:$B$67,0))</f>
        <v>881</v>
      </c>
      <c r="G1875" s="25">
        <f t="array" ref="G1875">INDEX(F$5:F$67,MATCH($B1875,$B$5:$B$67,0))</f>
        <v>70.48</v>
      </c>
      <c r="H1875" s="25">
        <f t="array" ref="H1875">INDEX(G$5:G$66,MATCH($B1875,$B$5:$B$67,0))</f>
        <v>1058</v>
      </c>
      <c r="I1875" s="25">
        <f t="array" ref="I1875">INDEX(H$5:H$67,MATCH($B1875,$B$5:$B$67,0))</f>
        <v>84.64</v>
      </c>
      <c r="J1875" s="25">
        <f t="array" ref="J1875">INDEX(I$5:I$67,MATCH($B1875,$B$5:$B$67,0))</f>
        <v>880</v>
      </c>
      <c r="K1875" s="25">
        <f t="array" ref="K1875">INDEX(J$5:J$67,MATCH($B1875,$B$5:$B$67,0))</f>
        <v>70.4</v>
      </c>
      <c r="L1875" s="25">
        <f t="shared" si="699"/>
        <v>22240</v>
      </c>
      <c r="M1875" s="25">
        <f t="shared" si="700"/>
        <v>4898</v>
      </c>
      <c r="N1875" s="25">
        <f t="shared" si="701"/>
        <v>5882</v>
      </c>
      <c r="O1875" s="25">
        <f t="shared" si="702"/>
        <v>4893</v>
      </c>
    </row>
    <row r="1876" ht="17.25" customHeight="1" spans="1:15">
      <c r="A1876" s="55">
        <v>1040058</v>
      </c>
      <c r="B1876" s="7" t="s">
        <v>368</v>
      </c>
      <c r="C1876" s="25">
        <f t="shared" si="698"/>
        <v>58</v>
      </c>
      <c r="D1876" s="25">
        <f t="array" ref="D1876">INDEX(C$5:C$67,MATCH($B1876,$B$5:$B$67,0))</f>
        <v>4000</v>
      </c>
      <c r="E1876" s="25">
        <f t="array" ref="E1876">INDEX(D$5:D$67,MATCH($B1876,$B$5:$B$67,0))</f>
        <v>320</v>
      </c>
      <c r="F1876" s="25">
        <f t="array" ref="F1876">INDEX(E$5:E$67,MATCH($B1876,$B$5:$B$67,0))</f>
        <v>881</v>
      </c>
      <c r="G1876" s="25">
        <f t="array" ref="G1876">INDEX(F$5:F$67,MATCH($B1876,$B$5:$B$67,0))</f>
        <v>70.48</v>
      </c>
      <c r="H1876" s="25">
        <f t="array" ref="H1876">INDEX(G$5:G$66,MATCH($B1876,$B$5:$B$67,0))</f>
        <v>1058</v>
      </c>
      <c r="I1876" s="25">
        <f t="array" ref="I1876">INDEX(H$5:H$67,MATCH($B1876,$B$5:$B$67,0))</f>
        <v>84.64</v>
      </c>
      <c r="J1876" s="25">
        <f t="array" ref="J1876">INDEX(I$5:I$67,MATCH($B1876,$B$5:$B$67,0))</f>
        <v>880</v>
      </c>
      <c r="K1876" s="25">
        <f t="array" ref="K1876">INDEX(J$5:J$67,MATCH($B1876,$B$5:$B$67,0))</f>
        <v>70.4</v>
      </c>
      <c r="L1876" s="25">
        <f t="shared" si="699"/>
        <v>22560</v>
      </c>
      <c r="M1876" s="25">
        <f t="shared" si="700"/>
        <v>4969</v>
      </c>
      <c r="N1876" s="25">
        <f t="shared" si="701"/>
        <v>5967</v>
      </c>
      <c r="O1876" s="25">
        <f t="shared" si="702"/>
        <v>4963</v>
      </c>
    </row>
    <row r="1877" ht="17.25" customHeight="1" spans="1:15">
      <c r="A1877" s="55">
        <v>1040059</v>
      </c>
      <c r="B1877" s="7" t="s">
        <v>368</v>
      </c>
      <c r="C1877" s="25">
        <f t="shared" si="698"/>
        <v>59</v>
      </c>
      <c r="D1877" s="25">
        <f t="array" ref="D1877">INDEX(C$5:C$67,MATCH($B1877,$B$5:$B$67,0))</f>
        <v>4000</v>
      </c>
      <c r="E1877" s="25">
        <f t="array" ref="E1877">INDEX(D$5:D$67,MATCH($B1877,$B$5:$B$67,0))</f>
        <v>320</v>
      </c>
      <c r="F1877" s="25">
        <f t="array" ref="F1877">INDEX(E$5:E$67,MATCH($B1877,$B$5:$B$67,0))</f>
        <v>881</v>
      </c>
      <c r="G1877" s="25">
        <f t="array" ref="G1877">INDEX(F$5:F$67,MATCH($B1877,$B$5:$B$67,0))</f>
        <v>70.48</v>
      </c>
      <c r="H1877" s="25">
        <f t="array" ref="H1877">INDEX(G$5:G$66,MATCH($B1877,$B$5:$B$67,0))</f>
        <v>1058</v>
      </c>
      <c r="I1877" s="25">
        <f t="array" ref="I1877">INDEX(H$5:H$67,MATCH($B1877,$B$5:$B$67,0))</f>
        <v>84.64</v>
      </c>
      <c r="J1877" s="25">
        <f t="array" ref="J1877">INDEX(I$5:I$67,MATCH($B1877,$B$5:$B$67,0))</f>
        <v>880</v>
      </c>
      <c r="K1877" s="25">
        <f t="array" ref="K1877">INDEX(J$5:J$67,MATCH($B1877,$B$5:$B$67,0))</f>
        <v>70.4</v>
      </c>
      <c r="L1877" s="25">
        <f t="shared" si="699"/>
        <v>22880</v>
      </c>
      <c r="M1877" s="25">
        <f t="shared" si="700"/>
        <v>5039</v>
      </c>
      <c r="N1877" s="25">
        <f t="shared" si="701"/>
        <v>6052</v>
      </c>
      <c r="O1877" s="25">
        <f t="shared" si="702"/>
        <v>5034</v>
      </c>
    </row>
    <row r="1878" ht="17.25" customHeight="1" spans="1:15">
      <c r="A1878" s="55">
        <v>1040060</v>
      </c>
      <c r="B1878" s="7" t="s">
        <v>368</v>
      </c>
      <c r="C1878" s="25">
        <f t="shared" si="698"/>
        <v>60</v>
      </c>
      <c r="D1878" s="25">
        <f t="array" ref="D1878">INDEX(C$5:C$67,MATCH($B1878,$B$5:$B$67,0))</f>
        <v>4000</v>
      </c>
      <c r="E1878" s="25">
        <f t="array" ref="E1878">INDEX(D$5:D$67,MATCH($B1878,$B$5:$B$67,0))</f>
        <v>320</v>
      </c>
      <c r="F1878" s="25">
        <f t="array" ref="F1878">INDEX(E$5:E$67,MATCH($B1878,$B$5:$B$67,0))</f>
        <v>881</v>
      </c>
      <c r="G1878" s="25">
        <f t="array" ref="G1878">INDEX(F$5:F$67,MATCH($B1878,$B$5:$B$67,0))</f>
        <v>70.48</v>
      </c>
      <c r="H1878" s="25">
        <f t="array" ref="H1878">INDEX(G$5:G$66,MATCH($B1878,$B$5:$B$67,0))</f>
        <v>1058</v>
      </c>
      <c r="I1878" s="25">
        <f t="array" ref="I1878">INDEX(H$5:H$67,MATCH($B1878,$B$5:$B$67,0))</f>
        <v>84.64</v>
      </c>
      <c r="J1878" s="25">
        <f t="array" ref="J1878">INDEX(I$5:I$67,MATCH($B1878,$B$5:$B$67,0))</f>
        <v>880</v>
      </c>
      <c r="K1878" s="25">
        <f t="array" ref="K1878">INDEX(J$5:J$67,MATCH($B1878,$B$5:$B$67,0))</f>
        <v>70.4</v>
      </c>
      <c r="L1878" s="25">
        <f t="shared" si="699"/>
        <v>23200</v>
      </c>
      <c r="M1878" s="25">
        <f t="shared" si="700"/>
        <v>5110</v>
      </c>
      <c r="N1878" s="25">
        <f t="shared" si="701"/>
        <v>6136</v>
      </c>
      <c r="O1878" s="25">
        <f t="shared" si="702"/>
        <v>5104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1"/>
  <sheetViews>
    <sheetView workbookViewId="0">
      <pane topLeftCell="A1" activePane="bottomRight" state="frozen"/>
      <selection activeCell="K38" sqref="K38"/>
    </sheetView>
  </sheetViews>
  <sheetFormatPr defaultColWidth="9" defaultRowHeight="13.5"/>
  <cols>
    <col min="1" max="1" width="10.1833333333333" style="8" customWidth="1"/>
    <col min="2" max="2" width="9.51666666666667" style="8" customWidth="1"/>
    <col min="3" max="3" width="18.625" style="8" customWidth="1"/>
    <col min="4" max="7" width="10.7333333333333" style="8" customWidth="1"/>
    <col min="8" max="8" width="14.1833333333333" style="8" customWidth="1"/>
    <col min="9" max="9" width="10.7333333333333" style="8" customWidth="1"/>
    <col min="10" max="11" width="17.625" style="8" customWidth="1"/>
    <col min="12" max="12" width="10.7333333333333" style="8" customWidth="1"/>
    <col min="13" max="13" width="15.5" style="9" customWidth="1"/>
    <col min="14" max="14" width="10.7333333333333" style="9" customWidth="1"/>
    <col min="15" max="15" width="11.85" style="9" customWidth="1"/>
    <col min="16" max="16" width="17.9583333333333" style="9" customWidth="1"/>
    <col min="17" max="17" width="10.1833333333333" style="9" customWidth="1"/>
    <col min="18" max="18" width="15.85" style="9" customWidth="1"/>
    <col min="19" max="19" width="10.7333333333333" style="9" customWidth="1"/>
    <col min="20" max="20" width="11.5166666666667" style="9" customWidth="1"/>
    <col min="21" max="21" width="50.2916666666667" style="8" customWidth="1"/>
    <col min="22" max="22" width="186" style="8" customWidth="1"/>
    <col min="23" max="23" width="57.75" style="8" customWidth="1"/>
    <col min="24" max="24" width="10.7333333333333" style="8" customWidth="1"/>
    <col min="26" max="29" width="9" style="8" customWidth="1"/>
    <col min="30" max="30" width="12.125" style="8" customWidth="1"/>
    <col min="31" max="36" width="9" style="9" customWidth="1"/>
    <col min="37" max="37" width="9" style="8" customWidth="1"/>
  </cols>
  <sheetData>
    <row r="1" ht="30" customHeight="1" spans="1:37">
      <c r="A1" s="10" t="s">
        <v>295</v>
      </c>
      <c r="B1" s="11" t="s">
        <v>1014</v>
      </c>
      <c r="C1" s="11" t="s">
        <v>1015</v>
      </c>
      <c r="D1" s="11" t="s">
        <v>1016</v>
      </c>
      <c r="E1" s="11" t="s">
        <v>1017</v>
      </c>
      <c r="F1" s="12" t="s">
        <v>298</v>
      </c>
      <c r="G1" s="12" t="s">
        <v>298</v>
      </c>
      <c r="H1" s="11" t="s">
        <v>1018</v>
      </c>
      <c r="I1" s="12" t="s">
        <v>298</v>
      </c>
      <c r="J1" s="11" t="s">
        <v>1019</v>
      </c>
      <c r="K1" s="11" t="s">
        <v>1020</v>
      </c>
      <c r="L1" s="11" t="s">
        <v>1021</v>
      </c>
      <c r="M1" s="13" t="s">
        <v>768</v>
      </c>
      <c r="N1" s="13" t="s">
        <v>1022</v>
      </c>
      <c r="O1" s="13" t="s">
        <v>766</v>
      </c>
      <c r="P1" s="13" t="s">
        <v>1023</v>
      </c>
      <c r="Q1" s="13" t="s">
        <v>767</v>
      </c>
      <c r="R1" s="13" t="s">
        <v>1024</v>
      </c>
      <c r="S1" s="13" t="s">
        <v>769</v>
      </c>
      <c r="T1" s="13" t="s">
        <v>1025</v>
      </c>
      <c r="U1" s="11" t="s">
        <v>1026</v>
      </c>
      <c r="V1" s="11" t="s">
        <v>1027</v>
      </c>
      <c r="W1" s="11" t="s">
        <v>1028</v>
      </c>
      <c r="X1" s="11" t="s">
        <v>303</v>
      </c>
      <c r="Z1" s="14" t="s">
        <v>1029</v>
      </c>
      <c r="AA1" s="14" t="s">
        <v>1030</v>
      </c>
      <c r="AB1" s="14" t="s">
        <v>1031</v>
      </c>
      <c r="AC1" s="14" t="s">
        <v>1032</v>
      </c>
      <c r="AD1" s="14" t="s">
        <v>1033</v>
      </c>
      <c r="AE1" s="15" t="s">
        <v>1034</v>
      </c>
      <c r="AF1" s="15" t="s">
        <v>1035</v>
      </c>
      <c r="AG1" s="15" t="s">
        <v>1036</v>
      </c>
      <c r="AH1" s="15" t="s">
        <v>1037</v>
      </c>
      <c r="AI1" s="15" t="s">
        <v>1038</v>
      </c>
      <c r="AJ1" s="15"/>
      <c r="AK1" s="14" t="s">
        <v>1039</v>
      </c>
    </row>
    <row r="2" ht="30" customHeight="1" spans="1:37">
      <c r="A2" s="10" t="s">
        <v>304</v>
      </c>
      <c r="B2" s="11" t="s">
        <v>305</v>
      </c>
      <c r="C2" s="11" t="s">
        <v>1040</v>
      </c>
      <c r="D2" s="11" t="s">
        <v>1041</v>
      </c>
      <c r="E2" s="11" t="s">
        <v>1041</v>
      </c>
      <c r="F2" s="12" t="s">
        <v>298</v>
      </c>
      <c r="G2" s="12" t="s">
        <v>298</v>
      </c>
      <c r="H2" s="11" t="s">
        <v>1042</v>
      </c>
      <c r="I2" s="12" t="s">
        <v>298</v>
      </c>
      <c r="J2" s="11" t="s">
        <v>1043</v>
      </c>
      <c r="K2" s="11" t="s">
        <v>1041</v>
      </c>
      <c r="L2" s="11" t="s">
        <v>1041</v>
      </c>
      <c r="M2" s="13" t="s">
        <v>1044</v>
      </c>
      <c r="N2" s="13" t="s">
        <v>1044</v>
      </c>
      <c r="O2" s="13" t="s">
        <v>1044</v>
      </c>
      <c r="P2" s="13" t="s">
        <v>1044</v>
      </c>
      <c r="Q2" s="13" t="s">
        <v>1044</v>
      </c>
      <c r="R2" s="13" t="s">
        <v>1044</v>
      </c>
      <c r="S2" s="13" t="s">
        <v>1044</v>
      </c>
      <c r="T2" s="13" t="s">
        <v>1044</v>
      </c>
      <c r="U2" s="11" t="s">
        <v>1045</v>
      </c>
      <c r="V2" s="11" t="s">
        <v>1046</v>
      </c>
      <c r="W2" s="11" t="s">
        <v>1040</v>
      </c>
      <c r="X2" s="11" t="s">
        <v>307</v>
      </c>
      <c r="Z2" s="14"/>
      <c r="AA2" s="14"/>
      <c r="AB2" s="14"/>
      <c r="AC2" s="14"/>
      <c r="AD2" s="14"/>
      <c r="AE2" s="15"/>
      <c r="AF2" s="15"/>
      <c r="AG2" s="15"/>
      <c r="AH2" s="15"/>
      <c r="AI2" s="15"/>
      <c r="AJ2" s="15"/>
      <c r="AK2" s="14"/>
    </row>
    <row r="3" ht="15" customHeight="1" spans="1:37">
      <c r="A3" s="10" t="s">
        <v>308</v>
      </c>
      <c r="B3" s="11"/>
      <c r="C3" s="11"/>
      <c r="D3" s="11"/>
      <c r="E3" s="11"/>
      <c r="F3" s="12"/>
      <c r="G3" s="12"/>
      <c r="H3" s="11"/>
      <c r="I3" s="12"/>
      <c r="J3" s="11"/>
      <c r="K3" s="11"/>
      <c r="L3" s="11"/>
      <c r="M3" s="13"/>
      <c r="N3" s="13"/>
      <c r="O3" s="13"/>
      <c r="P3" s="13"/>
      <c r="Q3" s="13"/>
      <c r="R3" s="13"/>
      <c r="S3" s="13"/>
      <c r="T3" s="13"/>
      <c r="U3" s="11"/>
      <c r="V3" s="11"/>
      <c r="W3" s="11"/>
      <c r="X3" s="11"/>
      <c r="Z3" s="14"/>
      <c r="AA3" s="14"/>
      <c r="AB3" s="14"/>
      <c r="AC3" s="14"/>
      <c r="AD3" s="14"/>
      <c r="AE3" s="15"/>
      <c r="AF3" s="15"/>
      <c r="AG3" s="15"/>
      <c r="AH3" s="15"/>
      <c r="AI3" s="15"/>
      <c r="AJ3" s="15"/>
      <c r="AK3" s="14"/>
    </row>
    <row r="4" ht="30" customHeight="1" spans="1:37">
      <c r="A4" s="10" t="s">
        <v>298</v>
      </c>
      <c r="B4" s="16" t="s">
        <v>296</v>
      </c>
      <c r="C4" s="16" t="s">
        <v>554</v>
      </c>
      <c r="D4" s="16" t="s">
        <v>1047</v>
      </c>
      <c r="E4" s="16" t="s">
        <v>1048</v>
      </c>
      <c r="F4" s="17" t="s">
        <v>1049</v>
      </c>
      <c r="G4" s="17"/>
      <c r="H4" s="16" t="s">
        <v>523</v>
      </c>
      <c r="I4" s="17"/>
      <c r="J4" s="16" t="s">
        <v>847</v>
      </c>
      <c r="K4" s="16" t="s">
        <v>1050</v>
      </c>
      <c r="L4" s="16" t="s">
        <v>1051</v>
      </c>
      <c r="M4" s="18" t="s">
        <v>1052</v>
      </c>
      <c r="N4" s="18" t="s">
        <v>1053</v>
      </c>
      <c r="O4" s="18" t="s">
        <v>886</v>
      </c>
      <c r="P4" s="18" t="s">
        <v>1054</v>
      </c>
      <c r="Q4" s="18" t="s">
        <v>886</v>
      </c>
      <c r="R4" s="18" t="s">
        <v>1054</v>
      </c>
      <c r="S4" s="18" t="s">
        <v>544</v>
      </c>
      <c r="T4" s="18" t="s">
        <v>1055</v>
      </c>
      <c r="U4" s="19" t="s">
        <v>1056</v>
      </c>
      <c r="V4" s="19" t="s">
        <v>1057</v>
      </c>
      <c r="W4" s="19" t="s">
        <v>1058</v>
      </c>
      <c r="X4" s="16" t="s">
        <v>293</v>
      </c>
      <c r="Z4" s="14"/>
      <c r="AA4" s="14"/>
      <c r="AB4" s="14"/>
      <c r="AC4" s="14"/>
      <c r="AD4" s="14"/>
      <c r="AE4" s="15"/>
      <c r="AF4" s="15"/>
      <c r="AG4" s="15"/>
      <c r="AH4" s="15"/>
      <c r="AI4" s="15"/>
      <c r="AJ4" s="15"/>
      <c r="AK4" s="14"/>
    </row>
    <row r="5" ht="21" customHeight="1" spans="1:37">
      <c r="B5" s="20">
        <f>51001</f>
        <v>51001</v>
      </c>
      <c r="C5" s="20" t="str">
        <f>"虚妄之镜"</f>
        <v>虚妄之镜</v>
      </c>
      <c r="D5" s="20">
        <f t="shared" ref="D5:D43" si="0">0</f>
        <v>0</v>
      </c>
      <c r="E5" s="20">
        <f t="shared" ref="E5:E43" si="1">0</f>
        <v>0</v>
      </c>
      <c r="F5" s="21" t="s">
        <v>321</v>
      </c>
      <c r="G5" s="20" t="str">
        <f>INDEX('参数页-不同武将系数'!$C:$C,$Z5)</f>
        <v>SSR</v>
      </c>
      <c r="H5" s="20">
        <f t="shared" ref="H5:H43" si="2">IF(G5="R",2,IF(G5="SR",3,IF(G5="SSR",4,"")))</f>
        <v>4</v>
      </c>
      <c r="I5" s="20" t="str">
        <f>IF(LEFT(INDEX('参数页-不同武将系数'!$D:$D,$Z5),2)="输出","输出",IF(LEFT(INDEX('参数页-不同武将系数'!$D:$D,$Z5),2)="坦克","防御",IF(LEFT(INDEX('参数页-不同武将系数'!$D:$D,$Z5),2)="辅助","辅助","")))</f>
        <v>防御</v>
      </c>
      <c r="J5" s="20" t="str">
        <f t="shared" ref="J5:J43" si="3">IF(I5="输出","DPS",IF(I5="防御","Tank",IF(I5="辅助","Support","")))</f>
        <v>Tank</v>
      </c>
      <c r="K5" s="20"/>
      <c r="L5" s="20">
        <f t="shared" ref="L5:L43" si="4">1</f>
        <v>1</v>
      </c>
      <c r="M5" s="22">
        <f>INDEX('参数页-不同武将系数'!$AQ:$AQ,$Z5)</f>
        <v>4620</v>
      </c>
      <c r="N5" s="22">
        <f>INDEX('参数页-不同武将系数'!$AR:$AR,$Z5)</f>
        <v>436.33</v>
      </c>
      <c r="O5" s="22">
        <f>INDEX('参数页-不同武将系数'!$AS:$AS,$Z5)</f>
        <v>440.64</v>
      </c>
      <c r="P5" s="22">
        <f>INDEX('参数页-不同武将系数'!$AT:$AT,$Z5)</f>
        <v>41.62</v>
      </c>
      <c r="Q5" s="22">
        <f>INDEX('参数页-不同武将系数'!$AU:$AU,$Z5)</f>
        <v>550.8</v>
      </c>
      <c r="R5" s="22">
        <f>INDEX('参数页-不同武将系数'!$AV:$AV,$Z5)</f>
        <v>52.02</v>
      </c>
      <c r="S5" s="22">
        <f>INDEX('参数页-不同武将系数'!$AW:$AW,$Z5)</f>
        <v>540</v>
      </c>
      <c r="T5" s="22">
        <f>INDEX('参数页-不同武将系数'!$AX:$AX,$Z5)</f>
        <v>51</v>
      </c>
      <c r="U5" s="20" t="str">
        <f t="shared" ref="U5:U43" si="5">"4"&amp;B5&amp;"1;4"&amp;B5&amp;"2;4"&amp;B5&amp;"3;4"&amp;B5&amp;"4;4"&amp;B5&amp;"5;4"&amp;B5&amp;"6"</f>
        <v>4510011;4510012;4510013;4510014;4510015;4510016</v>
      </c>
      <c r="V5" s="20" t="str">
        <f t="shared" ref="V5:V43" si="6">AK5</f>
        <v>HpBonus,0.2;HpBonus,0.25;HpBonus,0.3;HpBonus,0.35;HpBonus,0.4</v>
      </c>
      <c r="W5" s="20" t="str">
        <f t="shared" ref="W5:W17" si="7">"UIRes/UIAtlas/Hero/HeroExclusiveWeapon/WeaponIcons/Small/Icon_ExclusiveWeapon_s_"&amp;IF(B5=51013,51012,B5)&amp;".png"</f>
        <v>UIRes/UIAtlas/Hero/HeroExclusiveWeapon/WeaponIcons/Small/Icon_ExclusiveWeapon_s_51001.png</v>
      </c>
      <c r="X5" s="20" t="b">
        <f t="shared" ref="X5:X43" si="8">TRUE()</f>
        <v>1</v>
      </c>
      <c r="Z5" s="14">
        <f>MATCH("塔拉夏",'参数页-不同武将系数'!$B:$B,0)</f>
        <v>27</v>
      </c>
      <c r="AA5" s="14" t="str">
        <f>IF(INDEX('参数页-不同武将系数'!$AY:$AY,$Z5)="生命值百分比","生命百分比",IF(INDEX('参数页-不同武将系数'!$AY:$AY,$Z5)="防御百分比","防御力百分比",INDEX('参数页-不同武将系数'!$AY:$AY,$Z5)))</f>
        <v>生命百分比</v>
      </c>
      <c r="AB5" s="14" t="str">
        <f t="shared" ref="AB5:AB43" si="9">VLOOKUP(AA5,$Z$49:$AC$61,2,0)</f>
        <v>HpBonus</v>
      </c>
      <c r="AC5" s="14" t="str">
        <f t="shared" ref="AC5:AC43" si="10">VLOOKUP(AA5,$Z$49:$AC$61,3,0)</f>
        <v>percent</v>
      </c>
      <c r="AD5" s="14" t="str">
        <f t="shared" ref="AD5:AD43" si="11">VLOOKUP(AA5,$Z$49:$AC$61,4,0)</f>
        <v>生命百分比</v>
      </c>
      <c r="AE5" s="15">
        <f>IF($AC5="level",ROUND(((IF($G5="SSR",专武!$H$27,IF($G5="SR",专武!$I$27,专武!$J$27)))/专武!$S$27)*VLOOKUP($AD5,专武!$R$27:$S$49,2,0),0),ROUND(((IF($G5="SSR",专武!$H$27,IF($G5="SR",专武!$I$27,专武!$J$27)))/专武!$S$27)*VLOOKUP($AD5,专武!$R$27:$S$49,2,0),4))</f>
        <v>0.2</v>
      </c>
      <c r="AF5" s="15">
        <f>IF($AC5="level",ROUND(((IF($G5="SSR",专武!$H$28,IF($G5="SR",专武!$I$28,专武!$J$28)))/专武!$S$27)*VLOOKUP($AD5,专武!$R$27:$S$49,2,0),0),ROUND(((IF($G5="SSR",专武!$H$28,IF($G5="SR",专武!$I$28,专武!$J$28)))/专武!$S$27)*VLOOKUP($AD5,专武!$R$27:$S$49,2,0),4))</f>
        <v>0.25</v>
      </c>
      <c r="AG5" s="15">
        <f>IF($AC5="level",ROUND(((IF($G5="SSR",专武!$H$29,IF($G5="SR",专武!$I$29,专武!$J$29)))/专武!$S$27)*VLOOKUP($AD5,专武!$R$27:$S$49,2,0),0),ROUND(((IF($G5="SSR",专武!$H$29,IF($G5="SR",专武!$I$29,专武!$J$29)))/专武!$S$27)*VLOOKUP($AD5,专武!$R$27:$S$49,2,0),4))</f>
        <v>0.3</v>
      </c>
      <c r="AH5" s="15">
        <f>IF($AC5="level",ROUND(((IF($G5="SSR",专武!$H$30,IF($G5="SR",专武!$I$30,专武!$J$30)))/专武!$S$27)*VLOOKUP($AD5,专武!$R$27:$S$49,2,0),0),ROUND(((IF($G5="SSR",专武!$H$30,IF($G5="SR",专武!$I$30,专武!$J$30)))/专武!$S$27)*VLOOKUP($AD5,专武!$R$27:$S$49,2,0),4))</f>
        <v>0.35</v>
      </c>
      <c r="AI5" s="15">
        <f>IF($AC5="level",ROUND(((IF($G5="SSR",专武!$H$31,IF($G5="SR",专武!$I$31,专武!$J$31)))/专武!$S$27)*VLOOKUP($AD5,专武!$R$27:$S$49,2,0),0),ROUND(((IF($G5="SSR",专武!$H$31,IF($G5="SR",专武!$I$31,专武!$J$31)))/专武!$S$27)*VLOOKUP($AD5,专武!$R$27:$S$49,2,0),4))</f>
        <v>0.4</v>
      </c>
      <c r="AJ5" s="15"/>
      <c r="AK5" s="14" t="str">
        <f t="shared" ref="AK5:AK43" si="12">$AB5&amp;","&amp;IF($AC5="level",TEXT(AE5,"0"),TEXT(AE5,"0.####"))&amp;";"&amp;$AB5&amp;","&amp;IF($AC5="level",TEXT(AF5,"0"),TEXT(AF5,"0.####"))&amp;";"&amp;$AB5&amp;","&amp;IF($AC5="level",TEXT(AG5,"0"),TEXT(AG5,"0.####"))&amp;";"&amp;$AB5&amp;","&amp;IF($AC5="level",TEXT(AH5,"0"),TEXT(AH5,"0.####"))&amp;";"&amp;$AB5&amp;","&amp;IF($AC5="level",TEXT(AI5,"0"),TEXT(AI5,"0.####"))</f>
        <v>HpBonus,0.2;HpBonus,0.25;HpBonus,0.3;HpBonus,0.35;HpBonus,0.4</v>
      </c>
    </row>
    <row r="6" ht="21" customHeight="1" spans="1:37">
      <c r="B6" s="20">
        <f>51002</f>
        <v>51002</v>
      </c>
      <c r="C6" s="20" t="str">
        <f>"玉液葫芦"</f>
        <v>玉液葫芦</v>
      </c>
      <c r="D6" s="20">
        <f t="shared" si="0"/>
        <v>0</v>
      </c>
      <c r="E6" s="20">
        <f t="shared" si="1"/>
        <v>0</v>
      </c>
      <c r="F6" s="21" t="s">
        <v>327</v>
      </c>
      <c r="G6" s="20" t="str">
        <f>INDEX('参数页-不同武将系数'!$C:$C,$Z6)</f>
        <v>SSR</v>
      </c>
      <c r="H6" s="20">
        <f t="shared" si="2"/>
        <v>4</v>
      </c>
      <c r="I6" s="20" t="str">
        <f>IF(LEFT(INDEX('参数页-不同武将系数'!$D:$D,$Z6),2)="输出","输出",IF(LEFT(INDEX('参数页-不同武将系数'!$D:$D,$Z6),2)="坦克","防御",IF(LEFT(INDEX('参数页-不同武将系数'!$D:$D,$Z6),2)="辅助","辅助","")))</f>
        <v>输出</v>
      </c>
      <c r="J6" s="20" t="str">
        <f t="shared" si="3"/>
        <v>DPS</v>
      </c>
      <c r="K6" s="20"/>
      <c r="L6" s="20">
        <f t="shared" si="4"/>
        <v>1</v>
      </c>
      <c r="M6" s="22">
        <f>INDEX('参数页-不同武将系数'!$AQ:$AQ,$Z6)</f>
        <v>2835</v>
      </c>
      <c r="N6" s="22">
        <f>INDEX('参数页-不同武将系数'!$AR:$AR,$Z6)</f>
        <v>267.75</v>
      </c>
      <c r="O6" s="22">
        <f>INDEX('参数页-不同武将系数'!$AS:$AS,$Z6)</f>
        <v>990</v>
      </c>
      <c r="P6" s="22">
        <f>INDEX('参数页-不同武将系数'!$AT:$AT,$Z6)</f>
        <v>93.5</v>
      </c>
      <c r="Q6" s="22">
        <f>INDEX('参数页-不同武将系数'!$AU:$AU,$Z6)</f>
        <v>712.8</v>
      </c>
      <c r="R6" s="22">
        <f>INDEX('参数页-不同武将系数'!$AV:$AV,$Z6)</f>
        <v>67.32</v>
      </c>
      <c r="S6" s="22">
        <f>INDEX('参数页-不同武将系数'!$AW:$AW,$Z6)</f>
        <v>600</v>
      </c>
      <c r="T6" s="22">
        <f>INDEX('参数页-不同武将系数'!$AX:$AX,$Z6)</f>
        <v>56.67</v>
      </c>
      <c r="U6" s="20" t="str">
        <f t="shared" si="5"/>
        <v>4510021;4510022;4510023;4510024;4510025;4510026</v>
      </c>
      <c r="V6" s="20" t="str">
        <f t="shared" si="6"/>
        <v>SkillDmgBonus,0.24;SkillDmgBonus,0.3;SkillDmgBonus,0.36;SkillDmgBonus,0.42;SkillDmgBonus,0.48</v>
      </c>
      <c r="W6" s="20" t="str">
        <f t="shared" si="7"/>
        <v>UIRes/UIAtlas/Hero/HeroExclusiveWeapon/WeaponIcons/Small/Icon_ExclusiveWeapon_s_51002.png</v>
      </c>
      <c r="X6" s="20" t="b">
        <f t="shared" si="8"/>
        <v>1</v>
      </c>
      <c r="Z6" s="14">
        <f>MATCH("陈单单",'参数页-不同武将系数'!$B:$B,0)</f>
        <v>28</v>
      </c>
      <c r="AA6" s="14" t="str">
        <f>IF(INDEX('参数页-不同武将系数'!$AY:$AY,$Z6)="生命值百分比","生命百分比",IF(INDEX('参数页-不同武将系数'!$AY:$AY,$Z6)="防御百分比","防御力百分比",INDEX('参数页-不同武将系数'!$AY:$AY,$Z6)))</f>
        <v>技能伤害加成</v>
      </c>
      <c r="AB6" s="14" t="str">
        <f t="shared" si="9"/>
        <v>SkillDmgBonus</v>
      </c>
      <c r="AC6" s="14" t="str">
        <f t="shared" si="10"/>
        <v>percent</v>
      </c>
      <c r="AD6" s="14" t="str">
        <f t="shared" si="11"/>
        <v>技能伤害加成</v>
      </c>
      <c r="AE6" s="15">
        <f>IF($AC6="level",ROUND(((IF($G6="SSR",专武!$H$27,IF($G6="SR",专武!$I$27,专武!$J$27)))/专武!$S$27)*VLOOKUP($AD6,专武!$R$27:$S$49,2,0),0),ROUND(((IF($G6="SSR",专武!$H$27,IF($G6="SR",专武!$I$27,专武!$J$27)))/专武!$S$27)*VLOOKUP($AD6,专武!$R$27:$S$49,2,0),4))</f>
        <v>0.24</v>
      </c>
      <c r="AF6" s="15">
        <f>IF($AC6="level",ROUND(((IF($G6="SSR",专武!$H$28,IF($G6="SR",专武!$I$28,专武!$J$28)))/专武!$S$27)*VLOOKUP($AD6,专武!$R$27:$S$49,2,0),0),ROUND(((IF($G6="SSR",专武!$H$28,IF($G6="SR",专武!$I$28,专武!$J$28)))/专武!$S$27)*VLOOKUP($AD6,专武!$R$27:$S$49,2,0),4))</f>
        <v>0.3</v>
      </c>
      <c r="AG6" s="15">
        <f>IF($AC6="level",ROUND(((IF($G6="SSR",专武!$H$29,IF($G6="SR",专武!$I$29,专武!$J$29)))/专武!$S$27)*VLOOKUP($AD6,专武!$R$27:$S$49,2,0),0),ROUND(((IF($G6="SSR",专武!$H$29,IF($G6="SR",专武!$I$29,专武!$J$29)))/专武!$S$27)*VLOOKUP($AD6,专武!$R$27:$S$49,2,0),4))</f>
        <v>0.36</v>
      </c>
      <c r="AH6" s="15">
        <f>IF($AC6="level",ROUND(((IF($G6="SSR",专武!$H$30,IF($G6="SR",专武!$I$30,专武!$J$30)))/专武!$S$27)*VLOOKUP($AD6,专武!$R$27:$S$49,2,0),0),ROUND(((IF($G6="SSR",专武!$H$30,IF($G6="SR",专武!$I$30,专武!$J$30)))/专武!$S$27)*VLOOKUP($AD6,专武!$R$27:$S$49,2,0),4))</f>
        <v>0.42</v>
      </c>
      <c r="AI6" s="15">
        <f>IF($AC6="level",ROUND(((IF($G6="SSR",专武!$H$31,IF($G6="SR",专武!$I$31,专武!$J$31)))/专武!$S$27)*VLOOKUP($AD6,专武!$R$27:$S$49,2,0),0),ROUND(((IF($G6="SSR",专武!$H$31,IF($G6="SR",专武!$I$31,专武!$J$31)))/专武!$S$27)*VLOOKUP($AD6,专武!$R$27:$S$49,2,0),4))</f>
        <v>0.48</v>
      </c>
      <c r="AJ6" s="15"/>
      <c r="AK6" s="14" t="str">
        <f t="shared" si="12"/>
        <v>SkillDmgBonus,0.24;SkillDmgBonus,0.3;SkillDmgBonus,0.36;SkillDmgBonus,0.42;SkillDmgBonus,0.48</v>
      </c>
    </row>
    <row r="7" ht="21" customHeight="1" spans="1:37">
      <c r="B7" s="20">
        <f>51003</f>
        <v>51003</v>
      </c>
      <c r="C7" s="20" t="str">
        <f>"海妖"</f>
        <v>海妖</v>
      </c>
      <c r="D7" s="20">
        <f t="shared" si="0"/>
        <v>0</v>
      </c>
      <c r="E7" s="20">
        <f t="shared" si="1"/>
        <v>0</v>
      </c>
      <c r="F7" s="21" t="s">
        <v>328</v>
      </c>
      <c r="G7" s="20" t="str">
        <f>INDEX('参数页-不同武将系数'!$C:$C,$Z7)</f>
        <v>SSR</v>
      </c>
      <c r="H7" s="20">
        <f t="shared" si="2"/>
        <v>4</v>
      </c>
      <c r="I7" s="20" t="str">
        <f>IF(LEFT(INDEX('参数页-不同武将系数'!$D:$D,$Z7),2)="输出","输出",IF(LEFT(INDEX('参数页-不同武将系数'!$D:$D,$Z7),2)="坦克","防御",IF(LEFT(INDEX('参数页-不同武将系数'!$D:$D,$Z7),2)="辅助","辅助","")))</f>
        <v>输出</v>
      </c>
      <c r="J7" s="20" t="str">
        <f t="shared" si="3"/>
        <v>DPS</v>
      </c>
      <c r="K7" s="20"/>
      <c r="L7" s="20">
        <f t="shared" si="4"/>
        <v>1</v>
      </c>
      <c r="M7" s="22">
        <f>INDEX('参数页-不同武将系数'!$AQ:$AQ,$Z7)</f>
        <v>2400</v>
      </c>
      <c r="N7" s="22">
        <f>INDEX('参数页-不同武将系数'!$AR:$AR,$Z7)</f>
        <v>226.67</v>
      </c>
      <c r="O7" s="22">
        <f>INDEX('参数页-不同武将系数'!$AS:$AS,$Z7)</f>
        <v>1101.6</v>
      </c>
      <c r="P7" s="22">
        <f>INDEX('参数页-不同武将系数'!$AT:$AT,$Z7)</f>
        <v>104.04</v>
      </c>
      <c r="Q7" s="22">
        <f>INDEX('参数页-不同武将系数'!$AU:$AU,$Z7)</f>
        <v>864</v>
      </c>
      <c r="R7" s="22">
        <f>INDEX('参数页-不同武将系数'!$AV:$AV,$Z7)</f>
        <v>81.6</v>
      </c>
      <c r="S7" s="22">
        <f>INDEX('参数页-不同武将系数'!$AW:$AW,$Z7)</f>
        <v>588</v>
      </c>
      <c r="T7" s="22">
        <f>INDEX('参数页-不同武将系数'!$AX:$AX,$Z7)</f>
        <v>55.53</v>
      </c>
      <c r="U7" s="20" t="str">
        <f t="shared" si="5"/>
        <v>4510031;4510032;4510033;4510034;4510035;4510036</v>
      </c>
      <c r="V7" s="20" t="str">
        <f t="shared" si="6"/>
        <v>UltimateDmgBonus,0.24;UltimateDmgBonus,0.3;UltimateDmgBonus,0.36;UltimateDmgBonus,0.42;UltimateDmgBonus,0.48</v>
      </c>
      <c r="W7" s="20" t="str">
        <f t="shared" si="7"/>
        <v>UIRes/UIAtlas/Hero/HeroExclusiveWeapon/WeaponIcons/Small/Icon_ExclusiveWeapon_s_51003.png</v>
      </c>
      <c r="X7" s="20" t="b">
        <f t="shared" si="8"/>
        <v>1</v>
      </c>
      <c r="Z7" s="14">
        <f>MATCH("莉莉娅",'参数页-不同武将系数'!$B:$B,0)</f>
        <v>29</v>
      </c>
      <c r="AA7" s="14" t="str">
        <f>IF(INDEX('参数页-不同武将系数'!$AY:$AY,$Z7)="生命值百分比","生命百分比",IF(INDEX('参数页-不同武将系数'!$AY:$AY,$Z7)="防御百分比","防御力百分比",INDEX('参数页-不同武将系数'!$AY:$AY,$Z7)))</f>
        <v>必杀伤害加成</v>
      </c>
      <c r="AB7" s="14" t="str">
        <f t="shared" si="9"/>
        <v>UltimateDmgBonus</v>
      </c>
      <c r="AC7" s="14" t="str">
        <f t="shared" si="10"/>
        <v>percent</v>
      </c>
      <c r="AD7" s="14" t="str">
        <f t="shared" si="11"/>
        <v>必杀伤害加成</v>
      </c>
      <c r="AE7" s="15">
        <f>IF($AC7="level",ROUND(((IF($G7="SSR",专武!$H$27,IF($G7="SR",专武!$I$27,专武!$J$27)))/专武!$S$27)*VLOOKUP($AD7,专武!$R$27:$S$49,2,0),0),ROUND(((IF($G7="SSR",专武!$H$27,IF($G7="SR",专武!$I$27,专武!$J$27)))/专武!$S$27)*VLOOKUP($AD7,专武!$R$27:$S$49,2,0),4))</f>
        <v>0.24</v>
      </c>
      <c r="AF7" s="15">
        <f>IF($AC7="level",ROUND(((IF($G7="SSR",专武!$H$28,IF($G7="SR",专武!$I$28,专武!$J$28)))/专武!$S$27)*VLOOKUP($AD7,专武!$R$27:$S$49,2,0),0),ROUND(((IF($G7="SSR",专武!$H$28,IF($G7="SR",专武!$I$28,专武!$J$28)))/专武!$S$27)*VLOOKUP($AD7,专武!$R$27:$S$49,2,0),4))</f>
        <v>0.3</v>
      </c>
      <c r="AG7" s="15">
        <f>IF($AC7="level",ROUND(((IF($G7="SSR",专武!$H$29,IF($G7="SR",专武!$I$29,专武!$J$29)))/专武!$S$27)*VLOOKUP($AD7,专武!$R$27:$S$49,2,0),0),ROUND(((IF($G7="SSR",专武!$H$29,IF($G7="SR",专武!$I$29,专武!$J$29)))/专武!$S$27)*VLOOKUP($AD7,专武!$R$27:$S$49,2,0),4))</f>
        <v>0.36</v>
      </c>
      <c r="AH7" s="15">
        <f>IF($AC7="level",ROUND(((IF($G7="SSR",专武!$H$30,IF($G7="SR",专武!$I$30,专武!$J$30)))/专武!$S$27)*VLOOKUP($AD7,专武!$R$27:$S$49,2,0),0),ROUND(((IF($G7="SSR",专武!$H$30,IF($G7="SR",专武!$I$30,专武!$J$30)))/专武!$S$27)*VLOOKUP($AD7,专武!$R$27:$S$49,2,0),4))</f>
        <v>0.42</v>
      </c>
      <c r="AI7" s="15">
        <f>IF($AC7="level",ROUND(((IF($G7="SSR",专武!$H$31,IF($G7="SR",专武!$I$31,专武!$J$31)))/专武!$S$27)*VLOOKUP($AD7,专武!$R$27:$S$49,2,0),0),ROUND(((IF($G7="SSR",专武!$H$31,IF($G7="SR",专武!$I$31,专武!$J$31)))/专武!$S$27)*VLOOKUP($AD7,专武!$R$27:$S$49,2,0),4))</f>
        <v>0.48</v>
      </c>
      <c r="AJ7" s="15"/>
      <c r="AK7" s="14" t="str">
        <f t="shared" si="12"/>
        <v>UltimateDmgBonus,0.24;UltimateDmgBonus,0.3;UltimateDmgBonus,0.36;UltimateDmgBonus,0.42;UltimateDmgBonus,0.48</v>
      </c>
    </row>
    <row r="8" ht="21" customHeight="1" spans="1:37">
      <c r="B8" s="20">
        <f>51004</f>
        <v>51004</v>
      </c>
      <c r="C8" s="20" t="str">
        <f>"回声"</f>
        <v>回声</v>
      </c>
      <c r="D8" s="20">
        <f t="shared" si="0"/>
        <v>0</v>
      </c>
      <c r="E8" s="20">
        <f t="shared" si="1"/>
        <v>0</v>
      </c>
      <c r="F8" s="21" t="s">
        <v>329</v>
      </c>
      <c r="G8" s="20" t="str">
        <f>INDEX('参数页-不同武将系数'!$C:$C,$Z8)</f>
        <v>SSR</v>
      </c>
      <c r="H8" s="20">
        <f t="shared" si="2"/>
        <v>4</v>
      </c>
      <c r="I8" s="20" t="str">
        <f>IF(LEFT(INDEX('参数页-不同武将系数'!$D:$D,$Z8),2)="输出","输出",IF(LEFT(INDEX('参数页-不同武将系数'!$D:$D,$Z8),2)="坦克","防御",IF(LEFT(INDEX('参数页-不同武将系数'!$D:$D,$Z8),2)="辅助","辅助","")))</f>
        <v>辅助</v>
      </c>
      <c r="J8" s="20" t="str">
        <f t="shared" si="3"/>
        <v>Support</v>
      </c>
      <c r="K8" s="20"/>
      <c r="L8" s="20">
        <f t="shared" si="4"/>
        <v>1</v>
      </c>
      <c r="M8" s="22">
        <f>INDEX('参数页-不同武将系数'!$AQ:$AQ,$Z8)</f>
        <v>2700</v>
      </c>
      <c r="N8" s="22">
        <f>INDEX('参数页-不同武将系数'!$AR:$AR,$Z8)</f>
        <v>255</v>
      </c>
      <c r="O8" s="22">
        <f>INDEX('参数页-不同武将系数'!$AS:$AS,$Z8)</f>
        <v>648</v>
      </c>
      <c r="P8" s="22">
        <f>INDEX('参数页-不同武将系数'!$AT:$AT,$Z8)</f>
        <v>61.2</v>
      </c>
      <c r="Q8" s="22">
        <f>INDEX('参数页-不同武将系数'!$AU:$AU,$Z8)</f>
        <v>891</v>
      </c>
      <c r="R8" s="22">
        <f>INDEX('参数页-不同武将系数'!$AV:$AV,$Z8)</f>
        <v>84.15</v>
      </c>
      <c r="S8" s="22">
        <f>INDEX('参数页-不同武将系数'!$AW:$AW,$Z8)</f>
        <v>660</v>
      </c>
      <c r="T8" s="22">
        <f>INDEX('参数页-不同武将系数'!$AX:$AX,$Z8)</f>
        <v>62.33</v>
      </c>
      <c r="U8" s="20" t="str">
        <f t="shared" si="5"/>
        <v>4510041;4510042;4510043;4510044;4510045;4510046</v>
      </c>
      <c r="V8" s="20" t="str">
        <f t="shared" si="6"/>
        <v>PhysicsAttackBonus,0.2;PhysicsAttackBonus,0.25;PhysicsAttackBonus,0.3;PhysicsAttackBonus,0.35;PhysicsAttackBonus,0.4</v>
      </c>
      <c r="W8" s="20" t="str">
        <f t="shared" si="7"/>
        <v>UIRes/UIAtlas/Hero/HeroExclusiveWeapon/WeaponIcons/Small/Icon_ExclusiveWeapon_s_51004.png</v>
      </c>
      <c r="X8" s="20" t="b">
        <f t="shared" si="8"/>
        <v>1</v>
      </c>
      <c r="Z8" s="14">
        <f>MATCH("萨萨莉安",'参数页-不同武将系数'!$B:$B,0)</f>
        <v>30</v>
      </c>
      <c r="AA8" s="14" t="str">
        <f>IF(INDEX('参数页-不同武将系数'!$AY:$AY,$Z8)="生命值百分比","生命百分比",IF(INDEX('参数页-不同武将系数'!$AY:$AY,$Z8)="防御百分比","防御力百分比",INDEX('参数页-不同武将系数'!$AY:$AY,$Z8)))</f>
        <v>攻击百分比</v>
      </c>
      <c r="AB8" s="14" t="str">
        <f t="shared" si="9"/>
        <v>PhysicsAttackBonus</v>
      </c>
      <c r="AC8" s="14" t="str">
        <f t="shared" si="10"/>
        <v>percent</v>
      </c>
      <c r="AD8" s="14" t="str">
        <f t="shared" si="11"/>
        <v>攻击百分比</v>
      </c>
      <c r="AE8" s="15">
        <f>IF($AC8="level",ROUND(((IF($G8="SSR",专武!$H$27,IF($G8="SR",专武!$I$27,专武!$J$27)))/专武!$S$27)*VLOOKUP($AD8,专武!$R$27:$S$49,2,0),0),ROUND(((IF($G8="SSR",专武!$H$27,IF($G8="SR",专武!$I$27,专武!$J$27)))/专武!$S$27)*VLOOKUP($AD8,专武!$R$27:$S$49,2,0),4))</f>
        <v>0.2</v>
      </c>
      <c r="AF8" s="15">
        <f>IF($AC8="level",ROUND(((IF($G8="SSR",专武!$H$28,IF($G8="SR",专武!$I$28,专武!$J$28)))/专武!$S$27)*VLOOKUP($AD8,专武!$R$27:$S$49,2,0),0),ROUND(((IF($G8="SSR",专武!$H$28,IF($G8="SR",专武!$I$28,专武!$J$28)))/专武!$S$27)*VLOOKUP($AD8,专武!$R$27:$S$49,2,0),4))</f>
        <v>0.25</v>
      </c>
      <c r="AG8" s="15">
        <f>IF($AC8="level",ROUND(((IF($G8="SSR",专武!$H$29,IF($G8="SR",专武!$I$29,专武!$J$29)))/专武!$S$27)*VLOOKUP($AD8,专武!$R$27:$S$49,2,0),0),ROUND(((IF($G8="SSR",专武!$H$29,IF($G8="SR",专武!$I$29,专武!$J$29)))/专武!$S$27)*VLOOKUP($AD8,专武!$R$27:$S$49,2,0),4))</f>
        <v>0.3</v>
      </c>
      <c r="AH8" s="15">
        <f>IF($AC8="level",ROUND(((IF($G8="SSR",专武!$H$30,IF($G8="SR",专武!$I$30,专武!$J$30)))/专武!$S$27)*VLOOKUP($AD8,专武!$R$27:$S$49,2,0),0),ROUND(((IF($G8="SSR",专武!$H$30,IF($G8="SR",专武!$I$30,专武!$J$30)))/专武!$S$27)*VLOOKUP($AD8,专武!$R$27:$S$49,2,0),4))</f>
        <v>0.35</v>
      </c>
      <c r="AI8" s="15">
        <f>IF($AC8="level",ROUND(((IF($G8="SSR",专武!$H$31,IF($G8="SR",专武!$I$31,专武!$J$31)))/专武!$S$27)*VLOOKUP($AD8,专武!$R$27:$S$49,2,0),0),ROUND(((IF($G8="SSR",专武!$H$31,IF($G8="SR",专武!$I$31,专武!$J$31)))/专武!$S$27)*VLOOKUP($AD8,专武!$R$27:$S$49,2,0),4))</f>
        <v>0.4</v>
      </c>
      <c r="AJ8" s="15"/>
      <c r="AK8" s="14" t="str">
        <f t="shared" si="12"/>
        <v>PhysicsAttackBonus,0.2;PhysicsAttackBonus,0.25;PhysicsAttackBonus,0.3;PhysicsAttackBonus,0.35;PhysicsAttackBonus,0.4</v>
      </c>
    </row>
    <row r="9" ht="21" customHeight="1" spans="1:37">
      <c r="B9" s="20">
        <f>51005</f>
        <v>51005</v>
      </c>
      <c r="C9" s="20" t="str">
        <f>"亚瑟之手"</f>
        <v>亚瑟之手</v>
      </c>
      <c r="D9" s="20">
        <f t="shared" si="0"/>
        <v>0</v>
      </c>
      <c r="E9" s="20">
        <f t="shared" si="1"/>
        <v>0</v>
      </c>
      <c r="F9" s="21" t="s">
        <v>324</v>
      </c>
      <c r="G9" s="20" t="str">
        <f>INDEX('参数页-不同武将系数'!$C:$C,$Z9)</f>
        <v>SSR</v>
      </c>
      <c r="H9" s="20">
        <f t="shared" si="2"/>
        <v>4</v>
      </c>
      <c r="I9" s="20" t="str">
        <f>IF(LEFT(INDEX('参数页-不同武将系数'!$D:$D,$Z9),2)="输出","输出",IF(LEFT(INDEX('参数页-不同武将系数'!$D:$D,$Z9),2)="坦克","防御",IF(LEFT(INDEX('参数页-不同武将系数'!$D:$D,$Z9),2)="辅助","辅助","")))</f>
        <v>防御</v>
      </c>
      <c r="J9" s="20" t="str">
        <f t="shared" si="3"/>
        <v>Tank</v>
      </c>
      <c r="K9" s="20"/>
      <c r="L9" s="20">
        <f t="shared" si="4"/>
        <v>1</v>
      </c>
      <c r="M9" s="22">
        <f>INDEX('参数页-不同武将系数'!$AQ:$AQ,$Z9)</f>
        <v>3564</v>
      </c>
      <c r="N9" s="22">
        <f>INDEX('参数页-不同武将系数'!$AR:$AR,$Z9)</f>
        <v>336.6</v>
      </c>
      <c r="O9" s="22">
        <f>INDEX('参数页-不同武将系数'!$AS:$AS,$Z9)</f>
        <v>509.04</v>
      </c>
      <c r="P9" s="22">
        <f>INDEX('参数页-不同武将系数'!$AT:$AT,$Z9)</f>
        <v>48.08</v>
      </c>
      <c r="Q9" s="22">
        <f>INDEX('参数页-不同武将系数'!$AU:$AU,$Z9)</f>
        <v>661.5</v>
      </c>
      <c r="R9" s="22">
        <f>INDEX('参数页-不同武将系数'!$AV:$AV,$Z9)</f>
        <v>62.48</v>
      </c>
      <c r="S9" s="22">
        <f>INDEX('参数页-不同武将系数'!$AW:$AW,$Z9)</f>
        <v>627</v>
      </c>
      <c r="T9" s="22">
        <f>INDEX('参数页-不同武将系数'!$AX:$AX,$Z9)</f>
        <v>59.22</v>
      </c>
      <c r="U9" s="20" t="str">
        <f t="shared" si="5"/>
        <v>4510051;4510052;4510053;4510054;4510055;4510056</v>
      </c>
      <c r="V9" s="20" t="str">
        <f t="shared" si="6"/>
        <v>PhysicsAttackBonus,0.2;PhysicsAttackBonus,0.25;PhysicsAttackBonus,0.3;PhysicsAttackBonus,0.35;PhysicsAttackBonus,0.4</v>
      </c>
      <c r="W9" s="20" t="str">
        <f t="shared" si="7"/>
        <v>UIRes/UIAtlas/Hero/HeroExclusiveWeapon/WeaponIcons/Small/Icon_ExclusiveWeapon_s_51005.png</v>
      </c>
      <c r="X9" s="20" t="b">
        <f t="shared" si="8"/>
        <v>1</v>
      </c>
      <c r="Z9" s="14">
        <f>MATCH("阿芭",'参数页-不同武将系数'!$B:$B,0)</f>
        <v>40</v>
      </c>
      <c r="AA9" s="14" t="str">
        <f>IF(INDEX('参数页-不同武将系数'!$AY:$AY,$Z9)="生命值百分比","生命百分比",IF(INDEX('参数页-不同武将系数'!$AY:$AY,$Z9)="防御百分比","防御力百分比",INDEX('参数页-不同武将系数'!$AY:$AY,$Z9)))</f>
        <v>攻击百分比</v>
      </c>
      <c r="AB9" s="14" t="str">
        <f t="shared" si="9"/>
        <v>PhysicsAttackBonus</v>
      </c>
      <c r="AC9" s="14" t="str">
        <f t="shared" si="10"/>
        <v>percent</v>
      </c>
      <c r="AD9" s="14" t="str">
        <f t="shared" si="11"/>
        <v>攻击百分比</v>
      </c>
      <c r="AE9" s="15">
        <f>IF($AC9="level",ROUND(((IF($G9="SSR",专武!$H$27,IF($G9="SR",专武!$I$27,专武!$J$27)))/专武!$S$27)*VLOOKUP($AD9,专武!$R$27:$S$49,2,0),0),ROUND(((IF($G9="SSR",专武!$H$27,IF($G9="SR",专武!$I$27,专武!$J$27)))/专武!$S$27)*VLOOKUP($AD9,专武!$R$27:$S$49,2,0),4))</f>
        <v>0.2</v>
      </c>
      <c r="AF9" s="15">
        <f>IF($AC9="level",ROUND(((IF($G9="SSR",专武!$H$28,IF($G9="SR",专武!$I$28,专武!$J$28)))/专武!$S$27)*VLOOKUP($AD9,专武!$R$27:$S$49,2,0),0),ROUND(((IF($G9="SSR",专武!$H$28,IF($G9="SR",专武!$I$28,专武!$J$28)))/专武!$S$27)*VLOOKUP($AD9,专武!$R$27:$S$49,2,0),4))</f>
        <v>0.25</v>
      </c>
      <c r="AG9" s="15">
        <f>IF($AC9="level",ROUND(((IF($G9="SSR",专武!$H$29,IF($G9="SR",专武!$I$29,专武!$J$29)))/专武!$S$27)*VLOOKUP($AD9,专武!$R$27:$S$49,2,0),0),ROUND(((IF($G9="SSR",专武!$H$29,IF($G9="SR",专武!$I$29,专武!$J$29)))/专武!$S$27)*VLOOKUP($AD9,专武!$R$27:$S$49,2,0),4))</f>
        <v>0.3</v>
      </c>
      <c r="AH9" s="15">
        <f>IF($AC9="level",ROUND(((IF($G9="SSR",专武!$H$30,IF($G9="SR",专武!$I$30,专武!$J$30)))/专武!$S$27)*VLOOKUP($AD9,专武!$R$27:$S$49,2,0),0),ROUND(((IF($G9="SSR",专武!$H$30,IF($G9="SR",专武!$I$30,专武!$J$30)))/专武!$S$27)*VLOOKUP($AD9,专武!$R$27:$S$49,2,0),4))</f>
        <v>0.35</v>
      </c>
      <c r="AI9" s="15">
        <f>IF($AC9="level",ROUND(((IF($G9="SSR",专武!$H$31,IF($G9="SR",专武!$I$31,专武!$J$31)))/专武!$S$27)*VLOOKUP($AD9,专武!$R$27:$S$49,2,0),0),ROUND(((IF($G9="SSR",专武!$H$31,IF($G9="SR",专武!$I$31,专武!$J$31)))/专武!$S$27)*VLOOKUP($AD9,专武!$R$27:$S$49,2,0),4))</f>
        <v>0.4</v>
      </c>
      <c r="AJ9" s="15"/>
      <c r="AK9" s="14" t="str">
        <f t="shared" si="12"/>
        <v>PhysicsAttackBonus,0.2;PhysicsAttackBonus,0.25;PhysicsAttackBonus,0.3;PhysicsAttackBonus,0.35;PhysicsAttackBonus,0.4</v>
      </c>
    </row>
    <row r="10" ht="21" customHeight="1" spans="1:37">
      <c r="B10" s="20">
        <f>51006</f>
        <v>51006</v>
      </c>
      <c r="C10" s="20" t="str">
        <f>"象"</f>
        <v>象</v>
      </c>
      <c r="D10" s="20">
        <f t="shared" si="0"/>
        <v>0</v>
      </c>
      <c r="E10" s="20">
        <f t="shared" si="1"/>
        <v>0</v>
      </c>
      <c r="F10" s="21" t="s">
        <v>905</v>
      </c>
      <c r="G10" s="20" t="str">
        <f>INDEX('参数页-不同武将系数'!$C:$C,$Z10)</f>
        <v>SSR</v>
      </c>
      <c r="H10" s="20">
        <f t="shared" si="2"/>
        <v>4</v>
      </c>
      <c r="I10" s="20" t="str">
        <f>IF(LEFT(INDEX('参数页-不同武将系数'!$D:$D,$Z10),2)="输出","输出",IF(LEFT(INDEX('参数页-不同武将系数'!$D:$D,$Z10),2)="坦克","防御",IF(LEFT(INDEX('参数页-不同武将系数'!$D:$D,$Z10),2)="辅助","辅助","")))</f>
        <v>输出</v>
      </c>
      <c r="J10" s="20" t="str">
        <f t="shared" si="3"/>
        <v>DPS</v>
      </c>
      <c r="K10" s="20"/>
      <c r="L10" s="20">
        <f t="shared" si="4"/>
        <v>1</v>
      </c>
      <c r="M10" s="22">
        <f>INDEX('参数页-不同武将系数'!$AQ:$AQ,$Z10)</f>
        <v>2520</v>
      </c>
      <c r="N10" s="22">
        <f>INDEX('参数页-不同武将系数'!$AR:$AR,$Z10)</f>
        <v>238</v>
      </c>
      <c r="O10" s="22">
        <f>INDEX('参数页-不同武将系数'!$AS:$AS,$Z10)</f>
        <v>864</v>
      </c>
      <c r="P10" s="22">
        <f>INDEX('参数页-不同武将系数'!$AT:$AT,$Z10)</f>
        <v>81.6</v>
      </c>
      <c r="Q10" s="22">
        <f>INDEX('参数页-不同武将系数'!$AU:$AU,$Z10)</f>
        <v>1090.8</v>
      </c>
      <c r="R10" s="22">
        <f>INDEX('参数页-不同武将系数'!$AV:$AV,$Z10)</f>
        <v>103.02</v>
      </c>
      <c r="S10" s="22">
        <f>INDEX('参数页-不同武将系数'!$AW:$AW,$Z10)</f>
        <v>594</v>
      </c>
      <c r="T10" s="22">
        <f>INDEX('参数页-不同武将系数'!$AX:$AX,$Z10)</f>
        <v>56.1</v>
      </c>
      <c r="U10" s="20" t="str">
        <f t="shared" si="5"/>
        <v>4510061;4510062;4510063;4510064;4510065;4510066</v>
      </c>
      <c r="V10" s="20" t="str">
        <f t="shared" si="6"/>
        <v>SkillDmgBonus,0.24;SkillDmgBonus,0.3;SkillDmgBonus,0.36;SkillDmgBonus,0.42;SkillDmgBonus,0.48</v>
      </c>
      <c r="W10" s="20" t="str">
        <f t="shared" si="7"/>
        <v>UIRes/UIAtlas/Hero/HeroExclusiveWeapon/WeaponIcons/Small/Icon_ExclusiveWeapon_s_51006.png</v>
      </c>
      <c r="X10" s="20" t="b">
        <f t="shared" si="8"/>
        <v>1</v>
      </c>
      <c r="Z10" s="14">
        <f>MATCH("约瑟夫",'参数页-不同武将系数'!$B:$B,0)</f>
        <v>32</v>
      </c>
      <c r="AA10" s="14" t="str">
        <f>IF(INDEX('参数页-不同武将系数'!$AY:$AY,$Z10)="生命值百分比","生命百分比",IF(INDEX('参数页-不同武将系数'!$AY:$AY,$Z10)="防御百分比","防御力百分比",INDEX('参数页-不同武将系数'!$AY:$AY,$Z10)))</f>
        <v>技能伤害加成</v>
      </c>
      <c r="AB10" s="14" t="str">
        <f t="shared" si="9"/>
        <v>SkillDmgBonus</v>
      </c>
      <c r="AC10" s="14" t="str">
        <f t="shared" si="10"/>
        <v>percent</v>
      </c>
      <c r="AD10" s="14" t="str">
        <f t="shared" si="11"/>
        <v>技能伤害加成</v>
      </c>
      <c r="AE10" s="15">
        <f>IF($AC10="level",ROUND(((IF($G10="SSR",专武!$H$27,IF($G10="SR",专武!$I$27,专武!$J$27)))/专武!$S$27)*VLOOKUP($AD10,专武!$R$27:$S$49,2,0),0),ROUND(((IF($G10="SSR",专武!$H$27,IF($G10="SR",专武!$I$27,专武!$J$27)))/专武!$S$27)*VLOOKUP($AD10,专武!$R$27:$S$49,2,0),4))</f>
        <v>0.24</v>
      </c>
      <c r="AF10" s="15">
        <f>IF($AC10="level",ROUND(((IF($G10="SSR",专武!$H$28,IF($G10="SR",专武!$I$28,专武!$J$28)))/专武!$S$27)*VLOOKUP($AD10,专武!$R$27:$S$49,2,0),0),ROUND(((IF($G10="SSR",专武!$H$28,IF($G10="SR",专武!$I$28,专武!$J$28)))/专武!$S$27)*VLOOKUP($AD10,专武!$R$27:$S$49,2,0),4))</f>
        <v>0.3</v>
      </c>
      <c r="AG10" s="15">
        <f>IF($AC10="level",ROUND(((IF($G10="SSR",专武!$H$29,IF($G10="SR",专武!$I$29,专武!$J$29)))/专武!$S$27)*VLOOKUP($AD10,专武!$R$27:$S$49,2,0),0),ROUND(((IF($G10="SSR",专武!$H$29,IF($G10="SR",专武!$I$29,专武!$J$29)))/专武!$S$27)*VLOOKUP($AD10,专武!$R$27:$S$49,2,0),4))</f>
        <v>0.36</v>
      </c>
      <c r="AH10" s="15">
        <f>IF($AC10="level",ROUND(((IF($G10="SSR",专武!$H$30,IF($G10="SR",专武!$I$30,专武!$J$30)))/专武!$S$27)*VLOOKUP($AD10,专武!$R$27:$S$49,2,0),0),ROUND(((IF($G10="SSR",专武!$H$30,IF($G10="SR",专武!$I$30,专武!$J$30)))/专武!$S$27)*VLOOKUP($AD10,专武!$R$27:$S$49,2,0),4))</f>
        <v>0.42</v>
      </c>
      <c r="AI10" s="15">
        <f>IF($AC10="level",ROUND(((IF($G10="SSR",专武!$H$31,IF($G10="SR",专武!$I$31,专武!$J$31)))/专武!$S$27)*VLOOKUP($AD10,专武!$R$27:$S$49,2,0),0),ROUND(((IF($G10="SSR",专武!$H$31,IF($G10="SR",专武!$I$31,专武!$J$31)))/专武!$S$27)*VLOOKUP($AD10,专武!$R$27:$S$49,2,0),4))</f>
        <v>0.48</v>
      </c>
      <c r="AJ10" s="15"/>
      <c r="AK10" s="14" t="str">
        <f t="shared" si="12"/>
        <v>SkillDmgBonus,0.24;SkillDmgBonus,0.3;SkillDmgBonus,0.36;SkillDmgBonus,0.42;SkillDmgBonus,0.48</v>
      </c>
    </row>
    <row r="11" ht="21" customHeight="1" spans="1:37">
      <c r="B11" s="20">
        <f>51007</f>
        <v>51007</v>
      </c>
      <c r="C11" s="20" t="str">
        <f>"狂乱之牙"</f>
        <v>狂乱之牙</v>
      </c>
      <c r="D11" s="20">
        <f t="shared" si="0"/>
        <v>0</v>
      </c>
      <c r="E11" s="20">
        <f t="shared" si="1"/>
        <v>0</v>
      </c>
      <c r="F11" s="21" t="s">
        <v>339</v>
      </c>
      <c r="G11" s="20" t="str">
        <f>INDEX('参数页-不同武将系数'!$C:$C,$Z11)</f>
        <v>SSR</v>
      </c>
      <c r="H11" s="20">
        <f t="shared" si="2"/>
        <v>4</v>
      </c>
      <c r="I11" s="20" t="str">
        <f>IF(LEFT(INDEX('参数页-不同武将系数'!$D:$D,$Z11),2)="输出","输出",IF(LEFT(INDEX('参数页-不同武将系数'!$D:$D,$Z11),2)="坦克","防御",IF(LEFT(INDEX('参数页-不同武将系数'!$D:$D,$Z11),2)="辅助","辅助","")))</f>
        <v>输出</v>
      </c>
      <c r="J11" s="20" t="str">
        <f t="shared" si="3"/>
        <v>DPS</v>
      </c>
      <c r="K11" s="20"/>
      <c r="L11" s="20">
        <f t="shared" si="4"/>
        <v>1</v>
      </c>
      <c r="M11" s="22">
        <f>INDEX('参数页-不同武将系数'!$AQ:$AQ,$Z11)</f>
        <v>4095</v>
      </c>
      <c r="N11" s="22">
        <f>INDEX('参数页-不同武将系数'!$AR:$AR,$Z11)</f>
        <v>386.75</v>
      </c>
      <c r="O11" s="22">
        <f>INDEX('参数页-不同武将系数'!$AS:$AS,$Z11)</f>
        <v>684</v>
      </c>
      <c r="P11" s="22">
        <f>INDEX('参数页-不同武将系数'!$AT:$AT,$Z11)</f>
        <v>64.6</v>
      </c>
      <c r="Q11" s="22">
        <f>INDEX('参数页-不同武将系数'!$AU:$AU,$Z11)</f>
        <v>855</v>
      </c>
      <c r="R11" s="22">
        <f>INDEX('参数页-不同武将系数'!$AV:$AV,$Z11)</f>
        <v>80.75</v>
      </c>
      <c r="S11" s="22">
        <f>INDEX('参数页-不同武将系数'!$AW:$AW,$Z11)</f>
        <v>480</v>
      </c>
      <c r="T11" s="22">
        <f>INDEX('参数页-不同武将系数'!$AX:$AX,$Z11)</f>
        <v>45.33</v>
      </c>
      <c r="U11" s="20" t="str">
        <f t="shared" si="5"/>
        <v>4510071;4510072;4510073;4510074;4510075;4510076</v>
      </c>
      <c r="V11" s="20" t="str">
        <f t="shared" si="6"/>
        <v>PhysicsAttackBonus,0.2;PhysicsAttackBonus,0.25;PhysicsAttackBonus,0.3;PhysicsAttackBonus,0.35;PhysicsAttackBonus,0.4</v>
      </c>
      <c r="W11" s="20" t="str">
        <f t="shared" si="7"/>
        <v>UIRes/UIAtlas/Hero/HeroExclusiveWeapon/WeaponIcons/Small/Icon_ExclusiveWeapon_s_51007.png</v>
      </c>
      <c r="X11" s="20" t="b">
        <f t="shared" si="8"/>
        <v>1</v>
      </c>
      <c r="Z11" s="14">
        <f>MATCH("夏提拉",'参数页-不同武将系数'!$B:$B,0)</f>
        <v>33</v>
      </c>
      <c r="AA11" s="14" t="str">
        <f>IF(INDEX('参数页-不同武将系数'!$AY:$AY,$Z11)="生命值百分比","生命百分比",IF(INDEX('参数页-不同武将系数'!$AY:$AY,$Z11)="防御百分比","防御力百分比",INDEX('参数页-不同武将系数'!$AY:$AY,$Z11)))</f>
        <v>攻击百分比</v>
      </c>
      <c r="AB11" s="14" t="str">
        <f t="shared" si="9"/>
        <v>PhysicsAttackBonus</v>
      </c>
      <c r="AC11" s="14" t="str">
        <f t="shared" si="10"/>
        <v>percent</v>
      </c>
      <c r="AD11" s="14" t="str">
        <f t="shared" si="11"/>
        <v>攻击百分比</v>
      </c>
      <c r="AE11" s="15">
        <f>IF($AC11="level",ROUND(((IF($G11="SSR",专武!$H$27,IF($G11="SR",专武!$I$27,专武!$J$27)))/专武!$S$27)*VLOOKUP($AD11,专武!$R$27:$S$49,2,0),0),ROUND(((IF($G11="SSR",专武!$H$27,IF($G11="SR",专武!$I$27,专武!$J$27)))/专武!$S$27)*VLOOKUP($AD11,专武!$R$27:$S$49,2,0),4))</f>
        <v>0.2</v>
      </c>
      <c r="AF11" s="15">
        <f>IF($AC11="level",ROUND(((IF($G11="SSR",专武!$H$28,IF($G11="SR",专武!$I$28,专武!$J$28)))/专武!$S$27)*VLOOKUP($AD11,专武!$R$27:$S$49,2,0),0),ROUND(((IF($G11="SSR",专武!$H$28,IF($G11="SR",专武!$I$28,专武!$J$28)))/专武!$S$27)*VLOOKUP($AD11,专武!$R$27:$S$49,2,0),4))</f>
        <v>0.25</v>
      </c>
      <c r="AG11" s="15">
        <f>IF($AC11="level",ROUND(((IF($G11="SSR",专武!$H$29,IF($G11="SR",专武!$I$29,专武!$J$29)))/专武!$S$27)*VLOOKUP($AD11,专武!$R$27:$S$49,2,0),0),ROUND(((IF($G11="SSR",专武!$H$29,IF($G11="SR",专武!$I$29,专武!$J$29)))/专武!$S$27)*VLOOKUP($AD11,专武!$R$27:$S$49,2,0),4))</f>
        <v>0.3</v>
      </c>
      <c r="AH11" s="15">
        <f>IF($AC11="level",ROUND(((IF($G11="SSR",专武!$H$30,IF($G11="SR",专武!$I$30,专武!$J$30)))/专武!$S$27)*VLOOKUP($AD11,专武!$R$27:$S$49,2,0),0),ROUND(((IF($G11="SSR",专武!$H$30,IF($G11="SR",专武!$I$30,专武!$J$30)))/专武!$S$27)*VLOOKUP($AD11,专武!$R$27:$S$49,2,0),4))</f>
        <v>0.35</v>
      </c>
      <c r="AI11" s="15">
        <f>IF($AC11="level",ROUND(((IF($G11="SSR",专武!$H$31,IF($G11="SR",专武!$I$31,专武!$J$31)))/专武!$S$27)*VLOOKUP($AD11,专武!$R$27:$S$49,2,0),0),ROUND(((IF($G11="SSR",专武!$H$31,IF($G11="SR",专武!$I$31,专武!$J$31)))/专武!$S$27)*VLOOKUP($AD11,专武!$R$27:$S$49,2,0),4))</f>
        <v>0.4</v>
      </c>
      <c r="AJ11" s="15"/>
      <c r="AK11" s="14" t="str">
        <f t="shared" si="12"/>
        <v>PhysicsAttackBonus,0.2;PhysicsAttackBonus,0.25;PhysicsAttackBonus,0.3;PhysicsAttackBonus,0.35;PhysicsAttackBonus,0.4</v>
      </c>
    </row>
    <row r="12" ht="21" customHeight="1" spans="1:37">
      <c r="B12" s="20">
        <f>51008</f>
        <v>51008</v>
      </c>
      <c r="C12" s="20" t="str">
        <f>"陈旧的烟匣"</f>
        <v>陈旧的烟匣</v>
      </c>
      <c r="D12" s="20">
        <f t="shared" si="0"/>
        <v>0</v>
      </c>
      <c r="E12" s="20">
        <f t="shared" si="1"/>
        <v>0</v>
      </c>
      <c r="F12" s="21" t="s">
        <v>906</v>
      </c>
      <c r="G12" s="20" t="str">
        <f>INDEX('参数页-不同武将系数'!$C:$C,$Z12)</f>
        <v>SSR</v>
      </c>
      <c r="H12" s="20">
        <f t="shared" si="2"/>
        <v>4</v>
      </c>
      <c r="I12" s="20" t="str">
        <f>IF(LEFT(INDEX('参数页-不同武将系数'!$D:$D,$Z12),2)="输出","输出",IF(LEFT(INDEX('参数页-不同武将系数'!$D:$D,$Z12),2)="坦克","防御",IF(LEFT(INDEX('参数页-不同武将系数'!$D:$D,$Z12),2)="辅助","辅助","")))</f>
        <v>防御</v>
      </c>
      <c r="J12" s="20" t="str">
        <f t="shared" si="3"/>
        <v>Tank</v>
      </c>
      <c r="K12" s="20"/>
      <c r="L12" s="20">
        <f t="shared" si="4"/>
        <v>1</v>
      </c>
      <c r="M12" s="22">
        <f>INDEX('参数页-不同武将系数'!$AQ:$AQ,$Z12)</f>
        <v>4200</v>
      </c>
      <c r="N12" s="22">
        <f>INDEX('参数页-不同武将系数'!$AR:$AR,$Z12)</f>
        <v>396.67</v>
      </c>
      <c r="O12" s="22">
        <f>INDEX('参数页-不同武将系数'!$AS:$AS,$Z12)</f>
        <v>540</v>
      </c>
      <c r="P12" s="22">
        <f>INDEX('参数页-不同武将系数'!$AT:$AT,$Z12)</f>
        <v>51</v>
      </c>
      <c r="Q12" s="22">
        <f>INDEX('参数页-不同武将系数'!$AU:$AU,$Z12)</f>
        <v>432</v>
      </c>
      <c r="R12" s="22">
        <f>INDEX('参数页-不同武将系数'!$AV:$AV,$Z12)</f>
        <v>40.8</v>
      </c>
      <c r="S12" s="22">
        <f>INDEX('参数页-不同武将系数'!$AW:$AW,$Z12)</f>
        <v>630</v>
      </c>
      <c r="T12" s="22">
        <f>INDEX('参数页-不同武将系数'!$AX:$AX,$Z12)</f>
        <v>59.5</v>
      </c>
      <c r="U12" s="20" t="str">
        <f t="shared" si="5"/>
        <v>4510081;4510082;4510083;4510084;4510085;4510086</v>
      </c>
      <c r="V12" s="20" t="str">
        <f t="shared" si="6"/>
        <v>HpBonus,0.2;HpBonus,0.25;HpBonus,0.3;HpBonus,0.35;HpBonus,0.4</v>
      </c>
      <c r="W12" s="20" t="str">
        <f t="shared" si="7"/>
        <v>UIRes/UIAtlas/Hero/HeroExclusiveWeapon/WeaponIcons/Small/Icon_ExclusiveWeapon_s_51008.png</v>
      </c>
      <c r="X12" s="20" t="b">
        <f t="shared" si="8"/>
        <v>1</v>
      </c>
      <c r="Z12" s="14">
        <f>MATCH("雷诺",'参数页-不同武将系数'!$B:$B,0)</f>
        <v>34</v>
      </c>
      <c r="AA12" s="14" t="str">
        <f>IF(INDEX('参数页-不同武将系数'!$AY:$AY,$Z12)="生命值百分比","生命百分比",IF(INDEX('参数页-不同武将系数'!$AY:$AY,$Z12)="防御百分比","防御力百分比",INDEX('参数页-不同武将系数'!$AY:$AY,$Z12)))</f>
        <v>生命百分比</v>
      </c>
      <c r="AB12" s="14" t="str">
        <f t="shared" si="9"/>
        <v>HpBonus</v>
      </c>
      <c r="AC12" s="14" t="str">
        <f t="shared" si="10"/>
        <v>percent</v>
      </c>
      <c r="AD12" s="14" t="str">
        <f t="shared" si="11"/>
        <v>生命百分比</v>
      </c>
      <c r="AE12" s="15">
        <f>IF($AC12="level",ROUND(((IF($G12="SSR",专武!$H$27,IF($G12="SR",专武!$I$27,专武!$J$27)))/专武!$S$27)*VLOOKUP($AD12,专武!$R$27:$S$49,2,0),0),ROUND(((IF($G12="SSR",专武!$H$27,IF($G12="SR",专武!$I$27,专武!$J$27)))/专武!$S$27)*VLOOKUP($AD12,专武!$R$27:$S$49,2,0),4))</f>
        <v>0.2</v>
      </c>
      <c r="AF12" s="15">
        <f>IF($AC12="level",ROUND(((IF($G12="SSR",专武!$H$28,IF($G12="SR",专武!$I$28,专武!$J$28)))/专武!$S$27)*VLOOKUP($AD12,专武!$R$27:$S$49,2,0),0),ROUND(((IF($G12="SSR",专武!$H$28,IF($G12="SR",专武!$I$28,专武!$J$28)))/专武!$S$27)*VLOOKUP($AD12,专武!$R$27:$S$49,2,0),4))</f>
        <v>0.25</v>
      </c>
      <c r="AG12" s="15">
        <f>IF($AC12="level",ROUND(((IF($G12="SSR",专武!$H$29,IF($G12="SR",专武!$I$29,专武!$J$29)))/专武!$S$27)*VLOOKUP($AD12,专武!$R$27:$S$49,2,0),0),ROUND(((IF($G12="SSR",专武!$H$29,IF($G12="SR",专武!$I$29,专武!$J$29)))/专武!$S$27)*VLOOKUP($AD12,专武!$R$27:$S$49,2,0),4))</f>
        <v>0.3</v>
      </c>
      <c r="AH12" s="15">
        <f>IF($AC12="level",ROUND(((IF($G12="SSR",专武!$H$30,IF($G12="SR",专武!$I$30,专武!$J$30)))/专武!$S$27)*VLOOKUP($AD12,专武!$R$27:$S$49,2,0),0),ROUND(((IF($G12="SSR",专武!$H$30,IF($G12="SR",专武!$I$30,专武!$J$30)))/专武!$S$27)*VLOOKUP($AD12,专武!$R$27:$S$49,2,0),4))</f>
        <v>0.35</v>
      </c>
      <c r="AI12" s="15">
        <f>IF($AC12="level",ROUND(((IF($G12="SSR",专武!$H$31,IF($G12="SR",专武!$I$31,专武!$J$31)))/专武!$S$27)*VLOOKUP($AD12,专武!$R$27:$S$49,2,0),0),ROUND(((IF($G12="SSR",专武!$H$31,IF($G12="SR",专武!$I$31,专武!$J$31)))/专武!$S$27)*VLOOKUP($AD12,专武!$R$27:$S$49,2,0),4))</f>
        <v>0.4</v>
      </c>
      <c r="AJ12" s="15"/>
      <c r="AK12" s="14" t="str">
        <f t="shared" si="12"/>
        <v>HpBonus,0.2;HpBonus,0.25;HpBonus,0.3;HpBonus,0.35;HpBonus,0.4</v>
      </c>
    </row>
    <row r="13" ht="21" customHeight="1" spans="1:37">
      <c r="B13" s="20">
        <f>51009</f>
        <v>51009</v>
      </c>
      <c r="C13" s="20" t="str">
        <f>"断事官印章"</f>
        <v>断事官印章</v>
      </c>
      <c r="D13" s="20">
        <f t="shared" si="0"/>
        <v>0</v>
      </c>
      <c r="E13" s="20">
        <f t="shared" si="1"/>
        <v>0</v>
      </c>
      <c r="F13" s="21" t="s">
        <v>345</v>
      </c>
      <c r="G13" s="20" t="str">
        <f>INDEX('参数页-不同武将系数'!$C:$C,$Z13)</f>
        <v>SSR</v>
      </c>
      <c r="H13" s="20">
        <f t="shared" si="2"/>
        <v>4</v>
      </c>
      <c r="I13" s="20" t="str">
        <f>IF(LEFT(INDEX('参数页-不同武将系数'!$D:$D,$Z13),2)="输出","输出",IF(LEFT(INDEX('参数页-不同武将系数'!$D:$D,$Z13),2)="坦克","防御",IF(LEFT(INDEX('参数页-不同武将系数'!$D:$D,$Z13),2)="辅助","辅助","")))</f>
        <v>输出</v>
      </c>
      <c r="J13" s="20" t="str">
        <f t="shared" si="3"/>
        <v>DPS</v>
      </c>
      <c r="K13" s="20"/>
      <c r="L13" s="20">
        <f t="shared" si="4"/>
        <v>1</v>
      </c>
      <c r="M13" s="22">
        <f>INDEX('参数页-不同武将系数'!$AQ:$AQ,$Z13)</f>
        <v>3105</v>
      </c>
      <c r="N13" s="22">
        <f>INDEX('参数页-不同武将系数'!$AR:$AR,$Z13)</f>
        <v>293.25</v>
      </c>
      <c r="O13" s="22">
        <f>INDEX('参数页-不同武将系数'!$AS:$AS,$Z13)</f>
        <v>712.8</v>
      </c>
      <c r="P13" s="22">
        <f>INDEX('参数页-不同武将系数'!$AT:$AT,$Z13)</f>
        <v>67.32</v>
      </c>
      <c r="Q13" s="22">
        <f>INDEX('参数页-不同武将系数'!$AU:$AU,$Z13)</f>
        <v>990</v>
      </c>
      <c r="R13" s="22">
        <f>INDEX('参数页-不同武将系数'!$AV:$AV,$Z13)</f>
        <v>93.5</v>
      </c>
      <c r="S13" s="22">
        <f>INDEX('参数页-不同武将系数'!$AW:$AW,$Z13)</f>
        <v>600</v>
      </c>
      <c r="T13" s="22">
        <f>INDEX('参数页-不同武将系数'!$AX:$AX,$Z13)</f>
        <v>56.67</v>
      </c>
      <c r="U13" s="20" t="str">
        <f t="shared" si="5"/>
        <v>4510091;4510092;4510093;4510094;4510095;4510096</v>
      </c>
      <c r="V13" s="20" t="str">
        <f t="shared" si="6"/>
        <v>PhysicsAttackBonus,0.2;PhysicsAttackBonus,0.25;PhysicsAttackBonus,0.3;PhysicsAttackBonus,0.35;PhysicsAttackBonus,0.4</v>
      </c>
      <c r="W13" s="20" t="str">
        <f t="shared" si="7"/>
        <v>UIRes/UIAtlas/Hero/HeroExclusiveWeapon/WeaponIcons/Small/Icon_ExclusiveWeapon_s_51009.png</v>
      </c>
      <c r="X13" s="20" t="b">
        <f t="shared" si="8"/>
        <v>1</v>
      </c>
      <c r="Z13" s="14">
        <f>MATCH("伊戈尔",'参数页-不同武将系数'!$B:$B,0)</f>
        <v>31</v>
      </c>
      <c r="AA13" s="14" t="str">
        <f>IF(INDEX('参数页-不同武将系数'!$AY:$AY,$Z13)="生命值百分比","生命百分比",IF(INDEX('参数页-不同武将系数'!$AY:$AY,$Z13)="防御百分比","防御力百分比",INDEX('参数页-不同武将系数'!$AY:$AY,$Z13)))</f>
        <v>攻击百分比</v>
      </c>
      <c r="AB13" s="14" t="str">
        <f t="shared" si="9"/>
        <v>PhysicsAttackBonus</v>
      </c>
      <c r="AC13" s="14" t="str">
        <f t="shared" si="10"/>
        <v>percent</v>
      </c>
      <c r="AD13" s="14" t="str">
        <f t="shared" si="11"/>
        <v>攻击百分比</v>
      </c>
      <c r="AE13" s="15">
        <f>IF($AC13="level",ROUND(((IF($G13="SSR",专武!$H$27,IF($G13="SR",专武!$I$27,专武!$J$27)))/专武!$S$27)*VLOOKUP($AD13,专武!$R$27:$S$49,2,0),0),ROUND(((IF($G13="SSR",专武!$H$27,IF($G13="SR",专武!$I$27,专武!$J$27)))/专武!$S$27)*VLOOKUP($AD13,专武!$R$27:$S$49,2,0),4))</f>
        <v>0.2</v>
      </c>
      <c r="AF13" s="15">
        <f>IF($AC13="level",ROUND(((IF($G13="SSR",专武!$H$28,IF($G13="SR",专武!$I$28,专武!$J$28)))/专武!$S$27)*VLOOKUP($AD13,专武!$R$27:$S$49,2,0),0),ROUND(((IF($G13="SSR",专武!$H$28,IF($G13="SR",专武!$I$28,专武!$J$28)))/专武!$S$27)*VLOOKUP($AD13,专武!$R$27:$S$49,2,0),4))</f>
        <v>0.25</v>
      </c>
      <c r="AG13" s="15">
        <f>IF($AC13="level",ROUND(((IF($G13="SSR",专武!$H$29,IF($G13="SR",专武!$I$29,专武!$J$29)))/专武!$S$27)*VLOOKUP($AD13,专武!$R$27:$S$49,2,0),0),ROUND(((IF($G13="SSR",专武!$H$29,IF($G13="SR",专武!$I$29,专武!$J$29)))/专武!$S$27)*VLOOKUP($AD13,专武!$R$27:$S$49,2,0),4))</f>
        <v>0.3</v>
      </c>
      <c r="AH13" s="15">
        <f>IF($AC13="level",ROUND(((IF($G13="SSR",专武!$H$30,IF($G13="SR",专武!$I$30,专武!$J$30)))/专武!$S$27)*VLOOKUP($AD13,专武!$R$27:$S$49,2,0),0),ROUND(((IF($G13="SSR",专武!$H$30,IF($G13="SR",专武!$I$30,专武!$J$30)))/专武!$S$27)*VLOOKUP($AD13,专武!$R$27:$S$49,2,0),4))</f>
        <v>0.35</v>
      </c>
      <c r="AI13" s="15">
        <f>IF($AC13="level",ROUND(((IF($G13="SSR",专武!$H$31,IF($G13="SR",专武!$I$31,专武!$J$31)))/专武!$S$27)*VLOOKUP($AD13,专武!$R$27:$S$49,2,0),0),ROUND(((IF($G13="SSR",专武!$H$31,IF($G13="SR",专武!$I$31,专武!$J$31)))/专武!$S$27)*VLOOKUP($AD13,专武!$R$27:$S$49,2,0),4))</f>
        <v>0.4</v>
      </c>
      <c r="AJ13" s="15"/>
      <c r="AK13" s="14" t="str">
        <f t="shared" si="12"/>
        <v>PhysicsAttackBonus,0.2;PhysicsAttackBonus,0.25;PhysicsAttackBonus,0.3;PhysicsAttackBonus,0.35;PhysicsAttackBonus,0.4</v>
      </c>
    </row>
    <row r="14" ht="21" customHeight="1" spans="1:37">
      <c r="B14" s="20">
        <f>51010</f>
        <v>51010</v>
      </c>
      <c r="C14" s="20" t="str">
        <f>"十字剑章"</f>
        <v>十字剑章</v>
      </c>
      <c r="D14" s="20">
        <f t="shared" si="0"/>
        <v>0</v>
      </c>
      <c r="E14" s="20">
        <f t="shared" si="1"/>
        <v>0</v>
      </c>
      <c r="F14" s="21" t="s">
        <v>1059</v>
      </c>
      <c r="G14" s="20" t="str">
        <f>INDEX('参数页-不同武将系数'!$C:$C,$Z14)</f>
        <v>SSR</v>
      </c>
      <c r="H14" s="20">
        <f t="shared" si="2"/>
        <v>4</v>
      </c>
      <c r="I14" s="20" t="str">
        <f>IF(LEFT(INDEX('参数页-不同武将系数'!$D:$D,$Z14),2)="输出","输出",IF(LEFT(INDEX('参数页-不同武将系数'!$D:$D,$Z14),2)="坦克","防御",IF(LEFT(INDEX('参数页-不同武将系数'!$D:$D,$Z14),2)="辅助","辅助","")))</f>
        <v>防御</v>
      </c>
      <c r="J14" s="20" t="str">
        <f t="shared" si="3"/>
        <v>Tank</v>
      </c>
      <c r="K14" s="20"/>
      <c r="L14" s="20">
        <f t="shared" si="4"/>
        <v>1</v>
      </c>
      <c r="M14" s="22">
        <f>INDEX('参数页-不同武将系数'!$AQ:$AQ,$Z14)</f>
        <v>3060</v>
      </c>
      <c r="N14" s="22">
        <f>INDEX('参数页-不同武将系数'!$AR:$AR,$Z14)</f>
        <v>289</v>
      </c>
      <c r="O14" s="22">
        <f>INDEX('参数页-不同武将系数'!$AS:$AS,$Z14)</f>
        <v>724.5</v>
      </c>
      <c r="P14" s="22">
        <f>INDEX('参数页-不同武将系数'!$AT:$AT,$Z14)</f>
        <v>68.43</v>
      </c>
      <c r="Q14" s="22">
        <f>INDEX('参数页-不同武将系数'!$AU:$AU,$Z14)</f>
        <v>504</v>
      </c>
      <c r="R14" s="22">
        <f>INDEX('参数页-不同武将系数'!$AV:$AV,$Z14)</f>
        <v>47.6</v>
      </c>
      <c r="S14" s="22">
        <f>INDEX('参数页-不同武将系数'!$AW:$AW,$Z14)</f>
        <v>660</v>
      </c>
      <c r="T14" s="22">
        <f>INDEX('参数页-不同武将系数'!$AX:$AX,$Z14)</f>
        <v>62.33</v>
      </c>
      <c r="U14" s="20" t="str">
        <f t="shared" si="5"/>
        <v>4510101;4510102;4510103;4510104;4510105;4510106</v>
      </c>
      <c r="V14" s="20" t="str">
        <f t="shared" si="6"/>
        <v>SkillDmgBonus,0.24;SkillDmgBonus,0.3;SkillDmgBonus,0.36;SkillDmgBonus,0.42;SkillDmgBonus,0.48</v>
      </c>
      <c r="W14" s="20" t="str">
        <f t="shared" si="7"/>
        <v>UIRes/UIAtlas/Hero/HeroExclusiveWeapon/WeaponIcons/Small/Icon_ExclusiveWeapon_s_51010.png</v>
      </c>
      <c r="X14" s="20" t="b">
        <f t="shared" si="8"/>
        <v>1</v>
      </c>
      <c r="Z14" s="14">
        <f>MATCH("零号",'参数页-不同武将系数'!$B:$B,0)</f>
        <v>37</v>
      </c>
      <c r="AA14" s="14" t="str">
        <f>IF(INDEX('参数页-不同武将系数'!$AY:$AY,$Z14)="生命值百分比","生命百分比",IF(INDEX('参数页-不同武将系数'!$AY:$AY,$Z14)="防御百分比","防御力百分比",INDEX('参数页-不同武将系数'!$AY:$AY,$Z14)))</f>
        <v>技能伤害加成</v>
      </c>
      <c r="AB14" s="14" t="str">
        <f t="shared" si="9"/>
        <v>SkillDmgBonus</v>
      </c>
      <c r="AC14" s="14" t="str">
        <f t="shared" si="10"/>
        <v>percent</v>
      </c>
      <c r="AD14" s="14" t="str">
        <f t="shared" si="11"/>
        <v>技能伤害加成</v>
      </c>
      <c r="AE14" s="15">
        <f>IF($AC14="level",ROUND(((IF($G14="SSR",专武!$H$27,IF($G14="SR",专武!$I$27,专武!$J$27)))/专武!$S$27)*VLOOKUP($AD14,专武!$R$27:$S$49,2,0),0),ROUND(((IF($G14="SSR",专武!$H$27,IF($G14="SR",专武!$I$27,专武!$J$27)))/专武!$S$27)*VLOOKUP($AD14,专武!$R$27:$S$49,2,0),4))</f>
        <v>0.24</v>
      </c>
      <c r="AF14" s="15">
        <f>IF($AC14="level",ROUND(((IF($G14="SSR",专武!$H$28,IF($G14="SR",专武!$I$28,专武!$J$28)))/专武!$S$27)*VLOOKUP($AD14,专武!$R$27:$S$49,2,0),0),ROUND(((IF($G14="SSR",专武!$H$28,IF($G14="SR",专武!$I$28,专武!$J$28)))/专武!$S$27)*VLOOKUP($AD14,专武!$R$27:$S$49,2,0),4))</f>
        <v>0.3</v>
      </c>
      <c r="AG14" s="15">
        <f>IF($AC14="level",ROUND(((IF($G14="SSR",专武!$H$29,IF($G14="SR",专武!$I$29,专武!$J$29)))/专武!$S$27)*VLOOKUP($AD14,专武!$R$27:$S$49,2,0),0),ROUND(((IF($G14="SSR",专武!$H$29,IF($G14="SR",专武!$I$29,专武!$J$29)))/专武!$S$27)*VLOOKUP($AD14,专武!$R$27:$S$49,2,0),4))</f>
        <v>0.36</v>
      </c>
      <c r="AH14" s="15">
        <f>IF($AC14="level",ROUND(((IF($G14="SSR",专武!$H$30,IF($G14="SR",专武!$I$30,专武!$J$30)))/专武!$S$27)*VLOOKUP($AD14,专武!$R$27:$S$49,2,0),0),ROUND(((IF($G14="SSR",专武!$H$30,IF($G14="SR",专武!$I$30,专武!$J$30)))/专武!$S$27)*VLOOKUP($AD14,专武!$R$27:$S$49,2,0),4))</f>
        <v>0.42</v>
      </c>
      <c r="AI14" s="15">
        <f>IF($AC14="level",ROUND(((IF($G14="SSR",专武!$H$31,IF($G14="SR",专武!$I$31,专武!$J$31)))/专武!$S$27)*VLOOKUP($AD14,专武!$R$27:$S$49,2,0),0),ROUND(((IF($G14="SSR",专武!$H$31,IF($G14="SR",专武!$I$31,专武!$J$31)))/专武!$S$27)*VLOOKUP($AD14,专武!$R$27:$S$49,2,0),4))</f>
        <v>0.48</v>
      </c>
      <c r="AJ14" s="15"/>
      <c r="AK14" s="14" t="str">
        <f t="shared" si="12"/>
        <v>SkillDmgBonus,0.24;SkillDmgBonus,0.3;SkillDmgBonus,0.36;SkillDmgBonus,0.42;SkillDmgBonus,0.48</v>
      </c>
    </row>
    <row r="15" ht="21" customHeight="1" spans="1:37">
      <c r="B15" s="20">
        <f>51011</f>
        <v>51011</v>
      </c>
      <c r="C15" s="20" t="str">
        <f>"紫罗兰王冠"</f>
        <v>紫罗兰王冠</v>
      </c>
      <c r="D15" s="20">
        <f t="shared" si="0"/>
        <v>0</v>
      </c>
      <c r="E15" s="20">
        <f t="shared" si="1"/>
        <v>0</v>
      </c>
      <c r="F15" s="21" t="s">
        <v>1060</v>
      </c>
      <c r="G15" s="20" t="str">
        <f>INDEX('参数页-不同武将系数'!$C:$C,$Z15)</f>
        <v>SSR</v>
      </c>
      <c r="H15" s="20">
        <f t="shared" si="2"/>
        <v>4</v>
      </c>
      <c r="I15" s="20" t="str">
        <f>IF(LEFT(INDEX('参数页-不同武将系数'!$D:$D,$Z15),2)="输出","输出",IF(LEFT(INDEX('参数页-不同武将系数'!$D:$D,$Z15),2)="坦克","防御",IF(LEFT(INDEX('参数页-不同武将系数'!$D:$D,$Z15),2)="辅助","辅助","")))</f>
        <v>辅助</v>
      </c>
      <c r="J15" s="20" t="str">
        <f t="shared" si="3"/>
        <v>Support</v>
      </c>
      <c r="K15" s="20"/>
      <c r="L15" s="20">
        <f t="shared" si="4"/>
        <v>1</v>
      </c>
      <c r="M15" s="22">
        <f>INDEX('参数页-不同武将系数'!$AQ:$AQ,$Z15)</f>
        <v>3300</v>
      </c>
      <c r="N15" s="22">
        <f>INDEX('参数页-不同武将系数'!$AR:$AR,$Z15)</f>
        <v>311.67</v>
      </c>
      <c r="O15" s="22">
        <f>INDEX('参数页-不同武将系数'!$AS:$AS,$Z15)</f>
        <v>615.6</v>
      </c>
      <c r="P15" s="22">
        <f>INDEX('参数页-不同武将系数'!$AT:$AT,$Z15)</f>
        <v>58.14</v>
      </c>
      <c r="Q15" s="22">
        <f>INDEX('参数页-不同武将系数'!$AU:$AU,$Z15)</f>
        <v>769.5</v>
      </c>
      <c r="R15" s="22">
        <f>INDEX('参数页-不同武将系数'!$AV:$AV,$Z15)</f>
        <v>72.68</v>
      </c>
      <c r="S15" s="22">
        <f>INDEX('参数页-不同武将系数'!$AW:$AW,$Z15)</f>
        <v>660</v>
      </c>
      <c r="T15" s="22">
        <f>INDEX('参数页-不同武将系数'!$AX:$AX,$Z15)</f>
        <v>62.33</v>
      </c>
      <c r="U15" s="20" t="str">
        <f t="shared" si="5"/>
        <v>4510111;4510112;4510113;4510114;4510115;4510116</v>
      </c>
      <c r="V15" s="20" t="str">
        <f t="shared" si="6"/>
        <v>Heal,0.1;Heal,0.125;Heal,0.15;Heal,0.175;Heal,0.2</v>
      </c>
      <c r="W15" s="20" t="str">
        <f t="shared" si="7"/>
        <v>UIRes/UIAtlas/Hero/HeroExclusiveWeapon/WeaponIcons/Small/Icon_ExclusiveWeapon_s_51011.png</v>
      </c>
      <c r="X15" s="20" t="b">
        <f t="shared" si="8"/>
        <v>1</v>
      </c>
      <c r="Z15" s="14">
        <f>MATCH("美第奇",'参数页-不同武将系数'!$B:$B,0)</f>
        <v>36</v>
      </c>
      <c r="AA15" s="14" t="str">
        <f>IF(INDEX('参数页-不同武将系数'!$AY:$AY,$Z15)="生命值百分比","生命百分比",IF(INDEX('参数页-不同武将系数'!$AY:$AY,$Z15)="防御百分比","防御力百分比",INDEX('参数页-不同武将系数'!$AY:$AY,$Z15)))</f>
        <v>治疗率</v>
      </c>
      <c r="AB15" s="14" t="str">
        <f t="shared" si="9"/>
        <v>Heal</v>
      </c>
      <c r="AC15" s="14" t="str">
        <f t="shared" si="10"/>
        <v>percent</v>
      </c>
      <c r="AD15" s="14" t="str">
        <f t="shared" si="11"/>
        <v>治疗率</v>
      </c>
      <c r="AE15" s="15">
        <f>IF($AC15="level",ROUND(((IF($G15="SSR",专武!$H$27,IF($G15="SR",专武!$I$27,专武!$J$27)))/专武!$S$27)*VLOOKUP($AD15,专武!$R$27:$S$49,2,0),0),ROUND(((IF($G15="SSR",专武!$H$27,IF($G15="SR",专武!$I$27,专武!$J$27)))/专武!$S$27)*VLOOKUP($AD15,专武!$R$27:$S$49,2,0),4))</f>
        <v>0.1</v>
      </c>
      <c r="AF15" s="15">
        <f>IF($AC15="level",ROUND(((IF($G15="SSR",专武!$H$28,IF($G15="SR",专武!$I$28,专武!$J$28)))/专武!$S$27)*VLOOKUP($AD15,专武!$R$27:$S$49,2,0),0),ROUND(((IF($G15="SSR",专武!$H$28,IF($G15="SR",专武!$I$28,专武!$J$28)))/专武!$S$27)*VLOOKUP($AD15,专武!$R$27:$S$49,2,0),4))</f>
        <v>0.125</v>
      </c>
      <c r="AG15" s="15">
        <f>IF($AC15="level",ROUND(((IF($G15="SSR",专武!$H$29,IF($G15="SR",专武!$I$29,专武!$J$29)))/专武!$S$27)*VLOOKUP($AD15,专武!$R$27:$S$49,2,0),0),ROUND(((IF($G15="SSR",专武!$H$29,IF($G15="SR",专武!$I$29,专武!$J$29)))/专武!$S$27)*VLOOKUP($AD15,专武!$R$27:$S$49,2,0),4))</f>
        <v>0.15</v>
      </c>
      <c r="AH15" s="15">
        <f>IF($AC15="level",ROUND(((IF($G15="SSR",专武!$H$30,IF($G15="SR",专武!$I$30,专武!$J$30)))/专武!$S$27)*VLOOKUP($AD15,专武!$R$27:$S$49,2,0),0),ROUND(((IF($G15="SSR",专武!$H$30,IF($G15="SR",专武!$I$30,专武!$J$30)))/专武!$S$27)*VLOOKUP($AD15,专武!$R$27:$S$49,2,0),4))</f>
        <v>0.175</v>
      </c>
      <c r="AI15" s="15">
        <f>IF($AC15="level",ROUND(((IF($G15="SSR",专武!$H$31,IF($G15="SR",专武!$I$31,专武!$J$31)))/专武!$S$27)*VLOOKUP($AD15,专武!$R$27:$S$49,2,0),0),ROUND(((IF($G15="SSR",专武!$H$31,IF($G15="SR",专武!$I$31,专武!$J$31)))/专武!$S$27)*VLOOKUP($AD15,专武!$R$27:$S$49,2,0),4))</f>
        <v>0.2</v>
      </c>
      <c r="AJ15" s="15"/>
      <c r="AK15" s="14" t="str">
        <f t="shared" si="12"/>
        <v>Heal,0.1;Heal,0.125;Heal,0.15;Heal,0.175;Heal,0.2</v>
      </c>
    </row>
    <row r="16" ht="21" customHeight="1" spans="1:37">
      <c r="B16" s="20">
        <f>51012</f>
        <v>51012</v>
      </c>
      <c r="C16" s="20" t="str">
        <f>"破烂玩偶"</f>
        <v>破烂玩偶</v>
      </c>
      <c r="D16" s="20">
        <f t="shared" si="0"/>
        <v>0</v>
      </c>
      <c r="E16" s="20">
        <f t="shared" si="1"/>
        <v>0</v>
      </c>
      <c r="F16" s="21" t="s">
        <v>907</v>
      </c>
      <c r="G16" s="20" t="str">
        <f>INDEX('参数页-不同武将系数'!$C:$C,$Z16)</f>
        <v>SSR</v>
      </c>
      <c r="H16" s="20">
        <f t="shared" si="2"/>
        <v>4</v>
      </c>
      <c r="I16" s="20" t="str">
        <f>IF(LEFT(INDEX('参数页-不同武将系数'!$D:$D,$Z16),2)="输出","输出",IF(LEFT(INDEX('参数页-不同武将系数'!$D:$D,$Z16),2)="坦克","防御",IF(LEFT(INDEX('参数页-不同武将系数'!$D:$D,$Z16),2)="辅助","辅助","")))</f>
        <v>输出</v>
      </c>
      <c r="J16" s="20" t="str">
        <f t="shared" si="3"/>
        <v>DPS</v>
      </c>
      <c r="K16" s="20"/>
      <c r="L16" s="20">
        <f t="shared" si="4"/>
        <v>1</v>
      </c>
      <c r="M16" s="22">
        <f>INDEX('参数页-不同武将系数'!$AQ:$AQ,$Z16)</f>
        <v>2992.5</v>
      </c>
      <c r="N16" s="22">
        <f>INDEX('参数页-不同武将系数'!$AR:$AR,$Z16)</f>
        <v>282.63</v>
      </c>
      <c r="O16" s="22">
        <f>INDEX('参数页-不同武将系数'!$AS:$AS,$Z16)</f>
        <v>897.75</v>
      </c>
      <c r="P16" s="22">
        <f>INDEX('参数页-不同武将系数'!$AT:$AT,$Z16)</f>
        <v>84.79</v>
      </c>
      <c r="Q16" s="22">
        <f>INDEX('参数页-不同武将系数'!$AU:$AU,$Z16)</f>
        <v>684</v>
      </c>
      <c r="R16" s="22">
        <f>INDEX('参数页-不同武将系数'!$AV:$AV,$Z16)</f>
        <v>64.6</v>
      </c>
      <c r="S16" s="22">
        <f>INDEX('参数页-不同武将系数'!$AW:$AW,$Z16)</f>
        <v>570</v>
      </c>
      <c r="T16" s="22">
        <f>INDEX('参数页-不同武将系数'!$AX:$AX,$Z16)</f>
        <v>53.83</v>
      </c>
      <c r="U16" s="20" t="str">
        <f t="shared" si="5"/>
        <v>4510121;4510122;4510123;4510124;4510125;4510126</v>
      </c>
      <c r="V16" s="20" t="str">
        <f t="shared" si="6"/>
        <v>PhysicsAttackBonus,0.2;PhysicsAttackBonus,0.25;PhysicsAttackBonus,0.3;PhysicsAttackBonus,0.35;PhysicsAttackBonus,0.4</v>
      </c>
      <c r="W16" s="20" t="str">
        <f t="shared" si="7"/>
        <v>UIRes/UIAtlas/Hero/HeroExclusiveWeapon/WeaponIcons/Small/Icon_ExclusiveWeapon_s_51012.png</v>
      </c>
      <c r="X16" s="20" t="b">
        <f t="shared" si="8"/>
        <v>1</v>
      </c>
      <c r="Z16" s="14">
        <f>MATCH("瞳",'参数页-不同武将系数'!$B:$B,0)</f>
        <v>35</v>
      </c>
      <c r="AA16" s="14" t="str">
        <f>IF(INDEX('参数页-不同武将系数'!$AY:$AY,$Z16)="生命值百分比","生命百分比",IF(INDEX('参数页-不同武将系数'!$AY:$AY,$Z16)="防御百分比","防御力百分比",INDEX('参数页-不同武将系数'!$AY:$AY,$Z16)))</f>
        <v>攻击百分比</v>
      </c>
      <c r="AB16" s="14" t="str">
        <f t="shared" si="9"/>
        <v>PhysicsAttackBonus</v>
      </c>
      <c r="AC16" s="14" t="str">
        <f t="shared" si="10"/>
        <v>percent</v>
      </c>
      <c r="AD16" s="14" t="str">
        <f t="shared" si="11"/>
        <v>攻击百分比</v>
      </c>
      <c r="AE16" s="15">
        <f>IF($AC16="level",ROUND(((IF($G16="SSR",专武!$H$27,IF($G16="SR",专武!$I$27,专武!$J$27)))/专武!$S$27)*VLOOKUP($AD16,专武!$R$27:$S$49,2,0),0),ROUND(((IF($G16="SSR",专武!$H$27,IF($G16="SR",专武!$I$27,专武!$J$27)))/专武!$S$27)*VLOOKUP($AD16,专武!$R$27:$S$49,2,0),4))</f>
        <v>0.2</v>
      </c>
      <c r="AF16" s="15">
        <f>IF($AC16="level",ROUND(((IF($G16="SSR",专武!$H$28,IF($G16="SR",专武!$I$28,专武!$J$28)))/专武!$S$27)*VLOOKUP($AD16,专武!$R$27:$S$49,2,0),0),ROUND(((IF($G16="SSR",专武!$H$28,IF($G16="SR",专武!$I$28,专武!$J$28)))/专武!$S$27)*VLOOKUP($AD16,专武!$R$27:$S$49,2,0),4))</f>
        <v>0.25</v>
      </c>
      <c r="AG16" s="15">
        <f>IF($AC16="level",ROUND(((IF($G16="SSR",专武!$H$29,IF($G16="SR",专武!$I$29,专武!$J$29)))/专武!$S$27)*VLOOKUP($AD16,专武!$R$27:$S$49,2,0),0),ROUND(((IF($G16="SSR",专武!$H$29,IF($G16="SR",专武!$I$29,专武!$J$29)))/专武!$S$27)*VLOOKUP($AD16,专武!$R$27:$S$49,2,0),4))</f>
        <v>0.3</v>
      </c>
      <c r="AH16" s="15">
        <f>IF($AC16="level",ROUND(((IF($G16="SSR",专武!$H$30,IF($G16="SR",专武!$I$30,专武!$J$30)))/专武!$S$27)*VLOOKUP($AD16,专武!$R$27:$S$49,2,0),0),ROUND(((IF($G16="SSR",专武!$H$30,IF($G16="SR",专武!$I$30,专武!$J$30)))/专武!$S$27)*VLOOKUP($AD16,专武!$R$27:$S$49,2,0),4))</f>
        <v>0.35</v>
      </c>
      <c r="AI16" s="15">
        <f>IF($AC16="level",ROUND(((IF($G16="SSR",专武!$H$31,IF($G16="SR",专武!$I$31,专武!$J$31)))/专武!$S$27)*VLOOKUP($AD16,专武!$R$27:$S$49,2,0),0),ROUND(((IF($G16="SSR",专武!$H$31,IF($G16="SR",专武!$I$31,专武!$J$31)))/专武!$S$27)*VLOOKUP($AD16,专武!$R$27:$S$49,2,0),4))</f>
        <v>0.4</v>
      </c>
      <c r="AJ16" s="15"/>
      <c r="AK16" s="14" t="str">
        <f t="shared" si="12"/>
        <v>PhysicsAttackBonus,0.2;PhysicsAttackBonus,0.25;PhysicsAttackBonus,0.3;PhysicsAttackBonus,0.35;PhysicsAttackBonus,0.4</v>
      </c>
    </row>
    <row r="17" ht="21" customHeight="1" spans="2:37">
      <c r="B17" s="20">
        <f>51013</f>
        <v>51013</v>
      </c>
      <c r="C17" s="20" t="str">
        <f>"六芒圣楔"</f>
        <v>六芒圣楔</v>
      </c>
      <c r="D17" s="20">
        <f t="shared" si="0"/>
        <v>0</v>
      </c>
      <c r="E17" s="20">
        <f t="shared" si="1"/>
        <v>0</v>
      </c>
      <c r="F17" s="21" t="s">
        <v>332</v>
      </c>
      <c r="G17" s="20" t="str">
        <f>INDEX('参数页-不同武将系数'!$C:$C,$Z17)</f>
        <v>SSR</v>
      </c>
      <c r="H17" s="20">
        <f t="shared" si="2"/>
        <v>4</v>
      </c>
      <c r="I17" s="20" t="str">
        <f>IF(LEFT(INDEX('参数页-不同武将系数'!$D:$D,$Z17),2)="输出","输出",IF(LEFT(INDEX('参数页-不同武将系数'!$D:$D,$Z17),2)="坦克","防御",IF(LEFT(INDEX('参数页-不同武将系数'!$D:$D,$Z17),2)="辅助","辅助","")))</f>
        <v>输出</v>
      </c>
      <c r="J17" s="20" t="str">
        <f t="shared" si="3"/>
        <v>DPS</v>
      </c>
      <c r="K17" s="20"/>
      <c r="L17" s="20">
        <f t="shared" si="4"/>
        <v>1</v>
      </c>
      <c r="M17" s="22">
        <f>INDEX('参数页-不同武将系数'!$AQ:$AQ,$Z17)</f>
        <v>2700</v>
      </c>
      <c r="N17" s="22">
        <f>INDEX('参数页-不同武将系数'!$AR:$AR,$Z17)</f>
        <v>255</v>
      </c>
      <c r="O17" s="22">
        <f>INDEX('参数页-不同武将系数'!$AS:$AS,$Z17)</f>
        <v>987.525</v>
      </c>
      <c r="P17" s="22">
        <f>INDEX('参数页-不同武将系数'!$AT:$AT,$Z17)</f>
        <v>93.27</v>
      </c>
      <c r="Q17" s="22">
        <f>INDEX('参数页-不同武将系数'!$AU:$AU,$Z17)</f>
        <v>987.525</v>
      </c>
      <c r="R17" s="22">
        <f>INDEX('参数页-不同武将系数'!$AV:$AV,$Z17)</f>
        <v>93.27</v>
      </c>
      <c r="S17" s="22">
        <f>INDEX('参数页-不同武将系数'!$AW:$AW,$Z17)</f>
        <v>600</v>
      </c>
      <c r="T17" s="22">
        <f>INDEX('参数页-不同武将系数'!$AX:$AX,$Z17)</f>
        <v>56.67</v>
      </c>
      <c r="U17" s="20" t="str">
        <f t="shared" si="5"/>
        <v>4510131;4510132;4510133;4510134;4510135;4510136</v>
      </c>
      <c r="V17" s="20" t="str">
        <f t="shared" si="6"/>
        <v>NormalAttackDmgBonus,0.18;NormalAttackDmgBonus,0.225;NormalAttackDmgBonus,0.27;NormalAttackDmgBonus,0.315;NormalAttackDmgBonus,0.36</v>
      </c>
      <c r="W17" s="20" t="str">
        <f t="shared" si="7"/>
        <v>UIRes/UIAtlas/Hero/HeroExclusiveWeapon/WeaponIcons/Small/Icon_ExclusiveWeapon_s_51012.png</v>
      </c>
      <c r="X17" s="20" t="b">
        <f t="shared" si="8"/>
        <v>1</v>
      </c>
      <c r="Z17" s="14">
        <f>MATCH("薇",'参数页-不同武将系数'!$B:$B,0)</f>
        <v>45</v>
      </c>
      <c r="AA17" s="14" t="str">
        <f>IF(INDEX('参数页-不同武将系数'!$AY:$AY,$Z17)="生命值百分比","生命百分比",IF(INDEX('参数页-不同武将系数'!$AY:$AY,$Z17)="防御百分比","防御力百分比",INDEX('参数页-不同武将系数'!$AY:$AY,$Z17)))</f>
        <v>普攻伤害加成</v>
      </c>
      <c r="AB17" s="14" t="str">
        <f t="shared" si="9"/>
        <v>NormalAttackDmgBonus</v>
      </c>
      <c r="AC17" s="14" t="str">
        <f t="shared" si="10"/>
        <v>percent</v>
      </c>
      <c r="AD17" s="14" t="str">
        <f t="shared" si="11"/>
        <v>普攻伤害加成</v>
      </c>
      <c r="AE17" s="15">
        <f>IF($AC17="level",ROUND(((IF($G17="SSR",专武!$H$27,IF($G17="SR",专武!$I$27,专武!$J$27)))/专武!$S$27)*VLOOKUP($AD17,专武!$R$27:$S$49,2,0),0),ROUND(((IF($G17="SSR",专武!$H$27,IF($G17="SR",专武!$I$27,专武!$J$27)))/专武!$S$27)*VLOOKUP($AD17,专武!$R$27:$S$49,2,0),4))</f>
        <v>0.18</v>
      </c>
      <c r="AF17" s="15">
        <f>IF($AC17="level",ROUND(((IF($G17="SSR",专武!$H$28,IF($G17="SR",专武!$I$28,专武!$J$28)))/专武!$S$27)*VLOOKUP($AD17,专武!$R$27:$S$49,2,0),0),ROUND(((IF($G17="SSR",专武!$H$28,IF($G17="SR",专武!$I$28,专武!$J$28)))/专武!$S$27)*VLOOKUP($AD17,专武!$R$27:$S$49,2,0),4))</f>
        <v>0.225</v>
      </c>
      <c r="AG17" s="15">
        <f>IF($AC17="level",ROUND(((IF($G17="SSR",专武!$H$29,IF($G17="SR",专武!$I$29,专武!$J$29)))/专武!$S$27)*VLOOKUP($AD17,专武!$R$27:$S$49,2,0),0),ROUND(((IF($G17="SSR",专武!$H$29,IF($G17="SR",专武!$I$29,专武!$J$29)))/专武!$S$27)*VLOOKUP($AD17,专武!$R$27:$S$49,2,0),4))</f>
        <v>0.27</v>
      </c>
      <c r="AH17" s="15">
        <f>IF($AC17="level",ROUND(((IF($G17="SSR",专武!$H$30,IF($G17="SR",专武!$I$30,专武!$J$30)))/专武!$S$27)*VLOOKUP($AD17,专武!$R$27:$S$49,2,0),0),ROUND(((IF($G17="SSR",专武!$H$30,IF($G17="SR",专武!$I$30,专武!$J$30)))/专武!$S$27)*VLOOKUP($AD17,专武!$R$27:$S$49,2,0),4))</f>
        <v>0.315</v>
      </c>
      <c r="AI17" s="15">
        <f>IF($AC17="level",ROUND(((IF($G17="SSR",专武!$H$31,IF($G17="SR",专武!$I$31,专武!$J$31)))/专武!$S$27)*VLOOKUP($AD17,专武!$R$27:$S$49,2,0),0),ROUND(((IF($G17="SSR",专武!$H$31,IF($G17="SR",专武!$I$31,专武!$J$31)))/专武!$S$27)*VLOOKUP($AD17,专武!$R$27:$S$49,2,0),4))</f>
        <v>0.36</v>
      </c>
      <c r="AJ17" s="15"/>
      <c r="AK17" s="14" t="str">
        <f t="shared" si="12"/>
        <v>NormalAttackDmgBonus,0.18;NormalAttackDmgBonus,0.225;NormalAttackDmgBonus,0.27;NormalAttackDmgBonus,0.315;NormalAttackDmgBonus,0.36</v>
      </c>
    </row>
    <row r="18" spans="2:37">
      <c r="B18" s="20">
        <f>52001</f>
        <v>52001</v>
      </c>
      <c r="C18" s="20" t="str">
        <f>INDEX('参数页-不同武将系数'!$B:$B,$Z18)</f>
        <v>延爆手环</v>
      </c>
      <c r="D18" s="20">
        <f t="shared" si="0"/>
        <v>0</v>
      </c>
      <c r="E18" s="20">
        <f t="shared" si="1"/>
        <v>0</v>
      </c>
      <c r="F18" s="20"/>
      <c r="G18" s="20" t="str">
        <f>INDEX('参数页-不同武将系数'!$C:$C,$Z18)</f>
        <v>SR</v>
      </c>
      <c r="H18" s="20">
        <f t="shared" si="2"/>
        <v>3</v>
      </c>
      <c r="I18" s="20" t="str">
        <f>IF(LEFT(INDEX('参数页-不同武将系数'!$D:$D,$Z18),2)="输出","输出",IF(LEFT(INDEX('参数页-不同武将系数'!$D:$D,$Z18),2)="坦克","防御",IF(LEFT(INDEX('参数页-不同武将系数'!$D:$D,$Z18),2)="辅助","辅助","")))</f>
        <v>输出</v>
      </c>
      <c r="J18" s="20" t="str">
        <f t="shared" si="3"/>
        <v>DPS</v>
      </c>
      <c r="K18" s="20"/>
      <c r="L18" s="20">
        <f t="shared" si="4"/>
        <v>1</v>
      </c>
      <c r="M18" s="22">
        <f>INDEX('参数页-不同武将系数'!$AQ:$AQ,$Z18)</f>
        <v>2187</v>
      </c>
      <c r="N18" s="22">
        <f>INDEX('参数页-不同武将系数'!$AR:$AR,$Z18)</f>
        <v>206.55</v>
      </c>
      <c r="O18" s="22">
        <f>INDEX('参数页-不同武将系数'!$AS:$AS,$Z18)</f>
        <v>1158.3</v>
      </c>
      <c r="P18" s="22">
        <f>INDEX('参数页-不同武将系数'!$AT:$AT,$Z18)</f>
        <v>109.4</v>
      </c>
      <c r="Q18" s="22">
        <f>INDEX('参数页-不同武将系数'!$AU:$AU,$Z18)</f>
        <v>712.8</v>
      </c>
      <c r="R18" s="22">
        <f>INDEX('参数页-不同武将系数'!$AV:$AV,$Z18)</f>
        <v>67.32</v>
      </c>
      <c r="S18" s="22">
        <f>INDEX('参数页-不同武将系数'!$AW:$AW,$Z18)</f>
        <v>540</v>
      </c>
      <c r="T18" s="22">
        <f>INDEX('参数页-不同武将系数'!$AX:$AX,$Z18)</f>
        <v>51</v>
      </c>
      <c r="U18" s="20" t="str">
        <f t="shared" si="5"/>
        <v>4520011;4520012;4520013;4520014;4520015;4520016</v>
      </c>
      <c r="V18" s="20" t="str">
        <f t="shared" si="6"/>
        <v>CritLevel,1350;CritLevel,1710;CritLevel,2070;CritLevel,2340;CritLevel,2700</v>
      </c>
      <c r="W18" s="20" t="str">
        <f t="shared" ref="W18:W43" si="13">IF(G18="SR","UIRes/UIAtlas/Hero/HeroExclusiveWeapon/Temp/Icon_ExclusiveWeapon_002.png",IF(G18="R","UIRes/UIAtlas/Hero/HeroExclusiveWeapon/Temp/Icon_ExclusiveWeapon_003.png",""))</f>
        <v>UIRes/UIAtlas/Hero/HeroExclusiveWeapon/Temp/Icon_ExclusiveWeapon_002.png</v>
      </c>
      <c r="X18" s="20" t="b">
        <f t="shared" si="8"/>
        <v>1</v>
      </c>
      <c r="Z18" s="14">
        <f>MATCH("延爆手环",'参数页-不同武将系数'!$B:$B,0)</f>
        <v>68</v>
      </c>
      <c r="AA18" s="14" t="str">
        <f>IF(INDEX('参数页-不同武将系数'!$AY:$AY,$Z18)="生命值百分比","生命百分比",IF(INDEX('参数页-不同武将系数'!$AY:$AY,$Z18)="防御百分比","防御力百分比",INDEX('参数页-不同武将系数'!$AY:$AY,$Z18)))</f>
        <v>暴击等级</v>
      </c>
      <c r="AB18" s="14" t="str">
        <f t="shared" si="9"/>
        <v>CritLevel</v>
      </c>
      <c r="AC18" s="14" t="str">
        <f t="shared" si="10"/>
        <v>level</v>
      </c>
      <c r="AD18" s="14" t="str">
        <f t="shared" si="11"/>
        <v>暴击等级</v>
      </c>
      <c r="AE18" s="15">
        <f>IF($AC18="level",ROUND(((IF($G18="SSR",专武!$H$27,IF($G18="SR",专武!$I$27,专武!$J$27)))/专武!$S$27)*VLOOKUP($AD18,专武!$R$27:$S$49,2,0),0),ROUND(((IF($G18="SSR",专武!$H$27,IF($G18="SR",专武!$I$27,专武!$J$27)))/专武!$S$27)*VLOOKUP($AD18,专武!$R$27:$S$49,2,0),4))</f>
        <v>1350</v>
      </c>
      <c r="AF18" s="15">
        <f>IF($AC18="level",ROUND(((IF($G18="SSR",专武!$H$28,IF($G18="SR",专武!$I$28,专武!$J$28)))/专武!$S$27)*VLOOKUP($AD18,专武!$R$27:$S$49,2,0),0),ROUND(((IF($G18="SSR",专武!$H$28,IF($G18="SR",专武!$I$28,专武!$J$28)))/专武!$S$27)*VLOOKUP($AD18,专武!$R$27:$S$49,2,0),4))</f>
        <v>1710</v>
      </c>
      <c r="AG18" s="15">
        <f>IF($AC18="level",ROUND(((IF($G18="SSR",专武!$H$29,IF($G18="SR",专武!$I$29,专武!$J$29)))/专武!$S$27)*VLOOKUP($AD18,专武!$R$27:$S$49,2,0),0),ROUND(((IF($G18="SSR",专武!$H$29,IF($G18="SR",专武!$I$29,专武!$J$29)))/专武!$S$27)*VLOOKUP($AD18,专武!$R$27:$S$49,2,0),4))</f>
        <v>2070</v>
      </c>
      <c r="AH18" s="15">
        <f>IF($AC18="level",ROUND(((IF($G18="SSR",专武!$H$30,IF($G18="SR",专武!$I$30,专武!$J$30)))/专武!$S$27)*VLOOKUP($AD18,专武!$R$27:$S$49,2,0),0),ROUND(((IF($G18="SSR",专武!$H$30,IF($G18="SR",专武!$I$30,专武!$J$30)))/专武!$S$27)*VLOOKUP($AD18,专武!$R$27:$S$49,2,0),4))</f>
        <v>2340</v>
      </c>
      <c r="AI18" s="15">
        <f>IF($AC18="level",ROUND(((IF($G18="SSR",专武!$H$31,IF($G18="SR",专武!$I$31,专武!$J$31)))/专武!$S$27)*VLOOKUP($AD18,专武!$R$27:$S$49,2,0),0),ROUND(((IF($G18="SSR",专武!$H$31,IF($G18="SR",专武!$I$31,专武!$J$31)))/专武!$S$27)*VLOOKUP($AD18,专武!$R$27:$S$49,2,0),4))</f>
        <v>2700</v>
      </c>
      <c r="AJ18" s="15"/>
      <c r="AK18" s="14" t="str">
        <f t="shared" si="12"/>
        <v>CritLevel,1350;CritLevel,1710;CritLevel,2070;CritLevel,2340;CritLevel,2700</v>
      </c>
    </row>
    <row r="19" spans="2:37">
      <c r="B19" s="20">
        <f>52002</f>
        <v>52002</v>
      </c>
      <c r="C19" s="20" t="str">
        <f>INDEX('参数页-不同武将系数'!$B:$B,$Z19)</f>
        <v>紊乱透镜</v>
      </c>
      <c r="D19" s="20">
        <f t="shared" si="0"/>
        <v>0</v>
      </c>
      <c r="E19" s="20">
        <f t="shared" si="1"/>
        <v>0</v>
      </c>
      <c r="F19" s="20"/>
      <c r="G19" s="20" t="str">
        <f>INDEX('参数页-不同武将系数'!$C:$C,$Z19)</f>
        <v>SR</v>
      </c>
      <c r="H19" s="20">
        <f t="shared" si="2"/>
        <v>3</v>
      </c>
      <c r="I19" s="20" t="str">
        <f>IF(LEFT(INDEX('参数页-不同武将系数'!$D:$D,$Z19),2)="输出","输出",IF(LEFT(INDEX('参数页-不同武将系数'!$D:$D,$Z19),2)="坦克","防御",IF(LEFT(INDEX('参数页-不同武将系数'!$D:$D,$Z19),2)="辅助","辅助","")))</f>
        <v>输出</v>
      </c>
      <c r="J19" s="20" t="str">
        <f t="shared" si="3"/>
        <v>DPS</v>
      </c>
      <c r="K19" s="20"/>
      <c r="L19" s="20">
        <f t="shared" si="4"/>
        <v>1</v>
      </c>
      <c r="M19" s="22">
        <f>INDEX('参数页-不同武将系数'!$AQ:$AQ,$Z19)</f>
        <v>1944</v>
      </c>
      <c r="N19" s="22">
        <f>INDEX('参数页-不同武将系数'!$AR:$AR,$Z19)</f>
        <v>183.6</v>
      </c>
      <c r="O19" s="22">
        <f>INDEX('参数页-不同武将系数'!$AS:$AS,$Z19)</f>
        <v>777.6</v>
      </c>
      <c r="P19" s="22">
        <f>INDEX('参数页-不同武将系数'!$AT:$AT,$Z19)</f>
        <v>73.44</v>
      </c>
      <c r="Q19" s="22">
        <f>INDEX('参数页-不同武将系数'!$AU:$AU,$Z19)</f>
        <v>1263.6</v>
      </c>
      <c r="R19" s="22">
        <f>INDEX('参数页-不同武将系数'!$AV:$AV,$Z19)</f>
        <v>119.34</v>
      </c>
      <c r="S19" s="22">
        <f>INDEX('参数页-不同武将系数'!$AW:$AW,$Z19)</f>
        <v>540</v>
      </c>
      <c r="T19" s="22">
        <f>INDEX('参数页-不同武将系数'!$AX:$AX,$Z19)</f>
        <v>51</v>
      </c>
      <c r="U19" s="20" t="str">
        <f t="shared" si="5"/>
        <v>4520021;4520022;4520023;4520024;4520025;4520026</v>
      </c>
      <c r="V19" s="20" t="str">
        <f t="shared" si="6"/>
        <v>SkillDmgBonus,0.18;SkillDmgBonus,0.228;SkillDmgBonus,0.276;SkillDmgBonus,0.312;SkillDmgBonus,0.36</v>
      </c>
      <c r="W19" s="20" t="str">
        <f t="shared" si="13"/>
        <v>UIRes/UIAtlas/Hero/HeroExclusiveWeapon/Temp/Icon_ExclusiveWeapon_002.png</v>
      </c>
      <c r="X19" s="20" t="b">
        <f t="shared" si="8"/>
        <v>1</v>
      </c>
      <c r="Z19" s="14">
        <f>MATCH("紊乱透镜",'参数页-不同武将系数'!$B:$B,0)</f>
        <v>69</v>
      </c>
      <c r="AA19" s="14" t="str">
        <f>IF(INDEX('参数页-不同武将系数'!$AY:$AY,$Z19)="生命值百分比","生命百分比",IF(INDEX('参数页-不同武将系数'!$AY:$AY,$Z19)="防御百分比","防御力百分比",INDEX('参数页-不同武将系数'!$AY:$AY,$Z19)))</f>
        <v>技能伤害加成</v>
      </c>
      <c r="AB19" s="14" t="str">
        <f t="shared" si="9"/>
        <v>SkillDmgBonus</v>
      </c>
      <c r="AC19" s="14" t="str">
        <f t="shared" si="10"/>
        <v>percent</v>
      </c>
      <c r="AD19" s="14" t="str">
        <f t="shared" si="11"/>
        <v>技能伤害加成</v>
      </c>
      <c r="AE19" s="15">
        <f>IF($AC19="level",ROUND(((IF($G19="SSR",专武!$H$27,IF($G19="SR",专武!$I$27,专武!$J$27)))/专武!$S$27)*VLOOKUP($AD19,专武!$R$27:$S$49,2,0),0),ROUND(((IF($G19="SSR",专武!$H$27,IF($G19="SR",专武!$I$27,专武!$J$27)))/专武!$S$27)*VLOOKUP($AD19,专武!$R$27:$S$49,2,0),4))</f>
        <v>0.18</v>
      </c>
      <c r="AF19" s="15">
        <f>IF($AC19="level",ROUND(((IF($G19="SSR",专武!$H$28,IF($G19="SR",专武!$I$28,专武!$J$28)))/专武!$S$27)*VLOOKUP($AD19,专武!$R$27:$S$49,2,0),0),ROUND(((IF($G19="SSR",专武!$H$28,IF($G19="SR",专武!$I$28,专武!$J$28)))/专武!$S$27)*VLOOKUP($AD19,专武!$R$27:$S$49,2,0),4))</f>
        <v>0.228</v>
      </c>
      <c r="AG19" s="15">
        <f>IF($AC19="level",ROUND(((IF($G19="SSR",专武!$H$29,IF($G19="SR",专武!$I$29,专武!$J$29)))/专武!$S$27)*VLOOKUP($AD19,专武!$R$27:$S$49,2,0),0),ROUND(((IF($G19="SSR",专武!$H$29,IF($G19="SR",专武!$I$29,专武!$J$29)))/专武!$S$27)*VLOOKUP($AD19,专武!$R$27:$S$49,2,0),4))</f>
        <v>0.276</v>
      </c>
      <c r="AH19" s="15">
        <f>IF($AC19="level",ROUND(((IF($G19="SSR",专武!$H$30,IF($G19="SR",专武!$I$30,专武!$J$30)))/专武!$S$27)*VLOOKUP($AD19,专武!$R$27:$S$49,2,0),0),ROUND(((IF($G19="SSR",专武!$H$30,IF($G19="SR",专武!$I$30,专武!$J$30)))/专武!$S$27)*VLOOKUP($AD19,专武!$R$27:$S$49,2,0),4))</f>
        <v>0.312</v>
      </c>
      <c r="AI19" s="15">
        <f>IF($AC19="level",ROUND(((IF($G19="SSR",专武!$H$31,IF($G19="SR",专武!$I$31,专武!$J$31)))/专武!$S$27)*VLOOKUP($AD19,专武!$R$27:$S$49,2,0),0),ROUND(((IF($G19="SSR",专武!$H$31,IF($G19="SR",专武!$I$31,专武!$J$31)))/专武!$S$27)*VLOOKUP($AD19,专武!$R$27:$S$49,2,0),4))</f>
        <v>0.36</v>
      </c>
      <c r="AJ19" s="15"/>
      <c r="AK19" s="14" t="str">
        <f t="shared" si="12"/>
        <v>SkillDmgBonus,0.18;SkillDmgBonus,0.228;SkillDmgBonus,0.276;SkillDmgBonus,0.312;SkillDmgBonus,0.36</v>
      </c>
    </row>
    <row r="20" spans="2:37">
      <c r="B20" s="20">
        <f>52003</f>
        <v>52003</v>
      </c>
      <c r="C20" s="20" t="str">
        <f>INDEX('参数页-不同武将系数'!$B:$B,$Z20)</f>
        <v>幸运故障环</v>
      </c>
      <c r="D20" s="20">
        <f t="shared" si="0"/>
        <v>0</v>
      </c>
      <c r="E20" s="20">
        <f t="shared" si="1"/>
        <v>0</v>
      </c>
      <c r="F20" s="20"/>
      <c r="G20" s="20" t="str">
        <f>INDEX('参数页-不同武将系数'!$C:$C,$Z20)</f>
        <v>SR</v>
      </c>
      <c r="H20" s="20">
        <f t="shared" si="2"/>
        <v>3</v>
      </c>
      <c r="I20" s="20" t="str">
        <f>IF(LEFT(INDEX('参数页-不同武将系数'!$D:$D,$Z20),2)="输出","输出",IF(LEFT(INDEX('参数页-不同武将系数'!$D:$D,$Z20),2)="坦克","防御",IF(LEFT(INDEX('参数页-不同武将系数'!$D:$D,$Z20),2)="辅助","辅助","")))</f>
        <v>防御</v>
      </c>
      <c r="J20" s="20" t="str">
        <f t="shared" si="3"/>
        <v>Tank</v>
      </c>
      <c r="K20" s="20"/>
      <c r="L20" s="20">
        <f t="shared" si="4"/>
        <v>1</v>
      </c>
      <c r="M20" s="22">
        <f>INDEX('参数页-不同武将系数'!$AQ:$AQ,$Z20)</f>
        <v>3888</v>
      </c>
      <c r="N20" s="22">
        <f>INDEX('参数页-不同武将系数'!$AR:$AR,$Z20)</f>
        <v>367.2</v>
      </c>
      <c r="O20" s="22">
        <f>INDEX('参数页-不同武将系数'!$AS:$AS,$Z20)</f>
        <v>364.5</v>
      </c>
      <c r="P20" s="22">
        <f>INDEX('参数页-不同武将系数'!$AT:$AT,$Z20)</f>
        <v>34.43</v>
      </c>
      <c r="Q20" s="22">
        <f>INDEX('参数页-不同武将系数'!$AU:$AU,$Z20)</f>
        <v>364.5</v>
      </c>
      <c r="R20" s="22">
        <f>INDEX('参数页-不同武将系数'!$AV:$AV,$Z20)</f>
        <v>34.43</v>
      </c>
      <c r="S20" s="22">
        <f>INDEX('参数页-不同武将系数'!$AW:$AW,$Z20)</f>
        <v>842.4</v>
      </c>
      <c r="T20" s="22">
        <f>INDEX('参数页-不同武将系数'!$AX:$AX,$Z20)</f>
        <v>79.56</v>
      </c>
      <c r="U20" s="20" t="str">
        <f t="shared" si="5"/>
        <v>4520031;4520032;4520033;4520034;4520035;4520036</v>
      </c>
      <c r="V20" s="20" t="str">
        <f t="shared" si="6"/>
        <v>ArmorBonus,0.15;ArmorBonus,0.19;ArmorBonus,0.23;ArmorBonus,0.26;ArmorBonus,0.3</v>
      </c>
      <c r="W20" s="20" t="str">
        <f t="shared" si="13"/>
        <v>UIRes/UIAtlas/Hero/HeroExclusiveWeapon/Temp/Icon_ExclusiveWeapon_002.png</v>
      </c>
      <c r="X20" s="20" t="b">
        <f t="shared" si="8"/>
        <v>1</v>
      </c>
      <c r="Z20" s="14">
        <f>MATCH("幸运故障环",'参数页-不同武将系数'!$B:$B,0)</f>
        <v>70</v>
      </c>
      <c r="AA20" s="14" t="str">
        <f>IF(INDEX('参数页-不同武将系数'!$AY:$AY,$Z20)="生命值百分比","生命百分比",IF(INDEX('参数页-不同武将系数'!$AY:$AY,$Z20)="防御百分比","防御力百分比",INDEX('参数页-不同武将系数'!$AY:$AY,$Z20)))</f>
        <v>防御力百分比</v>
      </c>
      <c r="AB20" s="14" t="str">
        <f t="shared" si="9"/>
        <v>ArmorBonus</v>
      </c>
      <c r="AC20" s="14" t="str">
        <f t="shared" si="10"/>
        <v>percent</v>
      </c>
      <c r="AD20" s="14" t="str">
        <f t="shared" si="11"/>
        <v>防御百分比</v>
      </c>
      <c r="AE20" s="15">
        <f>IF($AC20="level",ROUND(((IF($G20="SSR",专武!$H$27,IF($G20="SR",专武!$I$27,专武!$J$27)))/专武!$S$27)*VLOOKUP($AD20,专武!$R$27:$S$49,2,0),0),ROUND(((IF($G20="SSR",专武!$H$27,IF($G20="SR",专武!$I$27,专武!$J$27)))/专武!$S$27)*VLOOKUP($AD20,专武!$R$27:$S$49,2,0),4))</f>
        <v>0.15</v>
      </c>
      <c r="AF20" s="15">
        <f>IF($AC20="level",ROUND(((IF($G20="SSR",专武!$H$28,IF($G20="SR",专武!$I$28,专武!$J$28)))/专武!$S$27)*VLOOKUP($AD20,专武!$R$27:$S$49,2,0),0),ROUND(((IF($G20="SSR",专武!$H$28,IF($G20="SR",专武!$I$28,专武!$J$28)))/专武!$S$27)*VLOOKUP($AD20,专武!$R$27:$S$49,2,0),4))</f>
        <v>0.19</v>
      </c>
      <c r="AG20" s="15">
        <f>IF($AC20="level",ROUND(((IF($G20="SSR",专武!$H$29,IF($G20="SR",专武!$I$29,专武!$J$29)))/专武!$S$27)*VLOOKUP($AD20,专武!$R$27:$S$49,2,0),0),ROUND(((IF($G20="SSR",专武!$H$29,IF($G20="SR",专武!$I$29,专武!$J$29)))/专武!$S$27)*VLOOKUP($AD20,专武!$R$27:$S$49,2,0),4))</f>
        <v>0.23</v>
      </c>
      <c r="AH20" s="15">
        <f>IF($AC20="level",ROUND(((IF($G20="SSR",专武!$H$30,IF($G20="SR",专武!$I$30,专武!$J$30)))/专武!$S$27)*VLOOKUP($AD20,专武!$R$27:$S$49,2,0),0),ROUND(((IF($G20="SSR",专武!$H$30,IF($G20="SR",专武!$I$30,专武!$J$30)))/专武!$S$27)*VLOOKUP($AD20,专武!$R$27:$S$49,2,0),4))</f>
        <v>0.26</v>
      </c>
      <c r="AI20" s="15">
        <f>IF($AC20="level",ROUND(((IF($G20="SSR",专武!$H$31,IF($G20="SR",专武!$I$31,专武!$J$31)))/专武!$S$27)*VLOOKUP($AD20,专武!$R$27:$S$49,2,0),0),ROUND(((IF($G20="SSR",专武!$H$31,IF($G20="SR",专武!$I$31,专武!$J$31)))/专武!$S$27)*VLOOKUP($AD20,专武!$R$27:$S$49,2,0),4))</f>
        <v>0.3</v>
      </c>
      <c r="AJ20" s="15"/>
      <c r="AK20" s="14" t="str">
        <f t="shared" si="12"/>
        <v>ArmorBonus,0.15;ArmorBonus,0.19;ArmorBonus,0.23;ArmorBonus,0.26;ArmorBonus,0.3</v>
      </c>
    </row>
    <row r="21" spans="2:37">
      <c r="B21" s="20">
        <f>52004</f>
        <v>52004</v>
      </c>
      <c r="C21" s="20" t="str">
        <f>INDEX('参数页-不同武将系数'!$B:$B,$Z21)</f>
        <v>链式反应器</v>
      </c>
      <c r="D21" s="20">
        <f t="shared" si="0"/>
        <v>0</v>
      </c>
      <c r="E21" s="20">
        <f t="shared" si="1"/>
        <v>0</v>
      </c>
      <c r="F21" s="20"/>
      <c r="G21" s="20" t="str">
        <f>INDEX('参数页-不同武将系数'!$C:$C,$Z21)</f>
        <v>SR</v>
      </c>
      <c r="H21" s="20">
        <f t="shared" si="2"/>
        <v>3</v>
      </c>
      <c r="I21" s="20" t="str">
        <f>IF(LEFT(INDEX('参数页-不同武将系数'!$D:$D,$Z21),2)="输出","输出",IF(LEFT(INDEX('参数页-不同武将系数'!$D:$D,$Z21),2)="坦克","防御",IF(LEFT(INDEX('参数页-不同武将系数'!$D:$D,$Z21),2)="辅助","辅助","")))</f>
        <v>辅助</v>
      </c>
      <c r="J21" s="20" t="str">
        <f t="shared" si="3"/>
        <v>Support</v>
      </c>
      <c r="K21" s="20"/>
      <c r="L21" s="20">
        <f t="shared" si="4"/>
        <v>1</v>
      </c>
      <c r="M21" s="22">
        <f>INDEX('参数页-不同武将系数'!$AQ:$AQ,$Z21)</f>
        <v>2700</v>
      </c>
      <c r="N21" s="22">
        <f>INDEX('参数页-不同武将系数'!$AR:$AR,$Z21)</f>
        <v>255</v>
      </c>
      <c r="O21" s="22">
        <f>INDEX('参数页-不同武将系数'!$AS:$AS,$Z21)</f>
        <v>765.45</v>
      </c>
      <c r="P21" s="22">
        <f>INDEX('参数页-不同武将系数'!$AT:$AT,$Z21)</f>
        <v>72.29</v>
      </c>
      <c r="Q21" s="22">
        <f>INDEX('参数页-不同武将系数'!$AU:$AU,$Z21)</f>
        <v>765.45</v>
      </c>
      <c r="R21" s="22">
        <f>INDEX('参数页-不同武将系数'!$AV:$AV,$Z21)</f>
        <v>72.29</v>
      </c>
      <c r="S21" s="22">
        <f>INDEX('参数页-不同武将系数'!$AW:$AW,$Z21)</f>
        <v>534.6</v>
      </c>
      <c r="T21" s="22">
        <f>INDEX('参数页-不同武将系数'!$AX:$AX,$Z21)</f>
        <v>50.49</v>
      </c>
      <c r="U21" s="20" t="str">
        <f t="shared" si="5"/>
        <v>4520041;4520042;4520043;4520044;4520045;4520046</v>
      </c>
      <c r="V21" s="20" t="str">
        <f t="shared" si="6"/>
        <v>EnergyPreAddBonusLevel,1350;EnergyPreAddBonusLevel,1710;EnergyPreAddBonusLevel,2070;EnergyPreAddBonusLevel,2340;EnergyPreAddBonusLevel,2700</v>
      </c>
      <c r="W21" s="20" t="str">
        <f t="shared" si="13"/>
        <v>UIRes/UIAtlas/Hero/HeroExclusiveWeapon/Temp/Icon_ExclusiveWeapon_002.png</v>
      </c>
      <c r="X21" s="20" t="b">
        <f t="shared" si="8"/>
        <v>1</v>
      </c>
      <c r="Z21" s="14">
        <f>MATCH("链式反应器",'参数页-不同武将系数'!$B:$B,0)</f>
        <v>71</v>
      </c>
      <c r="AA21" s="14" t="str">
        <f>IF(INDEX('参数页-不同武将系数'!$AY:$AY,$Z21)="生命值百分比","生命百分比",IF(INDEX('参数页-不同武将系数'!$AY:$AY,$Z21)="防御百分比","防御力百分比",INDEX('参数页-不同武将系数'!$AY:$AY,$Z21)))</f>
        <v>能量回复等级</v>
      </c>
      <c r="AB21" s="14" t="str">
        <f t="shared" si="9"/>
        <v>EnergyPreAddBonusLevel</v>
      </c>
      <c r="AC21" s="14" t="str">
        <f t="shared" si="10"/>
        <v>level</v>
      </c>
      <c r="AD21" s="14" t="str">
        <f t="shared" si="11"/>
        <v>能量回复等级</v>
      </c>
      <c r="AE21" s="15">
        <f>IF($AC21="level",ROUND(((IF($G21="SSR",专武!$H$27,IF($G21="SR",专武!$I$27,专武!$J$27)))/专武!$S$27)*VLOOKUP($AD21,专武!$R$27:$S$49,2,0),0),ROUND(((IF($G21="SSR",专武!$H$27,IF($G21="SR",专武!$I$27,专武!$J$27)))/专武!$S$27)*VLOOKUP($AD21,专武!$R$27:$S$49,2,0),4))</f>
        <v>1350</v>
      </c>
      <c r="AF21" s="15">
        <f>IF($AC21="level",ROUND(((IF($G21="SSR",专武!$H$28,IF($G21="SR",专武!$I$28,专武!$J$28)))/专武!$S$27)*VLOOKUP($AD21,专武!$R$27:$S$49,2,0),0),ROUND(((IF($G21="SSR",专武!$H$28,IF($G21="SR",专武!$I$28,专武!$J$28)))/专武!$S$27)*VLOOKUP($AD21,专武!$R$27:$S$49,2,0),4))</f>
        <v>1710</v>
      </c>
      <c r="AG21" s="15">
        <f>IF($AC21="level",ROUND(((IF($G21="SSR",专武!$H$29,IF($G21="SR",专武!$I$29,专武!$J$29)))/专武!$S$27)*VLOOKUP($AD21,专武!$R$27:$S$49,2,0),0),ROUND(((IF($G21="SSR",专武!$H$29,IF($G21="SR",专武!$I$29,专武!$J$29)))/专武!$S$27)*VLOOKUP($AD21,专武!$R$27:$S$49,2,0),4))</f>
        <v>2070</v>
      </c>
      <c r="AH21" s="15">
        <f>IF($AC21="level",ROUND(((IF($G21="SSR",专武!$H$30,IF($G21="SR",专武!$I$30,专武!$J$30)))/专武!$S$27)*VLOOKUP($AD21,专武!$R$27:$S$49,2,0),0),ROUND(((IF($G21="SSR",专武!$H$30,IF($G21="SR",专武!$I$30,专武!$J$30)))/专武!$S$27)*VLOOKUP($AD21,专武!$R$27:$S$49,2,0),4))</f>
        <v>2340</v>
      </c>
      <c r="AI21" s="15">
        <f>IF($AC21="level",ROUND(((IF($G21="SSR",专武!$H$31,IF($G21="SR",专武!$I$31,专武!$J$31)))/专武!$S$27)*VLOOKUP($AD21,专武!$R$27:$S$49,2,0),0),ROUND(((IF($G21="SSR",专武!$H$31,IF($G21="SR",专武!$I$31,专武!$J$31)))/专武!$S$27)*VLOOKUP($AD21,专武!$R$27:$S$49,2,0),4))</f>
        <v>2700</v>
      </c>
      <c r="AJ21" s="15"/>
      <c r="AK21" s="14" t="str">
        <f t="shared" si="12"/>
        <v>EnergyPreAddBonusLevel,1350;EnergyPreAddBonusLevel,1710;EnergyPreAddBonusLevel,2070;EnergyPreAddBonusLevel,2340;EnergyPreAddBonusLevel,2700</v>
      </c>
    </row>
    <row r="22" spans="2:37">
      <c r="B22" s="20">
        <f>52005</f>
        <v>52005</v>
      </c>
      <c r="C22" s="20" t="str">
        <f>INDEX('参数页-不同武将系数'!$B:$B,$Z22)</f>
        <v>狂欢之杯</v>
      </c>
      <c r="D22" s="20">
        <f t="shared" si="0"/>
        <v>0</v>
      </c>
      <c r="E22" s="20">
        <f t="shared" si="1"/>
        <v>0</v>
      </c>
      <c r="F22" s="20"/>
      <c r="G22" s="20" t="str">
        <f>INDEX('参数页-不同武将系数'!$C:$C,$Z22)</f>
        <v>SR</v>
      </c>
      <c r="H22" s="20">
        <f t="shared" si="2"/>
        <v>3</v>
      </c>
      <c r="I22" s="20" t="str">
        <f>IF(LEFT(INDEX('参数页-不同武将系数'!$D:$D,$Z22),2)="输出","输出",IF(LEFT(INDEX('参数页-不同武将系数'!$D:$D,$Z22),2)="坦克","防御",IF(LEFT(INDEX('参数页-不同武将系数'!$D:$D,$Z22),2)="辅助","辅助","")))</f>
        <v>辅助</v>
      </c>
      <c r="J22" s="20" t="str">
        <f t="shared" si="3"/>
        <v>Support</v>
      </c>
      <c r="K22" s="20"/>
      <c r="L22" s="20">
        <f t="shared" si="4"/>
        <v>1</v>
      </c>
      <c r="M22" s="22">
        <f>INDEX('参数页-不同武将系数'!$AQ:$AQ,$Z22)</f>
        <v>2700</v>
      </c>
      <c r="N22" s="22">
        <f>INDEX('参数页-不同武将系数'!$AR:$AR,$Z22)</f>
        <v>255</v>
      </c>
      <c r="O22" s="22">
        <f>INDEX('参数页-不同武将系数'!$AS:$AS,$Z22)</f>
        <v>838.35</v>
      </c>
      <c r="P22" s="22">
        <f>INDEX('参数页-不同武将系数'!$AT:$AT,$Z22)</f>
        <v>79.18</v>
      </c>
      <c r="Q22" s="22">
        <f>INDEX('参数页-不同武将系数'!$AU:$AU,$Z22)</f>
        <v>583.2</v>
      </c>
      <c r="R22" s="22">
        <f>INDEX('参数页-不同武将系数'!$AV:$AV,$Z22)</f>
        <v>55.08</v>
      </c>
      <c r="S22" s="22">
        <f>INDEX('参数页-不同武将系数'!$AW:$AW,$Z22)</f>
        <v>623.7</v>
      </c>
      <c r="T22" s="22">
        <f>INDEX('参数页-不同武将系数'!$AX:$AX,$Z22)</f>
        <v>58.91</v>
      </c>
      <c r="U22" s="20" t="str">
        <f t="shared" si="5"/>
        <v>4520051;4520052;4520053;4520054;4520055;4520056</v>
      </c>
      <c r="V22" s="20" t="str">
        <f t="shared" si="6"/>
        <v>PhysicsAttackBonus,0.15;PhysicsAttackBonus,0.19;PhysicsAttackBonus,0.23;PhysicsAttackBonus,0.26;PhysicsAttackBonus,0.3</v>
      </c>
      <c r="W22" s="20" t="str">
        <f t="shared" si="13"/>
        <v>UIRes/UIAtlas/Hero/HeroExclusiveWeapon/Temp/Icon_ExclusiveWeapon_002.png</v>
      </c>
      <c r="X22" s="20" t="b">
        <f t="shared" si="8"/>
        <v>1</v>
      </c>
      <c r="Z22" s="14">
        <f>MATCH("狂欢之杯",'参数页-不同武将系数'!$B:$B,0)</f>
        <v>72</v>
      </c>
      <c r="AA22" s="14" t="str">
        <f>IF(INDEX('参数页-不同武将系数'!$AY:$AY,$Z22)="生命值百分比","生命百分比",IF(INDEX('参数页-不同武将系数'!$AY:$AY,$Z22)="防御百分比","防御力百分比",INDEX('参数页-不同武将系数'!$AY:$AY,$Z22)))</f>
        <v>攻击百分比</v>
      </c>
      <c r="AB22" s="14" t="str">
        <f t="shared" si="9"/>
        <v>PhysicsAttackBonus</v>
      </c>
      <c r="AC22" s="14" t="str">
        <f t="shared" si="10"/>
        <v>percent</v>
      </c>
      <c r="AD22" s="14" t="str">
        <f t="shared" si="11"/>
        <v>攻击百分比</v>
      </c>
      <c r="AE22" s="15">
        <f>IF($AC22="level",ROUND(((IF($G22="SSR",专武!$H$27,IF($G22="SR",专武!$I$27,专武!$J$27)))/专武!$S$27)*VLOOKUP($AD22,专武!$R$27:$S$49,2,0),0),ROUND(((IF($G22="SSR",专武!$H$27,IF($G22="SR",专武!$I$27,专武!$J$27)))/专武!$S$27)*VLOOKUP($AD22,专武!$R$27:$S$49,2,0),4))</f>
        <v>0.15</v>
      </c>
      <c r="AF22" s="15">
        <f>IF($AC22="level",ROUND(((IF($G22="SSR",专武!$H$28,IF($G22="SR",专武!$I$28,专武!$J$28)))/专武!$S$27)*VLOOKUP($AD22,专武!$R$27:$S$49,2,0),0),ROUND(((IF($G22="SSR",专武!$H$28,IF($G22="SR",专武!$I$28,专武!$J$28)))/专武!$S$27)*VLOOKUP($AD22,专武!$R$27:$S$49,2,0),4))</f>
        <v>0.19</v>
      </c>
      <c r="AG22" s="15">
        <f>IF($AC22="level",ROUND(((IF($G22="SSR",专武!$H$29,IF($G22="SR",专武!$I$29,专武!$J$29)))/专武!$S$27)*VLOOKUP($AD22,专武!$R$27:$S$49,2,0),0),ROUND(((IF($G22="SSR",专武!$H$29,IF($G22="SR",专武!$I$29,专武!$J$29)))/专武!$S$27)*VLOOKUP($AD22,专武!$R$27:$S$49,2,0),4))</f>
        <v>0.23</v>
      </c>
      <c r="AH22" s="15">
        <f>IF($AC22="level",ROUND(((IF($G22="SSR",专武!$H$30,IF($G22="SR",专武!$I$30,专武!$J$30)))/专武!$S$27)*VLOOKUP($AD22,专武!$R$27:$S$49,2,0),0),ROUND(((IF($G22="SSR",专武!$H$30,IF($G22="SR",专武!$I$30,专武!$J$30)))/专武!$S$27)*VLOOKUP($AD22,专武!$R$27:$S$49,2,0),4))</f>
        <v>0.26</v>
      </c>
      <c r="AI22" s="15">
        <f>IF($AC22="level",ROUND(((IF($G22="SSR",专武!$H$31,IF($G22="SR",专武!$I$31,专武!$J$31)))/专武!$S$27)*VLOOKUP($AD22,专武!$R$27:$S$49,2,0),0),ROUND(((IF($G22="SSR",专武!$H$31,IF($G22="SR",专武!$I$31,专武!$J$31)))/专武!$S$27)*VLOOKUP($AD22,专武!$R$27:$S$49,2,0),4))</f>
        <v>0.3</v>
      </c>
      <c r="AJ22" s="15"/>
      <c r="AK22" s="14" t="str">
        <f t="shared" si="12"/>
        <v>PhysicsAttackBonus,0.15;PhysicsAttackBonus,0.19;PhysicsAttackBonus,0.23;PhysicsAttackBonus,0.26;PhysicsAttackBonus,0.3</v>
      </c>
    </row>
    <row r="23" spans="2:37">
      <c r="B23" s="20">
        <f>52006</f>
        <v>52006</v>
      </c>
      <c r="C23" s="20" t="str">
        <f>INDEX('参数页-不同武将系数'!$B:$B,$Z23)</f>
        <v>概率硬币</v>
      </c>
      <c r="D23" s="20">
        <f t="shared" si="0"/>
        <v>0</v>
      </c>
      <c r="E23" s="20">
        <f t="shared" si="1"/>
        <v>0</v>
      </c>
      <c r="F23" s="20"/>
      <c r="G23" s="20" t="str">
        <f>INDEX('参数页-不同武将系数'!$C:$C,$Z23)</f>
        <v>SR</v>
      </c>
      <c r="H23" s="20">
        <f t="shared" si="2"/>
        <v>3</v>
      </c>
      <c r="I23" s="20" t="str">
        <f>IF(LEFT(INDEX('参数页-不同武将系数'!$D:$D,$Z23),2)="输出","输出",IF(LEFT(INDEX('参数页-不同武将系数'!$D:$D,$Z23),2)="坦克","防御",IF(LEFT(INDEX('参数页-不同武将系数'!$D:$D,$Z23),2)="辅助","辅助","")))</f>
        <v>输出</v>
      </c>
      <c r="J23" s="20" t="str">
        <f t="shared" si="3"/>
        <v>DPS</v>
      </c>
      <c r="K23" s="20"/>
      <c r="L23" s="20">
        <f t="shared" si="4"/>
        <v>1</v>
      </c>
      <c r="M23" s="22">
        <f>INDEX('参数页-不同武将系数'!$AQ:$AQ,$Z23)</f>
        <v>2551.5</v>
      </c>
      <c r="N23" s="22">
        <f>INDEX('参数页-不同武将系数'!$AR:$AR,$Z23)</f>
        <v>240.98</v>
      </c>
      <c r="O23" s="22">
        <f>INDEX('参数页-不同武将系数'!$AS:$AS,$Z23)</f>
        <v>884.925</v>
      </c>
      <c r="P23" s="22">
        <f>INDEX('参数页-不同武将系数'!$AT:$AT,$Z23)</f>
        <v>83.58</v>
      </c>
      <c r="Q23" s="22">
        <f>INDEX('参数页-不同武将系数'!$AU:$AU,$Z23)</f>
        <v>884.925</v>
      </c>
      <c r="R23" s="22">
        <f>INDEX('参数页-不同武将系数'!$AV:$AV,$Z23)</f>
        <v>83.58</v>
      </c>
      <c r="S23" s="22">
        <f>INDEX('参数页-不同武将系数'!$AW:$AW,$Z23)</f>
        <v>432</v>
      </c>
      <c r="T23" s="22">
        <f>INDEX('参数页-不同武将系数'!$AX:$AX,$Z23)</f>
        <v>40.8</v>
      </c>
      <c r="U23" s="20" t="str">
        <f t="shared" si="5"/>
        <v>4520061;4520062;4520063;4520064;4520065;4520066</v>
      </c>
      <c r="V23" s="20" t="str">
        <f t="shared" si="6"/>
        <v>UltimateDmgBonus,0.18;UltimateDmgBonus,0.228;UltimateDmgBonus,0.276;UltimateDmgBonus,0.312;UltimateDmgBonus,0.36</v>
      </c>
      <c r="W23" s="20" t="str">
        <f t="shared" si="13"/>
        <v>UIRes/UIAtlas/Hero/HeroExclusiveWeapon/Temp/Icon_ExclusiveWeapon_002.png</v>
      </c>
      <c r="X23" s="20" t="b">
        <f t="shared" si="8"/>
        <v>1</v>
      </c>
      <c r="Z23" s="14">
        <f>MATCH("概率硬币",'参数页-不同武将系数'!$B:$B,0)</f>
        <v>73</v>
      </c>
      <c r="AA23" s="14" t="str">
        <f>IF(INDEX('参数页-不同武将系数'!$AY:$AY,$Z23)="生命值百分比","生命百分比",IF(INDEX('参数页-不同武将系数'!$AY:$AY,$Z23)="防御百分比","防御力百分比",INDEX('参数页-不同武将系数'!$AY:$AY,$Z23)))</f>
        <v>必杀伤害加成</v>
      </c>
      <c r="AB23" s="14" t="str">
        <f t="shared" si="9"/>
        <v>UltimateDmgBonus</v>
      </c>
      <c r="AC23" s="14" t="str">
        <f t="shared" si="10"/>
        <v>percent</v>
      </c>
      <c r="AD23" s="14" t="str">
        <f t="shared" si="11"/>
        <v>必杀伤害加成</v>
      </c>
      <c r="AE23" s="15">
        <f>IF($AC23="level",ROUND(((IF($G23="SSR",专武!$H$27,IF($G23="SR",专武!$I$27,专武!$J$27)))/专武!$S$27)*VLOOKUP($AD23,专武!$R$27:$S$49,2,0),0),ROUND(((IF($G23="SSR",专武!$H$27,IF($G23="SR",专武!$I$27,专武!$J$27)))/专武!$S$27)*VLOOKUP($AD23,专武!$R$27:$S$49,2,0),4))</f>
        <v>0.18</v>
      </c>
      <c r="AF23" s="15">
        <f>IF($AC23="level",ROUND(((IF($G23="SSR",专武!$H$28,IF($G23="SR",专武!$I$28,专武!$J$28)))/专武!$S$27)*VLOOKUP($AD23,专武!$R$27:$S$49,2,0),0),ROUND(((IF($G23="SSR",专武!$H$28,IF($G23="SR",专武!$I$28,专武!$J$28)))/专武!$S$27)*VLOOKUP($AD23,专武!$R$27:$S$49,2,0),4))</f>
        <v>0.228</v>
      </c>
      <c r="AG23" s="15">
        <f>IF($AC23="level",ROUND(((IF($G23="SSR",专武!$H$29,IF($G23="SR",专武!$I$29,专武!$J$29)))/专武!$S$27)*VLOOKUP($AD23,专武!$R$27:$S$49,2,0),0),ROUND(((IF($G23="SSR",专武!$H$29,IF($G23="SR",专武!$I$29,专武!$J$29)))/专武!$S$27)*VLOOKUP($AD23,专武!$R$27:$S$49,2,0),4))</f>
        <v>0.276</v>
      </c>
      <c r="AH23" s="15">
        <f>IF($AC23="level",ROUND(((IF($G23="SSR",专武!$H$30,IF($G23="SR",专武!$I$30,专武!$J$30)))/专武!$S$27)*VLOOKUP($AD23,专武!$R$27:$S$49,2,0),0),ROUND(((IF($G23="SSR",专武!$H$30,IF($G23="SR",专武!$I$30,专武!$J$30)))/专武!$S$27)*VLOOKUP($AD23,专武!$R$27:$S$49,2,0),4))</f>
        <v>0.312</v>
      </c>
      <c r="AI23" s="15">
        <f>IF($AC23="level",ROUND(((IF($G23="SSR",专武!$H$31,IF($G23="SR",专武!$I$31,专武!$J$31)))/专武!$S$27)*VLOOKUP($AD23,专武!$R$27:$S$49,2,0),0),ROUND(((IF($G23="SSR",专武!$H$31,IF($G23="SR",专武!$I$31,专武!$J$31)))/专武!$S$27)*VLOOKUP($AD23,专武!$R$27:$S$49,2,0),4))</f>
        <v>0.36</v>
      </c>
      <c r="AJ23" s="15"/>
      <c r="AK23" s="14" t="str">
        <f t="shared" si="12"/>
        <v>UltimateDmgBonus,0.18;UltimateDmgBonus,0.228;UltimateDmgBonus,0.276;UltimateDmgBonus,0.312;UltimateDmgBonus,0.36</v>
      </c>
    </row>
    <row r="24" spans="2:37">
      <c r="B24" s="20">
        <f>52007</f>
        <v>52007</v>
      </c>
      <c r="C24" s="20" t="str">
        <f>INDEX('参数页-不同武将系数'!$B:$B,$Z24)</f>
        <v>非理性徽章</v>
      </c>
      <c r="D24" s="20">
        <f t="shared" si="0"/>
        <v>0</v>
      </c>
      <c r="E24" s="20">
        <f t="shared" si="1"/>
        <v>0</v>
      </c>
      <c r="F24" s="20"/>
      <c r="G24" s="20" t="str">
        <f>INDEX('参数页-不同武将系数'!$C:$C,$Z24)</f>
        <v>SR</v>
      </c>
      <c r="H24" s="20">
        <f t="shared" si="2"/>
        <v>3</v>
      </c>
      <c r="I24" s="20" t="str">
        <f>IF(LEFT(INDEX('参数页-不同武将系数'!$D:$D,$Z24),2)="输出","输出",IF(LEFT(INDEX('参数页-不同武将系数'!$D:$D,$Z24),2)="坦克","防御",IF(LEFT(INDEX('参数页-不同武将系数'!$D:$D,$Z24),2)="辅助","辅助","")))</f>
        <v>输出</v>
      </c>
      <c r="J24" s="20" t="str">
        <f t="shared" si="3"/>
        <v>DPS</v>
      </c>
      <c r="K24" s="20"/>
      <c r="L24" s="20">
        <f t="shared" si="4"/>
        <v>1</v>
      </c>
      <c r="M24" s="22">
        <f>INDEX('参数页-不同武将系数'!$AQ:$AQ,$Z24)</f>
        <v>2308.5</v>
      </c>
      <c r="N24" s="22">
        <f>INDEX('参数页-不同武将系数'!$AR:$AR,$Z24)</f>
        <v>218.03</v>
      </c>
      <c r="O24" s="22">
        <f>INDEX('参数页-不同武将系数'!$AS:$AS,$Z24)</f>
        <v>1113.75</v>
      </c>
      <c r="P24" s="22">
        <f>INDEX('参数页-不同武将系数'!$AT:$AT,$Z24)</f>
        <v>105.19</v>
      </c>
      <c r="Q24" s="22">
        <f>INDEX('参数页-不同武将系数'!$AU:$AU,$Z24)</f>
        <v>712.8</v>
      </c>
      <c r="R24" s="22">
        <f>INDEX('参数页-不同武将系数'!$AV:$AV,$Z24)</f>
        <v>67.32</v>
      </c>
      <c r="S24" s="22">
        <f>INDEX('参数页-不同武将系数'!$AW:$AW,$Z24)</f>
        <v>540</v>
      </c>
      <c r="T24" s="22">
        <f>INDEX('参数页-不同武将系数'!$AX:$AX,$Z24)</f>
        <v>51</v>
      </c>
      <c r="U24" s="20" t="str">
        <f t="shared" si="5"/>
        <v>4520071;4520072;4520073;4520074;4520075;4520076</v>
      </c>
      <c r="V24" s="20" t="str">
        <f t="shared" si="6"/>
        <v>NormalAttackDmgBonus,0.135;NormalAttackDmgBonus,0.171;NormalAttackDmgBonus,0.207;NormalAttackDmgBonus,0.234;NormalAttackDmgBonus,0.27</v>
      </c>
      <c r="W24" s="20" t="str">
        <f t="shared" si="13"/>
        <v>UIRes/UIAtlas/Hero/HeroExclusiveWeapon/Temp/Icon_ExclusiveWeapon_002.png</v>
      </c>
      <c r="X24" s="20" t="b">
        <f t="shared" si="8"/>
        <v>1</v>
      </c>
      <c r="Z24" s="14">
        <f>MATCH("非理性徽章",'参数页-不同武将系数'!$B:$B,0)</f>
        <v>74</v>
      </c>
      <c r="AA24" s="14" t="str">
        <f>IF(INDEX('参数页-不同武将系数'!$AY:$AY,$Z24)="生命值百分比","生命百分比",IF(INDEX('参数页-不同武将系数'!$AY:$AY,$Z24)="防御百分比","防御力百分比",INDEX('参数页-不同武将系数'!$AY:$AY,$Z24)))</f>
        <v>普攻伤害加成</v>
      </c>
      <c r="AB24" s="14" t="str">
        <f t="shared" si="9"/>
        <v>NormalAttackDmgBonus</v>
      </c>
      <c r="AC24" s="14" t="str">
        <f t="shared" si="10"/>
        <v>percent</v>
      </c>
      <c r="AD24" s="14" t="str">
        <f t="shared" si="11"/>
        <v>普攻伤害加成</v>
      </c>
      <c r="AE24" s="15">
        <f>IF($AC24="level",ROUND(((IF($G24="SSR",专武!$H$27,IF($G24="SR",专武!$I$27,专武!$J$27)))/专武!$S$27)*VLOOKUP($AD24,专武!$R$27:$S$49,2,0),0),ROUND(((IF($G24="SSR",专武!$H$27,IF($G24="SR",专武!$I$27,专武!$J$27)))/专武!$S$27)*VLOOKUP($AD24,专武!$R$27:$S$49,2,0),4))</f>
        <v>0.135</v>
      </c>
      <c r="AF24" s="15">
        <f>IF($AC24="level",ROUND(((IF($G24="SSR",专武!$H$28,IF($G24="SR",专武!$I$28,专武!$J$28)))/专武!$S$27)*VLOOKUP($AD24,专武!$R$27:$S$49,2,0),0),ROUND(((IF($G24="SSR",专武!$H$28,IF($G24="SR",专武!$I$28,专武!$J$28)))/专武!$S$27)*VLOOKUP($AD24,专武!$R$27:$S$49,2,0),4))</f>
        <v>0.171</v>
      </c>
      <c r="AG24" s="15">
        <f>IF($AC24="level",ROUND(((IF($G24="SSR",专武!$H$29,IF($G24="SR",专武!$I$29,专武!$J$29)))/专武!$S$27)*VLOOKUP($AD24,专武!$R$27:$S$49,2,0),0),ROUND(((IF($G24="SSR",专武!$H$29,IF($G24="SR",专武!$I$29,专武!$J$29)))/专武!$S$27)*VLOOKUP($AD24,专武!$R$27:$S$49,2,0),4))</f>
        <v>0.207</v>
      </c>
      <c r="AH24" s="15">
        <f>IF($AC24="level",ROUND(((IF($G24="SSR",专武!$H$30,IF($G24="SR",专武!$I$30,专武!$J$30)))/专武!$S$27)*VLOOKUP($AD24,专武!$R$27:$S$49,2,0),0),ROUND(((IF($G24="SSR",专武!$H$30,IF($G24="SR",专武!$I$30,专武!$J$30)))/专武!$S$27)*VLOOKUP($AD24,专武!$R$27:$S$49,2,0),4))</f>
        <v>0.234</v>
      </c>
      <c r="AI24" s="15">
        <f>IF($AC24="level",ROUND(((IF($G24="SSR",专武!$H$31,IF($G24="SR",专武!$I$31,专武!$J$31)))/专武!$S$27)*VLOOKUP($AD24,专武!$R$27:$S$49,2,0),0),ROUND(((IF($G24="SSR",专武!$H$31,IF($G24="SR",专武!$I$31,专武!$J$31)))/专武!$S$27)*VLOOKUP($AD24,专武!$R$27:$S$49,2,0),4))</f>
        <v>0.27</v>
      </c>
      <c r="AJ24" s="15"/>
      <c r="AK24" s="14" t="str">
        <f t="shared" si="12"/>
        <v>NormalAttackDmgBonus,0.135;NormalAttackDmgBonus,0.171;NormalAttackDmgBonus,0.207;NormalAttackDmgBonus,0.234;NormalAttackDmgBonus,0.27</v>
      </c>
    </row>
    <row r="25" spans="2:37">
      <c r="B25" s="20">
        <f>52008</f>
        <v>52008</v>
      </c>
      <c r="C25" s="20" t="str">
        <f>INDEX('参数页-不同武将系数'!$B:$B,$Z25)</f>
        <v>专效适频器</v>
      </c>
      <c r="D25" s="20">
        <f t="shared" si="0"/>
        <v>0</v>
      </c>
      <c r="E25" s="20">
        <f t="shared" si="1"/>
        <v>0</v>
      </c>
      <c r="F25" s="20"/>
      <c r="G25" s="20" t="str">
        <f>INDEX('参数页-不同武将系数'!$C:$C,$Z25)</f>
        <v>SR</v>
      </c>
      <c r="H25" s="20">
        <f t="shared" si="2"/>
        <v>3</v>
      </c>
      <c r="I25" s="20" t="str">
        <f>IF(LEFT(INDEX('参数页-不同武将系数'!$D:$D,$Z25),2)="输出","输出",IF(LEFT(INDEX('参数页-不同武将系数'!$D:$D,$Z25),2)="坦克","防御",IF(LEFT(INDEX('参数页-不同武将系数'!$D:$D,$Z25),2)="辅助","辅助","")))</f>
        <v>输出</v>
      </c>
      <c r="J25" s="20" t="str">
        <f t="shared" si="3"/>
        <v>DPS</v>
      </c>
      <c r="K25" s="20"/>
      <c r="L25" s="20">
        <f t="shared" si="4"/>
        <v>1</v>
      </c>
      <c r="M25" s="22">
        <f>INDEX('参数页-不同武将系数'!$AQ:$AQ,$Z25)</f>
        <v>2187</v>
      </c>
      <c r="N25" s="22">
        <f>INDEX('参数页-不同武将系数'!$AR:$AR,$Z25)</f>
        <v>206.55</v>
      </c>
      <c r="O25" s="22">
        <f>INDEX('参数页-不同武将系数'!$AS:$AS,$Z25)</f>
        <v>1158.3</v>
      </c>
      <c r="P25" s="22">
        <f>INDEX('参数页-不同武将系数'!$AT:$AT,$Z25)</f>
        <v>109.4</v>
      </c>
      <c r="Q25" s="22">
        <f>INDEX('参数页-不同武将系数'!$AU:$AU,$Z25)</f>
        <v>712.8</v>
      </c>
      <c r="R25" s="22">
        <f>INDEX('参数页-不同武将系数'!$AV:$AV,$Z25)</f>
        <v>67.32</v>
      </c>
      <c r="S25" s="22">
        <f>INDEX('参数页-不同武将系数'!$AW:$AW,$Z25)</f>
        <v>540</v>
      </c>
      <c r="T25" s="22">
        <f>INDEX('参数页-不同武将系数'!$AX:$AX,$Z25)</f>
        <v>51</v>
      </c>
      <c r="U25" s="20" t="str">
        <f t="shared" si="5"/>
        <v>4520081;4520082;4520083;4520084;4520085;4520086</v>
      </c>
      <c r="V25" s="20" t="str">
        <f t="shared" si="6"/>
        <v>PhysicsAttackBonus,0.15;PhysicsAttackBonus,0.19;PhysicsAttackBonus,0.23;PhysicsAttackBonus,0.26;PhysicsAttackBonus,0.3</v>
      </c>
      <c r="W25" s="20" t="str">
        <f t="shared" si="13"/>
        <v>UIRes/UIAtlas/Hero/HeroExclusiveWeapon/Temp/Icon_ExclusiveWeapon_002.png</v>
      </c>
      <c r="X25" s="20" t="b">
        <f t="shared" si="8"/>
        <v>1</v>
      </c>
      <c r="Z25" s="14">
        <f>MATCH("专效适频器",'参数页-不同武将系数'!$B:$B,0)</f>
        <v>75</v>
      </c>
      <c r="AA25" s="14" t="str">
        <f>IF(INDEX('参数页-不同武将系数'!$AY:$AY,$Z25)="生命值百分比","生命百分比",IF(INDEX('参数页-不同武将系数'!$AY:$AY,$Z25)="防御百分比","防御力百分比",INDEX('参数页-不同武将系数'!$AY:$AY,$Z25)))</f>
        <v>攻击百分比</v>
      </c>
      <c r="AB25" s="14" t="str">
        <f t="shared" si="9"/>
        <v>PhysicsAttackBonus</v>
      </c>
      <c r="AC25" s="14" t="str">
        <f t="shared" si="10"/>
        <v>percent</v>
      </c>
      <c r="AD25" s="14" t="str">
        <f t="shared" si="11"/>
        <v>攻击百分比</v>
      </c>
      <c r="AE25" s="15">
        <f>IF($AC25="level",ROUND(((IF($G25="SSR",专武!$H$27,IF($G25="SR",专武!$I$27,专武!$J$27)))/专武!$S$27)*VLOOKUP($AD25,专武!$R$27:$S$49,2,0),0),ROUND(((IF($G25="SSR",专武!$H$27,IF($G25="SR",专武!$I$27,专武!$J$27)))/专武!$S$27)*VLOOKUP($AD25,专武!$R$27:$S$49,2,0),4))</f>
        <v>0.15</v>
      </c>
      <c r="AF25" s="15">
        <f>IF($AC25="level",ROUND(((IF($G25="SSR",专武!$H$28,IF($G25="SR",专武!$I$28,专武!$J$28)))/专武!$S$27)*VLOOKUP($AD25,专武!$R$27:$S$49,2,0),0),ROUND(((IF($G25="SSR",专武!$H$28,IF($G25="SR",专武!$I$28,专武!$J$28)))/专武!$S$27)*VLOOKUP($AD25,专武!$R$27:$S$49,2,0),4))</f>
        <v>0.19</v>
      </c>
      <c r="AG25" s="15">
        <f>IF($AC25="level",ROUND(((IF($G25="SSR",专武!$H$29,IF($G25="SR",专武!$I$29,专武!$J$29)))/专武!$S$27)*VLOOKUP($AD25,专武!$R$27:$S$49,2,0),0),ROUND(((IF($G25="SSR",专武!$H$29,IF($G25="SR",专武!$I$29,专武!$J$29)))/专武!$S$27)*VLOOKUP($AD25,专武!$R$27:$S$49,2,0),4))</f>
        <v>0.23</v>
      </c>
      <c r="AH25" s="15">
        <f>IF($AC25="level",ROUND(((IF($G25="SSR",专武!$H$30,IF($G25="SR",专武!$I$30,专武!$J$30)))/专武!$S$27)*VLOOKUP($AD25,专武!$R$27:$S$49,2,0),0),ROUND(((IF($G25="SSR",专武!$H$30,IF($G25="SR",专武!$I$30,专武!$J$30)))/专武!$S$27)*VLOOKUP($AD25,专武!$R$27:$S$49,2,0),4))</f>
        <v>0.26</v>
      </c>
      <c r="AI25" s="15">
        <f>IF($AC25="level",ROUND(((IF($G25="SSR",专武!$H$31,IF($G25="SR",专武!$I$31,专武!$J$31)))/专武!$S$27)*VLOOKUP($AD25,专武!$R$27:$S$49,2,0),0),ROUND(((IF($G25="SSR",专武!$H$31,IF($G25="SR",专武!$I$31,专武!$J$31)))/专武!$S$27)*VLOOKUP($AD25,专武!$R$27:$S$49,2,0),4))</f>
        <v>0.3</v>
      </c>
      <c r="AJ25" s="15"/>
      <c r="AK25" s="14" t="str">
        <f t="shared" si="12"/>
        <v>PhysicsAttackBonus,0.15;PhysicsAttackBonus,0.19;PhysicsAttackBonus,0.23;PhysicsAttackBonus,0.26;PhysicsAttackBonus,0.3</v>
      </c>
    </row>
    <row r="26" spans="2:37">
      <c r="B26" s="20">
        <f>52009</f>
        <v>52009</v>
      </c>
      <c r="C26" s="20" t="str">
        <f>INDEX('参数页-不同武将系数'!$B:$B,$Z26)</f>
        <v>应激气泡球</v>
      </c>
      <c r="D26" s="20">
        <f t="shared" si="0"/>
        <v>0</v>
      </c>
      <c r="E26" s="20">
        <f t="shared" si="1"/>
        <v>0</v>
      </c>
      <c r="F26" s="20"/>
      <c r="G26" s="20" t="str">
        <f>INDEX('参数页-不同武将系数'!$C:$C,$Z26)</f>
        <v>SR</v>
      </c>
      <c r="H26" s="20">
        <f t="shared" si="2"/>
        <v>3</v>
      </c>
      <c r="I26" s="20" t="str">
        <f>IF(LEFT(INDEX('参数页-不同武将系数'!$D:$D,$Z26),2)="输出","输出",IF(LEFT(INDEX('参数页-不同武将系数'!$D:$D,$Z26),2)="坦克","防御",IF(LEFT(INDEX('参数页-不同武将系数'!$D:$D,$Z26),2)="辅助","辅助","")))</f>
        <v>防御</v>
      </c>
      <c r="J26" s="20" t="str">
        <f t="shared" si="3"/>
        <v>Tank</v>
      </c>
      <c r="K26" s="20"/>
      <c r="L26" s="20">
        <f t="shared" si="4"/>
        <v>1</v>
      </c>
      <c r="M26" s="22">
        <f>INDEX('参数页-不同武将系数'!$AQ:$AQ,$Z26)</f>
        <v>5103</v>
      </c>
      <c r="N26" s="22">
        <f>INDEX('参数页-不同武将系数'!$AR:$AR,$Z26)</f>
        <v>481.95</v>
      </c>
      <c r="O26" s="22">
        <f>INDEX('参数页-不同武将系数'!$AS:$AS,$Z26)</f>
        <v>340.2</v>
      </c>
      <c r="P26" s="22">
        <f>INDEX('参数页-不同武将系数'!$AT:$AT,$Z26)</f>
        <v>32.13</v>
      </c>
      <c r="Q26" s="22">
        <f>INDEX('参数页-不同武将系数'!$AU:$AU,$Z26)</f>
        <v>340.2</v>
      </c>
      <c r="R26" s="22">
        <f>INDEX('参数页-不同武将系数'!$AV:$AV,$Z26)</f>
        <v>32.13</v>
      </c>
      <c r="S26" s="22">
        <f>INDEX('参数页-不同武将系数'!$AW:$AW,$Z26)</f>
        <v>675</v>
      </c>
      <c r="T26" s="22">
        <f>INDEX('参数页-不同武将系数'!$AX:$AX,$Z26)</f>
        <v>63.75</v>
      </c>
      <c r="U26" s="20" t="str">
        <f t="shared" si="5"/>
        <v>4520091;4520092;4520093;4520094;4520095;4520096</v>
      </c>
      <c r="V26" s="20" t="str">
        <f t="shared" si="6"/>
        <v>HpBonus,0.15;HpBonus,0.19;HpBonus,0.23;HpBonus,0.26;HpBonus,0.3</v>
      </c>
      <c r="W26" s="20" t="str">
        <f t="shared" si="13"/>
        <v>UIRes/UIAtlas/Hero/HeroExclusiveWeapon/Temp/Icon_ExclusiveWeapon_002.png</v>
      </c>
      <c r="X26" s="20" t="b">
        <f t="shared" si="8"/>
        <v>1</v>
      </c>
      <c r="Z26" s="14">
        <f>MATCH("应激气泡球",'参数页-不同武将系数'!$B:$B,0)</f>
        <v>76</v>
      </c>
      <c r="AA26" s="14" t="str">
        <f>IF(INDEX('参数页-不同武将系数'!$AY:$AY,$Z26)="生命值百分比","生命百分比",IF(INDEX('参数页-不同武将系数'!$AY:$AY,$Z26)="防御百分比","防御力百分比",INDEX('参数页-不同武将系数'!$AY:$AY,$Z26)))</f>
        <v>生命百分比</v>
      </c>
      <c r="AB26" s="14" t="str">
        <f t="shared" si="9"/>
        <v>HpBonus</v>
      </c>
      <c r="AC26" s="14" t="str">
        <f t="shared" si="10"/>
        <v>percent</v>
      </c>
      <c r="AD26" s="14" t="str">
        <f t="shared" si="11"/>
        <v>生命百分比</v>
      </c>
      <c r="AE26" s="15">
        <f>IF($AC26="level",ROUND(((IF($G26="SSR",专武!$H$27,IF($G26="SR",专武!$I$27,专武!$J$27)))/专武!$S$27)*VLOOKUP($AD26,专武!$R$27:$S$49,2,0),0),ROUND(((IF($G26="SSR",专武!$H$27,IF($G26="SR",专武!$I$27,专武!$J$27)))/专武!$S$27)*VLOOKUP($AD26,专武!$R$27:$S$49,2,0),4))</f>
        <v>0.15</v>
      </c>
      <c r="AF26" s="15">
        <f>IF($AC26="level",ROUND(((IF($G26="SSR",专武!$H$28,IF($G26="SR",专武!$I$28,专武!$J$28)))/专武!$S$27)*VLOOKUP($AD26,专武!$R$27:$S$49,2,0),0),ROUND(((IF($G26="SSR",专武!$H$28,IF($G26="SR",专武!$I$28,专武!$J$28)))/专武!$S$27)*VLOOKUP($AD26,专武!$R$27:$S$49,2,0),4))</f>
        <v>0.19</v>
      </c>
      <c r="AG26" s="15">
        <f>IF($AC26="level",ROUND(((IF($G26="SSR",专武!$H$29,IF($G26="SR",专武!$I$29,专武!$J$29)))/专武!$S$27)*VLOOKUP($AD26,专武!$R$27:$S$49,2,0),0),ROUND(((IF($G26="SSR",专武!$H$29,IF($G26="SR",专武!$I$29,专武!$J$29)))/专武!$S$27)*VLOOKUP($AD26,专武!$R$27:$S$49,2,0),4))</f>
        <v>0.23</v>
      </c>
      <c r="AH26" s="15">
        <f>IF($AC26="level",ROUND(((IF($G26="SSR",专武!$H$30,IF($G26="SR",专武!$I$30,专武!$J$30)))/专武!$S$27)*VLOOKUP($AD26,专武!$R$27:$S$49,2,0),0),ROUND(((IF($G26="SSR",专武!$H$30,IF($G26="SR",专武!$I$30,专武!$J$30)))/专武!$S$27)*VLOOKUP($AD26,专武!$R$27:$S$49,2,0),4))</f>
        <v>0.26</v>
      </c>
      <c r="AI26" s="15">
        <f>IF($AC26="level",ROUND(((IF($G26="SSR",专武!$H$31,IF($G26="SR",专武!$I$31,专武!$J$31)))/专武!$S$27)*VLOOKUP($AD26,专武!$R$27:$S$49,2,0),0),ROUND(((IF($G26="SSR",专武!$H$31,IF($G26="SR",专武!$I$31,专武!$J$31)))/专武!$S$27)*VLOOKUP($AD26,专武!$R$27:$S$49,2,0),4))</f>
        <v>0.3</v>
      </c>
      <c r="AJ26" s="15"/>
      <c r="AK26" s="14" t="str">
        <f t="shared" si="12"/>
        <v>HpBonus,0.15;HpBonus,0.19;HpBonus,0.23;HpBonus,0.26;HpBonus,0.3</v>
      </c>
    </row>
    <row r="27" spans="2:37">
      <c r="B27" s="20">
        <f>52010</f>
        <v>52010</v>
      </c>
      <c r="C27" s="20" t="str">
        <f>INDEX('参数页-不同武将系数'!$B:$B,$Z27)</f>
        <v>节能指环</v>
      </c>
      <c r="D27" s="20">
        <f t="shared" si="0"/>
        <v>0</v>
      </c>
      <c r="E27" s="20">
        <f t="shared" si="1"/>
        <v>0</v>
      </c>
      <c r="F27" s="20"/>
      <c r="G27" s="20" t="str">
        <f>INDEX('参数页-不同武将系数'!$C:$C,$Z27)</f>
        <v>SR</v>
      </c>
      <c r="H27" s="20">
        <f t="shared" si="2"/>
        <v>3</v>
      </c>
      <c r="I27" s="20" t="str">
        <f>IF(LEFT(INDEX('参数页-不同武将系数'!$D:$D,$Z27),2)="输出","输出",IF(LEFT(INDEX('参数页-不同武将系数'!$D:$D,$Z27),2)="坦克","防御",IF(LEFT(INDEX('参数页-不同武将系数'!$D:$D,$Z27),2)="辅助","辅助","")))</f>
        <v>辅助</v>
      </c>
      <c r="J27" s="20" t="str">
        <f t="shared" si="3"/>
        <v>Support</v>
      </c>
      <c r="K27" s="20"/>
      <c r="L27" s="20">
        <f t="shared" si="4"/>
        <v>1</v>
      </c>
      <c r="M27" s="22">
        <f>INDEX('参数页-不同武将系数'!$AQ:$AQ,$Z27)</f>
        <v>3888</v>
      </c>
      <c r="N27" s="22">
        <f>INDEX('参数页-不同武将系数'!$AR:$AR,$Z27)</f>
        <v>367.2</v>
      </c>
      <c r="O27" s="22">
        <f>INDEX('参数页-不同武将系数'!$AS:$AS,$Z27)</f>
        <v>585.225</v>
      </c>
      <c r="P27" s="22">
        <f>INDEX('参数页-不同武将系数'!$AT:$AT,$Z27)</f>
        <v>55.27</v>
      </c>
      <c r="Q27" s="22">
        <f>INDEX('参数页-不同武将系数'!$AU:$AU,$Z27)</f>
        <v>585.225</v>
      </c>
      <c r="R27" s="22">
        <f>INDEX('参数页-不同武将系数'!$AV:$AV,$Z27)</f>
        <v>55.27</v>
      </c>
      <c r="S27" s="22">
        <f>INDEX('参数页-不同武将系数'!$AW:$AW,$Z27)</f>
        <v>564.3</v>
      </c>
      <c r="T27" s="22">
        <f>INDEX('参数页-不同武将系数'!$AX:$AX,$Z27)</f>
        <v>53.3</v>
      </c>
      <c r="U27" s="20" t="str">
        <f t="shared" si="5"/>
        <v>4520101;4520102;4520103;4520104;4520105;4520106</v>
      </c>
      <c r="V27" s="20" t="str">
        <f t="shared" si="6"/>
        <v>EnergyPreAddBonusLevel,1350;EnergyPreAddBonusLevel,1710;EnergyPreAddBonusLevel,2070;EnergyPreAddBonusLevel,2340;EnergyPreAddBonusLevel,2700</v>
      </c>
      <c r="W27" s="20" t="str">
        <f t="shared" si="13"/>
        <v>UIRes/UIAtlas/Hero/HeroExclusiveWeapon/Temp/Icon_ExclusiveWeapon_002.png</v>
      </c>
      <c r="X27" s="20" t="b">
        <f t="shared" si="8"/>
        <v>1</v>
      </c>
      <c r="Z27" s="14">
        <f>MATCH("节能指环",'参数页-不同武将系数'!$B:$B,0)</f>
        <v>77</v>
      </c>
      <c r="AA27" s="14" t="str">
        <f>IF(INDEX('参数页-不同武将系数'!$AY:$AY,$Z27)="生命值百分比","生命百分比",IF(INDEX('参数页-不同武将系数'!$AY:$AY,$Z27)="防御百分比","防御力百分比",INDEX('参数页-不同武将系数'!$AY:$AY,$Z27)))</f>
        <v>能量回复等级</v>
      </c>
      <c r="AB27" s="14" t="str">
        <f t="shared" si="9"/>
        <v>EnergyPreAddBonusLevel</v>
      </c>
      <c r="AC27" s="14" t="str">
        <f t="shared" si="10"/>
        <v>level</v>
      </c>
      <c r="AD27" s="14" t="str">
        <f t="shared" si="11"/>
        <v>能量回复等级</v>
      </c>
      <c r="AE27" s="15">
        <f>IF($AC27="level",ROUND(((IF($G27="SSR",专武!$H$27,IF($G27="SR",专武!$I$27,专武!$J$27)))/专武!$S$27)*VLOOKUP($AD27,专武!$R$27:$S$49,2,0),0),ROUND(((IF($G27="SSR",专武!$H$27,IF($G27="SR",专武!$I$27,专武!$J$27)))/专武!$S$27)*VLOOKUP($AD27,专武!$R$27:$S$49,2,0),4))</f>
        <v>1350</v>
      </c>
      <c r="AF27" s="15">
        <f>IF($AC27="level",ROUND(((IF($G27="SSR",专武!$H$28,IF($G27="SR",专武!$I$28,专武!$J$28)))/专武!$S$27)*VLOOKUP($AD27,专武!$R$27:$S$49,2,0),0),ROUND(((IF($G27="SSR",专武!$H$28,IF($G27="SR",专武!$I$28,专武!$J$28)))/专武!$S$27)*VLOOKUP($AD27,专武!$R$27:$S$49,2,0),4))</f>
        <v>1710</v>
      </c>
      <c r="AG27" s="15">
        <f>IF($AC27="level",ROUND(((IF($G27="SSR",专武!$H$29,IF($G27="SR",专武!$I$29,专武!$J$29)))/专武!$S$27)*VLOOKUP($AD27,专武!$R$27:$S$49,2,0),0),ROUND(((IF($G27="SSR",专武!$H$29,IF($G27="SR",专武!$I$29,专武!$J$29)))/专武!$S$27)*VLOOKUP($AD27,专武!$R$27:$S$49,2,0),4))</f>
        <v>2070</v>
      </c>
      <c r="AH27" s="15">
        <f>IF($AC27="level",ROUND(((IF($G27="SSR",专武!$H$30,IF($G27="SR",专武!$I$30,专武!$J$30)))/专武!$S$27)*VLOOKUP($AD27,专武!$R$27:$S$49,2,0),0),ROUND(((IF($G27="SSR",专武!$H$30,IF($G27="SR",专武!$I$30,专武!$J$30)))/专武!$S$27)*VLOOKUP($AD27,专武!$R$27:$S$49,2,0),4))</f>
        <v>2340</v>
      </c>
      <c r="AI27" s="15">
        <f>IF($AC27="level",ROUND(((IF($G27="SSR",专武!$H$31,IF($G27="SR",专武!$I$31,专武!$J$31)))/专武!$S$27)*VLOOKUP($AD27,专武!$R$27:$S$49,2,0),0),ROUND(((IF($G27="SSR",专武!$H$31,IF($G27="SR",专武!$I$31,专武!$J$31)))/专武!$S$27)*VLOOKUP($AD27,专武!$R$27:$S$49,2,0),4))</f>
        <v>2700</v>
      </c>
      <c r="AJ27" s="15"/>
      <c r="AK27" s="14" t="str">
        <f t="shared" si="12"/>
        <v>EnergyPreAddBonusLevel,1350;EnergyPreAddBonusLevel,1710;EnergyPreAddBonusLevel,2070;EnergyPreAddBonusLevel,2340;EnergyPreAddBonusLevel,2700</v>
      </c>
    </row>
    <row r="28" spans="2:37">
      <c r="B28" s="20">
        <f>52011</f>
        <v>52011</v>
      </c>
      <c r="C28" s="20" t="str">
        <f>INDEX('参数页-不同武将系数'!$B:$B,$Z28)</f>
        <v>传音海螺</v>
      </c>
      <c r="D28" s="20">
        <f t="shared" si="0"/>
        <v>0</v>
      </c>
      <c r="E28" s="20">
        <f t="shared" si="1"/>
        <v>0</v>
      </c>
      <c r="F28" s="20"/>
      <c r="G28" s="20" t="str">
        <f>INDEX('参数页-不同武将系数'!$C:$C,$Z28)</f>
        <v>SR</v>
      </c>
      <c r="H28" s="20">
        <f t="shared" si="2"/>
        <v>3</v>
      </c>
      <c r="I28" s="20" t="str">
        <f>IF(LEFT(INDEX('参数页-不同武将系数'!$D:$D,$Z28),2)="输出","输出",IF(LEFT(INDEX('参数页-不同武将系数'!$D:$D,$Z28),2)="坦克","防御",IF(LEFT(INDEX('参数页-不同武将系数'!$D:$D,$Z28),2)="辅助","辅助","")))</f>
        <v>防御</v>
      </c>
      <c r="J28" s="20" t="str">
        <f t="shared" si="3"/>
        <v>Tank</v>
      </c>
      <c r="K28" s="20"/>
      <c r="L28" s="20">
        <f t="shared" si="4"/>
        <v>1</v>
      </c>
      <c r="M28" s="22">
        <f>INDEX('参数页-不同武将系数'!$AQ:$AQ,$Z28)</f>
        <v>4914</v>
      </c>
      <c r="N28" s="22">
        <f>INDEX('参数页-不同武将系数'!$AR:$AR,$Z28)</f>
        <v>464.1</v>
      </c>
      <c r="O28" s="22">
        <f>INDEX('参数页-不同武将系数'!$AS:$AS,$Z28)</f>
        <v>364.5</v>
      </c>
      <c r="P28" s="22">
        <f>INDEX('参数页-不同武将系数'!$AT:$AT,$Z28)</f>
        <v>34.43</v>
      </c>
      <c r="Q28" s="22">
        <f>INDEX('参数页-不同武将系数'!$AU:$AU,$Z28)</f>
        <v>364.5</v>
      </c>
      <c r="R28" s="22">
        <f>INDEX('参数页-不同武将系数'!$AV:$AV,$Z28)</f>
        <v>34.43</v>
      </c>
      <c r="S28" s="22">
        <f>INDEX('参数页-不同武将系数'!$AW:$AW,$Z28)</f>
        <v>648</v>
      </c>
      <c r="T28" s="22">
        <f>INDEX('参数页-不同武将系数'!$AX:$AX,$Z28)</f>
        <v>61.2</v>
      </c>
      <c r="U28" s="20" t="str">
        <f t="shared" si="5"/>
        <v>4520111;4520112;4520113;4520114;4520115;4520116</v>
      </c>
      <c r="V28" s="20" t="str">
        <f t="shared" si="6"/>
        <v>HpBonus,0.15;HpBonus,0.19;HpBonus,0.23;HpBonus,0.26;HpBonus,0.3</v>
      </c>
      <c r="W28" s="20" t="str">
        <f t="shared" si="13"/>
        <v>UIRes/UIAtlas/Hero/HeroExclusiveWeapon/Temp/Icon_ExclusiveWeapon_002.png</v>
      </c>
      <c r="X28" s="20" t="b">
        <f t="shared" si="8"/>
        <v>1</v>
      </c>
      <c r="Z28" s="14">
        <f>MATCH("传音海螺",'参数页-不同武将系数'!$B:$B,0)</f>
        <v>78</v>
      </c>
      <c r="AA28" s="14" t="str">
        <f>IF(INDEX('参数页-不同武将系数'!$AY:$AY,$Z28)="生命值百分比","生命百分比",IF(INDEX('参数页-不同武将系数'!$AY:$AY,$Z28)="防御百分比","防御力百分比",INDEX('参数页-不同武将系数'!$AY:$AY,$Z28)))</f>
        <v>生命百分比</v>
      </c>
      <c r="AB28" s="14" t="str">
        <f t="shared" si="9"/>
        <v>HpBonus</v>
      </c>
      <c r="AC28" s="14" t="str">
        <f t="shared" si="10"/>
        <v>percent</v>
      </c>
      <c r="AD28" s="14" t="str">
        <f t="shared" si="11"/>
        <v>生命百分比</v>
      </c>
      <c r="AE28" s="15">
        <f>IF($AC28="level",ROUND(((IF($G28="SSR",专武!$H$27,IF($G28="SR",专武!$I$27,专武!$J$27)))/专武!$S$27)*VLOOKUP($AD28,专武!$R$27:$S$49,2,0),0),ROUND(((IF($G28="SSR",专武!$H$27,IF($G28="SR",专武!$I$27,专武!$J$27)))/专武!$S$27)*VLOOKUP($AD28,专武!$R$27:$S$49,2,0),4))</f>
        <v>0.15</v>
      </c>
      <c r="AF28" s="15">
        <f>IF($AC28="level",ROUND(((IF($G28="SSR",专武!$H$28,IF($G28="SR",专武!$I$28,专武!$J$28)))/专武!$S$27)*VLOOKUP($AD28,专武!$R$27:$S$49,2,0),0),ROUND(((IF($G28="SSR",专武!$H$28,IF($G28="SR",专武!$I$28,专武!$J$28)))/专武!$S$27)*VLOOKUP($AD28,专武!$R$27:$S$49,2,0),4))</f>
        <v>0.19</v>
      </c>
      <c r="AG28" s="15">
        <f>IF($AC28="level",ROUND(((IF($G28="SSR",专武!$H$29,IF($G28="SR",专武!$I$29,专武!$J$29)))/专武!$S$27)*VLOOKUP($AD28,专武!$R$27:$S$49,2,0),0),ROUND(((IF($G28="SSR",专武!$H$29,IF($G28="SR",专武!$I$29,专武!$J$29)))/专武!$S$27)*VLOOKUP($AD28,专武!$R$27:$S$49,2,0),4))</f>
        <v>0.23</v>
      </c>
      <c r="AH28" s="15">
        <f>IF($AC28="level",ROUND(((IF($G28="SSR",专武!$H$30,IF($G28="SR",专武!$I$30,专武!$J$30)))/专武!$S$27)*VLOOKUP($AD28,专武!$R$27:$S$49,2,0),0),ROUND(((IF($G28="SSR",专武!$H$30,IF($G28="SR",专武!$I$30,专武!$J$30)))/专武!$S$27)*VLOOKUP($AD28,专武!$R$27:$S$49,2,0),4))</f>
        <v>0.26</v>
      </c>
      <c r="AI28" s="15">
        <f>IF($AC28="level",ROUND(((IF($G28="SSR",专武!$H$31,IF($G28="SR",专武!$I$31,专武!$J$31)))/专武!$S$27)*VLOOKUP($AD28,专武!$R$27:$S$49,2,0),0),ROUND(((IF($G28="SSR",专武!$H$31,IF($G28="SR",专武!$I$31,专武!$J$31)))/专武!$S$27)*VLOOKUP($AD28,专武!$R$27:$S$49,2,0),4))</f>
        <v>0.3</v>
      </c>
      <c r="AJ28" s="15"/>
      <c r="AK28" s="14" t="str">
        <f t="shared" si="12"/>
        <v>HpBonus,0.15;HpBonus,0.19;HpBonus,0.23;HpBonus,0.26;HpBonus,0.3</v>
      </c>
    </row>
    <row r="29" spans="2:37">
      <c r="B29" s="20">
        <f>52012</f>
        <v>52012</v>
      </c>
      <c r="C29" s="20" t="str">
        <f>INDEX('参数页-不同武将系数'!$B:$B,$Z29)</f>
        <v>百合勋章</v>
      </c>
      <c r="D29" s="20">
        <f t="shared" si="0"/>
        <v>0</v>
      </c>
      <c r="E29" s="20">
        <f t="shared" si="1"/>
        <v>0</v>
      </c>
      <c r="F29" s="20"/>
      <c r="G29" s="20" t="str">
        <f>INDEX('参数页-不同武将系数'!$C:$C,$Z29)</f>
        <v>SR</v>
      </c>
      <c r="H29" s="20">
        <f t="shared" si="2"/>
        <v>3</v>
      </c>
      <c r="I29" s="20" t="str">
        <f>IF(LEFT(INDEX('参数页-不同武将系数'!$D:$D,$Z29),2)="输出","输出",IF(LEFT(INDEX('参数页-不同武将系数'!$D:$D,$Z29),2)="坦克","防御",IF(LEFT(INDEX('参数页-不同武将系数'!$D:$D,$Z29),2)="辅助","辅助","")))</f>
        <v>辅助</v>
      </c>
      <c r="J29" s="20" t="str">
        <f t="shared" si="3"/>
        <v>Support</v>
      </c>
      <c r="K29" s="20"/>
      <c r="L29" s="20">
        <f t="shared" si="4"/>
        <v>1</v>
      </c>
      <c r="M29" s="22">
        <f>INDEX('参数页-不同武将系数'!$AQ:$AQ,$Z29)</f>
        <v>2700</v>
      </c>
      <c r="N29" s="22">
        <f>INDEX('参数页-不同武将系数'!$AR:$AR,$Z29)</f>
        <v>255</v>
      </c>
      <c r="O29" s="22">
        <f>INDEX('参数页-不同武将系数'!$AS:$AS,$Z29)</f>
        <v>619.65</v>
      </c>
      <c r="P29" s="22">
        <f>INDEX('参数页-不同武将系数'!$AT:$AT,$Z29)</f>
        <v>58.52</v>
      </c>
      <c r="Q29" s="22">
        <f>INDEX('参数页-不同武将系数'!$AU:$AU,$Z29)</f>
        <v>838.35</v>
      </c>
      <c r="R29" s="22">
        <f>INDEX('参数页-不同武将系数'!$AV:$AV,$Z29)</f>
        <v>79.18</v>
      </c>
      <c r="S29" s="22">
        <f>INDEX('参数页-不同武将系数'!$AW:$AW,$Z29)</f>
        <v>564.3</v>
      </c>
      <c r="T29" s="22">
        <f>INDEX('参数页-不同武将系数'!$AX:$AX,$Z29)</f>
        <v>53.3</v>
      </c>
      <c r="U29" s="20" t="str">
        <f t="shared" si="5"/>
        <v>4520121;4520122;4520123;4520124;4520125;4520126</v>
      </c>
      <c r="V29" s="20" t="str">
        <f t="shared" si="6"/>
        <v>Heal,0.075;Heal,0.095;Heal,0.115;Heal,0.13;Heal,0.15</v>
      </c>
      <c r="W29" s="20" t="str">
        <f t="shared" si="13"/>
        <v>UIRes/UIAtlas/Hero/HeroExclusiveWeapon/Temp/Icon_ExclusiveWeapon_002.png</v>
      </c>
      <c r="X29" s="20" t="b">
        <f t="shared" si="8"/>
        <v>1</v>
      </c>
      <c r="Z29" s="14">
        <f>MATCH("百合勋章",'参数页-不同武将系数'!$B:$B,0)</f>
        <v>79</v>
      </c>
      <c r="AA29" s="14" t="str">
        <f>IF(INDEX('参数页-不同武将系数'!$AY:$AY,$Z29)="生命值百分比","生命百分比",IF(INDEX('参数页-不同武将系数'!$AY:$AY,$Z29)="防御百分比","防御力百分比",INDEX('参数页-不同武将系数'!$AY:$AY,$Z29)))</f>
        <v>治疗率</v>
      </c>
      <c r="AB29" s="14" t="str">
        <f t="shared" si="9"/>
        <v>Heal</v>
      </c>
      <c r="AC29" s="14" t="str">
        <f t="shared" si="10"/>
        <v>percent</v>
      </c>
      <c r="AD29" s="14" t="str">
        <f t="shared" si="11"/>
        <v>治疗率</v>
      </c>
      <c r="AE29" s="15">
        <f>IF($AC29="level",ROUND(((IF($G29="SSR",专武!$H$27,IF($G29="SR",专武!$I$27,专武!$J$27)))/专武!$S$27)*VLOOKUP($AD29,专武!$R$27:$S$49,2,0),0),ROUND(((IF($G29="SSR",专武!$H$27,IF($G29="SR",专武!$I$27,专武!$J$27)))/专武!$S$27)*VLOOKUP($AD29,专武!$R$27:$S$49,2,0),4))</f>
        <v>0.075</v>
      </c>
      <c r="AF29" s="15">
        <f>IF($AC29="level",ROUND(((IF($G29="SSR",专武!$H$28,IF($G29="SR",专武!$I$28,专武!$J$28)))/专武!$S$27)*VLOOKUP($AD29,专武!$R$27:$S$49,2,0),0),ROUND(((IF($G29="SSR",专武!$H$28,IF($G29="SR",专武!$I$28,专武!$J$28)))/专武!$S$27)*VLOOKUP($AD29,专武!$R$27:$S$49,2,0),4))</f>
        <v>0.095</v>
      </c>
      <c r="AG29" s="15">
        <f>IF($AC29="level",ROUND(((IF($G29="SSR",专武!$H$29,IF($G29="SR",专武!$I$29,专武!$J$29)))/专武!$S$27)*VLOOKUP($AD29,专武!$R$27:$S$49,2,0),0),ROUND(((IF($G29="SSR",专武!$H$29,IF($G29="SR",专武!$I$29,专武!$J$29)))/专武!$S$27)*VLOOKUP($AD29,专武!$R$27:$S$49,2,0),4))</f>
        <v>0.115</v>
      </c>
      <c r="AH29" s="15">
        <f>IF($AC29="level",ROUND(((IF($G29="SSR",专武!$H$30,IF($G29="SR",专武!$I$30,专武!$J$30)))/专武!$S$27)*VLOOKUP($AD29,专武!$R$27:$S$49,2,0),0),ROUND(((IF($G29="SSR",专武!$H$30,IF($G29="SR",专武!$I$30,专武!$J$30)))/专武!$S$27)*VLOOKUP($AD29,专武!$R$27:$S$49,2,0),4))</f>
        <v>0.13</v>
      </c>
      <c r="AI29" s="15">
        <f>IF($AC29="level",ROUND(((IF($G29="SSR",专武!$H$31,IF($G29="SR",专武!$I$31,专武!$J$31)))/专武!$S$27)*VLOOKUP($AD29,专武!$R$27:$S$49,2,0),0),ROUND(((IF($G29="SSR",专武!$H$31,IF($G29="SR",专武!$I$31,专武!$J$31)))/专武!$S$27)*VLOOKUP($AD29,专武!$R$27:$S$49,2,0),4))</f>
        <v>0.15</v>
      </c>
      <c r="AJ29" s="15"/>
      <c r="AK29" s="14" t="str">
        <f t="shared" si="12"/>
        <v>Heal,0.075;Heal,0.095;Heal,0.115;Heal,0.13;Heal,0.15</v>
      </c>
    </row>
    <row r="30" spans="2:37">
      <c r="B30" s="20">
        <f>52013</f>
        <v>52013</v>
      </c>
      <c r="C30" s="20" t="str">
        <f>INDEX('参数页-不同武将系数'!$B:$B,$Z30)</f>
        <v>荒原护目镜</v>
      </c>
      <c r="D30" s="20">
        <f t="shared" si="0"/>
        <v>0</v>
      </c>
      <c r="E30" s="20">
        <f t="shared" si="1"/>
        <v>0</v>
      </c>
      <c r="F30" s="20"/>
      <c r="G30" s="20" t="str">
        <f>INDEX('参数页-不同武将系数'!$C:$C,$Z30)</f>
        <v>SR</v>
      </c>
      <c r="H30" s="20">
        <f t="shared" si="2"/>
        <v>3</v>
      </c>
      <c r="I30" s="20" t="str">
        <f>IF(LEFT(INDEX('参数页-不同武将系数'!$D:$D,$Z30),2)="输出","输出",IF(LEFT(INDEX('参数页-不同武将系数'!$D:$D,$Z30),2)="坦克","防御",IF(LEFT(INDEX('参数页-不同武将系数'!$D:$D,$Z30),2)="辅助","辅助","")))</f>
        <v>辅助</v>
      </c>
      <c r="J30" s="20" t="str">
        <f t="shared" si="3"/>
        <v>Support</v>
      </c>
      <c r="K30" s="20"/>
      <c r="L30" s="20">
        <f t="shared" si="4"/>
        <v>1</v>
      </c>
      <c r="M30" s="22">
        <f>INDEX('参数页-不同武将系数'!$AQ:$AQ,$Z30)</f>
        <v>3888</v>
      </c>
      <c r="N30" s="22">
        <f>INDEX('参数页-不同武将系数'!$AR:$AR,$Z30)</f>
        <v>367.2</v>
      </c>
      <c r="O30" s="22">
        <f>INDEX('参数页-不同武将系数'!$AS:$AS,$Z30)</f>
        <v>516.375</v>
      </c>
      <c r="P30" s="22">
        <f>INDEX('参数页-不同武将系数'!$AT:$AT,$Z30)</f>
        <v>48.77</v>
      </c>
      <c r="Q30" s="22">
        <f>INDEX('参数页-不同武将系数'!$AU:$AU,$Z30)</f>
        <v>619.65</v>
      </c>
      <c r="R30" s="22">
        <f>INDEX('参数页-不同武将系数'!$AV:$AV,$Z30)</f>
        <v>58.52</v>
      </c>
      <c r="S30" s="22">
        <f>INDEX('参数页-不同武将系数'!$AW:$AW,$Z30)</f>
        <v>615.6</v>
      </c>
      <c r="T30" s="22">
        <f>INDEX('参数页-不同武将系数'!$AX:$AX,$Z30)</f>
        <v>58.14</v>
      </c>
      <c r="U30" s="20" t="str">
        <f t="shared" si="5"/>
        <v>4520131;4520132;4520133;4520134;4520135;4520136</v>
      </c>
      <c r="V30" s="20" t="str">
        <f t="shared" si="6"/>
        <v>ArmorBonus,0.15;ArmorBonus,0.19;ArmorBonus,0.23;ArmorBonus,0.26;ArmorBonus,0.3</v>
      </c>
      <c r="W30" s="20" t="str">
        <f t="shared" si="13"/>
        <v>UIRes/UIAtlas/Hero/HeroExclusiveWeapon/Temp/Icon_ExclusiveWeapon_002.png</v>
      </c>
      <c r="X30" s="20" t="b">
        <f t="shared" si="8"/>
        <v>1</v>
      </c>
      <c r="Z30" s="14">
        <f>MATCH("荒原护目镜",'参数页-不同武将系数'!$B:$B,0)</f>
        <v>80</v>
      </c>
      <c r="AA30" s="14" t="str">
        <f>IF(INDEX('参数页-不同武将系数'!$AY:$AY,$Z30)="生命值百分比","生命百分比",IF(INDEX('参数页-不同武将系数'!$AY:$AY,$Z30)="防御百分比","防御力百分比",INDEX('参数页-不同武将系数'!$AY:$AY,$Z30)))</f>
        <v>防御力百分比</v>
      </c>
      <c r="AB30" s="14" t="str">
        <f t="shared" si="9"/>
        <v>ArmorBonus</v>
      </c>
      <c r="AC30" s="14" t="str">
        <f t="shared" si="10"/>
        <v>percent</v>
      </c>
      <c r="AD30" s="14" t="str">
        <f t="shared" si="11"/>
        <v>防御百分比</v>
      </c>
      <c r="AE30" s="15">
        <f>IF($AC30="level",ROUND(((IF($G30="SSR",专武!$H$27,IF($G30="SR",专武!$I$27,专武!$J$27)))/专武!$S$27)*VLOOKUP($AD30,专武!$R$27:$S$49,2,0),0),ROUND(((IF($G30="SSR",专武!$H$27,IF($G30="SR",专武!$I$27,专武!$J$27)))/专武!$S$27)*VLOOKUP($AD30,专武!$R$27:$S$49,2,0),4))</f>
        <v>0.15</v>
      </c>
      <c r="AF30" s="15">
        <f>IF($AC30="level",ROUND(((IF($G30="SSR",专武!$H$28,IF($G30="SR",专武!$I$28,专武!$J$28)))/专武!$S$27)*VLOOKUP($AD30,专武!$R$27:$S$49,2,0),0),ROUND(((IF($G30="SSR",专武!$H$28,IF($G30="SR",专武!$I$28,专武!$J$28)))/专武!$S$27)*VLOOKUP($AD30,专武!$R$27:$S$49,2,0),4))</f>
        <v>0.19</v>
      </c>
      <c r="AG30" s="15">
        <f>IF($AC30="level",ROUND(((IF($G30="SSR",专武!$H$29,IF($G30="SR",专武!$I$29,专武!$J$29)))/专武!$S$27)*VLOOKUP($AD30,专武!$R$27:$S$49,2,0),0),ROUND(((IF($G30="SSR",专武!$H$29,IF($G30="SR",专武!$I$29,专武!$J$29)))/专武!$S$27)*VLOOKUP($AD30,专武!$R$27:$S$49,2,0),4))</f>
        <v>0.23</v>
      </c>
      <c r="AH30" s="15">
        <f>IF($AC30="level",ROUND(((IF($G30="SSR",专武!$H$30,IF($G30="SR",专武!$I$30,专武!$J$30)))/专武!$S$27)*VLOOKUP($AD30,专武!$R$27:$S$49,2,0),0),ROUND(((IF($G30="SSR",专武!$H$30,IF($G30="SR",专武!$I$30,专武!$J$30)))/专武!$S$27)*VLOOKUP($AD30,专武!$R$27:$S$49,2,0),4))</f>
        <v>0.26</v>
      </c>
      <c r="AI30" s="15">
        <f>IF($AC30="level",ROUND(((IF($G30="SSR",专武!$H$31,IF($G30="SR",专武!$I$31,专武!$J$31)))/专武!$S$27)*VLOOKUP($AD30,专武!$R$27:$S$49,2,0),0),ROUND(((IF($G30="SSR",专武!$H$31,IF($G30="SR",专武!$I$31,专武!$J$31)))/专武!$S$27)*VLOOKUP($AD30,专武!$R$27:$S$49,2,0),4))</f>
        <v>0.3</v>
      </c>
      <c r="AJ30" s="15"/>
      <c r="AK30" s="14" t="str">
        <f t="shared" si="12"/>
        <v>ArmorBonus,0.15;ArmorBonus,0.19;ArmorBonus,0.23;ArmorBonus,0.26;ArmorBonus,0.3</v>
      </c>
    </row>
    <row r="31" spans="2:37">
      <c r="B31" s="20">
        <f>52014</f>
        <v>52014</v>
      </c>
      <c r="C31" s="20" t="str">
        <f>INDEX('参数页-不同武将系数'!$B:$B,$Z31)</f>
        <v>能量水晶球</v>
      </c>
      <c r="D31" s="20">
        <f t="shared" si="0"/>
        <v>0</v>
      </c>
      <c r="E31" s="20">
        <f t="shared" si="1"/>
        <v>0</v>
      </c>
      <c r="F31" s="20"/>
      <c r="G31" s="20" t="str">
        <f>INDEX('参数页-不同武将系数'!$C:$C,$Z31)</f>
        <v>SR</v>
      </c>
      <c r="H31" s="20">
        <f t="shared" si="2"/>
        <v>3</v>
      </c>
      <c r="I31" s="20" t="str">
        <f>IF(LEFT(INDEX('参数页-不同武将系数'!$D:$D,$Z31),2)="输出","输出",IF(LEFT(INDEX('参数页-不同武将系数'!$D:$D,$Z31),2)="坦克","防御",IF(LEFT(INDEX('参数页-不同武将系数'!$D:$D,$Z31),2)="辅助","辅助","")))</f>
        <v>防御</v>
      </c>
      <c r="J31" s="20" t="str">
        <f t="shared" si="3"/>
        <v>Tank</v>
      </c>
      <c r="K31" s="20"/>
      <c r="L31" s="20">
        <f t="shared" si="4"/>
        <v>1</v>
      </c>
      <c r="M31" s="22">
        <f>INDEX('参数页-不同武将系数'!$AQ:$AQ,$Z31)</f>
        <v>5103</v>
      </c>
      <c r="N31" s="22">
        <f>INDEX('参数页-不同武将系数'!$AR:$AR,$Z31)</f>
        <v>481.95</v>
      </c>
      <c r="O31" s="22">
        <f>INDEX('参数页-不同武将系数'!$AS:$AS,$Z31)</f>
        <v>340.2</v>
      </c>
      <c r="P31" s="22">
        <f>INDEX('参数页-不同武将系数'!$AT:$AT,$Z31)</f>
        <v>32.13</v>
      </c>
      <c r="Q31" s="22">
        <f>INDEX('参数页-不同武将系数'!$AU:$AU,$Z31)</f>
        <v>340.2</v>
      </c>
      <c r="R31" s="22">
        <f>INDEX('参数页-不同武将系数'!$AV:$AV,$Z31)</f>
        <v>32.13</v>
      </c>
      <c r="S31" s="22">
        <f>INDEX('参数页-不同武将系数'!$AW:$AW,$Z31)</f>
        <v>621</v>
      </c>
      <c r="T31" s="22">
        <f>INDEX('参数页-不同武将系数'!$AX:$AX,$Z31)</f>
        <v>58.65</v>
      </c>
      <c r="U31" s="20" t="str">
        <f t="shared" si="5"/>
        <v>4520141;4520142;4520143;4520144;4520145;4520146</v>
      </c>
      <c r="V31" s="20" t="str">
        <f t="shared" si="6"/>
        <v>HpBonus,0.15;HpBonus,0.19;HpBonus,0.23;HpBonus,0.26;HpBonus,0.3</v>
      </c>
      <c r="W31" s="20" t="str">
        <f t="shared" si="13"/>
        <v>UIRes/UIAtlas/Hero/HeroExclusiveWeapon/Temp/Icon_ExclusiveWeapon_002.png</v>
      </c>
      <c r="X31" s="20" t="b">
        <f t="shared" si="8"/>
        <v>1</v>
      </c>
      <c r="Z31" s="14">
        <f>MATCH("能量水晶球",'参数页-不同武将系数'!$B:$B,0)</f>
        <v>81</v>
      </c>
      <c r="AA31" s="14" t="str">
        <f>IF(INDEX('参数页-不同武将系数'!$AY:$AY,$Z31)="生命值百分比","生命百分比",IF(INDEX('参数页-不同武将系数'!$AY:$AY,$Z31)="防御百分比","防御力百分比",INDEX('参数页-不同武将系数'!$AY:$AY,$Z31)))</f>
        <v>生命百分比</v>
      </c>
      <c r="AB31" s="14" t="str">
        <f t="shared" si="9"/>
        <v>HpBonus</v>
      </c>
      <c r="AC31" s="14" t="str">
        <f t="shared" si="10"/>
        <v>percent</v>
      </c>
      <c r="AD31" s="14" t="str">
        <f t="shared" si="11"/>
        <v>生命百分比</v>
      </c>
      <c r="AE31" s="15">
        <f>IF($AC31="level",ROUND(((IF($G31="SSR",专武!$H$27,IF($G31="SR",专武!$I$27,专武!$J$27)))/专武!$S$27)*VLOOKUP($AD31,专武!$R$27:$S$49,2,0),0),ROUND(((IF($G31="SSR",专武!$H$27,IF($G31="SR",专武!$I$27,专武!$J$27)))/专武!$S$27)*VLOOKUP($AD31,专武!$R$27:$S$49,2,0),4))</f>
        <v>0.15</v>
      </c>
      <c r="AF31" s="15">
        <f>IF($AC31="level",ROUND(((IF($G31="SSR",专武!$H$28,IF($G31="SR",专武!$I$28,专武!$J$28)))/专武!$S$27)*VLOOKUP($AD31,专武!$R$27:$S$49,2,0),0),ROUND(((IF($G31="SSR",专武!$H$28,IF($G31="SR",专武!$I$28,专武!$J$28)))/专武!$S$27)*VLOOKUP($AD31,专武!$R$27:$S$49,2,0),4))</f>
        <v>0.19</v>
      </c>
      <c r="AG31" s="15">
        <f>IF($AC31="level",ROUND(((IF($G31="SSR",专武!$H$29,IF($G31="SR",专武!$I$29,专武!$J$29)))/专武!$S$27)*VLOOKUP($AD31,专武!$R$27:$S$49,2,0),0),ROUND(((IF($G31="SSR",专武!$H$29,IF($G31="SR",专武!$I$29,专武!$J$29)))/专武!$S$27)*VLOOKUP($AD31,专武!$R$27:$S$49,2,0),4))</f>
        <v>0.23</v>
      </c>
      <c r="AH31" s="15">
        <f>IF($AC31="level",ROUND(((IF($G31="SSR",专武!$H$30,IF($G31="SR",专武!$I$30,专武!$J$30)))/专武!$S$27)*VLOOKUP($AD31,专武!$R$27:$S$49,2,0),0),ROUND(((IF($G31="SSR",专武!$H$30,IF($G31="SR",专武!$I$30,专武!$J$30)))/专武!$S$27)*VLOOKUP($AD31,专武!$R$27:$S$49,2,0),4))</f>
        <v>0.26</v>
      </c>
      <c r="AI31" s="15">
        <f>IF($AC31="level",ROUND(((IF($G31="SSR",专武!$H$31,IF($G31="SR",专武!$I$31,专武!$J$31)))/专武!$S$27)*VLOOKUP($AD31,专武!$R$27:$S$49,2,0),0),ROUND(((IF($G31="SSR",专武!$H$31,IF($G31="SR",专武!$I$31,专武!$J$31)))/专武!$S$27)*VLOOKUP($AD31,专武!$R$27:$S$49,2,0),4))</f>
        <v>0.3</v>
      </c>
      <c r="AJ31" s="15"/>
      <c r="AK31" s="14" t="str">
        <f t="shared" si="12"/>
        <v>HpBonus,0.15;HpBonus,0.19;HpBonus,0.23;HpBonus,0.26;HpBonus,0.3</v>
      </c>
    </row>
    <row r="32" spans="2:37">
      <c r="B32" s="20">
        <f>52015</f>
        <v>52015</v>
      </c>
      <c r="C32" s="20" t="str">
        <f>INDEX('参数页-不同武将系数'!$B:$B,$Z32)</f>
        <v>魔法故事书</v>
      </c>
      <c r="D32" s="20">
        <f t="shared" si="0"/>
        <v>0</v>
      </c>
      <c r="E32" s="20">
        <f t="shared" si="1"/>
        <v>0</v>
      </c>
      <c r="F32" s="20"/>
      <c r="G32" s="20" t="str">
        <f>INDEX('参数页-不同武将系数'!$C:$C,$Z32)</f>
        <v>SR</v>
      </c>
      <c r="H32" s="20">
        <f t="shared" si="2"/>
        <v>3</v>
      </c>
      <c r="I32" s="20" t="str">
        <f>IF(LEFT(INDEX('参数页-不同武将系数'!$D:$D,$Z32),2)="输出","输出",IF(LEFT(INDEX('参数页-不同武将系数'!$D:$D,$Z32),2)="坦克","防御",IF(LEFT(INDEX('参数页-不同武将系数'!$D:$D,$Z32),2)="辅助","辅助","")))</f>
        <v>输出</v>
      </c>
      <c r="J32" s="20" t="str">
        <f t="shared" si="3"/>
        <v>DPS</v>
      </c>
      <c r="K32" s="20"/>
      <c r="L32" s="20">
        <f t="shared" si="4"/>
        <v>1</v>
      </c>
      <c r="M32" s="22">
        <f>INDEX('参数页-不同武将系数'!$AQ:$AQ,$Z32)</f>
        <v>1944</v>
      </c>
      <c r="N32" s="22">
        <f>INDEX('参数页-不同武将系数'!$AR:$AR,$Z32)</f>
        <v>183.6</v>
      </c>
      <c r="O32" s="22">
        <f>INDEX('参数页-不同武将系数'!$AS:$AS,$Z32)</f>
        <v>729</v>
      </c>
      <c r="P32" s="22">
        <f>INDEX('参数页-不同武将系数'!$AT:$AT,$Z32)</f>
        <v>68.85</v>
      </c>
      <c r="Q32" s="22">
        <f>INDEX('参数页-不同武将系数'!$AU:$AU,$Z32)</f>
        <v>1312.2</v>
      </c>
      <c r="R32" s="22">
        <f>INDEX('参数页-不同武将系数'!$AV:$AV,$Z32)</f>
        <v>123.93</v>
      </c>
      <c r="S32" s="22">
        <f>INDEX('参数页-不同武将系数'!$AW:$AW,$Z32)</f>
        <v>486</v>
      </c>
      <c r="T32" s="22">
        <f>INDEX('参数页-不同武将系数'!$AX:$AX,$Z32)</f>
        <v>45.9</v>
      </c>
      <c r="U32" s="20" t="str">
        <f t="shared" si="5"/>
        <v>4520151;4520152;4520153;4520154;4520155;4520156</v>
      </c>
      <c r="V32" s="20" t="str">
        <f t="shared" si="6"/>
        <v>SkillDmgBonus,0.18;SkillDmgBonus,0.228;SkillDmgBonus,0.276;SkillDmgBonus,0.312;SkillDmgBonus,0.36</v>
      </c>
      <c r="W32" s="20" t="str">
        <f t="shared" si="13"/>
        <v>UIRes/UIAtlas/Hero/HeroExclusiveWeapon/Temp/Icon_ExclusiveWeapon_002.png</v>
      </c>
      <c r="X32" s="20" t="b">
        <f t="shared" si="8"/>
        <v>1</v>
      </c>
      <c r="Z32" s="14">
        <f>MATCH("魔法故事书",'参数页-不同武将系数'!$B:$B,0)</f>
        <v>82</v>
      </c>
      <c r="AA32" s="14" t="str">
        <f>IF(INDEX('参数页-不同武将系数'!$AY:$AY,$Z32)="生命值百分比","生命百分比",IF(INDEX('参数页-不同武将系数'!$AY:$AY,$Z32)="防御百分比","防御力百分比",INDEX('参数页-不同武将系数'!$AY:$AY,$Z32)))</f>
        <v>技能伤害加成</v>
      </c>
      <c r="AB32" s="14" t="str">
        <f t="shared" si="9"/>
        <v>SkillDmgBonus</v>
      </c>
      <c r="AC32" s="14" t="str">
        <f t="shared" si="10"/>
        <v>percent</v>
      </c>
      <c r="AD32" s="14" t="str">
        <f t="shared" si="11"/>
        <v>技能伤害加成</v>
      </c>
      <c r="AE32" s="15">
        <f>IF($AC32="level",ROUND(((IF($G32="SSR",专武!$H$27,IF($G32="SR",专武!$I$27,专武!$J$27)))/专武!$S$27)*VLOOKUP($AD32,专武!$R$27:$S$49,2,0),0),ROUND(((IF($G32="SSR",专武!$H$27,IF($G32="SR",专武!$I$27,专武!$J$27)))/专武!$S$27)*VLOOKUP($AD32,专武!$R$27:$S$49,2,0),4))</f>
        <v>0.18</v>
      </c>
      <c r="AF32" s="15">
        <f>IF($AC32="level",ROUND(((IF($G32="SSR",专武!$H$28,IF($G32="SR",专武!$I$28,专武!$J$28)))/专武!$S$27)*VLOOKUP($AD32,专武!$R$27:$S$49,2,0),0),ROUND(((IF($G32="SSR",专武!$H$28,IF($G32="SR",专武!$I$28,专武!$J$28)))/专武!$S$27)*VLOOKUP($AD32,专武!$R$27:$S$49,2,0),4))</f>
        <v>0.228</v>
      </c>
      <c r="AG32" s="15">
        <f>IF($AC32="level",ROUND(((IF($G32="SSR",专武!$H$29,IF($G32="SR",专武!$I$29,专武!$J$29)))/专武!$S$27)*VLOOKUP($AD32,专武!$R$27:$S$49,2,0),0),ROUND(((IF($G32="SSR",专武!$H$29,IF($G32="SR",专武!$I$29,专武!$J$29)))/专武!$S$27)*VLOOKUP($AD32,专武!$R$27:$S$49,2,0),4))</f>
        <v>0.276</v>
      </c>
      <c r="AH32" s="15">
        <f>IF($AC32="level",ROUND(((IF($G32="SSR",专武!$H$30,IF($G32="SR",专武!$I$30,专武!$J$30)))/专武!$S$27)*VLOOKUP($AD32,专武!$R$27:$S$49,2,0),0),ROUND(((IF($G32="SSR",专武!$H$30,IF($G32="SR",专武!$I$30,专武!$J$30)))/专武!$S$27)*VLOOKUP($AD32,专武!$R$27:$S$49,2,0),4))</f>
        <v>0.312</v>
      </c>
      <c r="AI32" s="15">
        <f>IF($AC32="level",ROUND(((IF($G32="SSR",专武!$H$31,IF($G32="SR",专武!$I$31,专武!$J$31)))/专武!$S$27)*VLOOKUP($AD32,专武!$R$27:$S$49,2,0),0),ROUND(((IF($G32="SSR",专武!$H$31,IF($G32="SR",专武!$I$31,专武!$J$31)))/专武!$S$27)*VLOOKUP($AD32,专武!$R$27:$S$49,2,0),4))</f>
        <v>0.36</v>
      </c>
      <c r="AJ32" s="15"/>
      <c r="AK32" s="14" t="str">
        <f t="shared" si="12"/>
        <v>SkillDmgBonus,0.18;SkillDmgBonus,0.228;SkillDmgBonus,0.276;SkillDmgBonus,0.312;SkillDmgBonus,0.36</v>
      </c>
    </row>
    <row r="33" spans="2:37">
      <c r="B33" s="20">
        <f>53001</f>
        <v>53001</v>
      </c>
      <c r="C33" s="20" t="str">
        <f>INDEX('参数页-不同武将系数'!$B:$B,$Z33)</f>
        <v>防辐射贴纸</v>
      </c>
      <c r="D33" s="20">
        <f t="shared" si="0"/>
        <v>0</v>
      </c>
      <c r="E33" s="20">
        <f t="shared" si="1"/>
        <v>0</v>
      </c>
      <c r="F33" s="20"/>
      <c r="G33" s="20" t="str">
        <f>INDEX('参数页-不同武将系数'!$C:$C,$Z33)</f>
        <v>R</v>
      </c>
      <c r="H33" s="20">
        <f t="shared" si="2"/>
        <v>2</v>
      </c>
      <c r="I33" s="20" t="str">
        <f>IF(LEFT(INDEX('参数页-不同武将系数'!$D:$D,$Z33),2)="输出","输出",IF(LEFT(INDEX('参数页-不同武将系数'!$D:$D,$Z33),2)="坦克","防御",IF(LEFT(INDEX('参数页-不同武将系数'!$D:$D,$Z33),2)="辅助","辅助","")))</f>
        <v>防御</v>
      </c>
      <c r="J33" s="20" t="str">
        <f t="shared" si="3"/>
        <v>Tank</v>
      </c>
      <c r="K33" s="20"/>
      <c r="L33" s="20">
        <f t="shared" si="4"/>
        <v>1</v>
      </c>
      <c r="M33" s="22">
        <f>INDEX('参数页-不同武将系数'!$AQ:$AQ,$Z33)</f>
        <v>3456</v>
      </c>
      <c r="N33" s="22">
        <f>INDEX('参数页-不同武将系数'!$AR:$AR,$Z33)</f>
        <v>326.4</v>
      </c>
      <c r="O33" s="22">
        <f>INDEX('参数页-不同武将系数'!$AS:$AS,$Z33)</f>
        <v>324</v>
      </c>
      <c r="P33" s="22">
        <f>INDEX('参数页-不同武将系数'!$AT:$AT,$Z33)</f>
        <v>30.6</v>
      </c>
      <c r="Q33" s="22">
        <f>INDEX('参数页-不同武将系数'!$AU:$AU,$Z33)</f>
        <v>324</v>
      </c>
      <c r="R33" s="22">
        <f>INDEX('参数页-不同武将系数'!$AV:$AV,$Z33)</f>
        <v>30.6</v>
      </c>
      <c r="S33" s="22">
        <f>INDEX('参数页-不同武将系数'!$AW:$AW,$Z33)</f>
        <v>748.8</v>
      </c>
      <c r="T33" s="22">
        <f>INDEX('参数页-不同武将系数'!$AX:$AX,$Z33)</f>
        <v>70.72</v>
      </c>
      <c r="U33" s="20" t="str">
        <f t="shared" si="5"/>
        <v>4530011;4530012;4530013;4530014;4530015;4530016</v>
      </c>
      <c r="V33" s="20" t="str">
        <f t="shared" si="6"/>
        <v>ArmorBonus,0.1;ArmorBonus,0.125;ArmorBonus,0.15;ArmorBonus,0.175;ArmorBonus,0.2</v>
      </c>
      <c r="W33" s="20" t="str">
        <f t="shared" si="13"/>
        <v>UIRes/UIAtlas/Hero/HeroExclusiveWeapon/Temp/Icon_ExclusiveWeapon_003.png</v>
      </c>
      <c r="X33" s="20" t="b">
        <f t="shared" si="8"/>
        <v>1</v>
      </c>
      <c r="Z33" s="14">
        <f>MATCH("防辐射贴纸",'参数页-不同武将系数'!$B:$B,0)</f>
        <v>83</v>
      </c>
      <c r="AA33" s="14" t="str">
        <f>IF(INDEX('参数页-不同武将系数'!$AY:$AY,$Z33)="生命值百分比","生命百分比",IF(INDEX('参数页-不同武将系数'!$AY:$AY,$Z33)="防御百分比","防御力百分比",INDEX('参数页-不同武将系数'!$AY:$AY,$Z33)))</f>
        <v>防御力百分比</v>
      </c>
      <c r="AB33" s="14" t="str">
        <f t="shared" si="9"/>
        <v>ArmorBonus</v>
      </c>
      <c r="AC33" s="14" t="str">
        <f t="shared" si="10"/>
        <v>percent</v>
      </c>
      <c r="AD33" s="14" t="str">
        <f t="shared" si="11"/>
        <v>防御百分比</v>
      </c>
      <c r="AE33" s="15">
        <f>IF($AC33="level",ROUND(((IF($G33="SSR",专武!$H$27,IF($G33="SR",专武!$I$27,专武!$J$27)))/专武!$S$27)*VLOOKUP($AD33,专武!$R$27:$S$49,2,0),0),ROUND(((IF($G33="SSR",专武!$H$27,IF($G33="SR",专武!$I$27,专武!$J$27)))/专武!$S$27)*VLOOKUP($AD33,专武!$R$27:$S$49,2,0),4))</f>
        <v>0.1</v>
      </c>
      <c r="AF33" s="15">
        <f>IF($AC33="level",ROUND(((IF($G33="SSR",专武!$H$28,IF($G33="SR",专武!$I$28,专武!$J$28)))/专武!$S$27)*VLOOKUP($AD33,专武!$R$27:$S$49,2,0),0),ROUND(((IF($G33="SSR",专武!$H$28,IF($G33="SR",专武!$I$28,专武!$J$28)))/专武!$S$27)*VLOOKUP($AD33,专武!$R$27:$S$49,2,0),4))</f>
        <v>0.125</v>
      </c>
      <c r="AG33" s="15">
        <f>IF($AC33="level",ROUND(((IF($G33="SSR",专武!$H$29,IF($G33="SR",专武!$I$29,专武!$J$29)))/专武!$S$27)*VLOOKUP($AD33,专武!$R$27:$S$49,2,0),0),ROUND(((IF($G33="SSR",专武!$H$29,IF($G33="SR",专武!$I$29,专武!$J$29)))/专武!$S$27)*VLOOKUP($AD33,专武!$R$27:$S$49,2,0),4))</f>
        <v>0.15</v>
      </c>
      <c r="AH33" s="15">
        <f>IF($AC33="level",ROUND(((IF($G33="SSR",专武!$H$30,IF($G33="SR",专武!$I$30,专武!$J$30)))/专武!$S$27)*VLOOKUP($AD33,专武!$R$27:$S$49,2,0),0),ROUND(((IF($G33="SSR",专武!$H$30,IF($G33="SR",专武!$I$30,专武!$J$30)))/专武!$S$27)*VLOOKUP($AD33,专武!$R$27:$S$49,2,0),4))</f>
        <v>0.175</v>
      </c>
      <c r="AI33" s="15">
        <f>IF($AC33="level",ROUND(((IF($G33="SSR",专武!$H$31,IF($G33="SR",专武!$I$31,专武!$J$31)))/专武!$S$27)*VLOOKUP($AD33,专武!$R$27:$S$49,2,0),0),ROUND(((IF($G33="SSR",专武!$H$31,IF($G33="SR",专武!$I$31,专武!$J$31)))/专武!$S$27)*VLOOKUP($AD33,专武!$R$27:$S$49,2,0),4))</f>
        <v>0.2</v>
      </c>
      <c r="AJ33" s="15"/>
      <c r="AK33" s="14" t="str">
        <f t="shared" si="12"/>
        <v>ArmorBonus,0.1;ArmorBonus,0.125;ArmorBonus,0.15;ArmorBonus,0.175;ArmorBonus,0.2</v>
      </c>
    </row>
    <row r="34" spans="2:37">
      <c r="B34" s="20">
        <f>53002</f>
        <v>53002</v>
      </c>
      <c r="C34" s="20" t="str">
        <f>INDEX('参数页-不同武将系数'!$B:$B,$Z34)</f>
        <v>折射手镜</v>
      </c>
      <c r="D34" s="20">
        <f t="shared" si="0"/>
        <v>0</v>
      </c>
      <c r="E34" s="20">
        <f t="shared" si="1"/>
        <v>0</v>
      </c>
      <c r="F34" s="20"/>
      <c r="G34" s="20" t="str">
        <f>INDEX('参数页-不同武将系数'!$C:$C,$Z34)</f>
        <v>R</v>
      </c>
      <c r="H34" s="20">
        <f t="shared" si="2"/>
        <v>2</v>
      </c>
      <c r="I34" s="20" t="str">
        <f>IF(LEFT(INDEX('参数页-不同武将系数'!$D:$D,$Z34),2)="输出","输出",IF(LEFT(INDEX('参数页-不同武将系数'!$D:$D,$Z34),2)="坦克","防御",IF(LEFT(INDEX('参数页-不同武将系数'!$D:$D,$Z34),2)="辅助","辅助","")))</f>
        <v>输出</v>
      </c>
      <c r="J34" s="20" t="str">
        <f t="shared" si="3"/>
        <v>DPS</v>
      </c>
      <c r="K34" s="20"/>
      <c r="L34" s="20">
        <f t="shared" si="4"/>
        <v>1</v>
      </c>
      <c r="M34" s="22">
        <f>INDEX('参数页-不同武将系数'!$AQ:$AQ,$Z34)</f>
        <v>1728</v>
      </c>
      <c r="N34" s="22">
        <f>INDEX('参数页-不同武将系数'!$AR:$AR,$Z34)</f>
        <v>163.2</v>
      </c>
      <c r="O34" s="22">
        <f>INDEX('参数页-不同武将系数'!$AS:$AS,$Z34)</f>
        <v>691.2</v>
      </c>
      <c r="P34" s="22">
        <f>INDEX('参数页-不同武将系数'!$AT:$AT,$Z34)</f>
        <v>65.28</v>
      </c>
      <c r="Q34" s="22">
        <f>INDEX('参数页-不同武将系数'!$AU:$AU,$Z34)</f>
        <v>1123.2</v>
      </c>
      <c r="R34" s="22">
        <f>INDEX('参数页-不同武将系数'!$AV:$AV,$Z34)</f>
        <v>106.08</v>
      </c>
      <c r="S34" s="22">
        <f>INDEX('参数页-不同武将系数'!$AW:$AW,$Z34)</f>
        <v>480</v>
      </c>
      <c r="T34" s="22">
        <f>INDEX('参数页-不同武将系数'!$AX:$AX,$Z34)</f>
        <v>45.33</v>
      </c>
      <c r="U34" s="20" t="str">
        <f t="shared" si="5"/>
        <v>4530021;4530022;4530023;4530024;4530025;4530026</v>
      </c>
      <c r="V34" s="20" t="str">
        <f t="shared" si="6"/>
        <v>SkillDmgBonus,0.12;SkillDmgBonus,0.15;SkillDmgBonus,0.18;SkillDmgBonus,0.21;SkillDmgBonus,0.24</v>
      </c>
      <c r="W34" s="20" t="str">
        <f t="shared" si="13"/>
        <v>UIRes/UIAtlas/Hero/HeroExclusiveWeapon/Temp/Icon_ExclusiveWeapon_003.png</v>
      </c>
      <c r="X34" s="20" t="b">
        <f t="shared" si="8"/>
        <v>1</v>
      </c>
      <c r="Z34" s="14">
        <f>MATCH("折射手镜",'参数页-不同武将系数'!$B:$B,0)</f>
        <v>84</v>
      </c>
      <c r="AA34" s="14" t="str">
        <f>IF(INDEX('参数页-不同武将系数'!$AY:$AY,$Z34)="生命值百分比","生命百分比",IF(INDEX('参数页-不同武将系数'!$AY:$AY,$Z34)="防御百分比","防御力百分比",INDEX('参数页-不同武将系数'!$AY:$AY,$Z34)))</f>
        <v>技能伤害加成</v>
      </c>
      <c r="AB34" s="14" t="str">
        <f t="shared" si="9"/>
        <v>SkillDmgBonus</v>
      </c>
      <c r="AC34" s="14" t="str">
        <f t="shared" si="10"/>
        <v>percent</v>
      </c>
      <c r="AD34" s="14" t="str">
        <f t="shared" si="11"/>
        <v>技能伤害加成</v>
      </c>
      <c r="AE34" s="15">
        <f>IF($AC34="level",ROUND(((IF($G34="SSR",专武!$H$27,IF($G34="SR",专武!$I$27,专武!$J$27)))/专武!$S$27)*VLOOKUP($AD34,专武!$R$27:$S$49,2,0),0),ROUND(((IF($G34="SSR",专武!$H$27,IF($G34="SR",专武!$I$27,专武!$J$27)))/专武!$S$27)*VLOOKUP($AD34,专武!$R$27:$S$49,2,0),4))</f>
        <v>0.12</v>
      </c>
      <c r="AF34" s="15">
        <f>IF($AC34="level",ROUND(((IF($G34="SSR",专武!$H$28,IF($G34="SR",专武!$I$28,专武!$J$28)))/专武!$S$27)*VLOOKUP($AD34,专武!$R$27:$S$49,2,0),0),ROUND(((IF($G34="SSR",专武!$H$28,IF($G34="SR",专武!$I$28,专武!$J$28)))/专武!$S$27)*VLOOKUP($AD34,专武!$R$27:$S$49,2,0),4))</f>
        <v>0.15</v>
      </c>
      <c r="AG34" s="15">
        <f>IF($AC34="level",ROUND(((IF($G34="SSR",专武!$H$29,IF($G34="SR",专武!$I$29,专武!$J$29)))/专武!$S$27)*VLOOKUP($AD34,专武!$R$27:$S$49,2,0),0),ROUND(((IF($G34="SSR",专武!$H$29,IF($G34="SR",专武!$I$29,专武!$J$29)))/专武!$S$27)*VLOOKUP($AD34,专武!$R$27:$S$49,2,0),4))</f>
        <v>0.18</v>
      </c>
      <c r="AH34" s="15">
        <f>IF($AC34="level",ROUND(((IF($G34="SSR",专武!$H$30,IF($G34="SR",专武!$I$30,专武!$J$30)))/专武!$S$27)*VLOOKUP($AD34,专武!$R$27:$S$49,2,0),0),ROUND(((IF($G34="SSR",专武!$H$30,IF($G34="SR",专武!$I$30,专武!$J$30)))/专武!$S$27)*VLOOKUP($AD34,专武!$R$27:$S$49,2,0),4))</f>
        <v>0.21</v>
      </c>
      <c r="AI34" s="15">
        <f>IF($AC34="level",ROUND(((IF($G34="SSR",专武!$H$31,IF($G34="SR",专武!$I$31,专武!$J$31)))/专武!$S$27)*VLOOKUP($AD34,专武!$R$27:$S$49,2,0),0),ROUND(((IF($G34="SSR",专武!$H$31,IF($G34="SR",专武!$I$31,专武!$J$31)))/专武!$S$27)*VLOOKUP($AD34,专武!$R$27:$S$49,2,0),4))</f>
        <v>0.24</v>
      </c>
      <c r="AJ34" s="15"/>
      <c r="AK34" s="14" t="str">
        <f t="shared" si="12"/>
        <v>SkillDmgBonus,0.12;SkillDmgBonus,0.15;SkillDmgBonus,0.18;SkillDmgBonus,0.21;SkillDmgBonus,0.24</v>
      </c>
    </row>
    <row r="35" spans="2:37">
      <c r="B35" s="20">
        <f>53003</f>
        <v>53003</v>
      </c>
      <c r="C35" s="20" t="str">
        <f>INDEX('参数页-不同武将系数'!$B:$B,$Z35)</f>
        <v>运动腕带</v>
      </c>
      <c r="D35" s="20">
        <f t="shared" si="0"/>
        <v>0</v>
      </c>
      <c r="E35" s="20">
        <f t="shared" si="1"/>
        <v>0</v>
      </c>
      <c r="F35" s="20"/>
      <c r="G35" s="20" t="str">
        <f>INDEX('参数页-不同武将系数'!$C:$C,$Z35)</f>
        <v>R</v>
      </c>
      <c r="H35" s="20">
        <f t="shared" si="2"/>
        <v>2</v>
      </c>
      <c r="I35" s="20" t="str">
        <f>IF(LEFT(INDEX('参数页-不同武将系数'!$D:$D,$Z35),2)="输出","输出",IF(LEFT(INDEX('参数页-不同武将系数'!$D:$D,$Z35),2)="坦克","防御",IF(LEFT(INDEX('参数页-不同武将系数'!$D:$D,$Z35),2)="辅助","辅助","")))</f>
        <v>输出</v>
      </c>
      <c r="J35" s="20" t="str">
        <f t="shared" si="3"/>
        <v>DPS</v>
      </c>
      <c r="K35" s="20"/>
      <c r="L35" s="20">
        <f t="shared" si="4"/>
        <v>1</v>
      </c>
      <c r="M35" s="22">
        <f>INDEX('参数页-不同武将系数'!$AQ:$AQ,$Z35)</f>
        <v>2268</v>
      </c>
      <c r="N35" s="22">
        <f>INDEX('参数页-不同武将系数'!$AR:$AR,$Z35)</f>
        <v>214.2</v>
      </c>
      <c r="O35" s="22">
        <f>INDEX('参数页-不同武将系数'!$AS:$AS,$Z35)</f>
        <v>786.6</v>
      </c>
      <c r="P35" s="22">
        <f>INDEX('参数页-不同武将系数'!$AT:$AT,$Z35)</f>
        <v>74.29</v>
      </c>
      <c r="Q35" s="22">
        <f>INDEX('参数页-不同武将系数'!$AU:$AU,$Z35)</f>
        <v>786.6</v>
      </c>
      <c r="R35" s="22">
        <f>INDEX('参数页-不同武将系数'!$AV:$AV,$Z35)</f>
        <v>74.29</v>
      </c>
      <c r="S35" s="22">
        <f>INDEX('参数页-不同武将系数'!$AW:$AW,$Z35)</f>
        <v>384</v>
      </c>
      <c r="T35" s="22">
        <f>INDEX('参数页-不同武将系数'!$AX:$AX,$Z35)</f>
        <v>36.27</v>
      </c>
      <c r="U35" s="20" t="str">
        <f t="shared" si="5"/>
        <v>4530031;4530032;4530033;4530034;4530035;4530036</v>
      </c>
      <c r="V35" s="20" t="str">
        <f t="shared" si="6"/>
        <v>PhysicsAttackBonus,0.1;PhysicsAttackBonus,0.125;PhysicsAttackBonus,0.15;PhysicsAttackBonus,0.175;PhysicsAttackBonus,0.2</v>
      </c>
      <c r="W35" s="20" t="str">
        <f t="shared" si="13"/>
        <v>UIRes/UIAtlas/Hero/HeroExclusiveWeapon/Temp/Icon_ExclusiveWeapon_003.png</v>
      </c>
      <c r="X35" s="20" t="b">
        <f t="shared" si="8"/>
        <v>1</v>
      </c>
      <c r="Z35" s="14">
        <f>MATCH("运动腕带",'参数页-不同武将系数'!$B:$B,0)</f>
        <v>85</v>
      </c>
      <c r="AA35" s="14" t="str">
        <f>IF(INDEX('参数页-不同武将系数'!$AY:$AY,$Z35)="生命值百分比","生命百分比",IF(INDEX('参数页-不同武将系数'!$AY:$AY,$Z35)="防御百分比","防御力百分比",INDEX('参数页-不同武将系数'!$AY:$AY,$Z35)))</f>
        <v>攻击百分比</v>
      </c>
      <c r="AB35" s="14" t="str">
        <f t="shared" si="9"/>
        <v>PhysicsAttackBonus</v>
      </c>
      <c r="AC35" s="14" t="str">
        <f t="shared" si="10"/>
        <v>percent</v>
      </c>
      <c r="AD35" s="14" t="str">
        <f t="shared" si="11"/>
        <v>攻击百分比</v>
      </c>
      <c r="AE35" s="15">
        <f>IF($AC35="level",ROUND(((IF($G35="SSR",专武!$H$27,IF($G35="SR",专武!$I$27,专武!$J$27)))/专武!$S$27)*VLOOKUP($AD35,专武!$R$27:$S$49,2,0),0),ROUND(((IF($G35="SSR",专武!$H$27,IF($G35="SR",专武!$I$27,专武!$J$27)))/专武!$S$27)*VLOOKUP($AD35,专武!$R$27:$S$49,2,0),4))</f>
        <v>0.1</v>
      </c>
      <c r="AF35" s="15">
        <f>IF($AC35="level",ROUND(((IF($G35="SSR",专武!$H$28,IF($G35="SR",专武!$I$28,专武!$J$28)))/专武!$S$27)*VLOOKUP($AD35,专武!$R$27:$S$49,2,0),0),ROUND(((IF($G35="SSR",专武!$H$28,IF($G35="SR",专武!$I$28,专武!$J$28)))/专武!$S$27)*VLOOKUP($AD35,专武!$R$27:$S$49,2,0),4))</f>
        <v>0.125</v>
      </c>
      <c r="AG35" s="15">
        <f>IF($AC35="level",ROUND(((IF($G35="SSR",专武!$H$29,IF($G35="SR",专武!$I$29,专武!$J$29)))/专武!$S$27)*VLOOKUP($AD35,专武!$R$27:$S$49,2,0),0),ROUND(((IF($G35="SSR",专武!$H$29,IF($G35="SR",专武!$I$29,专武!$J$29)))/专武!$S$27)*VLOOKUP($AD35,专武!$R$27:$S$49,2,0),4))</f>
        <v>0.15</v>
      </c>
      <c r="AH35" s="15">
        <f>IF($AC35="level",ROUND(((IF($G35="SSR",专武!$H$30,IF($G35="SR",专武!$I$30,专武!$J$30)))/专武!$S$27)*VLOOKUP($AD35,专武!$R$27:$S$49,2,0),0),ROUND(((IF($G35="SSR",专武!$H$30,IF($G35="SR",专武!$I$30,专武!$J$30)))/专武!$S$27)*VLOOKUP($AD35,专武!$R$27:$S$49,2,0),4))</f>
        <v>0.175</v>
      </c>
      <c r="AI35" s="15">
        <f>IF($AC35="level",ROUND(((IF($G35="SSR",专武!$H$31,IF($G35="SR",专武!$I$31,专武!$J$31)))/专武!$S$27)*VLOOKUP($AD35,专武!$R$27:$S$49,2,0),0),ROUND(((IF($G35="SSR",专武!$H$31,IF($G35="SR",专武!$I$31,专武!$J$31)))/专武!$S$27)*VLOOKUP($AD35,专武!$R$27:$S$49,2,0),4))</f>
        <v>0.2</v>
      </c>
      <c r="AJ35" s="15"/>
      <c r="AK35" s="14" t="str">
        <f t="shared" si="12"/>
        <v>PhysicsAttackBonus,0.1;PhysicsAttackBonus,0.125;PhysicsAttackBonus,0.15;PhysicsAttackBonus,0.175;PhysicsAttackBonus,0.2</v>
      </c>
    </row>
    <row r="36" spans="2:37">
      <c r="B36" s="20">
        <f>53004</f>
        <v>53004</v>
      </c>
      <c r="C36" s="20" t="str">
        <f>INDEX('参数页-不同武将系数'!$B:$B,$Z36)</f>
        <v>流星吊坠</v>
      </c>
      <c r="D36" s="20">
        <f t="shared" si="0"/>
        <v>0</v>
      </c>
      <c r="E36" s="20">
        <f t="shared" si="1"/>
        <v>0</v>
      </c>
      <c r="F36" s="20"/>
      <c r="G36" s="20" t="str">
        <f>INDEX('参数页-不同武将系数'!$C:$C,$Z36)</f>
        <v>R</v>
      </c>
      <c r="H36" s="20">
        <f t="shared" si="2"/>
        <v>2</v>
      </c>
      <c r="I36" s="20" t="str">
        <f>IF(LEFT(INDEX('参数页-不同武将系数'!$D:$D,$Z36),2)="输出","输出",IF(LEFT(INDEX('参数页-不同武将系数'!$D:$D,$Z36),2)="坦克","防御",IF(LEFT(INDEX('参数页-不同武将系数'!$D:$D,$Z36),2)="辅助","辅助","")))</f>
        <v>输出</v>
      </c>
      <c r="J36" s="20" t="str">
        <f t="shared" si="3"/>
        <v>DPS</v>
      </c>
      <c r="K36" s="20"/>
      <c r="L36" s="20">
        <f t="shared" si="4"/>
        <v>1</v>
      </c>
      <c r="M36" s="22">
        <f>INDEX('参数页-不同武将系数'!$AQ:$AQ,$Z36)</f>
        <v>1728</v>
      </c>
      <c r="N36" s="22">
        <f>INDEX('参数页-不同武将系数'!$AR:$AR,$Z36)</f>
        <v>163.2</v>
      </c>
      <c r="O36" s="22">
        <f>INDEX('参数页-不同武将系数'!$AS:$AS,$Z36)</f>
        <v>691.2</v>
      </c>
      <c r="P36" s="22">
        <f>INDEX('参数页-不同武将系数'!$AT:$AT,$Z36)</f>
        <v>65.28</v>
      </c>
      <c r="Q36" s="22">
        <f>INDEX('参数页-不同武将系数'!$AU:$AU,$Z36)</f>
        <v>1123.2</v>
      </c>
      <c r="R36" s="22">
        <f>INDEX('参数页-不同武将系数'!$AV:$AV,$Z36)</f>
        <v>106.08</v>
      </c>
      <c r="S36" s="22">
        <f>INDEX('参数页-不同武将系数'!$AW:$AW,$Z36)</f>
        <v>480</v>
      </c>
      <c r="T36" s="22">
        <f>INDEX('参数页-不同武将系数'!$AX:$AX,$Z36)</f>
        <v>45.33</v>
      </c>
      <c r="U36" s="20" t="str">
        <f t="shared" si="5"/>
        <v>4530041;4530042;4530043;4530044;4530045;4530046</v>
      </c>
      <c r="V36" s="20" t="str">
        <f t="shared" si="6"/>
        <v>PhysicsAttackBonus,0.1;PhysicsAttackBonus,0.125;PhysicsAttackBonus,0.15;PhysicsAttackBonus,0.175;PhysicsAttackBonus,0.2</v>
      </c>
      <c r="W36" s="20" t="str">
        <f t="shared" si="13"/>
        <v>UIRes/UIAtlas/Hero/HeroExclusiveWeapon/Temp/Icon_ExclusiveWeapon_003.png</v>
      </c>
      <c r="X36" s="20" t="b">
        <f t="shared" si="8"/>
        <v>1</v>
      </c>
      <c r="Z36" s="14">
        <f>MATCH("流星吊坠",'参数页-不同武将系数'!$B:$B,0)</f>
        <v>86</v>
      </c>
      <c r="AA36" s="14" t="str">
        <f>IF(INDEX('参数页-不同武将系数'!$AY:$AY,$Z36)="生命值百分比","生命百分比",IF(INDEX('参数页-不同武将系数'!$AY:$AY,$Z36)="防御百分比","防御力百分比",INDEX('参数页-不同武将系数'!$AY:$AY,$Z36)))</f>
        <v>攻击百分比</v>
      </c>
      <c r="AB36" s="14" t="str">
        <f t="shared" si="9"/>
        <v>PhysicsAttackBonus</v>
      </c>
      <c r="AC36" s="14" t="str">
        <f t="shared" si="10"/>
        <v>percent</v>
      </c>
      <c r="AD36" s="14" t="str">
        <f t="shared" si="11"/>
        <v>攻击百分比</v>
      </c>
      <c r="AE36" s="15">
        <f>IF($AC36="level",ROUND(((IF($G36="SSR",专武!$H$27,IF($G36="SR",专武!$I$27,专武!$J$27)))/专武!$S$27)*VLOOKUP($AD36,专武!$R$27:$S$49,2,0),0),ROUND(((IF($G36="SSR",专武!$H$27,IF($G36="SR",专武!$I$27,专武!$J$27)))/专武!$S$27)*VLOOKUP($AD36,专武!$R$27:$S$49,2,0),4))</f>
        <v>0.1</v>
      </c>
      <c r="AF36" s="15">
        <f>IF($AC36="level",ROUND(((IF($G36="SSR",专武!$H$28,IF($G36="SR",专武!$I$28,专武!$J$28)))/专武!$S$27)*VLOOKUP($AD36,专武!$R$27:$S$49,2,0),0),ROUND(((IF($G36="SSR",专武!$H$28,IF($G36="SR",专武!$I$28,专武!$J$28)))/专武!$S$27)*VLOOKUP($AD36,专武!$R$27:$S$49,2,0),4))</f>
        <v>0.125</v>
      </c>
      <c r="AG36" s="15">
        <f>IF($AC36="level",ROUND(((IF($G36="SSR",专武!$H$29,IF($G36="SR",专武!$I$29,专武!$J$29)))/专武!$S$27)*VLOOKUP($AD36,专武!$R$27:$S$49,2,0),0),ROUND(((IF($G36="SSR",专武!$H$29,IF($G36="SR",专武!$I$29,专武!$J$29)))/专武!$S$27)*VLOOKUP($AD36,专武!$R$27:$S$49,2,0),4))</f>
        <v>0.15</v>
      </c>
      <c r="AH36" s="15">
        <f>IF($AC36="level",ROUND(((IF($G36="SSR",专武!$H$30,IF($G36="SR",专武!$I$30,专武!$J$30)))/专武!$S$27)*VLOOKUP($AD36,专武!$R$27:$S$49,2,0),0),ROUND(((IF($G36="SSR",专武!$H$30,IF($G36="SR",专武!$I$30,专武!$J$30)))/专武!$S$27)*VLOOKUP($AD36,专武!$R$27:$S$49,2,0),4))</f>
        <v>0.175</v>
      </c>
      <c r="AI36" s="15">
        <f>IF($AC36="level",ROUND(((IF($G36="SSR",专武!$H$31,IF($G36="SR",专武!$I$31,专武!$J$31)))/专武!$S$27)*VLOOKUP($AD36,专武!$R$27:$S$49,2,0),0),ROUND(((IF($G36="SSR",专武!$H$31,IF($G36="SR",专武!$I$31,专武!$J$31)))/专武!$S$27)*VLOOKUP($AD36,专武!$R$27:$S$49,2,0),4))</f>
        <v>0.2</v>
      </c>
      <c r="AJ36" s="15"/>
      <c r="AK36" s="14" t="str">
        <f t="shared" si="12"/>
        <v>PhysicsAttackBonus,0.1;PhysicsAttackBonus,0.125;PhysicsAttackBonus,0.15;PhysicsAttackBonus,0.175;PhysicsAttackBonus,0.2</v>
      </c>
    </row>
    <row r="37" spans="2:37">
      <c r="B37" s="20">
        <f>53005</f>
        <v>53005</v>
      </c>
      <c r="C37" s="20" t="str">
        <f>INDEX('参数页-不同武将系数'!$B:$B,$Z37)</f>
        <v>随身充电宝</v>
      </c>
      <c r="D37" s="20">
        <f t="shared" si="0"/>
        <v>0</v>
      </c>
      <c r="E37" s="20">
        <f t="shared" si="1"/>
        <v>0</v>
      </c>
      <c r="F37" s="20"/>
      <c r="G37" s="20" t="str">
        <f>INDEX('参数页-不同武将系数'!$C:$C,$Z37)</f>
        <v>R</v>
      </c>
      <c r="H37" s="20">
        <f t="shared" si="2"/>
        <v>2</v>
      </c>
      <c r="I37" s="20" t="str">
        <f>IF(LEFT(INDEX('参数页-不同武将系数'!$D:$D,$Z37),2)="输出","输出",IF(LEFT(INDEX('参数页-不同武将系数'!$D:$D,$Z37),2)="坦克","防御",IF(LEFT(INDEX('参数页-不同武将系数'!$D:$D,$Z37),2)="辅助","辅助","")))</f>
        <v>辅助</v>
      </c>
      <c r="J37" s="20" t="str">
        <f t="shared" si="3"/>
        <v>Support</v>
      </c>
      <c r="K37" s="20"/>
      <c r="L37" s="20">
        <f t="shared" si="4"/>
        <v>1</v>
      </c>
      <c r="M37" s="22">
        <f>INDEX('参数页-不同武将系数'!$AQ:$AQ,$Z37)</f>
        <v>2904</v>
      </c>
      <c r="N37" s="22">
        <f>INDEX('参数页-不同武将系数'!$AR:$AR,$Z37)</f>
        <v>274.27</v>
      </c>
      <c r="O37" s="22">
        <f>INDEX('参数页-不同武将系数'!$AS:$AS,$Z37)</f>
        <v>550.8</v>
      </c>
      <c r="P37" s="22">
        <f>INDEX('参数页-不同武将系数'!$AT:$AT,$Z37)</f>
        <v>52.02</v>
      </c>
      <c r="Q37" s="22">
        <f>INDEX('参数页-不同武将系数'!$AU:$AU,$Z37)</f>
        <v>550.8</v>
      </c>
      <c r="R37" s="22">
        <f>INDEX('参数页-不同武将系数'!$AV:$AV,$Z37)</f>
        <v>52.02</v>
      </c>
      <c r="S37" s="22">
        <f>INDEX('参数页-不同武将系数'!$AW:$AW,$Z37)</f>
        <v>554.4</v>
      </c>
      <c r="T37" s="22">
        <f>INDEX('参数页-不同武将系数'!$AX:$AX,$Z37)</f>
        <v>52.36</v>
      </c>
      <c r="U37" s="20" t="str">
        <f t="shared" si="5"/>
        <v>4530051;4530052;4530053;4530054;4530055;4530056</v>
      </c>
      <c r="V37" s="20" t="str">
        <f t="shared" si="6"/>
        <v>EnergyPreAddBonusLevel,900;EnergyPreAddBonusLevel,1125;EnergyPreAddBonusLevel,1350;EnergyPreAddBonusLevel,1575;EnergyPreAddBonusLevel,1800</v>
      </c>
      <c r="W37" s="20" t="str">
        <f t="shared" si="13"/>
        <v>UIRes/UIAtlas/Hero/HeroExclusiveWeapon/Temp/Icon_ExclusiveWeapon_003.png</v>
      </c>
      <c r="X37" s="20" t="b">
        <f t="shared" si="8"/>
        <v>1</v>
      </c>
      <c r="Z37" s="14">
        <f>MATCH("随身充电宝",'参数页-不同武将系数'!$B:$B,0)</f>
        <v>87</v>
      </c>
      <c r="AA37" s="14" t="str">
        <f>IF(INDEX('参数页-不同武将系数'!$AY:$AY,$Z37)="生命值百分比","生命百分比",IF(INDEX('参数页-不同武将系数'!$AY:$AY,$Z37)="防御百分比","防御力百分比",INDEX('参数页-不同武将系数'!$AY:$AY,$Z37)))</f>
        <v>能量回复等级</v>
      </c>
      <c r="AB37" s="14" t="str">
        <f t="shared" si="9"/>
        <v>EnergyPreAddBonusLevel</v>
      </c>
      <c r="AC37" s="14" t="str">
        <f t="shared" si="10"/>
        <v>level</v>
      </c>
      <c r="AD37" s="14" t="str">
        <f t="shared" si="11"/>
        <v>能量回复等级</v>
      </c>
      <c r="AE37" s="15">
        <f>IF($AC37="level",ROUND(((IF($G37="SSR",专武!$H$27,IF($G37="SR",专武!$I$27,专武!$J$27)))/专武!$S$27)*VLOOKUP($AD37,专武!$R$27:$S$49,2,0),0),ROUND(((IF($G37="SSR",专武!$H$27,IF($G37="SR",专武!$I$27,专武!$J$27)))/专武!$S$27)*VLOOKUP($AD37,专武!$R$27:$S$49,2,0),4))</f>
        <v>900</v>
      </c>
      <c r="AF37" s="15">
        <f>IF($AC37="level",ROUND(((IF($G37="SSR",专武!$H$28,IF($G37="SR",专武!$I$28,专武!$J$28)))/专武!$S$27)*VLOOKUP($AD37,专武!$R$27:$S$49,2,0),0),ROUND(((IF($G37="SSR",专武!$H$28,IF($G37="SR",专武!$I$28,专武!$J$28)))/专武!$S$27)*VLOOKUP($AD37,专武!$R$27:$S$49,2,0),4))</f>
        <v>1125</v>
      </c>
      <c r="AG37" s="15">
        <f>IF($AC37="level",ROUND(((IF($G37="SSR",专武!$H$29,IF($G37="SR",专武!$I$29,专武!$J$29)))/专武!$S$27)*VLOOKUP($AD37,专武!$R$27:$S$49,2,0),0),ROUND(((IF($G37="SSR",专武!$H$29,IF($G37="SR",专武!$I$29,专武!$J$29)))/专武!$S$27)*VLOOKUP($AD37,专武!$R$27:$S$49,2,0),4))</f>
        <v>1350</v>
      </c>
      <c r="AH37" s="15">
        <f>IF($AC37="level",ROUND(((IF($G37="SSR",专武!$H$30,IF($G37="SR",专武!$I$30,专武!$J$30)))/专武!$S$27)*VLOOKUP($AD37,专武!$R$27:$S$49,2,0),0),ROUND(((IF($G37="SSR",专武!$H$30,IF($G37="SR",专武!$I$30,专武!$J$30)))/专武!$S$27)*VLOOKUP($AD37,专武!$R$27:$S$49,2,0),4))</f>
        <v>1575</v>
      </c>
      <c r="AI37" s="15">
        <f>IF($AC37="level",ROUND(((IF($G37="SSR",专武!$H$31,IF($G37="SR",专武!$I$31,专武!$J$31)))/专武!$S$27)*VLOOKUP($AD37,专武!$R$27:$S$49,2,0),0),ROUND(((IF($G37="SSR",专武!$H$31,IF($G37="SR",专武!$I$31,专武!$J$31)))/专武!$S$27)*VLOOKUP($AD37,专武!$R$27:$S$49,2,0),4))</f>
        <v>1800</v>
      </c>
      <c r="AJ37" s="15"/>
      <c r="AK37" s="14" t="str">
        <f t="shared" si="12"/>
        <v>EnergyPreAddBonusLevel,900;EnergyPreAddBonusLevel,1125;EnergyPreAddBonusLevel,1350;EnergyPreAddBonusLevel,1575;EnergyPreAddBonusLevel,1800</v>
      </c>
    </row>
    <row r="38" spans="2:37">
      <c r="B38" s="20">
        <f>53006</f>
        <v>53006</v>
      </c>
      <c r="C38" s="20" t="str">
        <f>INDEX('参数页-不同武将系数'!$B:$B,$Z38)</f>
        <v>事运符</v>
      </c>
      <c r="D38" s="20">
        <f t="shared" si="0"/>
        <v>0</v>
      </c>
      <c r="E38" s="20">
        <f t="shared" si="1"/>
        <v>0</v>
      </c>
      <c r="F38" s="20"/>
      <c r="G38" s="20" t="str">
        <f>INDEX('参数页-不同武将系数'!$C:$C,$Z38)</f>
        <v>R</v>
      </c>
      <c r="H38" s="20">
        <f t="shared" si="2"/>
        <v>2</v>
      </c>
      <c r="I38" s="20" t="str">
        <f>IF(LEFT(INDEX('参数页-不同武将系数'!$D:$D,$Z38),2)="输出","输出",IF(LEFT(INDEX('参数页-不同武将系数'!$D:$D,$Z38),2)="坦克","防御",IF(LEFT(INDEX('参数页-不同武将系数'!$D:$D,$Z38),2)="辅助","辅助","")))</f>
        <v>输出</v>
      </c>
      <c r="J38" s="20" t="str">
        <f t="shared" si="3"/>
        <v>DPS</v>
      </c>
      <c r="K38" s="20"/>
      <c r="L38" s="20">
        <f t="shared" si="4"/>
        <v>1</v>
      </c>
      <c r="M38" s="22">
        <f>INDEX('参数页-不同武将系数'!$AQ:$AQ,$Z38)</f>
        <v>1728</v>
      </c>
      <c r="N38" s="22">
        <f>INDEX('参数页-不同武将系数'!$AR:$AR,$Z38)</f>
        <v>163.2</v>
      </c>
      <c r="O38" s="22">
        <f>INDEX('参数页-不同武将系数'!$AS:$AS,$Z38)</f>
        <v>993.6</v>
      </c>
      <c r="P38" s="22">
        <f>INDEX('参数页-不同武将系数'!$AT:$AT,$Z38)</f>
        <v>93.84</v>
      </c>
      <c r="Q38" s="22">
        <f>INDEX('参数页-不同武将系数'!$AU:$AU,$Z38)</f>
        <v>993.6</v>
      </c>
      <c r="R38" s="22">
        <f>INDEX('参数页-不同武将系数'!$AV:$AV,$Z38)</f>
        <v>93.84</v>
      </c>
      <c r="S38" s="22">
        <f>INDEX('参数页-不同武将系数'!$AW:$AW,$Z38)</f>
        <v>384</v>
      </c>
      <c r="T38" s="22">
        <f>INDEX('参数页-不同武将系数'!$AX:$AX,$Z38)</f>
        <v>36.27</v>
      </c>
      <c r="U38" s="20" t="str">
        <f t="shared" si="5"/>
        <v>4530061;4530062;4530063;4530064;4530065;4530066</v>
      </c>
      <c r="V38" s="20" t="str">
        <f t="shared" si="6"/>
        <v>UltimateDmgBonus,0.12;UltimateDmgBonus,0.15;UltimateDmgBonus,0.18;UltimateDmgBonus,0.21;UltimateDmgBonus,0.24</v>
      </c>
      <c r="W38" s="20" t="str">
        <f t="shared" si="13"/>
        <v>UIRes/UIAtlas/Hero/HeroExclusiveWeapon/Temp/Icon_ExclusiveWeapon_003.png</v>
      </c>
      <c r="X38" s="20" t="b">
        <f t="shared" si="8"/>
        <v>1</v>
      </c>
      <c r="Z38" s="14">
        <f>MATCH("事运符",'参数页-不同武将系数'!$B:$B,0)</f>
        <v>88</v>
      </c>
      <c r="AA38" s="14" t="str">
        <f>IF(INDEX('参数页-不同武将系数'!$AY:$AY,$Z38)="生命值百分比","生命百分比",IF(INDEX('参数页-不同武将系数'!$AY:$AY,$Z38)="防御百分比","防御力百分比",INDEX('参数页-不同武将系数'!$AY:$AY,$Z38)))</f>
        <v>必杀伤害加成</v>
      </c>
      <c r="AB38" s="14" t="str">
        <f t="shared" si="9"/>
        <v>UltimateDmgBonus</v>
      </c>
      <c r="AC38" s="14" t="str">
        <f t="shared" si="10"/>
        <v>percent</v>
      </c>
      <c r="AD38" s="14" t="str">
        <f t="shared" si="11"/>
        <v>必杀伤害加成</v>
      </c>
      <c r="AE38" s="15">
        <f>IF($AC38="level",ROUND(((IF($G38="SSR",专武!$H$27,IF($G38="SR",专武!$I$27,专武!$J$27)))/专武!$S$27)*VLOOKUP($AD38,专武!$R$27:$S$49,2,0),0),ROUND(((IF($G38="SSR",专武!$H$27,IF($G38="SR",专武!$I$27,专武!$J$27)))/专武!$S$27)*VLOOKUP($AD38,专武!$R$27:$S$49,2,0),4))</f>
        <v>0.12</v>
      </c>
      <c r="AF38" s="15">
        <f>IF($AC38="level",ROUND(((IF($G38="SSR",专武!$H$28,IF($G38="SR",专武!$I$28,专武!$J$28)))/专武!$S$27)*VLOOKUP($AD38,专武!$R$27:$S$49,2,0),0),ROUND(((IF($G38="SSR",专武!$H$28,IF($G38="SR",专武!$I$28,专武!$J$28)))/专武!$S$27)*VLOOKUP($AD38,专武!$R$27:$S$49,2,0),4))</f>
        <v>0.15</v>
      </c>
      <c r="AG38" s="15">
        <f>IF($AC38="level",ROUND(((IF($G38="SSR",专武!$H$29,IF($G38="SR",专武!$I$29,专武!$J$29)))/专武!$S$27)*VLOOKUP($AD38,专武!$R$27:$S$49,2,0),0),ROUND(((IF($G38="SSR",专武!$H$29,IF($G38="SR",专武!$I$29,专武!$J$29)))/专武!$S$27)*VLOOKUP($AD38,专武!$R$27:$S$49,2,0),4))</f>
        <v>0.18</v>
      </c>
      <c r="AH38" s="15">
        <f>IF($AC38="level",ROUND(((IF($G38="SSR",专武!$H$30,IF($G38="SR",专武!$I$30,专武!$J$30)))/专武!$S$27)*VLOOKUP($AD38,专武!$R$27:$S$49,2,0),0),ROUND(((IF($G38="SSR",专武!$H$30,IF($G38="SR",专武!$I$30,专武!$J$30)))/专武!$S$27)*VLOOKUP($AD38,专武!$R$27:$S$49,2,0),4))</f>
        <v>0.21</v>
      </c>
      <c r="AI38" s="15">
        <f>IF($AC38="level",ROUND(((IF($G38="SSR",专武!$H$31,IF($G38="SR",专武!$I$31,专武!$J$31)))/专武!$S$27)*VLOOKUP($AD38,专武!$R$27:$S$49,2,0),0),ROUND(((IF($G38="SSR",专武!$H$31,IF($G38="SR",专武!$I$31,专武!$J$31)))/专武!$S$27)*VLOOKUP($AD38,专武!$R$27:$S$49,2,0),4))</f>
        <v>0.24</v>
      </c>
      <c r="AJ38" s="15"/>
      <c r="AK38" s="14" t="str">
        <f t="shared" si="12"/>
        <v>UltimateDmgBonus,0.12;UltimateDmgBonus,0.15;UltimateDmgBonus,0.18;UltimateDmgBonus,0.21;UltimateDmgBonus,0.24</v>
      </c>
    </row>
    <row r="39" spans="2:37">
      <c r="B39" s="20">
        <f>53007</f>
        <v>53007</v>
      </c>
      <c r="C39" s="20" t="str">
        <f>INDEX('参数页-不同武将系数'!$B:$B,$Z39)</f>
        <v>棉花拳套</v>
      </c>
      <c r="D39" s="20">
        <f t="shared" si="0"/>
        <v>0</v>
      </c>
      <c r="E39" s="20">
        <f t="shared" si="1"/>
        <v>0</v>
      </c>
      <c r="F39" s="20"/>
      <c r="G39" s="20" t="str">
        <f>INDEX('参数页-不同武将系数'!$C:$C,$Z39)</f>
        <v>R</v>
      </c>
      <c r="H39" s="20">
        <f t="shared" si="2"/>
        <v>2</v>
      </c>
      <c r="I39" s="20" t="str">
        <f>IF(LEFT(INDEX('参数页-不同武将系数'!$D:$D,$Z39),2)="输出","输出",IF(LEFT(INDEX('参数页-不同武将系数'!$D:$D,$Z39),2)="坦克","防御",IF(LEFT(INDEX('参数页-不同武将系数'!$D:$D,$Z39),2)="辅助","辅助","")))</f>
        <v>输出</v>
      </c>
      <c r="J39" s="20" t="str">
        <f t="shared" si="3"/>
        <v>DPS</v>
      </c>
      <c r="K39" s="20"/>
      <c r="L39" s="20">
        <f t="shared" si="4"/>
        <v>1</v>
      </c>
      <c r="M39" s="22">
        <f>INDEX('参数页-不同武将系数'!$AQ:$AQ,$Z39)</f>
        <v>2052</v>
      </c>
      <c r="N39" s="22">
        <f>INDEX('参数页-不同武将系数'!$AR:$AR,$Z39)</f>
        <v>193.8</v>
      </c>
      <c r="O39" s="22">
        <f>INDEX('参数页-不同武将系数'!$AS:$AS,$Z39)</f>
        <v>990</v>
      </c>
      <c r="P39" s="22">
        <f>INDEX('参数页-不同武将系数'!$AT:$AT,$Z39)</f>
        <v>93.5</v>
      </c>
      <c r="Q39" s="22">
        <f>INDEX('参数页-不同武将系数'!$AU:$AU,$Z39)</f>
        <v>633.6</v>
      </c>
      <c r="R39" s="22">
        <f>INDEX('参数页-不同武将系数'!$AV:$AV,$Z39)</f>
        <v>59.84</v>
      </c>
      <c r="S39" s="22">
        <f>INDEX('参数页-不同武将系数'!$AW:$AW,$Z39)</f>
        <v>480</v>
      </c>
      <c r="T39" s="22">
        <f>INDEX('参数页-不同武将系数'!$AX:$AX,$Z39)</f>
        <v>45.33</v>
      </c>
      <c r="U39" s="20" t="str">
        <f t="shared" si="5"/>
        <v>4530071;4530072;4530073;4530074;4530075;4530076</v>
      </c>
      <c r="V39" s="20" t="str">
        <f t="shared" si="6"/>
        <v>NormalAttackDmgBonus,0.09;NormalAttackDmgBonus,0.1125;NormalAttackDmgBonus,0.135;NormalAttackDmgBonus,0.1575;NormalAttackDmgBonus,0.18</v>
      </c>
      <c r="W39" s="20" t="str">
        <f t="shared" si="13"/>
        <v>UIRes/UIAtlas/Hero/HeroExclusiveWeapon/Temp/Icon_ExclusiveWeapon_003.png</v>
      </c>
      <c r="X39" s="20" t="b">
        <f t="shared" si="8"/>
        <v>1</v>
      </c>
      <c r="Z39" s="14">
        <f>MATCH("棉花拳套",'参数页-不同武将系数'!$B:$B,0)</f>
        <v>89</v>
      </c>
      <c r="AA39" s="14" t="str">
        <f>IF(INDEX('参数页-不同武将系数'!$AY:$AY,$Z39)="生命值百分比","生命百分比",IF(INDEX('参数页-不同武将系数'!$AY:$AY,$Z39)="防御百分比","防御力百分比",INDEX('参数页-不同武将系数'!$AY:$AY,$Z39)))</f>
        <v>普攻伤害加成</v>
      </c>
      <c r="AB39" s="14" t="str">
        <f t="shared" si="9"/>
        <v>NormalAttackDmgBonus</v>
      </c>
      <c r="AC39" s="14" t="str">
        <f t="shared" si="10"/>
        <v>percent</v>
      </c>
      <c r="AD39" s="14" t="str">
        <f t="shared" si="11"/>
        <v>普攻伤害加成</v>
      </c>
      <c r="AE39" s="15">
        <f>IF($AC39="level",ROUND(((IF($G39="SSR",专武!$H$27,IF($G39="SR",专武!$I$27,专武!$J$27)))/专武!$S$27)*VLOOKUP($AD39,专武!$R$27:$S$49,2,0),0),ROUND(((IF($G39="SSR",专武!$H$27,IF($G39="SR",专武!$I$27,专武!$J$27)))/专武!$S$27)*VLOOKUP($AD39,专武!$R$27:$S$49,2,0),4))</f>
        <v>0.09</v>
      </c>
      <c r="AF39" s="15">
        <f>IF($AC39="level",ROUND(((IF($G39="SSR",专武!$H$28,IF($G39="SR",专武!$I$28,专武!$J$28)))/专武!$S$27)*VLOOKUP($AD39,专武!$R$27:$S$49,2,0),0),ROUND(((IF($G39="SSR",专武!$H$28,IF($G39="SR",专武!$I$28,专武!$J$28)))/专武!$S$27)*VLOOKUP($AD39,专武!$R$27:$S$49,2,0),4))</f>
        <v>0.1125</v>
      </c>
      <c r="AG39" s="15">
        <f>IF($AC39="level",ROUND(((IF($G39="SSR",专武!$H$29,IF($G39="SR",专武!$I$29,专武!$J$29)))/专武!$S$27)*VLOOKUP($AD39,专武!$R$27:$S$49,2,0),0),ROUND(((IF($G39="SSR",专武!$H$29,IF($G39="SR",专武!$I$29,专武!$J$29)))/专武!$S$27)*VLOOKUP($AD39,专武!$R$27:$S$49,2,0),4))</f>
        <v>0.135</v>
      </c>
      <c r="AH39" s="15">
        <f>IF($AC39="level",ROUND(((IF($G39="SSR",专武!$H$30,IF($G39="SR",专武!$I$30,专武!$J$30)))/专武!$S$27)*VLOOKUP($AD39,专武!$R$27:$S$49,2,0),0),ROUND(((IF($G39="SSR",专武!$H$30,IF($G39="SR",专武!$I$30,专武!$J$30)))/专武!$S$27)*VLOOKUP($AD39,专武!$R$27:$S$49,2,0),4))</f>
        <v>0.1575</v>
      </c>
      <c r="AI39" s="15">
        <f>IF($AC39="level",ROUND(((IF($G39="SSR",专武!$H$31,IF($G39="SR",专武!$I$31,专武!$J$31)))/专武!$S$27)*VLOOKUP($AD39,专武!$R$27:$S$49,2,0),0),ROUND(((IF($G39="SSR",专武!$H$31,IF($G39="SR",专武!$I$31,专武!$J$31)))/专武!$S$27)*VLOOKUP($AD39,专武!$R$27:$S$49,2,0),4))</f>
        <v>0.18</v>
      </c>
      <c r="AJ39" s="15"/>
      <c r="AK39" s="14" t="str">
        <f t="shared" si="12"/>
        <v>NormalAttackDmgBonus,0.09;NormalAttackDmgBonus,0.1125;NormalAttackDmgBonus,0.135;NormalAttackDmgBonus,0.1575;NormalAttackDmgBonus,0.18</v>
      </c>
    </row>
    <row r="40" spans="2:37">
      <c r="B40" s="20">
        <f>53008</f>
        <v>53008</v>
      </c>
      <c r="C40" s="20" t="str">
        <f>INDEX('参数页-不同武将系数'!$B:$B,$Z40)</f>
        <v>旧怀表</v>
      </c>
      <c r="D40" s="20">
        <f t="shared" si="0"/>
        <v>0</v>
      </c>
      <c r="E40" s="20">
        <f t="shared" si="1"/>
        <v>0</v>
      </c>
      <c r="F40" s="20"/>
      <c r="G40" s="20" t="str">
        <f>INDEX('参数页-不同武将系数'!$C:$C,$Z40)</f>
        <v>R</v>
      </c>
      <c r="H40" s="20">
        <f t="shared" si="2"/>
        <v>2</v>
      </c>
      <c r="I40" s="20" t="str">
        <f>IF(LEFT(INDEX('参数页-不同武将系数'!$D:$D,$Z40),2)="输出","输出",IF(LEFT(INDEX('参数页-不同武将系数'!$D:$D,$Z40),2)="坦克","防御",IF(LEFT(INDEX('参数页-不同武将系数'!$D:$D,$Z40),2)="辅助","辅助","")))</f>
        <v>辅助</v>
      </c>
      <c r="J40" s="20" t="str">
        <f t="shared" si="3"/>
        <v>Support</v>
      </c>
      <c r="K40" s="20"/>
      <c r="L40" s="20">
        <f t="shared" si="4"/>
        <v>1</v>
      </c>
      <c r="M40" s="22">
        <f>INDEX('参数页-不同武将系数'!$AQ:$AQ,$Z40)</f>
        <v>2640</v>
      </c>
      <c r="N40" s="22">
        <f>INDEX('参数页-不同武将系数'!$AR:$AR,$Z40)</f>
        <v>249.33</v>
      </c>
      <c r="O40" s="22">
        <f>INDEX('参数页-不同武将系数'!$AS:$AS,$Z40)</f>
        <v>550.8</v>
      </c>
      <c r="P40" s="22">
        <f>INDEX('参数页-不同武将系数'!$AT:$AT,$Z40)</f>
        <v>52.02</v>
      </c>
      <c r="Q40" s="22">
        <f>INDEX('参数页-不同武将系数'!$AU:$AU,$Z40)</f>
        <v>550.8</v>
      </c>
      <c r="R40" s="22">
        <f>INDEX('参数页-不同武将系数'!$AV:$AV,$Z40)</f>
        <v>52.02</v>
      </c>
      <c r="S40" s="22">
        <f>INDEX('参数页-不同武将系数'!$AW:$AW,$Z40)</f>
        <v>504</v>
      </c>
      <c r="T40" s="22">
        <f>INDEX('参数页-不同武将系数'!$AX:$AX,$Z40)</f>
        <v>47.6</v>
      </c>
      <c r="U40" s="20" t="str">
        <f t="shared" si="5"/>
        <v>4530081;4530082;4530083;4530084;4530085;4530086</v>
      </c>
      <c r="V40" s="20" t="str">
        <f t="shared" si="6"/>
        <v>CoolDownReduceLevel,1300;CoolDownReduceLevel,1625;CoolDownReduceLevel,1950;CoolDownReduceLevel,2275;CoolDownReduceLevel,2600</v>
      </c>
      <c r="W40" s="20" t="str">
        <f t="shared" si="13"/>
        <v>UIRes/UIAtlas/Hero/HeroExclusiveWeapon/Temp/Icon_ExclusiveWeapon_003.png</v>
      </c>
      <c r="X40" s="20" t="b">
        <f t="shared" si="8"/>
        <v>1</v>
      </c>
      <c r="Z40" s="14">
        <f>MATCH("旧怀表",'参数页-不同武将系数'!$B:$B,0)</f>
        <v>90</v>
      </c>
      <c r="AA40" s="14" t="str">
        <f>IF(INDEX('参数页-不同武将系数'!$AY:$AY,$Z40)="生命值百分比","生命百分比",IF(INDEX('参数页-不同武将系数'!$AY:$AY,$Z40)="防御百分比","防御力百分比",INDEX('参数页-不同武将系数'!$AY:$AY,$Z40)))</f>
        <v>技能冷却等级</v>
      </c>
      <c r="AB40" s="14" t="str">
        <f t="shared" si="9"/>
        <v>CoolDownReduceLevel</v>
      </c>
      <c r="AC40" s="14" t="str">
        <f t="shared" si="10"/>
        <v>level</v>
      </c>
      <c r="AD40" s="14" t="str">
        <f t="shared" si="11"/>
        <v>技能冷却等级</v>
      </c>
      <c r="AE40" s="15">
        <f>IF($AC40="level",ROUND(((IF($G40="SSR",专武!$H$27,IF($G40="SR",专武!$I$27,专武!$J$27)))/专武!$S$27)*VLOOKUP($AD40,专武!$R$27:$S$49,2,0),0),ROUND(((IF($G40="SSR",专武!$H$27,IF($G40="SR",专武!$I$27,专武!$J$27)))/专武!$S$27)*VLOOKUP($AD40,专武!$R$27:$S$49,2,0),4))</f>
        <v>1300</v>
      </c>
      <c r="AF40" s="15">
        <f>IF($AC40="level",ROUND(((IF($G40="SSR",专武!$H$28,IF($G40="SR",专武!$I$28,专武!$J$28)))/专武!$S$27)*VLOOKUP($AD40,专武!$R$27:$S$49,2,0),0),ROUND(((IF($G40="SSR",专武!$H$28,IF($G40="SR",专武!$I$28,专武!$J$28)))/专武!$S$27)*VLOOKUP($AD40,专武!$R$27:$S$49,2,0),4))</f>
        <v>1625</v>
      </c>
      <c r="AG40" s="15">
        <f>IF($AC40="level",ROUND(((IF($G40="SSR",专武!$H$29,IF($G40="SR",专武!$I$29,专武!$J$29)))/专武!$S$27)*VLOOKUP($AD40,专武!$R$27:$S$49,2,0),0),ROUND(((IF($G40="SSR",专武!$H$29,IF($G40="SR",专武!$I$29,专武!$J$29)))/专武!$S$27)*VLOOKUP($AD40,专武!$R$27:$S$49,2,0),4))</f>
        <v>1950</v>
      </c>
      <c r="AH40" s="15">
        <f>IF($AC40="level",ROUND(((IF($G40="SSR",专武!$H$30,IF($G40="SR",专武!$I$30,专武!$J$30)))/专武!$S$27)*VLOOKUP($AD40,专武!$R$27:$S$49,2,0),0),ROUND(((IF($G40="SSR",专武!$H$30,IF($G40="SR",专武!$I$30,专武!$J$30)))/专武!$S$27)*VLOOKUP($AD40,专武!$R$27:$S$49,2,0),4))</f>
        <v>2275</v>
      </c>
      <c r="AI40" s="15">
        <f>IF($AC40="level",ROUND(((IF($G40="SSR",专武!$H$31,IF($G40="SR",专武!$I$31,专武!$J$31)))/专武!$S$27)*VLOOKUP($AD40,专武!$R$27:$S$49,2,0),0),ROUND(((IF($G40="SSR",专武!$H$31,IF($G40="SR",专武!$I$31,专武!$J$31)))/专武!$S$27)*VLOOKUP($AD40,专武!$R$27:$S$49,2,0),4))</f>
        <v>2600</v>
      </c>
      <c r="AJ40" s="15"/>
      <c r="AK40" s="14" t="str">
        <f t="shared" si="12"/>
        <v>CoolDownReduceLevel,1300;CoolDownReduceLevel,1625;CoolDownReduceLevel,1950;CoolDownReduceLevel,2275;CoolDownReduceLevel,2600</v>
      </c>
    </row>
    <row r="41" spans="2:37">
      <c r="B41" s="20">
        <f>53009</f>
        <v>53009</v>
      </c>
      <c r="C41" s="20" t="str">
        <f>INDEX('参数页-不同武将系数'!$B:$B,$Z41)</f>
        <v>捕梦网</v>
      </c>
      <c r="D41" s="20">
        <f t="shared" si="0"/>
        <v>0</v>
      </c>
      <c r="E41" s="20">
        <f t="shared" si="1"/>
        <v>0</v>
      </c>
      <c r="F41" s="20"/>
      <c r="G41" s="20" t="str">
        <f>INDEX('参数页-不同武将系数'!$C:$C,$Z41)</f>
        <v>R</v>
      </c>
      <c r="H41" s="20">
        <f t="shared" si="2"/>
        <v>2</v>
      </c>
      <c r="I41" s="20" t="str">
        <f>IF(LEFT(INDEX('参数页-不同武将系数'!$D:$D,$Z41),2)="输出","输出",IF(LEFT(INDEX('参数页-不同武将系数'!$D:$D,$Z41),2)="坦克","防御",IF(LEFT(INDEX('参数页-不同武将系数'!$D:$D,$Z41),2)="辅助","辅助","")))</f>
        <v>辅助</v>
      </c>
      <c r="J41" s="20" t="str">
        <f t="shared" si="3"/>
        <v>Support</v>
      </c>
      <c r="K41" s="20"/>
      <c r="L41" s="20">
        <f t="shared" si="4"/>
        <v>1</v>
      </c>
      <c r="M41" s="22">
        <f>INDEX('参数页-不同武将系数'!$AQ:$AQ,$Z41)</f>
        <v>3024</v>
      </c>
      <c r="N41" s="22">
        <f>INDEX('参数页-不同武将系数'!$AR:$AR,$Z41)</f>
        <v>285.6</v>
      </c>
      <c r="O41" s="22">
        <f>INDEX('参数页-不同武将系数'!$AS:$AS,$Z41)</f>
        <v>459</v>
      </c>
      <c r="P41" s="22">
        <f>INDEX('参数页-不同武将系数'!$AT:$AT,$Z41)</f>
        <v>43.35</v>
      </c>
      <c r="Q41" s="22">
        <f>INDEX('参数页-不同武将系数'!$AU:$AU,$Z41)</f>
        <v>612</v>
      </c>
      <c r="R41" s="22">
        <f>INDEX('参数页-不同武将系数'!$AV:$AV,$Z41)</f>
        <v>57.8</v>
      </c>
      <c r="S41" s="22">
        <f>INDEX('参数页-不同武将系数'!$AW:$AW,$Z41)</f>
        <v>478.8</v>
      </c>
      <c r="T41" s="22">
        <f>INDEX('参数页-不同武将系数'!$AX:$AX,$Z41)</f>
        <v>45.22</v>
      </c>
      <c r="U41" s="20" t="str">
        <f t="shared" si="5"/>
        <v>4530091;4530092;4530093;4530094;4530095;4530096</v>
      </c>
      <c r="V41" s="20" t="str">
        <f t="shared" si="6"/>
        <v>Heal,0.05;Heal,0.0625;Heal,0.075;Heal,0.0875;Heal,0.1</v>
      </c>
      <c r="W41" s="20" t="str">
        <f t="shared" si="13"/>
        <v>UIRes/UIAtlas/Hero/HeroExclusiveWeapon/Temp/Icon_ExclusiveWeapon_003.png</v>
      </c>
      <c r="X41" s="20" t="b">
        <f t="shared" si="8"/>
        <v>1</v>
      </c>
      <c r="Z41" s="14">
        <f>MATCH("捕梦网",'参数页-不同武将系数'!$B:$B,0)</f>
        <v>91</v>
      </c>
      <c r="AA41" s="14" t="str">
        <f>IF(INDEX('参数页-不同武将系数'!$AY:$AY,$Z41)="生命值百分比","生命百分比",IF(INDEX('参数页-不同武将系数'!$AY:$AY,$Z41)="防御百分比","防御力百分比",INDEX('参数页-不同武将系数'!$AY:$AY,$Z41)))</f>
        <v>治疗率</v>
      </c>
      <c r="AB41" s="14" t="str">
        <f t="shared" si="9"/>
        <v>Heal</v>
      </c>
      <c r="AC41" s="14" t="str">
        <f t="shared" si="10"/>
        <v>percent</v>
      </c>
      <c r="AD41" s="14" t="str">
        <f t="shared" si="11"/>
        <v>治疗率</v>
      </c>
      <c r="AE41" s="15">
        <f>IF($AC41="level",ROUND(((IF($G41="SSR",专武!$H$27,IF($G41="SR",专武!$I$27,专武!$J$27)))/专武!$S$27)*VLOOKUP($AD41,专武!$R$27:$S$49,2,0),0),ROUND(((IF($G41="SSR",专武!$H$27,IF($G41="SR",专武!$I$27,专武!$J$27)))/专武!$S$27)*VLOOKUP($AD41,专武!$R$27:$S$49,2,0),4))</f>
        <v>0.05</v>
      </c>
      <c r="AF41" s="15">
        <f>IF($AC41="level",ROUND(((IF($G41="SSR",专武!$H$28,IF($G41="SR",专武!$I$28,专武!$J$28)))/专武!$S$27)*VLOOKUP($AD41,专武!$R$27:$S$49,2,0),0),ROUND(((IF($G41="SSR",专武!$H$28,IF($G41="SR",专武!$I$28,专武!$J$28)))/专武!$S$27)*VLOOKUP($AD41,专武!$R$27:$S$49,2,0),4))</f>
        <v>0.0625</v>
      </c>
      <c r="AG41" s="15">
        <f>IF($AC41="level",ROUND(((IF($G41="SSR",专武!$H$29,IF($G41="SR",专武!$I$29,专武!$J$29)))/专武!$S$27)*VLOOKUP($AD41,专武!$R$27:$S$49,2,0),0),ROUND(((IF($G41="SSR",专武!$H$29,IF($G41="SR",专武!$I$29,专武!$J$29)))/专武!$S$27)*VLOOKUP($AD41,专武!$R$27:$S$49,2,0),4))</f>
        <v>0.075</v>
      </c>
      <c r="AH41" s="15">
        <f>IF($AC41="level",ROUND(((IF($G41="SSR",专武!$H$30,IF($G41="SR",专武!$I$30,专武!$J$30)))/专武!$S$27)*VLOOKUP($AD41,专武!$R$27:$S$49,2,0),0),ROUND(((IF($G41="SSR",专武!$H$30,IF($G41="SR",专武!$I$30,专武!$J$30)))/专武!$S$27)*VLOOKUP($AD41,专武!$R$27:$S$49,2,0),4))</f>
        <v>0.0875</v>
      </c>
      <c r="AI41" s="15">
        <f>IF($AC41="level",ROUND(((IF($G41="SSR",专武!$H$31,IF($G41="SR",专武!$I$31,专武!$J$31)))/专武!$S$27)*VLOOKUP($AD41,专武!$R$27:$S$49,2,0),0),ROUND(((IF($G41="SSR",专武!$H$31,IF($G41="SR",专武!$I$31,专武!$J$31)))/专武!$S$27)*VLOOKUP($AD41,专武!$R$27:$S$49,2,0),4))</f>
        <v>0.1</v>
      </c>
      <c r="AJ41" s="15"/>
      <c r="AK41" s="14" t="str">
        <f t="shared" si="12"/>
        <v>Heal,0.05;Heal,0.0625;Heal,0.075;Heal,0.0875;Heal,0.1</v>
      </c>
    </row>
    <row r="42" spans="2:37">
      <c r="B42" s="20">
        <f>53010</f>
        <v>53010</v>
      </c>
      <c r="C42" s="20" t="str">
        <f>INDEX('参数页-不同武将系数'!$B:$B,$Z42)</f>
        <v>随身凸透镜</v>
      </c>
      <c r="D42" s="20">
        <f t="shared" si="0"/>
        <v>0</v>
      </c>
      <c r="E42" s="20">
        <f t="shared" si="1"/>
        <v>0</v>
      </c>
      <c r="F42" s="20"/>
      <c r="G42" s="20" t="str">
        <f>INDEX('参数页-不同武将系数'!$C:$C,$Z42)</f>
        <v>R</v>
      </c>
      <c r="H42" s="20">
        <f t="shared" si="2"/>
        <v>2</v>
      </c>
      <c r="I42" s="20" t="str">
        <f>IF(LEFT(INDEX('参数页-不同武将系数'!$D:$D,$Z42),2)="输出","输出",IF(LEFT(INDEX('参数页-不同武将系数'!$D:$D,$Z42),2)="坦克","防御",IF(LEFT(INDEX('参数页-不同武将系数'!$D:$D,$Z42),2)="辅助","辅助","")))</f>
        <v>输出</v>
      </c>
      <c r="J42" s="20" t="str">
        <f t="shared" si="3"/>
        <v>DPS</v>
      </c>
      <c r="K42" s="20"/>
      <c r="L42" s="20">
        <f t="shared" si="4"/>
        <v>1</v>
      </c>
      <c r="M42" s="22">
        <f>INDEX('参数页-不同武将系数'!$AQ:$AQ,$Z42)</f>
        <v>1632</v>
      </c>
      <c r="N42" s="22">
        <f>INDEX('参数页-不同武将系数'!$AR:$AR,$Z42)</f>
        <v>154.13</v>
      </c>
      <c r="O42" s="22">
        <f>INDEX('参数页-不同武将系数'!$AS:$AS,$Z42)</f>
        <v>648</v>
      </c>
      <c r="P42" s="22">
        <f>INDEX('参数页-不同武将系数'!$AT:$AT,$Z42)</f>
        <v>61.2</v>
      </c>
      <c r="Q42" s="22">
        <f>INDEX('参数页-不同武将系数'!$AU:$AU,$Z42)</f>
        <v>1080</v>
      </c>
      <c r="R42" s="22">
        <f>INDEX('参数页-不同武将系数'!$AV:$AV,$Z42)</f>
        <v>102</v>
      </c>
      <c r="S42" s="22">
        <f>INDEX('参数页-不同武将系数'!$AW:$AW,$Z42)</f>
        <v>432</v>
      </c>
      <c r="T42" s="22">
        <f>INDEX('参数页-不同武将系数'!$AX:$AX,$Z42)</f>
        <v>40.8</v>
      </c>
      <c r="U42" s="20" t="str">
        <f t="shared" si="5"/>
        <v>4530101;4530102;4530103;4530104;4530105;4530106</v>
      </c>
      <c r="V42" s="20" t="str">
        <f t="shared" si="6"/>
        <v>PhysicsAttackBonus,0.1;PhysicsAttackBonus,0.125;PhysicsAttackBonus,0.15;PhysicsAttackBonus,0.175;PhysicsAttackBonus,0.2</v>
      </c>
      <c r="W42" s="20" t="str">
        <f t="shared" si="13"/>
        <v>UIRes/UIAtlas/Hero/HeroExclusiveWeapon/Temp/Icon_ExclusiveWeapon_003.png</v>
      </c>
      <c r="X42" s="20" t="b">
        <f t="shared" si="8"/>
        <v>1</v>
      </c>
      <c r="Z42" s="14">
        <f>MATCH("随身凸透镜",'参数页-不同武将系数'!$B:$B,0)</f>
        <v>92</v>
      </c>
      <c r="AA42" s="14" t="str">
        <f>IF(INDEX('参数页-不同武将系数'!$AY:$AY,$Z42)="生命值百分比","生命百分比",IF(INDEX('参数页-不同武将系数'!$AY:$AY,$Z42)="防御百分比","防御力百分比",INDEX('参数页-不同武将系数'!$AY:$AY,$Z42)))</f>
        <v>攻击百分比</v>
      </c>
      <c r="AB42" s="14" t="str">
        <f t="shared" si="9"/>
        <v>PhysicsAttackBonus</v>
      </c>
      <c r="AC42" s="14" t="str">
        <f t="shared" si="10"/>
        <v>percent</v>
      </c>
      <c r="AD42" s="14" t="str">
        <f t="shared" si="11"/>
        <v>攻击百分比</v>
      </c>
      <c r="AE42" s="15">
        <f>IF($AC42="level",ROUND(((IF($G42="SSR",专武!$H$27,IF($G42="SR",专武!$I$27,专武!$J$27)))/专武!$S$27)*VLOOKUP($AD42,专武!$R$27:$S$49,2,0),0),ROUND(((IF($G42="SSR",专武!$H$27,IF($G42="SR",专武!$I$27,专武!$J$27)))/专武!$S$27)*VLOOKUP($AD42,专武!$R$27:$S$49,2,0),4))</f>
        <v>0.1</v>
      </c>
      <c r="AF42" s="15">
        <f>IF($AC42="level",ROUND(((IF($G42="SSR",专武!$H$28,IF($G42="SR",专武!$I$28,专武!$J$28)))/专武!$S$27)*VLOOKUP($AD42,专武!$R$27:$S$49,2,0),0),ROUND(((IF($G42="SSR",专武!$H$28,IF($G42="SR",专武!$I$28,专武!$J$28)))/专武!$S$27)*VLOOKUP($AD42,专武!$R$27:$S$49,2,0),4))</f>
        <v>0.125</v>
      </c>
      <c r="AG42" s="15">
        <f>IF($AC42="level",ROUND(((IF($G42="SSR",专武!$H$29,IF($G42="SR",专武!$I$29,专武!$J$29)))/专武!$S$27)*VLOOKUP($AD42,专武!$R$27:$S$49,2,0),0),ROUND(((IF($G42="SSR",专武!$H$29,IF($G42="SR",专武!$I$29,专武!$J$29)))/专武!$S$27)*VLOOKUP($AD42,专武!$R$27:$S$49,2,0),4))</f>
        <v>0.15</v>
      </c>
      <c r="AH42" s="15">
        <f>IF($AC42="level",ROUND(((IF($G42="SSR",专武!$H$30,IF($G42="SR",专武!$I$30,专武!$J$30)))/专武!$S$27)*VLOOKUP($AD42,专武!$R$27:$S$49,2,0),0),ROUND(((IF($G42="SSR",专武!$H$30,IF($G42="SR",专武!$I$30,专武!$J$30)))/专武!$S$27)*VLOOKUP($AD42,专武!$R$27:$S$49,2,0),4))</f>
        <v>0.175</v>
      </c>
      <c r="AI42" s="15">
        <f>IF($AC42="level",ROUND(((IF($G42="SSR",专武!$H$31,IF($G42="SR",专武!$I$31,专武!$J$31)))/专武!$S$27)*VLOOKUP($AD42,专武!$R$27:$S$49,2,0),0),ROUND(((IF($G42="SSR",专武!$H$31,IF($G42="SR",专武!$I$31,专武!$J$31)))/专武!$S$27)*VLOOKUP($AD42,专武!$R$27:$S$49,2,0),4))</f>
        <v>0.2</v>
      </c>
      <c r="AJ42" s="15"/>
      <c r="AK42" s="14" t="str">
        <f t="shared" si="12"/>
        <v>PhysicsAttackBonus,0.1;PhysicsAttackBonus,0.125;PhysicsAttackBonus,0.15;PhysicsAttackBonus,0.175;PhysicsAttackBonus,0.2</v>
      </c>
    </row>
    <row r="43" spans="2:37">
      <c r="B43" s="20">
        <f>53011</f>
        <v>53011</v>
      </c>
      <c r="C43" s="20" t="str">
        <f>INDEX('参数页-不同武将系数'!$B:$B,$Z43)</f>
        <v>脆巧能量棒</v>
      </c>
      <c r="D43" s="20">
        <f t="shared" si="0"/>
        <v>0</v>
      </c>
      <c r="E43" s="20">
        <f t="shared" si="1"/>
        <v>0</v>
      </c>
      <c r="F43" s="20"/>
      <c r="G43" s="20" t="str">
        <f>INDEX('参数页-不同武将系数'!$C:$C,$Z43)</f>
        <v>R</v>
      </c>
      <c r="H43" s="20">
        <f t="shared" si="2"/>
        <v>2</v>
      </c>
      <c r="I43" s="20" t="str">
        <f>IF(LEFT(INDEX('参数页-不同武将系数'!$D:$D,$Z43),2)="输出","输出",IF(LEFT(INDEX('参数页-不同武将系数'!$D:$D,$Z43),2)="坦克","防御",IF(LEFT(INDEX('参数页-不同武将系数'!$D:$D,$Z43),2)="辅助","辅助","")))</f>
        <v>辅助</v>
      </c>
      <c r="J43" s="20" t="str">
        <f t="shared" si="3"/>
        <v>Support</v>
      </c>
      <c r="K43" s="20"/>
      <c r="L43" s="20">
        <f t="shared" si="4"/>
        <v>1</v>
      </c>
      <c r="M43" s="22">
        <f>INDEX('参数页-不同武将系数'!$AQ:$AQ,$Z43)</f>
        <v>2400</v>
      </c>
      <c r="N43" s="22">
        <f>INDEX('参数页-不同武将系数'!$AR:$AR,$Z43)</f>
        <v>226.67</v>
      </c>
      <c r="O43" s="22">
        <f>INDEX('参数页-不同武将系数'!$AS:$AS,$Z43)</f>
        <v>680.4</v>
      </c>
      <c r="P43" s="22">
        <f>INDEX('参数页-不同武将系数'!$AT:$AT,$Z43)</f>
        <v>64.26</v>
      </c>
      <c r="Q43" s="22">
        <f>INDEX('参数页-不同武将系数'!$AU:$AU,$Z43)</f>
        <v>550.8</v>
      </c>
      <c r="R43" s="22">
        <f>INDEX('参数页-不同武将系数'!$AV:$AV,$Z43)</f>
        <v>52.02</v>
      </c>
      <c r="S43" s="22">
        <f>INDEX('参数页-不同武将系数'!$AW:$AW,$Z43)</f>
        <v>501.6</v>
      </c>
      <c r="T43" s="22">
        <f>INDEX('参数页-不同武将系数'!$AX:$AX,$Z43)</f>
        <v>47.37</v>
      </c>
      <c r="U43" s="20" t="str">
        <f t="shared" si="5"/>
        <v>4530111;4530112;4530113;4530114;4530115;4530116</v>
      </c>
      <c r="V43" s="20" t="str">
        <f t="shared" si="6"/>
        <v>EnergyPreAddBonusLevel,900;EnergyPreAddBonusLevel,1125;EnergyPreAddBonusLevel,1350;EnergyPreAddBonusLevel,1575;EnergyPreAddBonusLevel,1800</v>
      </c>
      <c r="W43" s="20" t="str">
        <f t="shared" si="13"/>
        <v>UIRes/UIAtlas/Hero/HeroExclusiveWeapon/Temp/Icon_ExclusiveWeapon_003.png</v>
      </c>
      <c r="X43" s="20" t="b">
        <f t="shared" si="8"/>
        <v>1</v>
      </c>
      <c r="Z43" s="14">
        <f>MATCH("脆巧能量棒",'参数页-不同武将系数'!$B:$B,0)</f>
        <v>93</v>
      </c>
      <c r="AA43" s="14" t="str">
        <f>IF(INDEX('参数页-不同武将系数'!$AY:$AY,$Z43)="生命值百分比","生命百分比",IF(INDEX('参数页-不同武将系数'!$AY:$AY,$Z43)="防御百分比","防御力百分比",INDEX('参数页-不同武将系数'!$AY:$AY,$Z43)))</f>
        <v>能量回复等级</v>
      </c>
      <c r="AB43" s="14" t="str">
        <f t="shared" si="9"/>
        <v>EnergyPreAddBonusLevel</v>
      </c>
      <c r="AC43" s="14" t="str">
        <f t="shared" si="10"/>
        <v>level</v>
      </c>
      <c r="AD43" s="14" t="str">
        <f t="shared" si="11"/>
        <v>能量回复等级</v>
      </c>
      <c r="AE43" s="15">
        <f>IF($AC43="level",ROUND(((IF($G43="SSR",专武!$H$27,IF($G43="SR",专武!$I$27,专武!$J$27)))/专武!$S$27)*VLOOKUP($AD43,专武!$R$27:$S$49,2,0),0),ROUND(((IF($G43="SSR",专武!$H$27,IF($G43="SR",专武!$I$27,专武!$J$27)))/专武!$S$27)*VLOOKUP($AD43,专武!$R$27:$S$49,2,0),4))</f>
        <v>900</v>
      </c>
      <c r="AF43" s="15">
        <f>IF($AC43="level",ROUND(((IF($G43="SSR",专武!$H$28,IF($G43="SR",专武!$I$28,专武!$J$28)))/专武!$S$27)*VLOOKUP($AD43,专武!$R$27:$S$49,2,0),0),ROUND(((IF($G43="SSR",专武!$H$28,IF($G43="SR",专武!$I$28,专武!$J$28)))/专武!$S$27)*VLOOKUP($AD43,专武!$R$27:$S$49,2,0),4))</f>
        <v>1125</v>
      </c>
      <c r="AG43" s="15">
        <f>IF($AC43="level",ROUND(((IF($G43="SSR",专武!$H$29,IF($G43="SR",专武!$I$29,专武!$J$29)))/专武!$S$27)*VLOOKUP($AD43,专武!$R$27:$S$49,2,0),0),ROUND(((IF($G43="SSR",专武!$H$29,IF($G43="SR",专武!$I$29,专武!$J$29)))/专武!$S$27)*VLOOKUP($AD43,专武!$R$27:$S$49,2,0),4))</f>
        <v>1350</v>
      </c>
      <c r="AH43" s="15">
        <f>IF($AC43="level",ROUND(((IF($G43="SSR",专武!$H$30,IF($G43="SR",专武!$I$30,专武!$J$30)))/专武!$S$27)*VLOOKUP($AD43,专武!$R$27:$S$49,2,0),0),ROUND(((IF($G43="SSR",专武!$H$30,IF($G43="SR",专武!$I$30,专武!$J$30)))/专武!$S$27)*VLOOKUP($AD43,专武!$R$27:$S$49,2,0),4))</f>
        <v>1575</v>
      </c>
      <c r="AI43" s="15">
        <f>IF($AC43="level",ROUND(((IF($G43="SSR",专武!$H$31,IF($G43="SR",专武!$I$31,专武!$J$31)))/专武!$S$27)*VLOOKUP($AD43,专武!$R$27:$S$49,2,0),0),ROUND(((IF($G43="SSR",专武!$H$31,IF($G43="SR",专武!$I$31,专武!$J$31)))/专武!$S$27)*VLOOKUP($AD43,专武!$R$27:$S$49,2,0),4))</f>
        <v>1800</v>
      </c>
      <c r="AJ43" s="15"/>
      <c r="AK43" s="14" t="str">
        <f t="shared" si="12"/>
        <v>EnergyPreAddBonusLevel,900;EnergyPreAddBonusLevel,1125;EnergyPreAddBonusLevel,1350;EnergyPreAddBonusLevel,1575;EnergyPreAddBonusLevel,1800</v>
      </c>
    </row>
    <row r="44" spans="2:37">
      <c r="Z44" s="23"/>
      <c r="AA44" s="23"/>
      <c r="AB44" s="23"/>
      <c r="AC44" s="23"/>
    </row>
    <row r="45" spans="2:37">
      <c r="Z45" s="23"/>
      <c r="AA45" s="23"/>
      <c r="AB45" s="23"/>
      <c r="AC45" s="23"/>
    </row>
    <row r="46" spans="2:37">
      <c r="Z46" s="23"/>
      <c r="AA46" s="23"/>
      <c r="AB46" s="23"/>
      <c r="AC46" s="23"/>
    </row>
    <row r="47" spans="2:37">
      <c r="Z47" s="23"/>
      <c r="AA47" s="23"/>
      <c r="AB47" s="23"/>
      <c r="AC47" s="23"/>
    </row>
    <row r="48" spans="2:37">
      <c r="Z48" s="24" t="s">
        <v>1061</v>
      </c>
      <c r="AA48" s="24" t="s">
        <v>1062</v>
      </c>
      <c r="AB48" s="24" t="s">
        <v>1063</v>
      </c>
      <c r="AC48" s="24" t="s">
        <v>1064</v>
      </c>
    </row>
    <row r="49" spans="26:29">
      <c r="Z49" s="23" t="s">
        <v>136</v>
      </c>
      <c r="AA49" s="23" t="s">
        <v>988</v>
      </c>
      <c r="AB49" s="23" t="s">
        <v>1065</v>
      </c>
      <c r="AC49" s="23" t="s">
        <v>136</v>
      </c>
    </row>
    <row r="50" spans="26:29">
      <c r="Z50" s="23" t="s">
        <v>137</v>
      </c>
      <c r="AA50" s="23" t="s">
        <v>989</v>
      </c>
      <c r="AB50" s="23" t="s">
        <v>1065</v>
      </c>
      <c r="AC50" s="23" t="s">
        <v>137</v>
      </c>
    </row>
    <row r="51" spans="26:29">
      <c r="Z51" s="23" t="s">
        <v>138</v>
      </c>
      <c r="AA51" s="23" t="s">
        <v>990</v>
      </c>
      <c r="AB51" s="23" t="s">
        <v>1065</v>
      </c>
      <c r="AC51" s="23" t="s">
        <v>138</v>
      </c>
    </row>
    <row r="52" spans="26:29">
      <c r="Z52" s="23" t="s">
        <v>139</v>
      </c>
      <c r="AA52" s="23" t="s">
        <v>974</v>
      </c>
      <c r="AB52" s="23" t="s">
        <v>1065</v>
      </c>
      <c r="AC52" s="23" t="s">
        <v>139</v>
      </c>
    </row>
    <row r="53" spans="26:29">
      <c r="Z53" s="23" t="s">
        <v>146</v>
      </c>
      <c r="AA53" s="23" t="s">
        <v>774</v>
      </c>
      <c r="AB53" s="23" t="s">
        <v>1066</v>
      </c>
      <c r="AC53" s="23" t="s">
        <v>146</v>
      </c>
    </row>
    <row r="54" spans="26:29">
      <c r="Z54" s="23" t="s">
        <v>143</v>
      </c>
      <c r="AA54" s="23" t="s">
        <v>776</v>
      </c>
      <c r="AB54" s="23" t="s">
        <v>1066</v>
      </c>
      <c r="AC54" s="23" t="s">
        <v>143</v>
      </c>
    </row>
    <row r="55" spans="26:29">
      <c r="Z55" s="23" t="s">
        <v>144</v>
      </c>
      <c r="AA55" s="23" t="s">
        <v>777</v>
      </c>
      <c r="AB55" s="23" t="s">
        <v>1066</v>
      </c>
      <c r="AC55" s="23" t="s">
        <v>144</v>
      </c>
    </row>
    <row r="56" spans="26:29">
      <c r="Z56" s="23" t="s">
        <v>145</v>
      </c>
      <c r="AA56" s="23" t="s">
        <v>775</v>
      </c>
      <c r="AB56" s="23" t="s">
        <v>1066</v>
      </c>
      <c r="AC56" s="23" t="s">
        <v>145</v>
      </c>
    </row>
    <row r="57" spans="26:29">
      <c r="Z57" s="23" t="s">
        <v>128</v>
      </c>
      <c r="AA57" s="23" t="s">
        <v>770</v>
      </c>
      <c r="AB57" s="23" t="s">
        <v>1065</v>
      </c>
      <c r="AC57" s="23" t="s">
        <v>128</v>
      </c>
    </row>
    <row r="58" spans="26:29">
      <c r="Z58" s="23" t="s">
        <v>128</v>
      </c>
      <c r="AA58" s="23" t="s">
        <v>772</v>
      </c>
      <c r="AB58" s="23" t="s">
        <v>1065</v>
      </c>
      <c r="AC58" s="23" t="s">
        <v>128</v>
      </c>
    </row>
    <row r="59" spans="26:29">
      <c r="Z59" s="23" t="s">
        <v>130</v>
      </c>
      <c r="AA59" s="23" t="s">
        <v>773</v>
      </c>
      <c r="AB59" s="23" t="s">
        <v>1065</v>
      </c>
      <c r="AC59" s="23" t="s">
        <v>130</v>
      </c>
    </row>
    <row r="60" spans="26:29">
      <c r="Z60" s="23" t="s">
        <v>231</v>
      </c>
      <c r="AA60" s="23" t="s">
        <v>771</v>
      </c>
      <c r="AB60" s="23" t="s">
        <v>1065</v>
      </c>
      <c r="AC60" s="23" t="s">
        <v>129</v>
      </c>
    </row>
    <row r="61" spans="26:29">
      <c r="Z61" s="23" t="s">
        <v>148</v>
      </c>
      <c r="AA61" s="23" t="s">
        <v>1067</v>
      </c>
      <c r="AB61" s="23" t="s">
        <v>1066</v>
      </c>
      <c r="AC61" s="23" t="s">
        <v>148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22"/>
  <sheetViews>
    <sheetView workbookViewId="0">
      <selection activeCell="O13" sqref="O13"/>
    </sheetView>
  </sheetViews>
  <sheetFormatPr defaultColWidth="9" defaultRowHeight="13.5" outlineLevelCol="3"/>
  <sheetData>
    <row r="2" ht="16.5" customHeight="1" spans="2:4">
      <c r="B2" s="1" t="s">
        <v>910</v>
      </c>
      <c r="C2">
        <f t="array" ref="C2:C622">_xlfn.SEQUENCE(23*27,1,1,1)</f>
        <v>1</v>
      </c>
      <c r="D2" t="str">
        <f t="array" ref="D2">INDEX($B$2:$B$24,CEILING(ROW(A1)/27,1))</f>
        <v>主角</v>
      </c>
    </row>
    <row r="3" ht="16.5" customHeight="1" spans="2:4">
      <c r="B3" s="1" t="s">
        <v>318</v>
      </c>
      <c r="C3">
        <v>2</v>
      </c>
      <c r="D3" t="str">
        <f t="array" ref="D3">INDEX($B$2:$B$24,CEILING(ROW(A2)/27,1))</f>
        <v>主角</v>
      </c>
    </row>
    <row r="4" ht="16.5" customHeight="1" spans="2:4">
      <c r="B4" s="2" t="s">
        <v>321</v>
      </c>
      <c r="C4">
        <v>3</v>
      </c>
      <c r="D4" t="str">
        <f t="array" ref="D4">INDEX($B$2:$B$24,CEILING(ROW(A3)/27,1))</f>
        <v>主角</v>
      </c>
    </row>
    <row r="5" ht="16.5" customHeight="1" spans="2:4">
      <c r="B5" s="2" t="s">
        <v>324</v>
      </c>
      <c r="C5">
        <v>4</v>
      </c>
      <c r="D5" t="str">
        <f t="array" ref="D5">INDEX($B$2:$B$24,CEILING(ROW(A4)/27,1))</f>
        <v>主角</v>
      </c>
    </row>
    <row r="6" ht="16.5" customHeight="1" spans="2:4">
      <c r="B6" s="1" t="s">
        <v>327</v>
      </c>
      <c r="C6">
        <v>5</v>
      </c>
      <c r="D6" t="str">
        <f t="array" ref="D6">INDEX($B$2:$B$24,CEILING(ROW(A5)/27,1))</f>
        <v>主角</v>
      </c>
    </row>
    <row r="7" ht="16.5" customHeight="1" spans="2:4">
      <c r="B7" s="1" t="s">
        <v>328</v>
      </c>
      <c r="C7">
        <v>6</v>
      </c>
      <c r="D7" t="str">
        <f t="array" ref="D7">INDEX($B$2:$B$24,CEILING(ROW(A6)/27,1))</f>
        <v>主角</v>
      </c>
    </row>
    <row r="8" ht="16.5" customHeight="1" spans="2:4">
      <c r="B8" s="3" t="s">
        <v>329</v>
      </c>
      <c r="C8">
        <v>7</v>
      </c>
      <c r="D8" t="str">
        <f t="array" ref="D8">INDEX($B$2:$B$24,CEILING(ROW(A7)/27,1))</f>
        <v>主角</v>
      </c>
    </row>
    <row r="9" ht="16.5" customHeight="1" spans="2:4">
      <c r="B9" s="3" t="s">
        <v>332</v>
      </c>
      <c r="C9">
        <v>8</v>
      </c>
      <c r="D9" t="str">
        <f t="array" ref="D9">INDEX($B$2:$B$24,CEILING(ROW(A8)/27,1))</f>
        <v>主角</v>
      </c>
    </row>
    <row r="10" ht="21" customHeight="1" spans="2:4">
      <c r="B10" s="4" t="s">
        <v>905</v>
      </c>
      <c r="C10">
        <v>9</v>
      </c>
      <c r="D10" t="str">
        <f t="array" ref="D10">INDEX($B$2:$B$24,CEILING(ROW(A9)/27,1))</f>
        <v>主角</v>
      </c>
    </row>
    <row r="11" ht="16.5" customHeight="1" spans="2:4">
      <c r="B11" s="1" t="s">
        <v>335</v>
      </c>
      <c r="C11">
        <v>10</v>
      </c>
      <c r="D11" t="str">
        <f t="array" ref="D11">INDEX($B$2:$B$24,CEILING(ROW(A10)/27,1))</f>
        <v>主角</v>
      </c>
    </row>
    <row r="12" ht="16.5" customHeight="1" spans="2:4">
      <c r="B12" s="1" t="s">
        <v>338</v>
      </c>
      <c r="C12">
        <v>11</v>
      </c>
      <c r="D12" t="str">
        <f t="array" ref="D12">INDEX($B$2:$B$24,CEILING(ROW(A11)/27,1))</f>
        <v>主角</v>
      </c>
    </row>
    <row r="13" ht="16.5" customHeight="1" spans="2:4">
      <c r="B13" s="5" t="s">
        <v>339</v>
      </c>
      <c r="C13">
        <v>12</v>
      </c>
      <c r="D13" t="str">
        <f t="array" ref="D13">INDEX($B$2:$B$24,CEILING(ROW(A12)/27,1))</f>
        <v>主角</v>
      </c>
    </row>
    <row r="14" ht="16.5" customHeight="1" spans="2:4">
      <c r="B14" s="1" t="s">
        <v>341</v>
      </c>
      <c r="C14">
        <v>13</v>
      </c>
      <c r="D14" t="str">
        <f t="array" ref="D14">INDEX($B$2:$B$24,CEILING(ROW(A13)/27,1))</f>
        <v>主角</v>
      </c>
    </row>
    <row r="15" spans="2:4">
      <c r="B15" s="6" t="s">
        <v>342</v>
      </c>
      <c r="C15">
        <v>14</v>
      </c>
      <c r="D15" t="str">
        <f t="array" ref="D15">INDEX($B$2:$B$24,CEILING(ROW(A14)/27,1))</f>
        <v>主角</v>
      </c>
    </row>
    <row r="16" spans="2:4">
      <c r="B16" s="6" t="s">
        <v>345</v>
      </c>
      <c r="C16">
        <v>15</v>
      </c>
      <c r="D16" t="str">
        <f t="array" ref="D16">INDEX($B$2:$B$24,CEILING(ROW(A15)/27,1))</f>
        <v>主角</v>
      </c>
    </row>
    <row r="17" spans="2:4">
      <c r="B17" s="6" t="s">
        <v>347</v>
      </c>
      <c r="C17">
        <v>16</v>
      </c>
      <c r="D17" t="str">
        <f t="array" ref="D17">INDEX($B$2:$B$24,CEILING(ROW(A16)/27,1))</f>
        <v>主角</v>
      </c>
    </row>
    <row r="18" spans="2:4">
      <c r="B18" s="6" t="s">
        <v>350</v>
      </c>
      <c r="C18">
        <v>17</v>
      </c>
      <c r="D18" t="str">
        <f t="array" ref="D18">INDEX($B$2:$B$24,CEILING(ROW(A17)/27,1))</f>
        <v>主角</v>
      </c>
    </row>
    <row r="19" ht="17.25" customHeight="1" spans="2:4">
      <c r="B19" s="7" t="s">
        <v>353</v>
      </c>
      <c r="C19">
        <v>18</v>
      </c>
      <c r="D19" t="str">
        <f t="array" ref="D19">INDEX($B$2:$B$24,CEILING(ROW(A18)/27,1))</f>
        <v>主角</v>
      </c>
    </row>
    <row r="20" ht="17.25" customHeight="1" spans="2:4">
      <c r="B20" s="7" t="s">
        <v>354</v>
      </c>
      <c r="C20">
        <v>19</v>
      </c>
      <c r="D20" t="str">
        <f t="array" ref="D20">INDEX($B$2:$B$24,CEILING(ROW(A19)/27,1))</f>
        <v>主角</v>
      </c>
    </row>
    <row r="21" ht="17.25" customHeight="1" spans="2:4">
      <c r="B21" s="7" t="s">
        <v>355</v>
      </c>
      <c r="C21">
        <v>20</v>
      </c>
      <c r="D21" t="str">
        <f t="array" ref="D21">INDEX($B$2:$B$24,CEILING(ROW(A20)/27,1))</f>
        <v>主角</v>
      </c>
    </row>
    <row r="22" ht="17.25" customHeight="1" spans="2:4">
      <c r="B22" s="7" t="s">
        <v>356</v>
      </c>
      <c r="C22">
        <v>21</v>
      </c>
      <c r="D22" t="str">
        <f t="array" ref="D22">INDEX($B$2:$B$24,CEILING(ROW(A21)/27,1))</f>
        <v>主角</v>
      </c>
    </row>
    <row r="23" ht="17.25" customHeight="1" spans="2:4">
      <c r="B23" s="7" t="s">
        <v>357</v>
      </c>
      <c r="C23">
        <v>22</v>
      </c>
      <c r="D23" t="str">
        <f t="array" ref="D23">INDEX($B$2:$B$24,CEILING(ROW(A22)/27,1))</f>
        <v>主角</v>
      </c>
    </row>
    <row r="24" ht="17.25" customHeight="1" spans="2:4">
      <c r="B24" s="7" t="s">
        <v>360</v>
      </c>
      <c r="C24">
        <v>23</v>
      </c>
      <c r="D24" t="str">
        <f t="array" ref="D24">INDEX($B$2:$B$24,CEILING(ROW(A23)/27,1))</f>
        <v>主角</v>
      </c>
    </row>
    <row r="25" spans="2:4">
      <c r="C25">
        <v>24</v>
      </c>
      <c r="D25" t="str">
        <f t="array" ref="D25">INDEX($B$2:$B$24,CEILING(ROW(A24)/27,1))</f>
        <v>主角</v>
      </c>
    </row>
    <row r="26" spans="2:4">
      <c r="C26">
        <v>25</v>
      </c>
      <c r="D26" t="str">
        <f t="array" ref="D26">INDEX($B$2:$B$24,CEILING(ROW(A25)/27,1))</f>
        <v>主角</v>
      </c>
    </row>
    <row r="27" spans="2:4">
      <c r="C27">
        <v>26</v>
      </c>
      <c r="D27" t="str">
        <f t="array" ref="D27">INDEX($B$2:$B$24,CEILING(ROW(A26)/27,1))</f>
        <v>主角</v>
      </c>
    </row>
    <row r="28" spans="2:4">
      <c r="C28">
        <v>27</v>
      </c>
      <c r="D28" t="str">
        <f t="array" ref="D28">INDEX($B$2:$B$24,CEILING(ROW(A27)/27,1))</f>
        <v>主角</v>
      </c>
    </row>
    <row r="29" spans="2:4">
      <c r="C29">
        <v>28</v>
      </c>
      <c r="D29" t="str">
        <f t="array" ref="D29">INDEX($B$2:$B$24,CEILING(ROW(A28)/27,1))</f>
        <v>大暑</v>
      </c>
    </row>
    <row r="30" spans="2:4">
      <c r="C30">
        <v>29</v>
      </c>
      <c r="D30" t="str">
        <f t="array" ref="D30">INDEX($B$2:$B$24,CEILING(ROW(A29)/27,1))</f>
        <v>大暑</v>
      </c>
    </row>
    <row r="31" spans="2:4">
      <c r="C31">
        <v>30</v>
      </c>
      <c r="D31" t="str">
        <f t="array" ref="D31">INDEX($B$2:$B$24,CEILING(ROW(A30)/27,1))</f>
        <v>大暑</v>
      </c>
    </row>
    <row r="32" spans="2:4">
      <c r="C32">
        <v>31</v>
      </c>
      <c r="D32" t="str">
        <f t="array" ref="D32">INDEX($B$2:$B$24,CEILING(ROW(A31)/27,1))</f>
        <v>大暑</v>
      </c>
    </row>
    <row r="33" spans="3:4">
      <c r="C33">
        <v>32</v>
      </c>
      <c r="D33" t="str">
        <f t="array" ref="D33">INDEX($B$2:$B$24,CEILING(ROW(A32)/27,1))</f>
        <v>大暑</v>
      </c>
    </row>
    <row r="34" spans="3:4">
      <c r="C34">
        <v>33</v>
      </c>
      <c r="D34" t="str">
        <f t="array" ref="D34">INDEX($B$2:$B$24,CEILING(ROW(A33)/27,1))</f>
        <v>大暑</v>
      </c>
    </row>
    <row r="35" spans="3:4">
      <c r="C35">
        <v>34</v>
      </c>
      <c r="D35" t="str">
        <f t="array" ref="D35">INDEX($B$2:$B$24,CEILING(ROW(A34)/27,1))</f>
        <v>大暑</v>
      </c>
    </row>
    <row r="36" spans="3:4">
      <c r="C36">
        <v>35</v>
      </c>
      <c r="D36" t="str">
        <f t="array" ref="D36">INDEX($B$2:$B$24,CEILING(ROW(A35)/27,1))</f>
        <v>大暑</v>
      </c>
    </row>
    <row r="37" spans="3:4">
      <c r="C37">
        <v>36</v>
      </c>
      <c r="D37" t="str">
        <f t="array" ref="D37">INDEX($B$2:$B$24,CEILING(ROW(A36)/27,1))</f>
        <v>大暑</v>
      </c>
    </row>
    <row r="38" spans="3:4">
      <c r="C38">
        <v>37</v>
      </c>
      <c r="D38" t="str">
        <f t="array" ref="D38">INDEX($B$2:$B$24,CEILING(ROW(A37)/27,1))</f>
        <v>大暑</v>
      </c>
    </row>
    <row r="39" spans="3:4">
      <c r="C39">
        <v>38</v>
      </c>
      <c r="D39" t="str">
        <f t="array" ref="D39">INDEX($B$2:$B$24,CEILING(ROW(A38)/27,1))</f>
        <v>大暑</v>
      </c>
    </row>
    <row r="40" spans="3:4">
      <c r="C40">
        <v>39</v>
      </c>
      <c r="D40" t="str">
        <f t="array" ref="D40">INDEX($B$2:$B$24,CEILING(ROW(A39)/27,1))</f>
        <v>大暑</v>
      </c>
    </row>
    <row r="41" spans="3:4">
      <c r="C41">
        <v>40</v>
      </c>
      <c r="D41" t="str">
        <f t="array" ref="D41">INDEX($B$2:$B$24,CEILING(ROW(A40)/27,1))</f>
        <v>大暑</v>
      </c>
    </row>
    <row r="42" spans="3:4">
      <c r="C42">
        <v>41</v>
      </c>
      <c r="D42" t="str">
        <f t="array" ref="D42">INDEX($B$2:$B$24,CEILING(ROW(A41)/27,1))</f>
        <v>大暑</v>
      </c>
    </row>
    <row r="43" spans="3:4">
      <c r="C43">
        <v>42</v>
      </c>
      <c r="D43" t="str">
        <f t="array" ref="D43">INDEX($B$2:$B$24,CEILING(ROW(A42)/27,1))</f>
        <v>大暑</v>
      </c>
    </row>
    <row r="44" spans="3:4">
      <c r="C44">
        <v>43</v>
      </c>
      <c r="D44" t="str">
        <f t="array" ref="D44">INDEX($B$2:$B$24,CEILING(ROW(A43)/27,1))</f>
        <v>大暑</v>
      </c>
    </row>
    <row r="45" spans="3:4">
      <c r="C45">
        <v>44</v>
      </c>
      <c r="D45" t="str">
        <f t="array" ref="D45">INDEX($B$2:$B$24,CEILING(ROW(A44)/27,1))</f>
        <v>大暑</v>
      </c>
    </row>
    <row r="46" spans="3:4">
      <c r="C46">
        <v>45</v>
      </c>
      <c r="D46" t="str">
        <f t="array" ref="D46">INDEX($B$2:$B$24,CEILING(ROW(A45)/27,1))</f>
        <v>大暑</v>
      </c>
    </row>
    <row r="47" spans="3:4">
      <c r="C47">
        <v>46</v>
      </c>
      <c r="D47" t="str">
        <f t="array" ref="D47">INDEX($B$2:$B$24,CEILING(ROW(A46)/27,1))</f>
        <v>大暑</v>
      </c>
    </row>
    <row r="48" spans="3:4">
      <c r="C48">
        <v>47</v>
      </c>
      <c r="D48" t="str">
        <f t="array" ref="D48">INDEX($B$2:$B$24,CEILING(ROW(A47)/27,1))</f>
        <v>大暑</v>
      </c>
    </row>
    <row r="49" spans="3:4">
      <c r="C49">
        <v>48</v>
      </c>
      <c r="D49" t="str">
        <f t="array" ref="D49">INDEX($B$2:$B$24,CEILING(ROW(A48)/27,1))</f>
        <v>大暑</v>
      </c>
    </row>
    <row r="50" spans="3:4">
      <c r="C50">
        <v>49</v>
      </c>
      <c r="D50" t="str">
        <f t="array" ref="D50">INDEX($B$2:$B$24,CEILING(ROW(A49)/27,1))</f>
        <v>大暑</v>
      </c>
    </row>
    <row r="51" spans="3:4">
      <c r="C51">
        <v>50</v>
      </c>
      <c r="D51" t="str">
        <f t="array" ref="D51">INDEX($B$2:$B$24,CEILING(ROW(A50)/27,1))</f>
        <v>大暑</v>
      </c>
    </row>
    <row r="52" spans="3:4">
      <c r="C52">
        <v>51</v>
      </c>
      <c r="D52" t="str">
        <f t="array" ref="D52">INDEX($B$2:$B$24,CEILING(ROW(A51)/27,1))</f>
        <v>大暑</v>
      </c>
    </row>
    <row r="53" spans="3:4">
      <c r="C53">
        <v>52</v>
      </c>
      <c r="D53" t="str">
        <f t="array" ref="D53">INDEX($B$2:$B$24,CEILING(ROW(A52)/27,1))</f>
        <v>大暑</v>
      </c>
    </row>
    <row r="54" spans="3:4">
      <c r="C54">
        <v>53</v>
      </c>
      <c r="D54" t="str">
        <f t="array" ref="D54">INDEX($B$2:$B$24,CEILING(ROW(A53)/27,1))</f>
        <v>大暑</v>
      </c>
    </row>
    <row r="55" spans="3:4">
      <c r="C55">
        <v>54</v>
      </c>
      <c r="D55" t="str">
        <f t="array" ref="D55">INDEX($B$2:$B$24,CEILING(ROW(A54)/27,1))</f>
        <v>大暑</v>
      </c>
    </row>
    <row r="56" spans="3:4">
      <c r="C56">
        <v>55</v>
      </c>
      <c r="D56" t="str">
        <f t="array" ref="D56">INDEX($B$2:$B$24,CEILING(ROW(A55)/27,1))</f>
        <v>塔拉夏</v>
      </c>
    </row>
    <row r="57" spans="3:4">
      <c r="C57">
        <v>56</v>
      </c>
      <c r="D57" t="str">
        <f t="array" ref="D57">INDEX($B$2:$B$24,CEILING(ROW(A56)/27,1))</f>
        <v>塔拉夏</v>
      </c>
    </row>
    <row r="58" spans="3:4">
      <c r="C58">
        <v>57</v>
      </c>
      <c r="D58" t="str">
        <f t="array" ref="D58">INDEX($B$2:$B$24,CEILING(ROW(A57)/27,1))</f>
        <v>塔拉夏</v>
      </c>
    </row>
    <row r="59" spans="3:4">
      <c r="C59">
        <v>58</v>
      </c>
      <c r="D59" t="str">
        <f t="array" ref="D59">INDEX($B$2:$B$24,CEILING(ROW(A58)/27,1))</f>
        <v>塔拉夏</v>
      </c>
    </row>
    <row r="60" spans="3:4">
      <c r="C60">
        <v>59</v>
      </c>
      <c r="D60" t="str">
        <f t="array" ref="D60">INDEX($B$2:$B$24,CEILING(ROW(A59)/27,1))</f>
        <v>塔拉夏</v>
      </c>
    </row>
    <row r="61" spans="3:4">
      <c r="C61">
        <v>60</v>
      </c>
      <c r="D61" t="str">
        <f t="array" ref="D61">INDEX($B$2:$B$24,CEILING(ROW(A60)/27,1))</f>
        <v>塔拉夏</v>
      </c>
    </row>
    <row r="62" spans="3:4">
      <c r="C62">
        <v>61</v>
      </c>
      <c r="D62" t="str">
        <f t="array" ref="D62">INDEX($B$2:$B$24,CEILING(ROW(A61)/27,1))</f>
        <v>塔拉夏</v>
      </c>
    </row>
    <row r="63" spans="3:4">
      <c r="C63">
        <v>62</v>
      </c>
      <c r="D63" t="str">
        <f t="array" ref="D63">INDEX($B$2:$B$24,CEILING(ROW(A62)/27,1))</f>
        <v>塔拉夏</v>
      </c>
    </row>
    <row r="64" spans="3:4">
      <c r="C64">
        <v>63</v>
      </c>
      <c r="D64" t="str">
        <f t="array" ref="D64">INDEX($B$2:$B$24,CEILING(ROW(A63)/27,1))</f>
        <v>塔拉夏</v>
      </c>
    </row>
    <row r="65" spans="3:4">
      <c r="C65">
        <v>64</v>
      </c>
      <c r="D65" t="str">
        <f t="array" ref="D65">INDEX($B$2:$B$24,CEILING(ROW(A64)/27,1))</f>
        <v>塔拉夏</v>
      </c>
    </row>
    <row r="66" spans="3:4">
      <c r="C66">
        <v>65</v>
      </c>
      <c r="D66" t="str">
        <f t="array" ref="D66">INDEX($B$2:$B$24,CEILING(ROW(A65)/27,1))</f>
        <v>塔拉夏</v>
      </c>
    </row>
    <row r="67" spans="3:4">
      <c r="C67">
        <v>66</v>
      </c>
      <c r="D67" t="str">
        <f t="array" ref="D67">INDEX($B$2:$B$24,CEILING(ROW(A66)/27,1))</f>
        <v>塔拉夏</v>
      </c>
    </row>
    <row r="68" spans="3:4">
      <c r="C68">
        <v>67</v>
      </c>
      <c r="D68" t="str">
        <f t="array" ref="D68">INDEX($B$2:$B$24,CEILING(ROW(A67)/27,1))</f>
        <v>塔拉夏</v>
      </c>
    </row>
    <row r="69" spans="3:4">
      <c r="C69">
        <v>68</v>
      </c>
      <c r="D69" t="str">
        <f t="array" ref="D69">INDEX($B$2:$B$24,CEILING(ROW(A68)/27,1))</f>
        <v>塔拉夏</v>
      </c>
    </row>
    <row r="70" spans="3:4">
      <c r="C70">
        <v>69</v>
      </c>
      <c r="D70" t="str">
        <f t="array" ref="D70">INDEX($B$2:$B$24,CEILING(ROW(A69)/27,1))</f>
        <v>塔拉夏</v>
      </c>
    </row>
    <row r="71" spans="3:4">
      <c r="C71">
        <v>70</v>
      </c>
      <c r="D71" t="str">
        <f t="array" ref="D71">INDEX($B$2:$B$24,CEILING(ROW(A70)/27,1))</f>
        <v>塔拉夏</v>
      </c>
    </row>
    <row r="72" spans="3:4">
      <c r="C72">
        <v>71</v>
      </c>
      <c r="D72" t="str">
        <f t="array" ref="D72">INDEX($B$2:$B$24,CEILING(ROW(A71)/27,1))</f>
        <v>塔拉夏</v>
      </c>
    </row>
    <row r="73" spans="3:4">
      <c r="C73">
        <v>72</v>
      </c>
      <c r="D73" t="str">
        <f t="array" ref="D73">INDEX($B$2:$B$24,CEILING(ROW(A72)/27,1))</f>
        <v>塔拉夏</v>
      </c>
    </row>
    <row r="74" spans="3:4">
      <c r="C74">
        <v>73</v>
      </c>
      <c r="D74" t="str">
        <f t="array" ref="D74">INDEX($B$2:$B$24,CEILING(ROW(A73)/27,1))</f>
        <v>塔拉夏</v>
      </c>
    </row>
    <row r="75" spans="3:4">
      <c r="C75">
        <v>74</v>
      </c>
      <c r="D75" t="str">
        <f t="array" ref="D75">INDEX($B$2:$B$24,CEILING(ROW(A74)/27,1))</f>
        <v>塔拉夏</v>
      </c>
    </row>
    <row r="76" spans="3:4">
      <c r="C76">
        <v>75</v>
      </c>
      <c r="D76" t="str">
        <f t="array" ref="D76">INDEX($B$2:$B$24,CEILING(ROW(A75)/27,1))</f>
        <v>塔拉夏</v>
      </c>
    </row>
    <row r="77" spans="3:4">
      <c r="C77">
        <v>76</v>
      </c>
      <c r="D77" t="str">
        <f t="array" ref="D77">INDEX($B$2:$B$24,CEILING(ROW(A76)/27,1))</f>
        <v>塔拉夏</v>
      </c>
    </row>
    <row r="78" spans="3:4">
      <c r="C78">
        <v>77</v>
      </c>
      <c r="D78" t="str">
        <f t="array" ref="D78">INDEX($B$2:$B$24,CEILING(ROW(A77)/27,1))</f>
        <v>塔拉夏</v>
      </c>
    </row>
    <row r="79" spans="3:4">
      <c r="C79">
        <v>78</v>
      </c>
      <c r="D79" t="str">
        <f t="array" ref="D79">INDEX($B$2:$B$24,CEILING(ROW(A78)/27,1))</f>
        <v>塔拉夏</v>
      </c>
    </row>
    <row r="80" spans="3:4">
      <c r="C80">
        <v>79</v>
      </c>
      <c r="D80" t="str">
        <f t="array" ref="D80">INDEX($B$2:$B$24,CEILING(ROW(A79)/27,1))</f>
        <v>塔拉夏</v>
      </c>
    </row>
    <row r="81" spans="3:4">
      <c r="C81">
        <v>80</v>
      </c>
      <c r="D81" t="str">
        <f t="array" ref="D81">INDEX($B$2:$B$24,CEILING(ROW(A80)/27,1))</f>
        <v>塔拉夏</v>
      </c>
    </row>
    <row r="82" spans="3:4">
      <c r="C82">
        <v>81</v>
      </c>
      <c r="D82" t="str">
        <f t="array" ref="D82">INDEX($B$2:$B$24,CEILING(ROW(A81)/27,1))</f>
        <v>塔拉夏</v>
      </c>
    </row>
    <row r="83" spans="3:4">
      <c r="C83">
        <v>82</v>
      </c>
      <c r="D83" t="str">
        <f t="array" ref="D83">INDEX($B$2:$B$24,CEILING(ROW(A82)/27,1))</f>
        <v>阿芭</v>
      </c>
    </row>
    <row r="84" spans="3:4">
      <c r="C84">
        <v>83</v>
      </c>
      <c r="D84" t="str">
        <f t="array" ref="D84">INDEX($B$2:$B$24,CEILING(ROW(A83)/27,1))</f>
        <v>阿芭</v>
      </c>
    </row>
    <row r="85" spans="3:4">
      <c r="C85">
        <v>84</v>
      </c>
      <c r="D85" t="str">
        <f t="array" ref="D85">INDEX($B$2:$B$24,CEILING(ROW(A84)/27,1))</f>
        <v>阿芭</v>
      </c>
    </row>
    <row r="86" spans="3:4">
      <c r="C86">
        <v>85</v>
      </c>
      <c r="D86" t="str">
        <f t="array" ref="D86">INDEX($B$2:$B$24,CEILING(ROW(A85)/27,1))</f>
        <v>阿芭</v>
      </c>
    </row>
    <row r="87" spans="3:4">
      <c r="C87">
        <v>86</v>
      </c>
      <c r="D87" t="str">
        <f t="array" ref="D87">INDEX($B$2:$B$24,CEILING(ROW(A86)/27,1))</f>
        <v>阿芭</v>
      </c>
    </row>
    <row r="88" spans="3:4">
      <c r="C88">
        <v>87</v>
      </c>
      <c r="D88" t="str">
        <f t="array" ref="D88">INDEX($B$2:$B$24,CEILING(ROW(A87)/27,1))</f>
        <v>阿芭</v>
      </c>
    </row>
    <row r="89" spans="3:4">
      <c r="C89">
        <v>88</v>
      </c>
      <c r="D89" t="str">
        <f t="array" ref="D89">INDEX($B$2:$B$24,CEILING(ROW(A88)/27,1))</f>
        <v>阿芭</v>
      </c>
    </row>
    <row r="90" spans="3:4">
      <c r="C90">
        <v>89</v>
      </c>
      <c r="D90" t="str">
        <f t="array" ref="D90">INDEX($B$2:$B$24,CEILING(ROW(A89)/27,1))</f>
        <v>阿芭</v>
      </c>
    </row>
    <row r="91" spans="3:4">
      <c r="C91">
        <v>90</v>
      </c>
      <c r="D91" t="str">
        <f t="array" ref="D91">INDEX($B$2:$B$24,CEILING(ROW(A90)/27,1))</f>
        <v>阿芭</v>
      </c>
    </row>
    <row r="92" spans="3:4">
      <c r="C92">
        <v>91</v>
      </c>
      <c r="D92" t="str">
        <f t="array" ref="D92">INDEX($B$2:$B$24,CEILING(ROW(A91)/27,1))</f>
        <v>阿芭</v>
      </c>
    </row>
    <row r="93" spans="3:4">
      <c r="C93">
        <v>92</v>
      </c>
      <c r="D93" t="str">
        <f t="array" ref="D93">INDEX($B$2:$B$24,CEILING(ROW(A92)/27,1))</f>
        <v>阿芭</v>
      </c>
    </row>
    <row r="94" spans="3:4">
      <c r="C94">
        <v>93</v>
      </c>
      <c r="D94" t="str">
        <f t="array" ref="D94">INDEX($B$2:$B$24,CEILING(ROW(A93)/27,1))</f>
        <v>阿芭</v>
      </c>
    </row>
    <row r="95" spans="3:4">
      <c r="C95">
        <v>94</v>
      </c>
      <c r="D95" t="str">
        <f t="array" ref="D95">INDEX($B$2:$B$24,CEILING(ROW(A94)/27,1))</f>
        <v>阿芭</v>
      </c>
    </row>
    <row r="96" spans="3:4">
      <c r="C96">
        <v>95</v>
      </c>
      <c r="D96" t="str">
        <f t="array" ref="D96">INDEX($B$2:$B$24,CEILING(ROW(A95)/27,1))</f>
        <v>阿芭</v>
      </c>
    </row>
    <row r="97" spans="3:4">
      <c r="C97">
        <v>96</v>
      </c>
      <c r="D97" t="str">
        <f t="array" ref="D97">INDEX($B$2:$B$24,CEILING(ROW(A96)/27,1))</f>
        <v>阿芭</v>
      </c>
    </row>
    <row r="98" spans="3:4">
      <c r="C98">
        <v>97</v>
      </c>
      <c r="D98" t="str">
        <f t="array" ref="D98">INDEX($B$2:$B$24,CEILING(ROW(A97)/27,1))</f>
        <v>阿芭</v>
      </c>
    </row>
    <row r="99" spans="3:4">
      <c r="C99">
        <v>98</v>
      </c>
      <c r="D99" t="str">
        <f t="array" ref="D99">INDEX($B$2:$B$24,CEILING(ROW(A98)/27,1))</f>
        <v>阿芭</v>
      </c>
    </row>
    <row r="100" spans="3:4">
      <c r="C100">
        <v>99</v>
      </c>
      <c r="D100" t="str">
        <f t="array" ref="D100">INDEX($B$2:$B$24,CEILING(ROW(A99)/27,1))</f>
        <v>阿芭</v>
      </c>
    </row>
    <row r="101" spans="3:4">
      <c r="C101">
        <v>100</v>
      </c>
      <c r="D101" t="str">
        <f t="array" ref="D101">INDEX($B$2:$B$24,CEILING(ROW(A100)/27,1))</f>
        <v>阿芭</v>
      </c>
    </row>
    <row r="102" spans="3:4">
      <c r="C102">
        <v>101</v>
      </c>
      <c r="D102" t="str">
        <f t="array" ref="D102">INDEX($B$2:$B$24,CEILING(ROW(A101)/27,1))</f>
        <v>阿芭</v>
      </c>
    </row>
    <row r="103" spans="3:4">
      <c r="C103">
        <v>102</v>
      </c>
      <c r="D103" t="str">
        <f t="array" ref="D103">INDEX($B$2:$B$24,CEILING(ROW(A102)/27,1))</f>
        <v>阿芭</v>
      </c>
    </row>
    <row r="104" spans="3:4">
      <c r="C104">
        <v>103</v>
      </c>
      <c r="D104" t="str">
        <f t="array" ref="D104">INDEX($B$2:$B$24,CEILING(ROW(A103)/27,1))</f>
        <v>阿芭</v>
      </c>
    </row>
    <row r="105" spans="3:4">
      <c r="C105">
        <v>104</v>
      </c>
      <c r="D105" t="str">
        <f t="array" ref="D105">INDEX($B$2:$B$24,CEILING(ROW(A104)/27,1))</f>
        <v>阿芭</v>
      </c>
    </row>
    <row r="106" spans="3:4">
      <c r="C106">
        <v>105</v>
      </c>
      <c r="D106" t="str">
        <f t="array" ref="D106">INDEX($B$2:$B$24,CEILING(ROW(A105)/27,1))</f>
        <v>阿芭</v>
      </c>
    </row>
    <row r="107" spans="3:4">
      <c r="C107">
        <v>106</v>
      </c>
      <c r="D107" t="str">
        <f t="array" ref="D107">INDEX($B$2:$B$24,CEILING(ROW(A106)/27,1))</f>
        <v>阿芭</v>
      </c>
    </row>
    <row r="108" spans="3:4">
      <c r="C108">
        <v>107</v>
      </c>
      <c r="D108" t="str">
        <f t="array" ref="D108">INDEX($B$2:$B$24,CEILING(ROW(A107)/27,1))</f>
        <v>阿芭</v>
      </c>
    </row>
    <row r="109" spans="3:4">
      <c r="C109">
        <v>108</v>
      </c>
      <c r="D109" t="str">
        <f t="array" ref="D109">INDEX($B$2:$B$24,CEILING(ROW(A108)/27,1))</f>
        <v>阿芭</v>
      </c>
    </row>
    <row r="110" spans="3:4">
      <c r="C110">
        <v>109</v>
      </c>
      <c r="D110" t="str">
        <f t="array" ref="D110">INDEX($B$2:$B$24,CEILING(ROW(A109)/27,1))</f>
        <v>陈单单</v>
      </c>
    </row>
    <row r="111" spans="3:4">
      <c r="C111">
        <v>110</v>
      </c>
      <c r="D111" t="str">
        <f t="array" ref="D111">INDEX($B$2:$B$24,CEILING(ROW(A110)/27,1))</f>
        <v>陈单单</v>
      </c>
    </row>
    <row r="112" spans="3:4">
      <c r="C112">
        <v>111</v>
      </c>
      <c r="D112" t="str">
        <f t="array" ref="D112">INDEX($B$2:$B$24,CEILING(ROW(A111)/27,1))</f>
        <v>陈单单</v>
      </c>
    </row>
    <row r="113" spans="3:4">
      <c r="C113">
        <v>112</v>
      </c>
      <c r="D113" t="str">
        <f t="array" ref="D113">INDEX($B$2:$B$24,CEILING(ROW(A112)/27,1))</f>
        <v>陈单单</v>
      </c>
    </row>
    <row r="114" spans="3:4">
      <c r="C114">
        <v>113</v>
      </c>
      <c r="D114" t="str">
        <f t="array" ref="D114">INDEX($B$2:$B$24,CEILING(ROW(A113)/27,1))</f>
        <v>陈单单</v>
      </c>
    </row>
    <row r="115" spans="3:4">
      <c r="C115">
        <v>114</v>
      </c>
      <c r="D115" t="str">
        <f t="array" ref="D115">INDEX($B$2:$B$24,CEILING(ROW(A114)/27,1))</f>
        <v>陈单单</v>
      </c>
    </row>
    <row r="116" spans="3:4">
      <c r="C116">
        <v>115</v>
      </c>
      <c r="D116" t="str">
        <f t="array" ref="D116">INDEX($B$2:$B$24,CEILING(ROW(A115)/27,1))</f>
        <v>陈单单</v>
      </c>
    </row>
    <row r="117" spans="3:4">
      <c r="C117">
        <v>116</v>
      </c>
      <c r="D117" t="str">
        <f t="array" ref="D117">INDEX($B$2:$B$24,CEILING(ROW(A116)/27,1))</f>
        <v>陈单单</v>
      </c>
    </row>
    <row r="118" spans="3:4">
      <c r="C118">
        <v>117</v>
      </c>
      <c r="D118" t="str">
        <f t="array" ref="D118">INDEX($B$2:$B$24,CEILING(ROW(A117)/27,1))</f>
        <v>陈单单</v>
      </c>
    </row>
    <row r="119" spans="3:4">
      <c r="C119">
        <v>118</v>
      </c>
      <c r="D119" t="str">
        <f t="array" ref="D119">INDEX($B$2:$B$24,CEILING(ROW(A118)/27,1))</f>
        <v>陈单单</v>
      </c>
    </row>
    <row r="120" spans="3:4">
      <c r="C120">
        <v>119</v>
      </c>
      <c r="D120" t="str">
        <f t="array" ref="D120">INDEX($B$2:$B$24,CEILING(ROW(A119)/27,1))</f>
        <v>陈单单</v>
      </c>
    </row>
    <row r="121" spans="3:4">
      <c r="C121">
        <v>120</v>
      </c>
      <c r="D121" t="str">
        <f t="array" ref="D121">INDEX($B$2:$B$24,CEILING(ROW(A120)/27,1))</f>
        <v>陈单单</v>
      </c>
    </row>
    <row r="122" spans="3:4">
      <c r="C122">
        <v>121</v>
      </c>
      <c r="D122" t="str">
        <f t="array" ref="D122">INDEX($B$2:$B$24,CEILING(ROW(A121)/27,1))</f>
        <v>陈单单</v>
      </c>
    </row>
    <row r="123" spans="3:4">
      <c r="C123">
        <v>122</v>
      </c>
      <c r="D123" t="str">
        <f t="array" ref="D123">INDEX($B$2:$B$24,CEILING(ROW(A122)/27,1))</f>
        <v>陈单单</v>
      </c>
    </row>
    <row r="124" spans="3:4">
      <c r="C124">
        <v>123</v>
      </c>
      <c r="D124" t="str">
        <f t="array" ref="D124">INDEX($B$2:$B$24,CEILING(ROW(A123)/27,1))</f>
        <v>陈单单</v>
      </c>
    </row>
    <row r="125" spans="3:4">
      <c r="C125">
        <v>124</v>
      </c>
      <c r="D125" t="str">
        <f t="array" ref="D125">INDEX($B$2:$B$24,CEILING(ROW(A124)/27,1))</f>
        <v>陈单单</v>
      </c>
    </row>
    <row r="126" spans="3:4">
      <c r="C126">
        <v>125</v>
      </c>
      <c r="D126" t="str">
        <f t="array" ref="D126">INDEX($B$2:$B$24,CEILING(ROW(A125)/27,1))</f>
        <v>陈单单</v>
      </c>
    </row>
    <row r="127" spans="3:4">
      <c r="C127">
        <v>126</v>
      </c>
      <c r="D127" t="str">
        <f t="array" ref="D127">INDEX($B$2:$B$24,CEILING(ROW(A126)/27,1))</f>
        <v>陈单单</v>
      </c>
    </row>
    <row r="128" spans="3:4">
      <c r="C128">
        <v>127</v>
      </c>
      <c r="D128" t="str">
        <f t="array" ref="D128">INDEX($B$2:$B$24,CEILING(ROW(A127)/27,1))</f>
        <v>陈单单</v>
      </c>
    </row>
    <row r="129" spans="3:4">
      <c r="C129">
        <v>128</v>
      </c>
      <c r="D129" t="str">
        <f t="array" ref="D129">INDEX($B$2:$B$24,CEILING(ROW(A128)/27,1))</f>
        <v>陈单单</v>
      </c>
    </row>
    <row r="130" spans="3:4">
      <c r="C130">
        <v>129</v>
      </c>
      <c r="D130" t="str">
        <f t="array" ref="D130">INDEX($B$2:$B$24,CEILING(ROW(A129)/27,1))</f>
        <v>陈单单</v>
      </c>
    </row>
    <row r="131" spans="3:4">
      <c r="C131">
        <v>130</v>
      </c>
      <c r="D131" t="str">
        <f t="array" ref="D131">INDEX($B$2:$B$24,CEILING(ROW(A130)/27,1))</f>
        <v>陈单单</v>
      </c>
    </row>
    <row r="132" spans="3:4">
      <c r="C132">
        <v>131</v>
      </c>
      <c r="D132" t="str">
        <f t="array" ref="D132">INDEX($B$2:$B$24,CEILING(ROW(A131)/27,1))</f>
        <v>陈单单</v>
      </c>
    </row>
    <row r="133" spans="3:4">
      <c r="C133">
        <v>132</v>
      </c>
      <c r="D133" t="str">
        <f t="array" ref="D133">INDEX($B$2:$B$24,CEILING(ROW(A132)/27,1))</f>
        <v>陈单单</v>
      </c>
    </row>
    <row r="134" spans="3:4">
      <c r="C134">
        <v>133</v>
      </c>
      <c r="D134" t="str">
        <f t="array" ref="D134">INDEX($B$2:$B$24,CEILING(ROW(A133)/27,1))</f>
        <v>陈单单</v>
      </c>
    </row>
    <row r="135" spans="3:4">
      <c r="C135">
        <v>134</v>
      </c>
      <c r="D135" t="str">
        <f t="array" ref="D135">INDEX($B$2:$B$24,CEILING(ROW(A134)/27,1))</f>
        <v>陈单单</v>
      </c>
    </row>
    <row r="136" spans="3:4">
      <c r="C136">
        <v>135</v>
      </c>
      <c r="D136" t="str">
        <f t="array" ref="D136">INDEX($B$2:$B$24,CEILING(ROW(A135)/27,1))</f>
        <v>陈单单</v>
      </c>
    </row>
    <row r="137" spans="3:4">
      <c r="C137">
        <v>136</v>
      </c>
      <c r="D137" t="str">
        <f t="array" ref="D137">INDEX($B$2:$B$24,CEILING(ROW(A136)/27,1))</f>
        <v>莉莉娅</v>
      </c>
    </row>
    <row r="138" spans="3:4">
      <c r="C138">
        <v>137</v>
      </c>
      <c r="D138" t="str">
        <f t="array" ref="D138">INDEX($B$2:$B$24,CEILING(ROW(A137)/27,1))</f>
        <v>莉莉娅</v>
      </c>
    </row>
    <row r="139" spans="3:4">
      <c r="C139">
        <v>138</v>
      </c>
      <c r="D139" t="str">
        <f t="array" ref="D139">INDEX($B$2:$B$24,CEILING(ROW(A138)/27,1))</f>
        <v>莉莉娅</v>
      </c>
    </row>
    <row r="140" spans="3:4">
      <c r="C140">
        <v>139</v>
      </c>
      <c r="D140" t="str">
        <f t="array" ref="D140">INDEX($B$2:$B$24,CEILING(ROW(A139)/27,1))</f>
        <v>莉莉娅</v>
      </c>
    </row>
    <row r="141" spans="3:4">
      <c r="C141">
        <v>140</v>
      </c>
      <c r="D141" t="str">
        <f t="array" ref="D141">INDEX($B$2:$B$24,CEILING(ROW(A140)/27,1))</f>
        <v>莉莉娅</v>
      </c>
    </row>
    <row r="142" spans="3:4">
      <c r="C142">
        <v>141</v>
      </c>
      <c r="D142" t="str">
        <f t="array" ref="D142">INDEX($B$2:$B$24,CEILING(ROW(A141)/27,1))</f>
        <v>莉莉娅</v>
      </c>
    </row>
    <row r="143" spans="3:4">
      <c r="C143">
        <v>142</v>
      </c>
      <c r="D143" t="str">
        <f t="array" ref="D143">INDEX($B$2:$B$24,CEILING(ROW(A142)/27,1))</f>
        <v>莉莉娅</v>
      </c>
    </row>
    <row r="144" spans="3:4">
      <c r="C144">
        <v>143</v>
      </c>
      <c r="D144" t="str">
        <f t="array" ref="D144">INDEX($B$2:$B$24,CEILING(ROW(A143)/27,1))</f>
        <v>莉莉娅</v>
      </c>
    </row>
    <row r="145" spans="3:4">
      <c r="C145">
        <v>144</v>
      </c>
      <c r="D145" t="str">
        <f t="array" ref="D145">INDEX($B$2:$B$24,CEILING(ROW(A144)/27,1))</f>
        <v>莉莉娅</v>
      </c>
    </row>
    <row r="146" spans="3:4">
      <c r="C146">
        <v>145</v>
      </c>
      <c r="D146" t="str">
        <f t="array" ref="D146">INDEX($B$2:$B$24,CEILING(ROW(A145)/27,1))</f>
        <v>莉莉娅</v>
      </c>
    </row>
    <row r="147" spans="3:4">
      <c r="C147">
        <v>146</v>
      </c>
      <c r="D147" t="str">
        <f t="array" ref="D147">INDEX($B$2:$B$24,CEILING(ROW(A146)/27,1))</f>
        <v>莉莉娅</v>
      </c>
    </row>
    <row r="148" spans="3:4">
      <c r="C148">
        <v>147</v>
      </c>
      <c r="D148" t="str">
        <f t="array" ref="D148">INDEX($B$2:$B$24,CEILING(ROW(A147)/27,1))</f>
        <v>莉莉娅</v>
      </c>
    </row>
    <row r="149" spans="3:4">
      <c r="C149">
        <v>148</v>
      </c>
      <c r="D149" t="str">
        <f t="array" ref="D149">INDEX($B$2:$B$24,CEILING(ROW(A148)/27,1))</f>
        <v>莉莉娅</v>
      </c>
    </row>
    <row r="150" spans="3:4">
      <c r="C150">
        <v>149</v>
      </c>
      <c r="D150" t="str">
        <f t="array" ref="D150">INDEX($B$2:$B$24,CEILING(ROW(A149)/27,1))</f>
        <v>莉莉娅</v>
      </c>
    </row>
    <row r="151" spans="3:4">
      <c r="C151">
        <v>150</v>
      </c>
      <c r="D151" t="str">
        <f t="array" ref="D151">INDEX($B$2:$B$24,CEILING(ROW(A150)/27,1))</f>
        <v>莉莉娅</v>
      </c>
    </row>
    <row r="152" spans="3:4">
      <c r="C152">
        <v>151</v>
      </c>
      <c r="D152" t="str">
        <f t="array" ref="D152">INDEX($B$2:$B$24,CEILING(ROW(A151)/27,1))</f>
        <v>莉莉娅</v>
      </c>
    </row>
    <row r="153" spans="3:4">
      <c r="C153">
        <v>152</v>
      </c>
      <c r="D153" t="str">
        <f t="array" ref="D153">INDEX($B$2:$B$24,CEILING(ROW(A152)/27,1))</f>
        <v>莉莉娅</v>
      </c>
    </row>
    <row r="154" spans="3:4">
      <c r="C154">
        <v>153</v>
      </c>
      <c r="D154" t="str">
        <f t="array" ref="D154">INDEX($B$2:$B$24,CEILING(ROW(A153)/27,1))</f>
        <v>莉莉娅</v>
      </c>
    </row>
    <row r="155" spans="3:4">
      <c r="C155">
        <v>154</v>
      </c>
      <c r="D155" t="str">
        <f t="array" ref="D155">INDEX($B$2:$B$24,CEILING(ROW(A154)/27,1))</f>
        <v>莉莉娅</v>
      </c>
    </row>
    <row r="156" spans="3:4">
      <c r="C156">
        <v>155</v>
      </c>
      <c r="D156" t="str">
        <f t="array" ref="D156">INDEX($B$2:$B$24,CEILING(ROW(A155)/27,1))</f>
        <v>莉莉娅</v>
      </c>
    </row>
    <row r="157" spans="3:4">
      <c r="C157">
        <v>156</v>
      </c>
      <c r="D157" t="str">
        <f t="array" ref="D157">INDEX($B$2:$B$24,CEILING(ROW(A156)/27,1))</f>
        <v>莉莉娅</v>
      </c>
    </row>
    <row r="158" spans="3:4">
      <c r="C158">
        <v>157</v>
      </c>
      <c r="D158" t="str">
        <f t="array" ref="D158">INDEX($B$2:$B$24,CEILING(ROW(A157)/27,1))</f>
        <v>莉莉娅</v>
      </c>
    </row>
    <row r="159" spans="3:4">
      <c r="C159">
        <v>158</v>
      </c>
      <c r="D159" t="str">
        <f t="array" ref="D159">INDEX($B$2:$B$24,CEILING(ROW(A158)/27,1))</f>
        <v>莉莉娅</v>
      </c>
    </row>
    <row r="160" spans="3:4">
      <c r="C160">
        <v>159</v>
      </c>
      <c r="D160" t="str">
        <f t="array" ref="D160">INDEX($B$2:$B$24,CEILING(ROW(A159)/27,1))</f>
        <v>莉莉娅</v>
      </c>
    </row>
    <row r="161" spans="3:4">
      <c r="C161">
        <v>160</v>
      </c>
      <c r="D161" t="str">
        <f t="array" ref="D161">INDEX($B$2:$B$24,CEILING(ROW(A160)/27,1))</f>
        <v>莉莉娅</v>
      </c>
    </row>
    <row r="162" spans="3:4">
      <c r="C162">
        <v>161</v>
      </c>
      <c r="D162" t="str">
        <f t="array" ref="D162">INDEX($B$2:$B$24,CEILING(ROW(A161)/27,1))</f>
        <v>莉莉娅</v>
      </c>
    </row>
    <row r="163" spans="3:4">
      <c r="C163">
        <v>162</v>
      </c>
      <c r="D163" t="str">
        <f t="array" ref="D163">INDEX($B$2:$B$24,CEILING(ROW(A162)/27,1))</f>
        <v>莉莉娅</v>
      </c>
    </row>
    <row r="164" spans="3:4">
      <c r="C164">
        <v>163</v>
      </c>
      <c r="D164" t="str">
        <f t="array" ref="D164">INDEX($B$2:$B$24,CEILING(ROW(A163)/27,1))</f>
        <v>萨萨莉安</v>
      </c>
    </row>
    <row r="165" spans="3:4">
      <c r="C165">
        <v>164</v>
      </c>
      <c r="D165" t="str">
        <f t="array" ref="D165">INDEX($B$2:$B$24,CEILING(ROW(A164)/27,1))</f>
        <v>萨萨莉安</v>
      </c>
    </row>
    <row r="166" spans="3:4">
      <c r="C166">
        <v>165</v>
      </c>
      <c r="D166" t="str">
        <f t="array" ref="D166">INDEX($B$2:$B$24,CEILING(ROW(A165)/27,1))</f>
        <v>萨萨莉安</v>
      </c>
    </row>
    <row r="167" spans="3:4">
      <c r="C167">
        <v>166</v>
      </c>
      <c r="D167" t="str">
        <f t="array" ref="D167">INDEX($B$2:$B$24,CEILING(ROW(A166)/27,1))</f>
        <v>萨萨莉安</v>
      </c>
    </row>
    <row r="168" spans="3:4">
      <c r="C168">
        <v>167</v>
      </c>
      <c r="D168" t="str">
        <f t="array" ref="D168">INDEX($B$2:$B$24,CEILING(ROW(A167)/27,1))</f>
        <v>萨萨莉安</v>
      </c>
    </row>
    <row r="169" spans="3:4">
      <c r="C169">
        <v>168</v>
      </c>
      <c r="D169" t="str">
        <f t="array" ref="D169">INDEX($B$2:$B$24,CEILING(ROW(A168)/27,1))</f>
        <v>萨萨莉安</v>
      </c>
    </row>
    <row r="170" spans="3:4">
      <c r="C170">
        <v>169</v>
      </c>
      <c r="D170" t="str">
        <f t="array" ref="D170">INDEX($B$2:$B$24,CEILING(ROW(A169)/27,1))</f>
        <v>萨萨莉安</v>
      </c>
    </row>
    <row r="171" spans="3:4">
      <c r="C171">
        <v>170</v>
      </c>
      <c r="D171" t="str">
        <f t="array" ref="D171">INDEX($B$2:$B$24,CEILING(ROW(A170)/27,1))</f>
        <v>萨萨莉安</v>
      </c>
    </row>
    <row r="172" spans="3:4">
      <c r="C172">
        <v>171</v>
      </c>
      <c r="D172" t="str">
        <f t="array" ref="D172">INDEX($B$2:$B$24,CEILING(ROW(A171)/27,1))</f>
        <v>萨萨莉安</v>
      </c>
    </row>
    <row r="173" spans="3:4">
      <c r="C173">
        <v>172</v>
      </c>
      <c r="D173" t="str">
        <f t="array" ref="D173">INDEX($B$2:$B$24,CEILING(ROW(A172)/27,1))</f>
        <v>萨萨莉安</v>
      </c>
    </row>
    <row r="174" spans="3:4">
      <c r="C174">
        <v>173</v>
      </c>
      <c r="D174" t="str">
        <f t="array" ref="D174">INDEX($B$2:$B$24,CEILING(ROW(A173)/27,1))</f>
        <v>萨萨莉安</v>
      </c>
    </row>
    <row r="175" spans="3:4">
      <c r="C175">
        <v>174</v>
      </c>
      <c r="D175" t="str">
        <f t="array" ref="D175">INDEX($B$2:$B$24,CEILING(ROW(A174)/27,1))</f>
        <v>萨萨莉安</v>
      </c>
    </row>
    <row r="176" spans="3:4">
      <c r="C176">
        <v>175</v>
      </c>
      <c r="D176" t="str">
        <f t="array" ref="D176">INDEX($B$2:$B$24,CEILING(ROW(A175)/27,1))</f>
        <v>萨萨莉安</v>
      </c>
    </row>
    <row r="177" spans="3:4">
      <c r="C177">
        <v>176</v>
      </c>
      <c r="D177" t="str">
        <f t="array" ref="D177">INDEX($B$2:$B$24,CEILING(ROW(A176)/27,1))</f>
        <v>萨萨莉安</v>
      </c>
    </row>
    <row r="178" spans="3:4">
      <c r="C178">
        <v>177</v>
      </c>
      <c r="D178" t="str">
        <f t="array" ref="D178">INDEX($B$2:$B$24,CEILING(ROW(A177)/27,1))</f>
        <v>萨萨莉安</v>
      </c>
    </row>
    <row r="179" spans="3:4">
      <c r="C179">
        <v>178</v>
      </c>
      <c r="D179" t="str">
        <f t="array" ref="D179">INDEX($B$2:$B$24,CEILING(ROW(A178)/27,1))</f>
        <v>萨萨莉安</v>
      </c>
    </row>
    <row r="180" spans="3:4">
      <c r="C180">
        <v>179</v>
      </c>
      <c r="D180" t="str">
        <f t="array" ref="D180">INDEX($B$2:$B$24,CEILING(ROW(A179)/27,1))</f>
        <v>萨萨莉安</v>
      </c>
    </row>
    <row r="181" spans="3:4">
      <c r="C181">
        <v>180</v>
      </c>
      <c r="D181" t="str">
        <f t="array" ref="D181">INDEX($B$2:$B$24,CEILING(ROW(A180)/27,1))</f>
        <v>萨萨莉安</v>
      </c>
    </row>
    <row r="182" spans="3:4">
      <c r="C182">
        <v>181</v>
      </c>
      <c r="D182" t="str">
        <f t="array" ref="D182">INDEX($B$2:$B$24,CEILING(ROW(A181)/27,1))</f>
        <v>萨萨莉安</v>
      </c>
    </row>
    <row r="183" spans="3:4">
      <c r="C183">
        <v>182</v>
      </c>
      <c r="D183" t="str">
        <f t="array" ref="D183">INDEX($B$2:$B$24,CEILING(ROW(A182)/27,1))</f>
        <v>萨萨莉安</v>
      </c>
    </row>
    <row r="184" spans="3:4">
      <c r="C184">
        <v>183</v>
      </c>
      <c r="D184" t="str">
        <f t="array" ref="D184">INDEX($B$2:$B$24,CEILING(ROW(A183)/27,1))</f>
        <v>萨萨莉安</v>
      </c>
    </row>
    <row r="185" spans="3:4">
      <c r="C185">
        <v>184</v>
      </c>
      <c r="D185" t="str">
        <f t="array" ref="D185">INDEX($B$2:$B$24,CEILING(ROW(A184)/27,1))</f>
        <v>萨萨莉安</v>
      </c>
    </row>
    <row r="186" spans="3:4">
      <c r="C186">
        <v>185</v>
      </c>
      <c r="D186" t="str">
        <f t="array" ref="D186">INDEX($B$2:$B$24,CEILING(ROW(A185)/27,1))</f>
        <v>萨萨莉安</v>
      </c>
    </row>
    <row r="187" spans="3:4">
      <c r="C187">
        <v>186</v>
      </c>
      <c r="D187" t="str">
        <f t="array" ref="D187">INDEX($B$2:$B$24,CEILING(ROW(A186)/27,1))</f>
        <v>萨萨莉安</v>
      </c>
    </row>
    <row r="188" spans="3:4">
      <c r="C188">
        <v>187</v>
      </c>
      <c r="D188" t="str">
        <f t="array" ref="D188">INDEX($B$2:$B$24,CEILING(ROW(A187)/27,1))</f>
        <v>萨萨莉安</v>
      </c>
    </row>
    <row r="189" spans="3:4">
      <c r="C189">
        <v>188</v>
      </c>
      <c r="D189" t="str">
        <f t="array" ref="D189">INDEX($B$2:$B$24,CEILING(ROW(A188)/27,1))</f>
        <v>萨萨莉安</v>
      </c>
    </row>
    <row r="190" spans="3:4">
      <c r="C190">
        <v>189</v>
      </c>
      <c r="D190" t="str">
        <f t="array" ref="D190">INDEX($B$2:$B$24,CEILING(ROW(A189)/27,1))</f>
        <v>萨萨莉安</v>
      </c>
    </row>
    <row r="191" spans="3:4">
      <c r="C191">
        <v>190</v>
      </c>
      <c r="D191" t="str">
        <f t="array" ref="D191">INDEX($B$2:$B$24,CEILING(ROW(A190)/27,1))</f>
        <v>薇</v>
      </c>
    </row>
    <row r="192" spans="3:4">
      <c r="C192">
        <v>191</v>
      </c>
      <c r="D192" t="str">
        <f t="array" ref="D192">INDEX($B$2:$B$24,CEILING(ROW(A191)/27,1))</f>
        <v>薇</v>
      </c>
    </row>
    <row r="193" spans="3:4">
      <c r="C193">
        <v>192</v>
      </c>
      <c r="D193" t="str">
        <f t="array" ref="D193">INDEX($B$2:$B$24,CEILING(ROW(A192)/27,1))</f>
        <v>薇</v>
      </c>
    </row>
    <row r="194" spans="3:4">
      <c r="C194">
        <v>193</v>
      </c>
      <c r="D194" t="str">
        <f t="array" ref="D194">INDEX($B$2:$B$24,CEILING(ROW(A193)/27,1))</f>
        <v>薇</v>
      </c>
    </row>
    <row r="195" spans="3:4">
      <c r="C195">
        <v>194</v>
      </c>
      <c r="D195" t="str">
        <f t="array" ref="D195">INDEX($B$2:$B$24,CEILING(ROW(A194)/27,1))</f>
        <v>薇</v>
      </c>
    </row>
    <row r="196" spans="3:4">
      <c r="C196">
        <v>195</v>
      </c>
      <c r="D196" t="str">
        <f t="array" ref="D196">INDEX($B$2:$B$24,CEILING(ROW(A195)/27,1))</f>
        <v>薇</v>
      </c>
    </row>
    <row r="197" spans="3:4">
      <c r="C197">
        <v>196</v>
      </c>
      <c r="D197" t="str">
        <f t="array" ref="D197">INDEX($B$2:$B$24,CEILING(ROW(A196)/27,1))</f>
        <v>薇</v>
      </c>
    </row>
    <row r="198" spans="3:4">
      <c r="C198">
        <v>197</v>
      </c>
      <c r="D198" t="str">
        <f t="array" ref="D198">INDEX($B$2:$B$24,CEILING(ROW(A197)/27,1))</f>
        <v>薇</v>
      </c>
    </row>
    <row r="199" spans="3:4">
      <c r="C199">
        <v>198</v>
      </c>
      <c r="D199" t="str">
        <f t="array" ref="D199">INDEX($B$2:$B$24,CEILING(ROW(A198)/27,1))</f>
        <v>薇</v>
      </c>
    </row>
    <row r="200" spans="3:4">
      <c r="C200">
        <v>199</v>
      </c>
      <c r="D200" t="str">
        <f t="array" ref="D200">INDEX($B$2:$B$24,CEILING(ROW(A199)/27,1))</f>
        <v>薇</v>
      </c>
    </row>
    <row r="201" spans="3:4">
      <c r="C201">
        <v>200</v>
      </c>
      <c r="D201" t="str">
        <f t="array" ref="D201">INDEX($B$2:$B$24,CEILING(ROW(A200)/27,1))</f>
        <v>薇</v>
      </c>
    </row>
    <row r="202" spans="3:4">
      <c r="C202">
        <v>201</v>
      </c>
      <c r="D202" t="str">
        <f t="array" ref="D202">INDEX($B$2:$B$24,CEILING(ROW(A201)/27,1))</f>
        <v>薇</v>
      </c>
    </row>
    <row r="203" spans="3:4">
      <c r="C203">
        <v>202</v>
      </c>
      <c r="D203" t="str">
        <f t="array" ref="D203">INDEX($B$2:$B$24,CEILING(ROW(A202)/27,1))</f>
        <v>薇</v>
      </c>
    </row>
    <row r="204" spans="3:4">
      <c r="C204">
        <v>203</v>
      </c>
      <c r="D204" t="str">
        <f t="array" ref="D204">INDEX($B$2:$B$24,CEILING(ROW(A203)/27,1))</f>
        <v>薇</v>
      </c>
    </row>
    <row r="205" spans="3:4">
      <c r="C205">
        <v>204</v>
      </c>
      <c r="D205" t="str">
        <f t="array" ref="D205">INDEX($B$2:$B$24,CEILING(ROW(A204)/27,1))</f>
        <v>薇</v>
      </c>
    </row>
    <row r="206" spans="3:4">
      <c r="C206">
        <v>205</v>
      </c>
      <c r="D206" t="str">
        <f t="array" ref="D206">INDEX($B$2:$B$24,CEILING(ROW(A205)/27,1))</f>
        <v>薇</v>
      </c>
    </row>
    <row r="207" spans="3:4">
      <c r="C207">
        <v>206</v>
      </c>
      <c r="D207" t="str">
        <f t="array" ref="D207">INDEX($B$2:$B$24,CEILING(ROW(A206)/27,1))</f>
        <v>薇</v>
      </c>
    </row>
    <row r="208" spans="3:4">
      <c r="C208">
        <v>207</v>
      </c>
      <c r="D208" t="str">
        <f t="array" ref="D208">INDEX($B$2:$B$24,CEILING(ROW(A207)/27,1))</f>
        <v>薇</v>
      </c>
    </row>
    <row r="209" spans="3:4">
      <c r="C209">
        <v>208</v>
      </c>
      <c r="D209" t="str">
        <f t="array" ref="D209">INDEX($B$2:$B$24,CEILING(ROW(A208)/27,1))</f>
        <v>薇</v>
      </c>
    </row>
    <row r="210" spans="3:4">
      <c r="C210">
        <v>209</v>
      </c>
      <c r="D210" t="str">
        <f t="array" ref="D210">INDEX($B$2:$B$24,CEILING(ROW(A209)/27,1))</f>
        <v>薇</v>
      </c>
    </row>
    <row r="211" spans="3:4">
      <c r="C211">
        <v>210</v>
      </c>
      <c r="D211" t="str">
        <f t="array" ref="D211">INDEX($B$2:$B$24,CEILING(ROW(A210)/27,1))</f>
        <v>薇</v>
      </c>
    </row>
    <row r="212" spans="3:4">
      <c r="C212">
        <v>211</v>
      </c>
      <c r="D212" t="str">
        <f t="array" ref="D212">INDEX($B$2:$B$24,CEILING(ROW(A211)/27,1))</f>
        <v>薇</v>
      </c>
    </row>
    <row r="213" spans="3:4">
      <c r="C213">
        <v>212</v>
      </c>
      <c r="D213" t="str">
        <f t="array" ref="D213">INDEX($B$2:$B$24,CEILING(ROW(A212)/27,1))</f>
        <v>薇</v>
      </c>
    </row>
    <row r="214" spans="3:4">
      <c r="C214">
        <v>213</v>
      </c>
      <c r="D214" t="str">
        <f t="array" ref="D214">INDEX($B$2:$B$24,CEILING(ROW(A213)/27,1))</f>
        <v>薇</v>
      </c>
    </row>
    <row r="215" spans="3:4">
      <c r="C215">
        <v>214</v>
      </c>
      <c r="D215" t="str">
        <f t="array" ref="D215">INDEX($B$2:$B$24,CEILING(ROW(A214)/27,1))</f>
        <v>薇</v>
      </c>
    </row>
    <row r="216" spans="3:4">
      <c r="C216">
        <v>215</v>
      </c>
      <c r="D216" t="str">
        <f t="array" ref="D216">INDEX($B$2:$B$24,CEILING(ROW(A215)/27,1))</f>
        <v>薇</v>
      </c>
    </row>
    <row r="217" spans="3:4">
      <c r="C217">
        <v>216</v>
      </c>
      <c r="D217" t="str">
        <f t="array" ref="D217">INDEX($B$2:$B$24,CEILING(ROW(A216)/27,1))</f>
        <v>薇</v>
      </c>
    </row>
    <row r="218" spans="3:4">
      <c r="C218">
        <v>217</v>
      </c>
      <c r="D218" t="str">
        <f t="array" ref="D218">INDEX($B$2:$B$24,CEILING(ROW(A217)/27,1))</f>
        <v>约瑟夫</v>
      </c>
    </row>
    <row r="219" spans="3:4">
      <c r="C219">
        <v>218</v>
      </c>
      <c r="D219" t="str">
        <f t="array" ref="D219">INDEX($B$2:$B$24,CEILING(ROW(A218)/27,1))</f>
        <v>约瑟夫</v>
      </c>
    </row>
    <row r="220" spans="3:4">
      <c r="C220">
        <v>219</v>
      </c>
      <c r="D220" t="str">
        <f t="array" ref="D220">INDEX($B$2:$B$24,CEILING(ROW(A219)/27,1))</f>
        <v>约瑟夫</v>
      </c>
    </row>
    <row r="221" spans="3:4">
      <c r="C221">
        <v>220</v>
      </c>
      <c r="D221" t="str">
        <f t="array" ref="D221">INDEX($B$2:$B$24,CEILING(ROW(A220)/27,1))</f>
        <v>约瑟夫</v>
      </c>
    </row>
    <row r="222" spans="3:4">
      <c r="C222">
        <v>221</v>
      </c>
      <c r="D222" t="str">
        <f t="array" ref="D222">INDEX($B$2:$B$24,CEILING(ROW(A221)/27,1))</f>
        <v>约瑟夫</v>
      </c>
    </row>
    <row r="223" spans="3:4">
      <c r="C223">
        <v>222</v>
      </c>
      <c r="D223" t="str">
        <f t="array" ref="D223">INDEX($B$2:$B$24,CEILING(ROW(A222)/27,1))</f>
        <v>约瑟夫</v>
      </c>
    </row>
    <row r="224" spans="3:4">
      <c r="C224">
        <v>223</v>
      </c>
      <c r="D224" t="str">
        <f t="array" ref="D224">INDEX($B$2:$B$24,CEILING(ROW(A223)/27,1))</f>
        <v>约瑟夫</v>
      </c>
    </row>
    <row r="225" spans="3:4">
      <c r="C225">
        <v>224</v>
      </c>
      <c r="D225" t="str">
        <f t="array" ref="D225">INDEX($B$2:$B$24,CEILING(ROW(A224)/27,1))</f>
        <v>约瑟夫</v>
      </c>
    </row>
    <row r="226" spans="3:4">
      <c r="C226">
        <v>225</v>
      </c>
      <c r="D226" t="str">
        <f t="array" ref="D226">INDEX($B$2:$B$24,CEILING(ROW(A225)/27,1))</f>
        <v>约瑟夫</v>
      </c>
    </row>
    <row r="227" spans="3:4">
      <c r="C227">
        <v>226</v>
      </c>
      <c r="D227" t="str">
        <f t="array" ref="D227">INDEX($B$2:$B$24,CEILING(ROW(A226)/27,1))</f>
        <v>约瑟夫</v>
      </c>
    </row>
    <row r="228" spans="3:4">
      <c r="C228">
        <v>227</v>
      </c>
      <c r="D228" t="str">
        <f t="array" ref="D228">INDEX($B$2:$B$24,CEILING(ROW(A227)/27,1))</f>
        <v>约瑟夫</v>
      </c>
    </row>
    <row r="229" spans="3:4">
      <c r="C229">
        <v>228</v>
      </c>
      <c r="D229" t="str">
        <f t="array" ref="D229">INDEX($B$2:$B$24,CEILING(ROW(A228)/27,1))</f>
        <v>约瑟夫</v>
      </c>
    </row>
    <row r="230" spans="3:4">
      <c r="C230">
        <v>229</v>
      </c>
      <c r="D230" t="str">
        <f t="array" ref="D230">INDEX($B$2:$B$24,CEILING(ROW(A229)/27,1))</f>
        <v>约瑟夫</v>
      </c>
    </row>
    <row r="231" spans="3:4">
      <c r="C231">
        <v>230</v>
      </c>
      <c r="D231" t="str">
        <f t="array" ref="D231">INDEX($B$2:$B$24,CEILING(ROW(A230)/27,1))</f>
        <v>约瑟夫</v>
      </c>
    </row>
    <row r="232" spans="3:4">
      <c r="C232">
        <v>231</v>
      </c>
      <c r="D232" t="str">
        <f t="array" ref="D232">INDEX($B$2:$B$24,CEILING(ROW(A231)/27,1))</f>
        <v>约瑟夫</v>
      </c>
    </row>
    <row r="233" spans="3:4">
      <c r="C233">
        <v>232</v>
      </c>
      <c r="D233" t="str">
        <f t="array" ref="D233">INDEX($B$2:$B$24,CEILING(ROW(A232)/27,1))</f>
        <v>约瑟夫</v>
      </c>
    </row>
    <row r="234" spans="3:4">
      <c r="C234">
        <v>233</v>
      </c>
      <c r="D234" t="str">
        <f t="array" ref="D234">INDEX($B$2:$B$24,CEILING(ROW(A233)/27,1))</f>
        <v>约瑟夫</v>
      </c>
    </row>
    <row r="235" spans="3:4">
      <c r="C235">
        <v>234</v>
      </c>
      <c r="D235" t="str">
        <f t="array" ref="D235">INDEX($B$2:$B$24,CEILING(ROW(A234)/27,1))</f>
        <v>约瑟夫</v>
      </c>
    </row>
    <row r="236" spans="3:4">
      <c r="C236">
        <v>235</v>
      </c>
      <c r="D236" t="str">
        <f t="array" ref="D236">INDEX($B$2:$B$24,CEILING(ROW(A235)/27,1))</f>
        <v>约瑟夫</v>
      </c>
    </row>
    <row r="237" spans="3:4">
      <c r="C237">
        <v>236</v>
      </c>
      <c r="D237" t="str">
        <f t="array" ref="D237">INDEX($B$2:$B$24,CEILING(ROW(A236)/27,1))</f>
        <v>约瑟夫</v>
      </c>
    </row>
    <row r="238" spans="3:4">
      <c r="C238">
        <v>237</v>
      </c>
      <c r="D238" t="str">
        <f t="array" ref="D238">INDEX($B$2:$B$24,CEILING(ROW(A237)/27,1))</f>
        <v>约瑟夫</v>
      </c>
    </row>
    <row r="239" spans="3:4">
      <c r="C239">
        <v>238</v>
      </c>
      <c r="D239" t="str">
        <f t="array" ref="D239">INDEX($B$2:$B$24,CEILING(ROW(A238)/27,1))</f>
        <v>约瑟夫</v>
      </c>
    </row>
    <row r="240" spans="3:4">
      <c r="C240">
        <v>239</v>
      </c>
      <c r="D240" t="str">
        <f t="array" ref="D240">INDEX($B$2:$B$24,CEILING(ROW(A239)/27,1))</f>
        <v>约瑟夫</v>
      </c>
    </row>
    <row r="241" spans="3:4">
      <c r="C241">
        <v>240</v>
      </c>
      <c r="D241" t="str">
        <f t="array" ref="D241">INDEX($B$2:$B$24,CEILING(ROW(A240)/27,1))</f>
        <v>约瑟夫</v>
      </c>
    </row>
    <row r="242" spans="3:4">
      <c r="C242">
        <v>241</v>
      </c>
      <c r="D242" t="str">
        <f t="array" ref="D242">INDEX($B$2:$B$24,CEILING(ROW(A241)/27,1))</f>
        <v>约瑟夫</v>
      </c>
    </row>
    <row r="243" spans="3:4">
      <c r="C243">
        <v>242</v>
      </c>
      <c r="D243" t="str">
        <f t="array" ref="D243">INDEX($B$2:$B$24,CEILING(ROW(A242)/27,1))</f>
        <v>约瑟夫</v>
      </c>
    </row>
    <row r="244" spans="3:4">
      <c r="C244">
        <v>243</v>
      </c>
      <c r="D244" t="str">
        <f t="array" ref="D244">INDEX($B$2:$B$24,CEILING(ROW(A243)/27,1))</f>
        <v>约瑟夫</v>
      </c>
    </row>
    <row r="245" spans="3:4">
      <c r="C245">
        <v>244</v>
      </c>
      <c r="D245" t="str">
        <f t="array" ref="D245">INDEX($B$2:$B$24,CEILING(ROW(A244)/27,1))</f>
        <v>陈双双</v>
      </c>
    </row>
    <row r="246" spans="3:4">
      <c r="C246">
        <v>245</v>
      </c>
      <c r="D246" t="str">
        <f t="array" ref="D246">INDEX($B$2:$B$24,CEILING(ROW(A245)/27,1))</f>
        <v>陈双双</v>
      </c>
    </row>
    <row r="247" spans="3:4">
      <c r="C247">
        <v>246</v>
      </c>
      <c r="D247" t="str">
        <f t="array" ref="D247">INDEX($B$2:$B$24,CEILING(ROW(A246)/27,1))</f>
        <v>陈双双</v>
      </c>
    </row>
    <row r="248" spans="3:4">
      <c r="C248">
        <v>247</v>
      </c>
      <c r="D248" t="str">
        <f t="array" ref="D248">INDEX($B$2:$B$24,CEILING(ROW(A247)/27,1))</f>
        <v>陈双双</v>
      </c>
    </row>
    <row r="249" spans="3:4">
      <c r="C249">
        <v>248</v>
      </c>
      <c r="D249" t="str">
        <f t="array" ref="D249">INDEX($B$2:$B$24,CEILING(ROW(A248)/27,1))</f>
        <v>陈双双</v>
      </c>
    </row>
    <row r="250" spans="3:4">
      <c r="C250">
        <v>249</v>
      </c>
      <c r="D250" t="str">
        <f t="array" ref="D250">INDEX($B$2:$B$24,CEILING(ROW(A249)/27,1))</f>
        <v>陈双双</v>
      </c>
    </row>
    <row r="251" spans="3:4">
      <c r="C251">
        <v>250</v>
      </c>
      <c r="D251" t="str">
        <f t="array" ref="D251">INDEX($B$2:$B$24,CEILING(ROW(A250)/27,1))</f>
        <v>陈双双</v>
      </c>
    </row>
    <row r="252" spans="3:4">
      <c r="C252">
        <v>251</v>
      </c>
      <c r="D252" t="str">
        <f t="array" ref="D252">INDEX($B$2:$B$24,CEILING(ROW(A251)/27,1))</f>
        <v>陈双双</v>
      </c>
    </row>
    <row r="253" spans="3:4">
      <c r="C253">
        <v>252</v>
      </c>
      <c r="D253" t="str">
        <f t="array" ref="D253">INDEX($B$2:$B$24,CEILING(ROW(A252)/27,1))</f>
        <v>陈双双</v>
      </c>
    </row>
    <row r="254" spans="3:4">
      <c r="C254">
        <v>253</v>
      </c>
      <c r="D254" t="str">
        <f t="array" ref="D254">INDEX($B$2:$B$24,CEILING(ROW(A253)/27,1))</f>
        <v>陈双双</v>
      </c>
    </row>
    <row r="255" spans="3:4">
      <c r="C255">
        <v>254</v>
      </c>
      <c r="D255" t="str">
        <f t="array" ref="D255">INDEX($B$2:$B$24,CEILING(ROW(A254)/27,1))</f>
        <v>陈双双</v>
      </c>
    </row>
    <row r="256" spans="3:4">
      <c r="C256">
        <v>255</v>
      </c>
      <c r="D256" t="str">
        <f t="array" ref="D256">INDEX($B$2:$B$24,CEILING(ROW(A255)/27,1))</f>
        <v>陈双双</v>
      </c>
    </row>
    <row r="257" spans="3:4">
      <c r="C257">
        <v>256</v>
      </c>
      <c r="D257" t="str">
        <f t="array" ref="D257">INDEX($B$2:$B$24,CEILING(ROW(A256)/27,1))</f>
        <v>陈双双</v>
      </c>
    </row>
    <row r="258" spans="3:4">
      <c r="C258">
        <v>257</v>
      </c>
      <c r="D258" t="str">
        <f t="array" ref="D258">INDEX($B$2:$B$24,CEILING(ROW(A257)/27,1))</f>
        <v>陈双双</v>
      </c>
    </row>
    <row r="259" spans="3:4">
      <c r="C259">
        <v>258</v>
      </c>
      <c r="D259" t="str">
        <f t="array" ref="D259">INDEX($B$2:$B$24,CEILING(ROW(A258)/27,1))</f>
        <v>陈双双</v>
      </c>
    </row>
    <row r="260" spans="3:4">
      <c r="C260">
        <v>259</v>
      </c>
      <c r="D260" t="str">
        <f t="array" ref="D260">INDEX($B$2:$B$24,CEILING(ROW(A259)/27,1))</f>
        <v>陈双双</v>
      </c>
    </row>
    <row r="261" spans="3:4">
      <c r="C261">
        <v>260</v>
      </c>
      <c r="D261" t="str">
        <f t="array" ref="D261">INDEX($B$2:$B$24,CEILING(ROW(A260)/27,1))</f>
        <v>陈双双</v>
      </c>
    </row>
    <row r="262" spans="3:4">
      <c r="C262">
        <v>261</v>
      </c>
      <c r="D262" t="str">
        <f t="array" ref="D262">INDEX($B$2:$B$24,CEILING(ROW(A261)/27,1))</f>
        <v>陈双双</v>
      </c>
    </row>
    <row r="263" spans="3:4">
      <c r="C263">
        <v>262</v>
      </c>
      <c r="D263" t="str">
        <f t="array" ref="D263">INDEX($B$2:$B$24,CEILING(ROW(A262)/27,1))</f>
        <v>陈双双</v>
      </c>
    </row>
    <row r="264" spans="3:4">
      <c r="C264">
        <v>263</v>
      </c>
      <c r="D264" t="str">
        <f t="array" ref="D264">INDEX($B$2:$B$24,CEILING(ROW(A263)/27,1))</f>
        <v>陈双双</v>
      </c>
    </row>
    <row r="265" spans="3:4">
      <c r="C265">
        <v>264</v>
      </c>
      <c r="D265" t="str">
        <f t="array" ref="D265">INDEX($B$2:$B$24,CEILING(ROW(A264)/27,1))</f>
        <v>陈双双</v>
      </c>
    </row>
    <row r="266" spans="3:4">
      <c r="C266">
        <v>265</v>
      </c>
      <c r="D266" t="str">
        <f t="array" ref="D266">INDEX($B$2:$B$24,CEILING(ROW(A265)/27,1))</f>
        <v>陈双双</v>
      </c>
    </row>
    <row r="267" spans="3:4">
      <c r="C267">
        <v>266</v>
      </c>
      <c r="D267" t="str">
        <f t="array" ref="D267">INDEX($B$2:$B$24,CEILING(ROW(A266)/27,1))</f>
        <v>陈双双</v>
      </c>
    </row>
    <row r="268" spans="3:4">
      <c r="C268">
        <v>267</v>
      </c>
      <c r="D268" t="str">
        <f t="array" ref="D268">INDEX($B$2:$B$24,CEILING(ROW(A267)/27,1))</f>
        <v>陈双双</v>
      </c>
    </row>
    <row r="269" spans="3:4">
      <c r="C269">
        <v>268</v>
      </c>
      <c r="D269" t="str">
        <f t="array" ref="D269">INDEX($B$2:$B$24,CEILING(ROW(A268)/27,1))</f>
        <v>陈双双</v>
      </c>
    </row>
    <row r="270" spans="3:4">
      <c r="C270">
        <v>269</v>
      </c>
      <c r="D270" t="str">
        <f t="array" ref="D270">INDEX($B$2:$B$24,CEILING(ROW(A269)/27,1))</f>
        <v>陈双双</v>
      </c>
    </row>
    <row r="271" spans="3:4">
      <c r="C271">
        <v>270</v>
      </c>
      <c r="D271" t="str">
        <f t="array" ref="D271">INDEX($B$2:$B$24,CEILING(ROW(A270)/27,1))</f>
        <v>陈双双</v>
      </c>
    </row>
    <row r="272" spans="3:4">
      <c r="C272">
        <v>271</v>
      </c>
      <c r="D272" t="str">
        <f t="array" ref="D272">INDEX($B$2:$B$24,CEILING(ROW(A271)/27,1))</f>
        <v>艾德琳</v>
      </c>
    </row>
    <row r="273" spans="3:4">
      <c r="C273">
        <v>272</v>
      </c>
      <c r="D273" t="str">
        <f t="array" ref="D273">INDEX($B$2:$B$24,CEILING(ROW(A272)/27,1))</f>
        <v>艾德琳</v>
      </c>
    </row>
    <row r="274" spans="3:4">
      <c r="C274">
        <v>273</v>
      </c>
      <c r="D274" t="str">
        <f t="array" ref="D274">INDEX($B$2:$B$24,CEILING(ROW(A273)/27,1))</f>
        <v>艾德琳</v>
      </c>
    </row>
    <row r="275" spans="3:4">
      <c r="C275">
        <v>274</v>
      </c>
      <c r="D275" t="str">
        <f t="array" ref="D275">INDEX($B$2:$B$24,CEILING(ROW(A274)/27,1))</f>
        <v>艾德琳</v>
      </c>
    </row>
    <row r="276" spans="3:4">
      <c r="C276">
        <v>275</v>
      </c>
      <c r="D276" t="str">
        <f t="array" ref="D276">INDEX($B$2:$B$24,CEILING(ROW(A275)/27,1))</f>
        <v>艾德琳</v>
      </c>
    </row>
    <row r="277" spans="3:4">
      <c r="C277">
        <v>276</v>
      </c>
      <c r="D277" t="str">
        <f t="array" ref="D277">INDEX($B$2:$B$24,CEILING(ROW(A276)/27,1))</f>
        <v>艾德琳</v>
      </c>
    </row>
    <row r="278" spans="3:4">
      <c r="C278">
        <v>277</v>
      </c>
      <c r="D278" t="str">
        <f t="array" ref="D278">INDEX($B$2:$B$24,CEILING(ROW(A277)/27,1))</f>
        <v>艾德琳</v>
      </c>
    </row>
    <row r="279" spans="3:4">
      <c r="C279">
        <v>278</v>
      </c>
      <c r="D279" t="str">
        <f t="array" ref="D279">INDEX($B$2:$B$24,CEILING(ROW(A278)/27,1))</f>
        <v>艾德琳</v>
      </c>
    </row>
    <row r="280" spans="3:4">
      <c r="C280">
        <v>279</v>
      </c>
      <c r="D280" t="str">
        <f t="array" ref="D280">INDEX($B$2:$B$24,CEILING(ROW(A279)/27,1))</f>
        <v>艾德琳</v>
      </c>
    </row>
    <row r="281" spans="3:4">
      <c r="C281">
        <v>280</v>
      </c>
      <c r="D281" t="str">
        <f t="array" ref="D281">INDEX($B$2:$B$24,CEILING(ROW(A280)/27,1))</f>
        <v>艾德琳</v>
      </c>
    </row>
    <row r="282" spans="3:4">
      <c r="C282">
        <v>281</v>
      </c>
      <c r="D282" t="str">
        <f t="array" ref="D282">INDEX($B$2:$B$24,CEILING(ROW(A281)/27,1))</f>
        <v>艾德琳</v>
      </c>
    </row>
    <row r="283" spans="3:4">
      <c r="C283">
        <v>282</v>
      </c>
      <c r="D283" t="str">
        <f t="array" ref="D283">INDEX($B$2:$B$24,CEILING(ROW(A282)/27,1))</f>
        <v>艾德琳</v>
      </c>
    </row>
    <row r="284" spans="3:4">
      <c r="C284">
        <v>283</v>
      </c>
      <c r="D284" t="str">
        <f t="array" ref="D284">INDEX($B$2:$B$24,CEILING(ROW(A283)/27,1))</f>
        <v>艾德琳</v>
      </c>
    </row>
    <row r="285" spans="3:4">
      <c r="C285">
        <v>284</v>
      </c>
      <c r="D285" t="str">
        <f t="array" ref="D285">INDEX($B$2:$B$24,CEILING(ROW(A284)/27,1))</f>
        <v>艾德琳</v>
      </c>
    </row>
    <row r="286" spans="3:4">
      <c r="C286">
        <v>285</v>
      </c>
      <c r="D286" t="str">
        <f t="array" ref="D286">INDEX($B$2:$B$24,CEILING(ROW(A285)/27,1))</f>
        <v>艾德琳</v>
      </c>
    </row>
    <row r="287" spans="3:4">
      <c r="C287">
        <v>286</v>
      </c>
      <c r="D287" t="str">
        <f t="array" ref="D287">INDEX($B$2:$B$24,CEILING(ROW(A286)/27,1))</f>
        <v>艾德琳</v>
      </c>
    </row>
    <row r="288" spans="3:4">
      <c r="C288">
        <v>287</v>
      </c>
      <c r="D288" t="str">
        <f t="array" ref="D288">INDEX($B$2:$B$24,CEILING(ROW(A287)/27,1))</f>
        <v>艾德琳</v>
      </c>
    </row>
    <row r="289" spans="3:4">
      <c r="C289">
        <v>288</v>
      </c>
      <c r="D289" t="str">
        <f t="array" ref="D289">INDEX($B$2:$B$24,CEILING(ROW(A288)/27,1))</f>
        <v>艾德琳</v>
      </c>
    </row>
    <row r="290" spans="3:4">
      <c r="C290">
        <v>289</v>
      </c>
      <c r="D290" t="str">
        <f t="array" ref="D290">INDEX($B$2:$B$24,CEILING(ROW(A289)/27,1))</f>
        <v>艾德琳</v>
      </c>
    </row>
    <row r="291" spans="3:4">
      <c r="C291">
        <v>290</v>
      </c>
      <c r="D291" t="str">
        <f t="array" ref="D291">INDEX($B$2:$B$24,CEILING(ROW(A290)/27,1))</f>
        <v>艾德琳</v>
      </c>
    </row>
    <row r="292" spans="3:4">
      <c r="C292">
        <v>291</v>
      </c>
      <c r="D292" t="str">
        <f t="array" ref="D292">INDEX($B$2:$B$24,CEILING(ROW(A291)/27,1))</f>
        <v>艾德琳</v>
      </c>
    </row>
    <row r="293" spans="3:4">
      <c r="C293">
        <v>292</v>
      </c>
      <c r="D293" t="str">
        <f t="array" ref="D293">INDEX($B$2:$B$24,CEILING(ROW(A292)/27,1))</f>
        <v>艾德琳</v>
      </c>
    </row>
    <row r="294" spans="3:4">
      <c r="C294">
        <v>293</v>
      </c>
      <c r="D294" t="str">
        <f t="array" ref="D294">INDEX($B$2:$B$24,CEILING(ROW(A293)/27,1))</f>
        <v>艾德琳</v>
      </c>
    </row>
    <row r="295" spans="3:4">
      <c r="C295">
        <v>294</v>
      </c>
      <c r="D295" t="str">
        <f t="array" ref="D295">INDEX($B$2:$B$24,CEILING(ROW(A294)/27,1))</f>
        <v>艾德琳</v>
      </c>
    </row>
    <row r="296" spans="3:4">
      <c r="C296">
        <v>295</v>
      </c>
      <c r="D296" t="str">
        <f t="array" ref="D296">INDEX($B$2:$B$24,CEILING(ROW(A295)/27,1))</f>
        <v>艾德琳</v>
      </c>
    </row>
    <row r="297" spans="3:4">
      <c r="C297">
        <v>296</v>
      </c>
      <c r="D297" t="str">
        <f t="array" ref="D297">INDEX($B$2:$B$24,CEILING(ROW(A296)/27,1))</f>
        <v>艾德琳</v>
      </c>
    </row>
    <row r="298" spans="3:4">
      <c r="C298">
        <v>297</v>
      </c>
      <c r="D298" t="str">
        <f t="array" ref="D298">INDEX($B$2:$B$24,CEILING(ROW(A297)/27,1))</f>
        <v>艾德琳</v>
      </c>
    </row>
    <row r="299" spans="3:4">
      <c r="C299">
        <v>298</v>
      </c>
      <c r="D299" t="str">
        <f t="array" ref="D299">INDEX($B$2:$B$24,CEILING(ROW(A298)/27,1))</f>
        <v>夏提拉</v>
      </c>
    </row>
    <row r="300" spans="3:4">
      <c r="C300">
        <v>299</v>
      </c>
      <c r="D300" t="str">
        <f t="array" ref="D300">INDEX($B$2:$B$24,CEILING(ROW(A299)/27,1))</f>
        <v>夏提拉</v>
      </c>
    </row>
    <row r="301" spans="3:4">
      <c r="C301">
        <v>300</v>
      </c>
      <c r="D301" t="str">
        <f t="array" ref="D301">INDEX($B$2:$B$24,CEILING(ROW(A300)/27,1))</f>
        <v>夏提拉</v>
      </c>
    </row>
    <row r="302" spans="3:4">
      <c r="C302">
        <v>301</v>
      </c>
      <c r="D302" t="str">
        <f t="array" ref="D302">INDEX($B$2:$B$24,CEILING(ROW(A301)/27,1))</f>
        <v>夏提拉</v>
      </c>
    </row>
    <row r="303" spans="3:4">
      <c r="C303">
        <v>302</v>
      </c>
      <c r="D303" t="str">
        <f t="array" ref="D303">INDEX($B$2:$B$24,CEILING(ROW(A302)/27,1))</f>
        <v>夏提拉</v>
      </c>
    </row>
    <row r="304" spans="3:4">
      <c r="C304">
        <v>303</v>
      </c>
      <c r="D304" t="str">
        <f t="array" ref="D304">INDEX($B$2:$B$24,CEILING(ROW(A303)/27,1))</f>
        <v>夏提拉</v>
      </c>
    </row>
    <row r="305" spans="3:4">
      <c r="C305">
        <v>304</v>
      </c>
      <c r="D305" t="str">
        <f t="array" ref="D305">INDEX($B$2:$B$24,CEILING(ROW(A304)/27,1))</f>
        <v>夏提拉</v>
      </c>
    </row>
    <row r="306" spans="3:4">
      <c r="C306">
        <v>305</v>
      </c>
      <c r="D306" t="str">
        <f t="array" ref="D306">INDEX($B$2:$B$24,CEILING(ROW(A305)/27,1))</f>
        <v>夏提拉</v>
      </c>
    </row>
    <row r="307" spans="3:4">
      <c r="C307">
        <v>306</v>
      </c>
      <c r="D307" t="str">
        <f t="array" ref="D307">INDEX($B$2:$B$24,CEILING(ROW(A306)/27,1))</f>
        <v>夏提拉</v>
      </c>
    </row>
    <row r="308" spans="3:4">
      <c r="C308">
        <v>307</v>
      </c>
      <c r="D308" t="str">
        <f t="array" ref="D308">INDEX($B$2:$B$24,CEILING(ROW(A307)/27,1))</f>
        <v>夏提拉</v>
      </c>
    </row>
    <row r="309" spans="3:4">
      <c r="C309">
        <v>308</v>
      </c>
      <c r="D309" t="str">
        <f t="array" ref="D309">INDEX($B$2:$B$24,CEILING(ROW(A308)/27,1))</f>
        <v>夏提拉</v>
      </c>
    </row>
    <row r="310" spans="3:4">
      <c r="C310">
        <v>309</v>
      </c>
      <c r="D310" t="str">
        <f t="array" ref="D310">INDEX($B$2:$B$24,CEILING(ROW(A309)/27,1))</f>
        <v>夏提拉</v>
      </c>
    </row>
    <row r="311" spans="3:4">
      <c r="C311">
        <v>310</v>
      </c>
      <c r="D311" t="str">
        <f t="array" ref="D311">INDEX($B$2:$B$24,CEILING(ROW(A310)/27,1))</f>
        <v>夏提拉</v>
      </c>
    </row>
    <row r="312" spans="3:4">
      <c r="C312">
        <v>311</v>
      </c>
      <c r="D312" t="str">
        <f t="array" ref="D312">INDEX($B$2:$B$24,CEILING(ROW(A311)/27,1))</f>
        <v>夏提拉</v>
      </c>
    </row>
    <row r="313" spans="3:4">
      <c r="C313">
        <v>312</v>
      </c>
      <c r="D313" t="str">
        <f t="array" ref="D313">INDEX($B$2:$B$24,CEILING(ROW(A312)/27,1))</f>
        <v>夏提拉</v>
      </c>
    </row>
    <row r="314" spans="3:4">
      <c r="C314">
        <v>313</v>
      </c>
      <c r="D314" t="str">
        <f t="array" ref="D314">INDEX($B$2:$B$24,CEILING(ROW(A313)/27,1))</f>
        <v>夏提拉</v>
      </c>
    </row>
    <row r="315" spans="3:4">
      <c r="C315">
        <v>314</v>
      </c>
      <c r="D315" t="str">
        <f t="array" ref="D315">INDEX($B$2:$B$24,CEILING(ROW(A314)/27,1))</f>
        <v>夏提拉</v>
      </c>
    </row>
    <row r="316" spans="3:4">
      <c r="C316">
        <v>315</v>
      </c>
      <c r="D316" t="str">
        <f t="array" ref="D316">INDEX($B$2:$B$24,CEILING(ROW(A315)/27,1))</f>
        <v>夏提拉</v>
      </c>
    </row>
    <row r="317" spans="3:4">
      <c r="C317">
        <v>316</v>
      </c>
      <c r="D317" t="str">
        <f t="array" ref="D317">INDEX($B$2:$B$24,CEILING(ROW(A316)/27,1))</f>
        <v>夏提拉</v>
      </c>
    </row>
    <row r="318" spans="3:4">
      <c r="C318">
        <v>317</v>
      </c>
      <c r="D318" t="str">
        <f t="array" ref="D318">INDEX($B$2:$B$24,CEILING(ROW(A317)/27,1))</f>
        <v>夏提拉</v>
      </c>
    </row>
    <row r="319" spans="3:4">
      <c r="C319">
        <v>318</v>
      </c>
      <c r="D319" t="str">
        <f t="array" ref="D319">INDEX($B$2:$B$24,CEILING(ROW(A318)/27,1))</f>
        <v>夏提拉</v>
      </c>
    </row>
    <row r="320" spans="3:4">
      <c r="C320">
        <v>319</v>
      </c>
      <c r="D320" t="str">
        <f t="array" ref="D320">INDEX($B$2:$B$24,CEILING(ROW(A319)/27,1))</f>
        <v>夏提拉</v>
      </c>
    </row>
    <row r="321" spans="3:4">
      <c r="C321">
        <v>320</v>
      </c>
      <c r="D321" t="str">
        <f t="array" ref="D321">INDEX($B$2:$B$24,CEILING(ROW(A320)/27,1))</f>
        <v>夏提拉</v>
      </c>
    </row>
    <row r="322" spans="3:4">
      <c r="C322">
        <v>321</v>
      </c>
      <c r="D322" t="str">
        <f t="array" ref="D322">INDEX($B$2:$B$24,CEILING(ROW(A321)/27,1))</f>
        <v>夏提拉</v>
      </c>
    </row>
    <row r="323" spans="3:4">
      <c r="C323">
        <v>322</v>
      </c>
      <c r="D323" t="str">
        <f t="array" ref="D323">INDEX($B$2:$B$24,CEILING(ROW(A322)/27,1))</f>
        <v>夏提拉</v>
      </c>
    </row>
    <row r="324" spans="3:4">
      <c r="C324">
        <v>323</v>
      </c>
      <c r="D324" t="str">
        <f t="array" ref="D324">INDEX($B$2:$B$24,CEILING(ROW(A323)/27,1))</f>
        <v>夏提拉</v>
      </c>
    </row>
    <row r="325" spans="3:4">
      <c r="C325">
        <v>324</v>
      </c>
      <c r="D325" t="str">
        <f t="array" ref="D325">INDEX($B$2:$B$24,CEILING(ROW(A324)/27,1))</f>
        <v>夏提拉</v>
      </c>
    </row>
    <row r="326" spans="3:4">
      <c r="C326">
        <v>325</v>
      </c>
      <c r="D326" t="str">
        <f t="array" ref="D326">INDEX($B$2:$B$24,CEILING(ROW(A325)/27,1))</f>
        <v>克莉丝汀</v>
      </c>
    </row>
    <row r="327" spans="3:4">
      <c r="C327">
        <v>326</v>
      </c>
      <c r="D327" t="str">
        <f t="array" ref="D327">INDEX($B$2:$B$24,CEILING(ROW(A326)/27,1))</f>
        <v>克莉丝汀</v>
      </c>
    </row>
    <row r="328" spans="3:4">
      <c r="C328">
        <v>327</v>
      </c>
      <c r="D328" t="str">
        <f t="array" ref="D328">INDEX($B$2:$B$24,CEILING(ROW(A327)/27,1))</f>
        <v>克莉丝汀</v>
      </c>
    </row>
    <row r="329" spans="3:4">
      <c r="C329">
        <v>328</v>
      </c>
      <c r="D329" t="str">
        <f t="array" ref="D329">INDEX($B$2:$B$24,CEILING(ROW(A328)/27,1))</f>
        <v>克莉丝汀</v>
      </c>
    </row>
    <row r="330" spans="3:4">
      <c r="C330">
        <v>329</v>
      </c>
      <c r="D330" t="str">
        <f t="array" ref="D330">INDEX($B$2:$B$24,CEILING(ROW(A329)/27,1))</f>
        <v>克莉丝汀</v>
      </c>
    </row>
    <row r="331" spans="3:4">
      <c r="C331">
        <v>330</v>
      </c>
      <c r="D331" t="str">
        <f t="array" ref="D331">INDEX($B$2:$B$24,CEILING(ROW(A330)/27,1))</f>
        <v>克莉丝汀</v>
      </c>
    </row>
    <row r="332" spans="3:4">
      <c r="C332">
        <v>331</v>
      </c>
      <c r="D332" t="str">
        <f t="array" ref="D332">INDEX($B$2:$B$24,CEILING(ROW(A331)/27,1))</f>
        <v>克莉丝汀</v>
      </c>
    </row>
    <row r="333" spans="3:4">
      <c r="C333">
        <v>332</v>
      </c>
      <c r="D333" t="str">
        <f t="array" ref="D333">INDEX($B$2:$B$24,CEILING(ROW(A332)/27,1))</f>
        <v>克莉丝汀</v>
      </c>
    </row>
    <row r="334" spans="3:4">
      <c r="C334">
        <v>333</v>
      </c>
      <c r="D334" t="str">
        <f t="array" ref="D334">INDEX($B$2:$B$24,CEILING(ROW(A333)/27,1))</f>
        <v>克莉丝汀</v>
      </c>
    </row>
    <row r="335" spans="3:4">
      <c r="C335">
        <v>334</v>
      </c>
      <c r="D335" t="str">
        <f t="array" ref="D335">INDEX($B$2:$B$24,CEILING(ROW(A334)/27,1))</f>
        <v>克莉丝汀</v>
      </c>
    </row>
    <row r="336" spans="3:4">
      <c r="C336">
        <v>335</v>
      </c>
      <c r="D336" t="str">
        <f t="array" ref="D336">INDEX($B$2:$B$24,CEILING(ROW(A335)/27,1))</f>
        <v>克莉丝汀</v>
      </c>
    </row>
    <row r="337" spans="3:4">
      <c r="C337">
        <v>336</v>
      </c>
      <c r="D337" t="str">
        <f t="array" ref="D337">INDEX($B$2:$B$24,CEILING(ROW(A336)/27,1))</f>
        <v>克莉丝汀</v>
      </c>
    </row>
    <row r="338" spans="3:4">
      <c r="C338">
        <v>337</v>
      </c>
      <c r="D338" t="str">
        <f t="array" ref="D338">INDEX($B$2:$B$24,CEILING(ROW(A337)/27,1))</f>
        <v>克莉丝汀</v>
      </c>
    </row>
    <row r="339" spans="3:4">
      <c r="C339">
        <v>338</v>
      </c>
      <c r="D339" t="str">
        <f t="array" ref="D339">INDEX($B$2:$B$24,CEILING(ROW(A338)/27,1))</f>
        <v>克莉丝汀</v>
      </c>
    </row>
    <row r="340" spans="3:4">
      <c r="C340">
        <v>339</v>
      </c>
      <c r="D340" t="str">
        <f t="array" ref="D340">INDEX($B$2:$B$24,CEILING(ROW(A339)/27,1))</f>
        <v>克莉丝汀</v>
      </c>
    </row>
    <row r="341" spans="3:4">
      <c r="C341">
        <v>340</v>
      </c>
      <c r="D341" t="str">
        <f t="array" ref="D341">INDEX($B$2:$B$24,CEILING(ROW(A340)/27,1))</f>
        <v>克莉丝汀</v>
      </c>
    </row>
    <row r="342" spans="3:4">
      <c r="C342">
        <v>341</v>
      </c>
      <c r="D342" t="str">
        <f t="array" ref="D342">INDEX($B$2:$B$24,CEILING(ROW(A341)/27,1))</f>
        <v>克莉丝汀</v>
      </c>
    </row>
    <row r="343" spans="3:4">
      <c r="C343">
        <v>342</v>
      </c>
      <c r="D343" t="str">
        <f t="array" ref="D343">INDEX($B$2:$B$24,CEILING(ROW(A342)/27,1))</f>
        <v>克莉丝汀</v>
      </c>
    </row>
    <row r="344" spans="3:4">
      <c r="C344">
        <v>343</v>
      </c>
      <c r="D344" t="str">
        <f t="array" ref="D344">INDEX($B$2:$B$24,CEILING(ROW(A343)/27,1))</f>
        <v>克莉丝汀</v>
      </c>
    </row>
    <row r="345" spans="3:4">
      <c r="C345">
        <v>344</v>
      </c>
      <c r="D345" t="str">
        <f t="array" ref="D345">INDEX($B$2:$B$24,CEILING(ROW(A344)/27,1))</f>
        <v>克莉丝汀</v>
      </c>
    </row>
    <row r="346" spans="3:4">
      <c r="C346">
        <v>345</v>
      </c>
      <c r="D346" t="str">
        <f t="array" ref="D346">INDEX($B$2:$B$24,CEILING(ROW(A345)/27,1))</f>
        <v>克莉丝汀</v>
      </c>
    </row>
    <row r="347" spans="3:4">
      <c r="C347">
        <v>346</v>
      </c>
      <c r="D347" t="str">
        <f t="array" ref="D347">INDEX($B$2:$B$24,CEILING(ROW(A346)/27,1))</f>
        <v>克莉丝汀</v>
      </c>
    </row>
    <row r="348" spans="3:4">
      <c r="C348">
        <v>347</v>
      </c>
      <c r="D348" t="str">
        <f t="array" ref="D348">INDEX($B$2:$B$24,CEILING(ROW(A347)/27,1))</f>
        <v>克莉丝汀</v>
      </c>
    </row>
    <row r="349" spans="3:4">
      <c r="C349">
        <v>348</v>
      </c>
      <c r="D349" t="str">
        <f t="array" ref="D349">INDEX($B$2:$B$24,CEILING(ROW(A348)/27,1))</f>
        <v>克莉丝汀</v>
      </c>
    </row>
    <row r="350" spans="3:4">
      <c r="C350">
        <v>349</v>
      </c>
      <c r="D350" t="str">
        <f t="array" ref="D350">INDEX($B$2:$B$24,CEILING(ROW(A349)/27,1))</f>
        <v>克莉丝汀</v>
      </c>
    </row>
    <row r="351" spans="3:4">
      <c r="C351">
        <v>350</v>
      </c>
      <c r="D351" t="str">
        <f t="array" ref="D351">INDEX($B$2:$B$24,CEILING(ROW(A350)/27,1))</f>
        <v>克莉丝汀</v>
      </c>
    </row>
    <row r="352" spans="3:4">
      <c r="C352">
        <v>351</v>
      </c>
      <c r="D352" t="str">
        <f t="array" ref="D352">INDEX($B$2:$B$24,CEILING(ROW(A351)/27,1))</f>
        <v>克莉丝汀</v>
      </c>
    </row>
    <row r="353" spans="3:4">
      <c r="C353">
        <v>352</v>
      </c>
      <c r="D353" t="str">
        <f t="array" ref="D353">INDEX($B$2:$B$24,CEILING(ROW(A352)/27,1))</f>
        <v>阿莱克西娅</v>
      </c>
    </row>
    <row r="354" spans="3:4">
      <c r="C354">
        <v>353</v>
      </c>
      <c r="D354" t="str">
        <f t="array" ref="D354">INDEX($B$2:$B$24,CEILING(ROW(A353)/27,1))</f>
        <v>阿莱克西娅</v>
      </c>
    </row>
    <row r="355" spans="3:4">
      <c r="C355">
        <v>354</v>
      </c>
      <c r="D355" t="str">
        <f t="array" ref="D355">INDEX($B$2:$B$24,CEILING(ROW(A354)/27,1))</f>
        <v>阿莱克西娅</v>
      </c>
    </row>
    <row r="356" spans="3:4">
      <c r="C356">
        <v>355</v>
      </c>
      <c r="D356" t="str">
        <f t="array" ref="D356">INDEX($B$2:$B$24,CEILING(ROW(A355)/27,1))</f>
        <v>阿莱克西娅</v>
      </c>
    </row>
    <row r="357" spans="3:4">
      <c r="C357">
        <v>356</v>
      </c>
      <c r="D357" t="str">
        <f t="array" ref="D357">INDEX($B$2:$B$24,CEILING(ROW(A356)/27,1))</f>
        <v>阿莱克西娅</v>
      </c>
    </row>
    <row r="358" spans="3:4">
      <c r="C358">
        <v>357</v>
      </c>
      <c r="D358" t="str">
        <f t="array" ref="D358">INDEX($B$2:$B$24,CEILING(ROW(A357)/27,1))</f>
        <v>阿莱克西娅</v>
      </c>
    </row>
    <row r="359" spans="3:4">
      <c r="C359">
        <v>358</v>
      </c>
      <c r="D359" t="str">
        <f t="array" ref="D359">INDEX($B$2:$B$24,CEILING(ROW(A358)/27,1))</f>
        <v>阿莱克西娅</v>
      </c>
    </row>
    <row r="360" spans="3:4">
      <c r="C360">
        <v>359</v>
      </c>
      <c r="D360" t="str">
        <f t="array" ref="D360">INDEX($B$2:$B$24,CEILING(ROW(A359)/27,1))</f>
        <v>阿莱克西娅</v>
      </c>
    </row>
    <row r="361" spans="3:4">
      <c r="C361">
        <v>360</v>
      </c>
      <c r="D361" t="str">
        <f t="array" ref="D361">INDEX($B$2:$B$24,CEILING(ROW(A360)/27,1))</f>
        <v>阿莱克西娅</v>
      </c>
    </row>
    <row r="362" spans="3:4">
      <c r="C362">
        <v>361</v>
      </c>
      <c r="D362" t="str">
        <f t="array" ref="D362">INDEX($B$2:$B$24,CEILING(ROW(A361)/27,1))</f>
        <v>阿莱克西娅</v>
      </c>
    </row>
    <row r="363" spans="3:4">
      <c r="C363">
        <v>362</v>
      </c>
      <c r="D363" t="str">
        <f t="array" ref="D363">INDEX($B$2:$B$24,CEILING(ROW(A362)/27,1))</f>
        <v>阿莱克西娅</v>
      </c>
    </row>
    <row r="364" spans="3:4">
      <c r="C364">
        <v>363</v>
      </c>
      <c r="D364" t="str">
        <f t="array" ref="D364">INDEX($B$2:$B$24,CEILING(ROW(A363)/27,1))</f>
        <v>阿莱克西娅</v>
      </c>
    </row>
    <row r="365" spans="3:4">
      <c r="C365">
        <v>364</v>
      </c>
      <c r="D365" t="str">
        <f t="array" ref="D365">INDEX($B$2:$B$24,CEILING(ROW(A364)/27,1))</f>
        <v>阿莱克西娅</v>
      </c>
    </row>
    <row r="366" spans="3:4">
      <c r="C366">
        <v>365</v>
      </c>
      <c r="D366" t="str">
        <f t="array" ref="D366">INDEX($B$2:$B$24,CEILING(ROW(A365)/27,1))</f>
        <v>阿莱克西娅</v>
      </c>
    </row>
    <row r="367" spans="3:4">
      <c r="C367">
        <v>366</v>
      </c>
      <c r="D367" t="str">
        <f t="array" ref="D367">INDEX($B$2:$B$24,CEILING(ROW(A366)/27,1))</f>
        <v>阿莱克西娅</v>
      </c>
    </row>
    <row r="368" spans="3:4">
      <c r="C368">
        <v>367</v>
      </c>
      <c r="D368" t="str">
        <f t="array" ref="D368">INDEX($B$2:$B$24,CEILING(ROW(A367)/27,1))</f>
        <v>阿莱克西娅</v>
      </c>
    </row>
    <row r="369" spans="3:4">
      <c r="C369">
        <v>368</v>
      </c>
      <c r="D369" t="str">
        <f t="array" ref="D369">INDEX($B$2:$B$24,CEILING(ROW(A368)/27,1))</f>
        <v>阿莱克西娅</v>
      </c>
    </row>
    <row r="370" spans="3:4">
      <c r="C370">
        <v>369</v>
      </c>
      <c r="D370" t="str">
        <f t="array" ref="D370">INDEX($B$2:$B$24,CEILING(ROW(A369)/27,1))</f>
        <v>阿莱克西娅</v>
      </c>
    </row>
    <row r="371" spans="3:4">
      <c r="C371">
        <v>370</v>
      </c>
      <c r="D371" t="str">
        <f t="array" ref="D371">INDEX($B$2:$B$24,CEILING(ROW(A370)/27,1))</f>
        <v>阿莱克西娅</v>
      </c>
    </row>
    <row r="372" spans="3:4">
      <c r="C372">
        <v>371</v>
      </c>
      <c r="D372" t="str">
        <f t="array" ref="D372">INDEX($B$2:$B$24,CEILING(ROW(A371)/27,1))</f>
        <v>阿莱克西娅</v>
      </c>
    </row>
    <row r="373" spans="3:4">
      <c r="C373">
        <v>372</v>
      </c>
      <c r="D373" t="str">
        <f t="array" ref="D373">INDEX($B$2:$B$24,CEILING(ROW(A372)/27,1))</f>
        <v>阿莱克西娅</v>
      </c>
    </row>
    <row r="374" spans="3:4">
      <c r="C374">
        <v>373</v>
      </c>
      <c r="D374" t="str">
        <f t="array" ref="D374">INDEX($B$2:$B$24,CEILING(ROW(A373)/27,1))</f>
        <v>阿莱克西娅</v>
      </c>
    </row>
    <row r="375" spans="3:4">
      <c r="C375">
        <v>374</v>
      </c>
      <c r="D375" t="str">
        <f t="array" ref="D375">INDEX($B$2:$B$24,CEILING(ROW(A374)/27,1))</f>
        <v>阿莱克西娅</v>
      </c>
    </row>
    <row r="376" spans="3:4">
      <c r="C376">
        <v>375</v>
      </c>
      <c r="D376" t="str">
        <f t="array" ref="D376">INDEX($B$2:$B$24,CEILING(ROW(A375)/27,1))</f>
        <v>阿莱克西娅</v>
      </c>
    </row>
    <row r="377" spans="3:4">
      <c r="C377">
        <v>376</v>
      </c>
      <c r="D377" t="str">
        <f t="array" ref="D377">INDEX($B$2:$B$24,CEILING(ROW(A376)/27,1))</f>
        <v>阿莱克西娅</v>
      </c>
    </row>
    <row r="378" spans="3:4">
      <c r="C378">
        <v>377</v>
      </c>
      <c r="D378" t="str">
        <f t="array" ref="D378">INDEX($B$2:$B$24,CEILING(ROW(A377)/27,1))</f>
        <v>阿莱克西娅</v>
      </c>
    </row>
    <row r="379" spans="3:4">
      <c r="C379">
        <v>378</v>
      </c>
      <c r="D379" t="str">
        <f t="array" ref="D379">INDEX($B$2:$B$24,CEILING(ROW(A378)/27,1))</f>
        <v>阿莱克西娅</v>
      </c>
    </row>
    <row r="380" spans="3:4">
      <c r="C380">
        <v>379</v>
      </c>
      <c r="D380" t="str">
        <f t="array" ref="D380">INDEX($B$2:$B$24,CEILING(ROW(A379)/27,1))</f>
        <v>伊戈尔</v>
      </c>
    </row>
    <row r="381" spans="3:4">
      <c r="C381">
        <v>380</v>
      </c>
      <c r="D381" t="str">
        <f t="array" ref="D381">INDEX($B$2:$B$24,CEILING(ROW(A380)/27,1))</f>
        <v>伊戈尔</v>
      </c>
    </row>
    <row r="382" spans="3:4">
      <c r="C382">
        <v>381</v>
      </c>
      <c r="D382" t="str">
        <f t="array" ref="D382">INDEX($B$2:$B$24,CEILING(ROW(A381)/27,1))</f>
        <v>伊戈尔</v>
      </c>
    </row>
    <row r="383" spans="3:4">
      <c r="C383">
        <v>382</v>
      </c>
      <c r="D383" t="str">
        <f t="array" ref="D383">INDEX($B$2:$B$24,CEILING(ROW(A382)/27,1))</f>
        <v>伊戈尔</v>
      </c>
    </row>
    <row r="384" spans="3:4">
      <c r="C384">
        <v>383</v>
      </c>
      <c r="D384" t="str">
        <f t="array" ref="D384">INDEX($B$2:$B$24,CEILING(ROW(A383)/27,1))</f>
        <v>伊戈尔</v>
      </c>
    </row>
    <row r="385" spans="3:4">
      <c r="C385">
        <v>384</v>
      </c>
      <c r="D385" t="str">
        <f t="array" ref="D385">INDEX($B$2:$B$24,CEILING(ROW(A384)/27,1))</f>
        <v>伊戈尔</v>
      </c>
    </row>
    <row r="386" spans="3:4">
      <c r="C386">
        <v>385</v>
      </c>
      <c r="D386" t="str">
        <f t="array" ref="D386">INDEX($B$2:$B$24,CEILING(ROW(A385)/27,1))</f>
        <v>伊戈尔</v>
      </c>
    </row>
    <row r="387" spans="3:4">
      <c r="C387">
        <v>386</v>
      </c>
      <c r="D387" t="str">
        <f t="array" ref="D387">INDEX($B$2:$B$24,CEILING(ROW(A386)/27,1))</f>
        <v>伊戈尔</v>
      </c>
    </row>
    <row r="388" spans="3:4">
      <c r="C388">
        <v>387</v>
      </c>
      <c r="D388" t="str">
        <f t="array" ref="D388">INDEX($B$2:$B$24,CEILING(ROW(A387)/27,1))</f>
        <v>伊戈尔</v>
      </c>
    </row>
    <row r="389" spans="3:4">
      <c r="C389">
        <v>388</v>
      </c>
      <c r="D389" t="str">
        <f t="array" ref="D389">INDEX($B$2:$B$24,CEILING(ROW(A388)/27,1))</f>
        <v>伊戈尔</v>
      </c>
    </row>
    <row r="390" spans="3:4">
      <c r="C390">
        <v>389</v>
      </c>
      <c r="D390" t="str">
        <f t="array" ref="D390">INDEX($B$2:$B$24,CEILING(ROW(A389)/27,1))</f>
        <v>伊戈尔</v>
      </c>
    </row>
    <row r="391" spans="3:4">
      <c r="C391">
        <v>390</v>
      </c>
      <c r="D391" t="str">
        <f t="array" ref="D391">INDEX($B$2:$B$24,CEILING(ROW(A390)/27,1))</f>
        <v>伊戈尔</v>
      </c>
    </row>
    <row r="392" spans="3:4">
      <c r="C392">
        <v>391</v>
      </c>
      <c r="D392" t="str">
        <f t="array" ref="D392">INDEX($B$2:$B$24,CEILING(ROW(A391)/27,1))</f>
        <v>伊戈尔</v>
      </c>
    </row>
    <row r="393" spans="3:4">
      <c r="C393">
        <v>392</v>
      </c>
      <c r="D393" t="str">
        <f t="array" ref="D393">INDEX($B$2:$B$24,CEILING(ROW(A392)/27,1))</f>
        <v>伊戈尔</v>
      </c>
    </row>
    <row r="394" spans="3:4">
      <c r="C394">
        <v>393</v>
      </c>
      <c r="D394" t="str">
        <f t="array" ref="D394">INDEX($B$2:$B$24,CEILING(ROW(A393)/27,1))</f>
        <v>伊戈尔</v>
      </c>
    </row>
    <row r="395" spans="3:4">
      <c r="C395">
        <v>394</v>
      </c>
      <c r="D395" t="str">
        <f t="array" ref="D395">INDEX($B$2:$B$24,CEILING(ROW(A394)/27,1))</f>
        <v>伊戈尔</v>
      </c>
    </row>
    <row r="396" spans="3:4">
      <c r="C396">
        <v>395</v>
      </c>
      <c r="D396" t="str">
        <f t="array" ref="D396">INDEX($B$2:$B$24,CEILING(ROW(A395)/27,1))</f>
        <v>伊戈尔</v>
      </c>
    </row>
    <row r="397" spans="3:4">
      <c r="C397">
        <v>396</v>
      </c>
      <c r="D397" t="str">
        <f t="array" ref="D397">INDEX($B$2:$B$24,CEILING(ROW(A396)/27,1))</f>
        <v>伊戈尔</v>
      </c>
    </row>
    <row r="398" spans="3:4">
      <c r="C398">
        <v>397</v>
      </c>
      <c r="D398" t="str">
        <f t="array" ref="D398">INDEX($B$2:$B$24,CEILING(ROW(A397)/27,1))</f>
        <v>伊戈尔</v>
      </c>
    </row>
    <row r="399" spans="3:4">
      <c r="C399">
        <v>398</v>
      </c>
      <c r="D399" t="str">
        <f t="array" ref="D399">INDEX($B$2:$B$24,CEILING(ROW(A398)/27,1))</f>
        <v>伊戈尔</v>
      </c>
    </row>
    <row r="400" spans="3:4">
      <c r="C400">
        <v>399</v>
      </c>
      <c r="D400" t="str">
        <f t="array" ref="D400">INDEX($B$2:$B$24,CEILING(ROW(A399)/27,1))</f>
        <v>伊戈尔</v>
      </c>
    </row>
    <row r="401" spans="3:4">
      <c r="C401">
        <v>400</v>
      </c>
      <c r="D401" t="str">
        <f t="array" ref="D401">INDEX($B$2:$B$24,CEILING(ROW(A400)/27,1))</f>
        <v>伊戈尔</v>
      </c>
    </row>
    <row r="402" spans="3:4">
      <c r="C402">
        <v>401</v>
      </c>
      <c r="D402" t="str">
        <f t="array" ref="D402">INDEX($B$2:$B$24,CEILING(ROW(A401)/27,1))</f>
        <v>伊戈尔</v>
      </c>
    </row>
    <row r="403" spans="3:4">
      <c r="C403">
        <v>402</v>
      </c>
      <c r="D403" t="str">
        <f t="array" ref="D403">INDEX($B$2:$B$24,CEILING(ROW(A402)/27,1))</f>
        <v>伊戈尔</v>
      </c>
    </row>
    <row r="404" spans="3:4">
      <c r="C404">
        <v>403</v>
      </c>
      <c r="D404" t="str">
        <f t="array" ref="D404">INDEX($B$2:$B$24,CEILING(ROW(A403)/27,1))</f>
        <v>伊戈尔</v>
      </c>
    </row>
    <row r="405" spans="3:4">
      <c r="C405">
        <v>404</v>
      </c>
      <c r="D405" t="str">
        <f t="array" ref="D405">INDEX($B$2:$B$24,CEILING(ROW(A404)/27,1))</f>
        <v>伊戈尔</v>
      </c>
    </row>
    <row r="406" spans="3:4">
      <c r="C406">
        <v>405</v>
      </c>
      <c r="D406" t="str">
        <f t="array" ref="D406">INDEX($B$2:$B$24,CEILING(ROW(A405)/27,1))</f>
        <v>伊戈尔</v>
      </c>
    </row>
    <row r="407" spans="3:4">
      <c r="C407">
        <v>406</v>
      </c>
      <c r="D407" t="str">
        <f t="array" ref="D407">INDEX($B$2:$B$24,CEILING(ROW(A406)/27,1))</f>
        <v>埃莉诺</v>
      </c>
    </row>
    <row r="408" spans="3:4">
      <c r="C408">
        <v>407</v>
      </c>
      <c r="D408" t="str">
        <f t="array" ref="D408">INDEX($B$2:$B$24,CEILING(ROW(A407)/27,1))</f>
        <v>埃莉诺</v>
      </c>
    </row>
    <row r="409" spans="3:4">
      <c r="C409">
        <v>408</v>
      </c>
      <c r="D409" t="str">
        <f t="array" ref="D409">INDEX($B$2:$B$24,CEILING(ROW(A408)/27,1))</f>
        <v>埃莉诺</v>
      </c>
    </row>
    <row r="410" spans="3:4">
      <c r="C410">
        <v>409</v>
      </c>
      <c r="D410" t="str">
        <f t="array" ref="D410">INDEX($B$2:$B$24,CEILING(ROW(A409)/27,1))</f>
        <v>埃莉诺</v>
      </c>
    </row>
    <row r="411" spans="3:4">
      <c r="C411">
        <v>410</v>
      </c>
      <c r="D411" t="str">
        <f t="array" ref="D411">INDEX($B$2:$B$24,CEILING(ROW(A410)/27,1))</f>
        <v>埃莉诺</v>
      </c>
    </row>
    <row r="412" spans="3:4">
      <c r="C412">
        <v>411</v>
      </c>
      <c r="D412" t="str">
        <f t="array" ref="D412">INDEX($B$2:$B$24,CEILING(ROW(A411)/27,1))</f>
        <v>埃莉诺</v>
      </c>
    </row>
    <row r="413" spans="3:4">
      <c r="C413">
        <v>412</v>
      </c>
      <c r="D413" t="str">
        <f t="array" ref="D413">INDEX($B$2:$B$24,CEILING(ROW(A412)/27,1))</f>
        <v>埃莉诺</v>
      </c>
    </row>
    <row r="414" spans="3:4">
      <c r="C414">
        <v>413</v>
      </c>
      <c r="D414" t="str">
        <f t="array" ref="D414">INDEX($B$2:$B$24,CEILING(ROW(A413)/27,1))</f>
        <v>埃莉诺</v>
      </c>
    </row>
    <row r="415" spans="3:4">
      <c r="C415">
        <v>414</v>
      </c>
      <c r="D415" t="str">
        <f t="array" ref="D415">INDEX($B$2:$B$24,CEILING(ROW(A414)/27,1))</f>
        <v>埃莉诺</v>
      </c>
    </row>
    <row r="416" spans="3:4">
      <c r="C416">
        <v>415</v>
      </c>
      <c r="D416" t="str">
        <f t="array" ref="D416">INDEX($B$2:$B$24,CEILING(ROW(A415)/27,1))</f>
        <v>埃莉诺</v>
      </c>
    </row>
    <row r="417" spans="3:4">
      <c r="C417">
        <v>416</v>
      </c>
      <c r="D417" t="str">
        <f t="array" ref="D417">INDEX($B$2:$B$24,CEILING(ROW(A416)/27,1))</f>
        <v>埃莉诺</v>
      </c>
    </row>
    <row r="418" spans="3:4">
      <c r="C418">
        <v>417</v>
      </c>
      <c r="D418" t="str">
        <f t="array" ref="D418">INDEX($B$2:$B$24,CEILING(ROW(A417)/27,1))</f>
        <v>埃莉诺</v>
      </c>
    </row>
    <row r="419" spans="3:4">
      <c r="C419">
        <v>418</v>
      </c>
      <c r="D419" t="str">
        <f t="array" ref="D419">INDEX($B$2:$B$24,CEILING(ROW(A418)/27,1))</f>
        <v>埃莉诺</v>
      </c>
    </row>
    <row r="420" spans="3:4">
      <c r="C420">
        <v>419</v>
      </c>
      <c r="D420" t="str">
        <f t="array" ref="D420">INDEX($B$2:$B$24,CEILING(ROW(A419)/27,1))</f>
        <v>埃莉诺</v>
      </c>
    </row>
    <row r="421" spans="3:4">
      <c r="C421">
        <v>420</v>
      </c>
      <c r="D421" t="str">
        <f t="array" ref="D421">INDEX($B$2:$B$24,CEILING(ROW(A420)/27,1))</f>
        <v>埃莉诺</v>
      </c>
    </row>
    <row r="422" spans="3:4">
      <c r="C422">
        <v>421</v>
      </c>
      <c r="D422" t="str">
        <f t="array" ref="D422">INDEX($B$2:$B$24,CEILING(ROW(A421)/27,1))</f>
        <v>埃莉诺</v>
      </c>
    </row>
    <row r="423" spans="3:4">
      <c r="C423">
        <v>422</v>
      </c>
      <c r="D423" t="str">
        <f t="array" ref="D423">INDEX($B$2:$B$24,CEILING(ROW(A422)/27,1))</f>
        <v>埃莉诺</v>
      </c>
    </row>
    <row r="424" spans="3:4">
      <c r="C424">
        <v>423</v>
      </c>
      <c r="D424" t="str">
        <f t="array" ref="D424">INDEX($B$2:$B$24,CEILING(ROW(A423)/27,1))</f>
        <v>埃莉诺</v>
      </c>
    </row>
    <row r="425" spans="3:4">
      <c r="C425">
        <v>424</v>
      </c>
      <c r="D425" t="str">
        <f t="array" ref="D425">INDEX($B$2:$B$24,CEILING(ROW(A424)/27,1))</f>
        <v>埃莉诺</v>
      </c>
    </row>
    <row r="426" spans="3:4">
      <c r="C426">
        <v>425</v>
      </c>
      <c r="D426" t="str">
        <f t="array" ref="D426">INDEX($B$2:$B$24,CEILING(ROW(A425)/27,1))</f>
        <v>埃莉诺</v>
      </c>
    </row>
    <row r="427" spans="3:4">
      <c r="C427">
        <v>426</v>
      </c>
      <c r="D427" t="str">
        <f t="array" ref="D427">INDEX($B$2:$B$24,CEILING(ROW(A426)/27,1))</f>
        <v>埃莉诺</v>
      </c>
    </row>
    <row r="428" spans="3:4">
      <c r="C428">
        <v>427</v>
      </c>
      <c r="D428" t="str">
        <f t="array" ref="D428">INDEX($B$2:$B$24,CEILING(ROW(A427)/27,1))</f>
        <v>埃莉诺</v>
      </c>
    </row>
    <row r="429" spans="3:4">
      <c r="C429">
        <v>428</v>
      </c>
      <c r="D429" t="str">
        <f t="array" ref="D429">INDEX($B$2:$B$24,CEILING(ROW(A428)/27,1))</f>
        <v>埃莉诺</v>
      </c>
    </row>
    <row r="430" spans="3:4">
      <c r="C430">
        <v>429</v>
      </c>
      <c r="D430" t="str">
        <f t="array" ref="D430">INDEX($B$2:$B$24,CEILING(ROW(A429)/27,1))</f>
        <v>埃莉诺</v>
      </c>
    </row>
    <row r="431" spans="3:4">
      <c r="C431">
        <v>430</v>
      </c>
      <c r="D431" t="str">
        <f t="array" ref="D431">INDEX($B$2:$B$24,CEILING(ROW(A430)/27,1))</f>
        <v>埃莉诺</v>
      </c>
    </row>
    <row r="432" spans="3:4">
      <c r="C432">
        <v>431</v>
      </c>
      <c r="D432" t="str">
        <f t="array" ref="D432">INDEX($B$2:$B$24,CEILING(ROW(A431)/27,1))</f>
        <v>埃莉诺</v>
      </c>
    </row>
    <row r="433" spans="3:4">
      <c r="C433">
        <v>432</v>
      </c>
      <c r="D433" t="str">
        <f t="array" ref="D433">INDEX($B$2:$B$24,CEILING(ROW(A432)/27,1))</f>
        <v>埃莉诺</v>
      </c>
    </row>
    <row r="434" spans="3:4">
      <c r="C434">
        <v>433</v>
      </c>
      <c r="D434" t="str">
        <f t="array" ref="D434">INDEX($B$2:$B$24,CEILING(ROW(A433)/27,1))</f>
        <v>卡斯帕</v>
      </c>
    </row>
    <row r="435" spans="3:4">
      <c r="C435">
        <v>434</v>
      </c>
      <c r="D435" t="str">
        <f t="array" ref="D435">INDEX($B$2:$B$24,CEILING(ROW(A434)/27,1))</f>
        <v>卡斯帕</v>
      </c>
    </row>
    <row r="436" spans="3:4">
      <c r="C436">
        <v>435</v>
      </c>
      <c r="D436" t="str">
        <f t="array" ref="D436">INDEX($B$2:$B$24,CEILING(ROW(A435)/27,1))</f>
        <v>卡斯帕</v>
      </c>
    </row>
    <row r="437" spans="3:4">
      <c r="C437">
        <v>436</v>
      </c>
      <c r="D437" t="str">
        <f t="array" ref="D437">INDEX($B$2:$B$24,CEILING(ROW(A436)/27,1))</f>
        <v>卡斯帕</v>
      </c>
    </row>
    <row r="438" spans="3:4">
      <c r="C438">
        <v>437</v>
      </c>
      <c r="D438" t="str">
        <f t="array" ref="D438">INDEX($B$2:$B$24,CEILING(ROW(A437)/27,1))</f>
        <v>卡斯帕</v>
      </c>
    </row>
    <row r="439" spans="3:4">
      <c r="C439">
        <v>438</v>
      </c>
      <c r="D439" t="str">
        <f t="array" ref="D439">INDEX($B$2:$B$24,CEILING(ROW(A438)/27,1))</f>
        <v>卡斯帕</v>
      </c>
    </row>
    <row r="440" spans="3:4">
      <c r="C440">
        <v>439</v>
      </c>
      <c r="D440" t="str">
        <f t="array" ref="D440">INDEX($B$2:$B$24,CEILING(ROW(A439)/27,1))</f>
        <v>卡斯帕</v>
      </c>
    </row>
    <row r="441" spans="3:4">
      <c r="C441">
        <v>440</v>
      </c>
      <c r="D441" t="str">
        <f t="array" ref="D441">INDEX($B$2:$B$24,CEILING(ROW(A440)/27,1))</f>
        <v>卡斯帕</v>
      </c>
    </row>
    <row r="442" spans="3:4">
      <c r="C442">
        <v>441</v>
      </c>
      <c r="D442" t="str">
        <f t="array" ref="D442">INDEX($B$2:$B$24,CEILING(ROW(A441)/27,1))</f>
        <v>卡斯帕</v>
      </c>
    </row>
    <row r="443" spans="3:4">
      <c r="C443">
        <v>442</v>
      </c>
      <c r="D443" t="str">
        <f t="array" ref="D443">INDEX($B$2:$B$24,CEILING(ROW(A442)/27,1))</f>
        <v>卡斯帕</v>
      </c>
    </row>
    <row r="444" spans="3:4">
      <c r="C444">
        <v>443</v>
      </c>
      <c r="D444" t="str">
        <f t="array" ref="D444">INDEX($B$2:$B$24,CEILING(ROW(A443)/27,1))</f>
        <v>卡斯帕</v>
      </c>
    </row>
    <row r="445" spans="3:4">
      <c r="C445">
        <v>444</v>
      </c>
      <c r="D445" t="str">
        <f t="array" ref="D445">INDEX($B$2:$B$24,CEILING(ROW(A444)/27,1))</f>
        <v>卡斯帕</v>
      </c>
    </row>
    <row r="446" spans="3:4">
      <c r="C446">
        <v>445</v>
      </c>
      <c r="D446" t="str">
        <f t="array" ref="D446">INDEX($B$2:$B$24,CEILING(ROW(A445)/27,1))</f>
        <v>卡斯帕</v>
      </c>
    </row>
    <row r="447" spans="3:4">
      <c r="C447">
        <v>446</v>
      </c>
      <c r="D447" t="str">
        <f t="array" ref="D447">INDEX($B$2:$B$24,CEILING(ROW(A446)/27,1))</f>
        <v>卡斯帕</v>
      </c>
    </row>
    <row r="448" spans="3:4">
      <c r="C448">
        <v>447</v>
      </c>
      <c r="D448" t="str">
        <f t="array" ref="D448">INDEX($B$2:$B$24,CEILING(ROW(A447)/27,1))</f>
        <v>卡斯帕</v>
      </c>
    </row>
    <row r="449" spans="3:4">
      <c r="C449">
        <v>448</v>
      </c>
      <c r="D449" t="str">
        <f t="array" ref="D449">INDEX($B$2:$B$24,CEILING(ROW(A448)/27,1))</f>
        <v>卡斯帕</v>
      </c>
    </row>
    <row r="450" spans="3:4">
      <c r="C450">
        <v>449</v>
      </c>
      <c r="D450" t="str">
        <f t="array" ref="D450">INDEX($B$2:$B$24,CEILING(ROW(A449)/27,1))</f>
        <v>卡斯帕</v>
      </c>
    </row>
    <row r="451" spans="3:4">
      <c r="C451">
        <v>450</v>
      </c>
      <c r="D451" t="str">
        <f t="array" ref="D451">INDEX($B$2:$B$24,CEILING(ROW(A450)/27,1))</f>
        <v>卡斯帕</v>
      </c>
    </row>
    <row r="452" spans="3:4">
      <c r="C452">
        <v>451</v>
      </c>
      <c r="D452" t="str">
        <f t="array" ref="D452">INDEX($B$2:$B$24,CEILING(ROW(A451)/27,1))</f>
        <v>卡斯帕</v>
      </c>
    </row>
    <row r="453" spans="3:4">
      <c r="C453">
        <v>452</v>
      </c>
      <c r="D453" t="str">
        <f t="array" ref="D453">INDEX($B$2:$B$24,CEILING(ROW(A452)/27,1))</f>
        <v>卡斯帕</v>
      </c>
    </row>
    <row r="454" spans="3:4">
      <c r="C454">
        <v>453</v>
      </c>
      <c r="D454" t="str">
        <f t="array" ref="D454">INDEX($B$2:$B$24,CEILING(ROW(A453)/27,1))</f>
        <v>卡斯帕</v>
      </c>
    </row>
    <row r="455" spans="3:4">
      <c r="C455">
        <v>454</v>
      </c>
      <c r="D455" t="str">
        <f t="array" ref="D455">INDEX($B$2:$B$24,CEILING(ROW(A454)/27,1))</f>
        <v>卡斯帕</v>
      </c>
    </row>
    <row r="456" spans="3:4">
      <c r="C456">
        <v>455</v>
      </c>
      <c r="D456" t="str">
        <f t="array" ref="D456">INDEX($B$2:$B$24,CEILING(ROW(A455)/27,1))</f>
        <v>卡斯帕</v>
      </c>
    </row>
    <row r="457" spans="3:4">
      <c r="C457">
        <v>456</v>
      </c>
      <c r="D457" t="str">
        <f t="array" ref="D457">INDEX($B$2:$B$24,CEILING(ROW(A456)/27,1))</f>
        <v>卡斯帕</v>
      </c>
    </row>
    <row r="458" spans="3:4">
      <c r="C458">
        <v>457</v>
      </c>
      <c r="D458" t="str">
        <f t="array" ref="D458">INDEX($B$2:$B$24,CEILING(ROW(A457)/27,1))</f>
        <v>卡斯帕</v>
      </c>
    </row>
    <row r="459" spans="3:4">
      <c r="C459">
        <v>458</v>
      </c>
      <c r="D459" t="str">
        <f t="array" ref="D459">INDEX($B$2:$B$24,CEILING(ROW(A458)/27,1))</f>
        <v>卡斯帕</v>
      </c>
    </row>
    <row r="460" spans="3:4">
      <c r="C460">
        <v>459</v>
      </c>
      <c r="D460" t="str">
        <f t="array" ref="D460">INDEX($B$2:$B$24,CEILING(ROW(A459)/27,1))</f>
        <v>卡斯帕</v>
      </c>
    </row>
    <row r="461" spans="3:4">
      <c r="C461">
        <v>460</v>
      </c>
      <c r="D461" t="str">
        <f t="array" ref="D461">INDEX($B$2:$B$24,CEILING(ROW(A460)/27,1))</f>
        <v>梅梅</v>
      </c>
    </row>
    <row r="462" spans="3:4">
      <c r="C462">
        <v>461</v>
      </c>
      <c r="D462" t="str">
        <f t="array" ref="D462">INDEX($B$2:$B$24,CEILING(ROW(A461)/27,1))</f>
        <v>梅梅</v>
      </c>
    </row>
    <row r="463" spans="3:4">
      <c r="C463">
        <v>462</v>
      </c>
      <c r="D463" t="str">
        <f t="array" ref="D463">INDEX($B$2:$B$24,CEILING(ROW(A462)/27,1))</f>
        <v>梅梅</v>
      </c>
    </row>
    <row r="464" spans="3:4">
      <c r="C464">
        <v>463</v>
      </c>
      <c r="D464" t="str">
        <f t="array" ref="D464">INDEX($B$2:$B$24,CEILING(ROW(A463)/27,1))</f>
        <v>梅梅</v>
      </c>
    </row>
    <row r="465" spans="3:4">
      <c r="C465">
        <v>464</v>
      </c>
      <c r="D465" t="str">
        <f t="array" ref="D465">INDEX($B$2:$B$24,CEILING(ROW(A464)/27,1))</f>
        <v>梅梅</v>
      </c>
    </row>
    <row r="466" spans="3:4">
      <c r="C466">
        <v>465</v>
      </c>
      <c r="D466" t="str">
        <f t="array" ref="D466">INDEX($B$2:$B$24,CEILING(ROW(A465)/27,1))</f>
        <v>梅梅</v>
      </c>
    </row>
    <row r="467" spans="3:4">
      <c r="C467">
        <v>466</v>
      </c>
      <c r="D467" t="str">
        <f t="array" ref="D467">INDEX($B$2:$B$24,CEILING(ROW(A466)/27,1))</f>
        <v>梅梅</v>
      </c>
    </row>
    <row r="468" spans="3:4">
      <c r="C468">
        <v>467</v>
      </c>
      <c r="D468" t="str">
        <f t="array" ref="D468">INDEX($B$2:$B$24,CEILING(ROW(A467)/27,1))</f>
        <v>梅梅</v>
      </c>
    </row>
    <row r="469" spans="3:4">
      <c r="C469">
        <v>468</v>
      </c>
      <c r="D469" t="str">
        <f t="array" ref="D469">INDEX($B$2:$B$24,CEILING(ROW(A468)/27,1))</f>
        <v>梅梅</v>
      </c>
    </row>
    <row r="470" spans="3:4">
      <c r="C470">
        <v>469</v>
      </c>
      <c r="D470" t="str">
        <f t="array" ref="D470">INDEX($B$2:$B$24,CEILING(ROW(A469)/27,1))</f>
        <v>梅梅</v>
      </c>
    </row>
    <row r="471" spans="3:4">
      <c r="C471">
        <v>470</v>
      </c>
      <c r="D471" t="str">
        <f t="array" ref="D471">INDEX($B$2:$B$24,CEILING(ROW(A470)/27,1))</f>
        <v>梅梅</v>
      </c>
    </row>
    <row r="472" spans="3:4">
      <c r="C472">
        <v>471</v>
      </c>
      <c r="D472" t="str">
        <f t="array" ref="D472">INDEX($B$2:$B$24,CEILING(ROW(A471)/27,1))</f>
        <v>梅梅</v>
      </c>
    </row>
    <row r="473" spans="3:4">
      <c r="C473">
        <v>472</v>
      </c>
      <c r="D473" t="str">
        <f t="array" ref="D473">INDEX($B$2:$B$24,CEILING(ROW(A472)/27,1))</f>
        <v>梅梅</v>
      </c>
    </row>
    <row r="474" spans="3:4">
      <c r="C474">
        <v>473</v>
      </c>
      <c r="D474" t="str">
        <f t="array" ref="D474">INDEX($B$2:$B$24,CEILING(ROW(A473)/27,1))</f>
        <v>梅梅</v>
      </c>
    </row>
    <row r="475" spans="3:4">
      <c r="C475">
        <v>474</v>
      </c>
      <c r="D475" t="str">
        <f t="array" ref="D475">INDEX($B$2:$B$24,CEILING(ROW(A474)/27,1))</f>
        <v>梅梅</v>
      </c>
    </row>
    <row r="476" spans="3:4">
      <c r="C476">
        <v>475</v>
      </c>
      <c r="D476" t="str">
        <f t="array" ref="D476">INDEX($B$2:$B$24,CEILING(ROW(A475)/27,1))</f>
        <v>梅梅</v>
      </c>
    </row>
    <row r="477" spans="3:4">
      <c r="C477">
        <v>476</v>
      </c>
      <c r="D477" t="str">
        <f t="array" ref="D477">INDEX($B$2:$B$24,CEILING(ROW(A476)/27,1))</f>
        <v>梅梅</v>
      </c>
    </row>
    <row r="478" spans="3:4">
      <c r="C478">
        <v>477</v>
      </c>
      <c r="D478" t="str">
        <f t="array" ref="D478">INDEX($B$2:$B$24,CEILING(ROW(A477)/27,1))</f>
        <v>梅梅</v>
      </c>
    </row>
    <row r="479" spans="3:4">
      <c r="C479">
        <v>478</v>
      </c>
      <c r="D479" t="str">
        <f t="array" ref="D479">INDEX($B$2:$B$24,CEILING(ROW(A478)/27,1))</f>
        <v>梅梅</v>
      </c>
    </row>
    <row r="480" spans="3:4">
      <c r="C480">
        <v>479</v>
      </c>
      <c r="D480" t="str">
        <f t="array" ref="D480">INDEX($B$2:$B$24,CEILING(ROW(A479)/27,1))</f>
        <v>梅梅</v>
      </c>
    </row>
    <row r="481" spans="3:4">
      <c r="C481">
        <v>480</v>
      </c>
      <c r="D481" t="str">
        <f t="array" ref="D481">INDEX($B$2:$B$24,CEILING(ROW(A480)/27,1))</f>
        <v>梅梅</v>
      </c>
    </row>
    <row r="482" spans="3:4">
      <c r="C482">
        <v>481</v>
      </c>
      <c r="D482" t="str">
        <f t="array" ref="D482">INDEX($B$2:$B$24,CEILING(ROW(A481)/27,1))</f>
        <v>梅梅</v>
      </c>
    </row>
    <row r="483" spans="3:4">
      <c r="C483">
        <v>482</v>
      </c>
      <c r="D483" t="str">
        <f t="array" ref="D483">INDEX($B$2:$B$24,CEILING(ROW(A482)/27,1))</f>
        <v>梅梅</v>
      </c>
    </row>
    <row r="484" spans="3:4">
      <c r="C484">
        <v>483</v>
      </c>
      <c r="D484" t="str">
        <f t="array" ref="D484">INDEX($B$2:$B$24,CEILING(ROW(A483)/27,1))</f>
        <v>梅梅</v>
      </c>
    </row>
    <row r="485" spans="3:4">
      <c r="C485">
        <v>484</v>
      </c>
      <c r="D485" t="str">
        <f t="array" ref="D485">INDEX($B$2:$B$24,CEILING(ROW(A484)/27,1))</f>
        <v>梅梅</v>
      </c>
    </row>
    <row r="486" spans="3:4">
      <c r="C486">
        <v>485</v>
      </c>
      <c r="D486" t="str">
        <f t="array" ref="D486">INDEX($B$2:$B$24,CEILING(ROW(A485)/27,1))</f>
        <v>梅梅</v>
      </c>
    </row>
    <row r="487" spans="3:4">
      <c r="C487">
        <v>486</v>
      </c>
      <c r="D487" t="str">
        <f t="array" ref="D487">INDEX($B$2:$B$24,CEILING(ROW(A486)/27,1))</f>
        <v>梅梅</v>
      </c>
    </row>
    <row r="488" spans="3:4">
      <c r="C488">
        <v>487</v>
      </c>
      <c r="D488" t="str">
        <f t="array" ref="D488">INDEX($B$2:$B$24,CEILING(ROW(A487)/27,1))</f>
        <v>马克</v>
      </c>
    </row>
    <row r="489" spans="3:4">
      <c r="C489">
        <v>488</v>
      </c>
      <c r="D489" t="str">
        <f t="array" ref="D489">INDEX($B$2:$B$24,CEILING(ROW(A488)/27,1))</f>
        <v>马克</v>
      </c>
    </row>
    <row r="490" spans="3:4">
      <c r="C490">
        <v>489</v>
      </c>
      <c r="D490" t="str">
        <f t="array" ref="D490">INDEX($B$2:$B$24,CEILING(ROW(A489)/27,1))</f>
        <v>马克</v>
      </c>
    </row>
    <row r="491" spans="3:4">
      <c r="C491">
        <v>490</v>
      </c>
      <c r="D491" t="str">
        <f t="array" ref="D491">INDEX($B$2:$B$24,CEILING(ROW(A490)/27,1))</f>
        <v>马克</v>
      </c>
    </row>
    <row r="492" spans="3:4">
      <c r="C492">
        <v>491</v>
      </c>
      <c r="D492" t="str">
        <f t="array" ref="D492">INDEX($B$2:$B$24,CEILING(ROW(A491)/27,1))</f>
        <v>马克</v>
      </c>
    </row>
    <row r="493" spans="3:4">
      <c r="C493">
        <v>492</v>
      </c>
      <c r="D493" t="str">
        <f t="array" ref="D493">INDEX($B$2:$B$24,CEILING(ROW(A492)/27,1))</f>
        <v>马克</v>
      </c>
    </row>
    <row r="494" spans="3:4">
      <c r="C494">
        <v>493</v>
      </c>
      <c r="D494" t="str">
        <f t="array" ref="D494">INDEX($B$2:$B$24,CEILING(ROW(A493)/27,1))</f>
        <v>马克</v>
      </c>
    </row>
    <row r="495" spans="3:4">
      <c r="C495">
        <v>494</v>
      </c>
      <c r="D495" t="str">
        <f t="array" ref="D495">INDEX($B$2:$B$24,CEILING(ROW(A494)/27,1))</f>
        <v>马克</v>
      </c>
    </row>
    <row r="496" spans="3:4">
      <c r="C496">
        <v>495</v>
      </c>
      <c r="D496" t="str">
        <f t="array" ref="D496">INDEX($B$2:$B$24,CEILING(ROW(A495)/27,1))</f>
        <v>马克</v>
      </c>
    </row>
    <row r="497" spans="3:4">
      <c r="C497">
        <v>496</v>
      </c>
      <c r="D497" t="str">
        <f t="array" ref="D497">INDEX($B$2:$B$24,CEILING(ROW(A496)/27,1))</f>
        <v>马克</v>
      </c>
    </row>
    <row r="498" spans="3:4">
      <c r="C498">
        <v>497</v>
      </c>
      <c r="D498" t="str">
        <f t="array" ref="D498">INDEX($B$2:$B$24,CEILING(ROW(A497)/27,1))</f>
        <v>马克</v>
      </c>
    </row>
    <row r="499" spans="3:4">
      <c r="C499">
        <v>498</v>
      </c>
      <c r="D499" t="str">
        <f t="array" ref="D499">INDEX($B$2:$B$24,CEILING(ROW(A498)/27,1))</f>
        <v>马克</v>
      </c>
    </row>
    <row r="500" spans="3:4">
      <c r="C500">
        <v>499</v>
      </c>
      <c r="D500" t="str">
        <f t="array" ref="D500">INDEX($B$2:$B$24,CEILING(ROW(A499)/27,1))</f>
        <v>马克</v>
      </c>
    </row>
    <row r="501" spans="3:4">
      <c r="C501">
        <v>500</v>
      </c>
      <c r="D501" t="str">
        <f t="array" ref="D501">INDEX($B$2:$B$24,CEILING(ROW(A500)/27,1))</f>
        <v>马克</v>
      </c>
    </row>
    <row r="502" spans="3:4">
      <c r="C502">
        <v>501</v>
      </c>
      <c r="D502" t="str">
        <f t="array" ref="D502">INDEX($B$2:$B$24,CEILING(ROW(A501)/27,1))</f>
        <v>马克</v>
      </c>
    </row>
    <row r="503" spans="3:4">
      <c r="C503">
        <v>502</v>
      </c>
      <c r="D503" t="str">
        <f t="array" ref="D503">INDEX($B$2:$B$24,CEILING(ROW(A502)/27,1))</f>
        <v>马克</v>
      </c>
    </row>
    <row r="504" spans="3:4">
      <c r="C504">
        <v>503</v>
      </c>
      <c r="D504" t="str">
        <f t="array" ref="D504">INDEX($B$2:$B$24,CEILING(ROW(A503)/27,1))</f>
        <v>马克</v>
      </c>
    </row>
    <row r="505" spans="3:4">
      <c r="C505">
        <v>504</v>
      </c>
      <c r="D505" t="str">
        <f t="array" ref="D505">INDEX($B$2:$B$24,CEILING(ROW(A504)/27,1))</f>
        <v>马克</v>
      </c>
    </row>
    <row r="506" spans="3:4">
      <c r="C506">
        <v>505</v>
      </c>
      <c r="D506" t="str">
        <f t="array" ref="D506">INDEX($B$2:$B$24,CEILING(ROW(A505)/27,1))</f>
        <v>马克</v>
      </c>
    </row>
    <row r="507" spans="3:4">
      <c r="C507">
        <v>506</v>
      </c>
      <c r="D507" t="str">
        <f t="array" ref="D507">INDEX($B$2:$B$24,CEILING(ROW(A506)/27,1))</f>
        <v>马克</v>
      </c>
    </row>
    <row r="508" spans="3:4">
      <c r="C508">
        <v>507</v>
      </c>
      <c r="D508" t="str">
        <f t="array" ref="D508">INDEX($B$2:$B$24,CEILING(ROW(A507)/27,1))</f>
        <v>马克</v>
      </c>
    </row>
    <row r="509" spans="3:4">
      <c r="C509">
        <v>508</v>
      </c>
      <c r="D509" t="str">
        <f t="array" ref="D509">INDEX($B$2:$B$24,CEILING(ROW(A508)/27,1))</f>
        <v>马克</v>
      </c>
    </row>
    <row r="510" spans="3:4">
      <c r="C510">
        <v>509</v>
      </c>
      <c r="D510" t="str">
        <f t="array" ref="D510">INDEX($B$2:$B$24,CEILING(ROW(A509)/27,1))</f>
        <v>马克</v>
      </c>
    </row>
    <row r="511" spans="3:4">
      <c r="C511">
        <v>510</v>
      </c>
      <c r="D511" t="str">
        <f t="array" ref="D511">INDEX($B$2:$B$24,CEILING(ROW(A510)/27,1))</f>
        <v>马克</v>
      </c>
    </row>
    <row r="512" spans="3:4">
      <c r="C512">
        <v>511</v>
      </c>
      <c r="D512" t="str">
        <f t="array" ref="D512">INDEX($B$2:$B$24,CEILING(ROW(A511)/27,1))</f>
        <v>马克</v>
      </c>
    </row>
    <row r="513" spans="3:4">
      <c r="C513">
        <v>512</v>
      </c>
      <c r="D513" t="str">
        <f t="array" ref="D513">INDEX($B$2:$B$24,CEILING(ROW(A512)/27,1))</f>
        <v>马克</v>
      </c>
    </row>
    <row r="514" spans="3:4">
      <c r="C514">
        <v>513</v>
      </c>
      <c r="D514" t="str">
        <f t="array" ref="D514">INDEX($B$2:$B$24,CEILING(ROW(A513)/27,1))</f>
        <v>马克</v>
      </c>
    </row>
    <row r="515" spans="3:4">
      <c r="C515">
        <v>514</v>
      </c>
      <c r="D515" t="str">
        <f t="array" ref="D515">INDEX($B$2:$B$24,CEILING(ROW(A514)/27,1))</f>
        <v>卡薇</v>
      </c>
    </row>
    <row r="516" spans="3:4">
      <c r="C516">
        <v>515</v>
      </c>
      <c r="D516" t="str">
        <f t="array" ref="D516">INDEX($B$2:$B$24,CEILING(ROW(A515)/27,1))</f>
        <v>卡薇</v>
      </c>
    </row>
    <row r="517" spans="3:4">
      <c r="C517">
        <v>516</v>
      </c>
      <c r="D517" t="str">
        <f t="array" ref="D517">INDEX($B$2:$B$24,CEILING(ROW(A516)/27,1))</f>
        <v>卡薇</v>
      </c>
    </row>
    <row r="518" spans="3:4">
      <c r="C518">
        <v>517</v>
      </c>
      <c r="D518" t="str">
        <f t="array" ref="D518">INDEX($B$2:$B$24,CEILING(ROW(A517)/27,1))</f>
        <v>卡薇</v>
      </c>
    </row>
    <row r="519" spans="3:4">
      <c r="C519">
        <v>518</v>
      </c>
      <c r="D519" t="str">
        <f t="array" ref="D519">INDEX($B$2:$B$24,CEILING(ROW(A518)/27,1))</f>
        <v>卡薇</v>
      </c>
    </row>
    <row r="520" spans="3:4">
      <c r="C520">
        <v>519</v>
      </c>
      <c r="D520" t="str">
        <f t="array" ref="D520">INDEX($B$2:$B$24,CEILING(ROW(A519)/27,1))</f>
        <v>卡薇</v>
      </c>
    </row>
    <row r="521" spans="3:4">
      <c r="C521">
        <v>520</v>
      </c>
      <c r="D521" t="str">
        <f t="array" ref="D521">INDEX($B$2:$B$24,CEILING(ROW(A520)/27,1))</f>
        <v>卡薇</v>
      </c>
    </row>
    <row r="522" spans="3:4">
      <c r="C522">
        <v>521</v>
      </c>
      <c r="D522" t="str">
        <f t="array" ref="D522">INDEX($B$2:$B$24,CEILING(ROW(A521)/27,1))</f>
        <v>卡薇</v>
      </c>
    </row>
    <row r="523" spans="3:4">
      <c r="C523">
        <v>522</v>
      </c>
      <c r="D523" t="str">
        <f t="array" ref="D523">INDEX($B$2:$B$24,CEILING(ROW(A522)/27,1))</f>
        <v>卡薇</v>
      </c>
    </row>
    <row r="524" spans="3:4">
      <c r="C524">
        <v>523</v>
      </c>
      <c r="D524" t="str">
        <f t="array" ref="D524">INDEX($B$2:$B$24,CEILING(ROW(A523)/27,1))</f>
        <v>卡薇</v>
      </c>
    </row>
    <row r="525" spans="3:4">
      <c r="C525">
        <v>524</v>
      </c>
      <c r="D525" t="str">
        <f t="array" ref="D525">INDEX($B$2:$B$24,CEILING(ROW(A524)/27,1))</f>
        <v>卡薇</v>
      </c>
    </row>
    <row r="526" spans="3:4">
      <c r="C526">
        <v>525</v>
      </c>
      <c r="D526" t="str">
        <f t="array" ref="D526">INDEX($B$2:$B$24,CEILING(ROW(A525)/27,1))</f>
        <v>卡薇</v>
      </c>
    </row>
    <row r="527" spans="3:4">
      <c r="C527">
        <v>526</v>
      </c>
      <c r="D527" t="str">
        <f t="array" ref="D527">INDEX($B$2:$B$24,CEILING(ROW(A526)/27,1))</f>
        <v>卡薇</v>
      </c>
    </row>
    <row r="528" spans="3:4">
      <c r="C528">
        <v>527</v>
      </c>
      <c r="D528" t="str">
        <f t="array" ref="D528">INDEX($B$2:$B$24,CEILING(ROW(A527)/27,1))</f>
        <v>卡薇</v>
      </c>
    </row>
    <row r="529" spans="3:4">
      <c r="C529">
        <v>528</v>
      </c>
      <c r="D529" t="str">
        <f t="array" ref="D529">INDEX($B$2:$B$24,CEILING(ROW(A528)/27,1))</f>
        <v>卡薇</v>
      </c>
    </row>
    <row r="530" spans="3:4">
      <c r="C530">
        <v>529</v>
      </c>
      <c r="D530" t="str">
        <f t="array" ref="D530">INDEX($B$2:$B$24,CEILING(ROW(A529)/27,1))</f>
        <v>卡薇</v>
      </c>
    </row>
    <row r="531" spans="3:4">
      <c r="C531">
        <v>530</v>
      </c>
      <c r="D531" t="str">
        <f t="array" ref="D531">INDEX($B$2:$B$24,CEILING(ROW(A530)/27,1))</f>
        <v>卡薇</v>
      </c>
    </row>
    <row r="532" spans="3:4">
      <c r="C532">
        <v>531</v>
      </c>
      <c r="D532" t="str">
        <f t="array" ref="D532">INDEX($B$2:$B$24,CEILING(ROW(A531)/27,1))</f>
        <v>卡薇</v>
      </c>
    </row>
    <row r="533" spans="3:4">
      <c r="C533">
        <v>532</v>
      </c>
      <c r="D533" t="str">
        <f t="array" ref="D533">INDEX($B$2:$B$24,CEILING(ROW(A532)/27,1))</f>
        <v>卡薇</v>
      </c>
    </row>
    <row r="534" spans="3:4">
      <c r="C534">
        <v>533</v>
      </c>
      <c r="D534" t="str">
        <f t="array" ref="D534">INDEX($B$2:$B$24,CEILING(ROW(A533)/27,1))</f>
        <v>卡薇</v>
      </c>
    </row>
    <row r="535" spans="3:4">
      <c r="C535">
        <v>534</v>
      </c>
      <c r="D535" t="str">
        <f t="array" ref="D535">INDEX($B$2:$B$24,CEILING(ROW(A534)/27,1))</f>
        <v>卡薇</v>
      </c>
    </row>
    <row r="536" spans="3:4">
      <c r="C536">
        <v>535</v>
      </c>
      <c r="D536" t="str">
        <f t="array" ref="D536">INDEX($B$2:$B$24,CEILING(ROW(A535)/27,1))</f>
        <v>卡薇</v>
      </c>
    </row>
    <row r="537" spans="3:4">
      <c r="C537">
        <v>536</v>
      </c>
      <c r="D537" t="str">
        <f t="array" ref="D537">INDEX($B$2:$B$24,CEILING(ROW(A536)/27,1))</f>
        <v>卡薇</v>
      </c>
    </row>
    <row r="538" spans="3:4">
      <c r="C538">
        <v>537</v>
      </c>
      <c r="D538" t="str">
        <f t="array" ref="D538">INDEX($B$2:$B$24,CEILING(ROW(A537)/27,1))</f>
        <v>卡薇</v>
      </c>
    </row>
    <row r="539" spans="3:4">
      <c r="C539">
        <v>538</v>
      </c>
      <c r="D539" t="str">
        <f t="array" ref="D539">INDEX($B$2:$B$24,CEILING(ROW(A538)/27,1))</f>
        <v>卡薇</v>
      </c>
    </row>
    <row r="540" spans="3:4">
      <c r="C540">
        <v>539</v>
      </c>
      <c r="D540" t="str">
        <f t="array" ref="D540">INDEX($B$2:$B$24,CEILING(ROW(A539)/27,1))</f>
        <v>卡薇</v>
      </c>
    </row>
    <row r="541" spans="3:4">
      <c r="C541">
        <v>540</v>
      </c>
      <c r="D541" t="str">
        <f t="array" ref="D541">INDEX($B$2:$B$24,CEILING(ROW(A540)/27,1))</f>
        <v>卡薇</v>
      </c>
    </row>
    <row r="542" spans="3:4">
      <c r="C542">
        <v>541</v>
      </c>
      <c r="D542" t="str">
        <f t="array" ref="D542">INDEX($B$2:$B$24,CEILING(ROW(A541)/27,1))</f>
        <v>乔一</v>
      </c>
    </row>
    <row r="543" spans="3:4">
      <c r="C543">
        <v>542</v>
      </c>
      <c r="D543" t="str">
        <f t="array" ref="D543">INDEX($B$2:$B$24,CEILING(ROW(A542)/27,1))</f>
        <v>乔一</v>
      </c>
    </row>
    <row r="544" spans="3:4">
      <c r="C544">
        <v>543</v>
      </c>
      <c r="D544" t="str">
        <f t="array" ref="D544">INDEX($B$2:$B$24,CEILING(ROW(A543)/27,1))</f>
        <v>乔一</v>
      </c>
    </row>
    <row r="545" spans="3:4">
      <c r="C545">
        <v>544</v>
      </c>
      <c r="D545" t="str">
        <f t="array" ref="D545">INDEX($B$2:$B$24,CEILING(ROW(A544)/27,1))</f>
        <v>乔一</v>
      </c>
    </row>
    <row r="546" spans="3:4">
      <c r="C546">
        <v>545</v>
      </c>
      <c r="D546" t="str">
        <f t="array" ref="D546">INDEX($B$2:$B$24,CEILING(ROW(A545)/27,1))</f>
        <v>乔一</v>
      </c>
    </row>
    <row r="547" spans="3:4">
      <c r="C547">
        <v>546</v>
      </c>
      <c r="D547" t="str">
        <f t="array" ref="D547">INDEX($B$2:$B$24,CEILING(ROW(A546)/27,1))</f>
        <v>乔一</v>
      </c>
    </row>
    <row r="548" spans="3:4">
      <c r="C548">
        <v>547</v>
      </c>
      <c r="D548" t="str">
        <f t="array" ref="D548">INDEX($B$2:$B$24,CEILING(ROW(A547)/27,1))</f>
        <v>乔一</v>
      </c>
    </row>
    <row r="549" spans="3:4">
      <c r="C549">
        <v>548</v>
      </c>
      <c r="D549" t="str">
        <f t="array" ref="D549">INDEX($B$2:$B$24,CEILING(ROW(A548)/27,1))</f>
        <v>乔一</v>
      </c>
    </row>
    <row r="550" spans="3:4">
      <c r="C550">
        <v>549</v>
      </c>
      <c r="D550" t="str">
        <f t="array" ref="D550">INDEX($B$2:$B$24,CEILING(ROW(A549)/27,1))</f>
        <v>乔一</v>
      </c>
    </row>
    <row r="551" spans="3:4">
      <c r="C551">
        <v>550</v>
      </c>
      <c r="D551" t="str">
        <f t="array" ref="D551">INDEX($B$2:$B$24,CEILING(ROW(A550)/27,1))</f>
        <v>乔一</v>
      </c>
    </row>
    <row r="552" spans="3:4">
      <c r="C552">
        <v>551</v>
      </c>
      <c r="D552" t="str">
        <f t="array" ref="D552">INDEX($B$2:$B$24,CEILING(ROW(A551)/27,1))</f>
        <v>乔一</v>
      </c>
    </row>
    <row r="553" spans="3:4">
      <c r="C553">
        <v>552</v>
      </c>
      <c r="D553" t="str">
        <f t="array" ref="D553">INDEX($B$2:$B$24,CEILING(ROW(A552)/27,1))</f>
        <v>乔一</v>
      </c>
    </row>
    <row r="554" spans="3:4">
      <c r="C554">
        <v>553</v>
      </c>
      <c r="D554" t="str">
        <f t="array" ref="D554">INDEX($B$2:$B$24,CEILING(ROW(A553)/27,1))</f>
        <v>乔一</v>
      </c>
    </row>
    <row r="555" spans="3:4">
      <c r="C555">
        <v>554</v>
      </c>
      <c r="D555" t="str">
        <f t="array" ref="D555">INDEX($B$2:$B$24,CEILING(ROW(A554)/27,1))</f>
        <v>乔一</v>
      </c>
    </row>
    <row r="556" spans="3:4">
      <c r="C556">
        <v>555</v>
      </c>
      <c r="D556" t="str">
        <f t="array" ref="D556">INDEX($B$2:$B$24,CEILING(ROW(A555)/27,1))</f>
        <v>乔一</v>
      </c>
    </row>
    <row r="557" spans="3:4">
      <c r="C557">
        <v>556</v>
      </c>
      <c r="D557" t="str">
        <f t="array" ref="D557">INDEX($B$2:$B$24,CEILING(ROW(A556)/27,1))</f>
        <v>乔一</v>
      </c>
    </row>
    <row r="558" spans="3:4">
      <c r="C558">
        <v>557</v>
      </c>
      <c r="D558" t="str">
        <f t="array" ref="D558">INDEX($B$2:$B$24,CEILING(ROW(A557)/27,1))</f>
        <v>乔一</v>
      </c>
    </row>
    <row r="559" spans="3:4">
      <c r="C559">
        <v>558</v>
      </c>
      <c r="D559" t="str">
        <f t="array" ref="D559">INDEX($B$2:$B$24,CEILING(ROW(A558)/27,1))</f>
        <v>乔一</v>
      </c>
    </row>
    <row r="560" spans="3:4">
      <c r="C560">
        <v>559</v>
      </c>
      <c r="D560" t="str">
        <f t="array" ref="D560">INDEX($B$2:$B$24,CEILING(ROW(A559)/27,1))</f>
        <v>乔一</v>
      </c>
    </row>
    <row r="561" spans="3:4">
      <c r="C561">
        <v>560</v>
      </c>
      <c r="D561" t="str">
        <f t="array" ref="D561">INDEX($B$2:$B$24,CEILING(ROW(A560)/27,1))</f>
        <v>乔一</v>
      </c>
    </row>
    <row r="562" spans="3:4">
      <c r="C562">
        <v>561</v>
      </c>
      <c r="D562" t="str">
        <f t="array" ref="D562">INDEX($B$2:$B$24,CEILING(ROW(A561)/27,1))</f>
        <v>乔一</v>
      </c>
    </row>
    <row r="563" spans="3:4">
      <c r="C563">
        <v>562</v>
      </c>
      <c r="D563" t="str">
        <f t="array" ref="D563">INDEX($B$2:$B$24,CEILING(ROW(A562)/27,1))</f>
        <v>乔一</v>
      </c>
    </row>
    <row r="564" spans="3:4">
      <c r="C564">
        <v>563</v>
      </c>
      <c r="D564" t="str">
        <f t="array" ref="D564">INDEX($B$2:$B$24,CEILING(ROW(A563)/27,1))</f>
        <v>乔一</v>
      </c>
    </row>
    <row r="565" spans="3:4">
      <c r="C565">
        <v>564</v>
      </c>
      <c r="D565" t="str">
        <f t="array" ref="D565">INDEX($B$2:$B$24,CEILING(ROW(A564)/27,1))</f>
        <v>乔一</v>
      </c>
    </row>
    <row r="566" spans="3:4">
      <c r="C566">
        <v>565</v>
      </c>
      <c r="D566" t="str">
        <f t="array" ref="D566">INDEX($B$2:$B$24,CEILING(ROW(A565)/27,1))</f>
        <v>乔一</v>
      </c>
    </row>
    <row r="567" spans="3:4">
      <c r="C567">
        <v>566</v>
      </c>
      <c r="D567" t="str">
        <f t="array" ref="D567">INDEX($B$2:$B$24,CEILING(ROW(A566)/27,1))</f>
        <v>乔一</v>
      </c>
    </row>
    <row r="568" spans="3:4">
      <c r="C568">
        <v>567</v>
      </c>
      <c r="D568" t="str">
        <f t="array" ref="D568">INDEX($B$2:$B$24,CEILING(ROW(A567)/27,1))</f>
        <v>乔一</v>
      </c>
    </row>
    <row r="569" spans="3:4">
      <c r="C569">
        <v>568</v>
      </c>
      <c r="D569" t="str">
        <f t="array" ref="D569">INDEX($B$2:$B$24,CEILING(ROW(A568)/27,1))</f>
        <v>凯兰</v>
      </c>
    </row>
    <row r="570" spans="3:4">
      <c r="C570">
        <v>569</v>
      </c>
      <c r="D570" t="str">
        <f t="array" ref="D570">INDEX($B$2:$B$24,CEILING(ROW(A569)/27,1))</f>
        <v>凯兰</v>
      </c>
    </row>
    <row r="571" spans="3:4">
      <c r="C571">
        <v>570</v>
      </c>
      <c r="D571" t="str">
        <f t="array" ref="D571">INDEX($B$2:$B$24,CEILING(ROW(A570)/27,1))</f>
        <v>凯兰</v>
      </c>
    </row>
    <row r="572" spans="3:4">
      <c r="C572">
        <v>571</v>
      </c>
      <c r="D572" t="str">
        <f t="array" ref="D572">INDEX($B$2:$B$24,CEILING(ROW(A571)/27,1))</f>
        <v>凯兰</v>
      </c>
    </row>
    <row r="573" spans="3:4">
      <c r="C573">
        <v>572</v>
      </c>
      <c r="D573" t="str">
        <f t="array" ref="D573">INDEX($B$2:$B$24,CEILING(ROW(A572)/27,1))</f>
        <v>凯兰</v>
      </c>
    </row>
    <row r="574" spans="3:4">
      <c r="C574">
        <v>573</v>
      </c>
      <c r="D574" t="str">
        <f t="array" ref="D574">INDEX($B$2:$B$24,CEILING(ROW(A573)/27,1))</f>
        <v>凯兰</v>
      </c>
    </row>
    <row r="575" spans="3:4">
      <c r="C575">
        <v>574</v>
      </c>
      <c r="D575" t="str">
        <f t="array" ref="D575">INDEX($B$2:$B$24,CEILING(ROW(A574)/27,1))</f>
        <v>凯兰</v>
      </c>
    </row>
    <row r="576" spans="3:4">
      <c r="C576">
        <v>575</v>
      </c>
      <c r="D576" t="str">
        <f t="array" ref="D576">INDEX($B$2:$B$24,CEILING(ROW(A575)/27,1))</f>
        <v>凯兰</v>
      </c>
    </row>
    <row r="577" spans="3:4">
      <c r="C577">
        <v>576</v>
      </c>
      <c r="D577" t="str">
        <f t="array" ref="D577">INDEX($B$2:$B$24,CEILING(ROW(A576)/27,1))</f>
        <v>凯兰</v>
      </c>
    </row>
    <row r="578" spans="3:4">
      <c r="C578">
        <v>577</v>
      </c>
      <c r="D578" t="str">
        <f t="array" ref="D578">INDEX($B$2:$B$24,CEILING(ROW(A577)/27,1))</f>
        <v>凯兰</v>
      </c>
    </row>
    <row r="579" spans="3:4">
      <c r="C579">
        <v>578</v>
      </c>
      <c r="D579" t="str">
        <f t="array" ref="D579">INDEX($B$2:$B$24,CEILING(ROW(A578)/27,1))</f>
        <v>凯兰</v>
      </c>
    </row>
    <row r="580" spans="3:4">
      <c r="C580">
        <v>579</v>
      </c>
      <c r="D580" t="str">
        <f t="array" ref="D580">INDEX($B$2:$B$24,CEILING(ROW(A579)/27,1))</f>
        <v>凯兰</v>
      </c>
    </row>
    <row r="581" spans="3:4">
      <c r="C581">
        <v>580</v>
      </c>
      <c r="D581" t="str">
        <f t="array" ref="D581">INDEX($B$2:$B$24,CEILING(ROW(A580)/27,1))</f>
        <v>凯兰</v>
      </c>
    </row>
    <row r="582" spans="3:4">
      <c r="C582">
        <v>581</v>
      </c>
      <c r="D582" t="str">
        <f t="array" ref="D582">INDEX($B$2:$B$24,CEILING(ROW(A581)/27,1))</f>
        <v>凯兰</v>
      </c>
    </row>
    <row r="583" spans="3:4">
      <c r="C583">
        <v>582</v>
      </c>
      <c r="D583" t="str">
        <f t="array" ref="D583">INDEX($B$2:$B$24,CEILING(ROW(A582)/27,1))</f>
        <v>凯兰</v>
      </c>
    </row>
    <row r="584" spans="3:4">
      <c r="C584">
        <v>583</v>
      </c>
      <c r="D584" t="str">
        <f t="array" ref="D584">INDEX($B$2:$B$24,CEILING(ROW(A583)/27,1))</f>
        <v>凯兰</v>
      </c>
    </row>
    <row r="585" spans="3:4">
      <c r="C585">
        <v>584</v>
      </c>
      <c r="D585" t="str">
        <f t="array" ref="D585">INDEX($B$2:$B$24,CEILING(ROW(A584)/27,1))</f>
        <v>凯兰</v>
      </c>
    </row>
    <row r="586" spans="3:4">
      <c r="C586">
        <v>585</v>
      </c>
      <c r="D586" t="str">
        <f t="array" ref="D586">INDEX($B$2:$B$24,CEILING(ROW(A585)/27,1))</f>
        <v>凯兰</v>
      </c>
    </row>
    <row r="587" spans="3:4">
      <c r="C587">
        <v>586</v>
      </c>
      <c r="D587" t="str">
        <f t="array" ref="D587">INDEX($B$2:$B$24,CEILING(ROW(A586)/27,1))</f>
        <v>凯兰</v>
      </c>
    </row>
    <row r="588" spans="3:4">
      <c r="C588">
        <v>587</v>
      </c>
      <c r="D588" t="str">
        <f t="array" ref="D588">INDEX($B$2:$B$24,CEILING(ROW(A587)/27,1))</f>
        <v>凯兰</v>
      </c>
    </row>
    <row r="589" spans="3:4">
      <c r="C589">
        <v>588</v>
      </c>
      <c r="D589" t="str">
        <f t="array" ref="D589">INDEX($B$2:$B$24,CEILING(ROW(A588)/27,1))</f>
        <v>凯兰</v>
      </c>
    </row>
    <row r="590" spans="3:4">
      <c r="C590">
        <v>589</v>
      </c>
      <c r="D590" t="str">
        <f t="array" ref="D590">INDEX($B$2:$B$24,CEILING(ROW(A589)/27,1))</f>
        <v>凯兰</v>
      </c>
    </row>
    <row r="591" spans="3:4">
      <c r="C591">
        <v>590</v>
      </c>
      <c r="D591" t="str">
        <f t="array" ref="D591">INDEX($B$2:$B$24,CEILING(ROW(A590)/27,1))</f>
        <v>凯兰</v>
      </c>
    </row>
    <row r="592" spans="3:4">
      <c r="C592">
        <v>591</v>
      </c>
      <c r="D592" t="str">
        <f t="array" ref="D592">INDEX($B$2:$B$24,CEILING(ROW(A591)/27,1))</f>
        <v>凯兰</v>
      </c>
    </row>
    <row r="593" spans="3:4">
      <c r="C593">
        <v>592</v>
      </c>
      <c r="D593" t="str">
        <f t="array" ref="D593">INDEX($B$2:$B$24,CEILING(ROW(A592)/27,1))</f>
        <v>凯兰</v>
      </c>
    </row>
    <row r="594" spans="3:4">
      <c r="C594">
        <v>593</v>
      </c>
      <c r="D594" t="str">
        <f t="array" ref="D594">INDEX($B$2:$B$24,CEILING(ROW(A593)/27,1))</f>
        <v>凯兰</v>
      </c>
    </row>
    <row r="595" spans="3:4">
      <c r="C595">
        <v>594</v>
      </c>
      <c r="D595" t="str">
        <f t="array" ref="D595">INDEX($B$2:$B$24,CEILING(ROW(A594)/27,1))</f>
        <v>凯兰</v>
      </c>
    </row>
    <row r="596" spans="3:4">
      <c r="C596">
        <v>595</v>
      </c>
      <c r="D596" t="str">
        <f t="array" ref="D596">INDEX($B$2:$B$24,CEILING(ROW(A595)/27,1))</f>
        <v>莫莉</v>
      </c>
    </row>
    <row r="597" spans="3:4">
      <c r="C597">
        <v>596</v>
      </c>
      <c r="D597" t="str">
        <f t="array" ref="D597">INDEX($B$2:$B$24,CEILING(ROW(A596)/27,1))</f>
        <v>莫莉</v>
      </c>
    </row>
    <row r="598" spans="3:4">
      <c r="C598">
        <v>597</v>
      </c>
      <c r="D598" t="str">
        <f t="array" ref="D598">INDEX($B$2:$B$24,CEILING(ROW(A597)/27,1))</f>
        <v>莫莉</v>
      </c>
    </row>
    <row r="599" spans="3:4">
      <c r="C599">
        <v>598</v>
      </c>
      <c r="D599" t="str">
        <f t="array" ref="D599">INDEX($B$2:$B$24,CEILING(ROW(A598)/27,1))</f>
        <v>莫莉</v>
      </c>
    </row>
    <row r="600" spans="3:4">
      <c r="C600">
        <v>599</v>
      </c>
      <c r="D600" t="str">
        <f t="array" ref="D600">INDEX($B$2:$B$24,CEILING(ROW(A599)/27,1))</f>
        <v>莫莉</v>
      </c>
    </row>
    <row r="601" spans="3:4">
      <c r="C601">
        <v>600</v>
      </c>
      <c r="D601" t="str">
        <f t="array" ref="D601">INDEX($B$2:$B$24,CEILING(ROW(A600)/27,1))</f>
        <v>莫莉</v>
      </c>
    </row>
    <row r="602" spans="3:4">
      <c r="C602">
        <v>601</v>
      </c>
      <c r="D602" t="str">
        <f t="array" ref="D602">INDEX($B$2:$B$24,CEILING(ROW(A601)/27,1))</f>
        <v>莫莉</v>
      </c>
    </row>
    <row r="603" spans="3:4">
      <c r="C603">
        <v>602</v>
      </c>
      <c r="D603" t="str">
        <f t="array" ref="D603">INDEX($B$2:$B$24,CEILING(ROW(A602)/27,1))</f>
        <v>莫莉</v>
      </c>
    </row>
    <row r="604" spans="3:4">
      <c r="C604">
        <v>603</v>
      </c>
      <c r="D604" t="str">
        <f t="array" ref="D604">INDEX($B$2:$B$24,CEILING(ROW(A603)/27,1))</f>
        <v>莫莉</v>
      </c>
    </row>
    <row r="605" spans="3:4">
      <c r="C605">
        <v>604</v>
      </c>
      <c r="D605" t="str">
        <f t="array" ref="D605">INDEX($B$2:$B$24,CEILING(ROW(A604)/27,1))</f>
        <v>莫莉</v>
      </c>
    </row>
    <row r="606" spans="3:4">
      <c r="C606">
        <v>605</v>
      </c>
      <c r="D606" t="str">
        <f t="array" ref="D606">INDEX($B$2:$B$24,CEILING(ROW(A605)/27,1))</f>
        <v>莫莉</v>
      </c>
    </row>
    <row r="607" spans="3:4">
      <c r="C607">
        <v>606</v>
      </c>
      <c r="D607" t="str">
        <f t="array" ref="D607">INDEX($B$2:$B$24,CEILING(ROW(A606)/27,1))</f>
        <v>莫莉</v>
      </c>
    </row>
    <row r="608" spans="3:4">
      <c r="C608">
        <v>607</v>
      </c>
      <c r="D608" t="str">
        <f t="array" ref="D608">INDEX($B$2:$B$24,CEILING(ROW(A607)/27,1))</f>
        <v>莫莉</v>
      </c>
    </row>
    <row r="609" spans="3:4">
      <c r="C609">
        <v>608</v>
      </c>
      <c r="D609" t="str">
        <f t="array" ref="D609">INDEX($B$2:$B$24,CEILING(ROW(A608)/27,1))</f>
        <v>莫莉</v>
      </c>
    </row>
    <row r="610" spans="3:4">
      <c r="C610">
        <v>609</v>
      </c>
      <c r="D610" t="str">
        <f t="array" ref="D610">INDEX($B$2:$B$24,CEILING(ROW(A609)/27,1))</f>
        <v>莫莉</v>
      </c>
    </row>
    <row r="611" spans="3:4">
      <c r="C611">
        <v>610</v>
      </c>
      <c r="D611" t="str">
        <f t="array" ref="D611">INDEX($B$2:$B$24,CEILING(ROW(A610)/27,1))</f>
        <v>莫莉</v>
      </c>
    </row>
    <row r="612" spans="3:4">
      <c r="C612">
        <v>611</v>
      </c>
      <c r="D612" t="str">
        <f t="array" ref="D612">INDEX($B$2:$B$24,CEILING(ROW(A611)/27,1))</f>
        <v>莫莉</v>
      </c>
    </row>
    <row r="613" spans="3:4">
      <c r="C613">
        <v>612</v>
      </c>
      <c r="D613" t="str">
        <f t="array" ref="D613">INDEX($B$2:$B$24,CEILING(ROW(A612)/27,1))</f>
        <v>莫莉</v>
      </c>
    </row>
    <row r="614" spans="3:4">
      <c r="C614">
        <v>613</v>
      </c>
      <c r="D614" t="str">
        <f t="array" ref="D614">INDEX($B$2:$B$24,CEILING(ROW(A613)/27,1))</f>
        <v>莫莉</v>
      </c>
    </row>
    <row r="615" spans="3:4">
      <c r="C615">
        <v>614</v>
      </c>
      <c r="D615" t="str">
        <f t="array" ref="D615">INDEX($B$2:$B$24,CEILING(ROW(A614)/27,1))</f>
        <v>莫莉</v>
      </c>
    </row>
    <row r="616" spans="3:4">
      <c r="C616">
        <v>615</v>
      </c>
      <c r="D616" t="str">
        <f t="array" ref="D616">INDEX($B$2:$B$24,CEILING(ROW(A615)/27,1))</f>
        <v>莫莉</v>
      </c>
    </row>
    <row r="617" spans="3:4">
      <c r="C617">
        <v>616</v>
      </c>
      <c r="D617" t="str">
        <f t="array" ref="D617">INDEX($B$2:$B$24,CEILING(ROW(A616)/27,1))</f>
        <v>莫莉</v>
      </c>
    </row>
    <row r="618" spans="3:4">
      <c r="C618">
        <v>617</v>
      </c>
      <c r="D618" t="str">
        <f t="array" ref="D618">INDEX($B$2:$B$24,CEILING(ROW(A617)/27,1))</f>
        <v>莫莉</v>
      </c>
    </row>
    <row r="619" spans="3:4">
      <c r="C619">
        <v>618</v>
      </c>
      <c r="D619" t="str">
        <f t="array" ref="D619">INDEX($B$2:$B$24,CEILING(ROW(A618)/27,1))</f>
        <v>莫莉</v>
      </c>
    </row>
    <row r="620" spans="3:4">
      <c r="C620">
        <v>619</v>
      </c>
      <c r="D620" t="str">
        <f t="array" ref="D620">INDEX($B$2:$B$24,CEILING(ROW(A619)/27,1))</f>
        <v>莫莉</v>
      </c>
    </row>
    <row r="621" spans="3:4">
      <c r="C621">
        <v>620</v>
      </c>
      <c r="D621" t="str">
        <f t="array" ref="D621">INDEX($B$2:$B$24,CEILING(ROW(A620)/27,1))</f>
        <v>莫莉</v>
      </c>
    </row>
    <row r="622" spans="3:4">
      <c r="C622">
        <v>621</v>
      </c>
      <c r="D622" t="str">
        <f t="array" ref="D622">INDEX($B$2:$B$24,CEILING(ROW(A621)/27,1))</f>
        <v>莫莉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00_索引</vt:lpstr>
      <vt:lpstr>养成属性规划</vt:lpstr>
      <vt:lpstr>角色升级升阶</vt:lpstr>
      <vt:lpstr>属性定价</vt:lpstr>
      <vt:lpstr>角色升星</vt:lpstr>
      <vt:lpstr>角色星盘</vt:lpstr>
      <vt:lpstr>专武</vt:lpstr>
      <vt:lpstr>旅券</vt:lpstr>
      <vt:lpstr>配置页-旅券</vt:lpstr>
      <vt:lpstr>配置页-推荐邮票</vt:lpstr>
      <vt:lpstr>炮台养成数值</vt:lpstr>
      <vt:lpstr>设计页-映射装备数值</vt:lpstr>
      <vt:lpstr>映射装备数值</vt:lpstr>
      <vt:lpstr>配置页-普通装备技能</vt:lpstr>
      <vt:lpstr>普通映射装备数值</vt:lpstr>
      <vt:lpstr>映射装备主属性配置</vt:lpstr>
      <vt:lpstr>草稿页-映射装备副属性配置</vt:lpstr>
      <vt:lpstr>映射装备红装数值</vt:lpstr>
      <vt:lpstr>参数页-不同武将系数</vt:lpstr>
      <vt:lpstr>配置页-不同武将系数配置</vt:lpstr>
      <vt:lpstr>配置页-专武配置</vt:lpstr>
      <vt:lpstr>辅助公式页-Sheet1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2023-05-12T11:15:00Z</dcterms:created>
  <dcterms:modified xsi:type="dcterms:W3CDTF">2026-07-07T07:47:13Z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D5743E7CF40643D48F064115B0196327_12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